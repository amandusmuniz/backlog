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467" documentId="13_ncr:1_{FEE737A7-9F40-4E5E-8087-28EC58BAA201}" xr6:coauthVersionLast="47" xr6:coauthVersionMax="47" xr10:uidLastSave="{BD0FEEBE-5196-4132-84D1-FE34C4CE7B77}"/>
  <bookViews>
    <workbookView xWindow="-120" yWindow="-120" windowWidth="29040" windowHeight="15720" tabRatio="776" xr2:uid="{EDE57212-6352-4622-A340-398BA4F7B8FD}"/>
  </bookViews>
  <sheets>
    <sheet name="Finalizados"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Finalizados!$B$2:$B$147</definedName>
    <definedName name="VSTS_d6760eb0_ea3a_4c33_85d6_f85b26745a24_10003" hidden="1">Finalizados!$AW$2:$AW$147</definedName>
    <definedName name="VSTS_d6760eb0_ea3a_4c33_85d6_f85b26745a24_10004" hidden="1">Finalizados!$AA$2:$AA$147</definedName>
    <definedName name="VSTS_d6760eb0_ea3a_4c33_85d6_f85b26745a24_10008" hidden="1">Finalizados!$Z$2:$Z$147</definedName>
    <definedName name="VSTS_d6760eb0_ea3a_4c33_85d6_f85b26745a24_10009" hidden="1">Finalizados!$Y$2:$Y$147</definedName>
    <definedName name="VSTS_d6760eb0_ea3a_4c33_85d6_f85b26745a24_10013" hidden="1">Finalizados!$R$2:$R$147</definedName>
    <definedName name="VSTS_d6760eb0_ea3a_4c33_85d6_f85b26745a24_10014" hidden="1">Finalizados!$AR$2:$AR$147</definedName>
    <definedName name="VSTS_d6760eb0_ea3a_4c33_85d6_f85b26745a24_10015" hidden="1">Finalizados!$J$2:$J$147</definedName>
    <definedName name="VSTS_d6760eb0_ea3a_4c33_85d6_f85b26745a24_10019" hidden="1">Finalizados!$AZ$2:$AZ$147</definedName>
    <definedName name="VSTS_d6760eb0_ea3a_4c33_85d6_f85b26745a24_10021" hidden="1">Finalizados!$AU$2:$AU$147</definedName>
    <definedName name="VSTS_d6760eb0_ea3a_4c33_85d6_f85b26745a24_10022" hidden="1">Finalizados!$AG$2:$AG$147</definedName>
    <definedName name="VSTS_d6760eb0_ea3a_4c33_85d6_f85b26745a24_10023" hidden="1">Finalizados!$AI$2:$AI$147</definedName>
    <definedName name="VSTS_d6760eb0_ea3a_4c33_85d6_f85b26745a24_10024" hidden="1">Finalizados!$AF$2:$AF$147</definedName>
    <definedName name="VSTS_d6760eb0_ea3a_4c33_85d6_f85b26745a24_10025" hidden="1">Finalizados!$AH$2:$AH$147</definedName>
    <definedName name="VSTS_d6760eb0_ea3a_4c33_85d6_f85b26745a24_10026" hidden="1">Finalizados!$AT$2:$AT$147</definedName>
    <definedName name="VSTS_d6760eb0_ea3a_4c33_85d6_f85b26745a24_10027" hidden="1">Finalizados!$AS$2:$AS$147</definedName>
    <definedName name="VSTS_d6760eb0_ea3a_4c33_85d6_f85b26745a24_10028" hidden="1">Finalizados!$V$2:$V$147</definedName>
    <definedName name="VSTS_d6760eb0_ea3a_4c33_85d6_f85b26745a24_10029" hidden="1">Finalizados!$W$2:$W$147</definedName>
    <definedName name="VSTS_d6760eb0_ea3a_4c33_85d6_f85b26745a24_10030" hidden="1">Finalizados!$X$2:$X$147</definedName>
    <definedName name="VSTS_d6760eb0_ea3a_4c33_85d6_f85b26745a24_10036" hidden="1">Finalizados!$I$2:$I$147</definedName>
    <definedName name="VSTS_d6760eb0_ea3a_4c33_85d6_f85b26745a24_10037" hidden="1">Finalizados!$AD$2:$AD$147</definedName>
    <definedName name="VSTS_d6760eb0_ea3a_4c33_85d6_f85b26745a24_10038" hidden="1">Finalizados!$AC$2:$AC$147</definedName>
    <definedName name="VSTS_d6760eb0_ea3a_4c33_85d6_f85b26745a24_10039" hidden="1">Finalizados!$AB$2:$AB$147</definedName>
    <definedName name="VSTS_d6760eb0_ea3a_4c33_85d6_f85b26745a24_10040" hidden="1">Finalizados!$BH$2:$BH$147</definedName>
    <definedName name="VSTS_d6760eb0_ea3a_4c33_85d6_f85b26745a24_10041" hidden="1">Finalizados!$BA$2:$BA$147</definedName>
    <definedName name="VSTS_d6760eb0_ea3a_4c33_85d6_f85b26745a24_10043" hidden="1">Finalizados!$BE$2:$BE$147</definedName>
    <definedName name="VSTS_d6760eb0_ea3a_4c33_85d6_f85b26745a24_10045" hidden="1">Finalizados!$AX$2:$AX$147</definedName>
    <definedName name="VSTS_d6760eb0_ea3a_4c33_85d6_f85b26745a24_10046" hidden="1">Finalizados!$AM$2:$AM$147</definedName>
    <definedName name="VSTS_d6760eb0_ea3a_4c33_85d6_f85b26745a24_10047" hidden="1">Finalizados!$AN$2:$AN$147</definedName>
    <definedName name="VSTS_d6760eb0_ea3a_4c33_85d6_f85b26745a24_10048" hidden="1">Finalizados!$AL$2:$AL$147</definedName>
    <definedName name="VSTS_d6760eb0_ea3a_4c33_85d6_f85b26745a24_10049" hidden="1">Finalizados!$AO$2:$AO$147</definedName>
    <definedName name="VSTS_d6760eb0_ea3a_4c33_85d6_f85b26745a24_10050" hidden="1">Finalizados!$BC$2:$BC$147</definedName>
    <definedName name="VSTS_d6760eb0_ea3a_4c33_85d6_f85b26745a24_10051" hidden="1">Finalizados!$AP$2:$AP$147</definedName>
    <definedName name="VSTS_d6760eb0_ea3a_4c33_85d6_f85b26745a24_10054" hidden="1">Finalizados!$BG$2:$BG$147</definedName>
    <definedName name="VSTS_d6760eb0_ea3a_4c33_85d6_f85b26745a24_10180" hidden="1">Finalizados!$D$2:$D$147</definedName>
    <definedName name="VSTS_d6760eb0_ea3a_4c33_85d6_f85b26745a24_10181" hidden="1">Finalizados!$E$2:$E$147</definedName>
    <definedName name="VSTS_d6760eb0_ea3a_4c33_85d6_f85b26745a24_10182" hidden="1">Finalizados!$H$2:$H$147</definedName>
    <definedName name="VSTS_d6760eb0_ea3a_4c33_85d6_f85b26745a24_10184" hidden="1">Finalizados!$G$2:$G$147</definedName>
    <definedName name="VSTS_d6760eb0_ea3a_4c33_85d6_f85b26745a24_10186" hidden="1">Finalizados!$F$2:$F$147</definedName>
    <definedName name="VSTS_d6760eb0_ea3a_4c33_85d6_f85b26745a24_2" hidden="1">Finalizados!$N$2:$N$147</definedName>
    <definedName name="VSTS_d6760eb0_ea3a_4c33_85d6_f85b26745a24_22" hidden="1">Finalizados!$BI$2:$BI$147</definedName>
    <definedName name="VSTS_d6760eb0_ea3a_4c33_85d6_f85b26745a24_24" hidden="1">Finalizados!$M$2:$M$147</definedName>
    <definedName name="VSTS_d6760eb0_ea3a_4c33_85d6_f85b26745a24_25" hidden="1">Finalizados!$C$2:$C$147</definedName>
    <definedName name="VSTS_d6760eb0_ea3a_4c33_85d6_f85b26745a24_3" hidden="1">Finalizados!$AK$2:$AK$147</definedName>
    <definedName name="VSTS_d6760eb0_ea3a_4c33_85d6_f85b26745a24_32" hidden="1">Finalizados!$P$2:$P$147</definedName>
    <definedName name="VSTS_d6760eb0_ea3a_4c33_85d6_f85b26745a24_33" hidden="1">Finalizados!$T$2:$T$147</definedName>
    <definedName name="VSTS_d6760eb0_ea3a_4c33_85d6_f85b26745a24_52" hidden="1">Finalizados!$O$2:$O$147</definedName>
    <definedName name="VSTS_d6760eb0_ea3a_4c33_85d6_f85b26745a24_54" hidden="1">Finalizados!$AY$2:$AY$147</definedName>
    <definedName name="VSTS_d6760eb0_ea3a_4c33_85d6_f85b26745a24_80" hidden="1">Finalizados!$U$2:$U$147</definedName>
    <definedName name="VSTS_d6760eb0_ea3a_4c33_85d6_f85b26745a24_9" hidden="1">Finalizados!$S$2:$S$147</definedName>
    <definedName name="VSTS_d6760eb0_ea3a_4c33_85d6_f85b26745a24_90" hidden="1">Finalizados!$K$2:$K$147</definedName>
    <definedName name="VSTS_d6760eb0_ea3a_4c33_85d6_f85b26745a24_91" hidden="1">Finalizados!$L$2:$L$147</definedName>
    <definedName name="VSTS_d6760eb0_ea3a_4c33_85d6_f85b26745a24_92" hidden="1">Finalizados!$AQ$2:$AQ$147</definedName>
    <definedName name="VSTS_d6760eb0_ea3a_4c33_85d6_f85b26745a24_n1" hidden="1">Finalizados!$AJ$2:$AJ$147</definedName>
    <definedName name="VSTS_d6760eb0_ea3a_4c33_85d6_f85b26745a24_n105" hidden="1">Finalizados!$BB$2:$BB$147</definedName>
    <definedName name="VSTS_d6760eb0_ea3a_4c33_85d6_f85b26745a24_n12" hidden="1">Finalizados!$BD$2:$BD$147</definedName>
    <definedName name="VSTS_d6760eb0_ea3a_4c33_85d6_f85b26745a24_n3" hidden="1">Finalizados!$A$2:$A$147</definedName>
    <definedName name="VSTS_d6760eb0_ea3a_4c33_85d6_f85b26745a24_n33" hidden="1">Finalizados!$AV$2:$AV$147</definedName>
    <definedName name="VSTS_d6760eb0_ea3a_4c33_85d6_f85b26745a24_n35" hidden="1">Finalizados!$BF$2:$BF$147</definedName>
    <definedName name="VSTS_d6760eb0_ea3a_4c33_85d6_f85b26745a24_n4" hidden="1">Finalizados!$Q$2:$Q$147</definedName>
    <definedName name="VSTS_d6760eb0_ea3a_4c33_85d6_f85b26745a24_n7" hidden="1">Finalizados!$AE$2:$AE$147</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<sst xmlns="http://schemas.openxmlformats.org/spreadsheetml/2006/main" count="8180" uniqueCount="1100">
  <si>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</si>
  <si>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</si>
  <si>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</si>
  <si>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</si>
  <si>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</si>
  <si>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</si>
  <si>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</si>
  <si>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</si>
  <si>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</si>
  <si>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</si>
  <si>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</si>
  <si>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</si>
  <si>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</si>
  <si>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</si>
  <si>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</si>
  <si>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</si>
  <si>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</si>
  <si>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</si>
  <si>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</si>
  <si>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</si>
  <si>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</si>
  <si>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</si>
  <si>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</si>
  <si>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</si>
  <si>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</si>
  <si>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</si>
  <si>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</si>
  <si>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</si>
  <si>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</si>
  <si>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</si>
  <si>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</si>
  <si>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</si>
  <si>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</si>
  <si>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</si>
  <si>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</si>
  <si>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</si>
  <si>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</si>
  <si>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</si>
  <si>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</si>
  <si>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</si>
  <si>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</si>
  <si>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</si>
  <si>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</si>
  <si>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</si>
  <si>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</si>
  <si>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</si>
  <si>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</si>
  <si>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</si>
  <si>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</si>
  <si>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</si>
  <si>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</si>
  <si>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</si>
  <si>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</si>
  <si>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</si>
  <si>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</si>
  <si>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</si>
  <si>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</si>
  <si>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</si>
  <si>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</si>
  <si>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</si>
  <si>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</si>
  <si>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</si>
  <si>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</si>
  <si>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</si>
  <si>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</si>
  <si>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</si>
  <si>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</si>
  <si>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</si>
  <si>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</si>
  <si>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</si>
  <si>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</si>
  <si>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</si>
  <si>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</si>
  <si>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</si>
  <si>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</si>
  <si>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</si>
  <si>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</si>
  <si>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</si>
  <si>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</si>
  <si>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</si>
  <si>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</si>
  <si>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</si>
  <si>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</si>
  <si>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</si>
  <si>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</si>
  <si>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</si>
  <si>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</si>
  <si>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</si>
  <si>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</si>
  <si>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</si>
  <si>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</si>
  <si>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</si>
  <si>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</si>
  <si>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</si>
  <si>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</si>
  <si>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</si>
  <si>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</si>
  <si>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</si>
  <si>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</si>
  <si>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</si>
  <si>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</si>
  <si>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</si>
  <si>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</si>
  <si>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</si>
  <si>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</si>
  <si>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</si>
  <si>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</si>
  <si>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</si>
  <si>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</si>
  <si>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</si>
  <si>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</si>
  <si>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</si>
  <si>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</si>
  <si>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</si>
  <si>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</si>
  <si>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</si>
  <si>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</si>
  <si>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</si>
  <si>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</si>
  <si>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</si>
  <si>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</si>
  <si>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</si>
  <si>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</si>
  <si>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</si>
  <si>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</si>
  <si>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</si>
  <si>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</si>
  <si>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</si>
  <si>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</si>
  <si>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</si>
  <si>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</si>
  <si>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</si>
  <si>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</si>
  <si>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</si>
  <si>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</si>
  <si>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</si>
  <si>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</si>
  <si>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</si>
  <si>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</si>
  <si>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</si>
  <si>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</si>
  <si>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</si>
  <si>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</si>
  <si>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</si>
  <si>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</si>
  <si>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</si>
  <si>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</si>
  <si>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</si>
  <si>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</si>
  <si>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</si>
  <si>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</si>
  <si>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</si>
  <si>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</si>
  <si>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</si>
  <si>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</si>
  <si>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</si>
  <si>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</si>
  <si>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</si>
  <si>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</si>
  <si>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</si>
  <si>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</si>
  <si>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</si>
  <si>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</si>
  <si>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</si>
  <si>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</si>
  <si>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</si>
  <si>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</si>
  <si>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</si>
  <si>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</si>
  <si>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</si>
  <si>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</si>
  <si>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</si>
  <si>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</si>
  <si>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</si>
  <si>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</si>
  <si>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</si>
  <si>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</si>
  <si>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</si>
  <si>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</si>
  <si>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</si>
  <si>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</si>
  <si>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</si>
  <si>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</si>
  <si>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</si>
  <si>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</si>
  <si>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</si>
  <si>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</si>
  <si>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</si>
  <si>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</si>
  <si>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</si>
  <si>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</si>
  <si>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</si>
  <si>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</si>
  <si>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</si>
  <si>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</si>
  <si>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</si>
  <si>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</si>
  <si>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</si>
  <si>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</si>
  <si>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</si>
  <si>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</si>
  <si>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</si>
  <si>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</si>
  <si>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</si>
  <si>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</si>
  <si>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</si>
  <si>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</si>
  <si>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</si>
  <si>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</si>
  <si>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</si>
  <si>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</si>
  <si>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</si>
  <si>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</si>
  <si>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</si>
  <si>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</si>
  <si>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</si>
  <si>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</si>
  <si>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</si>
  <si>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</si>
  <si>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</si>
  <si>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</si>
  <si>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</si>
  <si>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</si>
  <si>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</si>
  <si>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</si>
  <si>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</si>
  <si>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</si>
  <si>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</si>
  <si>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</si>
  <si>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</si>
  <si>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</si>
  <si>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</si>
  <si>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</si>
  <si>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</si>
  <si>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</si>
  <si>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</si>
  <si>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</si>
  <si>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</si>
  <si>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</si>
  <si>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</si>
  <si>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</si>
  <si>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</si>
  <si>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</si>
  <si>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</si>
  <si>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</si>
  <si>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</si>
  <si>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</si>
  <si>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</si>
  <si>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</si>
  <si>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Itens com ganhos financeiros (no show, reagendamentos, LAR)</t>
  </si>
  <si>
    <t xml:space="preserve">Solicitação do Amandus. _x000D_
_x000D_
 _x000D_
Necessário levantar o escopo da demanda para implementação. _x000D_
</t>
  </si>
  <si>
    <t>[31389] Faturamento DTC</t>
  </si>
  <si>
    <t>Em Desenvolvimento</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</si>
  <si>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</si>
  <si>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</si>
  <si>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</si>
  <si>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</si>
  <si>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</si>
  <si>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</si>
  <si>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</si>
  <si>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</si>
  <si>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</si>
  <si>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</si>
  <si>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</si>
  <si>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</si>
  <si>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</si>
  <si>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</si>
  <si>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</si>
  <si>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</si>
  <si>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</si>
  <si>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</si>
  <si>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</si>
  <si>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</si>
  <si>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</si>
  <si>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</si>
  <si>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</si>
  <si>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</si>
  <si>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</si>
  <si>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</si>
  <si>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</si>
  <si>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</si>
  <si>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</si>
  <si>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</si>
  <si>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</si>
  <si>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</si>
  <si>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</si>
  <si>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</si>
  <si>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</si>
  <si>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</si>
  <si>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</si>
  <si>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</si>
  <si>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</si>
  <si>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</si>
  <si>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</si>
  <si>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</si>
  <si>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</si>
  <si>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</si>
  <si>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</si>
  <si>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</si>
  <si>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</si>
  <si>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</si>
  <si>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</si>
  <si>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</si>
  <si>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</si>
  <si>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</si>
  <si>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</si>
  <si>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</si>
  <si>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</si>
  <si>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</si>
  <si>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</si>
  <si>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</si>
  <si>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</si>
  <si>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</si>
  <si>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</si>
  <si>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</si>
  <si>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</si>
  <si>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</si>
  <si>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</si>
  <si>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</si>
  <si>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</si>
  <si>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</si>
  <si>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</si>
  <si>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</si>
  <si>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</si>
  <si>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</si>
  <si>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</si>
  <si>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</si>
  <si>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</si>
  <si>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</si>
  <si>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</si>
  <si>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</si>
  <si>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</si>
  <si>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</si>
  <si>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</si>
  <si>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</si>
  <si>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</si>
  <si>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</si>
  <si>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</si>
  <si>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</si>
  <si>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</si>
  <si>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</si>
  <si>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</si>
  <si>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</si>
  <si>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</si>
  <si>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</si>
  <si>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</si>
  <si>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</si>
  <si>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</si>
  <si>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</si>
  <si>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</si>
  <si>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</si>
  <si>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</si>
  <si>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</si>
  <si>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</si>
  <si>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</si>
  <si>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</si>
  <si>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</si>
  <si>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</si>
  <si>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</si>
  <si>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</si>
  <si>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</si>
  <si>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</si>
  <si>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</si>
  <si>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</si>
  <si>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</si>
  <si>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</si>
  <si>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</si>
  <si>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</si>
  <si>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</si>
  <si>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</si>
  <si>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</si>
  <si>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</si>
  <si>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</si>
  <si>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</si>
  <si>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</si>
  <si>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</si>
  <si>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</si>
  <si>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</si>
  <si>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</si>
  <si>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</si>
  <si>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</si>
  <si>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</si>
  <si>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</si>
  <si>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</si>
  <si>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</si>
  <si>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</si>
  <si>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</si>
  <si>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</si>
  <si>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</si>
  <si>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</si>
  <si>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</si>
  <si>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</si>
  <si>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</si>
  <si>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</si>
  <si>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</si>
  <si>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</si>
  <si>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</si>
  <si>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</si>
  <si>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</si>
  <si>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</si>
  <si>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</si>
  <si>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</si>
  <si>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</si>
  <si>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</si>
  <si>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</si>
  <si>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</si>
  <si>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</si>
  <si>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</si>
  <si>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</si>
  <si>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</si>
  <si>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</si>
  <si>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</si>
  <si>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</si>
  <si>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</si>
  <si>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</si>
  <si>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</si>
  <si>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</si>
  <si>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</si>
  <si>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</si>
  <si>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</si>
  <si>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</si>
  <si>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</si>
  <si>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</si>
  <si>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</si>
  <si>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</si>
  <si>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</si>
  <si>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</si>
  <si>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</si>
  <si>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</si>
  <si>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</si>
  <si>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</si>
  <si>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</si>
  <si>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</si>
  <si>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</si>
  <si>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</si>
  <si>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</si>
  <si>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</si>
  <si>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</si>
  <si>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</si>
  <si>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</si>
  <si>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</si>
  <si>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</si>
  <si>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</si>
  <si>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</si>
  <si>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</si>
  <si>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</si>
  <si>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</si>
  <si>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</si>
  <si>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</si>
  <si>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</si>
  <si>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</si>
  <si>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</si>
  <si>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</si>
  <si>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</si>
  <si>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</si>
  <si>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</si>
  <si>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</si>
  <si>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</si>
  <si>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</si>
  <si>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</si>
  <si>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</si>
  <si>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</si>
  <si>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</si>
  <si>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</si>
  <si>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</si>
  <si>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</si>
  <si>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</si>
  <si>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</si>
  <si>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</si>
  <si>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</si>
  <si>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</si>
  <si>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</si>
  <si>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</si>
  <si>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</si>
  <si>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</si>
  <si>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</si>
  <si>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</si>
  <si>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</si>
  <si>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</si>
  <si>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</si>
  <si>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</si>
  <si>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</si>
  <si>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</si>
  <si>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</si>
  <si>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</si>
  <si>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</si>
  <si>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</si>
  <si>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</si>
  <si>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</si>
  <si>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</si>
  <si>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</si>
  <si>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</si>
  <si>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</si>
  <si>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</si>
  <si>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</si>
  <si>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</si>
  <si>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</si>
  <si>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</si>
  <si>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</si>
  <si>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</si>
  <si>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</si>
  <si>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</si>
  <si>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</si>
  <si>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</si>
  <si>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</si>
  <si>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</si>
  <si>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</si>
  <si>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</si>
  <si>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</si>
  <si>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</si>
  <si>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</si>
  <si>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</si>
  <si>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</si>
  <si>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</si>
  <si>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</si>
  <si>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</si>
  <si>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</si>
  <si>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</si>
  <si>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</si>
  <si>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</si>
  <si>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</si>
  <si>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</si>
  <si>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</si>
  <si>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</si>
  <si>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</si>
  <si>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</si>
  <si>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</si>
  <si>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</si>
  <si>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</si>
  <si>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</si>
  <si>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</si>
  <si>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</si>
  <si>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</si>
  <si>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</si>
  <si>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</si>
  <si>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</si>
  <si>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</si>
  <si>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</si>
  <si>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</si>
  <si>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</si>
  <si>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</si>
  <si>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</si>
  <si>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</si>
  <si>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</si>
  <si>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</si>
  <si>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</si>
  <si>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</si>
  <si>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</si>
  <si>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</si>
  <si>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</si>
  <si>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</si>
  <si>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</si>
  <si>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</si>
  <si>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</si>
  <si>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</si>
  <si>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</si>
  <si>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</si>
  <si>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</si>
  <si>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</si>
  <si>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</si>
  <si>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</si>
  <si>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</si>
  <si>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</si>
  <si>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</si>
  <si>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</si>
  <si>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</si>
  <si>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</si>
  <si>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</si>
  <si>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</si>
  <si>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</si>
  <si>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</si>
  <si>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</si>
  <si>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</si>
  <si>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</si>
  <si>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</si>
  <si>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</si>
  <si>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</si>
  <si>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</si>
  <si>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</si>
  <si>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</si>
  <si>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</si>
  <si>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</si>
  <si>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</si>
  <si>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</si>
  <si>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</si>
  <si>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</si>
  <si>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</si>
  <si>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</si>
  <si>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</si>
  <si>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</si>
  <si>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</si>
  <si>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</si>
  <si>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</si>
  <si>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</si>
  <si>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</si>
  <si>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</si>
  <si>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</si>
  <si>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</si>
  <si>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</si>
  <si>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</si>
  <si>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</si>
  <si>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</si>
  <si>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</si>
  <si>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</si>
  <si>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</si>
  <si>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</si>
  <si>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</si>
  <si>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</si>
  <si>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</si>
  <si>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</si>
  <si>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</si>
  <si>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</si>
  <si>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</si>
  <si>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</si>
  <si>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</si>
  <si>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</si>
  <si>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</si>
  <si>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</si>
  <si>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</si>
  <si>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</si>
  <si>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</si>
  <si>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</si>
  <si>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</si>
  <si>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</si>
  <si>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</si>
  <si>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</si>
  <si>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</si>
  <si>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</si>
  <si>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</si>
  <si>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</si>
  <si>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</si>
  <si>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</si>
  <si>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</si>
  <si>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</si>
  <si>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</si>
  <si>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</si>
  <si>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</si>
  <si>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</si>
  <si>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</si>
  <si>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</si>
  <si>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</si>
  <si>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</si>
  <si>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</si>
  <si>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</si>
  <si>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</si>
  <si>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</si>
  <si>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</si>
  <si>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</si>
  <si>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</si>
  <si>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</si>
  <si>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</si>
  <si>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</si>
  <si>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</si>
  <si>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</si>
  <si>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</si>
  <si>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</si>
  <si>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</si>
  <si>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</si>
  <si>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</si>
  <si>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</si>
  <si>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</si>
  <si>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</si>
  <si>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</si>
  <si>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</si>
  <si>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</si>
  <si>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</si>
  <si>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</si>
  <si>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</si>
  <si>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</si>
  <si>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</si>
  <si>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</si>
  <si>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</si>
  <si>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</si>
  <si>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</si>
  <si>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</si>
  <si>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</si>
  <si>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</si>
  <si>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</si>
  <si>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</si>
  <si>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</si>
  <si>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</si>
  <si>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</si>
  <si>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</si>
  <si>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</si>
  <si>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</si>
  <si>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</si>
  <si>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</si>
  <si>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</si>
  <si>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</si>
  <si>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</si>
  <si>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</si>
  <si>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</si>
  <si>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t>
  </si>
  <si>
    <t>RODRIGO FERNANDO GARCIA</t>
  </si>
  <si>
    <t>Department</t>
  </si>
  <si>
    <t>Type</t>
  </si>
  <si>
    <t>Hour</t>
  </si>
  <si>
    <t>RH</t>
  </si>
  <si>
    <t>QSSMS</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</si>
  <si>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</si>
  <si>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</si>
  <si>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</si>
  <si>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</si>
  <si>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</si>
  <si>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</si>
  <si>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</si>
  <si>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</si>
  <si>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</si>
  <si>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</si>
  <si>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</si>
  <si>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Atendimento</t>
  </si>
  <si>
    <t>Faturamento</t>
  </si>
  <si>
    <t>Gate</t>
  </si>
  <si>
    <t>Manutenção</t>
  </si>
  <si>
    <t>Willian Wolfgang Zukas Da Silva</t>
  </si>
  <si>
    <t>Paulo Roberto Hettwer</t>
  </si>
  <si>
    <t>Valencio Fernandes Messias</t>
  </si>
  <si>
    <t>Eri Jonhson De Oliveira Santos</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</si>
  <si>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</si>
  <si>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</si>
  <si>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</si>
  <si>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</si>
  <si>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</si>
  <si>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</si>
  <si>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</si>
  <si>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</si>
  <si>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</si>
  <si>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 xml:space="preserve">_x000D_
Integração de nota fiscal não está criando registros nas tabelas adicionais ref. SMS 2474038.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</si>
  <si>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</si>
  <si>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</si>
  <si>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</si>
  <si>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</si>
  <si>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</si>
  <si>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</si>
  <si>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</si>
  <si>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</si>
  <si>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</si>
  <si>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</si>
  <si>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</si>
  <si>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Joacir Bavaresco</t>
  </si>
  <si>
    <t>Ajuste na API para integrar Notas Fiscais</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</si>
  <si>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</si>
  <si>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</si>
  <si>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</si>
  <si>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</si>
  <si>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</si>
  <si>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</si>
  <si>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</si>
  <si>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</si>
  <si>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</si>
  <si>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</si>
  <si>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</si>
  <si>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</si>
  <si>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</si>
  <si>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</si>
  <si>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</si>
  <si>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</si>
  <si>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</si>
  <si>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</si>
  <si>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</si>
  <si>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</si>
  <si>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[Image]_x000D_
 _x000D_
[Image]_x000D_
 _x000D_
_x000D_
 _x000D_
346038,346045,344529_x000D_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</si>
  <si>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</si>
  <si>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</si>
  <si>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</si>
  <si>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</si>
  <si>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RFB - Erro ListaDeclaracaoAduaneira para endpoints</t>
  </si>
  <si>
    <t>JOAO PEDRO TEOFILO DE CAMPOS</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</si>
  <si>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</si>
  <si>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</si>
  <si>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</si>
  <si>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</si>
  <si>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</si>
  <si>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</si>
  <si>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</si>
  <si>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</si>
  <si>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</si>
  <si>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</si>
  <si>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</si>
  <si>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</si>
  <si>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INTIMAÇÃO; N4; PORTAL; URGENTE</t>
  </si>
  <si>
    <t>NAVIS N4; PORTAL</t>
  </si>
  <si>
    <t>Gate Carga Geral</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</si>
  <si>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</si>
  <si>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</si>
  <si>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</si>
  <si>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</si>
  <si>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</si>
  <si>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</si>
  <si>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</si>
  <si>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</si>
  <si>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</si>
  <si>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RFB - ajuste ScannerAPI para tratamento `HTTP Code response` &lt;-&gt; (ebcorquestrator_service)</t>
  </si>
  <si>
    <t>Impeditivo; PORTAL; URGENTE</t>
  </si>
  <si>
    <t>20261434423 Cliente Britania - Criar parametrização para pular etapa Faturamento</t>
  </si>
  <si>
    <t>20261477448 - Ajuste no sistema do Portal em relação aos certificados digitais</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</si>
  <si>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</si>
  <si>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</si>
  <si>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</si>
  <si>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</si>
  <si>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</si>
  <si>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</si>
  <si>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20261432983 - Ajuste da tela de faturamento QRCode</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</si>
  <si>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</si>
  <si>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</si>
  <si>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</si>
  <si>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</si>
  <si>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</si>
  <si>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</si>
  <si>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</si>
  <si>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</si>
  <si>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</si>
  <si>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</si>
  <si>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</si>
  <si>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</si>
  <si>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</si>
  <si>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20261485604 - Readequação dos certificados</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</si>
  <si>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</si>
  <si>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</si>
  <si>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</si>
  <si>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</si>
  <si>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</si>
  <si>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</si>
  <si>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</si>
  <si>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</si>
  <si>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</si>
  <si>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</si>
  <si>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</si>
  <si>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</si>
  <si>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</si>
  <si>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</si>
  <si>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</si>
  <si>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</si>
  <si>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</si>
  <si>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</si>
  <si>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</si>
  <si>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</si>
  <si>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</si>
  <si>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</si>
  <si>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</si>
  <si>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</si>
  <si>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</si>
  <si>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</si>
  <si>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VSTS_d6760eb0_ea3a_4c33_85d6_f85b26745a24_54-7E-96-96-41-47-FF-B3-A5-D8-32-B1-64-2B-64-B6-06-76-E7-C4-43-32-3E-49-20-A8-54-82-7F-14-88-55</t>
  </si>
  <si>
    <t>Hiago Guimarães Gesteira Nunes</t>
  </si>
  <si>
    <t>20261589525 -  erros no posicionamento de contêineres</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</si>
  <si>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</si>
  <si>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 xml:space="preserve">Cenario criado em HML pelo Bruno Duarte:_x000D_
_x000D_
navio: NVERD182N_x000D_
 _x000D_
</t>
  </si>
  <si>
    <t>20260103889 - Regra de Agendamento Importação: Restrição de Janelas às Sextas-feiras (Pós 17h)</t>
  </si>
  <si>
    <t>ATENDIMENTO; MELHORIA; ORDEM 3; SOLICITANTE: WESLEY</t>
  </si>
  <si>
    <t>20261301541 - HLC COPARN Bookings IMO sem Flag de Periculosidade</t>
  </si>
  <si>
    <t>20260317406 - Ajuste Leitura COPARN: Erro de XML por Múltiplas Linhas IMO (FTX+AAA)</t>
  </si>
  <si>
    <t>00 - Estruturação de Base (Projeto Solicitação de Serviços)</t>
  </si>
  <si>
    <t xml:space="preserve">Objetivo _x000D_
_x000D_
Realizar a estruturação inicial da solução, validar o escopo definido no inicio da idealização do projeto, modelo de dados, fluxo funcional e componentes base necessários para o desenvolvimento das funcionalidades do Portal de Solicitações de Serviço. _x000D_
_x000D_
Escopo _x000D_
_x000D_
 *  Realização de reuniões de alinhamento com usuário-chave para entendimento e validação do fluxo já documentado. _x000D_
 *  Identificação dos fluxos de aprovação e operação. _x000D_
 *  Estruturação do modelo de dados inicial. _x000D_
 *  Criação dos relacionamentos entre entidades. _x000D_
 _x000D_
_x000D_
Protótipos Funcionais _x000D_
_x000D_
Implementação das primeiras versões das telas para validação funcional: _x000D_
_x000D_
 *  Tela de Listagem de Solicitações. _x000D_
 *  Formulário inicial da Solicitação de Serviço. _x000D_
 _x000D_
_x000D_
Entregáveis _x000D_
_x000D_
 *  Estrutura inicial da solução. _x000D_
 *  Primeiras telas para validação. _x000D_
 *  Base preparada para evolução dos próximos cards. _x000D_
 _x000D_
_x000D_
 _x000D_
</t>
  </si>
  <si>
    <t>20260709112 - Portal JBS: Falha no Reconhecimento de NF com Carta de Correção</t>
  </si>
  <si>
    <t>ANÁLISE</t>
  </si>
  <si>
    <t>20260832980 - Serviço de energia e monitoramento DTC</t>
  </si>
  <si>
    <t xml:space="preserve">_x000D_
Bom dia,Por favor verificar porque não esta puxando o serviço de energia e monitoramento no portal DTC.As unidades ONEU9289056, ONEU9289056 são refeer, puxa corretamente no benner, mas não é mostrado ao cliente quando finaliza o faturamento. _x000D_
 _x000D_
 _x000D_
_x000D_
 _x000D_
_x000D_
_x000D_
_x000D_
No Benner está sendo informado corretamente:  _x000D_
[Image]_x000D_
_x000D_
Porém no Portal não:_x000D_
[Image]_x000D_
[Image]_x000D_
[Image]_x000D_
 _x000D_
_x000D_
_x000D_
 _x000D_
</t>
  </si>
  <si>
    <t>20260866517 - Navis N4: Inconsistência na Data de Deadline e Status (Navio MSC Carolina)</t>
  </si>
  <si>
    <t>20260904312 - Portal JBS: Divergência de Status por Recinto (Navio CMA CGM TITUS) DTC</t>
  </si>
  <si>
    <t>20261034609 - Eventos billables não extraídos para Chargeable</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</si>
  <si>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Bom dia,_x000D_
 _x000D_
_x000D_
 _x000D_
Os eventos de cov não estão sendo extraídos para a chargeable_x000D_
 _x000D_
Encaminhar para TI Matriz? 	_x000D_
 _x000D_
Chamado Categorizado? 	Sim_x000D_
 _x000D_
_x000D_
 _x000D_
</t>
  </si>
  <si>
    <t>01 - Tela Principal - Interna (Solicitação de Serviços)</t>
  </si>
  <si>
    <t xml:space="preserve"> _x000D_
_x000D_
Objetivo _x000D_
_x000D_
Evoluir a tela principal de Solicitações de Serviço, implementando novas funcionalidades de consulta, filtros, exibição de informações e adequações estruturais necessárias para suportar o fluxo definido durante as reuniões de refinamento. _x000D_
_x000D_
Escopo _x000D_
_x000D_
Desenvolvimento _x000D_
_x000D_
 *  Implementar a persistência dos dados e aplicar a consulta paginada na tela _x000D_
 *  Modelar e ajustar a estrutura do banco de dados para suportar os novos requisitos. _x000D_
 *  Aplicar ajustes solicitados durante a reunião de aprovação das telas iniciais. _x000D_
 *  Adequação geral dos componentes em tela para melhorar a experiência do usuário_x000D_
_x000D_
 _x000D_
 _x000D_
_x000D_
 _x000D_
_x000D_
 _x000D_
[Image]_x000D_
 _x000D_
</t>
  </si>
  <si>
    <t>02 - Formulário de Solicitação - (Solicitação de Serviços)</t>
  </si>
  <si>
    <t xml:space="preserve"> _x000D_
_x000D_
Objetivo _x000D_
_x000D_
Implementar a persistência completa das novas modalidades de Solicitação de Serviço, incluindo validações, regras de validacao do formulario e adequações definidas durante o levantamento de ajustes. _x000D_
_x000D_
Escopo _x000D_
_x000D_
Desenvolvimento _x000D_
_x000D_
 *  Implementação do fluxo de persistência, já pensando em uma futura integração com o N4 no mesmo trecho. _x000D_
 *  Aplicar validações de formulário, com base nos campos e regras obrigatórias de cada tipo de solicitação. _x000D_
 *  Aplicar ajustes solicitados durante a fase de aprovação das telas iniciais. _x000D_
 _x000D_
_x000D_
_x000D_
 _x000D_
Imagem de exemplo do formulário: _x000D_
_x000D_
[Image]_x000D_
 _x000D_
_x000D_
 *  Esse formulário possui variações anexadas no card. _x000D_
 _x000D_
_x000D_
 _x000D_
_x000D_
 _x000D_
_x000D_
 _x000D_
_x000D_
 _x000D_
_x000D_
 _x000D_
_x000D_
 _x000D_
_x000D_
 _x000D_
</t>
  </si>
  <si>
    <t>03 - Telas de aprovação de Solicitação Serviço - Comex e Ops</t>
  </si>
  <si>
    <t xml:space="preserve">_x000D_
 _x000D_
_x000D_
Objetivo _x000D_
_x000D_
Desenvolver as telas responsáveis pelo processo de análise operacional das Solicitações de Serviço pelos usuários internos. _x000D_
_x000D_
 *  Tela de listagem de solicitação _x000D_
 *  Tela do registro de solicitação:_x000D_
_x000D_
 *  Lista os documentos para revisão e outros campos da solicitação _x000D_
 *  Essa tela serve para a visualização da solicitação (lado do Cliente) e Aprovação por parte dos usuários internos. _x000D_
 _x000D_
_x000D_
 _x000D_
 _x000D_
_x000D_
Escopo _x000D_
_x000D_
Tela de listagem _x000D_
_x000D_
 *  Listagem de solicitações pendentes. _x000D_
 *  Filtros. _x000D_
 *  Paginação. _x000D_
 *  Ordenação. _x000D_
 *  Identificação visual do status. _x000D_
 _x000D_
_x000D_
Tela de análise _x000D_
_x000D_
 *  Visualização completa da solicitação. _x000D_
 *  Aprovação. _x000D_
 *  Reprovação. _x000D_
 *  Registro de justificativas. _x000D_
 *  Histórico de análise. _x000D_
 _x000D_
_x000D_
_x000D_
 _x000D_
[Image]_x000D_
 _x000D_
_x000D_
 _x000D_
_x000D_
 _x000D_
[Image]_x000D_
 _x000D_
_x000D_
 _x000D_
_x000D_
 _x000D_
_x000D_
 _x000D_
_x000D_
 _x000D_
[Image]_x000D_
 _x000D_
</t>
  </si>
  <si>
    <t>04 - Tela de Consulta Pública - Externa (Solicitação de Serviços)</t>
  </si>
  <si>
    <t xml:space="preserve"> _x000D_
_x000D_
Objetivo _x000D_
_x000D_
Desenvolver a tela pública para acompanhamento das Solicitações de Serviço por usuários externos. _x000D_
_x000D_
Escopo _x000D_
_x000D_
Consulta _x000D_
_x000D_
 *  Pesquisa por intervalo de datas. _x000D_
 *  Limitação configurável do período de consulta (ex.: últimas duas semanas). _x000D_
 *  Consulta do status sincronizado com o N4. _x000D_
 *  Implementar fluxo de inserção de documentos/validacao pela tela publica. Ex: Abre a consulta publica -&gt; clica em visualizar -&gt; redirecionado pra tela de login -&gt; abre o registro após o login. _x000D_
 _x000D_
_x000D_
Fluxo público _x000D_
_x000D_
 *  Consulta da solicitação. _x000D_
 *  Acesso ao envio de documentação. _x000D_
 *  Redirecionamento para autenticação. _x000D_
 *  Retorno ao formulário de documentação após login. _x000D_
 _x000D_
_x000D_
_x000D_
 _x000D_
Exemplo de layout (apenas posição dos componentes em tela):_x000D_
[Image]_x000D_
 _x000D_
</t>
  </si>
  <si>
    <t>05 - Persistência / Regras (Solicitação de Serviços)</t>
  </si>
  <si>
    <t xml:space="preserve">_x000D_
 _x000D_
_x000D_
Objetivo _x000D_
_x000D_
Implementar de maneira centralizada todas as regras de negócio responsáveis pela tomada de decisão automática do fluxo operacional das Solicitações de Serviço. _x000D_
_x000D_
Escopo _x000D_
_x000D_
Controle de capacidade _x000D_
_x000D_
 *  Controle diário de disponibilidade (Dois parâmetros: Mercado Diário e Operacional Diário) _x000D_
 *  Parametrização via Portal. _x000D_
 *  Validação durante criação da solicitação. _x000D_
 _x000D_
_x000D_
Engine de decisão _x000D_
_x000D_
Implementação das regras responsáveis por determinar: _x000D_
_x000D_
 *  Aprovação automática (caso de posicionamento manual pela equipe interna). _x000D_
 *  Encaminhamento para análise Comex. _x000D_
 *  Encaminhamento para análise Operação. _x000D_
 _x000D_
_x000D_
Cancelamento _x000D_
_x000D_
Implementação do fluxo de cancelamento considerando: _x000D_
_x000D_
 *  Cancelamento antes do horário limite. _x000D_
 *  Cancelamento após o horário limite. _x000D_
 *  Regras distintas para limite comercial e operacional. _x000D_
 _x000D_
_x000D_
_x000D_
 _x000D_
</t>
  </si>
  <si>
    <t>06 - Integração N4 - (Backend) (Solicitação de Serviços)</t>
  </si>
  <si>
    <t xml:space="preserve"> _x000D_
 *  Groovy para atualizar os     campos no registro da unidade do N4 (ServiceOrder, Service Data e etc) _x000D_
 _x000D_
_x000D_
_x000D_
 _x000D_
</t>
  </si>
  <si>
    <t>2492403 - Ajuste no JSON de Integração Portal x Benner</t>
  </si>
  <si>
    <t xml:space="preserve">Ao realizar a aprovação de empresa no Portal Terminal Itajaí, o sistema tenta integrar os dados da pessoa/empresa com o Benner, porém a integração está sendo recusada devido à ausência da informação de Filial no JSON enviado._x000D_
Conforme evidência em anexo, o Benner retorna a seguinte mensagem de erro: _x000D_
Erro ao integrar a pessoa: O campo “Filial” é obrigatório. Não é possível salvar a entidade “K9_CM_PESSOAPARAMETROS”. Não existe Filial selecionada. _x000D_
[Image]_x000D_
 _x000D_
</t>
  </si>
  <si>
    <t>20261208360 - MSK/MSC COPARN - Inclusão de regra TDT</t>
  </si>
  <si>
    <t xml:space="preserve">Verificar rotina de leitura dos coparn referente aos navios TBN._x000D_
 _x000D_
Armadores MSC e MAERSK. _x000D_
_x000D_
 _x000D_
</t>
  </si>
  <si>
    <t>20261232036 - Duplicidade de Faturamento</t>
  </si>
  <si>
    <t xml:space="preserve">Temos um pedido que foi duplicado no portal. Você consegue nos auxiliar, por favor? Não podemos realizar o cancelamento por aqui, pois isso pode interferir no agendamento._x000D_
[Image]_x000D_
[Image]_x000D_
[Image]_x000D_
 _x000D_
</t>
  </si>
  <si>
    <t>Ajuste Paginação na Listagem de Parametros de Sistema do Portal</t>
  </si>
  <si>
    <t xml:space="preserve">Foi identificado nos testes de Solicitação de Serviços que nos Parametros de Sistema não estava paginando de forma correta a sua listagem. _x000D_
</t>
  </si>
  <si>
    <t>Agendamento Carga Geral</t>
  </si>
  <si>
    <t>API Recintos Carga geral - acesso-veiculos appointment</t>
  </si>
  <si>
    <t>20261355152 - Melhoria DTC, substituição do card1862</t>
  </si>
  <si>
    <t xml:space="preserve">_x000D_
Upgrade SEGREGAÇÃO DTC - PORTAL - DOCUMENTAÇÃO _x000D_
_x000D_
 _x000D_
ANALISANDO OS RECENTES PROBLEMAS NO PORTAL RELLACIONADOS A SEGREGAÇÃO, FAVOR REAVALIAR AS REGRAS APLICADAS._x000D_
 _x000D_
NO PORTAL FATURAMENTO DTC O STATUS "RECUSADO" IMPEDE A SEGREGAÇÃO AUTOMÁTICA ATRAVES DA LEITURA SISCARGA._x000D_
 _x000D_
RECENTEMENTE HOUVE CASO DE CARGA SOLICITADA NO PORTAL COM ESSE STATUS QUE FOI ARMAZENADA PELA JBS E DEVERÁ GERAR CUSTOS DEVIDO AO ERRO SISTÊMICO._x000D_
 _x000D_
_x000D_
 _x000D_
AÇÕES NECESSÁRIAS:_x000D_
 _x000D_
1°FAVOR DESVINCULAR A REGRA QUE IMPEDE A SEGREGAÇÃO QUANDO ESTA COM STATUS RECUSADO;_x000D_
 _x000D_
2° CORRIGIR NOME DA COLUNA DE "N4"  //  PARA: "STATUS UNIDADE"_x000D_
 _x000D_
3°SUBSTITUIÇÃO DO NOMES JÁ APLICADOS NO PORTAL QUE SE ENCOTRAM NA COLUNA "STATUS UNIDADE"("ENCONTRADO-PREVISTO / NÃO ENCONTRADO - NÃO PREVISTO)_x000D_
 _x000D_
4°ALTERAR NOME COLUNA STATUS PARA "STATUS FATURAMENTO"_x000D_
 _x000D_
</t>
  </si>
  <si>
    <t>20261353014 - Boletim de movimentação pendente</t>
  </si>
  <si>
    <t>EDI Receive (Pack List)</t>
  </si>
  <si>
    <t>PROJETO</t>
  </si>
  <si>
    <t>Grade Carga Geral</t>
  </si>
  <si>
    <t>20261412431 - cancelamento automatico do COPARN do armador ONE</t>
  </si>
  <si>
    <t>20261415607 - Recepção CCT travada</t>
  </si>
  <si>
    <t>20261417637 - ajuste agendamento de entrega e/ou retirada de containers com excesso</t>
  </si>
  <si>
    <t xml:space="preserve">_x000D_
Devido as obras no gate 2, necessitamos fazer um ajuste urgente na web que proibida o agendamento de entrega e/ou retirada de containers com excesso, visto que nao temos local de acesso adequeado neste momento. _x000D_
 _x000D_
 _x000D_
_x000D_
 _x000D_
_x000D_
_x000D_
_x000D_
 _x000D_
 _x000D_
_x000D_
</t>
  </si>
  <si>
    <t xml:space="preserve">20261447916 - Cancelamento de Faturamento </t>
  </si>
  <si>
    <t xml:space="preserve">_x000D_
Precisamos que seja cancelado o fluxo de faturamento, uma vez que ficou travado em "solicitado cancelamento" e está impedindo da gente de seguir com o processo._x000D_
 _x000D_
DTA 2604096794_x000D_
[Image]_x000D_
 _x000D_
</t>
  </si>
  <si>
    <t>20261453160 - verificar retorno da logcomex</t>
  </si>
  <si>
    <t xml:space="preserve">20261453336 - Status de Pendente Pagamento. </t>
  </si>
  <si>
    <t xml:space="preserve">Poderia, por gentileza, verificar os pedidos no portal? Eles não estão sendo finalizados, conforme demonstrado no print. O pagamento já foi realizado e, no Benner, a NF já consta como encaminhada. Porém, o pedido permanece pendente de finalização no portal._x000D_
[Image]_x000D_
[Image]_x000D_
 _x000D_
</t>
  </si>
  <si>
    <t xml:space="preserve"> Buscar código e descrição MSC pelo item da fatura</t>
  </si>
  <si>
    <t>Disponibilizar download do EDI em caso de erro</t>
  </si>
  <si>
    <t>Criação da Pipeline EDI_Worker</t>
  </si>
  <si>
    <t>20261495139 Portal - Remover limitação de janela para agendamento de Importação Vazio</t>
  </si>
  <si>
    <t>20261508519 - Imposibilidade de solicitação de Faturamento</t>
  </si>
  <si>
    <t xml:space="preserve">_x000D_
Boa tarde!Estamos com problema no portal, onde o cliente não consegue solicitar o faturamento, da o erro abaixo.Ocorreu um erro na solicitação do faturamento. Tente novamente. Poderiam verificar por gentileza  _x000D_
 _x000D_
_x000D_
_x000D_
[Image]_x000D_
 _x000D_
</t>
  </si>
  <si>
    <t>20261505717 RFB - Veiculo marcado como carregado, porém com peso de balança igual a Tara</t>
  </si>
  <si>
    <t>20261505717 Mensagens de pesagem sem a documentação de referência da carga</t>
  </si>
  <si>
    <t xml:space="preserve">20261512309 - Cobrança de Reprog </t>
  </si>
  <si>
    <t xml:space="preserve">_x000D_
Verificar o motivo da cobrança de reprogramação das unidades ZCSU6624128 JXJU3285009.ZCSU6624128 - agendamento para 03/09 15h, cancelado 02/09 17h34 (não deveria entrar na regra do reprog).Quando eles foram reagendar para o dia 05/09 13h, o sistema gerou custo de reprogramação.Porém, como o cancelamento foi realizado antes do horário da regra, não deveria ter cobrado a reprogramação.O mesmo vale para a segunda unidade. _x000D_
 _x000D_
_x000D_
_x000D_
 _x000D_
</t>
  </si>
  <si>
    <t>Cancelar Pedido com statuso "Solicitado Cancelamento"</t>
  </si>
  <si>
    <t xml:space="preserve">Precisamos cancelar um pedido no portal que está com o status “Solicitado Cancelamento”. O cancelamento automático não foi concluído o cliente realizou o pagamento normalmente em horário comercial, porém a liberação não ocorreu devido a uma trava interna relacionada ao bloqueio da carga OOG (excesso)._x000D_
 _x000D_
_x000D_
 _x000D_
[Image]_x000D_
 _x000D_
</t>
  </si>
  <si>
    <t>20261547886 - Sem status do N4 para os navios  MSC Bianca - QI627A e MSC Rayshmi - QI628A</t>
  </si>
  <si>
    <t xml:space="preserve">Para os navios MSC Bianca - QI627A e MSC Rayshmi - QI628A estamos sem o status do N4, exceto o recinto Movecta do navio Rayshmi (unidades cadastradas). Desta forma, impossibilitado de seguir com a liberação do faturamento via portal._x000D_
[Image]_x000D_
[Image]_x000D_
 _x000D_
</t>
  </si>
  <si>
    <t>20261555370 - Faturamento finalizado, mas permanece no pré agendamento</t>
  </si>
  <si>
    <t xml:space="preserve">Gentileza notar que para o consolidado referente a unidade: FSCU8147023 teve o faturamento finalizado com a programação de retirada para 13/09 ás 23h, porém a unidade ficou na etapa do pré agendamento e não houve confirmação do agendamento no n4._x000D_
[Image]_x000D_
_x000D_
[Image]_x000D_
_x000D_
 _x000D_
</t>
  </si>
  <si>
    <t>20261589678 - Solicitação de Serviço não refletiu no n4</t>
  </si>
  <si>
    <t xml:space="preserve">_x000D_
O posicionamento de contêiner LCL não refletiu no N4 no contêiner MSNU8587867. _x000D_
 _x000D_
_x000D_
_x000D_
 _x000D_
</t>
  </si>
  <si>
    <t xml:space="preserve">Descrição: _x000D_
_x000D_
Campo _x000D_
_x000D_
Valor _x000D_
_x000D_
Número do Chamado _x000D_
_x000D_
20260103889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para implementar uma regra de negócio na visualização de janelas de agendamento de Importação para usuários externos. _x000D_
_x000D_
 *  _x000D_
Regra: Toda Sexta-feira, após as 17:00, o sistema deve permitir a visualização de janelas apenas a partir de Terça-feira. _x000D_
 _x000D_
 *  _x000D_
Motivo: O horário de corte do faturamento é às 17h de sexta. Pré-agendamentos feitos após esse horário só são processados na segunda-feira pela manhã. _x000D_
 _x000D_
 *  _x000D_
Problema Evitado: Se o usuário agendar para segunda-feira (D+0 em relação ao processamento), o agendamento acaba sendo cancelado. Forçar o agendamento para terça-feira evita esse conflito operacional. _x000D_
 _x000D_
 _x000D_
_x000D_
_x000D_
 _x000D_
</t>
  </si>
  <si>
    <t xml:space="preserve"> _x000D_
_x000D_
20261301541 _x000D_
 _x000D_
 _x000D_
_x000D_
 _x000D_
_x000D_
Resposta _x000D_
7.5% _x000D_
 _x000D_
7.5% _x000D_
 _x000D_
 _x000D_
 _x000D_
 _x000D_
_x000D_
Resolução _x000D_
5.2% _x000D_
 _x000D_
5.2%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EDI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N4:EDI _x000D_
_x000D_
Descrição :  _x000D_
_x000D_
Catálogo de Serviços de TI.Unidades.Aplicativo  _x000D_
_x000D_
 _x000D_
 _x000D_
 _x000D_
 _x000D_
 _x000D_
_x000D_
 _x000D_
 _x000D_
_x000D_
Login  _x000D_
_x000D_
leonardosilva-soy _x000D_
 _x000D_
 _x000D_
_x000D_
 _x000D_
 _x000D_
_x000D_
Tipo de usuário  _x000D_
_x000D_
COLABORADOR _x000D_
 _x000D_
 _x000D_
_x000D_
 _x000D_
 _x000D_
_x000D_
Nome Completo  _x000D_
_x000D_
Leonardo Cardoso Da Silva _x000D_
 _x000D_
 _x000D_
_x000D_
 _x000D_
 _x000D_
_x000D_
Email do Solicitante  _x000D_
_x000D_
leonardo.silva@jbsterminais.com.br _x000D_
 _x000D_
 _x000D_
_x000D_
 _x000D_
 _x000D_
_x000D_
CPF  _x000D_
_x000D_
09664384933 _x000D_
 _x000D_
 _x000D_
_x000D_
 _x000D_
 _x000D_
_x000D_
Função  _x000D_
_x000D_
Analista de Documentação Jr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5421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Faz alguns meses que estamos recebendo muitas solicitações de ajuste manual da informação de IMO em bookings da hapag.O envio de EDI por parte do armador vem informando o "UN/NA number" da unidade na posição da comodity, e a informação de carga IMO acaba saindo em todo EDI. _x000D_
 _x000D_
 _x000D_
_x000D_
 _x000D_
 _x000D_
_x000D_
Encaminhar para TI Matriz?  _x000D_
_x000D_
 _x000D_
 _x000D_
 _x000D_
_x000D_
 _x000D_
 _x000D_
_x000D_
Chamado Categorizado?  _x000D_
_x000D_
Sim _x000D_
 _x000D_
_x000D_
 _x000D_
 _x000D_
 _x000D_
 _x000D_
 _x000D_
_x000D_
 _x000D_
 _x000D_
</t>
  </si>
  <si>
    <t xml:space="preserve">Número do Chamado _x000D_
_x000D_
20260317406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de arquivos COPARN. _x000D_
_x000D_
 *  _x000D_
Problema: O arquivo de integração apresenta erro de XML durante a leitura/processamento devido à presença de múltiplas linhas FTX+AAA referentes aos dados IMO (ex: UN 1263)._x000D_
 *  _x000D_
Ação Necessária: Ajustar a conversão ou validação para suportar o recebimento de vários segmentos de produtos IMO repetidos e separados por GID+1 sem interromper o processamento ou quebrar a estrutura do XML._x000D_
 *  _x000D_
Exemplo Fornecido no Chamado:_x000D_
_x000D_
 *  _x000D_
Batch: 289101_x000D_
 *  _x000D_
Trecho do código afetado: Estrutura em loop contendo FTX+AAA+++UN 1263, FTX+AAD+++PAINT, e GID+1._x000D_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</si>
  <si>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falha na validação de documentos fiscais no módulo de agendamento de exportação do Portal JBS Terminais. _x000D_
_x000D_
 *  _x000D_
Problema Relatado: O sistema não está reconhecendo/validando uma Nota Fiscal Eletrônica (NF-e) válida. O erro ocorre especificamente porque a nota possui uma Carta de Correção Eletrônica (CC-e) aprovada e vinculada a ela. _x000D_
 _x000D_
 *  _x000D_
Dados de Referência: _x000D_
_x000D_
 *  _x000D_
Chave de Acesso da NF-e: 42260408810422000134550100003390011727171009_x000D_
 *  _x000D_
Unidade (Contêiner): HASU4092465_x000D_
_x000D_
 *  _x000D_
Ação Necessária: Investigar a rotina de consulta e validação de chaves de acesso no portal/integração. Ajustar o sistema para que ele consiga ler e aceitar o status da NF-e original no banco de dados (ou via API da Sefaz), ignorando ou tratando corretamente a presença de eventos adicionais (como a Carta de Correção) sem bloquear o fluxo de agendamento._x000D_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</si>
  <si>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Erros _x000D_
_x000D_
Prioridade _x000D_
_x000D_
2 - Moderada _x000D_
_x000D_
Status Inicial _x000D_
_x000D_
Agendado _x000D_
_x000D_
Detalhes da Solicitação: _x000D_
Identificação de inconsistências cadastrais e falha na exibição de status no Navis N4, impactando diretamente as rotinas de Faturamento DTC. _x000D_
_x000D_
 *  _x000D_
Problema Relatado: _x000D_
_x000D_
 *  _x000D_
A data de fechamento do deadline registrada para o navio MSC Carolina está incorreta no sistema. _x000D_
 _x000D_
 *  _x000D_
Além da data errada, o campo de status do navio no Navis N4 está completamente em branco (sem nenhuma informação). _x000D_
 _x000D_
 _x000D_
_x000D_
 _x000D_
 *  _x000D_
Dados de Referência: _x000D_
_x000D_
 *  _x000D_
Navio/Vessel: MSC Carolina _x000D_
 _x000D_
 *  _x000D_
Processo Impactado: Faturamento DTC _x000D_
 _x000D_
 _x000D_
_x000D_
 _x000D_
 *  _x000D_
Ação Necessária: _x000D_
_x000D_
 *  _x000D_
Investigar e corrigir a data de fechamento do deadline para o navio MSC Carolina no sistema. _x000D_
 _x000D_
 *  _x000D_
Verificar o motivo do campo de status estar em branco e atualizá-lo corretamente no Navis N4 para que a equipe de faturamento possa prosseguir com os processos pendentes.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</si>
  <si>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Identificação de falha de sincronia de status de unidades entre o Portal JBS Terminais e o Navis N4, bloqueando o cálculo e faturamento de diversos recintos. _x000D_
_x000D_
 *  _x000D_
Dados de Referência: _x000D_
_x000D_
 *  _x000D_
Navio/Viagem: CMA CGM TITUS - VIAGEM 0WO30E1MA _x000D_
 _x000D_
 _x000D_
_x000D_
 _x000D_
 *  _x000D_
Problemas Identificados por Recinto: _x000D_
_x000D_
 *  _x000D_
Barra do Rio, Conexão, Multilog e Poly Terminais: As unidades estão travadas no portal com o status "Encontrados". No entanto, verificado no Navis N4, as cargas já estão "em pátio". Essa dessincronização impossibilita a liberação do cálculo. _x000D_
 _x000D_
 *  _x000D_
Movecta: O status está aparecendo indevidamente como "Recusado", sendo que todas as unidades já estão aprovadas. _x000D_
 _x000D_
 *  _x000D_
Braskarne: Único recinto operando normalmente e com o qual foi possível realizar o faturamento com sucesso via portal. _x000D_
 _x000D_
 _x000D_
_x000D_
 _x000D_
 *  _x000D_
Ação Necessária: _x000D_
 _x000D_
_x000D_
 *  _x000D_
Analisar a integração (API/jobs) que atualiza os status das unidades do Navis N4 para o Portal, identificando o gargalo que está atrasando ou impedindo a atualização para o status "em pátio". _x000D_
 _x000D_
 *  _x000D_
Identificar a falha lógica que está retornando o status de "Recusado" para as unidades aprovadas do recinto Movecta. _x000D_
 _x000D_
 *  _x000D_
Atualizar/sincronizar os status pendentes no Portal para liberar a fila de faturamento da equipe. _x000D_
 _x000D_
 _x000D_
_x000D_
  _x000D_
_x000D_
_x000D_
 _x000D_
</t>
  </si>
  <si>
    <t xml:space="preserve">_x000D_
20261353014 _x000D_
 _x000D_
 _x000D_
_x000D_
 _x000D_
_x000D_
Resposta _x000D_
0.8% _x000D_
 _x000D_
0.8%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BOLETIM MOVIMENTAÇÃO PENDENTEFAVOR VERIFICAR MOTIVO QUE IMPEDE O BOLETIM DO NAVIO - EVER FAITH FINALIZAR.EFAIT036WE _x000D_
 _x000D_
 _x000D_
_x000D_
 _x000D_
 _x000D_
_x000D_
Encaminhar para TI Matriz?  _x000D_
_x000D_
 _x000D_
 _x000D_
 _x000D_
_x000D_
 _x000D_
 _x000D_
_x000D_
Chamado Categorizado?  _x000D_
_x000D_
Sim _x000D_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</si>
  <si>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criar o cancelamento automatico do COPARN do armador ONE quando este vier com navio/vg na linha TDT+20 (TO BE NOMINATED)... mesmo padrão de regra aplicada no armadores MAE/MSC/CMA para com os TBN.batch de exemplo - 4246774TDT+20+002N+1++ONEY:172:20+++UNKNOWN:146:11:TO BE NOMINATED'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</si>
  <si>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_x000D_
 _x000D_
 _x000D_
_x000D_
Login  _x000D_
_x000D_
wandersoncunha-soy _x000D_
 _x000D_
 _x000D_
_x000D_
 _x000D_
 _x000D_
_x000D_
Tipo de usuário  _x000D_
_x000D_
COLABORADOR _x000D_
 _x000D_
 _x000D_
_x000D_
 _x000D_
 _x000D_
_x000D_
Nome Completo  _x000D_
_x000D_
Wanderson De Paula Cunha _x000D_
 _x000D_
 _x000D_
_x000D_
 _x000D_
 _x000D_
_x000D_
Email do Solicitante  _x000D_
_x000D_
wanderson.cunha@jbsterminais.com.br _x000D_
 _x000D_
 _x000D_
_x000D_
 _x000D_
 _x000D_
_x000D_
CPF  _x000D_
_x000D_
13721959710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5432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O processamento automático de recepções de CCT das exportações parou de funcionar. Notamos que a lista começou a acumular e mesmo quando selecionamos a opção de reprocessar acusa sucesso no envio, mas as unidades continuam sem resposta da recepção. O caso mais antigo na lista é CAAU6707920 de hoje, 20/08 09:13h. _x000D_
 _x000D_
_x000D_
 _x000D_
 _x000D_
 _x000D_
 _x000D_
 _x000D_
_x000D_
</t>
  </si>
  <si>
    <t xml:space="preserve">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EXPIRADO - ROTINA BOLETIM FAVOR VERIFICAR RETORNO DA LOGCOMEX DENTRO DA ROTINA DO BOLETIM DE CARGAFuncionário com vigência expirada no cadastro de Operador Portuário. _x000D_
 _x000D_
 _x000D_
_x000D_
 _x000D_
 _x000D_
_x000D_
Encaminhar para TI Matriz?  _x000D_
_x000D_
 _x000D_
 _x000D_
 _x000D_
_x000D_
 _x000D_
 _x000D_
_x000D_
Chamado Categorizado?  _x000D_
_x000D_
 _x000D_
 _x000D_
 _x000D_
 _x000D_
 _x000D_
 _x000D_
 _x000D_
 _x000D_
 _x000D_
 _x000D_
 _x000D_
 _x000D_
_x000D_
</t>
  </si>
  <si>
    <t xml:space="preserve">Solicitação Original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Descrição 	Gentileza revisar a regra do card 20260103889, utilizar a regra somente para IMPORTAÇÃO CHEIO._x000D_
 _x000D_
Não utilizar a regra para nenhum outro serviço._x000D_
 _x000D_
Encaminhar para TI Matriz? 	_x000D_
 _x000D_
Chamado Categorizado? _x000D_
_x000D_
_x000D_
Solicitação específica _x000D_
_x000D_
Necessário revisar todos os ajustes aplicados no card Issue 1655: 20260103889 - Regra de Agendamento Importação: Restrição de Janelas às Sextas-feiras (Pós 17h) para importação vazio, DTC, etc. _x000D_
Precisamos que não haja limitação nenhum de janela para usuários internos e externos após sexta-feira 17H. _x000D_
Testar novamente o fluxo de retirada para garantir que o ajuste de importação vazio não impacta em nenhuma forma o agendamento de retirada.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</si>
  <si>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_x000D_
_x000D_
Análise _x000D_
_x000D_
Veiculo marcado como carregado, porém com peso de balança igual a Tara 12.000 _x000D_
_x000D_
Service _x000D_
_x000D_
 *  Validado que todos os eventos ficarão com taraConjunto == pesoBrutoBalanca e vazio == true _x000D_
 _x000D_
_x000D_
PUE/DE/DRAY OFF _x000D_
_x000D_
Segue um cenário onde para OUTGATE de uma Exportação DRAY OFF, onde a mesma deve ser tratada como uma Importação (DI) onde o container deve ser informado na saída. Está sendo informado atualmente vazio = false (indicando caminhão carregado) e pesoBrutoBalanca = taraConjunto (Como no cenário de saída de Exportação (RE)). _x000D_
{_x000D_
    "tipoOperacao": "I",_x000D_
    "idEvento": "PS_406321",_x000D_
    "dataHoraOcorrencia": "2026-09-01T18:16:07.737-0300",_x000D_
    "dataHoraRegistro": "2026-09-01T18:16:07.737-0300",_x000D_
    "cpfOperadorRegistro": "09711215918",_x000D_
    "contingencia": false,_x000D_
    "codigoRecinto": "9101302",_x000D_
    "placa": "RXS3J75",_x000D_
    "ocrPlaca": true,_x000D_
    "taraConjunto": 15140.0,_x000D_
    "pesoBrutoBalanca": 15140.0,_x000D_
    "capturaAutoPeso": true,_x000D_
    "vazio": false,_x000D_
    "balanca": "B-PG2",_x000D_
    "listaSemirreboque": [_x000D_
        {_x000D_
            "idElemento": "1",_x000D_
            "placa": "UMH9E64",_x000D_
            "ocrPlaca": true_x000D_
        }_x000D_
    ],_x000D_
    "listaNfe": [_x000D_
        {_x000D_
            "chaveNfe": "43260701838723025111550010001970541058141429",_x000D_
            "idElemento": "1"_x000D_
        }_x000D_
    ],_x000D_
    "listaConteineresUld": [_x000D_
        {_x000D_
            "idElemento": "1",_x000D_
            "numeroConteiner": "TEMU9397620",_x000D_
            "tipo": "45R1",_x000D_
            "ocrNumero": true,_x000D_
            "tara": 4630.0_x000D_
        }_x000D_
    ],_x000D_
    "idLogRfb": 1491431_x000D_
}_x000D_
Note também que no Navis N4 as informações de Pesagem estão sendo informadas corretamente._x000D_
Pasted image 20260903170543.png _x000D_
Portanto a solicitação envolve tratar da seguinte forma os tipos de agendamento abaixo:_x000D_
PUE/DE/Pick Up Export DRAY OFF _x000D_
_x000D_
 *  Ingate: vazio = true, sem Container,  pesoBrutaBalanca = taraConjunto _x000D_
 *  Outgate: vazio = false, com Container, pesoBrutaBalanca != taraConjunto _x000D_
 _x000D_
_x000D_
PUI/DI/Picku Up Import _x000D_
_x000D_
 *  Ingate: vazio = true, sem Container,  pesoBrutaBalanca = taraConjunto _x000D_
 *  Outgate: vazio = false, com Container, pesoBrutaBalanca != taraConjunto _x000D_
 _x000D_
_x000D_
DOE/RE/Drop Off Export _x000D_
_x000D_
 *  Ingate: vazio = false, com Container, pesoBrutaBalanca != taraConjunto _x000D_
 *  Outgate: vazio = true, sem Container,  pesoBrutaBalanca = taraConjunto _x000D_
 _x000D_
_x000D_
DOI/RI/Drop Off Import Dray In _x000D_
_x000D_
 *  Ingate: vazio = false, com Container, pesoBrutaBalanca != taraConjunto _x000D_
 *  Outgate: vazio = true, sem Container,  pesoBrutaBalanca = taraConjunto _x000D_
 _x000D_
_x000D_
_x000D_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</si>
  <si>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Análise _x000D_
_x000D_
3.Issue 2181 20261505717 Mensagens de pesagem sem a documentação de referência da carga _x000D_
_x000D_
Realizada análise e validado que a query atual busca de inv_goods via bl_nbr o BL Master. Para casos onde o BL é consolidado e o house em INV_GOODS fica com o número do BL concatenado do caractere "+" não é possível encontrar o BL. _x000D_
Query atual: _x000D_
SELECT_x000D_
    bl.gkey AS BlGkey, _x000D_
    bl.gid AS BlGid, _x000D_
    bl.CUSTDFF_CE_MERCANTE AS CeMercante, _x000D_
    bl.CUSTDFF_BL_MANIFESTO AS BlManifesto _x000D_
FROM crg_bills_of_lading bl _x000D_
INNER JOIN inv_goods g ON g.bl_nbr = bl.nbr _x000D_
INNER JOIN inv_unit unit ON unit.goods = g.gkey _x000D_
WHERE unit.gkey IN( 2232152, 2226487) AND (bl.CUSTDFF_CE_MERCANTE IS NOT NULL AND bl.CUSTDFF_BL_MANIFESTO IS NOT NULL)_x000D_
Validamos também que estava sendo feito os JOINs de forma incorreta, uma vez visto que há uma tabela intermediária que faz a ligação entre as gkeys do BL em INV_GOODS, INV_UNIT e crg_bills_of_lading.  Segue abaixo a Query Para correção: _x000D_
SELECT_x000D_
	--iu.id,_x000D_
	--iu.gkey,_x000D_
	--bl.nbr,_x000D_
    bl.gkey AS BlGkey, _x000D_
    bl.gid AS BlGid, _x000D_
    bl.CUSTDFF_CE_MERCANTE AS CeMercante, _x000D_
    bl.CUSTDFF_BL_MANIFESTO AS BlManifesto_x000D_
FROM inv_unit iu _x000D_
INNER join inv_goods g on g.gkey = iu.goods _x000D_
INNER join crg_bl_goods cbg  on cbg.gds_gkey  = g.gkey _x000D_
INNER join crg_bills_of_lading bl on bl.gkey  = cbg.bl_gkey _x000D_
where 1=1_x000D_
and iu.gkey IN( 2232152, 2226487) AND (bl.CUSTDFF_CE_MERCANTE IS NOT NULL AND bl.CUSTDFF_BL_MANIFESTO IS NOT NULL)_x000D_
Aplicar a query para todos as unidades que busquem listaManifesto. _x000D_
_x000D_
</t>
  </si>
  <si>
    <t>20261242530 - Ajustar regra de Liberação Documental DTA</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</si>
  <si>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</si>
  <si>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</si>
  <si>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</si>
  <si>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CONTROLE; SOLICITANTE: AMANDUS; WEEK_1</t>
  </si>
  <si>
    <t>MSC INVOIC - Setup</t>
  </si>
  <si>
    <t>CONTROLE; EDI; PRIORIZADO; SETUP; SOLICITANTE : EDINALDO</t>
  </si>
  <si>
    <t>20260038198 - EDI COPRAR HLC - Implementação de Leitura EDI COPRAR D00b (Hapag-Lloyd)</t>
  </si>
  <si>
    <t>EDI; SOLICITANTE: GEORGE</t>
  </si>
  <si>
    <t>20260680023 - Lentidão no Portal 24/04/26 [Melhorias listagem agendamentos]</t>
  </si>
  <si>
    <t xml:space="preserve">_x000D_
Boa tarde,gentileza notar que estamos com instabilidade no portal, muita lentidão demais e já tem clientes reclamando. _x000D_
 _x000D_
 _x000D_
_x000D_
 _x000D_
_x000D_
_x000D_
_x000D_
 _x000D_
</t>
  </si>
  <si>
    <t>INCIDENTE; MIGRATION; SOLICITANTE: KATIA; URGENTE</t>
  </si>
  <si>
    <t>EDI COPRAR HLC - Criação de HOLD não impeditivo de embarque</t>
  </si>
  <si>
    <t xml:space="preserve">Realizar análise e criação de um HOLD de embarque do COPRAR, que não bloqueie o embarque das unidades que não estejam liberadas, Porém necessário incluir visualmente na tela de units um indicativo de que não está liberado. Priorizar o uso de Impediments Vessel._x000D_
[Image]_x000D_
_x000D_
sugestão de nome para HOLD/PERMISSION: `HOLD_COPRAR_LOAD` _x000D_
</t>
  </si>
  <si>
    <t>Start repo port-key no TFS</t>
  </si>
  <si>
    <t xml:space="preserve"> *  Add código no repositorio criado no TFS _x000D_
 *  Instalação e configuração do Ambiente na VM Dev _x000D_
 _x000D_
_x000D_
</t>
  </si>
  <si>
    <t>Port-key</t>
  </si>
  <si>
    <t>Atualização de Certificado WildCard (SSL jbsterminais.com.br) DDL 03/08/2026</t>
  </si>
  <si>
    <t>GOS; NAVIS N4; PORTAL; URGENTE</t>
  </si>
  <si>
    <t>20261210079 - RTF - Nova alteração no relatório da NF</t>
  </si>
  <si>
    <t xml:space="preserve">Boa tarde,_x000D_
 _x000D_
Precisamos realizar uma atualização na planilha de Notas Fiscais disponibilizada em nosso portal para os clientes, incluindo um novo campo para exibir as informações da Nota Fiscal de Entrada. Esses dados já estão disponíveis na funcionalidade Gerenciar Agendamento do portal e deverão ser incorporados à planilha._x000D_
 _x000D_
Nome da coluna pode ser NOTA FISCAL DE ENTRADA _x000D_
</t>
  </si>
  <si>
    <t>RTF - 20261246162 : Adicionar mais filtros ao Relatório NFe</t>
  </si>
  <si>
    <t xml:space="preserve">Precisamos realizar as seguintes alterações no relatório de notas fiscais:_x000D_
_x000D_
 _x000D_
Criar um novo campo de filtro por categoria no portal._x000D_
 _x000D_
_x000D_
 _x000D_
Aumentar o limite de linhas exibidas no relatório de notas fiscais. Atualmente, o máximo permitido é de 30.000 linhas, porém precisamos ampliar esse limite para que, ao gerar o relatório, todas as informações sejam contempladas, sem perda de dados._x000D_
 _x000D_
</t>
  </si>
  <si>
    <t>20261243266 - Verificar Agendamentos cancelados (Prime)</t>
  </si>
  <si>
    <t xml:space="preserve">A placa JKW2A11 possuía três agendamentos criados, sendo: HAMU2233979 - 02/07 11H - EXPOTCKU1047282 - 02/07 11H - IMPOTIIU2014862 - 02/07 13H - IMPO Precisamos identificar porque a OCR cancelou o agendamento das 13h, visto que o motorista estava cumprindo o 2º agendamento das 11h _x000D_
 _x000D_
 _x000D_
_x000D_
 _x000D_
_x000D_
_x000D_
_x000D_
 _x000D_
</t>
  </si>
  <si>
    <t>20261257579 - Alterar Certificados digitais conforme anexo</t>
  </si>
  <si>
    <t xml:space="preserve">Substituir certificados digitais pelos novos:Mayckon HoegenJosias Capistranodesabilitar das rotinas:Charlene Splitter_x000D_
 _x000D_
</t>
  </si>
  <si>
    <t>Organização do código no repositório após para estruturar pipeline</t>
  </si>
  <si>
    <t xml:space="preserve">Remoção do Node Modules, e atualização das dependências do código, estruturação da pipeline de deploy. _x000D_
</t>
  </si>
  <si>
    <t>Pipeline de Produção</t>
  </si>
  <si>
    <t xml:space="preserve">Criação de Pipeline em Produção _x000D_
</t>
  </si>
  <si>
    <t>RFB - Nova Regra Acesso-veiculos-out e levantamento de demais endpoints</t>
  </si>
  <si>
    <t>APIPASS; NAVIS N4; URGENTE</t>
  </si>
  <si>
    <t>RFB - LeituraSiscarga - Ajustar rotina para remover leitura do público e levantamento</t>
  </si>
  <si>
    <t xml:space="preserve">RFB - LeituraSiscarga - Ajustar rotina para remover leitura do público e levantamento de possíveis outros trechos que atualizem para PORT dentro do código._x000D_
 _x000D_
</t>
  </si>
  <si>
    <t>N4</t>
  </si>
  <si>
    <t>20261416510 - alteração nos parametros (portal)</t>
  </si>
  <si>
    <t xml:space="preserve"> _x000D_
 _x000D_
 _x000D_
 _x000D_
Descrição: _x000D_
_x000D_
Campo _x000D_
_x000D_
Valor _x000D_
_x000D_
Número do Chamado _x000D_
_x000D_
20260038198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Navis N4 / Atualizar _x000D_
_x000D_
Prioridade _x000D_
_x000D_
4 - Padrão _x000D_
_x000D_
Status Inicial _x000D_
_x000D_
Em Análise _x000D_
_x000D_
Detalhes da Solicitação: _x000D_
Solicitação para viabilidade e implementação da integração do arquivo EDI COPRAR (versão D00b) para o armador Hapag-Lloyd (HLC). _x000D_
_x000D_
 *  _x000D_
Contexto: O formato atual (COPARN) só cobre atualizações até a entrada da unidade no terminal. _x000D_
 _x000D_
 *  _x000D_
Necessidade: Para atualizações após a entrada (pós-gate in), a Hapag utiliza o COPRAR D00b. _x000D_
 _x000D_
 *  _x000D_
Objetivo: Automatizar as alterações de dados dos containers que já estão no pátio. _x000D_
 _x000D_
 *  _x000D_
Referência Externa: Ticket Hapag BSDRLA-85796. _x000D_
 _x000D_
 *  _x000D_
Documentação: Especificação SMDG disponível no link do chamado e arquivos de exemplo em anexo. _x000D_
 _x000D_
 _x000D_
_x000D_
_x000D_
 _x000D_
</t>
  </si>
  <si>
    <t xml:space="preserve">Solicitação _x000D_
_x000D_
Alerta - Certificado Digital_x000D_
_x000D_
 _x000D_
 _x000D_
_x000D_
 _x000D_
_x000D_
 _x000D_
 _x000D_
 _x000D_
 _x000D_
_x000D_
 Mensagem _x000D_
_x000D_
 _x000D_
 _x000D_
 _x000D_
 _x000D_
_x000D_
Prezados._x000D_
Informamos que o certificado 181 - (Wildcard) *.jbsterminais.com.br irá expirar em 03/08/2026._x000D_
_x000D_
Detalhes _x000D_
_x000D_
Empresa Solicitante _x000D_
_x000D_
28 - JBS S.A. - Matriz _x000D_
_x000D_
CNPJ Empresa Solicitante _x000D_
_x000D_
02.916.265/0001-60 _x000D_
_x000D_
Endereço Empresa Solicitante _x000D_
_x000D_
Av. Marginal Direita do Tiete _x000D_
_x000D_
Raiz Certificadora _x000D_
_x000D_
1-Indefinido _x000D_
_x000D_
Modo de Pagamento _x000D_
_x000D_
1-Indefinido _x000D_
_x000D_
Centro de Custo _x000D_
_x000D_
1740 - TI -GERÊNCIA DE TECNOLOGIA _x000D_
_x000D_
Certificado Digital _x000D_
_x000D_
181 - (Wildcard) *.jbsterminais.com.br _x000D_
_x000D_
Servidor _x000D_
_x000D_
Lista GMUD _x000D_
_x000D_
Aplicação _x000D_
_x000D_
Lista GMUD _x000D_
_x000D_
Item _x000D_
_x000D_
1 _x000D_
_x000D_
ThumbPrint _x000D_
_x000D_
28e94bf05cf2d1b4b8067661 _x000D_
_x000D_
Validade _x000D_
_x000D_
irá expirar em 03/08/2026 _x000D_
_x000D_
Dias Aviso _x000D_
_x000D_
20 _x000D_
_x000D_
Hostname _x000D_
_x000D_
Lista GMUD _x000D_
_x000D_
E-mail Responsável Solicitação _x000D_
_x000D_
servidores@jbs.com.br _x000D_
_x000D_
E-mail Responsável Aprovação _x000D_
_x000D_
ronan.oliveira@jbs.com.br _x000D_
_x000D_
Tipo de Licença _x000D_
_x000D_
4 - Certificado Web SSL HTTPS - WildCard _x000D_
_x000D_
Valor _x000D_
_x000D_
1200.00 _x000D_
_x000D_
Empresa Provedora _x000D_
_x000D_
3947185 - BMTECH _x000D_
_x000D_
CNPJ Empresa Provedora _x000D_
_x000D_
53.898.972/0001-01 _x000D_
_x000D_
Telefone Empresa Provedora _x000D_
_x000D_
(48) 8814-1986 _x000D_
_x000D_
E-mail Empresa Provedora _x000D_
_x000D_
YHUL@BMTECHBRASIL.COM.BR _x000D_
_x000D_
Observação _x000D_
_x000D_
CSR: servidores@jbs.com.br NetScaler: cybersecurity@jbs.com.br Common Name: *.jbsterminais.com.br Subject Alternative Names: *.jbsterminais.com.br, jbsterminais.com.br Valid From: July 2, 2025 Valid To: August 3, 2026 Issuer: GlobalSign GCC R6 AlphaSSL CA 2025 Key Size: 2048 bit Serial Number: 28e94bf05cf2d1b4b8067661 _x000D_
_x000D_
Demais Destinatários Notificados _x000D_
_x000D_
servidores@jbs.com.br; cybersecurity@jbs.com.br; dominio@jbs.com.br; eduardo.gomes@jbs.com.br; ronan.oliveira@jbsfriboi.com.br; dominio@jbs.com.br; joacir.bavaresco@seara.com.br; marco.pereira@jbsfriboi.com.br; amandus.muniz@jbsterminais.com.br; ti@jbsterminais.com.br _x000D_
_x000D_
 _x000D_
_x000D_
 _x000D_
_x000D_
_x000D_
• Renovações de Certificado: Fluxo - Service Desk &gt;&gt; JBS SA » 02 - Tecnologia da Informação » 20 - Servidores » 01 – Certificados._x000D_
• Favor anexar o arquivo da requisição (CSR) ao chamado, de acordo com a necessidade da aplicação. Ex: IIS, Exchange, Apache, Netscaler, local, etc._x000D_
• Caso a aplicação passar pelo WAF(Netscaler), alinhar com o time de segurança de onde partirá a CSR(Requisição)._x000D_
• Caso não tiverem acesso ao servidor de origem, solicitar o acesso ao administrador para procederem._x000D_
• Após atualizar o Certificado Digital solicitar a atualização das informações na tela cADSP146 - Certificado Digital._x000D_
• Para Certificados NFE, enviar notificação para ti.processos@jbs.com.br atualizar cadastro d empresas._x000D_
_x000D_
 _x000D_
_x000D_
 _x000D_
 _x000D_
_x000D_
_x000D_
www.jbs.com.br_x000D_
This message was automatically created by our system._x000D_
Please do not reply to this message._x000D_
 _x000D_
_x000D_
 _x000D_
[Image]_x000D_
 _x000D_
_x000D_
 _x000D_
_x000D_
 _x000D_
</t>
  </si>
  <si>
    <t xml:space="preserve">Solicitação _x000D_
_x000D_
 *  Solicitante: Bruno Duarte _x000D_
 *  Data: 30/07/2026 _x000D_
 *  Origem: Informe entre equipe de planejamento e TI _x000D_
 _x000D_
_x000D_
Acesso-veículos (JBST) _x000D_
_x000D_
 *  Tudo que entrou como CODEBA ou seja, está nas praças públicas até o dia de corte, deve ter sua saída enviada com o recinto CODEBA. Definimos em conjunto com o Bruno Duarte que no dia de corte, estas unidades serão definidas com o campo Recinto dentro da Unit como PORT. Assim, a partir da data de corte, será enviado todos os acessos-veiculos-out como recinto CODEBA se: _x000D_
 _x000D_
_x000D_
Recinto == 'PORT' &amp;&amp; LANE IN ('PG1', 'PG2', 'PG3', 'PG4')`._x000D_
Próximos passos: _x000D_
_x000D_
 *  Criar card para adequação acesso-veiculos _x000D_
 *  Revisitar todos os trechos onde utilizamos o recinto CODEBA e remover qualquer menção e utilização deste recinto, exceto no envio de acesso-veiculos-out, onde ainda é necessário informar o recinto CODEBA. _x000D_
 *  Definir regra a cima para envio correto dos movimentos de Acesso-veículos-OUT para unidades que iniciaram o seu processo no nosso terminal a partir do Recinto Público até a data de corte. _x000D_
 _x000D_
_x000D_
Credenciamento-veiculos (APIPASS)  _x000D_
_x000D_
Remover envio hoje feito em duplicidade para o recinto CODEBA a partir da data de corte.  _x000D_
_x000D_
Credenciamento-pessoas (APIPASS)  _x000D_
_x000D_
Remover envio hoje feito em duplicidade para o recinto CODEBA a partir da data de corte.  _x000D_
_x000D_
Representantes (APIPASS)  _x000D_
_x000D_
Remover envio hoje feito em duplicidade para o recinto CODEBA a partir da data de corte.  _x000D_
_x000D_
Acesso-veiculos-appt (APIPASS)  _x000D_
_x000D_
Remover envio hoje feito em duplicidade para o recinto CODEBA a partir da data de corte.  _x000D_
_x000D_
Evento-georreferenciamento  _x000D_
_x000D_
Migrar todos os ativos e áreas existentes apenas no público para o privado. Isso precisa ser feito antes da data de corte. _x000D_
</t>
  </si>
  <si>
    <t xml:space="preserve">_x000D_
 _x000D_
_x000D_
Resposta _x000D_
4.6% _x000D_
 _x000D_
4.6% _x000D_
 _x000D_
 _x000D_
 _x000D_
 _x000D_
_x000D_
Resolução _x000D_
28.7% _x000D_
 _x000D_
28.7%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2008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Precisamos entender se houve uma trava no sistema, referente ao reflexo do evento UNIT_EXPRESS para a unidade MSDU9965540.Ao solicitar o faturamento, o evento não foi imputado no portal.Mesmo atualizando a página, trocando de máquina, saindo e entrando novamente no portal.Dúvida se houve alteração nos parametros, porém em contato com o Rodrigo e o Bruno, não houve alteração nos parametros do portal.Possibilidade de queda do Node N4, que pode ter ocasionado esse atraso? _x000D_
 _x000D_
 _x000D_
_x000D_
 _x000D_
 _x000D_
_x000D_
Encaminhar para TI Matriz?  _x000D_
_x000D_
 _x000D_
 _x000D_
 _x000D_
_x000D_
 _x000D_
 _x000D_
_x000D_
Chamado Categorizado?  _x000D_
_x000D_
Sim _x000D_
 _x000D_
_x000D_
 _x000D_
 _x000D_
 _x000D_
 _x000D_
 _x000D_
_x000D_
</t>
  </si>
  <si>
    <t>20260743952 - Benner: Falha no Faturamento de Movimentações (Iso Codes e Lógica de Remoção)</t>
  </si>
  <si>
    <t xml:space="preserve">Solicitante _x000D_
_x000D_
Zenilde Muller Dionizio _x000D_
_x000D_
Função _x000D_
_x000D_
Analista de Desempenho Operacional Jr _x000D_
_x000D_
Departamento _x000D_
_x000D_
Operações Portuárias - Desempenho Operacional _x000D_
_x000D_
Classificação _x000D_
_x000D_
TI - Unidades / Aplicativo / Benner / Suporte _x000D_
_x000D_
Prioridade _x000D_
_x000D_
3 - Baixa _x000D_
_x000D_
Status Inicial _x000D_
_x000D_
Agendado _x000D_
_x000D_
Detalhes da Solicitação: _x000D_
Relato de falha na integração/cálculo do sistema Benner durante o processo de fechamento de navio para faturamento, resultando em perda de receita (eventos não faturados). _x000D_
_x000D_
 *  _x000D_
Problemas Identificados: _x000D_
_x000D_
 *  _x000D_
Mapeamento de Iso Codes: O sistema não está parametrizado para reconhecer Iso Codes que fogem do padrão tradicional de 20’ e 40’ (exemplos citados: L5G1 e 55G1), impedindo o faturamento dessas unidades._x000D_
 *  _x000D_
Lógica de Eventos de Movimentação (Restow/Remoção): O Benner não está interpretando corretamente sequências específicas de eventos operacionais._x000D_
_x000D_
 *  _x000D_
Cenário de Falha: Unidade de exportação é carregada (Load), depois descarregada para reparo (Discharge) e retorna ao navio (Load)._x000D_
 *  _x000D_
Regra de Negócio Correta: O primeiro movimento deve ser faturado como Load de Exportação, e os demais devem ser faturados como Remoção._x000D_
 *  _x000D_
Comportamento Atual: O sistema não consegue aplicar a lógica de diferenciação, resultando na ausência de cobrança para todos os eventos do ciclo._x000D_
_x000D_
 *  _x000D_
Ação Necessária: Ajustar as regras de tarifação e leitura de eventos no Benner para cadastrar os novos Iso Codes operados pelo terminal e corrigir a árvore de decisão lógica que classifica múltiplos embarques e desembarques de uma mesma unidade, garantindo a cobrança de "Remoção" quando aplicável._x000D_
_x000D_
_x000D_
</t>
  </si>
  <si>
    <t>20260569253 - Remoção de Bloqueio (QR Code)</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</si>
  <si>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</si>
  <si>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</si>
  <si>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</si>
  <si>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</si>
  <si>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</si>
  <si>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20261420199 - UNIFICAÇÃO RECINTOS - LIBERAÇÃO DOCUMENTAL</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</si>
  <si>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</si>
  <si>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20261313229  - Ajuste no Relatório Agendamentos</t>
  </si>
  <si>
    <t xml:space="preserve">20261407057 - Ajuste no filtro da tela gerenciar agendamentos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</si>
  <si>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</si>
  <si>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20261605750 - Divergencia de cáculo</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</si>
  <si>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</si>
  <si>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</si>
  <si>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</si>
  <si>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</si>
  <si>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20260265477 - Divergência de Peso GOS x N4: Inconsistência em Unidades no Planejamento de Navio</t>
  </si>
  <si>
    <t>n4-groovy</t>
  </si>
  <si>
    <t>PORTAL; URGENTE</t>
  </si>
  <si>
    <t>20260426416 - Portal cadastro de veículo não persiste no banco</t>
  </si>
  <si>
    <t xml:space="preserve">Login_x000D_
mariacabral-soy _x000D_
 _x000D_
 _x000D_
Tipo de usuário_x000D_
COLABORADOR _x000D_
 _x000D_
 _x000D_
Nome Completo_x000D_
Maria Julia Pereira Cabral _x000D_
 _x000D_
 _x000D_
Email do Solicitante_x000D_
maria.cabral@jbsterminais.com.br _x000D_
 _x000D_
 _x000D_
CPF_x000D_
16961962726 _x000D_
 _x000D_
 _x000D_
Função_x000D_
Analista Customer Service Jr _x000D_
 _x000D_
 _x000D_
Departamento_x000D_
Operações Portuárias - Customer Service _x000D_
 _x000D_
 _x000D_
Nome Empresa_x000D_
SEARA OPERACOES PORTUARIAS LTDA _x000D_
 _x000D_
 _x000D_
Ramal_x000D_
 _x000D_
 _x000D_
 _x000D_
Telefone_x000D_
 _x000D_
 _x000D_
 _x000D_
Celular para contato_x000D_
 _x000D_
 _x000D_
 _x000D_
Possui canal de voz?_x000D_
Não _x000D_
 _x000D_
 _x000D_
Deseja acesso remoto?_x000D_
Não _x000D_
 _x000D_
 _x000D_
Descrição_x000D_
Prezados, Problema com cadastro de veículo no Portal -  veículo está cadastrado no N4 e no portal não  é localizado.Placa: RYD3E26Quando a transportadora tenta agendar no portal, há impedimento de que o veículo em questão já está cadastrado. _x000D_
 _x000D_
 _x000D_
Encaminhar para TI Matriz?_x000D_
 _x000D_
 _x000D_
 _x000D_
Chamado Categorizado?_x000D_
 _x000D_
_x000D_
 _x000D_
</t>
  </si>
  <si>
    <t>INCIDENTE; URGENTE</t>
  </si>
  <si>
    <t>20260621883 - Portal JBS: Identificação de CNPJ Solicitante Oculto (Protocolo JBS021578)</t>
  </si>
  <si>
    <t>20260640724 -  DTCs por navio, durante o agendamento das unidades vazias</t>
  </si>
  <si>
    <t xml:space="preserve">Após a implementação da retirada de DTCs por navio, durate o agendamento das unidades vazias, o campo ORDEM deixou de ser preenchido com o group code como era feito anteriormente, o que atrapalha na gestão dos agendamentos por parte das transportadoras._x000D_
[Image]_x000D_
 _x000D_
</t>
  </si>
  <si>
    <t>20260659868 -  Unidades não encontradas devido troca da escala.</t>
  </si>
  <si>
    <t xml:space="preserve">FATURAMENTO DTCEstamos liberando o faturamento do navio MSC BREMEN e as unidades estão como NÃO ENCONTRADO no portal. O status foi inicialmente aprovado antes da leitura, porém, após a realização da leitura, passou a constar como reprovado. Consultei o pessoal do Comex, e eles informaram que, por parte deles, está tudo em conformidade._x000D_
[Image]_x000D_
[Image][Image]_x000D_
 _x000D_
</t>
  </si>
  <si>
    <t>20260692974 - Navis N4: Mapeamento do Campo ETB Gate in (Unidade CXDU1910006)</t>
  </si>
  <si>
    <t>Correção LifeCycleInterceptor para replicar RestowReason e Account para ChargeableUnitEvents</t>
  </si>
  <si>
    <t xml:space="preserve">Solicitação _x000D_
_x000D_
Solicitante: Bruno Duarte_x000D_
Data: 2026-05-13 _x000D_
Recebido relato pessoal do Time de Operações (Bruno Duarte e Felipe Brasil) que algumas unidades não replicaram a informação de RestowReason e RestowAccount para ChargeableUnitEvents. _x000D_
 _x000D_
</t>
  </si>
  <si>
    <t>20260864771 - Cobrança de No-Show indevida</t>
  </si>
  <si>
    <t xml:space="preserve">Bom dia,A unidade MSBU5013359 foi gerado dois valores de no-show via portal, porém só foi utilizado 1 ação de reprogramação.Pelo que pudemos observar, o agendamento foi cancelado (cobrou 1º no-show). e no outro dia o agendamento foi reprogramado (cobrou 2º no-show e reprog).Como eu já cobrei o 1º no-show pelo cancelamento, o sistema não deveria seguir com a cobrança do 2º no-show.Precisamos rever essa regra e entender se houve uma falha no entendimento lógico._x000D_
_x000D_
[Image]_x000D_
_x000D_
[Image]_x000D_
 _x000D_
</t>
  </si>
  <si>
    <t>RFB - EqupTypes (custom variform) - add column `RFB TypeISO`</t>
  </si>
  <si>
    <t xml:space="preserve">Necessidade: _x000D_
_x000D_
 _x000D_
Customizar a `EquipType (entity)` de modo a incluir uma column referenciando o atributo `RFB TypeISO`, que deve funcionar como conversor para typeISOs conforme table de domínio estabelecida pela RFB. _x000D_
_x000D_
 _x000D_
Notar que este princípio é semelhante a customização aplicada sobre o variform da entity ref_routing_point | field CUSTDFF_RP_RFB_DEST. _x000D_
_x000D_
 _x000D_
O novo field (RFB TypeISO) deve ser populado com a `ISOId` nativa da entidade `EquipType` _x000D_
_x000D_
 _x000D_
Uma ves implementado, deve-se ajustar o sql script referente aos endpoints que integram este atributo em JSON:_x000D_
_x000D_
inspecao-nao-invasiva -&gt; listaConteinersUld[].tipo _x000D_
acesso-veiculos -&gt; listaConteinersUld[].tipo _x000D_
pesagem-veiculos-cargas -&gt; listaConteinersUld[].tipo _x000D_
embarque-desembarque-navios -&gt; tipoConteiner_x000D_
_x000D_
 _x000D_
</t>
  </si>
  <si>
    <t>20260917737 - Portal JBS: Erro na Localização de Contêiner (DUIMP) e Formatação do Valor CIF</t>
  </si>
  <si>
    <t>20260914921 - Auditoria caso de pré agendamento após a 17:05</t>
  </si>
  <si>
    <t xml:space="preserve">Precisamos de uma auditoria, para descobrir quem realizou o pré agendamento da unidade CAAU9246930 por favor.Há apenas 3 hipótese para esse movimento e precisamos entender qual é o furo.O faturamento foi solicitado 17:18 pelo usuário do cliente. Então de 3 uma:1º Cliente conseguiu agendar mesmo com o parâmetro que expira os pré agendamentos as 17:05 (Rever a regra)2º Alguém do atendimento ajudou e não está lembrando (Questionei o time e ninguém se lembra de ter agendado pós 17:05 que seria o horário da expiração dos pré agendamentos)3º Outra pessoa com usuário interno ajudou (O que estaria errado, pois fugiria do procedimento)_x000D_
[Image]_x000D_
 _x000D_
</t>
  </si>
  <si>
    <t>RFB - inspecao-nao-invasiva -&gt; popular JSON Envio (Logs Rfb)</t>
  </si>
  <si>
    <t xml:space="preserve">Solicitação Amandus Muller para melhora de consulta de log referente ao endpoint `inspecao-nao-invasiva`. _x000D_
_x000D_
 *  [Image]_x000D_
 _x000D_
 _x000D_
_x000D_
 _x000D_
_x000D_
 _x000D_
*Observação: _x000D_
O mesmo princípio foi aplicado ao endpoint `credenciamento-pessoas` _x000D_
_x000D_
 _x000D_
[Image]_x000D_
 _x000D_
_x000D_
 _x000D_
</t>
  </si>
  <si>
    <t>Implementar política de limpeza/limite de registros de log da Billing API</t>
  </si>
  <si>
    <t>20261029606 - Portal JBS: Falha na Leitura de Desembaraço (DU-E) e Atualização de Deadline</t>
  </si>
  <si>
    <t>Incidente 20252186751 - Jenkins - Criar Script para Stop e Start da Lista de Serviços dos servidores do Navis</t>
  </si>
  <si>
    <t>Jenkins; NAVIS N4</t>
  </si>
  <si>
    <t>20261037070 - Portal JBS: Erro Interno ao Recusar Cadastro de Cliente (CNPJ)</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</si>
  <si>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erro sistêmico (Internal Server Error) que impede o fluxo de análise e reprovação de cadastros no sistema. _x000D_
_x000D_
 *  _x000D_
Problema Relatado: O usuário está tentando realizar a recusa do cadastro do cliente associado ao CNPJ 21.024.726/0001-34, porém a ação não é concluída. O sistema exibe uma tela de "Erro interno do servidor" (HTTP 500), bloqueando o andamento do processo pela equipe de Customer Service. _x000D_
 _x000D_
 *  _x000D_
Dados de Referência: _x000D_
_x000D_
 *  _x000D_
CNPJ Alvo: 21.024.726/0001-34_x000D_
 *  _x000D_
Código do Erro (Trace/UUID): 0d5694d4-2ae4-4100-bad4-e679cdf02b93_x000D_
_x000D_
_x000D_
</t>
  </si>
  <si>
    <t xml:space="preserve">20261061239 - Reenviar o registro das movimentações com retorno da logcomex </t>
  </si>
  <si>
    <t xml:space="preserve">BOLETIM - MSMAG626N_x000D_
_x000D_
Favor reenviar o registro das movimentações com retorno da logcomex no portal como " A operação da embarcação deve ser registrada no Siscomex Carga, é impossível prosseguir no registro do boletim." Devido erro no siscomex carga o sistema ficou fora do ar, porém nosso portal continuou a registrar os movimentos._x000D_
 _x000D_
_x000D_
 _x000D_
</t>
  </si>
  <si>
    <t>20261065552 - Navis N4: Erro de Movimentação Inesperada no Boletim RoRo (BYSHA2605)</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</si>
  <si>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Em Analise _x000D_
_x000D_
Detalhes da Solicitação: _x000D_
Investigação de alerta impeditivo incorreto (falso positivo) ou erro de sincronismo de dados na tela de Boletim RoRo. _x000D_
_x000D_
 *  _x000D_
Problema Relatado: Ao tentar processar o boletim do navio RoRo (Vessel Visit BYSHA2605), o sistema está apresentando a mensagem de erro: "Há movimentação inesperada sem movimento justificado". O usuário relata que, ao verificar a tela, não há nenhuma divergência ou movimento pendente visível que corrobore a mensagem de erro, impedindo o avanço do processo. _x000D_
 _x000D_
 _x000D_
_x000D_
_x000D_
</t>
  </si>
  <si>
    <t>RFB - Credenciamento Veiculos - Validar se os campos obrigatorios cadastro veículos</t>
  </si>
  <si>
    <t xml:space="preserve"> *  Acessar o variform do N4 para Cadastro de Trucks e incluir todos os campos necessário para envio de Credenciamento veículos como obrigatório. _x000D_
 *  Acessar o Portal e fazer a mesma do item 1. _x000D_
 _x000D_
_x000D_
[Image]_x000D_
 _x000D_
_x000D_
 _x000D_
Lembrando que não é a apenas o ano que deve ser obrigatório e sim todos os campos necessários. _x000D_
_x000D_
 _x000D_
_x000D_
 _x000D_
</t>
  </si>
  <si>
    <t>RFB - Acesso-veiculos - Verificar casos</t>
  </si>
  <si>
    <t xml:space="preserve"> *  Verificar pq nos eventos abaixo, não está sendo possível localizar a placa. Provavelmente o truck foi deletado, mas o envio deve ter sido enviado mesmo que o Truck tenha sido deletado. (936180, 936242, 947708, 952134) _x000D_
 *  Verificar pq estes eventos estão "Travados" como enviado. (919116,969334,969335,969336,969337) _x000D_
 _x000D_
_x000D_
[Image]_x000D_
 _x000D_
 _x000D_
</t>
  </si>
  <si>
    <t>RFB - Embarque-desembarque-navios - Movimentos não enviados</t>
  </si>
  <si>
    <t xml:space="preserve"> *  Realizar análise afim de validar o motivo do não envio. Provavelmente o erro não é erro de envio, pois os demais endpoints estão sendo enviados normalmente. A demanda consiste em clicar em reenviar e acessar os logs afim de entender o que ocorreu. (949627,949630,949677,970717)_x000D_
_x000D_
[Image] _x000D_
 _x000D_
_x000D_
</t>
  </si>
  <si>
    <t>20261086616 - Portal JBS: Falha na Puxada de Cobrança de Taxa de Câmara Fria</t>
  </si>
  <si>
    <t>20261092780 - Portal JBS: Verificação de Inconsistência em Nota Fiscal (Logcomex)</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</si>
  <si>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Em Analise _x000D_
_x000D_
Detalhes da Solicitação: _x000D_
Investigação e triagem de erro de integração envolvendo processamento de Nota Fiscal e a plataforma Logcomex. _x000D_
_x000D_
 *  _x000D_
Problema Relatado: O usuário encontrou um erro/bloqueio ao processar uma Nota Fiscal e solicita apoio para diagnosticar a origem da falha. O objetivo é mapear se o impedimento foi gerado por uma inconsistência nos dados da própria nota, se é um erro no retorno da API da Logcomex ou se há alguma falha interna no sistema. _x000D_
 _x000D_
 *  _x000D_
Dados de Referência: _x000D_
_x000D_
 *  _x000D_
Chave de Acesso da NF-e: 42260702914460010385550010005684681761122683_x000D_
_x000D_
</t>
  </si>
  <si>
    <t>ANÁLISE; URGENTE</t>
  </si>
  <si>
    <t>20261100372 - Portal JBS: Indisponibilidade da Opção "Confirmar Pagamento"</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</si>
  <si>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Em Analise _x000D_
_x000D_
Detalhes da Solicitação: _x000D_
Investigação de falha na interface/fluxo do Portal JBS Terminais que está bloqueando a baixa financeira e liberação de faturamento. _x000D_
_x000D_
 *  _x000D_
Problema Relatado: A opção (botão) de "Confirmar Pagamento" está indisponível para pedidos que se encontram com o status "Pendente de Pagamento". Como impacto imediato, a equipe não consegue anexar comprovantes de pagamentos manuais (como TED) enviados pelos clientes, impossibilitando a confirmação do pagamento e a consequente liberação do faturamento. _x000D_
 _x000D_
 *  _x000D_
_x000D_
 _x000D_
 _x000D_
 _x000D_
_x000D_
 _x000D_
</t>
  </si>
  <si>
    <t>20261129209 - Portal JBS: Erro de "Parâmetros inválidos" no Boletim RoRo (BRWAY171A)</t>
  </si>
  <si>
    <t xml:space="preserve">Número do Chamado _x000D_
_x000D_
20261129209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Prioridade Baixa _x000D_
_x000D_
Status Inicial _x000D_
_x000D_
Aguardando Especialista _x000D_
_x000D_
Detalhes da Solicitação: _x000D_
Investigação de erro de validação de dados impeditivo durante o processamento de boletim de carga. _x000D_
_x000D_
 *  _x000D_
Problema Relatado: Ao tentar processar o Boletim RoRo para o navio BRASILIA HIGHWAY 171A (Vessel Visit BRWAY171A), o usuário é impedido de prosseguir devido à seguinte mensagem de erro exibida pelo sistema: "Parametros inválidos, favor verificar". _x000D_
 _x000D_
 _x000D_
_x000D_
_x000D_
</t>
  </si>
  <si>
    <t>20261168555 - Ajuste de escala vessel visit  - ODESSUA627R</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</si>
  <si>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boletim de carga - escala divergente_x000D_
 _x000D_
_x000D_
 _x000D_
favor ajustar escala correta no boletim de carga e descarga do navio sob o vessel visit  - ODESSUA627R._x000D_
 _x000D_
_x000D_
 _x000D_
Infelizmente foi cadastrado no Navis N4 a escala incorreta gerando erro no portal._x000D_
 _x000D_
Encaminhar para TI Matriz? 	_x000D_
 _x000D_
Chamado Categorizado? 	Sim_x000D_
 _x000D_
_x000D_
 _x000D_
[Image]_x000D_
 _x000D_
[Image]_x000D_
 _x000D_
_x000D_
 _x000D_
</t>
  </si>
  <si>
    <t>RFB - Lacre SIF enviado incorretamente</t>
  </si>
  <si>
    <t>GROOVY; MIGRATION; URGENTE; VARIFORM</t>
  </si>
  <si>
    <t xml:space="preserve"> RTF - 20261185640 - Alteração do relatório da NF</t>
  </si>
  <si>
    <t xml:space="preserve">Bom dia,_x000D_
 Precisamos realizar uma atualização na planilha de Notas Fiscais disponibilizada em nosso portal para os clientes. Com a migração para o Ambiente Nacional, tornou-se necessário disponibilizar o número da DUE (Declaração Única de Exportação) para consultas e emissão de relatórios. Solicitamos as seguintes alterações na estrutura da planilha: _x000D_
_x000D_
 *  Alterar o nome da coluna Documento (coluna I) para Documento de Importação.    _x000D_
 _x000D_
_x000D_
 *  Incluir uma nova coluna denominada Documento de Exportação "DUE", destinada ao registro do número da DUE  _x000D_
 _x000D_
_x000D_
 *  O número da DUE está disponível no N4, e precisamos que esteja vinculado em todas as NFS de exportação. _x000D_
 _x000D_
_x000D_
 _x000D_
_x000D_
</t>
  </si>
  <si>
    <t>20261220289 - DTA Consolidada</t>
  </si>
  <si>
    <t xml:space="preserve">_x000D_
Não estamos conseguindo gerar o agendamento no portal da unidade MMAU1151217.Erro interno do servidor. Por gentileza, contate o suporte. Código do erro: 06901a8f-fce4-4ef3-a28f-68c2394a19c2Criamos o agendamento no N4, visto que o agendamento era para o dia 21/07 as 09h.Precisamos que ajuste no portal, para que fique de acordo, Faturamento Liberado e a janela das 21/07 as 09h. _x000D_
 _x000D_
_x000D_
[Image]_x000D_
[Image]_x000D_
 _x000D_
</t>
  </si>
  <si>
    <t>INCIDENTE</t>
  </si>
  <si>
    <t>Portal -  Lock Gereneralizado em consultas (Erro Interno do Servidor) [BillingWorker - Confirmação Pagamento]</t>
  </si>
  <si>
    <t xml:space="preserve">Descrição: _x000D_
_x000D_
Campo _x000D_
_x000D_
Valor _x000D_
_x000D_
Número do Chamado _x000D_
_x000D_
20260265477 _x000D_
_x000D_
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Comunicação N4 _x000D_
_x000D_
Prioridade _x000D_
_x000D_
3 - Baixa _x000D_
_x000D_
Status Inicial _x000D_
_x000D_
Em Análise _x000D_
_x000D_
Detalhes da Solicitação: _x000D_
Relato de erro de integração ou sincronia de dados entre o sistema de Gate (GOS) e o TOS (Navis N4). _x000D_
_x000D_
 *  _x000D_
Sintoma: Divergência de peso entre os sistemas. O Vessel Planner identificou unidades com peso significativamente abaixo do esperado durante o planejamento do navio. _x000D_
 _x000D_
 *  _x000D_
Validação: O Trouble Desk confirmou via cross check que os registros no GOS diferem dos registros no N4. _x000D_
 _x000D_
 *  _x000D_
Evidência: O peso registrado no GOS está diferente do peso constado no N4 (EIR anexado no chamado original). _x000D_
 _x000D_
 *  _x000D_
Unidades Afetadas (Exemplos): _x000D_
_x000D_
 *  _x000D_
HAMU2965959 _x000D_
 _x000D_
 *  _x000D_
FSCU7089874 _x000D_
 _x000D_
 *  _x000D_
FANU3555539 _x000D_
 _x000D_
 *  _x000D_
HAMU2853373 _x000D_
 _x000D_
 *  _x000D_
FSCU8432530 _x000D_
 _x000D_
 _x000D_
_x000D_
 _x000D_
 _x000D_
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</si>
  <si>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Investigação de dados faltantes/ocultos na interface do Portal JBS Terminais. _x000D_
_x000D_
 *  _x000D_
Problema Relatado: A equipe de Customer Service não está conseguindo visualizar no portal qual é o CNPJ da empresa solicitante vinculado a um protocolo específico. A informação simplesmente não aparece na tela. _x000D_
 _x000D_
 *  _x000D_
Ação Necessária: 1. Atendimento Imediato (Paliativo): Consultar diretamente no banco de dados qual é o CNPJ solicitante atrelado ao protocolo informado e repassar a informação ao usuário para que ele possa dar andamento ao seu processo. _x000D_
2. Análise de Causa Raiz: Investigar o motivo dessa informação não estar renderizando na tela do portal (possível bug de front-end, erro na query ou falha de integração da API) para correção definitiva. _x000D_
 _x000D_
 *  _x000D_
Dado de Referência: _x000D_
_x000D_
 *  _x000D_
Protocolo: JBS021578_x000D_
 *  _x000D_
Observação: Há um anexo no chamado original demonstrando a tela com a ausência da informação._x000D_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</si>
  <si>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Mapeamento _x000D_
_x000D_
Prioridade _x000D_
_x000D_
2 - Moderada _x000D_
_x000D_
Status Inicial _x000D_
_x000D_
Agendado _x000D_
_x000D_
Detalhes da Solicitação: _x000D_
Dúvida técnica sobre a origem de dados de um campo específico no Navis N4. _x000D_
_x000D_
 *  _x000D_
Problema Relatado: A usuária precisa identificar de qual tabela ou lógica de sistema a unidade em questão está puxando a informação do campo ETB Gate in (com o valor exibido de 2026-03-12 11:00). Ela relata que não conseguiu localizar essa informação diretamente no cadastro de Vessel Visit._x000D_
 *  _x000D_
Dados de Referência:_x000D_
_x000D_
 *  _x000D_
Unidade (Contêiner): CXDU1910006_x000D_
 *  _x000D_
Dado Questionado: ETB Gate in (Valor: 2026-03-12 11:00)_x000D_
_x000D_
 *  _x000D_
Ação Necessária: Realizar o rastreio (troubleshooting/query) no banco de dados ou na interface do Navis N4 para mapear a origem exata desse preenchimento (se vem de um evento específico, integração, ou se o nome do campo na interface difere do banco) e orientar a usuária de onde essa data está sendo extraída._x000D_
_x000D_
_x000D_
</t>
  </si>
  <si>
    <t xml:space="preserve">Número do Chamado _x000D_
_x000D_
20260917737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Relato de duas falhas distintas durante a execução da rotina de Liberação Documental via DUIMP no Portal JBS Terminais. _x000D_
_x000D_
 *  _x000D_
Problemas Relatados: _x000D_
_x000D_
 *  _x000D_
Não Localização do Contêiner: No momento da criação do processo, ao informar o número da DUIMP e a chave de acesso, o sistema consegue retornar a maior parte dos dados da carga, porém não localiza/vincula o contêiner à operação. _x000D_
 _x000D_
 *  _x000D_
Falha de Formatação Numérica: O portal não está realizando a conversão do separador decimal. O valor aduaneiro está sendo importado com ponto (.) em vez de ser convertido para vírgula (,) no campo "Valor CIF". _x000D_
 _x000D_
 _x000D_
_x000D_
 _x000D_
 *  _x000D_
Ação Necessária: _x000D_
_x000D_
 *  _x000D_
Revisar a integração ou a query de extração de dados da DUIMP para identificar por que a tag/campo referente ao número do contêiner não está sendo mapeada para a interface do portal. _x000D_
 _x000D_
 *  _x000D_
Aplicar um tratamento de dados (parse/máscara) no código (back-end ou front-end) para garantir a conversão correta de ponto para vírgula no preenchimento automático do Valor CIF. _x000D_
 _x000D_
 _x000D_
_x000D_
 _x000D_
 _x000D_
_x000D_
_x000D_
 _x000D_
</t>
  </si>
  <si>
    <t xml:space="preserve"> _x000D_
Objetivo: _x000D_
Implementar uma rotina de controle dos registros de log da Billing API, definindo uma política de limpeza automática para evitar o crescimento indefinido da base de logs. _x000D_
Justificativa: _x000D_
Atualmente, os logs gerados pela Billing API não possuem limite de retenção ou rotina de limpeza configurada, permitindo o crescimento contínuo da massa de dados. _x000D_
Esse comportamento pode ocasionar: _x000D_
_x000D_
 *  Crescimento desnecessário da base de dados; _x000D_
 *  Impacto em consultas e análises de logs; _x000D_
 *  Maior consumo de espaço em armazenamento; _x000D_
 *  Dificuldade na investigação de ocorrências devido ao volume excessivo de registros. _x000D_
 _x000D_
_x000D_
Durante reunião realizada em 16/06/2026 às 16h, com a participação de Amandus Muller Muniz e Rafael Marcello, foi definida a necessidade de implementação de uma política de retenção dos logs da Billing API pelo período de 3 meses (90 dias). _x000D_
Necessidade: _x000D_
Implementar uma rotina automática que mantenha disponíveis apenas os registros dos últimos 90 dias, realizando a limpeza dos logs mais antigos de forma controlada. _x000D_
Resultado Esperado: _x000D_
Os registros de log da Billing API deverão permanecer disponíveis para consulta durante o período de 3 meses. Após esse prazo, os registros mais antigos deverão ser removidos automaticamente pela rotina de limpeza. _x000D_
_x000D_
 _x000D_
_x000D_
</t>
  </si>
  <si>
    <t xml:space="preserve">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Relato de falha crítica na integração de desembaraço aduaneiro e na atualização de deadline de navio, resultando em perda de embarque (corte) e reclamação de cliente. Chamado aberto a pedido do Sup. George Baião. _x000D_
_x000D_
 *  _x000D_
Problemas Relatados: _x000D_
_x000D_
 *  _x000D_
Falha na Leitura da DU-E: O contêiner HAMU2955267 foi devidamente desembaraçado no dia 11/06/2026, porém o sistema não reconheceu a liberação da DU-E. Devido a esta falha, a unidade foi cortada do embarque no dia 15/06 e, até o momento, permanece sem a referência da DU-E no Navis N4._x000D_
 *  _x000D_
Falha na Atualização de Deadline: O navio CAPE ALTIUS 624E teve uma alteração no seu prazo de fechamento (deadline prorrogado de 12/06 às 18h para 15/06 às 18h), mas essa atualização não foi reconhecida pelo sistema._x000D_
_x000D_
_x000D_
</t>
  </si>
  <si>
    <t xml:space="preserve"> _x000D_
@AMANDUS e @Danilo, bom dia. _x000D_
Tudo bem? _x000D_
  _x000D_
O comitê de incidentes analisou o incidente nº 20252186751 e solicitou que seja aplicado a implementação de execução do start dos serviços via Jenkins. _x000D_
  _x000D_
Atenciosamente. _x000D_
[assinatura (2)] _x000D_
_x000D_
 _x000D_
_x000D_
 _x000D_
_x000D_
 _x000D_
Bom dia @Gutemberg Ferreira Da Rocha _x000D_
  _x000D_
Ainda não foi atendida, porque temos uma particularidade de sequência para subir os serviços do sistema Navis, que ainda não está claro se o Jenkins vai atender a necessidade. _x000D_
  _x000D_
@Danilo Areco Molina Bettez consegue chamar uma call, com o @Jeferson Fernandes Quinto, para alinhamento sobre essa demanda ? _x000D_
  _x000D_
Atenciosamente _x000D_
  _x000D_
Amandus Muller Muniz _x000D_
JBS Terminais _x000D_
_x000D_
 _x000D_
_x000D_
 _x000D_
_x000D_
 _x000D_
_x000D_
 _x000D_
 _x000D_
 _x000D_
Amandus, boa tarde. _x000D_
  _x000D_
Para a reunião, se você tiver como trazer uma documentação com os itens abaixo: _x000D_
  _x000D_
- trazer o(s) servidor(es) e os serviços. _x000D_
- passar a ordem para “desligar todos os serviços”, isso para saber quando precisar parar tudo antes de reiniciar. E caso ao desligar um serviço precise esperar um tempo para desligar o próximo, nos passe para cada serviço qual seria esse tempo para desligar o próximo com margem de segurança. _x000D_
- passar a ordem para “ligar todos os serviços”, assim saberemos a sequência. E caso ao ligar um serviço precise esperar um tempo para ligar o próximo, nos passe para cada serviço qual seria esse tempo para ligar o próximo com margem de segurança. _x000D_
  _x000D_
Isso ai já ajudará bastante o fluxo da reunião caso nós formos decidir em automatizar algum processo. _x000D_
  _x000D_
Obrigado. _x000D_
 _x000D_
_x000D_
 _x000D_
_x000D_
 _x000D_
_x000D_
 _x000D_
_x000D_
 _x000D_
_x000D_
 _x000D_
Boa noite a todos, _x000D_
 _x000D_
  _x000D_
 _x000D_
Segue abaixo a ordem de Inicialização e Parada do Navis N4. _x000D_
 _x000D_
  _x000D_
 _x000D_
Sobre o questionamento sobre o tempo de espera, na verdade não temos como medir o tempo exato, o que deve ser feito é aguardar até o serviço anterior parar completamente para parar o próximo. No caso da ordem de Inicialização, deve seguir a mesma lógica de aguardar o serviço anterior subir por completo para subir o próximo. _x000D_
 _x000D_
  _x000D_
 _x000D_
 _x000D_
_x000D_
ORDEM PARA INICIAR _x000D_
 _x000D_
_x000D_
 _x000D_
_x000D_
ORDEM PARA LIGAR E DESLIGAR SERVIDOR / SERVIÇOS NAVIS _x000D_
 _x000D_
_x000D_
 _x000D_
_x000D_
ORDEM PARA PARAR _x000D_
 _x000D_
_x000D_
 _x000D_
_x000D_
 _x000D_
_x000D_
 _x000D_
_x000D_
 _x000D_
_x000D_
 _x000D_
_x000D_
 _x000D_
_x000D_
 _x000D_
_x000D_
 _x000D_
_x000D_
1 _x000D_
 _x000D_
_x000D_
 _x000D_
_x000D_
N4 App Host 1_x000D_
10.255.3.233 MTZSVMN4NPRD01 _x000D_
 _x000D_
_x000D_
1 - Iniciar o serviço: "Navis N4 Cluster Node", aguardar 5 minutos. _x000D_
 _x000D_
 _x000D_
_x000D_
 _x000D_
_x000D_
7 _x000D_
 _x000D_
_x000D_
 _x000D_
_x000D_
2 - Acessar http://10.255.3.233:9081/apex/ _x000D_
 _x000D_
 _x000D_
_x000D_
 _x000D_
_x000D_
 _x000D_
_x000D_
3 - Logado no Navis, pressione Crtl+O para abrir o campo de busca. _x000D_
 _x000D_
 _x000D_
_x000D_
 _x000D_
_x000D_
 _x000D_
_x000D_
4 - Busque por: "Cluster Service" e "Node Info Desk" _x000D_
 _x000D_
 _x000D_
_x000D_
 _x000D_
_x000D_
 _x000D_
_x000D_
5 - Na listagem, o "Node1" deve estar verde como ACTIVE _x000D_
 _x000D_
 _x000D_
_x000D_
 _x000D_
_x000D_
 _x000D_
_x000D_
 _x000D_
_x000D_
 _x000D_
_x000D_
 _x000D_
_x000D_
 _x000D_
_x000D_
 _x000D_
_x000D_
2 _x000D_
 _x000D_
_x000D_
 _x000D_
_x000D_
N4 App Host 2_x000D_
10.255.3.234 MTZSVMN4NPRD02 _x000D_
 _x000D_
_x000D_
1 - Iniciar o serviço: "Navis N4 Cluster Node"._x000D_
2 - Na listagem, o "Node2" deve estar verde como ACTIVE _x000D_
 _x000D_
_x000D_
 _x000D_
_x000D_
6 _x000D_
 _x000D_
_x000D_
 _x000D_
_x000D_
 _x000D_
_x000D_
 _x000D_
_x000D_
 _x000D_
_x000D_
 _x000D_
_x000D_
 _x000D_
_x000D_
3 _x000D_
 _x000D_
_x000D_
 _x000D_
_x000D_
N4 App Host 3_x000D_
10.255.3.235 MTZSVMN4NPRD03 _x000D_
 _x000D_
_x000D_
1 - Iniciar o serviço: "Navis N4 Cluster Node"._x000D_
2 - Na listagem, o "Node3" deve estar verde como ACTIVE _x000D_
 _x000D_
_x000D_
 _x000D_
_x000D_
5 _x000D_
 _x000D_
_x000D_
 _x000D_
_x000D_
 _x000D_
_x000D_
 _x000D_
_x000D_
 _x000D_
_x000D_
 _x000D_
_x000D_
 _x000D_
_x000D_
4 _x000D_
 _x000D_
_x000D_
 _x000D_
_x000D_
N4 App Host 4_x000D_
10.255.3.236 MTZSVMN4NPRD04 _x000D_
 _x000D_
_x000D_
1 - Iniciar o serviço: "Navis N4 Cluster Node"._x000D_
2 - Na listagem, o "Node4" deve estar verde como ACTIVE _x000D_
 _x000D_
_x000D_
 _x000D_
_x000D_
4 _x000D_
 _x000D_
_x000D_
 _x000D_
_x000D_
 _x000D_
_x000D_
 _x000D_
_x000D_
 _x000D_
_x000D_
 _x000D_
_x000D_
 _x000D_
_x000D_
5 _x000D_
 _x000D_
_x000D_
 _x000D_
_x000D_
_x000D_
N4 Center node 1_x000D_
10.255.3.231 MTZSVMN4CPRD01 _x000D_
 _x000D_
_x000D_
1 - Iniciar o serviço: "Navis N4 Center Node". _x000D_
 _x000D_
_x000D_
 _x000D_
_x000D_
8 _x000D_
 _x000D_
_x000D_
 _x000D_
_x000D_
5 - Na listagem, o "Center" deve estar verde como ACTIVE _x000D_
 _x000D_
_x000D_
 _x000D_
_x000D_
 _x000D_
_x000D_
6 - Após iniciar, os demais serviços serão gerenciados por esse acesso _x000D_
 _x000D_
_x000D_
 _x000D_
_x000D_
 _x000D_
_x000D_
 _x000D_
_x000D_
 _x000D_
_x000D_
 _x000D_
_x000D_
 _x000D_
_x000D_
 _x000D_
_x000D_
6 _x000D_
 _x000D_
_x000D_
 _x000D_
_x000D_
N4 XPS Bridge_x000D_
10.255.3.238 MTZSVMN4BPRD01 _x000D_
 _x000D_
_x000D_
1 - Iniciar o serviço: "Navis XPS Bridge Daemon" primeiro._x000D_
2 - Na listagem, o "XPSDaemon" deve estar verde como ACTIVE _x000D_
 _x000D_
_x000D_
 _x000D_
_x000D_
2 _x000D_
 _x000D_
_x000D_
 _x000D_
_x000D_
3 - Iniciar o serviço: "Navis XPS", somente após o serviço anterior subir. _x000D_
 _x000D_
_x000D_
 _x000D_
_x000D_
 _x000D_
_x000D_
4 - Na listagem, o "XPS" deve estar verde como ACTIVE _x000D_
 _x000D_
_x000D_
 _x000D_
_x000D_
 _x000D_
_x000D_
 _x000D_
_x000D_
 _x000D_
_x000D_
 _x000D_
_x000D_
 _x000D_
_x000D_
 _x000D_
_x000D_
7 _x000D_
 _x000D_
_x000D_
 _x000D_
_x000D_
N4 ECN4/ECN4Web_x000D_
10.255.3.240 MTZSVMN4WPRD01 _x000D_
 _x000D_
_x000D_
1 - Iniciar o serviço: "Navis ECN4 Daemon", aguardar subir._x000D_
2 - Na listagem, o "ECN4" deve estar verde como ACTIVE _x000D_
 _x000D_
_x000D_
 _x000D_
_x000D_
1 _x000D_
 _x000D_
_x000D_
 _x000D_
_x000D_
3 - Iniciar o serviço: "Navir ECN4web"._x000D_
4 - Na listagem, o "ECN4WEBSERVICE" deve estar verde como ACTIVE _x000D_
 _x000D_
_x000D_
 _x000D_
_x000D_
 _x000D_
_x000D_
 _x000D_
_x000D_
 _x000D_
_x000D_
 _x000D_
_x000D_
 _x000D_
_x000D_
 _x000D_
_x000D_
8 _x000D_
 _x000D_
_x000D_
 _x000D_
_x000D_
N4 Center node 2_x000D_
10.255.3.232_x000D_
Standby MTZSVMN4CPRD02  _x000D_
 _x000D_
_x000D_
1 - Iniciar o serviço: "Navis N4 Center Node". _x000D_
 _x000D_
_x000D_
 _x000D_
_x000D_
3 _x000D_
 _x000D_
_x000D_
 _x000D_
_x000D_
2 - Esse serviço ficará com o status "Initializing" enquanto o Center Node Principal "3.231" estiver rodando. _x000D_
 _x000D_
_x000D_
 _x000D_
_x000D_
 _x000D_
_x000D_
Obs.: "\\10.255.3.232\sistema\N4\SF_N4\amq" é utilizado como ponto comum para o Center Node e o Standby. _x000D_
 _x000D_
_x000D_
 _x000D_
_x000D_
 _x000D_
  _x000D_
 _x000D_
  _x000D_
 _x000D_
Atenciosamente, _x000D_
 _x000D_
_x000D_
 _x000D_
_x000D_
 _x000D_
_x000D_
 _x000D_
Bom dia. _x000D_
  _x000D_
Estou formalizando neste e-mail que foi realizada a apresentação deste incidente ao comitê. _x000D_
  _x000D_
Foi informado que está em fase de homologação/criação de uma automação via Jenkins. Os times de NT e JBS Terminais estão implementando essa configuração, com o objetivo de realizar o desligamento e a subida dos serviços na ordem correta por meio da automação. _x000D_
  _x000D_
Permanece como pendência, por parte da JBS Terminais, a criação dos Scripts necessários e o envio ao time de NT para seguir com a implementação. _x000D_
  _x000D_
Ficou acordado que a data de término para a implementação completa da automação é sexta-feira, 15/07/2026. _x000D_
  _x000D_
Atenciosamente. _x000D_
[assinatura (2)]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</si>
  <si>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Em Analise _x000D_
_x000D_
Detalhes da Solicitação: _x000D_
Investigação de falha na exibição e integração de taxas de faturamento no Portal JBS Terminais. _x000D_
_x000D_
 *  _x000D_
Problema Relatado: A cobrança referente à "taxa de utilização de câmara fria" não está sendo puxada/importada para o portal no momento do faturamento. A usuária validou previamente que a cobrança e os parâmetros de tarifa já estão lançados e configurados corretamente na base. _x000D_
 _x000D_
 *  _x000D_
Impacto: Omissão de valores no faturamento do cliente, gerando risco de perda de receita referente aos serviços prestados de câmara fria e necessidade de intervenção/retrabalho manual. _x000D_
 _x000D_
 _x000D_
_x000D_
_x000D_
</t>
  </si>
  <si>
    <t xml:space="preserve">De: Igor Koth Ribas &lt;Igor.K.Ribas@rfb.gov.br&gt;_x000D_
Enviada em: terça-feira, 14 de julho de 2026 09:09_x000D_
Para: AMANDUS MULLER MUNIZ &lt;amandus.muniz@jbsterminais.com.br&gt;_x000D_
Cc: Alessandro Luiz Barberio &lt;Alessandro.Barberio@rfb.gov.br&gt;; Debora Cristina Debatin Tomasi &lt;debora.d.tomasi@rfb.gov.br&gt;; Gilberto Tragancin &lt;Gilberto.Tragancin@rfb.gov.br&gt;_x000D_
Assunto: JBS TERMINAIS / SEARA / API Recintos / Informações incorretas / Lacre SIF _x000D_
 _x000D_
 _x000D_
  _x000D_
Bom dia. _x000D_
 _x000D_
  _x000D_
 _x000D_
A JBS está transmitindo à API Recintos as informações dos lacres SIF (cargas de proteína animal) de forma incorreta, o que impossibilita a seleção de contêineres para a inspeção com base no local de estufagem. _x000D_
 _x000D_
Conforme a imagem abaixo (lacre SIF azul) o lacre SIF é composto de um número sequencial (0.000.001) e do número do estabelecimento SIF que unitizou a carga no contêiner e aplicou o lacre (000) que teoricamente garante a cadeia de custódia da proteína animal junto ao MAPA: _x000D_
 _x000D_
  _x000D_
 _x000D_
 _x000D_
 _x000D_
 [Image] _x000D_
 _x000D_
  _x000D_
 _x000D_
O atributo API para o número sequencial do lacre SIF é o listaConteineresUld.listaLacres.numero e o atributo API para o número do estabelecimento SIF é o listaConteineresUld.listaLacres.localSif. _x000D_
 _x000D_
  _x000D_
 _x000D_
Conforme extração abaixo referente a alguns contêineres (entradas recentes) com lacre SIF (atributo listaLacres.tipo = SIF), o código SIF está sendo informado dentro do atributo listaLacres.numero concatenado com o número sequencial. _x000D_
 _x000D_
  _x000D_
 _x000D_
  _x000D_
 _x000D_
 _x000D_
 _x000D_
  _x000D_
 _x000D_
Por exemplo, o lacre SIF do contêiner UAEU1244011 está informado com número sequencial 155741SIF1084 e local SIF sem informação (&lt;N/D&gt;), enquanto o correto é informar número sequencial 155741e local SIF 1084. _x000D_
 _x000D_
  _x000D_
 _x000D_
Favor, proceder à transmissão das informações de forma correta a partir de agora. _x000D_
 _x000D_
  _x000D_
 _x000D_
Igor Koth Ribas_x000D_
Analista Tributário da Receita Federal do Brasil_x000D_
Equipe Regional de Repressão Portuária - EQREP_x000D_
Superintendência da Receita Federal do Brasil na 9ª Região Fiscal_x000D_
igor.k.ribas@rfb.gov.br _x000D_
 _x000D_
 _x000D_
_x000D_
 _x000D_
</t>
  </si>
  <si>
    <t xml:space="preserve"> _x000D_
_x000D_
Solicitação _x000D_
_x000D_
 *  Solicitante: @DANTON DA ROSA ABREU  _x000D_
 *  Data: 27/07/2026 _x000D_
 *  Origem: Incidente sexta-feira onde o Time de Faturamento foi afetado e os clients externos. _x000D_
 _x000D_
_x000D_
Sexta-feira, tivemos uma sequência de LOCKS no banco dados, onde algumas telas resultaram no Erro Interno do Servidor, onde validamos em log na aplicação do Portal, tratar-se de timeout com o banco de dados devido a LOCK em tabelas generalizadas. _x000D_
_x000D_
Principais querys LOCKADAS _x000D_
_x000D_
1.Faturamento Importação _x000D_
_x000D_
SELECT [t].[Id], [t].[AdquirenteId], [t].[CNPJAdquirente], [t].[CNPJCliente], [t].[CNPJDespachante], [t].[ClienteId], [t].[CondicaoPagamentoCodigo], [t].[DataCancelamento], [t].[DataConfirmacaoPagamento], [t].[DataCriacao], [t].[DataRecusaSolicitacaoCancelamento], [t].[DataSolicitacaoCancelamento], [t].[DataVisualizacao], [t].[DespachanteId], [t].[DiasPrazo], [t].[FaturamentoIdOrigem], [t].[GrupoEmpresarial], [t].[InformacoesAdicionais], [t].[IntegracaoFaturamentoId], [t].[ModoManual], [t].[MotivoCancelamento], [t].[MotivoRecusaSolicitacaoCancelamento], [t].[MotivoSolicitacaoCancelamento], [t].[NomeAdquirente], [t].[NomeCliente], [t].[NomeDespachante], [t].[NotaFiscalNumero], [t].[NumeroDocumento], [t].[NumeroFaturamento], [t].[OrigemTarifa], [t].[PermiteTarifaTerceiro], [t].[PossuiAdicional], [t].[ProcessoRetiradaId], [t].[QuantidadeConteineresBL], [t].[Status], [t].[TipoDocumento], [t].[TipoFaturamento], [t].[TipoNavegacao], [t].[TokenIntegracaoBenner], [t].[UsuarioCancelamentoId], [t].[UsuarioConfirmacaoPagamentoId], [t].[UsuarioCriacaoId], [t].[UsuarioRecusaSolicitacaoCancelamentoId], [t].[UsuarioSolicitacaoCancelamentoId], [t].[UsuarioVisualizacaoId], [t].[ValorCIF], [t].[ValorFaturamento], [t].[ValorFaturamentoSemDescontos], [f1].[Id], [p].[Id], [l].[Id], [i].[Id], [f2].[Id], [f2].[Armador], [f2].[BillOfLading], [f2].[Conteiner], [f2].[DataDescarga], [f2].[DataRetirada], [f2].[FaturamentoImportacaoId], [f2].[Pendencias], [f2].[TipoConteiner], [f2].[UnitGkey], [f2].[ValorTotalServicos], [f1].[AdquirenteId], [f1].[CNPJAdquirente], [f1].[CNPJCliente], [f1].[CNPJDespachante], [f1].[ClienteId], [f1].[CondicaoPagamentoCodigo], [f1].[DataCancelamento], [f1].[DataConfirmacaoPagamento], [f1].[DataCriacao], [f1].[DataRecusaSolicitacaoCancelamento], [f1].[DataSolicitacaoCancelamento], [f1].[DataVisualizacao], [f1].[DespachanteId], [f1].[DiasPrazo], [f1].[FaturamentoIdOrigem], [f1].[GrupoEmpresarial], [f1].[InformacoesAdicionais], [f1].[IntegracaoFaturamentoId], [f1].[ModoManual], [f1].[MotivoCancelamento], [f1].[MotivoRecusaSolicitacaoCancelamento], [f1].[MotivoSolicitacaoCancelamento], [f1].[NomeAdquirente], [f1].[NomeCliente], [f1].[NomeDespachante], [f1].[NotaFiscalNumero], [f1].[NumeroDocumento], [f1].[NumeroFaturamento], [f1].[OrigemTarifa], [f1].[PermiteTarifaTerceiro], [f1].[PossuiAdicional], [f1].[ProcessoRetiradaId], [f1].[QuantidadeConteineresBL], [f1].[Status], [f1].[TipoDocumento], [f1].[TipoFaturamento], [f1].[TipoNavegacao], [f1].[TokenIntegracaoBenner], [f1].[UsuarioCancelamentoId], [f1].[UsuarioConfirmacaoPagamentoId], [f1].[UsuarioCriacaoId], [f1].[UsuarioRecusaSolicitacaoCancelamentoId], [f1].[UsuarioSolicitacaoCancelamentoId], [f1].[UsuarioVisualizacaoId], [f1].[ValorCIF], [f1].[ValorFaturamento], [f1].[ValorFaturamentoSemDescontos], [p].[DataAtualizacao], [p].[DataCriacao], [p].[EmpresaId], [p].[Etapa], [p].[ProcessoPorta], [p].[ProcessoPrincipalFaturamento], [p].[Protocolo], [p].[Tipo], [p].[UsuarioAtualizacaoId], [p].[UsuarioCriacaoId], [l].[BillOfLading], [l].[BlsVinculados], [l].[CesVinculados], [l].[Consolidado], [l].[DataCriacao], [l].[DataSolicitacaoAprovacao], [l].[DataStatus], [l].[DataVisualizacao], [l].[EmpresaId], [l].[NumeroDocumento], [l].[Observacoes], [l].[ProcessoRetiradaId], [l].[Protocolo], [l].[Status], [l].[Terminal], [l].[TipoDocumento], [l].[UsuarioCriacaoId], [l].[UsuarioSolicitacaoAprovacaoId], [l].[UsuarioStatusId], [l].[UsuarioVisualizacaoId], [i0].[Id], [i0].[DataCriacao], [i0].[DataIntegracao], [i0].[IntegracaoFaturamentoId], [i0].[MensagemErro], [i0].[MensagemSucesso], [i0].[Status], [t0].[Id], [t0].[Armador], [t0].[BillOfLading], [t0].[Conteiner], [t0].[DataDescarga], [t0].[DataRetirada], [t0].[FaturamentoImportacaoId], [t0].[Pendencias], [t0].[TipoConteiner], [t0].[UnitGkey], [t0].[ValorTotalServicos]_x000D_
FROM (_x000D_
    SELECT [f].[Id], [f].[AdquirenteId], [f].[CNPJAdquirente], [f].[CNPJCliente], [f].[CNPJDespachante], [f].[ClienteId], [f].[CondicaoPagamentoCodigo], [f].[DataCancelamento], [f].[DataConfirmacaoPagamento], [f].[DataCriacao], [f].[DataRecusaSolicitacaoCancelamento], [f].[DataSolicitacaoCancelamento], [f].[DataVisualizacao], [f].[DespachanteId], [f].[DiasPrazo], [f].[FaturamentoIdOrigem], [f].[GrupoEmpresarial], [f].[InformacoesAdicionais], [f].[IntegracaoFaturamentoId], [f].[ModoManual], [f].[MotivoCancelamento], [f].[MotivoRecusaSolicitacaoCancelamento], [f].[MotivoSolicitacaoCancelamento], [f].[NomeAdquirente], [f].[NomeCliente], [f].[NomeDespachante], [f].[NotaFiscalNumero], [f].[NumeroDocumento], [f].[NumeroFaturamento], [f].[OrigemTarifa], [f].[PermiteTarifaTerceiro], [f].[PossuiAdicional], [f].[ProcessoRetiradaId], [f].[QuantidadeConteineresBL], [f].[Status], [f].[TipoDocumento], [f].[TipoFaturamento], [f].[TipoNavegacao], [f].[TokenIntegracaoBenner], [f].[UsuarioCancelamentoId], [f].[UsuarioConfirmacaoPagamentoId], [f].[UsuarioCriacaoId], [f].[UsuarioRecusaSolicitacaoCancelamentoId], [f].[UsuarioSolicitacaoCancelamentoId], [f].[UsuarioVisualizacaoId], [f].[ValorCIF], [f].[ValorFaturamento], [f].[ValorFaturamentoSemDescontos], CASE_x000D_
        WHEN [f].[Status] &lt;&gt; 0 THEN CAST(1 AS bit)_x000D_
        ELSE CAST(0 AS bit)_x000D_
    END AS [c], CASE_x000D_
        WHEN [f].[Status] = 0 THEN (_x000D_
            SELECT MIN([f0].[DataRetirada])_x000D_
            FROM [FaturamentoImportacaoItem] AS [f0]_x000D_
            WHERE [f].[Id] = [f0].[FaturamentoImportacaoId])_x000D_
        ELSE NULL_x000D_
    END AS [c0], CASE_x000D_
        WHEN [f].[Status] = 0 THEN [f].[DataCriacao]_x000D_
        ELSE NULL_x000D_
    END AS [c1], CASE_x000D_
        WHEN [f].[Status] &lt;&gt; 0 THEN [f].[DataCriacao]_x000D_
        ELSE NULL_x000D_
    END AS [c2]_x000D_
    FROM [FaturamentoImportacao] AS [f]_x000D_
    ORDER BY CASE_x000D_
        WHEN [f].[Status] &lt;&gt; 0 THEN CAST(1 AS bit)_x000D_
        ELSE CAST(0 AS bit)_x000D_
    END, CASE_x000D_
        WHEN [f].[Status] = 0 THEN (_x000D_
            SELECT MIN([f0].[DataRetirada])_x000D_
            FROM [FaturamentoImportacaoItem] AS [f0]_x000D_
            WHERE [f].[Id] = [f0].[FaturamentoImportacaoId])_x000D_
        ELSE NULL_x000D_
    END, CASE_x000D_
        WHEN [f].[Status] = 0 THEN [f].[DataCriacao]_x000D_
        ELSE NULL_x000D_
    END, CASE_x000D_
        WHEN [f].[Status] &lt;&gt; 0 THEN [f].[DataCriacao]_x000D_
        ELSE NULL_x000D_
    END DESC_x000D_
    OFFSET @__p_0 ROWS FETCH NEXT @__p_1 ROWS ONLY_x000D_
) AS [t]_x000D_
LEFT JOIN [FaturamentoImportacao] AS [f1] ON [t].[FaturamentoIdOrigem] = [f1].[Id]_x000D_
LEFT JOIN [ProcessosRetirada] AS [p] ON [t].[ProcessoRetiradaId] = [p].[Id]_x000D_
LEFT JOIN [LiberacaoDocumental] AS [l] ON [p].[Id] = [l].[ProcessoRetiradaId]_x000D_
LEFT JOIN [IntegracaoFaturamentos] AS [i] ON [t].[IntegracaoFaturamentoId] = [i].[Id]_x000D_
LEFT JOIN [FaturamentoImportacaoItem] AS [f2] ON [t].[Id] = [f2].[FaturamentoImportacaoId]_x000D_
LEFT JOIN [IntegracaoFaturamentoHistoricos] AS [i0] ON [i].[Id] = [i0].[IntegracaoFaturamentoId]_x000D_
LEFT JOIN (_x000D_
    SELECT [t1].[Id], [t1].[Armador], [t1].[BillOfLading], [t1].[Conteiner], [t1].[DataDescarga], [t1].[DataRetirada], [t1].[FaturamentoImportacaoId], [t1].[Pendencias], [t1].[TipoConteiner], [t1].[UnitGkey], [t1].[ValorTotalServicos]_x000D_
    FROM (_x000D_
        SELECT [f3].[Id], [f3].[Armador], [f3].[BillOfLading], [f3].[Conteiner], [f3].[DataDescarga], [f3].[DataRetirada], [f3].[FaturamentoImportacaoId], [f3].[Pendencias], [f3].[TipoConteiner], [f3].[UnitGkey], [f3].[ValorTotalServicos], ROW_NUMBER() OVER(PARTITION BY [f3].[FaturamentoImportacaoId] ORDER BY [f3].[Id]) AS [row]_x000D_
        FROM [FaturamentoImportacaoItem] AS [f3]_x000D_
    ) AS [t1]_x000D_
    WHERE [t1].[row] &lt;= 1_x000D_
) AS [t0] ON [t].[Id] = [t0].[FaturamentoImportacaoId]_x000D_
_x000D_
2. Agendamento Retirada _x000D_
_x000D_
SELECT COUNT(*)_x000D_
FROM [ProcessosRetirada] AS [p]_x000D_
LEFT JOIN [LiberacaoDocumental] AS [l] ON [p].[Id] = [l].[ProcessoRetiradaId]_x000D_
LEFT JOIN [Empresas] AS [e] ON [l].[EmpresaId] = [e].[Id]_x000D_
LEFT JOIN [LiberacaoDi] AS [l0] ON [l].[Id] = [l0].[LiberacaoDocumentalId]_x000D_
LEFT JOIN [LiberacaoDta] AS [l1] ON [l].[Id] = [l1].[LiberacaoDocumentalId]_x000D_
LEFT JOIN [LiberacaoCe] AS [l2] ON [l].[Id] = [l2].[LiberacaoDocumentalId]_x000D_
LEFT JOIN [LiberacaoDuimp] AS [l3] ON [l].[Id] = [l3].[LiberacaoDocumentalId]_x000D_
WHERE [p].[EmpresaId] = @__request_EmpresaId_0 OR EXISTS (_x000D_
    SELECT 1_x000D_
    FROM [Agendamentos] AS [a]_x000D_
    WHERE [p].[Id] = [a].[ProcessoRetiradaId] AND [a].[EmpresaId] = @__request_EmpresaId_0) OR EXISTS (_x000D_
    SELECT 1_x000D_
    FROM [LiberacaoDocumentalUnidades] AS [l4]_x000D_
    WHERE [l].[Id] IS NOT NULL AND [l].[Id] = [l4].[LiberacaoDocumentalId] AND [l4].[TransportadoraId] = @__request_EmpresaId_0 AND NOT EXISTS (_x000D_
        SELECT 1_x000D_
        FROM [Agendamentos] AS [a0]_x000D_
        WHERE [p].[Id] = [a0].[ProcessoRetiradaId] AND [a0].[Container] = [l4].[Unidade])) OR EXISTS (_x000D_
    SELECT 1_x000D_
    FROM [FaturamentoImportacao] AS [f]_x000D_
    WHERE [p].[Id] = [f].[ProcessoRetiradaId] AND [f].[CNPJCliente] IN (_x000D_
        SELECT [c].[value]_x000D_
        FROM OPENJSON(@__CnpjClientes_1) WITH ([value] nvarchar(20) '$') AS [c]_x000D_
    )) OR [e].[Cnpj] IN (_x000D_
    SELECT [c0].[value]_x000D_
    FROM OPENJSON(@__CnpjClientes_1_1) WITH ([value] nvarchar(20) '$') AS [c0]_x000D_
) OR [l0].[ImportadorCnpj] IN (_x000D_
    SELECT [c1].[value]_x000D_
    FROM OPENJSON(@__CnpjClientes_1) WITH ([value] nvarchar(20) '$') AS [c1]_x000D_
) OR [l1].[ImportadorCpfCnpj] IN (_x000D_
    SELECT [c2].[value]_x000D_
    FROM OPENJSON(@__CnpjClientes_1) WITH ([value] nvarchar(20) '$') AS [c2]_x000D_
) OR [l2].[ConsignatarioCnpj] IN (_x000D_
    SELECT [c3].[value]_x000D_
    FROM OPENJSON(@__CnpjClientes_1_2) WITH ([value] nvarchar(256) '$') AS [c3]_x000D_
) OR [l3].[ImportadorCnpj] IN (_x000D_
    SELECT [c4].[value]_x000D_
    FROM OPENJSON(@__CnpjClientes_1_2) WITH ([value] nvarchar(256) '$') AS [c4]_x000D_
) _x000D_
 _x000D_
_x000D_
Principais ações desta Issue _x000D_
_x000D_
A demanda consiste nos seguintes passos: _x000D_
_x000D_
 *  Revisar todas os Selects do Portal que não resultam em updates indiretamente e incluir WITH (NOLOCK). _x000D_
 *  Revisar os arquivos de LOGs do Portal de Produção a partir de 24/07/2026 17:00 _x000D_
 *  Revisar a arquitetura do Worker do faturamento, afim de validar se o LOCK é feito em apenas 1 registro ou todos em memória. _x000D_
 *  Revisar outros Workers que possam resultar em LOCKs generalizados no banco de dados. _x000D_
 _x000D_
_x000D_
Análise _x000D_
_x000D_
 *  Por:  _x000D_
 _x000D_
_x000D_
:: Descreva de forma sucinta o que foi investigado e descoberto, bem como a solução proposta. _x000D_
_x000D_
Solução _x000D_
_x000D_
 *  Por:  _x000D_
 _x000D_
_x000D_
:: Descreva a solução que foi elaborada. Use, na medida do possível, prints de telas (incluindo janelas e rodapés para mostrar SO, navegador, versão, etc) que evidenciem o que foi feito. Links também são muito úteis. _x000D_
_x000D_
Testes _x000D_
_x000D_
 *  Por:  _x000D_
 _x000D_
_x000D_
:: Evidencie a realização de testes no ambiente de desenvolvimento e/ou de testes com prints e dados resultantes. _x000D_
_x000D_
Homologação _x000D_
_x000D_
 *  Por:  _x000D_
 _x000D_
_x000D_
:: Evidencie a realização de testes no ambiente de homologação. _x000D_
_x000D_
Produção _x000D_
_x000D_
 *  Por:  _x000D_
 _x000D_
_x000D_
:: Informe informações da publicação e evidencie a execução em ambiente de produção. _x000D_
_x000D_
 _x000D_
 _x000D_
 _x000D_
</t>
  </si>
  <si>
    <t>20252075162 - Relatório Unidades Exportação com dados incorretos</t>
  </si>
  <si>
    <t xml:space="preserve">20261631043 - ERRO AO CRIAR SOLICITAÇÃO DE LIBERAÇÃO DOCUMENTAL - DUIMP </t>
  </si>
  <si>
    <t xml:space="preserve">FAVOR VERIFICAR POIS OS CLIENTES TEM APRESENTADO CASOS DE DUIMPS COM VÁRIOS ITENS DE CARGA QUE PODEM ESTA GERANDO TIME OUT OU MESMO O PORTAL, POIS EM CONSULTA VIA API LOGCOMEX OBTIVE O RETORNO RÁPIDO DAS INFORMAÇÕES MEDIANTE CHAVE DE ACESSO:https://api.logcomex.com.br/v2/get_duimp_consulta_publica?api_key=ac5bfa4ec949846972e3fe6778a7d54a&amp;numero_duimp=26BR00016862946&amp;chave_acesso=26Nas015028882&amp;formato_retorno=xml_duimp&amp;get_itens=1_x000D_
 _x000D_
</t>
  </si>
  <si>
    <t>RFB - Areas -&gt; ajuste sob variáveis em referencia a blocks internos</t>
  </si>
  <si>
    <t xml:space="preserve">Nova rule implementada pelo departamento operacional quanto a distribuição das propriedades do módulo `yard blocks`, requer ajuste sob a definição atual setada em source code._x000D_
_x000D_
Propriedades:_x000D_
def areaA = ["1A","1B","1C","2A","2B","2C","2D","2E","2F","3A","3B","4C"] as Set_x000D_
_x000D_
def areaIMO = ["1E","1D","4S"] as Set_x000D_
_x000D_
def areaB = [ "5A","5B","5C","5D","5E","5F","6A","6B","6C","6D","7A","7B","PA","PB","PC","PD","PE","PF",_x000D_
              "PG","PH","PI","PJ","PK","PQ","PR","PS","PT","PX","PV","PO","PP","VA","VB","VC","VD","VE",_x000D_
              "VG","VF","P3","P4"] as Set	_x000D_
_x000D_
def areaC = ["8A,8B,8C,8D,9A,9B,9C,9D] as Set_x000D_
_x000D_
 _x000D_
Methods em que esta nova definição repercutirá:_x000D_
 _x000D_
_x000D_
 *  processarCarregamentoLotes  _x000D_
 *  posicaoVeicuoPatio _x000D_
 *  posicaoConteiner _x000D_
 *  armazenamentoLote _x000D_
 *  geracaoLote _x000D_
 _x000D_
_x000D_
_x000D_
 _x000D_
 _x000D_
 _x000D_
*Toda manipulação referenciada sob estas propriedades em código, deve ser ajustada!* _x000D_
</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</si>
  <si>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</si>
  <si>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</si>
  <si>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RFB acesso-veiculos (general) - rule não aplicadada para tratativa de cnpjTransportador | cpfTransportador</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</si>
  <si>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</si>
  <si>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</si>
  <si>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</si>
  <si>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RFB posicao-cntr - omissão de registros - RFB_INCONSISTENCIAS</t>
  </si>
  <si>
    <t>API Recintos Carga geral - acesso-veiculos in-out</t>
  </si>
  <si>
    <t>API Recintos Carga geral - pesagem-veiculos-cargas in-out</t>
  </si>
  <si>
    <t>API Recintos Carga geral - geracao-lotes</t>
  </si>
  <si>
    <t>API Recintos Carga geral - armazenamento-lote</t>
  </si>
  <si>
    <t>API Recintos Carga geral - embarque-desembarque-navios</t>
  </si>
  <si>
    <t>20261600570 EDI - espaço adicional ao final do campo.</t>
  </si>
  <si>
    <t xml:space="preserve">Poderiam, por gentileza, fornecer uma atualização sobre o problema abaixo? _x000D_
Identificamos novamente a mesma situação na localidade em questão, onde a referência de booking no elemento de dados 1154, dentro do segmento SG5 RFF+BN, contém um espaço adicional ao final do campo. _x000D_
Esse espaço adicional está fazendo com que os movimentos de Empty Gate Out sejam rejeitados em nosso sistema. _x000D_
Poderiam verificar e confirmar qual ação corretiva foi adotada por sua equipe para garantir que as futuras mensagens CODECO sejam transmitidas sem espaços adicionais no campo de referência de booking? Agradeceríamos uma correção definitiva para evitar que esse problema volte a ocorrer. _x000D_
Por favor, consultem o exemplo mais recente abaixo e no anexo para referência. _x000D_
 _x000D_
_x000D_
[Image]_x000D_
 _x000D_
</t>
  </si>
  <si>
    <t>RFB - CargaSolta Publish Correciton (a-v | p-v-c | a-l | g-l | e-d-n)</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</si>
  <si>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</si>
  <si>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Registros omitidos baseado na geração de eventos -&gt; ('YARD', 'DSCH', 'LOAD', 'RECV'): _x000D_
`RfbPosicaoConteinerGeneral`_x000D_
 _x000D_
[Image]_x000D_
 _x000D_
_x000D_
 _x000D_
Relação NavisN4 &lt;-&gt; API Recintos processada no intervalo do mês de JULHO (range): _x000D_
'2026-06-30 23:59:59.000'_x000D_
'2026-08-01 00:00:00.000'_x000D_
 _x000D_
_x000D_
 _x000D_
_x000D_
 _x000D_
SQL Scripts base (rfbLibrary): _x000D_
_x000D_
 _x000D_
dadosPosicaoConteinerMoveHistory():_x000D_
 _x000D_
SELECT DISTINCT _x000D_
                 me.mve_gkey as EvntGkey, _x000D_
                 unit.gkey as UnitGkey, _x000D_
                 unit.id as UnitId, _x000D_
                 unit.freight_kind as UnitFreightKind, _x000D_
                 unit.damage as UnitDamageSeverity, _x000D_
                 unit.category as UnitCategory, _x000D_
                 arche_type.id as EqtypId, _x000D_
                 me.fm_pos_loctype as MveFromPositionType, _x000D_
                 me.fm_pos_locid as MveFromPositionId, _x000D_
                 me.fm_pos_slot as MveFromPositionSlot, _x000D_
                 me.to_pos_loctype as MveToPositionType, _x000D_
                 me.to_pos_locid as MveToPositionId, _x000D_
                 me.to_pos_slot as MveToPositionSlot, _x000D_
                 me.t_put as MveTimePut, _x000D_
                 me.move_kind as MveMoveKind, _x000D_
                 CASE _x000D_
                   WHEN unit.flex_string03 IS NULL _x000D_
                     OR unit.flex_string03 = '' _x000D_
                   THEN 'JBST' _x000D_
                   ELSE unit.flex_string03 _x000D_
                 END as Recinto, _x000D_
                 se.placed_by as PlacedBy, _x000D_
                 aq.id as Berco, _x000D_
                 et.id as EventType,_x000D_
                 ufv.flex_string02 as ServiceOrder,_x000D_
                 ufv.flex_string03 as ServiceStatus,_x000D_
                 ufv.flex_string07 as ServiceOrgan _x000D_
                FROM inv_unit unit _x000D_
                INNER JOIN inv_unit_fcy_visit ufv ON ufv.gkey = unit.active_ufv _x000D_
                INNER JOIN inv_move_event me ON ufv.gkey = me.ufv_gkey _x000D_
                  AND me.to_pos_loctype &lt;&gt; 'TRUCK' _x000D_
                  AND me.move_kind IN ('YARD', 'DSCH', 'LOAD', 'RECV') _x000D_
                  AND me.to_pos_slot NOT LIKE 'R%' _x000D_
                INNER JOIN srv_event se ON me.mve_gkey = se.gkey _x000D_
                INNER JOIN srv_event_types et on et.gkey = se.event_type_gkey_x000D_
                INNER JOIN ref_equipment eq ON eq.gkey = unit.eq_gkey _x000D_
                INNER JOIN ref_equip_type eqt ON eqt.gkey = eq.eqtyp_gkey _x000D_
                INNER JOIN ref_equip_type arche_type ON arche_type.gkey = eqt.archetype _x000D_
                  AND arche_type.id &lt;&gt; 'VHCL' _x000D_
                LEFT JOIN ref_groups groups ON groups.gkey = unit.group_gkey _x000D_
                LEFT JOIN argo_carrier_visit cv ON cv.gkey = me.carrier_gkey _x000D_
                LEFT JOIN vsl_vessel_visit_details vvd ON vvd.vvd_gkey = cv.cvcvd_gkey _x000D_
                LEFT JOIN vsl_vessels vessel ON vessel.gkey = vvd.vessel_gkey _x000D_
                LEFT JOIN vsl_vessel_berthings vvb ON vvb.vvd_gkey = vvd.vvd_gkey _x000D_
                LEFT JOIN argo_quay aq ON aq.gkey = vvb.quay _x000D_
                WHERE 1 = 1_x000D_
                	AND t_put &gt; '2026-06-30 23:59:59.000'_x000D_
					AND t_put &lt; '2026-08-01 00:00:00.000'_x000D_
                  	AND (groups.id IS NULL OR groups.id &lt;&gt; 'RAC') _x000D_
--                  AND me.mve_gkey = :idEvent_x000D_
                ORDER BY me.t_put ASC_x000D_
_x000D_
 _x000D_
dadosPosicaoConteinerPositionCorrection(): _x000D_
SELECT se.gkey as EvntGkey,_x000D_
                unit.gkey as UnitGkey,_x000D_
                unit.id as UnitId,_x000D_
                unit.freight_kind as UnitFreightKind,_x000D_
                unit.damage as UnitDamageSeverity,_x000D_
                unit.category as UnitCategory,_x000D_
                arche_type.id as EqtypId,_x000D_
                CASE _x000D_
                    WHEN LEFT(sefc.prior_value, CHARINDEX('-', sefc.prior_value) - 1) = 'Y' THEN 'YARD'_x000D_
                    WHEN LEFT(sefc.prior_value, CHARINDEX('-', sefc.prior_value) - 1) = 'V' THEN 'VESSEL'_x000D_
                    ELSE ''_x000D_
                END as MveFromPositionType,_x000D_
                LEFT(sefc.prior_value, LEN(sefc.prior_value) - CHARINDEX('-', REVERSE(sefc.prior_value)) -1) as MveFromPositionId,_x000D_
                RIGHT(sefc.prior_value, CHARINDEX('-', REVERSE(sefc.prior_value)) - 1) as MveFromPositionSlot,_x000D_
                CASE _x000D_
                    WHEN LEFT(sefc.new_value, CHARINDEX('-', sefc.new_value) - 1) = 'Y' THEN 'YARD'_x000D_
                    WHEN LEFT(sefc.prior_value, CHARINDEX('-', sefc.prior_value) - 1) = 'V' THEN 'VESSEL'_x000D_
                    ELSE ''_x000D_
                END as MveToPositionType,_x000D_
                LEFT(sefc.new_value, LEN(sefc.new_value) - CHARINDEX('-', REVERSE(sefc.new_value)) -1) as MveToPositionId,_x000D_
                RIGHT(sefc.new_value, CHARINDEX('-', REVERSE(sefc.new_value)) - 1) as MveToPositionSlot,_x000D_
                se.placed_time as MveTimePut,_x000D_
                ufv.last_pos_loctype as MveMoveKind,_x000D_
                CASE_x000D_
                    WHEN unit.flex_string03 IS NULL OR unit.flex_string03 = ''_x000D_
                    THEN 'JBST'_x000D_
                    ELSE unit.flex_string03_x000D_
                END as Recinto,_x000D_
                se.placed_by as PlacedBy,_x000D_
                aq.id as Berco,_x000D_
                et.id as EventType,_x000D_
                ufv.flex_string02 as ServiceOrder,_x000D_
                ufv.flex_string03 as ServiceStatus,_x000D_
                ufv.flex_string07 as ServiceOrgan _x000D_
            FROM inv_unit unit_x000D_
            INNER JOIN inv_unit_fcy_visit ufv ON ufv.gkey = unit.active_ufv_x000D_
            AND ufv.last_pos_loctype = 'YARD'_x000D_
            INNER JOIN srv_event se ON unit.gkey = se.applied_to_gkey_x000D_
            INNER JOIN srv_event_types et on et.gkey = se.event_type_gkey_x000D_
            INNER JOIN srv_event_field_changes sefc on se.gkey = sefc.event_gkey _x000D_
            AND sefc.metafield_id = 'posName'_x000D_
            INNER JOIN ref_equipment eq ON eq.gkey = unit.eq_gkey_x000D_
            INNER JOIN ref_equip_type eqt ON eqt.gkey = eq.eqtyp_gkey_x000D_
            INNER JOIN ref_equip_type arche_type ON arche_type.gkey = eqt.archetype_x000D_
                AND arche_type.id &lt;&gt; 'VHCL'_x000D_
            LEFT JOIN argo_carrier_visit cv ON (cv.gkey = ufv.actual_ib_cv or cv.gkey = ufv.actual_ob_cv)_x000D_
                AND cv.carrier_mode = 'VESSEL'_x000D_
            LEFT JOIN vsl_vessel_visit_details vvd ON vvd.vvd_gkey = cv.cvcvd_gkey_x000D_
            LEFT JOIN vsl_vessels vessel ON vessel.gkey = vvd.vessel_gkey_x000D_
            LEFT JOIN vsl_vessel_berthings vvb ON vvb.vvd_gkey = vvd.vvd_gkey_x000D_
            LEFT JOIN argo_quay aq ON aq.gkey = vvb.quay_x000D_
            WHERE /*se.gkey = 31164287*/ se.placed_time &gt; '2026-06-30 23:59:59.000' AND se.placed_time &lt; '2026-08-01 00:00:00.000'_x000D_
            	AND et.id = 'UNIT_POSITION_CORRECTION' AND se.placed_by LIKE '%CHECKTOOL%'_x000D_
            ORDER BY se.placed_time ASC               _x000D_
QTD eventos (absoluto n4) = 47.651 registos gerados _x000D_
_x000D_
 _x000D_
_x000D_
 _x000D_
CUSTOM_LOG_RFB _x000D_
select_x000D_
	CUSTOM_LRFB_ENDPOINT,_x000D_
	CUSTOM_LRFB_DATA_OCORRENCIA,_x000D_
	custom_lrfb_id_evento as idGKEY,_x000D_
	custom_lrfb_id_origem as idEvento,_x000D_
	JSON_VALUE(CAST(CUSTOM_LRFB_JSON AS nvarchar(max)),_x000D_
	'$.codigoRecinto') as RA,_x000D_
	JSON_VALUE(CAST(CUSTOM_LRFB_JSON AS nvarchar(max)),_x000D_
	'$.numeroConteiner') AS CNTR_NUMBER,_x000D_
	JSON_VALUE(CAST(CUSTOM_LRFB_JSON AS nvarchar(max)),_x000D_
	'$.localizacao.altura') AS ALTURA,_x000D_
	JSON_VALUE(CAST(CUSTOM_LRFB_JSON AS nvarchar(max)),_x000D_
	'$.localizacao.fila') AS FILA,_x000D_
	JSON_VALUE(CAST(CUSTOM_LRFB_JSON AS nvarchar(max)),_x000D_
	'$.localizacao.pilha') AS PILHA,_x000D_
	JSON_VALUE(CAST(CUSTOM_LRFB_JSON AS nvarchar(max)),_x000D_
	'$.localizacao.quadra') AS QUADRA_x000D_
from_x000D_
	dbSparcsn4.dbo.CUSTOM_LOG_RFB clr with (nolock)_x000D_
where_x000D_
	CUSTOM_LRFB_ENDPOINT = 'posicao-conteiner'_x000D_
	AND CUSTOM_LRFB_STATUS = 'COMPLETO'_x000D_
	AND CUSTOM_LRFB_DATA_OCORRENCIA &gt; '2026-06-30 23:59:59.000'_x000D_
	AND CUSTOM_LRFB_DATA_OCORRENCIA &lt; '2026-08-01 00:00:00.000'_x000D_
ORDER BY CUSTOM_LRFB_DATA_OCORRENCIA DESC_x000D_
QTD eventos (absoluto API Recintos) = 46.682 registos gerados (969 faltantes)_x000D_
 _x000D_
_x000D_
 _x000D_
_x000D_
 _x000D_
</t>
  </si>
  <si>
    <t xml:space="preserve">A nova assinatura dos métodos principais integra um novo parameter do tipo primitivo boolean (`apenasSimulacao`), o qual não é explisitamente tratado sob a java reflection na função `reprocessRequest(){}`, retornando null sob o tipo primitivo, resultando em exeption (`java.lang.IllegalArgumentException: null`): _x000D_
_x000D_
 _x000D_
Correção: _x000D_
Tratar `params: List&lt;Serializable&gt;`, integrando estrutura condicional para tratamento do tipo primitivo agredado: _x000D_
if (clazz == boolean.class) { //boolean compativel com return true/false_x000D_
    return false_x000D_
}_x000D_
_x000D_
if (clazz == Boolean.class) { //Boolean compatível com return null_x000D_
    return null_x000D_
}_x000D_
_x000D_
 _x000D_
[Image]_x000D_
 _x000D_
_x000D_
 _x000D_
+ _x000D_
_x000D_
 _x000D_
geracao-lotes não injetado no Map ENDPOINT_CONFIG _x000D_
_x000D_
 _x000D_
return sob a função  `reprocessRequest(){}`: _x000D_
def config = ENDPOINT_CONFIG[endpointId]_x000D_
_x000D_
            if (!config?.action) {_x000D_
                LOGGER.warn("reprocessRequest -&gt; Endpoint sem acao configurada: $endpointId")_x000D_
                return_x000D_
            }_x000D_
Inlução de: _x000D_
"geracao-lotes": [_x000D_
                    entityType: "EVENT",_x000D_
                    fieldId   : "customFlexFields.evntCustomDFF_pro_rfb_evento",_x000D_
                    action    : "geracaoLote"_x000D_
            ]_x000D_
</t>
  </si>
  <si>
    <t xml:space="preserve">20261432166 - Tratamento de mensagem de erro Billing API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</si>
  <si>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</si>
  <si>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MIGRATION</t>
  </si>
  <si>
    <t>BENNER; Impeditivo; MIGRATION; PORTAL; SOLICITANTE: EDINALDO</t>
  </si>
  <si>
    <t>GROOVY</t>
  </si>
  <si>
    <t>ECN4 WEB; Impeditivo</t>
  </si>
  <si>
    <t>GROOVY; URGENTE</t>
  </si>
  <si>
    <t>Impeditivo; PORTAL</t>
  </si>
  <si>
    <t>BILLING; PORTAL; URGENTE</t>
  </si>
  <si>
    <t>AJUSTE; GROOVY; N4-API</t>
  </si>
  <si>
    <t>20260569696 -  Múltiplos E-mails</t>
  </si>
  <si>
    <t>Felipe Santana Santos</t>
  </si>
  <si>
    <t xml:space="preserve"> 4.  Múltiplos E-mails:_x000D_
_x000D_
 _x000D_
Permitir a inclusão de mais de dois e-mails no cadastro.(Antnia)_x000D_
_x000D_
Card anterior 1623 _x000D_
</t>
  </si>
  <si>
    <t>20261318973 - Melhoria na visilibidade de janelas para Export</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</si>
  <si>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</si>
  <si>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</si>
  <si>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</si>
  <si>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AJUSTE; PORTAL</t>
  </si>
  <si>
    <t xml:space="preserve">20261618599 - bloqueio de agendamentos de solicitações de posicionamento de contêiner com status inbound </t>
  </si>
  <si>
    <t xml:space="preserve">_x000D_
Conforme alinhado e solicitado pela coordenação operacional, solicito o bloqueio de agendamentos de solicitações de posicionamento de contêiner com status inbound quando a solicitação for na opção do cliente. _x000D_
 _x000D_
 _x000D_
_x000D_
 _x000D_
_x000D_
Bloqueio de solicitações de posicionamento de contêiner com status inbound quando a solicitação for na opção do cliente. Permitir somente: _x000D_
Yard _x000D_
EC/In _x000D_
EC/Out _x000D_
_x000D_
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</si>
  <si>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Finalizados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</si>
</sst>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21">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8</c:v>
                </c:pt>
                <c:pt idx="1">
                  <c:v>0</c:v>
                </c:pt>
                <c:pt idx="2">
                  <c:v>2</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145</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47" headerRowDxfId="305">
  <autoFilter ref="A2:BI147"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192"/>
  <sheetViews>
    <sheetView tabSelected="1" zoomScaleNormal="100" workbookViewId="0">
      <selection activeCell="F70" sqref="F70"/>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22.4257812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1099</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694</v>
      </c>
      <c r="E2" s="41" t="s">
        <v>590</v>
      </c>
      <c r="F2" s="41" t="s">
        <v>695</v>
      </c>
      <c r="G2" s="41" t="s">
        <v>692</v>
      </c>
      <c r="H2" s="41" t="s">
        <v>696</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786</v>
      </c>
      <c r="B3" s="1" t="s">
        <v>255</v>
      </c>
      <c r="C3" s="1" t="s">
        <v>47</v>
      </c>
      <c r="D3" s="1" t="s">
        <v>710</v>
      </c>
      <c r="E3" s="1" t="s">
        <v>699</v>
      </c>
      <c r="F3" s="1" t="s">
        <v>466</v>
      </c>
      <c r="G3" s="2">
        <v>37</v>
      </c>
      <c r="H3" s="101">
        <v>8</v>
      </c>
      <c r="I3" s="101"/>
      <c r="J3" s="39">
        <v>1</v>
      </c>
      <c r="K3" s="53" t="s">
        <v>248</v>
      </c>
      <c r="L3" s="66">
        <v>0</v>
      </c>
      <c r="M3" s="8" t="s">
        <v>737</v>
      </c>
      <c r="N3" s="1" t="s">
        <v>175</v>
      </c>
      <c r="O3" s="7" t="s">
        <v>256</v>
      </c>
      <c r="P3" s="97">
        <v>45734.433356481481</v>
      </c>
      <c r="Q3" s="97">
        <v>46283.699988425928</v>
      </c>
      <c r="R3" s="97"/>
      <c r="S3" s="1" t="s">
        <v>371</v>
      </c>
      <c r="T3" s="1" t="s">
        <v>91</v>
      </c>
      <c r="U3" s="4" t="s">
        <v>539</v>
      </c>
      <c r="V3" s="2"/>
      <c r="W3" s="97"/>
      <c r="X3" s="1"/>
      <c r="Y3" s="1" t="s">
        <v>737</v>
      </c>
      <c r="Z3" s="97">
        <v>46258.589432870373</v>
      </c>
      <c r="AA3" s="1"/>
      <c r="AB3" s="4"/>
      <c r="AC3" s="4"/>
      <c r="AD3" s="1"/>
      <c r="AE3" s="1" t="s">
        <v>63</v>
      </c>
      <c r="AF3" s="1"/>
      <c r="AG3" s="2"/>
      <c r="AH3" s="1"/>
      <c r="AI3" s="1"/>
      <c r="AJ3" s="1" t="s">
        <v>371</v>
      </c>
      <c r="AK3" s="97">
        <v>46283.699988425928</v>
      </c>
      <c r="AL3" s="1"/>
      <c r="AM3" s="1"/>
      <c r="AN3" s="1"/>
      <c r="AO3" s="1"/>
      <c r="AP3" s="1"/>
      <c r="AQ3" s="1"/>
      <c r="AR3" s="1"/>
      <c r="AS3" s="1"/>
      <c r="AT3" s="2"/>
      <c r="AU3" s="1"/>
      <c r="AV3" s="2">
        <v>7</v>
      </c>
      <c r="AW3" s="4"/>
      <c r="AX3" s="97"/>
      <c r="AY3" s="4"/>
      <c r="AZ3" s="1"/>
      <c r="BA3" s="1"/>
      <c r="BB3" s="1" t="s">
        <v>61</v>
      </c>
      <c r="BC3" s="4"/>
      <c r="BD3" s="1" t="s">
        <v>85</v>
      </c>
      <c r="BE3" s="4"/>
      <c r="BF3" s="2"/>
      <c r="BG3" s="4"/>
      <c r="BH3" s="1"/>
      <c r="BI3" s="1" t="s">
        <v>189</v>
      </c>
    </row>
    <row r="4" spans="1:61" ht="13.5" customHeight="1" x14ac:dyDescent="0.25">
      <c r="A4" s="2">
        <v>1778</v>
      </c>
      <c r="B4" s="1" t="s">
        <v>747</v>
      </c>
      <c r="C4" s="1" t="s">
        <v>47</v>
      </c>
      <c r="D4" s="1" t="s">
        <v>712</v>
      </c>
      <c r="E4" s="1" t="s">
        <v>701</v>
      </c>
      <c r="F4" s="1" t="s">
        <v>709</v>
      </c>
      <c r="G4" s="2">
        <v>37</v>
      </c>
      <c r="H4" s="101">
        <v>8</v>
      </c>
      <c r="I4" s="101"/>
      <c r="J4" s="39">
        <v>1</v>
      </c>
      <c r="K4" s="53" t="s">
        <v>248</v>
      </c>
      <c r="L4" s="66">
        <v>0</v>
      </c>
      <c r="M4" s="8" t="s">
        <v>737</v>
      </c>
      <c r="N4" s="1" t="s">
        <v>175</v>
      </c>
      <c r="O4" s="7" t="s">
        <v>757</v>
      </c>
      <c r="P4" s="100">
        <v>46092.37940972222</v>
      </c>
      <c r="Q4" s="100">
        <v>46283.699699074074</v>
      </c>
      <c r="R4" s="100"/>
      <c r="S4" s="1" t="s">
        <v>371</v>
      </c>
      <c r="T4" s="1" t="s">
        <v>81</v>
      </c>
      <c r="U4" s="4" t="s">
        <v>748</v>
      </c>
      <c r="V4" s="2"/>
      <c r="W4" s="100"/>
      <c r="X4" s="1"/>
      <c r="Y4" s="1" t="s">
        <v>737</v>
      </c>
      <c r="Z4" s="100">
        <v>46255.576817129629</v>
      </c>
      <c r="AA4" s="1"/>
      <c r="AB4" s="4"/>
      <c r="AC4" s="4"/>
      <c r="AD4" s="1"/>
      <c r="AE4" s="1" t="s">
        <v>63</v>
      </c>
      <c r="AF4" s="1"/>
      <c r="AG4" s="2"/>
      <c r="AH4" s="1"/>
      <c r="AI4" s="1"/>
      <c r="AJ4" s="1" t="s">
        <v>371</v>
      </c>
      <c r="AK4" s="100">
        <v>46283.699699074074</v>
      </c>
      <c r="AL4" s="1"/>
      <c r="AM4" s="1"/>
      <c r="AN4" s="1"/>
      <c r="AO4" s="1"/>
      <c r="AP4" s="1"/>
      <c r="AQ4" s="1"/>
      <c r="AR4" s="1"/>
      <c r="AS4" s="1"/>
      <c r="AT4" s="2"/>
      <c r="AU4" s="1"/>
      <c r="AV4" s="2">
        <v>2</v>
      </c>
      <c r="AW4" s="4"/>
      <c r="AX4" s="100"/>
      <c r="AY4" s="4"/>
      <c r="AZ4" s="1"/>
      <c r="BA4" s="1"/>
      <c r="BB4" s="1" t="s">
        <v>503</v>
      </c>
      <c r="BC4" s="4"/>
      <c r="BD4" s="1" t="s">
        <v>85</v>
      </c>
      <c r="BE4" s="4"/>
      <c r="BF4" s="2"/>
      <c r="BG4" s="4"/>
      <c r="BH4" s="1"/>
      <c r="BI4" s="1" t="s">
        <v>189</v>
      </c>
    </row>
    <row r="5" spans="1:61" ht="13.5" customHeight="1" x14ac:dyDescent="0.25">
      <c r="A5" s="2">
        <v>1782</v>
      </c>
      <c r="B5" s="1" t="s">
        <v>754</v>
      </c>
      <c r="C5" s="1" t="s">
        <v>47</v>
      </c>
      <c r="D5" s="1" t="s">
        <v>307</v>
      </c>
      <c r="E5" s="1" t="s">
        <v>729</v>
      </c>
      <c r="F5" s="1" t="s">
        <v>314</v>
      </c>
      <c r="G5" s="2">
        <v>37</v>
      </c>
      <c r="H5" s="101">
        <v>16</v>
      </c>
      <c r="I5" s="101"/>
      <c r="J5" s="39">
        <v>2</v>
      </c>
      <c r="K5" s="53" t="s">
        <v>248</v>
      </c>
      <c r="L5" s="66">
        <v>0</v>
      </c>
      <c r="M5" s="8" t="s">
        <v>81</v>
      </c>
      <c r="N5" s="1" t="s">
        <v>175</v>
      </c>
      <c r="O5" s="7" t="s">
        <v>755</v>
      </c>
      <c r="P5" s="100">
        <v>46092.528622685182</v>
      </c>
      <c r="Q5" s="100">
        <v>46283.697685185187</v>
      </c>
      <c r="R5" s="100"/>
      <c r="S5" s="1" t="s">
        <v>371</v>
      </c>
      <c r="T5" s="1" t="s">
        <v>81</v>
      </c>
      <c r="U5" s="4"/>
      <c r="V5" s="2"/>
      <c r="W5" s="100"/>
      <c r="X5" s="1"/>
      <c r="Y5" s="1" t="s">
        <v>81</v>
      </c>
      <c r="Z5" s="100">
        <v>46219.801469907405</v>
      </c>
      <c r="AA5" s="1"/>
      <c r="AB5" s="4"/>
      <c r="AC5" s="4"/>
      <c r="AD5" s="1"/>
      <c r="AE5" s="1" t="s">
        <v>63</v>
      </c>
      <c r="AF5" s="1"/>
      <c r="AG5" s="2"/>
      <c r="AH5" s="1"/>
      <c r="AI5" s="1"/>
      <c r="AJ5" s="1" t="s">
        <v>371</v>
      </c>
      <c r="AK5" s="100">
        <v>46283.697685185187</v>
      </c>
      <c r="AL5" s="1"/>
      <c r="AM5" s="1"/>
      <c r="AN5" s="1"/>
      <c r="AO5" s="1"/>
      <c r="AP5" s="1"/>
      <c r="AQ5" s="1"/>
      <c r="AR5" s="1"/>
      <c r="AS5" s="1"/>
      <c r="AT5" s="2"/>
      <c r="AU5" s="1"/>
      <c r="AV5" s="2">
        <v>1</v>
      </c>
      <c r="AW5" s="4"/>
      <c r="AX5" s="100"/>
      <c r="AY5" s="4"/>
      <c r="AZ5" s="1"/>
      <c r="BA5" s="1"/>
      <c r="BB5" s="1" t="s">
        <v>503</v>
      </c>
      <c r="BC5" s="4"/>
      <c r="BD5" s="1" t="s">
        <v>85</v>
      </c>
      <c r="BE5" s="4"/>
      <c r="BF5" s="2"/>
      <c r="BG5" s="4"/>
      <c r="BH5" s="1"/>
      <c r="BI5" s="1" t="s">
        <v>189</v>
      </c>
    </row>
    <row r="6" spans="1:61" ht="13.5" customHeight="1" x14ac:dyDescent="0.25">
      <c r="A6" s="2">
        <v>1814</v>
      </c>
      <c r="B6" s="1" t="s">
        <v>745</v>
      </c>
      <c r="C6" s="1" t="s">
        <v>47</v>
      </c>
      <c r="D6" s="1" t="s">
        <v>711</v>
      </c>
      <c r="E6" s="1" t="s">
        <v>702</v>
      </c>
      <c r="F6" s="1" t="s">
        <v>466</v>
      </c>
      <c r="G6" s="2">
        <v>38</v>
      </c>
      <c r="H6" s="101">
        <v>8</v>
      </c>
      <c r="I6" s="4"/>
      <c r="J6" s="39">
        <v>1</v>
      </c>
      <c r="K6" s="53" t="s">
        <v>248</v>
      </c>
      <c r="L6" s="66">
        <v>0</v>
      </c>
      <c r="M6" s="8" t="s">
        <v>737</v>
      </c>
      <c r="N6" s="1" t="s">
        <v>175</v>
      </c>
      <c r="O6" s="7" t="s">
        <v>746</v>
      </c>
      <c r="P6" s="102">
        <v>46104.717986111114</v>
      </c>
      <c r="Q6" s="102">
        <v>46287.427418981482</v>
      </c>
      <c r="R6" s="102"/>
      <c r="S6" s="1" t="s">
        <v>737</v>
      </c>
      <c r="T6" s="1" t="s">
        <v>155</v>
      </c>
      <c r="U6" s="4"/>
      <c r="V6" s="2"/>
      <c r="W6" s="102"/>
      <c r="X6" s="1"/>
      <c r="Y6" s="1" t="s">
        <v>737</v>
      </c>
      <c r="Z6" s="102">
        <v>46286.709537037037</v>
      </c>
      <c r="AA6" s="1"/>
      <c r="AB6" s="4"/>
      <c r="AC6" s="4"/>
      <c r="AD6" s="1"/>
      <c r="AE6" s="1" t="s">
        <v>63</v>
      </c>
      <c r="AF6" s="1"/>
      <c r="AG6" s="2"/>
      <c r="AH6" s="1"/>
      <c r="AI6" s="1"/>
      <c r="AJ6" s="1" t="s">
        <v>737</v>
      </c>
      <c r="AK6" s="102">
        <v>46287.427418981482</v>
      </c>
      <c r="AL6" s="1"/>
      <c r="AM6" s="1"/>
      <c r="AN6" s="1"/>
      <c r="AO6" s="1"/>
      <c r="AP6" s="1"/>
      <c r="AQ6" s="1"/>
      <c r="AR6" s="1"/>
      <c r="AS6" s="1"/>
      <c r="AT6" s="2"/>
      <c r="AU6" s="1"/>
      <c r="AV6" s="2">
        <v>4</v>
      </c>
      <c r="AW6" s="4"/>
      <c r="AX6" s="102"/>
      <c r="AY6" s="4"/>
      <c r="AZ6" s="1"/>
      <c r="BA6" s="1"/>
      <c r="BB6" s="1" t="s">
        <v>503</v>
      </c>
      <c r="BC6" s="4"/>
      <c r="BD6" s="1" t="s">
        <v>85</v>
      </c>
      <c r="BE6" s="4"/>
      <c r="BF6" s="2"/>
      <c r="BG6" s="4"/>
      <c r="BH6" s="1"/>
      <c r="BI6" s="1" t="s">
        <v>189</v>
      </c>
    </row>
    <row r="7" spans="1:61" ht="13.5" customHeight="1" x14ac:dyDescent="0.25">
      <c r="A7" s="2">
        <v>1841</v>
      </c>
      <c r="B7" s="1" t="s">
        <v>973</v>
      </c>
      <c r="C7" s="1" t="s">
        <v>47</v>
      </c>
      <c r="D7" s="1" t="s">
        <v>711</v>
      </c>
      <c r="E7" s="1" t="s">
        <v>702</v>
      </c>
      <c r="F7" s="1" t="s">
        <v>314</v>
      </c>
      <c r="G7" s="2">
        <v>39</v>
      </c>
      <c r="H7" s="101">
        <v>8</v>
      </c>
      <c r="I7" s="101"/>
      <c r="J7" s="39">
        <v>1</v>
      </c>
      <c r="K7" s="53" t="s">
        <v>248</v>
      </c>
      <c r="L7" s="66">
        <v>0</v>
      </c>
      <c r="M7" s="8" t="s">
        <v>91</v>
      </c>
      <c r="N7" s="1" t="s">
        <v>175</v>
      </c>
      <c r="O7" s="7" t="s">
        <v>974</v>
      </c>
      <c r="P7" s="103">
        <v>46119.45171296296</v>
      </c>
      <c r="Q7" s="103">
        <v>46290.424525462964</v>
      </c>
      <c r="R7" s="103"/>
      <c r="S7" s="1" t="s">
        <v>91</v>
      </c>
      <c r="T7" s="1" t="s">
        <v>155</v>
      </c>
      <c r="U7" s="4"/>
      <c r="V7" s="2"/>
      <c r="W7" s="103"/>
      <c r="X7" s="1"/>
      <c r="Y7" s="1" t="s">
        <v>91</v>
      </c>
      <c r="Z7" s="103">
        <v>46287.567407407405</v>
      </c>
      <c r="AA7" s="1"/>
      <c r="AB7" s="4"/>
      <c r="AC7" s="4"/>
      <c r="AD7" s="1"/>
      <c r="AE7" s="1" t="s">
        <v>63</v>
      </c>
      <c r="AF7" s="1"/>
      <c r="AG7" s="2"/>
      <c r="AH7" s="1"/>
      <c r="AI7" s="1"/>
      <c r="AJ7" s="1" t="s">
        <v>91</v>
      </c>
      <c r="AK7" s="103">
        <v>46290.424525462964</v>
      </c>
      <c r="AL7" s="1"/>
      <c r="AM7" s="1"/>
      <c r="AN7" s="1"/>
      <c r="AO7" s="1"/>
      <c r="AP7" s="1"/>
      <c r="AQ7" s="1"/>
      <c r="AR7" s="1"/>
      <c r="AS7" s="1"/>
      <c r="AT7" s="2"/>
      <c r="AU7" s="1"/>
      <c r="AV7" s="2">
        <v>4</v>
      </c>
      <c r="AW7" s="4"/>
      <c r="AX7" s="103"/>
      <c r="AY7" s="4"/>
      <c r="AZ7" s="1"/>
      <c r="BA7" s="1"/>
      <c r="BB7" s="1" t="s">
        <v>503</v>
      </c>
      <c r="BC7" s="4"/>
      <c r="BD7" s="1" t="s">
        <v>85</v>
      </c>
      <c r="BE7" s="4"/>
      <c r="BF7" s="2"/>
      <c r="BG7" s="4"/>
      <c r="BH7" s="1"/>
      <c r="BI7" s="1" t="s">
        <v>189</v>
      </c>
    </row>
    <row r="8" spans="1:61" ht="13.5" customHeight="1" x14ac:dyDescent="0.25">
      <c r="A8" s="2">
        <v>1844</v>
      </c>
      <c r="B8" s="1" t="s">
        <v>1089</v>
      </c>
      <c r="C8" s="1" t="s">
        <v>47</v>
      </c>
      <c r="D8" s="1" t="s">
        <v>711</v>
      </c>
      <c r="E8" s="1" t="s">
        <v>702</v>
      </c>
      <c r="F8" s="1" t="s">
        <v>314</v>
      </c>
      <c r="G8" s="2">
        <v>40</v>
      </c>
      <c r="H8" s="101">
        <v>4</v>
      </c>
      <c r="I8" s="101"/>
      <c r="J8" s="39">
        <v>2</v>
      </c>
      <c r="K8" s="53" t="s">
        <v>248</v>
      </c>
      <c r="L8" s="66">
        <v>0</v>
      </c>
      <c r="M8" s="8" t="s">
        <v>1090</v>
      </c>
      <c r="N8" s="1" t="s">
        <v>175</v>
      </c>
      <c r="O8" s="7" t="s">
        <v>1091</v>
      </c>
      <c r="P8" s="104">
        <v>46119.471284722225</v>
      </c>
      <c r="Q8" s="104">
        <v>46295.576388888891</v>
      </c>
      <c r="R8" s="104"/>
      <c r="S8" s="1" t="s">
        <v>1090</v>
      </c>
      <c r="T8" s="1" t="s">
        <v>155</v>
      </c>
      <c r="U8" s="4" t="s">
        <v>1081</v>
      </c>
      <c r="V8" s="2"/>
      <c r="W8" s="104"/>
      <c r="X8" s="1"/>
      <c r="Y8" s="1" t="s">
        <v>1090</v>
      </c>
      <c r="Z8" s="104">
        <v>46293.433344907404</v>
      </c>
      <c r="AA8" s="1"/>
      <c r="AB8" s="4"/>
      <c r="AC8" s="4"/>
      <c r="AD8" s="1"/>
      <c r="AE8" s="1" t="s">
        <v>63</v>
      </c>
      <c r="AF8" s="1"/>
      <c r="AG8" s="2"/>
      <c r="AH8" s="1"/>
      <c r="AI8" s="1"/>
      <c r="AJ8" s="1" t="s">
        <v>1090</v>
      </c>
      <c r="AK8" s="104">
        <v>46295.576388888891</v>
      </c>
      <c r="AL8" s="1"/>
      <c r="AM8" s="1"/>
      <c r="AN8" s="1"/>
      <c r="AO8" s="1"/>
      <c r="AP8" s="1"/>
      <c r="AQ8" s="1"/>
      <c r="AR8" s="1"/>
      <c r="AS8" s="1"/>
      <c r="AT8" s="2"/>
      <c r="AU8" s="1"/>
      <c r="AV8" s="2">
        <v>1</v>
      </c>
      <c r="AW8" s="4"/>
      <c r="AX8" s="104"/>
      <c r="AY8" s="4"/>
      <c r="AZ8" s="1"/>
      <c r="BA8" s="1"/>
      <c r="BB8" s="1" t="s">
        <v>503</v>
      </c>
      <c r="BC8" s="4"/>
      <c r="BD8" s="1" t="s">
        <v>85</v>
      </c>
      <c r="BE8" s="4"/>
      <c r="BF8" s="2"/>
      <c r="BG8" s="4"/>
      <c r="BH8" s="1"/>
      <c r="BI8" s="1" t="s">
        <v>189</v>
      </c>
    </row>
    <row r="9" spans="1:61" ht="13.5" customHeight="1" x14ac:dyDescent="0.25">
      <c r="A9" s="2">
        <v>1896</v>
      </c>
      <c r="B9" s="1" t="s">
        <v>752</v>
      </c>
      <c r="C9" s="1" t="s">
        <v>47</v>
      </c>
      <c r="D9" s="1" t="s">
        <v>309</v>
      </c>
      <c r="E9" s="1" t="s">
        <v>701</v>
      </c>
      <c r="F9" s="1" t="s">
        <v>314</v>
      </c>
      <c r="G9" s="2">
        <v>37</v>
      </c>
      <c r="H9" s="101">
        <v>8</v>
      </c>
      <c r="I9" s="101"/>
      <c r="J9" s="39">
        <v>1</v>
      </c>
      <c r="K9" s="53" t="s">
        <v>248</v>
      </c>
      <c r="L9" s="66">
        <v>0</v>
      </c>
      <c r="M9" s="8" t="s">
        <v>738</v>
      </c>
      <c r="N9" s="1" t="s">
        <v>175</v>
      </c>
      <c r="O9" s="7" t="s">
        <v>753</v>
      </c>
      <c r="P9" s="105">
        <v>46136.483912037038</v>
      </c>
      <c r="Q9" s="105">
        <v>46283.703599537039</v>
      </c>
      <c r="R9" s="105"/>
      <c r="S9" s="1" t="s">
        <v>371</v>
      </c>
      <c r="T9" s="1" t="s">
        <v>81</v>
      </c>
      <c r="U9" s="4" t="s">
        <v>780</v>
      </c>
      <c r="V9" s="2"/>
      <c r="W9" s="105"/>
      <c r="X9" s="1"/>
      <c r="Y9" s="1" t="s">
        <v>738</v>
      </c>
      <c r="Z9" s="105">
        <v>46244.477118055554</v>
      </c>
      <c r="AA9" s="1"/>
      <c r="AB9" s="4"/>
      <c r="AC9" s="4"/>
      <c r="AD9" s="1"/>
      <c r="AE9" s="1" t="s">
        <v>63</v>
      </c>
      <c r="AF9" s="1"/>
      <c r="AG9" s="2"/>
      <c r="AH9" s="1"/>
      <c r="AI9" s="1"/>
      <c r="AJ9" s="1" t="s">
        <v>371</v>
      </c>
      <c r="AK9" s="105">
        <v>46283.703599537039</v>
      </c>
      <c r="AL9" s="1"/>
      <c r="AM9" s="1"/>
      <c r="AN9" s="1"/>
      <c r="AO9" s="1"/>
      <c r="AP9" s="1"/>
      <c r="AQ9" s="1"/>
      <c r="AR9" s="1"/>
      <c r="AS9" s="1"/>
      <c r="AT9" s="2"/>
      <c r="AU9" s="1"/>
      <c r="AV9" s="2">
        <v>7</v>
      </c>
      <c r="AW9" s="4"/>
      <c r="AX9" s="105"/>
      <c r="AY9" s="4"/>
      <c r="AZ9" s="1"/>
      <c r="BA9" s="1"/>
      <c r="BB9" s="1" t="s">
        <v>503</v>
      </c>
      <c r="BC9" s="4"/>
      <c r="BD9" s="1" t="s">
        <v>85</v>
      </c>
      <c r="BE9" s="4"/>
      <c r="BF9" s="2">
        <v>1856</v>
      </c>
      <c r="BG9" s="4"/>
      <c r="BH9" s="1"/>
      <c r="BI9" s="1" t="s">
        <v>189</v>
      </c>
    </row>
    <row r="10" spans="1:61" ht="13.5" customHeight="1" x14ac:dyDescent="0.25">
      <c r="A10" s="2">
        <v>2055</v>
      </c>
      <c r="B10" s="1" t="s">
        <v>764</v>
      </c>
      <c r="C10" s="1" t="s">
        <v>47</v>
      </c>
      <c r="D10" s="1" t="s">
        <v>309</v>
      </c>
      <c r="E10" s="1" t="s">
        <v>729</v>
      </c>
      <c r="F10" s="1" t="s">
        <v>466</v>
      </c>
      <c r="G10" s="2">
        <v>37</v>
      </c>
      <c r="H10" s="101">
        <v>16</v>
      </c>
      <c r="I10" s="101"/>
      <c r="J10" s="39">
        <v>1</v>
      </c>
      <c r="K10" s="53" t="s">
        <v>248</v>
      </c>
      <c r="L10" s="66">
        <v>0</v>
      </c>
      <c r="M10" s="8" t="s">
        <v>738</v>
      </c>
      <c r="N10" s="1" t="s">
        <v>175</v>
      </c>
      <c r="O10" s="7" t="s">
        <v>761</v>
      </c>
      <c r="P10" s="106">
        <v>46199.710474537038</v>
      </c>
      <c r="Q10" s="106">
        <v>46283.702893518515</v>
      </c>
      <c r="R10" s="106"/>
      <c r="S10" s="1" t="s">
        <v>371</v>
      </c>
      <c r="T10" s="1" t="s">
        <v>81</v>
      </c>
      <c r="U10" s="4" t="s">
        <v>666</v>
      </c>
      <c r="V10" s="2"/>
      <c r="W10" s="106"/>
      <c r="X10" s="1"/>
      <c r="Y10" s="1" t="s">
        <v>738</v>
      </c>
      <c r="Z10" s="106">
        <v>46252.694212962961</v>
      </c>
      <c r="AA10" s="1"/>
      <c r="AB10" s="4"/>
      <c r="AC10" s="4"/>
      <c r="AD10" s="1"/>
      <c r="AE10" s="1" t="s">
        <v>63</v>
      </c>
      <c r="AF10" s="1"/>
      <c r="AG10" s="2"/>
      <c r="AH10" s="1"/>
      <c r="AI10" s="1"/>
      <c r="AJ10" s="1" t="s">
        <v>371</v>
      </c>
      <c r="AK10" s="106">
        <v>46283.702893518515</v>
      </c>
      <c r="AL10" s="1"/>
      <c r="AM10" s="1"/>
      <c r="AN10" s="1"/>
      <c r="AO10" s="1"/>
      <c r="AP10" s="1"/>
      <c r="AQ10" s="1"/>
      <c r="AR10" s="1"/>
      <c r="AS10" s="1"/>
      <c r="AT10" s="2"/>
      <c r="AU10" s="1"/>
      <c r="AV10" s="2">
        <v>9</v>
      </c>
      <c r="AW10" s="4"/>
      <c r="AX10" s="106"/>
      <c r="AY10" s="4"/>
      <c r="AZ10" s="1"/>
      <c r="BA10" s="1"/>
      <c r="BB10" s="1" t="s">
        <v>503</v>
      </c>
      <c r="BC10" s="4"/>
      <c r="BD10" s="1" t="s">
        <v>85</v>
      </c>
      <c r="BE10" s="4"/>
      <c r="BF10" s="2">
        <v>1856</v>
      </c>
      <c r="BG10" s="4"/>
      <c r="BH10" s="1"/>
      <c r="BI10" s="1" t="s">
        <v>189</v>
      </c>
    </row>
    <row r="11" spans="1:61" ht="13.5" customHeight="1" x14ac:dyDescent="0.25">
      <c r="A11" s="2">
        <v>2061</v>
      </c>
      <c r="B11" s="1" t="s">
        <v>1056</v>
      </c>
      <c r="C11" s="1" t="s">
        <v>47</v>
      </c>
      <c r="D11" s="1" t="s">
        <v>711</v>
      </c>
      <c r="E11" s="1" t="s">
        <v>702</v>
      </c>
      <c r="F11" s="1" t="s">
        <v>466</v>
      </c>
      <c r="G11" s="2">
        <v>39</v>
      </c>
      <c r="H11" s="101">
        <v>8</v>
      </c>
      <c r="I11" s="101"/>
      <c r="J11" s="39">
        <v>4</v>
      </c>
      <c r="K11" s="53" t="s">
        <v>248</v>
      </c>
      <c r="L11" s="66">
        <v>0</v>
      </c>
      <c r="M11" s="8" t="s">
        <v>844</v>
      </c>
      <c r="N11" s="1" t="s">
        <v>175</v>
      </c>
      <c r="O11" s="7" t="s">
        <v>1076</v>
      </c>
      <c r="P11" s="106">
        <v>46203.372314814813</v>
      </c>
      <c r="Q11" s="106">
        <v>46293.610717592594</v>
      </c>
      <c r="R11" s="106"/>
      <c r="S11" s="1" t="s">
        <v>693</v>
      </c>
      <c r="T11" s="1" t="s">
        <v>81</v>
      </c>
      <c r="U11" s="4"/>
      <c r="V11" s="2"/>
      <c r="W11" s="106"/>
      <c r="X11" s="1"/>
      <c r="Y11" s="1" t="s">
        <v>155</v>
      </c>
      <c r="Z11" s="106">
        <v>46290.454722222225</v>
      </c>
      <c r="AA11" s="1"/>
      <c r="AB11" s="4"/>
      <c r="AC11" s="4"/>
      <c r="AD11" s="1"/>
      <c r="AE11" s="1" t="s">
        <v>63</v>
      </c>
      <c r="AF11" s="1"/>
      <c r="AG11" s="2"/>
      <c r="AH11" s="1"/>
      <c r="AI11" s="1"/>
      <c r="AJ11" s="1" t="s">
        <v>693</v>
      </c>
      <c r="AK11" s="106">
        <v>46293.610717592594</v>
      </c>
      <c r="AL11" s="1"/>
      <c r="AM11" s="1"/>
      <c r="AN11" s="1"/>
      <c r="AO11" s="1"/>
      <c r="AP11" s="1"/>
      <c r="AQ11" s="1"/>
      <c r="AR11" s="1"/>
      <c r="AS11" s="1"/>
      <c r="AT11" s="2"/>
      <c r="AU11" s="1"/>
      <c r="AV11" s="2">
        <v>0</v>
      </c>
      <c r="AW11" s="4"/>
      <c r="AX11" s="106"/>
      <c r="AY11" s="4"/>
      <c r="AZ11" s="1"/>
      <c r="BA11" s="1"/>
      <c r="BB11" s="1" t="s">
        <v>503</v>
      </c>
      <c r="BC11" s="4"/>
      <c r="BD11" s="1" t="s">
        <v>85</v>
      </c>
      <c r="BE11" s="4"/>
      <c r="BF11" s="2"/>
      <c r="BG11" s="4"/>
      <c r="BH11" s="1"/>
      <c r="BI11" s="1" t="s">
        <v>189</v>
      </c>
    </row>
    <row r="12" spans="1:61" ht="13.5" customHeight="1" x14ac:dyDescent="0.25">
      <c r="A12" s="2">
        <v>2073</v>
      </c>
      <c r="B12" s="1" t="s">
        <v>766</v>
      </c>
      <c r="C12" s="1" t="s">
        <v>47</v>
      </c>
      <c r="D12" s="1" t="s">
        <v>309</v>
      </c>
      <c r="E12" s="1" t="s">
        <v>729</v>
      </c>
      <c r="F12" s="1" t="s">
        <v>466</v>
      </c>
      <c r="G12" s="2">
        <v>37</v>
      </c>
      <c r="H12" s="101">
        <v>8</v>
      </c>
      <c r="I12" s="101"/>
      <c r="J12" s="39">
        <v>1</v>
      </c>
      <c r="K12" s="53" t="s">
        <v>248</v>
      </c>
      <c r="L12" s="66">
        <v>0</v>
      </c>
      <c r="M12" s="8" t="s">
        <v>738</v>
      </c>
      <c r="N12" s="1" t="s">
        <v>175</v>
      </c>
      <c r="O12" s="7" t="s">
        <v>768</v>
      </c>
      <c r="P12" s="106">
        <v>46212.374456018515</v>
      </c>
      <c r="Q12" s="106">
        <v>46283.703738425924</v>
      </c>
      <c r="R12" s="106"/>
      <c r="S12" s="1" t="s">
        <v>371</v>
      </c>
      <c r="T12" s="1" t="s">
        <v>81</v>
      </c>
      <c r="U12" s="4" t="s">
        <v>781</v>
      </c>
      <c r="V12" s="2"/>
      <c r="W12" s="106"/>
      <c r="X12" s="1"/>
      <c r="Y12" s="1" t="s">
        <v>738</v>
      </c>
      <c r="Z12" s="106">
        <v>46232.366041666668</v>
      </c>
      <c r="AA12" s="1"/>
      <c r="AB12" s="4"/>
      <c r="AC12" s="4"/>
      <c r="AD12" s="1"/>
      <c r="AE12" s="1" t="s">
        <v>63</v>
      </c>
      <c r="AF12" s="1"/>
      <c r="AG12" s="2"/>
      <c r="AH12" s="1"/>
      <c r="AI12" s="1"/>
      <c r="AJ12" s="1" t="s">
        <v>371</v>
      </c>
      <c r="AK12" s="106">
        <v>46283.703738425924</v>
      </c>
      <c r="AL12" s="1"/>
      <c r="AM12" s="1"/>
      <c r="AN12" s="1"/>
      <c r="AO12" s="1"/>
      <c r="AP12" s="1"/>
      <c r="AQ12" s="1"/>
      <c r="AR12" s="1"/>
      <c r="AS12" s="1"/>
      <c r="AT12" s="2"/>
      <c r="AU12" s="1"/>
      <c r="AV12" s="2">
        <v>4</v>
      </c>
      <c r="AW12" s="4"/>
      <c r="AX12" s="106"/>
      <c r="AY12" s="4"/>
      <c r="AZ12" s="1"/>
      <c r="BA12" s="1"/>
      <c r="BB12" s="1" t="s">
        <v>503</v>
      </c>
      <c r="BC12" s="4"/>
      <c r="BD12" s="1" t="s">
        <v>85</v>
      </c>
      <c r="BE12" s="4"/>
      <c r="BF12" s="2">
        <v>1856</v>
      </c>
      <c r="BG12" s="4"/>
      <c r="BH12" s="1"/>
      <c r="BI12" s="1" t="s">
        <v>189</v>
      </c>
    </row>
    <row r="13" spans="1:61" ht="13.5" customHeight="1" x14ac:dyDescent="0.25">
      <c r="A13" s="2">
        <v>2088</v>
      </c>
      <c r="B13" s="1" t="s">
        <v>930</v>
      </c>
      <c r="C13" s="1" t="s">
        <v>47</v>
      </c>
      <c r="D13" s="1" t="s">
        <v>310</v>
      </c>
      <c r="E13" s="1" t="s">
        <v>708</v>
      </c>
      <c r="F13" s="1" t="s">
        <v>314</v>
      </c>
      <c r="G13" s="2">
        <v>38</v>
      </c>
      <c r="H13" s="101">
        <v>6</v>
      </c>
      <c r="I13" s="101"/>
      <c r="J13" s="39">
        <v>1</v>
      </c>
      <c r="K13" s="53" t="s">
        <v>248</v>
      </c>
      <c r="L13" s="66">
        <v>0</v>
      </c>
      <c r="M13" s="8" t="s">
        <v>844</v>
      </c>
      <c r="N13" s="1" t="s">
        <v>175</v>
      </c>
      <c r="O13" s="7" t="s">
        <v>931</v>
      </c>
      <c r="P13" s="106">
        <v>46227.364548611113</v>
      </c>
      <c r="Q13" s="106">
        <v>46287.543020833335</v>
      </c>
      <c r="R13" s="106"/>
      <c r="S13" s="1" t="s">
        <v>693</v>
      </c>
      <c r="T13" s="1" t="s">
        <v>693</v>
      </c>
      <c r="U13" s="4"/>
      <c r="V13" s="2"/>
      <c r="W13" s="106"/>
      <c r="X13" s="1"/>
      <c r="Y13" s="1" t="s">
        <v>844</v>
      </c>
      <c r="Z13" s="106">
        <v>46283.642731481479</v>
      </c>
      <c r="AA13" s="1"/>
      <c r="AB13" s="4"/>
      <c r="AC13" s="4"/>
      <c r="AD13" s="1"/>
      <c r="AE13" s="1" t="s">
        <v>63</v>
      </c>
      <c r="AF13" s="1"/>
      <c r="AG13" s="2"/>
      <c r="AH13" s="1"/>
      <c r="AI13" s="1"/>
      <c r="AJ13" s="1" t="s">
        <v>693</v>
      </c>
      <c r="AK13" s="106">
        <v>46287.543020833335</v>
      </c>
      <c r="AL13" s="1"/>
      <c r="AM13" s="1"/>
      <c r="AN13" s="1"/>
      <c r="AO13" s="1"/>
      <c r="AP13" s="1"/>
      <c r="AQ13" s="1"/>
      <c r="AR13" s="1"/>
      <c r="AS13" s="1"/>
      <c r="AT13" s="2"/>
      <c r="AU13" s="1"/>
      <c r="AV13" s="2">
        <v>3</v>
      </c>
      <c r="AW13" s="4"/>
      <c r="AX13" s="106"/>
      <c r="AY13" s="4"/>
      <c r="AZ13" s="1"/>
      <c r="BA13" s="1"/>
      <c r="BB13" s="1" t="s">
        <v>503</v>
      </c>
      <c r="BC13" s="4"/>
      <c r="BD13" s="1" t="s">
        <v>85</v>
      </c>
      <c r="BE13" s="4"/>
      <c r="BF13" s="2"/>
      <c r="BG13" s="4"/>
      <c r="BH13" s="1"/>
      <c r="BI13" s="1" t="s">
        <v>189</v>
      </c>
    </row>
    <row r="14" spans="1:61" ht="13.5" customHeight="1" x14ac:dyDescent="0.25">
      <c r="A14" s="2">
        <v>2110</v>
      </c>
      <c r="B14" s="1" t="s">
        <v>782</v>
      </c>
      <c r="C14" s="1" t="s">
        <v>47</v>
      </c>
      <c r="D14" s="1" t="s">
        <v>311</v>
      </c>
      <c r="E14" s="1" t="s">
        <v>701</v>
      </c>
      <c r="F14" s="1" t="s">
        <v>314</v>
      </c>
      <c r="G14" s="2">
        <v>37</v>
      </c>
      <c r="H14" s="101"/>
      <c r="I14" s="101"/>
      <c r="J14" s="39">
        <v>1</v>
      </c>
      <c r="K14" s="53" t="s">
        <v>248</v>
      </c>
      <c r="L14" s="66">
        <v>0</v>
      </c>
      <c r="M14" s="8" t="s">
        <v>81</v>
      </c>
      <c r="N14" s="1" t="s">
        <v>175</v>
      </c>
      <c r="O14" s="7"/>
      <c r="P14" s="107">
        <v>46238.400266203702</v>
      </c>
      <c r="Q14" s="107">
        <v>46283.701319444444</v>
      </c>
      <c r="R14" s="107"/>
      <c r="S14" s="1" t="s">
        <v>371</v>
      </c>
      <c r="T14" s="1" t="s">
        <v>693</v>
      </c>
      <c r="U14" s="4"/>
      <c r="V14" s="2"/>
      <c r="W14" s="107"/>
      <c r="X14" s="1"/>
      <c r="Y14" s="1" t="s">
        <v>81</v>
      </c>
      <c r="Z14" s="107">
        <v>46255.470335648148</v>
      </c>
      <c r="AA14" s="1"/>
      <c r="AB14" s="4"/>
      <c r="AC14" s="4"/>
      <c r="AD14" s="1"/>
      <c r="AE14" s="1" t="s">
        <v>63</v>
      </c>
      <c r="AF14" s="1"/>
      <c r="AG14" s="2"/>
      <c r="AH14" s="1"/>
      <c r="AI14" s="1"/>
      <c r="AJ14" s="1" t="s">
        <v>371</v>
      </c>
      <c r="AK14" s="107">
        <v>46283.701319444444</v>
      </c>
      <c r="AL14" s="1"/>
      <c r="AM14" s="1"/>
      <c r="AN14" s="1"/>
      <c r="AO14" s="1"/>
      <c r="AP14" s="1"/>
      <c r="AQ14" s="1"/>
      <c r="AR14" s="1"/>
      <c r="AS14" s="1"/>
      <c r="AT14" s="2"/>
      <c r="AU14" s="1"/>
      <c r="AV14" s="2">
        <v>0</v>
      </c>
      <c r="AW14" s="4"/>
      <c r="AX14" s="107"/>
      <c r="AY14" s="4"/>
      <c r="AZ14" s="1"/>
      <c r="BA14" s="1"/>
      <c r="BB14" s="1" t="s">
        <v>503</v>
      </c>
      <c r="BC14" s="4"/>
      <c r="BD14" s="1" t="s">
        <v>85</v>
      </c>
      <c r="BE14" s="4"/>
      <c r="BF14" s="2">
        <v>2107</v>
      </c>
      <c r="BG14" s="4"/>
      <c r="BH14" s="1"/>
      <c r="BI14" s="1" t="s">
        <v>189</v>
      </c>
    </row>
    <row r="15" spans="1:61" ht="13.5" customHeight="1" x14ac:dyDescent="0.25">
      <c r="A15" s="2">
        <v>2116</v>
      </c>
      <c r="B15" s="1" t="s">
        <v>981</v>
      </c>
      <c r="C15" s="1" t="s">
        <v>47</v>
      </c>
      <c r="D15" s="1" t="s">
        <v>311</v>
      </c>
      <c r="E15" s="1" t="s">
        <v>701</v>
      </c>
      <c r="F15" s="1" t="s">
        <v>314</v>
      </c>
      <c r="G15" s="2">
        <v>39</v>
      </c>
      <c r="H15" s="101">
        <v>4</v>
      </c>
      <c r="I15" s="101"/>
      <c r="J15" s="39">
        <v>1</v>
      </c>
      <c r="K15" s="53" t="s">
        <v>248</v>
      </c>
      <c r="L15" s="66">
        <v>0</v>
      </c>
      <c r="M15" s="8" t="s">
        <v>844</v>
      </c>
      <c r="N15" s="1" t="s">
        <v>175</v>
      </c>
      <c r="O15" s="7" t="s">
        <v>988</v>
      </c>
      <c r="P15" s="107">
        <v>46238.682233796295</v>
      </c>
      <c r="Q15" s="107">
        <v>46293.372569444444</v>
      </c>
      <c r="R15" s="107"/>
      <c r="S15" s="1" t="s">
        <v>693</v>
      </c>
      <c r="T15" s="1" t="s">
        <v>155</v>
      </c>
      <c r="U15" s="4"/>
      <c r="V15" s="2"/>
      <c r="W15" s="107"/>
      <c r="X15" s="1"/>
      <c r="Y15" s="1" t="s">
        <v>844</v>
      </c>
      <c r="Z15" s="107">
        <v>46289.415324074071</v>
      </c>
      <c r="AA15" s="1"/>
      <c r="AB15" s="4"/>
      <c r="AC15" s="4"/>
      <c r="AD15" s="1"/>
      <c r="AE15" s="1" t="s">
        <v>63</v>
      </c>
      <c r="AF15" s="1"/>
      <c r="AG15" s="2"/>
      <c r="AH15" s="1"/>
      <c r="AI15" s="1"/>
      <c r="AJ15" s="1" t="s">
        <v>693</v>
      </c>
      <c r="AK15" s="107">
        <v>46293.372569444444</v>
      </c>
      <c r="AL15" s="1"/>
      <c r="AM15" s="1"/>
      <c r="AN15" s="1"/>
      <c r="AO15" s="1"/>
      <c r="AP15" s="1"/>
      <c r="AQ15" s="1"/>
      <c r="AR15" s="1"/>
      <c r="AS15" s="1"/>
      <c r="AT15" s="2"/>
      <c r="AU15" s="1"/>
      <c r="AV15" s="2">
        <v>2</v>
      </c>
      <c r="AW15" s="4"/>
      <c r="AX15" s="107"/>
      <c r="AY15" s="4"/>
      <c r="AZ15" s="1"/>
      <c r="BA15" s="1"/>
      <c r="BB15" s="1" t="s">
        <v>503</v>
      </c>
      <c r="BC15" s="4"/>
      <c r="BD15" s="1" t="s">
        <v>85</v>
      </c>
      <c r="BE15" s="4"/>
      <c r="BF15" s="2"/>
      <c r="BG15" s="4"/>
      <c r="BH15" s="1"/>
      <c r="BI15" s="1" t="s">
        <v>189</v>
      </c>
    </row>
    <row r="16" spans="1:61" ht="13.5" customHeight="1" x14ac:dyDescent="0.25">
      <c r="A16" s="2">
        <v>2119</v>
      </c>
      <c r="B16" s="1" t="s">
        <v>1092</v>
      </c>
      <c r="C16" s="1" t="s">
        <v>47</v>
      </c>
      <c r="D16" s="1" t="s">
        <v>710</v>
      </c>
      <c r="E16" s="1" t="s">
        <v>699</v>
      </c>
      <c r="F16" s="1" t="s">
        <v>314</v>
      </c>
      <c r="G16" s="2">
        <v>39</v>
      </c>
      <c r="H16" s="101">
        <v>4</v>
      </c>
      <c r="I16" s="101">
        <v>3</v>
      </c>
      <c r="J16" s="39">
        <v>1</v>
      </c>
      <c r="K16" s="53" t="s">
        <v>248</v>
      </c>
      <c r="L16" s="66">
        <v>0</v>
      </c>
      <c r="M16" s="8" t="s">
        <v>737</v>
      </c>
      <c r="N16" s="1" t="s">
        <v>175</v>
      </c>
      <c r="O16" s="7" t="s">
        <v>1093</v>
      </c>
      <c r="P16" s="107">
        <v>46239.776886574073</v>
      </c>
      <c r="Q16" s="107">
        <v>46295.429398148146</v>
      </c>
      <c r="R16" s="107"/>
      <c r="S16" s="1" t="s">
        <v>737</v>
      </c>
      <c r="T16" s="1" t="s">
        <v>81</v>
      </c>
      <c r="U16" s="4"/>
      <c r="V16" s="2"/>
      <c r="W16" s="107"/>
      <c r="X16" s="1"/>
      <c r="Y16" s="1" t="s">
        <v>737</v>
      </c>
      <c r="Z16" s="107">
        <v>46293.695127314815</v>
      </c>
      <c r="AA16" s="1"/>
      <c r="AB16" s="4"/>
      <c r="AC16" s="4"/>
      <c r="AD16" s="1"/>
      <c r="AE16" s="1" t="s">
        <v>63</v>
      </c>
      <c r="AF16" s="1"/>
      <c r="AG16" s="2"/>
      <c r="AH16" s="1"/>
      <c r="AI16" s="1"/>
      <c r="AJ16" s="1" t="s">
        <v>737</v>
      </c>
      <c r="AK16" s="107">
        <v>46295.429398148146</v>
      </c>
      <c r="AL16" s="1"/>
      <c r="AM16" s="1"/>
      <c r="AN16" s="1"/>
      <c r="AO16" s="1"/>
      <c r="AP16" s="1"/>
      <c r="AQ16" s="1"/>
      <c r="AR16" s="1"/>
      <c r="AS16" s="1"/>
      <c r="AT16" s="2"/>
      <c r="AU16" s="1"/>
      <c r="AV16" s="2">
        <v>3</v>
      </c>
      <c r="AW16" s="4"/>
      <c r="AX16" s="107"/>
      <c r="AY16" s="4"/>
      <c r="AZ16" s="1"/>
      <c r="BA16" s="1"/>
      <c r="BB16" s="1" t="s">
        <v>503</v>
      </c>
      <c r="BC16" s="4"/>
      <c r="BD16" s="1" t="s">
        <v>85</v>
      </c>
      <c r="BE16" s="4"/>
      <c r="BF16" s="2"/>
      <c r="BG16" s="4"/>
      <c r="BH16" s="1"/>
      <c r="BI16" s="1" t="s">
        <v>189</v>
      </c>
    </row>
    <row r="17" spans="1:61" ht="13.5" customHeight="1" x14ac:dyDescent="0.25">
      <c r="A17" s="2">
        <v>2125</v>
      </c>
      <c r="B17" s="1" t="s">
        <v>791</v>
      </c>
      <c r="C17" s="1" t="s">
        <v>47</v>
      </c>
      <c r="D17" s="1" t="s">
        <v>309</v>
      </c>
      <c r="E17" s="1" t="s">
        <v>729</v>
      </c>
      <c r="F17" s="1" t="s">
        <v>466</v>
      </c>
      <c r="G17" s="2">
        <v>37</v>
      </c>
      <c r="H17" s="101"/>
      <c r="I17" s="101"/>
      <c r="J17" s="39">
        <v>1</v>
      </c>
      <c r="K17" s="53" t="s">
        <v>248</v>
      </c>
      <c r="L17" s="66">
        <v>0</v>
      </c>
      <c r="M17" s="8" t="s">
        <v>738</v>
      </c>
      <c r="N17" s="1" t="s">
        <v>175</v>
      </c>
      <c r="O17" s="7" t="s">
        <v>799</v>
      </c>
      <c r="P17" s="107">
        <v>46244.724421296298</v>
      </c>
      <c r="Q17" s="107">
        <v>46283.703194444446</v>
      </c>
      <c r="R17" s="107"/>
      <c r="S17" s="1" t="s">
        <v>371</v>
      </c>
      <c r="T17" s="1" t="s">
        <v>437</v>
      </c>
      <c r="U17" s="4" t="s">
        <v>591</v>
      </c>
      <c r="V17" s="2"/>
      <c r="W17" s="107"/>
      <c r="X17" s="1"/>
      <c r="Y17" s="1" t="s">
        <v>738</v>
      </c>
      <c r="Z17" s="107">
        <v>46248.495740740742</v>
      </c>
      <c r="AA17" s="1"/>
      <c r="AB17" s="4"/>
      <c r="AC17" s="4"/>
      <c r="AD17" s="1"/>
      <c r="AE17" s="1" t="s">
        <v>63</v>
      </c>
      <c r="AF17" s="1"/>
      <c r="AG17" s="2"/>
      <c r="AH17" s="1"/>
      <c r="AI17" s="1"/>
      <c r="AJ17" s="1" t="s">
        <v>371</v>
      </c>
      <c r="AK17" s="107">
        <v>46283.703194444446</v>
      </c>
      <c r="AL17" s="1"/>
      <c r="AM17" s="1"/>
      <c r="AN17" s="1"/>
      <c r="AO17" s="1"/>
      <c r="AP17" s="1"/>
      <c r="AQ17" s="1"/>
      <c r="AR17" s="1"/>
      <c r="AS17" s="1"/>
      <c r="AT17" s="2"/>
      <c r="AU17" s="1"/>
      <c r="AV17" s="2">
        <v>1</v>
      </c>
      <c r="AW17" s="4"/>
      <c r="AX17" s="107"/>
      <c r="AY17" s="4"/>
      <c r="AZ17" s="1"/>
      <c r="BA17" s="1"/>
      <c r="BB17" s="1" t="s">
        <v>503</v>
      </c>
      <c r="BC17" s="4"/>
      <c r="BD17" s="1" t="s">
        <v>85</v>
      </c>
      <c r="BE17" s="4"/>
      <c r="BF17" s="2">
        <v>2114</v>
      </c>
      <c r="BG17" s="4"/>
      <c r="BH17" s="1"/>
      <c r="BI17" s="1" t="s">
        <v>189</v>
      </c>
    </row>
    <row r="18" spans="1:61" ht="13.5" customHeight="1" x14ac:dyDescent="0.25">
      <c r="A18" s="2">
        <v>2132</v>
      </c>
      <c r="B18" s="1" t="s">
        <v>792</v>
      </c>
      <c r="C18" s="1" t="s">
        <v>47</v>
      </c>
      <c r="D18" s="1" t="s">
        <v>309</v>
      </c>
      <c r="E18" s="1" t="s">
        <v>729</v>
      </c>
      <c r="F18" s="1" t="s">
        <v>314</v>
      </c>
      <c r="G18" s="2">
        <v>37</v>
      </c>
      <c r="H18" s="101"/>
      <c r="I18" s="101"/>
      <c r="J18" s="39">
        <v>1</v>
      </c>
      <c r="K18" s="53" t="s">
        <v>248</v>
      </c>
      <c r="L18" s="66">
        <v>0</v>
      </c>
      <c r="M18" s="8" t="s">
        <v>738</v>
      </c>
      <c r="N18" s="1" t="s">
        <v>175</v>
      </c>
      <c r="O18" s="7" t="s">
        <v>800</v>
      </c>
      <c r="P18" s="107">
        <v>46252.692997685182</v>
      </c>
      <c r="Q18" s="107">
        <v>46295.604814814818</v>
      </c>
      <c r="R18" s="107"/>
      <c r="S18" s="1" t="s">
        <v>693</v>
      </c>
      <c r="T18" s="1" t="s">
        <v>693</v>
      </c>
      <c r="U18" s="4"/>
      <c r="V18" s="2"/>
      <c r="W18" s="107"/>
      <c r="X18" s="1"/>
      <c r="Y18" s="1" t="s">
        <v>738</v>
      </c>
      <c r="Z18" s="107">
        <v>46258.366354166668</v>
      </c>
      <c r="AA18" s="1"/>
      <c r="AB18" s="4"/>
      <c r="AC18" s="4"/>
      <c r="AD18" s="1"/>
      <c r="AE18" s="1" t="s">
        <v>63</v>
      </c>
      <c r="AF18" s="1"/>
      <c r="AG18" s="2"/>
      <c r="AH18" s="1"/>
      <c r="AI18" s="1"/>
      <c r="AJ18" s="1" t="s">
        <v>693</v>
      </c>
      <c r="AK18" s="107">
        <v>46295.604814814818</v>
      </c>
      <c r="AL18" s="1"/>
      <c r="AM18" s="1"/>
      <c r="AN18" s="1"/>
      <c r="AO18" s="1"/>
      <c r="AP18" s="1"/>
      <c r="AQ18" s="1"/>
      <c r="AR18" s="1"/>
      <c r="AS18" s="1"/>
      <c r="AT18" s="2"/>
      <c r="AU18" s="1"/>
      <c r="AV18" s="2">
        <v>4</v>
      </c>
      <c r="AW18" s="4"/>
      <c r="AX18" s="107"/>
      <c r="AY18" s="4"/>
      <c r="AZ18" s="1"/>
      <c r="BA18" s="1"/>
      <c r="BB18" s="1" t="s">
        <v>503</v>
      </c>
      <c r="BC18" s="4"/>
      <c r="BD18" s="1" t="s">
        <v>85</v>
      </c>
      <c r="BE18" s="4"/>
      <c r="BF18" s="2"/>
      <c r="BG18" s="4"/>
      <c r="BH18" s="1"/>
      <c r="BI18" s="1" t="s">
        <v>189</v>
      </c>
    </row>
    <row r="19" spans="1:61" ht="13.5" customHeight="1" x14ac:dyDescent="0.25">
      <c r="A19" s="2">
        <v>2145</v>
      </c>
      <c r="B19" s="1" t="s">
        <v>982</v>
      </c>
      <c r="C19" s="1" t="s">
        <v>47</v>
      </c>
      <c r="D19" s="1" t="s">
        <v>311</v>
      </c>
      <c r="E19" s="1" t="s">
        <v>701</v>
      </c>
      <c r="F19" s="1" t="s">
        <v>466</v>
      </c>
      <c r="G19" s="2">
        <v>39</v>
      </c>
      <c r="H19" s="101">
        <v>2</v>
      </c>
      <c r="I19" s="101"/>
      <c r="J19" s="39">
        <v>2</v>
      </c>
      <c r="K19" s="53" t="s">
        <v>248</v>
      </c>
      <c r="L19" s="66">
        <v>0</v>
      </c>
      <c r="M19" s="8" t="s">
        <v>844</v>
      </c>
      <c r="N19" s="1" t="s">
        <v>175</v>
      </c>
      <c r="O19" s="7" t="s">
        <v>983</v>
      </c>
      <c r="P19" s="107">
        <v>46253.499166666668</v>
      </c>
      <c r="Q19" s="107">
        <v>46293.386064814818</v>
      </c>
      <c r="R19" s="107"/>
      <c r="S19" s="1" t="s">
        <v>693</v>
      </c>
      <c r="T19" s="1" t="s">
        <v>155</v>
      </c>
      <c r="U19" s="4"/>
      <c r="V19" s="2"/>
      <c r="W19" s="107"/>
      <c r="X19" s="1"/>
      <c r="Y19" s="1" t="s">
        <v>155</v>
      </c>
      <c r="Z19" s="107">
        <v>46290.421076388891</v>
      </c>
      <c r="AA19" s="1"/>
      <c r="AB19" s="4"/>
      <c r="AC19" s="4"/>
      <c r="AD19" s="1"/>
      <c r="AE19" s="1" t="s">
        <v>63</v>
      </c>
      <c r="AF19" s="1"/>
      <c r="AG19" s="2"/>
      <c r="AH19" s="1"/>
      <c r="AI19" s="1"/>
      <c r="AJ19" s="1" t="s">
        <v>693</v>
      </c>
      <c r="AK19" s="107">
        <v>46293.386064814818</v>
      </c>
      <c r="AL19" s="1"/>
      <c r="AM19" s="1"/>
      <c r="AN19" s="1"/>
      <c r="AO19" s="1"/>
      <c r="AP19" s="1"/>
      <c r="AQ19" s="1"/>
      <c r="AR19" s="1"/>
      <c r="AS19" s="1"/>
      <c r="AT19" s="2"/>
      <c r="AU19" s="1"/>
      <c r="AV19" s="2">
        <v>1</v>
      </c>
      <c r="AW19" s="4"/>
      <c r="AX19" s="107"/>
      <c r="AY19" s="4"/>
      <c r="AZ19" s="1"/>
      <c r="BA19" s="1"/>
      <c r="BB19" s="1" t="s">
        <v>503</v>
      </c>
      <c r="BC19" s="4"/>
      <c r="BD19" s="1" t="s">
        <v>85</v>
      </c>
      <c r="BE19" s="4"/>
      <c r="BF19" s="2"/>
      <c r="BG19" s="4"/>
      <c r="BH19" s="1"/>
      <c r="BI19" s="1" t="s">
        <v>189</v>
      </c>
    </row>
    <row r="20" spans="1:61" ht="13.5" customHeight="1" x14ac:dyDescent="0.25">
      <c r="A20" s="2">
        <v>2158</v>
      </c>
      <c r="B20" s="1" t="s">
        <v>979</v>
      </c>
      <c r="C20" s="1" t="s">
        <v>47</v>
      </c>
      <c r="D20" s="1" t="s">
        <v>310</v>
      </c>
      <c r="E20" s="1" t="s">
        <v>708</v>
      </c>
      <c r="F20" s="1" t="s">
        <v>314</v>
      </c>
      <c r="G20" s="2">
        <v>38</v>
      </c>
      <c r="H20" s="101">
        <v>16</v>
      </c>
      <c r="I20" s="101"/>
      <c r="J20" s="39">
        <v>1</v>
      </c>
      <c r="K20" s="53" t="s">
        <v>248</v>
      </c>
      <c r="L20" s="66">
        <v>0</v>
      </c>
      <c r="M20" s="8" t="s">
        <v>844</v>
      </c>
      <c r="N20" s="1" t="s">
        <v>175</v>
      </c>
      <c r="O20" s="7" t="s">
        <v>980</v>
      </c>
      <c r="P20" s="107">
        <v>46258.473032407404</v>
      </c>
      <c r="Q20" s="107">
        <v>46289.464236111111</v>
      </c>
      <c r="R20" s="107"/>
      <c r="S20" s="1" t="s">
        <v>693</v>
      </c>
      <c r="T20" s="1" t="s">
        <v>693</v>
      </c>
      <c r="U20" s="4"/>
      <c r="V20" s="2"/>
      <c r="W20" s="107"/>
      <c r="X20" s="1"/>
      <c r="Y20" s="1" t="s">
        <v>844</v>
      </c>
      <c r="Z20" s="107">
        <v>46288.674270833333</v>
      </c>
      <c r="AA20" s="1"/>
      <c r="AB20" s="4"/>
      <c r="AC20" s="4"/>
      <c r="AD20" s="1"/>
      <c r="AE20" s="1" t="s">
        <v>63</v>
      </c>
      <c r="AF20" s="1"/>
      <c r="AG20" s="2"/>
      <c r="AH20" s="1"/>
      <c r="AI20" s="1"/>
      <c r="AJ20" s="1" t="s">
        <v>693</v>
      </c>
      <c r="AK20" s="107">
        <v>46289.464236111111</v>
      </c>
      <c r="AL20" s="1"/>
      <c r="AM20" s="1"/>
      <c r="AN20" s="1"/>
      <c r="AO20" s="1"/>
      <c r="AP20" s="1"/>
      <c r="AQ20" s="1"/>
      <c r="AR20" s="1"/>
      <c r="AS20" s="1"/>
      <c r="AT20" s="2"/>
      <c r="AU20" s="1"/>
      <c r="AV20" s="2">
        <v>1</v>
      </c>
      <c r="AW20" s="4"/>
      <c r="AX20" s="107"/>
      <c r="AY20" s="4"/>
      <c r="AZ20" s="1"/>
      <c r="BA20" s="1"/>
      <c r="BB20" s="1" t="s">
        <v>503</v>
      </c>
      <c r="BC20" s="4"/>
      <c r="BD20" s="1" t="s">
        <v>85</v>
      </c>
      <c r="BE20" s="4"/>
      <c r="BF20" s="2"/>
      <c r="BG20" s="4"/>
      <c r="BH20" s="1"/>
      <c r="BI20" s="1" t="s">
        <v>189</v>
      </c>
    </row>
    <row r="21" spans="1:61" ht="13.5" customHeight="1" x14ac:dyDescent="0.25">
      <c r="A21" s="2">
        <v>2159</v>
      </c>
      <c r="B21" s="1" t="s">
        <v>1079</v>
      </c>
      <c r="C21" s="1" t="s">
        <v>47</v>
      </c>
      <c r="D21" s="1" t="s">
        <v>307</v>
      </c>
      <c r="E21" s="1" t="s">
        <v>729</v>
      </c>
      <c r="F21" s="1" t="s">
        <v>314</v>
      </c>
      <c r="G21" s="2">
        <v>40</v>
      </c>
      <c r="H21" s="101">
        <v>4</v>
      </c>
      <c r="I21" s="101"/>
      <c r="J21" s="39">
        <v>2</v>
      </c>
      <c r="K21" s="53" t="s">
        <v>248</v>
      </c>
      <c r="L21" s="66">
        <v>0</v>
      </c>
      <c r="M21" s="8" t="s">
        <v>844</v>
      </c>
      <c r="N21" s="1" t="s">
        <v>175</v>
      </c>
      <c r="O21" s="7" t="s">
        <v>1080</v>
      </c>
      <c r="P21" s="108">
        <v>46258.483773148146</v>
      </c>
      <c r="Q21" s="108">
        <v>46294.590011574073</v>
      </c>
      <c r="R21" s="108"/>
      <c r="S21" s="1" t="s">
        <v>693</v>
      </c>
      <c r="T21" s="1" t="s">
        <v>155</v>
      </c>
      <c r="U21" s="4"/>
      <c r="V21" s="2"/>
      <c r="W21" s="108"/>
      <c r="X21" s="1"/>
      <c r="Y21" s="1" t="s">
        <v>844</v>
      </c>
      <c r="Z21" s="108">
        <v>46293.609456018516</v>
      </c>
      <c r="AA21" s="1"/>
      <c r="AB21" s="4"/>
      <c r="AC21" s="4"/>
      <c r="AD21" s="1"/>
      <c r="AE21" s="1" t="s">
        <v>63</v>
      </c>
      <c r="AF21" s="1"/>
      <c r="AG21" s="2"/>
      <c r="AH21" s="1"/>
      <c r="AI21" s="1"/>
      <c r="AJ21" s="1" t="s">
        <v>693</v>
      </c>
      <c r="AK21" s="108">
        <v>46294.590011574073</v>
      </c>
      <c r="AL21" s="1"/>
      <c r="AM21" s="1"/>
      <c r="AN21" s="1"/>
      <c r="AO21" s="1"/>
      <c r="AP21" s="1"/>
      <c r="AQ21" s="1"/>
      <c r="AR21" s="1"/>
      <c r="AS21" s="1"/>
      <c r="AT21" s="2"/>
      <c r="AU21" s="1"/>
      <c r="AV21" s="2">
        <v>1</v>
      </c>
      <c r="AW21" s="4"/>
      <c r="AX21" s="108"/>
      <c r="AY21" s="4"/>
      <c r="AZ21" s="1"/>
      <c r="BA21" s="1"/>
      <c r="BB21" s="1" t="s">
        <v>503</v>
      </c>
      <c r="BC21" s="4"/>
      <c r="BD21" s="1" t="s">
        <v>85</v>
      </c>
      <c r="BE21" s="4"/>
      <c r="BF21" s="2"/>
      <c r="BG21" s="4"/>
      <c r="BH21" s="1"/>
      <c r="BI21" s="1" t="s">
        <v>189</v>
      </c>
    </row>
    <row r="22" spans="1:61" ht="13.5" customHeight="1" x14ac:dyDescent="0.25">
      <c r="A22" s="2">
        <v>2205</v>
      </c>
      <c r="B22" s="1" t="s">
        <v>975</v>
      </c>
      <c r="C22" s="1" t="s">
        <v>47</v>
      </c>
      <c r="D22" s="1" t="s">
        <v>710</v>
      </c>
      <c r="E22" s="1" t="s">
        <v>699</v>
      </c>
      <c r="F22" s="1" t="s">
        <v>314</v>
      </c>
      <c r="G22" s="2">
        <v>39</v>
      </c>
      <c r="H22" s="101">
        <v>16</v>
      </c>
      <c r="I22" s="101"/>
      <c r="J22" s="39">
        <v>1</v>
      </c>
      <c r="K22" s="53" t="s">
        <v>248</v>
      </c>
      <c r="L22" s="66">
        <v>0</v>
      </c>
      <c r="M22" s="8" t="s">
        <v>844</v>
      </c>
      <c r="N22" s="1" t="s">
        <v>175</v>
      </c>
      <c r="O22" s="7" t="s">
        <v>976</v>
      </c>
      <c r="P22" s="108">
        <v>46283.508877314816</v>
      </c>
      <c r="Q22" s="108">
        <v>46288.670034722221</v>
      </c>
      <c r="R22" s="108"/>
      <c r="S22" s="1" t="s">
        <v>693</v>
      </c>
      <c r="T22" s="1" t="s">
        <v>155</v>
      </c>
      <c r="U22" s="4"/>
      <c r="V22" s="2"/>
      <c r="W22" s="108"/>
      <c r="X22" s="1"/>
      <c r="Y22" s="1" t="s">
        <v>844</v>
      </c>
      <c r="Z22" s="108">
        <v>46286.549976851849</v>
      </c>
      <c r="AA22" s="1"/>
      <c r="AB22" s="4"/>
      <c r="AC22" s="4"/>
      <c r="AD22" s="1"/>
      <c r="AE22" s="1" t="s">
        <v>63</v>
      </c>
      <c r="AF22" s="1"/>
      <c r="AG22" s="2"/>
      <c r="AH22" s="1"/>
      <c r="AI22" s="1"/>
      <c r="AJ22" s="1" t="s">
        <v>693</v>
      </c>
      <c r="AK22" s="108">
        <v>46288.670034722221</v>
      </c>
      <c r="AL22" s="1"/>
      <c r="AM22" s="1"/>
      <c r="AN22" s="1"/>
      <c r="AO22" s="1"/>
      <c r="AP22" s="1"/>
      <c r="AQ22" s="1"/>
      <c r="AR22" s="1"/>
      <c r="AS22" s="1"/>
      <c r="AT22" s="2"/>
      <c r="AU22" s="1"/>
      <c r="AV22" s="2">
        <v>2</v>
      </c>
      <c r="AW22" s="4"/>
      <c r="AX22" s="108"/>
      <c r="AY22" s="4"/>
      <c r="AZ22" s="1"/>
      <c r="BA22" s="1"/>
      <c r="BB22" s="1" t="s">
        <v>503</v>
      </c>
      <c r="BC22" s="4"/>
      <c r="BD22" s="1" t="s">
        <v>85</v>
      </c>
      <c r="BE22" s="4"/>
      <c r="BF22" s="2"/>
      <c r="BG22" s="4"/>
      <c r="BH22" s="1"/>
      <c r="BI22" s="1" t="s">
        <v>189</v>
      </c>
    </row>
    <row r="23" spans="1:61" ht="13.5" customHeight="1" x14ac:dyDescent="0.25">
      <c r="A23" s="2">
        <v>2209</v>
      </c>
      <c r="B23" s="1" t="s">
        <v>984</v>
      </c>
      <c r="C23" s="1" t="s">
        <v>47</v>
      </c>
      <c r="D23" s="1" t="s">
        <v>711</v>
      </c>
      <c r="E23" s="1" t="s">
        <v>702</v>
      </c>
      <c r="F23" s="1" t="s">
        <v>466</v>
      </c>
      <c r="G23" s="2">
        <v>39</v>
      </c>
      <c r="H23" s="101">
        <v>4</v>
      </c>
      <c r="I23" s="101"/>
      <c r="J23" s="39">
        <v>1</v>
      </c>
      <c r="K23" s="53" t="s">
        <v>248</v>
      </c>
      <c r="L23" s="66">
        <v>0</v>
      </c>
      <c r="M23" s="8" t="s">
        <v>91</v>
      </c>
      <c r="N23" s="1" t="s">
        <v>175</v>
      </c>
      <c r="O23" s="7" t="s">
        <v>985</v>
      </c>
      <c r="P23" s="108">
        <v>46286.413113425922</v>
      </c>
      <c r="Q23" s="108">
        <v>46293.369444444441</v>
      </c>
      <c r="R23" s="108"/>
      <c r="S23" s="1" t="s">
        <v>693</v>
      </c>
      <c r="T23" s="1" t="s">
        <v>155</v>
      </c>
      <c r="U23" s="4"/>
      <c r="V23" s="2"/>
      <c r="W23" s="108"/>
      <c r="X23" s="1"/>
      <c r="Y23" s="1" t="s">
        <v>91</v>
      </c>
      <c r="Z23" s="108">
        <v>46290.360497685186</v>
      </c>
      <c r="AA23" s="1"/>
      <c r="AB23" s="4"/>
      <c r="AC23" s="4"/>
      <c r="AD23" s="1"/>
      <c r="AE23" s="1" t="s">
        <v>63</v>
      </c>
      <c r="AF23" s="1"/>
      <c r="AG23" s="2"/>
      <c r="AH23" s="1"/>
      <c r="AI23" s="1"/>
      <c r="AJ23" s="1" t="s">
        <v>693</v>
      </c>
      <c r="AK23" s="108">
        <v>46293.369444444441</v>
      </c>
      <c r="AL23" s="1"/>
      <c r="AM23" s="1"/>
      <c r="AN23" s="1"/>
      <c r="AO23" s="1"/>
      <c r="AP23" s="1"/>
      <c r="AQ23" s="1"/>
      <c r="AR23" s="1"/>
      <c r="AS23" s="1"/>
      <c r="AT23" s="2"/>
      <c r="AU23" s="1"/>
      <c r="AV23" s="2">
        <v>5</v>
      </c>
      <c r="AW23" s="4"/>
      <c r="AX23" s="108"/>
      <c r="AY23" s="4"/>
      <c r="AZ23" s="1"/>
      <c r="BA23" s="1"/>
      <c r="BB23" s="1" t="s">
        <v>503</v>
      </c>
      <c r="BC23" s="4"/>
      <c r="BD23" s="1" t="s">
        <v>85</v>
      </c>
      <c r="BE23" s="4"/>
      <c r="BF23" s="2"/>
      <c r="BG23" s="4"/>
      <c r="BH23" s="1"/>
      <c r="BI23" s="1" t="s">
        <v>189</v>
      </c>
    </row>
    <row r="24" spans="1:61" ht="13.5" customHeight="1" x14ac:dyDescent="0.25">
      <c r="A24" s="2">
        <v>2210</v>
      </c>
      <c r="B24" s="1" t="s">
        <v>986</v>
      </c>
      <c r="C24" s="1" t="s">
        <v>47</v>
      </c>
      <c r="D24" s="1" t="s">
        <v>711</v>
      </c>
      <c r="E24" s="1" t="s">
        <v>702</v>
      </c>
      <c r="F24" s="1" t="s">
        <v>314</v>
      </c>
      <c r="G24" s="2">
        <v>39</v>
      </c>
      <c r="H24" s="101">
        <v>16</v>
      </c>
      <c r="I24" s="101"/>
      <c r="J24" s="39">
        <v>1</v>
      </c>
      <c r="K24" s="53" t="s">
        <v>248</v>
      </c>
      <c r="L24" s="66">
        <v>0</v>
      </c>
      <c r="M24" s="8" t="s">
        <v>91</v>
      </c>
      <c r="N24" s="1" t="s">
        <v>175</v>
      </c>
      <c r="O24" s="7" t="s">
        <v>987</v>
      </c>
      <c r="P24" s="108">
        <v>46286.543761574074</v>
      </c>
      <c r="Q24" s="108">
        <v>46293.380104166667</v>
      </c>
      <c r="R24" s="108"/>
      <c r="S24" s="1" t="s">
        <v>693</v>
      </c>
      <c r="T24" s="1" t="s">
        <v>155</v>
      </c>
      <c r="U24" s="4"/>
      <c r="V24" s="2"/>
      <c r="W24" s="108"/>
      <c r="X24" s="1"/>
      <c r="Y24" s="1" t="s">
        <v>91</v>
      </c>
      <c r="Z24" s="108">
        <v>46288.638749999998</v>
      </c>
      <c r="AA24" s="1"/>
      <c r="AB24" s="4"/>
      <c r="AC24" s="4"/>
      <c r="AD24" s="1"/>
      <c r="AE24" s="1" t="s">
        <v>63</v>
      </c>
      <c r="AF24" s="1"/>
      <c r="AG24" s="2"/>
      <c r="AH24" s="1"/>
      <c r="AI24" s="1"/>
      <c r="AJ24" s="1" t="s">
        <v>693</v>
      </c>
      <c r="AK24" s="108">
        <v>46293.380104166667</v>
      </c>
      <c r="AL24" s="1"/>
      <c r="AM24" s="1"/>
      <c r="AN24" s="1"/>
      <c r="AO24" s="1"/>
      <c r="AP24" s="1"/>
      <c r="AQ24" s="1"/>
      <c r="AR24" s="1"/>
      <c r="AS24" s="1"/>
      <c r="AT24" s="2"/>
      <c r="AU24" s="1"/>
      <c r="AV24" s="2">
        <v>3</v>
      </c>
      <c r="AW24" s="4"/>
      <c r="AX24" s="108"/>
      <c r="AY24" s="4"/>
      <c r="AZ24" s="1"/>
      <c r="BA24" s="1"/>
      <c r="BB24" s="1" t="s">
        <v>503</v>
      </c>
      <c r="BC24" s="4"/>
      <c r="BD24" s="1" t="s">
        <v>85</v>
      </c>
      <c r="BE24" s="4"/>
      <c r="BF24" s="2"/>
      <c r="BG24" s="4"/>
      <c r="BH24" s="1"/>
      <c r="BI24" s="1" t="s">
        <v>189</v>
      </c>
    </row>
    <row r="25" spans="1:61" ht="13.5" customHeight="1" x14ac:dyDescent="0.25">
      <c r="A25" s="2">
        <v>2211</v>
      </c>
      <c r="B25" s="1" t="s">
        <v>932</v>
      </c>
      <c r="C25" s="1" t="s">
        <v>47</v>
      </c>
      <c r="D25" s="1" t="s">
        <v>310</v>
      </c>
      <c r="E25" s="1" t="s">
        <v>708</v>
      </c>
      <c r="F25" s="1" t="s">
        <v>709</v>
      </c>
      <c r="G25" s="2">
        <v>39</v>
      </c>
      <c r="H25" s="101">
        <v>10</v>
      </c>
      <c r="I25" s="101"/>
      <c r="J25" s="39">
        <v>1</v>
      </c>
      <c r="K25" s="53" t="s">
        <v>248</v>
      </c>
      <c r="L25" s="66">
        <v>0</v>
      </c>
      <c r="M25" s="8" t="s">
        <v>91</v>
      </c>
      <c r="N25" s="1" t="s">
        <v>175</v>
      </c>
      <c r="O25" s="7" t="s">
        <v>933</v>
      </c>
      <c r="P25" s="108">
        <v>46286.560347222221</v>
      </c>
      <c r="Q25" s="108">
        <v>46295.625196759262</v>
      </c>
      <c r="R25" s="108"/>
      <c r="S25" s="1" t="s">
        <v>693</v>
      </c>
      <c r="T25" s="1" t="s">
        <v>155</v>
      </c>
      <c r="U25" s="4" t="s">
        <v>539</v>
      </c>
      <c r="V25" s="2"/>
      <c r="W25" s="108"/>
      <c r="X25" s="1"/>
      <c r="Y25" s="1" t="s">
        <v>91</v>
      </c>
      <c r="Z25" s="108">
        <v>46286.662789351853</v>
      </c>
      <c r="AA25" s="1"/>
      <c r="AB25" s="4"/>
      <c r="AC25" s="4"/>
      <c r="AD25" s="1"/>
      <c r="AE25" s="1" t="s">
        <v>63</v>
      </c>
      <c r="AF25" s="1"/>
      <c r="AG25" s="2"/>
      <c r="AH25" s="1"/>
      <c r="AI25" s="1"/>
      <c r="AJ25" s="1" t="s">
        <v>693</v>
      </c>
      <c r="AK25" s="108">
        <v>46295.625196759262</v>
      </c>
      <c r="AL25" s="1"/>
      <c r="AM25" s="1"/>
      <c r="AN25" s="1"/>
      <c r="AO25" s="1"/>
      <c r="AP25" s="1"/>
      <c r="AQ25" s="1"/>
      <c r="AR25" s="1"/>
      <c r="AS25" s="1"/>
      <c r="AT25" s="2"/>
      <c r="AU25" s="1"/>
      <c r="AV25" s="2">
        <v>1</v>
      </c>
      <c r="AW25" s="4"/>
      <c r="AX25" s="108"/>
      <c r="AY25" s="4"/>
      <c r="AZ25" s="1"/>
      <c r="BA25" s="1"/>
      <c r="BB25" s="1" t="s">
        <v>503</v>
      </c>
      <c r="BC25" s="4"/>
      <c r="BD25" s="1" t="s">
        <v>85</v>
      </c>
      <c r="BE25" s="4"/>
      <c r="BF25" s="2"/>
      <c r="BG25" s="4"/>
      <c r="BH25" s="1"/>
      <c r="BI25" s="1" t="s">
        <v>189</v>
      </c>
    </row>
    <row r="26" spans="1:61" ht="13.5" customHeight="1" x14ac:dyDescent="0.25">
      <c r="A26" s="2">
        <v>2213</v>
      </c>
      <c r="B26" s="1" t="s">
        <v>977</v>
      </c>
      <c r="C26" s="1" t="s">
        <v>47</v>
      </c>
      <c r="D26" s="1" t="s">
        <v>310</v>
      </c>
      <c r="E26" s="1" t="s">
        <v>708</v>
      </c>
      <c r="F26" s="1" t="s">
        <v>466</v>
      </c>
      <c r="G26" s="2"/>
      <c r="H26" s="101">
        <v>4</v>
      </c>
      <c r="I26" s="101"/>
      <c r="J26" s="39">
        <v>2</v>
      </c>
      <c r="K26" s="53" t="s">
        <v>248</v>
      </c>
      <c r="L26" s="66">
        <v>0</v>
      </c>
      <c r="M26" s="8" t="s">
        <v>737</v>
      </c>
      <c r="N26" s="1" t="s">
        <v>175</v>
      </c>
      <c r="O26" s="7" t="s">
        <v>978</v>
      </c>
      <c r="P26" s="108">
        <v>46287.585416666669</v>
      </c>
      <c r="Q26" s="108">
        <v>46288.710879629631</v>
      </c>
      <c r="R26" s="108"/>
      <c r="S26" s="1" t="s">
        <v>693</v>
      </c>
      <c r="T26" s="1" t="s">
        <v>693</v>
      </c>
      <c r="U26" s="4"/>
      <c r="V26" s="2"/>
      <c r="W26" s="108"/>
      <c r="X26" s="1"/>
      <c r="Y26" s="1" t="s">
        <v>737</v>
      </c>
      <c r="Z26" s="108">
        <v>46288.575254629628</v>
      </c>
      <c r="AA26" s="1"/>
      <c r="AB26" s="4"/>
      <c r="AC26" s="4"/>
      <c r="AD26" s="1"/>
      <c r="AE26" s="1" t="s">
        <v>63</v>
      </c>
      <c r="AF26" s="1"/>
      <c r="AG26" s="2"/>
      <c r="AH26" s="1"/>
      <c r="AI26" s="1"/>
      <c r="AJ26" s="1" t="s">
        <v>693</v>
      </c>
      <c r="AK26" s="108">
        <v>46288.710879629631</v>
      </c>
      <c r="AL26" s="1"/>
      <c r="AM26" s="1"/>
      <c r="AN26" s="1"/>
      <c r="AO26" s="1"/>
      <c r="AP26" s="1"/>
      <c r="AQ26" s="1"/>
      <c r="AR26" s="1"/>
      <c r="AS26" s="1"/>
      <c r="AT26" s="2"/>
      <c r="AU26" s="1"/>
      <c r="AV26" s="2">
        <v>1</v>
      </c>
      <c r="AW26" s="4"/>
      <c r="AX26" s="108"/>
      <c r="AY26" s="4"/>
      <c r="AZ26" s="1"/>
      <c r="BA26" s="1"/>
      <c r="BB26" s="1" t="s">
        <v>503</v>
      </c>
      <c r="BC26" s="4"/>
      <c r="BD26" s="1" t="s">
        <v>85</v>
      </c>
      <c r="BE26" s="4"/>
      <c r="BF26" s="2"/>
      <c r="BG26" s="4"/>
      <c r="BH26" s="1"/>
      <c r="BI26" s="1" t="s">
        <v>189</v>
      </c>
    </row>
    <row r="27" spans="1:61" ht="13.5" customHeight="1" x14ac:dyDescent="0.25">
      <c r="A27" s="2">
        <v>2225</v>
      </c>
      <c r="B27" s="1" t="s">
        <v>1057</v>
      </c>
      <c r="C27" s="1" t="s">
        <v>47</v>
      </c>
      <c r="D27" s="1" t="s">
        <v>310</v>
      </c>
      <c r="E27" s="1" t="s">
        <v>708</v>
      </c>
      <c r="F27" s="1" t="s">
        <v>466</v>
      </c>
      <c r="G27" s="2">
        <v>39</v>
      </c>
      <c r="H27" s="101">
        <v>10</v>
      </c>
      <c r="I27" s="101"/>
      <c r="J27" s="39">
        <v>1</v>
      </c>
      <c r="K27" s="53" t="s">
        <v>248</v>
      </c>
      <c r="L27" s="66">
        <v>0</v>
      </c>
      <c r="M27" s="8" t="s">
        <v>737</v>
      </c>
      <c r="N27" s="1" t="s">
        <v>175</v>
      </c>
      <c r="O27" s="7" t="s">
        <v>1058</v>
      </c>
      <c r="P27" s="108">
        <v>46289.46675925926</v>
      </c>
      <c r="Q27" s="108">
        <v>46293.604907407411</v>
      </c>
      <c r="R27" s="108"/>
      <c r="S27" s="1" t="s">
        <v>693</v>
      </c>
      <c r="T27" s="1" t="s">
        <v>693</v>
      </c>
      <c r="U27" s="4"/>
      <c r="V27" s="2"/>
      <c r="W27" s="108"/>
      <c r="X27" s="1"/>
      <c r="Y27" s="1" t="s">
        <v>737</v>
      </c>
      <c r="Z27" s="108">
        <v>46290.616365740738</v>
      </c>
      <c r="AA27" s="1"/>
      <c r="AB27" s="4"/>
      <c r="AC27" s="4"/>
      <c r="AD27" s="1"/>
      <c r="AE27" s="1" t="s">
        <v>63</v>
      </c>
      <c r="AF27" s="1"/>
      <c r="AG27" s="2"/>
      <c r="AH27" s="1"/>
      <c r="AI27" s="1"/>
      <c r="AJ27" s="1" t="s">
        <v>693</v>
      </c>
      <c r="AK27" s="108">
        <v>46293.604907407411</v>
      </c>
      <c r="AL27" s="1"/>
      <c r="AM27" s="1"/>
      <c r="AN27" s="1"/>
      <c r="AO27" s="1"/>
      <c r="AP27" s="1"/>
      <c r="AQ27" s="1"/>
      <c r="AR27" s="1"/>
      <c r="AS27" s="1"/>
      <c r="AT27" s="2"/>
      <c r="AU27" s="1"/>
      <c r="AV27" s="2">
        <v>1</v>
      </c>
      <c r="AW27" s="4"/>
      <c r="AX27" s="108"/>
      <c r="AY27" s="4"/>
      <c r="AZ27" s="1"/>
      <c r="BA27" s="1"/>
      <c r="BB27" s="1" t="s">
        <v>503</v>
      </c>
      <c r="BC27" s="4"/>
      <c r="BD27" s="1" t="s">
        <v>85</v>
      </c>
      <c r="BE27" s="4"/>
      <c r="BF27" s="2"/>
      <c r="BG27" s="4"/>
      <c r="BH27" s="1"/>
      <c r="BI27" s="1" t="s">
        <v>189</v>
      </c>
    </row>
    <row r="28" spans="1:61" ht="13.5" customHeight="1" x14ac:dyDescent="0.25">
      <c r="A28" s="2">
        <v>1526</v>
      </c>
      <c r="B28" s="1" t="s">
        <v>740</v>
      </c>
      <c r="C28" s="1" t="s">
        <v>47</v>
      </c>
      <c r="D28" s="1" t="s">
        <v>711</v>
      </c>
      <c r="E28" s="1" t="s">
        <v>702</v>
      </c>
      <c r="F28" s="1" t="s">
        <v>314</v>
      </c>
      <c r="G28" s="2">
        <v>37</v>
      </c>
      <c r="H28" s="101">
        <v>100</v>
      </c>
      <c r="I28" s="101">
        <v>100</v>
      </c>
      <c r="J28" s="39">
        <v>1</v>
      </c>
      <c r="K28" s="53" t="s">
        <v>248</v>
      </c>
      <c r="L28" s="66">
        <v>1</v>
      </c>
      <c r="M28" s="8" t="s">
        <v>91</v>
      </c>
      <c r="N28" s="1" t="s">
        <v>175</v>
      </c>
      <c r="O28" s="7" t="s">
        <v>727</v>
      </c>
      <c r="P28" s="108">
        <v>45989.447268518517</v>
      </c>
      <c r="Q28" s="108">
        <v>46295.6016087963</v>
      </c>
      <c r="R28" s="108"/>
      <c r="S28" s="1" t="s">
        <v>91</v>
      </c>
      <c r="T28" s="1" t="s">
        <v>155</v>
      </c>
      <c r="U28" s="4" t="s">
        <v>1082</v>
      </c>
      <c r="V28" s="2"/>
      <c r="W28" s="108"/>
      <c r="X28" s="1"/>
      <c r="Y28" s="1" t="s">
        <v>91</v>
      </c>
      <c r="Z28" s="108">
        <v>46220.493611111109</v>
      </c>
      <c r="AA28" s="1"/>
      <c r="AB28" s="4"/>
      <c r="AC28" s="4"/>
      <c r="AD28" s="1"/>
      <c r="AE28" s="1" t="s">
        <v>63</v>
      </c>
      <c r="AF28" s="1"/>
      <c r="AG28" s="2"/>
      <c r="AH28" s="1"/>
      <c r="AI28" s="1"/>
      <c r="AJ28" s="1" t="s">
        <v>91</v>
      </c>
      <c r="AK28" s="108">
        <v>46295.6016087963</v>
      </c>
      <c r="AL28" s="1"/>
      <c r="AM28" s="1"/>
      <c r="AN28" s="1"/>
      <c r="AO28" s="1"/>
      <c r="AP28" s="1"/>
      <c r="AQ28" s="1"/>
      <c r="AR28" s="1"/>
      <c r="AS28" s="1"/>
      <c r="AT28" s="2"/>
      <c r="AU28" s="1"/>
      <c r="AV28" s="2">
        <v>21</v>
      </c>
      <c r="AW28" s="4"/>
      <c r="AX28" s="108"/>
      <c r="AY28" s="4"/>
      <c r="AZ28" s="1"/>
      <c r="BA28" s="1"/>
      <c r="BB28" s="1" t="s">
        <v>503</v>
      </c>
      <c r="BC28" s="4"/>
      <c r="BD28" s="1" t="s">
        <v>85</v>
      </c>
      <c r="BE28" s="4"/>
      <c r="BF28" s="2">
        <v>1713</v>
      </c>
      <c r="BG28" s="4"/>
      <c r="BH28" s="1"/>
      <c r="BI28" s="1" t="s">
        <v>189</v>
      </c>
    </row>
    <row r="29" spans="1:61" ht="13.5" customHeight="1" x14ac:dyDescent="0.25">
      <c r="A29" s="2">
        <v>1818</v>
      </c>
      <c r="B29" s="1" t="s">
        <v>751</v>
      </c>
      <c r="C29" s="1" t="s">
        <v>47</v>
      </c>
      <c r="D29" s="1" t="s">
        <v>311</v>
      </c>
      <c r="E29" s="1" t="s">
        <v>701</v>
      </c>
      <c r="F29" s="1" t="s">
        <v>314</v>
      </c>
      <c r="G29" s="2">
        <v>37</v>
      </c>
      <c r="H29" s="101">
        <v>8</v>
      </c>
      <c r="I29" s="101"/>
      <c r="J29" s="39">
        <v>1</v>
      </c>
      <c r="K29" s="53" t="s">
        <v>248</v>
      </c>
      <c r="L29" s="66">
        <v>1</v>
      </c>
      <c r="M29" s="8" t="s">
        <v>738</v>
      </c>
      <c r="N29" s="1" t="s">
        <v>175</v>
      </c>
      <c r="O29" s="7" t="s">
        <v>758</v>
      </c>
      <c r="P29" s="108">
        <v>46107.580185185187</v>
      </c>
      <c r="Q29" s="108">
        <v>46295.608298611114</v>
      </c>
      <c r="R29" s="108"/>
      <c r="S29" s="1" t="s">
        <v>693</v>
      </c>
      <c r="T29" s="1" t="s">
        <v>81</v>
      </c>
      <c r="U29" s="4" t="s">
        <v>1084</v>
      </c>
      <c r="V29" s="2"/>
      <c r="W29" s="108"/>
      <c r="X29" s="1"/>
      <c r="Y29" s="1" t="s">
        <v>738</v>
      </c>
      <c r="Z29" s="108">
        <v>46258.453067129631</v>
      </c>
      <c r="AA29" s="1"/>
      <c r="AB29" s="4"/>
      <c r="AC29" s="4"/>
      <c r="AD29" s="1"/>
      <c r="AE29" s="1" t="s">
        <v>63</v>
      </c>
      <c r="AF29" s="1"/>
      <c r="AG29" s="2"/>
      <c r="AH29" s="1"/>
      <c r="AI29" s="1"/>
      <c r="AJ29" s="1" t="s">
        <v>693</v>
      </c>
      <c r="AK29" s="108">
        <v>46295.608298611114</v>
      </c>
      <c r="AL29" s="1"/>
      <c r="AM29" s="1"/>
      <c r="AN29" s="1"/>
      <c r="AO29" s="1"/>
      <c r="AP29" s="1"/>
      <c r="AQ29" s="1"/>
      <c r="AR29" s="1"/>
      <c r="AS29" s="1"/>
      <c r="AT29" s="2"/>
      <c r="AU29" s="1"/>
      <c r="AV29" s="2">
        <v>9</v>
      </c>
      <c r="AW29" s="4"/>
      <c r="AX29" s="108"/>
      <c r="AY29" s="4"/>
      <c r="AZ29" s="1"/>
      <c r="BA29" s="1"/>
      <c r="BB29" s="1" t="s">
        <v>503</v>
      </c>
      <c r="BC29" s="4"/>
      <c r="BD29" s="1" t="s">
        <v>85</v>
      </c>
      <c r="BE29" s="4"/>
      <c r="BF29" s="2"/>
      <c r="BG29" s="4"/>
      <c r="BH29" s="1"/>
      <c r="BI29" s="1" t="s">
        <v>189</v>
      </c>
    </row>
    <row r="30" spans="1:61" ht="13.5" customHeight="1" x14ac:dyDescent="0.25">
      <c r="A30" s="2">
        <v>2096</v>
      </c>
      <c r="B30" s="1" t="s">
        <v>784</v>
      </c>
      <c r="C30" s="1" t="s">
        <v>47</v>
      </c>
      <c r="D30" s="1" t="s">
        <v>307</v>
      </c>
      <c r="E30" s="1" t="s">
        <v>729</v>
      </c>
      <c r="F30" s="1" t="s">
        <v>466</v>
      </c>
      <c r="G30" s="2">
        <v>37</v>
      </c>
      <c r="H30" s="101">
        <v>20</v>
      </c>
      <c r="I30" s="101"/>
      <c r="J30" s="39">
        <v>1</v>
      </c>
      <c r="K30" s="53" t="s">
        <v>248</v>
      </c>
      <c r="L30" s="66">
        <v>1</v>
      </c>
      <c r="M30" s="8" t="s">
        <v>91</v>
      </c>
      <c r="N30" s="1" t="s">
        <v>175</v>
      </c>
      <c r="O30" s="7" t="s">
        <v>786</v>
      </c>
      <c r="P30" s="108">
        <v>46232.444282407407</v>
      </c>
      <c r="Q30" s="108">
        <v>46283.696516203701</v>
      </c>
      <c r="R30" s="108"/>
      <c r="S30" s="1" t="s">
        <v>371</v>
      </c>
      <c r="T30" s="1" t="s">
        <v>91</v>
      </c>
      <c r="U30" s="4" t="s">
        <v>793</v>
      </c>
      <c r="V30" s="2"/>
      <c r="W30" s="108"/>
      <c r="X30" s="1"/>
      <c r="Y30" s="1" t="s">
        <v>91</v>
      </c>
      <c r="Z30" s="108">
        <v>46232.4452662037</v>
      </c>
      <c r="AA30" s="1"/>
      <c r="AB30" s="4"/>
      <c r="AC30" s="4"/>
      <c r="AD30" s="1"/>
      <c r="AE30" s="1" t="s">
        <v>63</v>
      </c>
      <c r="AF30" s="1"/>
      <c r="AG30" s="2"/>
      <c r="AH30" s="1"/>
      <c r="AI30" s="1"/>
      <c r="AJ30" s="1" t="s">
        <v>371</v>
      </c>
      <c r="AK30" s="108">
        <v>46283.696516203701</v>
      </c>
      <c r="AL30" s="1"/>
      <c r="AM30" s="1"/>
      <c r="AN30" s="1"/>
      <c r="AO30" s="1"/>
      <c r="AP30" s="1"/>
      <c r="AQ30" s="1"/>
      <c r="AR30" s="1"/>
      <c r="AS30" s="1"/>
      <c r="AT30" s="2"/>
      <c r="AU30" s="1"/>
      <c r="AV30" s="2">
        <v>2</v>
      </c>
      <c r="AW30" s="4"/>
      <c r="AX30" s="108"/>
      <c r="AY30" s="4"/>
      <c r="AZ30" s="1"/>
      <c r="BA30" s="1"/>
      <c r="BB30" s="1" t="s">
        <v>503</v>
      </c>
      <c r="BC30" s="4"/>
      <c r="BD30" s="1" t="s">
        <v>85</v>
      </c>
      <c r="BE30" s="4"/>
      <c r="BF30" s="2"/>
      <c r="BG30" s="4"/>
      <c r="BH30" s="1"/>
      <c r="BI30" s="1" t="s">
        <v>189</v>
      </c>
    </row>
    <row r="31" spans="1:61" ht="13.5" customHeight="1" x14ac:dyDescent="0.25">
      <c r="A31" s="2">
        <v>2118</v>
      </c>
      <c r="B31" s="1" t="s">
        <v>785</v>
      </c>
      <c r="C31" s="1" t="s">
        <v>47</v>
      </c>
      <c r="D31" s="1" t="s">
        <v>307</v>
      </c>
      <c r="E31" s="1" t="s">
        <v>729</v>
      </c>
      <c r="F31" s="1" t="s">
        <v>466</v>
      </c>
      <c r="G31" s="2">
        <v>37</v>
      </c>
      <c r="H31" s="101"/>
      <c r="I31" s="101"/>
      <c r="J31" s="39">
        <v>1</v>
      </c>
      <c r="K31" s="53" t="s">
        <v>248</v>
      </c>
      <c r="L31" s="66">
        <v>1</v>
      </c>
      <c r="M31" s="8" t="s">
        <v>91</v>
      </c>
      <c r="N31" s="1" t="s">
        <v>175</v>
      </c>
      <c r="O31" s="7" t="s">
        <v>789</v>
      </c>
      <c r="P31" s="108">
        <v>46239.595960648148</v>
      </c>
      <c r="Q31" s="108">
        <v>46283.695069444446</v>
      </c>
      <c r="R31" s="108"/>
      <c r="S31" s="1" t="s">
        <v>371</v>
      </c>
      <c r="T31" s="1" t="s">
        <v>91</v>
      </c>
      <c r="U31" s="4" t="s">
        <v>793</v>
      </c>
      <c r="V31" s="2"/>
      <c r="W31" s="108"/>
      <c r="X31" s="1"/>
      <c r="Y31" s="1" t="s">
        <v>91</v>
      </c>
      <c r="Z31" s="108">
        <v>46239.596192129633</v>
      </c>
      <c r="AA31" s="1"/>
      <c r="AB31" s="4"/>
      <c r="AC31" s="4"/>
      <c r="AD31" s="1"/>
      <c r="AE31" s="1" t="s">
        <v>63</v>
      </c>
      <c r="AF31" s="1"/>
      <c r="AG31" s="2"/>
      <c r="AH31" s="1"/>
      <c r="AI31" s="1"/>
      <c r="AJ31" s="1" t="s">
        <v>371</v>
      </c>
      <c r="AK31" s="108">
        <v>46283.695069444446</v>
      </c>
      <c r="AL31" s="1"/>
      <c r="AM31" s="1"/>
      <c r="AN31" s="1"/>
      <c r="AO31" s="1"/>
      <c r="AP31" s="1"/>
      <c r="AQ31" s="1"/>
      <c r="AR31" s="1"/>
      <c r="AS31" s="1"/>
      <c r="AT31" s="2"/>
      <c r="AU31" s="1"/>
      <c r="AV31" s="2">
        <v>2</v>
      </c>
      <c r="AW31" s="4"/>
      <c r="AX31" s="108"/>
      <c r="AY31" s="4"/>
      <c r="AZ31" s="1"/>
      <c r="BA31" s="1"/>
      <c r="BB31" s="1" t="s">
        <v>503</v>
      </c>
      <c r="BC31" s="4"/>
      <c r="BD31" s="1" t="s">
        <v>85</v>
      </c>
      <c r="BE31" s="4"/>
      <c r="BF31" s="2"/>
      <c r="BG31" s="4"/>
      <c r="BH31" s="1"/>
      <c r="BI31" s="1" t="s">
        <v>189</v>
      </c>
    </row>
    <row r="32" spans="1:61" ht="13.5" customHeight="1" x14ac:dyDescent="0.25">
      <c r="A32" s="2">
        <v>2160</v>
      </c>
      <c r="B32" s="1" t="s">
        <v>802</v>
      </c>
      <c r="C32" s="1" t="s">
        <v>47</v>
      </c>
      <c r="D32" s="1" t="s">
        <v>711</v>
      </c>
      <c r="E32" s="1" t="s">
        <v>702</v>
      </c>
      <c r="F32" s="1" t="s">
        <v>314</v>
      </c>
      <c r="G32" s="2">
        <v>38</v>
      </c>
      <c r="H32" s="101">
        <v>8</v>
      </c>
      <c r="I32" s="101"/>
      <c r="J32" s="39">
        <v>1</v>
      </c>
      <c r="K32" s="53" t="s">
        <v>248</v>
      </c>
      <c r="L32" s="66">
        <v>1</v>
      </c>
      <c r="M32" s="8" t="s">
        <v>91</v>
      </c>
      <c r="N32" s="1" t="s">
        <v>175</v>
      </c>
      <c r="O32" s="7" t="s">
        <v>798</v>
      </c>
      <c r="P32" s="108">
        <v>46258.500567129631</v>
      </c>
      <c r="Q32" s="108">
        <v>46295.601412037038</v>
      </c>
      <c r="R32" s="108"/>
      <c r="S32" s="1" t="s">
        <v>91</v>
      </c>
      <c r="T32" s="1" t="s">
        <v>155</v>
      </c>
      <c r="U32" s="4" t="s">
        <v>592</v>
      </c>
      <c r="V32" s="2"/>
      <c r="W32" s="108"/>
      <c r="X32" s="1"/>
      <c r="Y32" s="1" t="s">
        <v>91</v>
      </c>
      <c r="Z32" s="108">
        <v>46261.709652777776</v>
      </c>
      <c r="AA32" s="1"/>
      <c r="AB32" s="4"/>
      <c r="AC32" s="4"/>
      <c r="AD32" s="1"/>
      <c r="AE32" s="1" t="s">
        <v>63</v>
      </c>
      <c r="AF32" s="1"/>
      <c r="AG32" s="2"/>
      <c r="AH32" s="1"/>
      <c r="AI32" s="1"/>
      <c r="AJ32" s="1" t="s">
        <v>91</v>
      </c>
      <c r="AK32" s="108">
        <v>46295.601412037038</v>
      </c>
      <c r="AL32" s="1"/>
      <c r="AM32" s="1"/>
      <c r="AN32" s="1"/>
      <c r="AO32" s="1"/>
      <c r="AP32" s="1"/>
      <c r="AQ32" s="1"/>
      <c r="AR32" s="1"/>
      <c r="AS32" s="1"/>
      <c r="AT32" s="2"/>
      <c r="AU32" s="1"/>
      <c r="AV32" s="2">
        <v>3</v>
      </c>
      <c r="AW32" s="4"/>
      <c r="AX32" s="108"/>
      <c r="AY32" s="4"/>
      <c r="AZ32" s="1"/>
      <c r="BA32" s="1"/>
      <c r="BB32" s="1" t="s">
        <v>503</v>
      </c>
      <c r="BC32" s="4"/>
      <c r="BD32" s="1" t="s">
        <v>85</v>
      </c>
      <c r="BE32" s="4"/>
      <c r="BF32" s="2"/>
      <c r="BG32" s="4"/>
      <c r="BH32" s="1"/>
      <c r="BI32" s="1" t="s">
        <v>189</v>
      </c>
    </row>
    <row r="33" spans="1:61" ht="13.5" customHeight="1" x14ac:dyDescent="0.25">
      <c r="A33" s="2">
        <v>2161</v>
      </c>
      <c r="B33" s="1" t="s">
        <v>794</v>
      </c>
      <c r="C33" s="1" t="s">
        <v>47</v>
      </c>
      <c r="D33" s="1" t="s">
        <v>711</v>
      </c>
      <c r="E33" s="1" t="s">
        <v>702</v>
      </c>
      <c r="F33" s="1" t="s">
        <v>314</v>
      </c>
      <c r="G33" s="2">
        <v>38</v>
      </c>
      <c r="H33" s="101">
        <v>40</v>
      </c>
      <c r="I33" s="4"/>
      <c r="J33" s="39">
        <v>1</v>
      </c>
      <c r="K33" s="53" t="s">
        <v>248</v>
      </c>
      <c r="L33" s="66">
        <v>1</v>
      </c>
      <c r="M33" s="8" t="s">
        <v>91</v>
      </c>
      <c r="N33" s="1" t="s">
        <v>175</v>
      </c>
      <c r="O33" s="7" t="s">
        <v>797</v>
      </c>
      <c r="P33" s="109">
        <v>46259.707986111112</v>
      </c>
      <c r="Q33" s="109">
        <v>46295.601770833331</v>
      </c>
      <c r="R33" s="109"/>
      <c r="S33" s="1" t="s">
        <v>91</v>
      </c>
      <c r="T33" s="1" t="s">
        <v>81</v>
      </c>
      <c r="U33" s="4" t="s">
        <v>1086</v>
      </c>
      <c r="V33" s="2"/>
      <c r="W33" s="109"/>
      <c r="X33" s="1"/>
      <c r="Y33" s="1" t="s">
        <v>91</v>
      </c>
      <c r="Z33" s="109">
        <v>46280.355810185189</v>
      </c>
      <c r="AA33" s="1"/>
      <c r="AB33" s="4"/>
      <c r="AC33" s="4"/>
      <c r="AD33" s="1"/>
      <c r="AE33" s="1" t="s">
        <v>63</v>
      </c>
      <c r="AF33" s="1"/>
      <c r="AG33" s="2"/>
      <c r="AH33" s="1"/>
      <c r="AI33" s="1"/>
      <c r="AJ33" s="1" t="s">
        <v>91</v>
      </c>
      <c r="AK33" s="109">
        <v>46295.601770833331</v>
      </c>
      <c r="AL33" s="1"/>
      <c r="AM33" s="1"/>
      <c r="AN33" s="1"/>
      <c r="AO33" s="1"/>
      <c r="AP33" s="1"/>
      <c r="AQ33" s="1"/>
      <c r="AR33" s="1"/>
      <c r="AS33" s="1"/>
      <c r="AT33" s="2"/>
      <c r="AU33" s="1"/>
      <c r="AV33" s="2">
        <v>4</v>
      </c>
      <c r="AW33" s="4"/>
      <c r="AX33" s="109"/>
      <c r="AY33" s="4"/>
      <c r="AZ33" s="1"/>
      <c r="BA33" s="1"/>
      <c r="BB33" s="1" t="s">
        <v>503</v>
      </c>
      <c r="BC33" s="4"/>
      <c r="BD33" s="1" t="s">
        <v>85</v>
      </c>
      <c r="BE33" s="4"/>
      <c r="BF33" s="2"/>
      <c r="BG33" s="4"/>
      <c r="BH33" s="1"/>
      <c r="BI33" s="1" t="s">
        <v>189</v>
      </c>
    </row>
    <row r="34" spans="1:61" ht="13.5" customHeight="1" x14ac:dyDescent="0.25">
      <c r="A34" s="2">
        <v>1771</v>
      </c>
      <c r="B34" s="1" t="s">
        <v>749</v>
      </c>
      <c r="C34" s="1" t="s">
        <v>47</v>
      </c>
      <c r="D34" s="1" t="s">
        <v>311</v>
      </c>
      <c r="E34" s="1" t="s">
        <v>701</v>
      </c>
      <c r="F34" s="1" t="s">
        <v>314</v>
      </c>
      <c r="G34" s="2">
        <v>37</v>
      </c>
      <c r="H34" s="101">
        <v>2</v>
      </c>
      <c r="I34" s="101"/>
      <c r="J34" s="39">
        <v>1</v>
      </c>
      <c r="K34" s="53" t="s">
        <v>198</v>
      </c>
      <c r="L34" s="66">
        <v>0</v>
      </c>
      <c r="M34" s="8" t="s">
        <v>738</v>
      </c>
      <c r="N34" s="1" t="s">
        <v>175</v>
      </c>
      <c r="O34" s="7" t="s">
        <v>750</v>
      </c>
      <c r="P34" s="109">
        <v>46086.747013888889</v>
      </c>
      <c r="Q34" s="109">
        <v>46295.662662037037</v>
      </c>
      <c r="R34" s="109"/>
      <c r="S34" s="1" t="s">
        <v>693</v>
      </c>
      <c r="T34" s="1" t="s">
        <v>693</v>
      </c>
      <c r="U34" s="4" t="s">
        <v>1083</v>
      </c>
      <c r="V34" s="2"/>
      <c r="W34" s="109"/>
      <c r="X34" s="1"/>
      <c r="Y34" s="1" t="s">
        <v>738</v>
      </c>
      <c r="Z34" s="109">
        <v>46266.688518518517</v>
      </c>
      <c r="AA34" s="1"/>
      <c r="AB34" s="4"/>
      <c r="AC34" s="4"/>
      <c r="AD34" s="1"/>
      <c r="AE34" s="1" t="s">
        <v>63</v>
      </c>
      <c r="AF34" s="1"/>
      <c r="AG34" s="2"/>
      <c r="AH34" s="1"/>
      <c r="AI34" s="1"/>
      <c r="AJ34" s="1" t="s">
        <v>693</v>
      </c>
      <c r="AK34" s="109">
        <v>46295.662662037037</v>
      </c>
      <c r="AL34" s="1"/>
      <c r="AM34" s="1"/>
      <c r="AN34" s="1"/>
      <c r="AO34" s="1"/>
      <c r="AP34" s="1"/>
      <c r="AQ34" s="1"/>
      <c r="AR34" s="1"/>
      <c r="AS34" s="1"/>
      <c r="AT34" s="2"/>
      <c r="AU34" s="1"/>
      <c r="AV34" s="2">
        <v>1</v>
      </c>
      <c r="AW34" s="4"/>
      <c r="AX34" s="109"/>
      <c r="AY34" s="4"/>
      <c r="AZ34" s="1"/>
      <c r="BA34" s="1"/>
      <c r="BB34" s="1" t="s">
        <v>503</v>
      </c>
      <c r="BC34" s="4"/>
      <c r="BD34" s="1" t="s">
        <v>85</v>
      </c>
      <c r="BE34" s="4"/>
      <c r="BF34" s="2"/>
      <c r="BG34" s="4"/>
      <c r="BH34" s="1"/>
      <c r="BI34" s="1" t="s">
        <v>189</v>
      </c>
    </row>
    <row r="35" spans="1:61" ht="13.5" customHeight="1" x14ac:dyDescent="0.25">
      <c r="A35" s="2">
        <v>1840</v>
      </c>
      <c r="B35" s="1" t="s">
        <v>741</v>
      </c>
      <c r="C35" s="1" t="s">
        <v>47</v>
      </c>
      <c r="D35" s="1" t="s">
        <v>710</v>
      </c>
      <c r="E35" s="1" t="s">
        <v>699</v>
      </c>
      <c r="F35" s="1" t="s">
        <v>466</v>
      </c>
      <c r="G35" s="2">
        <v>38</v>
      </c>
      <c r="H35" s="101">
        <v>8</v>
      </c>
      <c r="I35" s="4"/>
      <c r="J35" s="39">
        <v>1</v>
      </c>
      <c r="K35" s="53" t="s">
        <v>198</v>
      </c>
      <c r="L35" s="66">
        <v>0</v>
      </c>
      <c r="M35" s="8" t="s">
        <v>91</v>
      </c>
      <c r="N35" s="1" t="s">
        <v>175</v>
      </c>
      <c r="O35" s="7" t="s">
        <v>742</v>
      </c>
      <c r="P35" s="109">
        <v>46119.392442129632</v>
      </c>
      <c r="Q35" s="109">
        <v>46295.608761574076</v>
      </c>
      <c r="R35" s="109"/>
      <c r="S35" s="1" t="s">
        <v>693</v>
      </c>
      <c r="T35" s="1" t="s">
        <v>155</v>
      </c>
      <c r="U35" s="4"/>
      <c r="V35" s="2"/>
      <c r="W35" s="109"/>
      <c r="X35" s="1"/>
      <c r="Y35" s="1" t="s">
        <v>91</v>
      </c>
      <c r="Z35" s="109">
        <v>46281.634895833333</v>
      </c>
      <c r="AA35" s="1"/>
      <c r="AB35" s="4"/>
      <c r="AC35" s="4"/>
      <c r="AD35" s="1"/>
      <c r="AE35" s="1" t="s">
        <v>63</v>
      </c>
      <c r="AF35" s="1"/>
      <c r="AG35" s="2"/>
      <c r="AH35" s="1"/>
      <c r="AI35" s="1"/>
      <c r="AJ35" s="1" t="s">
        <v>693</v>
      </c>
      <c r="AK35" s="109">
        <v>46295.608761574076</v>
      </c>
      <c r="AL35" s="1"/>
      <c r="AM35" s="1"/>
      <c r="AN35" s="1"/>
      <c r="AO35" s="1"/>
      <c r="AP35" s="1"/>
      <c r="AQ35" s="1"/>
      <c r="AR35" s="1"/>
      <c r="AS35" s="1"/>
      <c r="AT35" s="2"/>
      <c r="AU35" s="1"/>
      <c r="AV35" s="2">
        <v>3</v>
      </c>
      <c r="AW35" s="4"/>
      <c r="AX35" s="109"/>
      <c r="AY35" s="4"/>
      <c r="AZ35" s="1"/>
      <c r="BA35" s="1"/>
      <c r="BB35" s="1" t="s">
        <v>503</v>
      </c>
      <c r="BC35" s="4"/>
      <c r="BD35" s="1" t="s">
        <v>85</v>
      </c>
      <c r="BE35" s="4"/>
      <c r="BF35" s="2">
        <v>2191</v>
      </c>
      <c r="BG35" s="4"/>
      <c r="BH35" s="1"/>
      <c r="BI35" s="1" t="s">
        <v>189</v>
      </c>
    </row>
    <row r="36" spans="1:61" ht="13.5" customHeight="1" x14ac:dyDescent="0.25">
      <c r="A36" s="2">
        <v>1895</v>
      </c>
      <c r="B36" s="1" t="s">
        <v>743</v>
      </c>
      <c r="C36" s="1" t="s">
        <v>47</v>
      </c>
      <c r="D36" s="1" t="s">
        <v>711</v>
      </c>
      <c r="E36" s="1" t="s">
        <v>702</v>
      </c>
      <c r="F36" s="1" t="s">
        <v>314</v>
      </c>
      <c r="G36" s="2">
        <v>37</v>
      </c>
      <c r="H36" s="101">
        <v>8</v>
      </c>
      <c r="I36" s="101"/>
      <c r="J36" s="39">
        <v>1</v>
      </c>
      <c r="K36" s="53" t="s">
        <v>198</v>
      </c>
      <c r="L36" s="66">
        <v>0</v>
      </c>
      <c r="M36" s="8" t="s">
        <v>738</v>
      </c>
      <c r="N36" s="1" t="s">
        <v>175</v>
      </c>
      <c r="O36" s="7" t="s">
        <v>744</v>
      </c>
      <c r="P36" s="109">
        <v>46136.472118055557</v>
      </c>
      <c r="Q36" s="109">
        <v>46295.662662037037</v>
      </c>
      <c r="R36" s="109"/>
      <c r="S36" s="1" t="s">
        <v>693</v>
      </c>
      <c r="T36" s="1" t="s">
        <v>155</v>
      </c>
      <c r="U36" s="4" t="s">
        <v>1085</v>
      </c>
      <c r="V36" s="2"/>
      <c r="W36" s="109"/>
      <c r="X36" s="1"/>
      <c r="Y36" s="1" t="s">
        <v>738</v>
      </c>
      <c r="Z36" s="109">
        <v>46262.669085648151</v>
      </c>
      <c r="AA36" s="1"/>
      <c r="AB36" s="4"/>
      <c r="AC36" s="4"/>
      <c r="AD36" s="1"/>
      <c r="AE36" s="1" t="s">
        <v>63</v>
      </c>
      <c r="AF36" s="1"/>
      <c r="AG36" s="2"/>
      <c r="AH36" s="1"/>
      <c r="AI36" s="1"/>
      <c r="AJ36" s="1" t="s">
        <v>693</v>
      </c>
      <c r="AK36" s="109">
        <v>46295.662662037037</v>
      </c>
      <c r="AL36" s="1"/>
      <c r="AM36" s="1"/>
      <c r="AN36" s="1"/>
      <c r="AO36" s="1"/>
      <c r="AP36" s="1"/>
      <c r="AQ36" s="1"/>
      <c r="AR36" s="1"/>
      <c r="AS36" s="1"/>
      <c r="AT36" s="2"/>
      <c r="AU36" s="1"/>
      <c r="AV36" s="2">
        <v>7</v>
      </c>
      <c r="AW36" s="4"/>
      <c r="AX36" s="109"/>
      <c r="AY36" s="4"/>
      <c r="AZ36" s="1"/>
      <c r="BA36" s="1"/>
      <c r="BB36" s="1" t="s">
        <v>503</v>
      </c>
      <c r="BC36" s="4"/>
      <c r="BD36" s="1" t="s">
        <v>85</v>
      </c>
      <c r="BE36" s="4"/>
      <c r="BF36" s="2"/>
      <c r="BG36" s="4"/>
      <c r="BH36" s="1"/>
      <c r="BI36" s="1" t="s">
        <v>189</v>
      </c>
    </row>
    <row r="37" spans="1:61" ht="13.5" customHeight="1" x14ac:dyDescent="0.25">
      <c r="A37" s="2">
        <v>2122</v>
      </c>
      <c r="B37" s="1" t="s">
        <v>787</v>
      </c>
      <c r="C37" s="1" t="s">
        <v>47</v>
      </c>
      <c r="D37" s="1" t="s">
        <v>310</v>
      </c>
      <c r="E37" s="1" t="s">
        <v>708</v>
      </c>
      <c r="F37" s="1" t="s">
        <v>466</v>
      </c>
      <c r="G37" s="2">
        <v>38</v>
      </c>
      <c r="H37" s="101">
        <v>4</v>
      </c>
      <c r="I37" s="4"/>
      <c r="J37" s="39">
        <v>1</v>
      </c>
      <c r="K37" s="53" t="s">
        <v>198</v>
      </c>
      <c r="L37" s="66">
        <v>0</v>
      </c>
      <c r="M37" s="8" t="s">
        <v>91</v>
      </c>
      <c r="N37" s="1" t="s">
        <v>175</v>
      </c>
      <c r="O37" s="7" t="s">
        <v>788</v>
      </c>
      <c r="P37" s="109">
        <v>46244.551770833335</v>
      </c>
      <c r="Q37" s="109">
        <v>46296.353819444441</v>
      </c>
      <c r="R37" s="109"/>
      <c r="S37" s="1" t="s">
        <v>91</v>
      </c>
      <c r="T37" s="1" t="s">
        <v>693</v>
      </c>
      <c r="U37" s="4"/>
      <c r="V37" s="2"/>
      <c r="W37" s="109"/>
      <c r="X37" s="1"/>
      <c r="Y37" s="1" t="s">
        <v>91</v>
      </c>
      <c r="Z37" s="109">
        <v>46282.655266203707</v>
      </c>
      <c r="AA37" s="1"/>
      <c r="AB37" s="4"/>
      <c r="AC37" s="4"/>
      <c r="AD37" s="1"/>
      <c r="AE37" s="1" t="s">
        <v>63</v>
      </c>
      <c r="AF37" s="1"/>
      <c r="AG37" s="2"/>
      <c r="AH37" s="1"/>
      <c r="AI37" s="1"/>
      <c r="AJ37" s="1" t="s">
        <v>91</v>
      </c>
      <c r="AK37" s="109">
        <v>46296.353819444441</v>
      </c>
      <c r="AL37" s="1"/>
      <c r="AM37" s="1"/>
      <c r="AN37" s="1"/>
      <c r="AO37" s="1"/>
      <c r="AP37" s="1"/>
      <c r="AQ37" s="1"/>
      <c r="AR37" s="1"/>
      <c r="AS37" s="1"/>
      <c r="AT37" s="2"/>
      <c r="AU37" s="1"/>
      <c r="AV37" s="2">
        <v>5</v>
      </c>
      <c r="AW37" s="4"/>
      <c r="AX37" s="109"/>
      <c r="AY37" s="4"/>
      <c r="AZ37" s="1"/>
      <c r="BA37" s="1"/>
      <c r="BB37" s="1" t="s">
        <v>503</v>
      </c>
      <c r="BC37" s="4"/>
      <c r="BD37" s="1" t="s">
        <v>85</v>
      </c>
      <c r="BE37" s="4"/>
      <c r="BF37" s="2"/>
      <c r="BG37" s="4"/>
      <c r="BH37" s="1"/>
      <c r="BI37" s="1" t="s">
        <v>189</v>
      </c>
    </row>
    <row r="38" spans="1:61" ht="13.5" customHeight="1" x14ac:dyDescent="0.25">
      <c r="A38" s="2">
        <v>2172</v>
      </c>
      <c r="B38" s="1" t="s">
        <v>795</v>
      </c>
      <c r="C38" s="1" t="s">
        <v>47</v>
      </c>
      <c r="D38" s="1" t="s">
        <v>310</v>
      </c>
      <c r="E38" s="1" t="s">
        <v>708</v>
      </c>
      <c r="F38" s="1" t="s">
        <v>709</v>
      </c>
      <c r="G38" s="2">
        <v>37</v>
      </c>
      <c r="H38" s="101">
        <v>4</v>
      </c>
      <c r="I38" s="101"/>
      <c r="J38" s="39">
        <v>2</v>
      </c>
      <c r="K38" s="53" t="s">
        <v>198</v>
      </c>
      <c r="L38" s="66">
        <v>0</v>
      </c>
      <c r="M38" s="8" t="s">
        <v>91</v>
      </c>
      <c r="N38" s="1" t="s">
        <v>175</v>
      </c>
      <c r="O38" s="7" t="s">
        <v>796</v>
      </c>
      <c r="P38" s="109">
        <v>46265.671817129631</v>
      </c>
      <c r="Q38" s="109">
        <v>46295.664629629631</v>
      </c>
      <c r="R38" s="109"/>
      <c r="S38" s="1" t="s">
        <v>693</v>
      </c>
      <c r="T38" s="1" t="s">
        <v>693</v>
      </c>
      <c r="U38" s="4"/>
      <c r="V38" s="2"/>
      <c r="W38" s="109"/>
      <c r="X38" s="1"/>
      <c r="Y38" s="1" t="s">
        <v>91</v>
      </c>
      <c r="Z38" s="109">
        <v>46266.513148148151</v>
      </c>
      <c r="AA38" s="1"/>
      <c r="AB38" s="4"/>
      <c r="AC38" s="4"/>
      <c r="AD38" s="1"/>
      <c r="AE38" s="1" t="s">
        <v>63</v>
      </c>
      <c r="AF38" s="1"/>
      <c r="AG38" s="2"/>
      <c r="AH38" s="1"/>
      <c r="AI38" s="1"/>
      <c r="AJ38" s="1" t="s">
        <v>693</v>
      </c>
      <c r="AK38" s="109">
        <v>46295.664629629631</v>
      </c>
      <c r="AL38" s="1"/>
      <c r="AM38" s="1"/>
      <c r="AN38" s="1"/>
      <c r="AO38" s="1"/>
      <c r="AP38" s="1"/>
      <c r="AQ38" s="1"/>
      <c r="AR38" s="1"/>
      <c r="AS38" s="1"/>
      <c r="AT38" s="2"/>
      <c r="AU38" s="1"/>
      <c r="AV38" s="2">
        <v>2</v>
      </c>
      <c r="AW38" s="4"/>
      <c r="AX38" s="109"/>
      <c r="AY38" s="4"/>
      <c r="AZ38" s="1"/>
      <c r="BA38" s="1"/>
      <c r="BB38" s="1" t="s">
        <v>503</v>
      </c>
      <c r="BC38" s="4"/>
      <c r="BD38" s="1" t="s">
        <v>85</v>
      </c>
      <c r="BE38" s="4"/>
      <c r="BF38" s="2"/>
      <c r="BG38" s="4"/>
      <c r="BH38" s="1"/>
      <c r="BI38" s="1" t="s">
        <v>189</v>
      </c>
    </row>
    <row r="39" spans="1:61" ht="13.5" customHeight="1" x14ac:dyDescent="0.25">
      <c r="A39" s="2">
        <v>2174</v>
      </c>
      <c r="B39" s="1" t="s">
        <v>816</v>
      </c>
      <c r="C39" s="1" t="s">
        <v>47</v>
      </c>
      <c r="D39" s="1" t="s">
        <v>310</v>
      </c>
      <c r="E39" s="1" t="s">
        <v>708</v>
      </c>
      <c r="F39" s="1" t="s">
        <v>709</v>
      </c>
      <c r="G39" s="2">
        <v>37</v>
      </c>
      <c r="H39" s="101"/>
      <c r="I39" s="101"/>
      <c r="J39" s="39">
        <v>2</v>
      </c>
      <c r="K39" s="53" t="s">
        <v>198</v>
      </c>
      <c r="L39" s="66">
        <v>0</v>
      </c>
      <c r="M39" s="8" t="s">
        <v>91</v>
      </c>
      <c r="N39" s="1" t="s">
        <v>175</v>
      </c>
      <c r="O39" s="7" t="s">
        <v>818</v>
      </c>
      <c r="P39" s="109">
        <v>46267.351967592593</v>
      </c>
      <c r="Q39" s="109">
        <v>46295.662662037037</v>
      </c>
      <c r="R39" s="109"/>
      <c r="S39" s="1" t="s">
        <v>693</v>
      </c>
      <c r="T39" s="1" t="s">
        <v>693</v>
      </c>
      <c r="U39" s="4"/>
      <c r="V39" s="2"/>
      <c r="W39" s="109"/>
      <c r="X39" s="1"/>
      <c r="Y39" s="1" t="s">
        <v>693</v>
      </c>
      <c r="Z39" s="109">
        <v>46267.651724537034</v>
      </c>
      <c r="AA39" s="1"/>
      <c r="AB39" s="4"/>
      <c r="AC39" s="4"/>
      <c r="AD39" s="1"/>
      <c r="AE39" s="1" t="s">
        <v>63</v>
      </c>
      <c r="AF39" s="1"/>
      <c r="AG39" s="2"/>
      <c r="AH39" s="1"/>
      <c r="AI39" s="1"/>
      <c r="AJ39" s="1" t="s">
        <v>693</v>
      </c>
      <c r="AK39" s="109">
        <v>46295.662662037037</v>
      </c>
      <c r="AL39" s="1"/>
      <c r="AM39" s="1"/>
      <c r="AN39" s="1"/>
      <c r="AO39" s="1"/>
      <c r="AP39" s="1"/>
      <c r="AQ39" s="1"/>
      <c r="AR39" s="1"/>
      <c r="AS39" s="1"/>
      <c r="AT39" s="2"/>
      <c r="AU39" s="1"/>
      <c r="AV39" s="2">
        <v>2</v>
      </c>
      <c r="AW39" s="4"/>
      <c r="AX39" s="109"/>
      <c r="AY39" s="4"/>
      <c r="AZ39" s="1"/>
      <c r="BA39" s="1"/>
      <c r="BB39" s="1" t="s">
        <v>503</v>
      </c>
      <c r="BC39" s="4"/>
      <c r="BD39" s="1" t="s">
        <v>85</v>
      </c>
      <c r="BE39" s="4"/>
      <c r="BF39" s="2"/>
      <c r="BG39" s="4"/>
      <c r="BH39" s="1"/>
      <c r="BI39" s="1" t="s">
        <v>188</v>
      </c>
    </row>
    <row r="40" spans="1:61" ht="13.5" customHeight="1" x14ac:dyDescent="0.25">
      <c r="A40" s="2">
        <v>2182</v>
      </c>
      <c r="B40" s="1" t="s">
        <v>817</v>
      </c>
      <c r="C40" s="1" t="s">
        <v>47</v>
      </c>
      <c r="D40" s="1" t="s">
        <v>310</v>
      </c>
      <c r="E40" s="1" t="s">
        <v>708</v>
      </c>
      <c r="F40" s="1" t="s">
        <v>466</v>
      </c>
      <c r="G40" s="2">
        <v>37</v>
      </c>
      <c r="H40" s="101"/>
      <c r="I40" s="101"/>
      <c r="J40" s="39">
        <v>1</v>
      </c>
      <c r="K40" s="53" t="s">
        <v>198</v>
      </c>
      <c r="L40" s="66">
        <v>0</v>
      </c>
      <c r="M40" s="8" t="s">
        <v>81</v>
      </c>
      <c r="N40" s="1" t="s">
        <v>175</v>
      </c>
      <c r="O40" s="7" t="s">
        <v>820</v>
      </c>
      <c r="P40" s="110">
        <v>46273.367673611108</v>
      </c>
      <c r="Q40" s="110">
        <v>46295.648263888892</v>
      </c>
      <c r="R40" s="110"/>
      <c r="S40" s="1" t="s">
        <v>693</v>
      </c>
      <c r="T40" s="1" t="s">
        <v>81</v>
      </c>
      <c r="U40" s="4" t="s">
        <v>666</v>
      </c>
      <c r="V40" s="2"/>
      <c r="W40" s="110"/>
      <c r="X40" s="1"/>
      <c r="Y40" s="1" t="s">
        <v>81</v>
      </c>
      <c r="Z40" s="110">
        <v>46273.37290509259</v>
      </c>
      <c r="AA40" s="1"/>
      <c r="AB40" s="4"/>
      <c r="AC40" s="4"/>
      <c r="AD40" s="1"/>
      <c r="AE40" s="1" t="s">
        <v>63</v>
      </c>
      <c r="AF40" s="1"/>
      <c r="AG40" s="2"/>
      <c r="AH40" s="1"/>
      <c r="AI40" s="1"/>
      <c r="AJ40" s="1" t="s">
        <v>693</v>
      </c>
      <c r="AK40" s="110">
        <v>46295.648263888892</v>
      </c>
      <c r="AL40" s="1"/>
      <c r="AM40" s="1"/>
      <c r="AN40" s="1"/>
      <c r="AO40" s="1"/>
      <c r="AP40" s="1"/>
      <c r="AQ40" s="1"/>
      <c r="AR40" s="1"/>
      <c r="AS40" s="1"/>
      <c r="AT40" s="2"/>
      <c r="AU40" s="1"/>
      <c r="AV40" s="2">
        <v>0</v>
      </c>
      <c r="AW40" s="4"/>
      <c r="AX40" s="110"/>
      <c r="AY40" s="4"/>
      <c r="AZ40" s="1"/>
      <c r="BA40" s="1"/>
      <c r="BB40" s="1" t="s">
        <v>503</v>
      </c>
      <c r="BC40" s="4"/>
      <c r="BD40" s="1" t="s">
        <v>85</v>
      </c>
      <c r="BE40" s="4"/>
      <c r="BF40" s="2"/>
      <c r="BG40" s="4"/>
      <c r="BH40" s="1"/>
      <c r="BI40" s="1" t="s">
        <v>189</v>
      </c>
    </row>
    <row r="41" spans="1:61" ht="13.5" customHeight="1" x14ac:dyDescent="0.25">
      <c r="A41" s="2">
        <v>2191</v>
      </c>
      <c r="B41" s="1" t="s">
        <v>841</v>
      </c>
      <c r="C41" s="1" t="s">
        <v>47</v>
      </c>
      <c r="D41" s="1" t="s">
        <v>710</v>
      </c>
      <c r="E41" s="1" t="s">
        <v>699</v>
      </c>
      <c r="F41" s="1" t="s">
        <v>466</v>
      </c>
      <c r="G41" s="2">
        <v>38</v>
      </c>
      <c r="H41" s="101">
        <v>2</v>
      </c>
      <c r="I41" s="101"/>
      <c r="J41" s="39">
        <v>1</v>
      </c>
      <c r="K41" s="53" t="s">
        <v>198</v>
      </c>
      <c r="L41" s="66">
        <v>0</v>
      </c>
      <c r="M41" s="8" t="s">
        <v>737</v>
      </c>
      <c r="N41" s="1" t="s">
        <v>175</v>
      </c>
      <c r="O41" s="7" t="s">
        <v>819</v>
      </c>
      <c r="P41" s="111">
        <v>46273.690775462965</v>
      </c>
      <c r="Q41" s="111">
        <v>46295.671006944445</v>
      </c>
      <c r="R41" s="111"/>
      <c r="S41" s="1" t="s">
        <v>693</v>
      </c>
      <c r="T41" s="1" t="s">
        <v>155</v>
      </c>
      <c r="U41" s="4" t="s">
        <v>1087</v>
      </c>
      <c r="V41" s="2"/>
      <c r="W41" s="111"/>
      <c r="X41" s="1"/>
      <c r="Y41" s="1" t="s">
        <v>737</v>
      </c>
      <c r="Z41" s="111">
        <v>46279.38453703704</v>
      </c>
      <c r="AA41" s="1"/>
      <c r="AB41" s="4"/>
      <c r="AC41" s="4"/>
      <c r="AD41" s="1"/>
      <c r="AE41" s="1" t="s">
        <v>63</v>
      </c>
      <c r="AF41" s="1"/>
      <c r="AG41" s="2"/>
      <c r="AH41" s="1"/>
      <c r="AI41" s="1"/>
      <c r="AJ41" s="1" t="s">
        <v>693</v>
      </c>
      <c r="AK41" s="111">
        <v>46295.671006944445</v>
      </c>
      <c r="AL41" s="1"/>
      <c r="AM41" s="1"/>
      <c r="AN41" s="1"/>
      <c r="AO41" s="1"/>
      <c r="AP41" s="1"/>
      <c r="AQ41" s="1"/>
      <c r="AR41" s="1"/>
      <c r="AS41" s="1"/>
      <c r="AT41" s="2"/>
      <c r="AU41" s="1"/>
      <c r="AV41" s="2">
        <v>4</v>
      </c>
      <c r="AW41" s="4"/>
      <c r="AX41" s="111"/>
      <c r="AY41" s="4"/>
      <c r="AZ41" s="1"/>
      <c r="BA41" s="1"/>
      <c r="BB41" s="1" t="s">
        <v>503</v>
      </c>
      <c r="BC41" s="4"/>
      <c r="BD41" s="1" t="s">
        <v>85</v>
      </c>
      <c r="BE41" s="4"/>
      <c r="BF41" s="2"/>
      <c r="BG41" s="4"/>
      <c r="BH41" s="1"/>
      <c r="BI41" s="1" t="s">
        <v>189</v>
      </c>
    </row>
    <row r="42" spans="1:61" ht="13.5" customHeight="1" x14ac:dyDescent="0.25">
      <c r="A42" s="2">
        <v>2202</v>
      </c>
      <c r="B42" s="1" t="s">
        <v>845</v>
      </c>
      <c r="C42" s="1" t="s">
        <v>47</v>
      </c>
      <c r="D42" s="1" t="s">
        <v>310</v>
      </c>
      <c r="E42" s="1" t="s">
        <v>708</v>
      </c>
      <c r="F42" s="1" t="s">
        <v>466</v>
      </c>
      <c r="G42" s="2">
        <v>38</v>
      </c>
      <c r="H42" s="101">
        <v>8</v>
      </c>
      <c r="I42" s="101"/>
      <c r="J42" s="39">
        <v>2</v>
      </c>
      <c r="K42" s="53" t="s">
        <v>198</v>
      </c>
      <c r="L42" s="66">
        <v>0</v>
      </c>
      <c r="M42" s="8" t="s">
        <v>737</v>
      </c>
      <c r="N42" s="1" t="s">
        <v>175</v>
      </c>
      <c r="O42" s="7" t="s">
        <v>846</v>
      </c>
      <c r="P42" s="111">
        <v>46282.557037037041</v>
      </c>
      <c r="Q42" s="111">
        <v>46295.671006944445</v>
      </c>
      <c r="R42" s="111"/>
      <c r="S42" s="1" t="s">
        <v>693</v>
      </c>
      <c r="T42" s="1" t="s">
        <v>693</v>
      </c>
      <c r="U42" s="4" t="s">
        <v>1088</v>
      </c>
      <c r="V42" s="2"/>
      <c r="W42" s="111"/>
      <c r="X42" s="1"/>
      <c r="Y42" s="1" t="s">
        <v>737</v>
      </c>
      <c r="Z42" s="111">
        <v>46283.385381944441</v>
      </c>
      <c r="AA42" s="1"/>
      <c r="AB42" s="4"/>
      <c r="AC42" s="4"/>
      <c r="AD42" s="1"/>
      <c r="AE42" s="1" t="s">
        <v>63</v>
      </c>
      <c r="AF42" s="1"/>
      <c r="AG42" s="2"/>
      <c r="AH42" s="1"/>
      <c r="AI42" s="1"/>
      <c r="AJ42" s="1" t="s">
        <v>693</v>
      </c>
      <c r="AK42" s="111">
        <v>46295.671006944445</v>
      </c>
      <c r="AL42" s="1"/>
      <c r="AM42" s="1"/>
      <c r="AN42" s="1"/>
      <c r="AO42" s="1"/>
      <c r="AP42" s="1"/>
      <c r="AQ42" s="1"/>
      <c r="AR42" s="1"/>
      <c r="AS42" s="1"/>
      <c r="AT42" s="2"/>
      <c r="AU42" s="1"/>
      <c r="AV42" s="2">
        <v>3</v>
      </c>
      <c r="AW42" s="4"/>
      <c r="AX42" s="111"/>
      <c r="AY42" s="4"/>
      <c r="AZ42" s="1"/>
      <c r="BA42" s="1"/>
      <c r="BB42" s="1" t="s">
        <v>503</v>
      </c>
      <c r="BC42" s="4"/>
      <c r="BD42" s="1" t="s">
        <v>85</v>
      </c>
      <c r="BE42" s="4"/>
      <c r="BF42" s="2"/>
      <c r="BG42" s="4"/>
      <c r="BH42" s="1"/>
      <c r="BI42" s="1" t="s">
        <v>189</v>
      </c>
    </row>
    <row r="43" spans="1:61" ht="13.5" customHeight="1" x14ac:dyDescent="0.25">
      <c r="A43" s="2">
        <v>2204</v>
      </c>
      <c r="B43" s="1" t="s">
        <v>1094</v>
      </c>
      <c r="C43" s="1" t="s">
        <v>47</v>
      </c>
      <c r="D43" s="1" t="s">
        <v>310</v>
      </c>
      <c r="E43" s="1" t="s">
        <v>708</v>
      </c>
      <c r="F43" s="1" t="s">
        <v>466</v>
      </c>
      <c r="G43" s="2">
        <v>38</v>
      </c>
      <c r="H43" s="101">
        <v>6</v>
      </c>
      <c r="I43" s="101"/>
      <c r="J43" s="39">
        <v>2</v>
      </c>
      <c r="K43" s="53" t="s">
        <v>198</v>
      </c>
      <c r="L43" s="66">
        <v>0</v>
      </c>
      <c r="M43" s="8" t="s">
        <v>737</v>
      </c>
      <c r="N43" s="1" t="s">
        <v>175</v>
      </c>
      <c r="O43" s="7" t="s">
        <v>1095</v>
      </c>
      <c r="P43" s="111">
        <v>46283.474907407406</v>
      </c>
      <c r="Q43" s="111">
        <v>46295.671006944445</v>
      </c>
      <c r="R43" s="111"/>
      <c r="S43" s="1" t="s">
        <v>693</v>
      </c>
      <c r="T43" s="1" t="s">
        <v>693</v>
      </c>
      <c r="U43" s="4" t="s">
        <v>1096</v>
      </c>
      <c r="V43" s="2"/>
      <c r="W43" s="111"/>
      <c r="X43" s="1"/>
      <c r="Y43" s="1" t="s">
        <v>737</v>
      </c>
      <c r="Z43" s="111">
        <v>46295.423310185186</v>
      </c>
      <c r="AA43" s="1"/>
      <c r="AB43" s="4"/>
      <c r="AC43" s="4"/>
      <c r="AD43" s="1"/>
      <c r="AE43" s="1" t="s">
        <v>63</v>
      </c>
      <c r="AF43" s="1"/>
      <c r="AG43" s="2"/>
      <c r="AH43" s="1"/>
      <c r="AI43" s="1"/>
      <c r="AJ43" s="1" t="s">
        <v>693</v>
      </c>
      <c r="AK43" s="111">
        <v>46295.671006944445</v>
      </c>
      <c r="AL43" s="1"/>
      <c r="AM43" s="1"/>
      <c r="AN43" s="1"/>
      <c r="AO43" s="1"/>
      <c r="AP43" s="1"/>
      <c r="AQ43" s="1"/>
      <c r="AR43" s="1"/>
      <c r="AS43" s="1"/>
      <c r="AT43" s="2"/>
      <c r="AU43" s="1"/>
      <c r="AV43" s="2">
        <v>5</v>
      </c>
      <c r="AW43" s="4"/>
      <c r="AX43" s="111"/>
      <c r="AY43" s="4"/>
      <c r="AZ43" s="1"/>
      <c r="BA43" s="1"/>
      <c r="BB43" s="1" t="s">
        <v>503</v>
      </c>
      <c r="BC43" s="4"/>
      <c r="BD43" s="1" t="s">
        <v>85</v>
      </c>
      <c r="BE43" s="4"/>
      <c r="BF43" s="2"/>
      <c r="BG43" s="4"/>
      <c r="BH43" s="1"/>
      <c r="BI43" s="1" t="s">
        <v>189</v>
      </c>
    </row>
    <row r="44" spans="1:61" ht="13.5" customHeight="1" x14ac:dyDescent="0.25">
      <c r="A44" s="2">
        <v>2215</v>
      </c>
      <c r="B44" s="1" t="s">
        <v>1097</v>
      </c>
      <c r="C44" s="1" t="s">
        <v>47</v>
      </c>
      <c r="D44" s="1" t="s">
        <v>310</v>
      </c>
      <c r="E44" s="1" t="s">
        <v>708</v>
      </c>
      <c r="F44" s="1" t="s">
        <v>466</v>
      </c>
      <c r="G44" s="2"/>
      <c r="H44" s="101">
        <v>2</v>
      </c>
      <c r="I44" s="101"/>
      <c r="J44" s="39">
        <v>2</v>
      </c>
      <c r="K44" s="53" t="s">
        <v>198</v>
      </c>
      <c r="L44" s="66">
        <v>0</v>
      </c>
      <c r="M44" s="8" t="s">
        <v>737</v>
      </c>
      <c r="N44" s="1" t="s">
        <v>175</v>
      </c>
      <c r="O44" s="7" t="s">
        <v>1098</v>
      </c>
      <c r="P44" s="111">
        <v>46288.397280092591</v>
      </c>
      <c r="Q44" s="111">
        <v>46295.671006944445</v>
      </c>
      <c r="R44" s="111"/>
      <c r="S44" s="1" t="s">
        <v>693</v>
      </c>
      <c r="T44" s="1" t="s">
        <v>693</v>
      </c>
      <c r="U44" s="4" t="s">
        <v>539</v>
      </c>
      <c r="V44" s="2"/>
      <c r="W44" s="111"/>
      <c r="X44" s="1"/>
      <c r="Y44" s="1" t="s">
        <v>737</v>
      </c>
      <c r="Z44" s="111">
        <v>46295.42260416667</v>
      </c>
      <c r="AA44" s="1"/>
      <c r="AB44" s="4"/>
      <c r="AC44" s="4"/>
      <c r="AD44" s="1"/>
      <c r="AE44" s="1" t="s">
        <v>63</v>
      </c>
      <c r="AF44" s="1"/>
      <c r="AG44" s="2"/>
      <c r="AH44" s="1"/>
      <c r="AI44" s="1"/>
      <c r="AJ44" s="1" t="s">
        <v>693</v>
      </c>
      <c r="AK44" s="111">
        <v>46295.671006944445</v>
      </c>
      <c r="AL44" s="1"/>
      <c r="AM44" s="1"/>
      <c r="AN44" s="1"/>
      <c r="AO44" s="1"/>
      <c r="AP44" s="1"/>
      <c r="AQ44" s="1"/>
      <c r="AR44" s="1"/>
      <c r="AS44" s="1"/>
      <c r="AT44" s="2"/>
      <c r="AU44" s="1"/>
      <c r="AV44" s="2">
        <v>4</v>
      </c>
      <c r="AW44" s="4"/>
      <c r="AX44" s="111"/>
      <c r="AY44" s="4"/>
      <c r="AZ44" s="1"/>
      <c r="BA44" s="1"/>
      <c r="BB44" s="1" t="s">
        <v>503</v>
      </c>
      <c r="BC44" s="4"/>
      <c r="BD44" s="1" t="s">
        <v>85</v>
      </c>
      <c r="BE44" s="4"/>
      <c r="BF44" s="2"/>
      <c r="BG44" s="4"/>
      <c r="BH44" s="1"/>
      <c r="BI44" s="1" t="s">
        <v>189</v>
      </c>
    </row>
    <row r="45" spans="1:61" ht="13.5" customHeight="1" x14ac:dyDescent="0.25">
      <c r="A45" s="2">
        <v>2226</v>
      </c>
      <c r="B45" s="1" t="s">
        <v>1059</v>
      </c>
      <c r="C45" s="1" t="s">
        <v>47</v>
      </c>
      <c r="D45" s="1" t="s">
        <v>309</v>
      </c>
      <c r="E45" s="1" t="s">
        <v>729</v>
      </c>
      <c r="F45" s="1" t="s">
        <v>314</v>
      </c>
      <c r="G45" s="2">
        <v>40</v>
      </c>
      <c r="H45" s="101">
        <v>2</v>
      </c>
      <c r="I45" s="101"/>
      <c r="J45" s="39">
        <v>1</v>
      </c>
      <c r="K45" s="53" t="s">
        <v>198</v>
      </c>
      <c r="L45" s="66">
        <v>0</v>
      </c>
      <c r="M45" s="8" t="s">
        <v>693</v>
      </c>
      <c r="N45" s="1" t="s">
        <v>175</v>
      </c>
      <c r="O45" s="7" t="s">
        <v>1060</v>
      </c>
      <c r="P45" s="111">
        <v>46293.665312500001</v>
      </c>
      <c r="Q45" s="111">
        <v>46295.360324074078</v>
      </c>
      <c r="R45" s="111"/>
      <c r="S45" s="1" t="s">
        <v>693</v>
      </c>
      <c r="T45" s="1" t="s">
        <v>437</v>
      </c>
      <c r="U45" s="4" t="s">
        <v>591</v>
      </c>
      <c r="V45" s="2"/>
      <c r="W45" s="111"/>
      <c r="X45" s="1"/>
      <c r="Y45" s="1" t="s">
        <v>693</v>
      </c>
      <c r="Z45" s="111">
        <v>46293.696412037039</v>
      </c>
      <c r="AA45" s="1"/>
      <c r="AB45" s="4"/>
      <c r="AC45" s="4"/>
      <c r="AD45" s="1"/>
      <c r="AE45" s="1" t="s">
        <v>63</v>
      </c>
      <c r="AF45" s="1"/>
      <c r="AG45" s="2"/>
      <c r="AH45" s="1"/>
      <c r="AI45" s="1"/>
      <c r="AJ45" s="1" t="s">
        <v>693</v>
      </c>
      <c r="AK45" s="111">
        <v>46295.360324074078</v>
      </c>
      <c r="AL45" s="1"/>
      <c r="AM45" s="1"/>
      <c r="AN45" s="1"/>
      <c r="AO45" s="1"/>
      <c r="AP45" s="1"/>
      <c r="AQ45" s="1"/>
      <c r="AR45" s="1"/>
      <c r="AS45" s="1"/>
      <c r="AT45" s="2"/>
      <c r="AU45" s="1"/>
      <c r="AV45" s="2">
        <v>0</v>
      </c>
      <c r="AW45" s="4"/>
      <c r="AX45" s="111"/>
      <c r="AY45" s="4"/>
      <c r="AZ45" s="1"/>
      <c r="BA45" s="1"/>
      <c r="BB45" s="1" t="s">
        <v>503</v>
      </c>
      <c r="BC45" s="4"/>
      <c r="BD45" s="1" t="s">
        <v>85</v>
      </c>
      <c r="BE45" s="4"/>
      <c r="BF45" s="2">
        <v>2114</v>
      </c>
      <c r="BG45" s="4"/>
      <c r="BH45" s="1"/>
      <c r="BI45" s="1" t="s">
        <v>189</v>
      </c>
    </row>
    <row r="46" spans="1:61" ht="13.5" customHeight="1" x14ac:dyDescent="0.25">
      <c r="A46" s="2">
        <v>309</v>
      </c>
      <c r="B46" s="1" t="s">
        <v>244</v>
      </c>
      <c r="C46" s="1" t="s">
        <v>47</v>
      </c>
      <c r="D46" s="1" t="s">
        <v>307</v>
      </c>
      <c r="E46" s="1" t="s">
        <v>729</v>
      </c>
      <c r="F46" s="1" t="s">
        <v>314</v>
      </c>
      <c r="G46" s="2"/>
      <c r="H46" s="101">
        <v>30</v>
      </c>
      <c r="I46" s="101"/>
      <c r="J46" s="39">
        <v>1</v>
      </c>
      <c r="K46" s="53" t="s">
        <v>80</v>
      </c>
      <c r="L46" s="66">
        <v>0</v>
      </c>
      <c r="M46" s="8" t="s">
        <v>693</v>
      </c>
      <c r="N46" s="1" t="s">
        <v>80</v>
      </c>
      <c r="O46" s="7" t="s">
        <v>245</v>
      </c>
      <c r="P46" s="111">
        <v>45649.686331018522</v>
      </c>
      <c r="Q46" s="111">
        <v>46241.484490740739</v>
      </c>
      <c r="R46" s="111">
        <v>46238.383483796293</v>
      </c>
      <c r="S46" s="1" t="s">
        <v>81</v>
      </c>
      <c r="T46" s="1" t="s">
        <v>84</v>
      </c>
      <c r="U46" s="4" t="s">
        <v>934</v>
      </c>
      <c r="V46" s="2"/>
      <c r="W46" s="111"/>
      <c r="X46" s="1"/>
      <c r="Y46" s="1" t="s">
        <v>693</v>
      </c>
      <c r="Z46" s="111">
        <v>46210.35465277778</v>
      </c>
      <c r="AA46" s="1"/>
      <c r="AB46" s="4"/>
      <c r="AC46" s="4"/>
      <c r="AD46" s="1"/>
      <c r="AE46" s="1" t="s">
        <v>63</v>
      </c>
      <c r="AF46" s="1"/>
      <c r="AG46" s="2"/>
      <c r="AH46" s="1"/>
      <c r="AI46" s="1"/>
      <c r="AJ46" s="1" t="s">
        <v>81</v>
      </c>
      <c r="AK46" s="111">
        <v>46241.484490740739</v>
      </c>
      <c r="AL46" s="1"/>
      <c r="AM46" s="1"/>
      <c r="AN46" s="1"/>
      <c r="AO46" s="1"/>
      <c r="AP46" s="1"/>
      <c r="AQ46" s="1"/>
      <c r="AR46" s="1" t="s">
        <v>693</v>
      </c>
      <c r="AS46" s="1"/>
      <c r="AT46" s="2"/>
      <c r="AU46" s="1"/>
      <c r="AV46" s="2">
        <v>4</v>
      </c>
      <c r="AW46" s="4"/>
      <c r="AX46" s="111"/>
      <c r="AY46" s="4"/>
      <c r="AZ46" s="1"/>
      <c r="BA46" s="1"/>
      <c r="BB46" s="1" t="s">
        <v>61</v>
      </c>
      <c r="BC46" s="4"/>
      <c r="BD46" s="1" t="s">
        <v>85</v>
      </c>
      <c r="BE46" s="4"/>
      <c r="BF46" s="2"/>
      <c r="BG46" s="4"/>
      <c r="BH46" s="1"/>
      <c r="BI46" s="1" t="s">
        <v>86</v>
      </c>
    </row>
    <row r="47" spans="1:61" ht="13.5" customHeight="1" x14ac:dyDescent="0.25">
      <c r="A47" s="2">
        <v>902</v>
      </c>
      <c r="B47" s="1" t="s">
        <v>935</v>
      </c>
      <c r="C47" s="1" t="s">
        <v>47</v>
      </c>
      <c r="D47" s="1" t="s">
        <v>711</v>
      </c>
      <c r="E47" s="1" t="s">
        <v>729</v>
      </c>
      <c r="F47" s="1" t="s">
        <v>314</v>
      </c>
      <c r="G47" s="2"/>
      <c r="H47" s="101">
        <v>200</v>
      </c>
      <c r="I47" s="101">
        <v>200</v>
      </c>
      <c r="J47" s="39">
        <v>1</v>
      </c>
      <c r="K47" s="53" t="s">
        <v>80</v>
      </c>
      <c r="L47" s="66">
        <v>0</v>
      </c>
      <c r="M47" s="8" t="s">
        <v>155</v>
      </c>
      <c r="N47" s="1" t="s">
        <v>80</v>
      </c>
      <c r="O47" s="7" t="s">
        <v>266</v>
      </c>
      <c r="P47" s="111">
        <v>45777.576828703706</v>
      </c>
      <c r="Q47" s="111">
        <v>46265.393009259256</v>
      </c>
      <c r="R47" s="111">
        <v>46248.629699074074</v>
      </c>
      <c r="S47" s="1" t="s">
        <v>155</v>
      </c>
      <c r="T47" s="1" t="s">
        <v>81</v>
      </c>
      <c r="U47" s="4" t="s">
        <v>936</v>
      </c>
      <c r="V47" s="2"/>
      <c r="W47" s="111"/>
      <c r="X47" s="1"/>
      <c r="Y47" s="1" t="s">
        <v>371</v>
      </c>
      <c r="Z47" s="111">
        <v>46238.352986111109</v>
      </c>
      <c r="AA47" s="1"/>
      <c r="AB47" s="4"/>
      <c r="AC47" s="4"/>
      <c r="AD47" s="1"/>
      <c r="AE47" s="1" t="s">
        <v>63</v>
      </c>
      <c r="AF47" s="1"/>
      <c r="AG47" s="2"/>
      <c r="AH47" s="1"/>
      <c r="AI47" s="1"/>
      <c r="AJ47" s="1" t="s">
        <v>155</v>
      </c>
      <c r="AK47" s="111">
        <v>46265.393009259256</v>
      </c>
      <c r="AL47" s="1"/>
      <c r="AM47" s="1"/>
      <c r="AN47" s="1"/>
      <c r="AO47" s="1"/>
      <c r="AP47" s="1"/>
      <c r="AQ47" s="1"/>
      <c r="AR47" s="1" t="s">
        <v>81</v>
      </c>
      <c r="AS47" s="1"/>
      <c r="AT47" s="2"/>
      <c r="AU47" s="1"/>
      <c r="AV47" s="2">
        <v>2</v>
      </c>
      <c r="AW47" s="4"/>
      <c r="AX47" s="111"/>
      <c r="AY47" s="4"/>
      <c r="AZ47" s="1"/>
      <c r="BA47" s="1"/>
      <c r="BB47" s="1" t="s">
        <v>61</v>
      </c>
      <c r="BC47" s="4"/>
      <c r="BD47" s="1" t="s">
        <v>85</v>
      </c>
      <c r="BE47" s="4"/>
      <c r="BF47" s="2">
        <v>2018</v>
      </c>
      <c r="BG47" s="4"/>
      <c r="BH47" s="1"/>
      <c r="BI47" s="1" t="s">
        <v>86</v>
      </c>
    </row>
    <row r="48" spans="1:61" ht="13.5" customHeight="1" x14ac:dyDescent="0.25">
      <c r="A48" s="2">
        <v>1148</v>
      </c>
      <c r="B48" s="1" t="s">
        <v>557</v>
      </c>
      <c r="C48" s="1" t="s">
        <v>47</v>
      </c>
      <c r="D48" s="1" t="s">
        <v>728</v>
      </c>
      <c r="E48" s="1" t="s">
        <v>708</v>
      </c>
      <c r="F48" s="1" t="s">
        <v>314</v>
      </c>
      <c r="G48" s="2"/>
      <c r="H48" s="101">
        <v>13</v>
      </c>
      <c r="I48" s="101">
        <v>13</v>
      </c>
      <c r="J48" s="39">
        <v>1</v>
      </c>
      <c r="K48" s="53" t="s">
        <v>80</v>
      </c>
      <c r="L48" s="66">
        <v>0</v>
      </c>
      <c r="M48" s="8" t="s">
        <v>738</v>
      </c>
      <c r="N48" s="1" t="s">
        <v>80</v>
      </c>
      <c r="O48" s="7" t="s">
        <v>847</v>
      </c>
      <c r="P48" s="111">
        <v>45825.642962962964</v>
      </c>
      <c r="Q48" s="111">
        <v>46259.682962962965</v>
      </c>
      <c r="R48" s="111">
        <v>46259.682962962965</v>
      </c>
      <c r="S48" s="1" t="s">
        <v>81</v>
      </c>
      <c r="T48" s="1" t="s">
        <v>81</v>
      </c>
      <c r="U48" s="4" t="s">
        <v>95</v>
      </c>
      <c r="V48" s="2"/>
      <c r="W48" s="111"/>
      <c r="X48" s="1"/>
      <c r="Y48" s="1" t="s">
        <v>738</v>
      </c>
      <c r="Z48" s="111">
        <v>46224.593657407408</v>
      </c>
      <c r="AA48" s="1"/>
      <c r="AB48" s="4"/>
      <c r="AC48" s="4"/>
      <c r="AD48" s="1"/>
      <c r="AE48" s="1" t="s">
        <v>63</v>
      </c>
      <c r="AF48" s="1"/>
      <c r="AG48" s="2"/>
      <c r="AH48" s="1"/>
      <c r="AI48" s="1"/>
      <c r="AJ48" s="1" t="s">
        <v>81</v>
      </c>
      <c r="AK48" s="111">
        <v>46259.682962962965</v>
      </c>
      <c r="AL48" s="1"/>
      <c r="AM48" s="1"/>
      <c r="AN48" s="1"/>
      <c r="AO48" s="1"/>
      <c r="AP48" s="1"/>
      <c r="AQ48" s="1"/>
      <c r="AR48" s="1" t="s">
        <v>81</v>
      </c>
      <c r="AS48" s="1"/>
      <c r="AT48" s="2"/>
      <c r="AU48" s="1"/>
      <c r="AV48" s="2">
        <v>12</v>
      </c>
      <c r="AW48" s="4"/>
      <c r="AX48" s="111"/>
      <c r="AY48" s="4"/>
      <c r="AZ48" s="1"/>
      <c r="BA48" s="1"/>
      <c r="BB48" s="1" t="s">
        <v>61</v>
      </c>
      <c r="BC48" s="4"/>
      <c r="BD48" s="1" t="s">
        <v>85</v>
      </c>
      <c r="BE48" s="4"/>
      <c r="BF48" s="2">
        <v>1712</v>
      </c>
      <c r="BG48" s="4"/>
      <c r="BH48" s="1"/>
      <c r="BI48" s="1" t="s">
        <v>86</v>
      </c>
    </row>
    <row r="49" spans="1:61" ht="13.5" customHeight="1" x14ac:dyDescent="0.25">
      <c r="A49" s="2">
        <v>1624</v>
      </c>
      <c r="B49" s="1" t="s">
        <v>937</v>
      </c>
      <c r="C49" s="1" t="s">
        <v>47</v>
      </c>
      <c r="D49" s="1" t="s">
        <v>728</v>
      </c>
      <c r="E49" s="1" t="s">
        <v>708</v>
      </c>
      <c r="F49" s="1" t="s">
        <v>314</v>
      </c>
      <c r="G49" s="2"/>
      <c r="H49" s="101">
        <v>200</v>
      </c>
      <c r="I49" s="101">
        <v>200</v>
      </c>
      <c r="J49" s="39">
        <v>1</v>
      </c>
      <c r="K49" s="53" t="s">
        <v>80</v>
      </c>
      <c r="L49" s="66">
        <v>0</v>
      </c>
      <c r="M49" s="8" t="s">
        <v>738</v>
      </c>
      <c r="N49" s="1" t="s">
        <v>80</v>
      </c>
      <c r="O49" s="7" t="s">
        <v>967</v>
      </c>
      <c r="P49" s="111">
        <v>46030.483495370368</v>
      </c>
      <c r="Q49" s="111">
        <v>46258.380486111113</v>
      </c>
      <c r="R49" s="111">
        <v>46247.502199074072</v>
      </c>
      <c r="S49" s="1" t="s">
        <v>81</v>
      </c>
      <c r="T49" s="1" t="s">
        <v>81</v>
      </c>
      <c r="U49" s="4" t="s">
        <v>938</v>
      </c>
      <c r="V49" s="2"/>
      <c r="W49" s="111"/>
      <c r="X49" s="1"/>
      <c r="Y49" s="1" t="s">
        <v>738</v>
      </c>
      <c r="Z49" s="111">
        <v>46181.373113425929</v>
      </c>
      <c r="AA49" s="1"/>
      <c r="AB49" s="4"/>
      <c r="AC49" s="4"/>
      <c r="AD49" s="1"/>
      <c r="AE49" s="1" t="s">
        <v>63</v>
      </c>
      <c r="AF49" s="1"/>
      <c r="AG49" s="2"/>
      <c r="AH49" s="1"/>
      <c r="AI49" s="1"/>
      <c r="AJ49" s="1" t="s">
        <v>81</v>
      </c>
      <c r="AK49" s="111">
        <v>46258.380486111113</v>
      </c>
      <c r="AL49" s="1"/>
      <c r="AM49" s="1"/>
      <c r="AN49" s="1"/>
      <c r="AO49" s="1"/>
      <c r="AP49" s="1"/>
      <c r="AQ49" s="1"/>
      <c r="AR49" s="1" t="s">
        <v>81</v>
      </c>
      <c r="AS49" s="1"/>
      <c r="AT49" s="2"/>
      <c r="AU49" s="1"/>
      <c r="AV49" s="2">
        <v>13</v>
      </c>
      <c r="AW49" s="4"/>
      <c r="AX49" s="111"/>
      <c r="AY49" s="4"/>
      <c r="AZ49" s="1"/>
      <c r="BA49" s="1"/>
      <c r="BB49" s="1" t="s">
        <v>503</v>
      </c>
      <c r="BC49" s="4"/>
      <c r="BD49" s="1" t="s">
        <v>85</v>
      </c>
      <c r="BE49" s="4"/>
      <c r="BF49" s="2">
        <v>1749</v>
      </c>
      <c r="BG49" s="4"/>
      <c r="BH49" s="1"/>
      <c r="BI49" s="1" t="s">
        <v>86</v>
      </c>
    </row>
    <row r="50" spans="1:61" ht="13.5" customHeight="1" x14ac:dyDescent="0.25">
      <c r="A50" s="2">
        <v>1655</v>
      </c>
      <c r="B50" s="1" t="s">
        <v>848</v>
      </c>
      <c r="C50" s="1" t="s">
        <v>47</v>
      </c>
      <c r="D50" s="1" t="s">
        <v>710</v>
      </c>
      <c r="E50" s="1" t="s">
        <v>699</v>
      </c>
      <c r="F50" s="1" t="s">
        <v>314</v>
      </c>
      <c r="G50" s="2"/>
      <c r="H50" s="101">
        <v>20</v>
      </c>
      <c r="I50" s="101">
        <v>20</v>
      </c>
      <c r="J50" s="39">
        <v>1</v>
      </c>
      <c r="K50" s="53" t="s">
        <v>80</v>
      </c>
      <c r="L50" s="66">
        <v>0</v>
      </c>
      <c r="M50" s="8" t="s">
        <v>737</v>
      </c>
      <c r="N50" s="1" t="s">
        <v>80</v>
      </c>
      <c r="O50" s="7" t="s">
        <v>917</v>
      </c>
      <c r="P50" s="111">
        <v>46045.379317129627</v>
      </c>
      <c r="Q50" s="111">
        <v>46259.704791666663</v>
      </c>
      <c r="R50" s="111">
        <v>46259.704791666663</v>
      </c>
      <c r="S50" s="1" t="s">
        <v>81</v>
      </c>
      <c r="T50" s="1" t="s">
        <v>81</v>
      </c>
      <c r="U50" s="4" t="s">
        <v>849</v>
      </c>
      <c r="V50" s="2"/>
      <c r="W50" s="111"/>
      <c r="X50" s="1"/>
      <c r="Y50" s="1" t="s">
        <v>737</v>
      </c>
      <c r="Z50" s="111">
        <v>46248.722430555557</v>
      </c>
      <c r="AA50" s="1"/>
      <c r="AB50" s="4"/>
      <c r="AC50" s="4"/>
      <c r="AD50" s="1"/>
      <c r="AE50" s="1" t="s">
        <v>63</v>
      </c>
      <c r="AF50" s="1"/>
      <c r="AG50" s="2"/>
      <c r="AH50" s="1"/>
      <c r="AI50" s="1"/>
      <c r="AJ50" s="1" t="s">
        <v>81</v>
      </c>
      <c r="AK50" s="111">
        <v>46259.704791666663</v>
      </c>
      <c r="AL50" s="1"/>
      <c r="AM50" s="1"/>
      <c r="AN50" s="1"/>
      <c r="AO50" s="1"/>
      <c r="AP50" s="1"/>
      <c r="AQ50" s="1"/>
      <c r="AR50" s="1" t="s">
        <v>81</v>
      </c>
      <c r="AS50" s="1"/>
      <c r="AT50" s="2"/>
      <c r="AU50" s="1"/>
      <c r="AV50" s="2">
        <v>8</v>
      </c>
      <c r="AW50" s="4"/>
      <c r="AX50" s="111"/>
      <c r="AY50" s="4"/>
      <c r="AZ50" s="1"/>
      <c r="BA50" s="1"/>
      <c r="BB50" s="1" t="s">
        <v>503</v>
      </c>
      <c r="BC50" s="4"/>
      <c r="BD50" s="1" t="s">
        <v>85</v>
      </c>
      <c r="BE50" s="4"/>
      <c r="BF50" s="2"/>
      <c r="BG50" s="4"/>
      <c r="BH50" s="1"/>
      <c r="BI50" s="1" t="s">
        <v>86</v>
      </c>
    </row>
    <row r="51" spans="1:61" ht="13.5" customHeight="1" x14ac:dyDescent="0.25">
      <c r="A51" s="2">
        <v>1688</v>
      </c>
      <c r="B51" s="1" t="s">
        <v>850</v>
      </c>
      <c r="C51" s="1" t="s">
        <v>47</v>
      </c>
      <c r="D51" s="1" t="s">
        <v>728</v>
      </c>
      <c r="E51" s="1" t="s">
        <v>732</v>
      </c>
      <c r="F51" s="1" t="s">
        <v>314</v>
      </c>
      <c r="G51" s="2"/>
      <c r="H51" s="101">
        <v>20</v>
      </c>
      <c r="I51" s="101">
        <v>20</v>
      </c>
      <c r="J51" s="39">
        <v>1</v>
      </c>
      <c r="K51" s="53" t="s">
        <v>80</v>
      </c>
      <c r="L51" s="66">
        <v>0</v>
      </c>
      <c r="M51" s="8" t="s">
        <v>738</v>
      </c>
      <c r="N51" s="1" t="s">
        <v>80</v>
      </c>
      <c r="O51" s="7" t="s">
        <v>918</v>
      </c>
      <c r="P51" s="111">
        <v>46062.355567129627</v>
      </c>
      <c r="Q51" s="111">
        <v>46259.682696759257</v>
      </c>
      <c r="R51" s="111">
        <v>46259.682696759257</v>
      </c>
      <c r="S51" s="1" t="s">
        <v>81</v>
      </c>
      <c r="T51" s="1" t="s">
        <v>81</v>
      </c>
      <c r="U51" s="4"/>
      <c r="V51" s="2"/>
      <c r="W51" s="111"/>
      <c r="X51" s="1"/>
      <c r="Y51" s="1" t="s">
        <v>738</v>
      </c>
      <c r="Z51" s="111">
        <v>46246.619386574072</v>
      </c>
      <c r="AA51" s="1"/>
      <c r="AB51" s="4"/>
      <c r="AC51" s="4"/>
      <c r="AD51" s="1"/>
      <c r="AE51" s="1" t="s">
        <v>63</v>
      </c>
      <c r="AF51" s="1"/>
      <c r="AG51" s="2"/>
      <c r="AH51" s="1"/>
      <c r="AI51" s="1"/>
      <c r="AJ51" s="1" t="s">
        <v>81</v>
      </c>
      <c r="AK51" s="111">
        <v>46259.682696759257</v>
      </c>
      <c r="AL51" s="1"/>
      <c r="AM51" s="1"/>
      <c r="AN51" s="1"/>
      <c r="AO51" s="1"/>
      <c r="AP51" s="1"/>
      <c r="AQ51" s="1"/>
      <c r="AR51" s="1" t="s">
        <v>81</v>
      </c>
      <c r="AS51" s="1"/>
      <c r="AT51" s="2"/>
      <c r="AU51" s="1"/>
      <c r="AV51" s="2">
        <v>15</v>
      </c>
      <c r="AW51" s="4"/>
      <c r="AX51" s="111"/>
      <c r="AY51" s="4"/>
      <c r="AZ51" s="1"/>
      <c r="BA51" s="1"/>
      <c r="BB51" s="1" t="s">
        <v>503</v>
      </c>
      <c r="BC51" s="4"/>
      <c r="BD51" s="1" t="s">
        <v>85</v>
      </c>
      <c r="BE51" s="4"/>
      <c r="BF51" s="2">
        <v>1712</v>
      </c>
      <c r="BG51" s="4"/>
      <c r="BH51" s="1"/>
      <c r="BI51" s="1" t="s">
        <v>86</v>
      </c>
    </row>
    <row r="52" spans="1:61" ht="13.5" customHeight="1" x14ac:dyDescent="0.25">
      <c r="A52" s="2">
        <v>1702</v>
      </c>
      <c r="B52" s="1" t="s">
        <v>989</v>
      </c>
      <c r="C52" s="1" t="s">
        <v>47</v>
      </c>
      <c r="D52" s="1" t="s">
        <v>712</v>
      </c>
      <c r="E52" s="1" t="s">
        <v>703</v>
      </c>
      <c r="F52" s="1" t="s">
        <v>466</v>
      </c>
      <c r="G52" s="2"/>
      <c r="H52" s="101"/>
      <c r="I52" s="101"/>
      <c r="J52" s="39">
        <v>1</v>
      </c>
      <c r="K52" s="53" t="s">
        <v>80</v>
      </c>
      <c r="L52" s="66">
        <v>0</v>
      </c>
      <c r="M52" s="8" t="s">
        <v>81</v>
      </c>
      <c r="N52" s="1" t="s">
        <v>80</v>
      </c>
      <c r="O52" s="7" t="s">
        <v>1046</v>
      </c>
      <c r="P52" s="111">
        <v>46069.664780092593</v>
      </c>
      <c r="Q52" s="111">
        <v>46211.735914351855</v>
      </c>
      <c r="R52" s="111">
        <v>46211.735914351855</v>
      </c>
      <c r="S52" s="1" t="s">
        <v>81</v>
      </c>
      <c r="T52" s="1" t="s">
        <v>81</v>
      </c>
      <c r="U52" s="4" t="s">
        <v>990</v>
      </c>
      <c r="V52" s="2"/>
      <c r="W52" s="111"/>
      <c r="X52" s="1"/>
      <c r="Y52" s="1" t="s">
        <v>81</v>
      </c>
      <c r="Z52" s="111">
        <v>46190.736284722225</v>
      </c>
      <c r="AA52" s="1"/>
      <c r="AB52" s="4"/>
      <c r="AC52" s="4"/>
      <c r="AD52" s="1"/>
      <c r="AE52" s="1" t="s">
        <v>63</v>
      </c>
      <c r="AF52" s="1"/>
      <c r="AG52" s="2"/>
      <c r="AH52" s="1"/>
      <c r="AI52" s="1"/>
      <c r="AJ52" s="1" t="s">
        <v>81</v>
      </c>
      <c r="AK52" s="111">
        <v>46211.735914351855</v>
      </c>
      <c r="AL52" s="1"/>
      <c r="AM52" s="1"/>
      <c r="AN52" s="1"/>
      <c r="AO52" s="1"/>
      <c r="AP52" s="1"/>
      <c r="AQ52" s="1"/>
      <c r="AR52" s="1" t="s">
        <v>81</v>
      </c>
      <c r="AS52" s="1"/>
      <c r="AT52" s="2"/>
      <c r="AU52" s="1"/>
      <c r="AV52" s="2">
        <v>9</v>
      </c>
      <c r="AW52" s="4"/>
      <c r="AX52" s="111"/>
      <c r="AY52" s="4"/>
      <c r="AZ52" s="1"/>
      <c r="BA52" s="1"/>
      <c r="BB52" s="1" t="s">
        <v>503</v>
      </c>
      <c r="BC52" s="4"/>
      <c r="BD52" s="1" t="s">
        <v>85</v>
      </c>
      <c r="BE52" s="4"/>
      <c r="BF52" s="2"/>
      <c r="BG52" s="4"/>
      <c r="BH52" s="1"/>
      <c r="BI52" s="1" t="s">
        <v>86</v>
      </c>
    </row>
    <row r="53" spans="1:61" ht="13.5" customHeight="1" x14ac:dyDescent="0.25">
      <c r="A53" s="2">
        <v>1745</v>
      </c>
      <c r="B53" s="1" t="s">
        <v>851</v>
      </c>
      <c r="C53" s="1" t="s">
        <v>47</v>
      </c>
      <c r="D53" s="1" t="s">
        <v>728</v>
      </c>
      <c r="E53" s="1" t="s">
        <v>708</v>
      </c>
      <c r="F53" s="1" t="s">
        <v>314</v>
      </c>
      <c r="G53" s="2"/>
      <c r="H53" s="101">
        <v>20</v>
      </c>
      <c r="I53" s="101"/>
      <c r="J53" s="39">
        <v>1</v>
      </c>
      <c r="K53" s="53" t="s">
        <v>80</v>
      </c>
      <c r="L53" s="66">
        <v>0</v>
      </c>
      <c r="M53" s="8" t="s">
        <v>738</v>
      </c>
      <c r="N53" s="1" t="s">
        <v>80</v>
      </c>
      <c r="O53" s="7" t="s">
        <v>919</v>
      </c>
      <c r="P53" s="111">
        <v>46078.345370370371</v>
      </c>
      <c r="Q53" s="111">
        <v>46259.682766203703</v>
      </c>
      <c r="R53" s="111">
        <v>46259.682766203703</v>
      </c>
      <c r="S53" s="1" t="s">
        <v>81</v>
      </c>
      <c r="T53" s="1" t="s">
        <v>693</v>
      </c>
      <c r="U53" s="4"/>
      <c r="V53" s="2"/>
      <c r="W53" s="111"/>
      <c r="X53" s="1"/>
      <c r="Y53" s="1" t="s">
        <v>738</v>
      </c>
      <c r="Z53" s="111">
        <v>46246.396192129629</v>
      </c>
      <c r="AA53" s="1"/>
      <c r="AB53" s="4"/>
      <c r="AC53" s="4"/>
      <c r="AD53" s="1"/>
      <c r="AE53" s="1" t="s">
        <v>63</v>
      </c>
      <c r="AF53" s="1"/>
      <c r="AG53" s="2"/>
      <c r="AH53" s="1"/>
      <c r="AI53" s="1"/>
      <c r="AJ53" s="1" t="s">
        <v>81</v>
      </c>
      <c r="AK53" s="111">
        <v>46259.682766203703</v>
      </c>
      <c r="AL53" s="1"/>
      <c r="AM53" s="1"/>
      <c r="AN53" s="1"/>
      <c r="AO53" s="1"/>
      <c r="AP53" s="1"/>
      <c r="AQ53" s="1"/>
      <c r="AR53" s="1" t="s">
        <v>81</v>
      </c>
      <c r="AS53" s="1"/>
      <c r="AT53" s="2"/>
      <c r="AU53" s="1"/>
      <c r="AV53" s="2">
        <v>6</v>
      </c>
      <c r="AW53" s="4"/>
      <c r="AX53" s="111"/>
      <c r="AY53" s="4"/>
      <c r="AZ53" s="1"/>
      <c r="BA53" s="1"/>
      <c r="BB53" s="1" t="s">
        <v>503</v>
      </c>
      <c r="BC53" s="4"/>
      <c r="BD53" s="1" t="s">
        <v>85</v>
      </c>
      <c r="BE53" s="4"/>
      <c r="BF53" s="2"/>
      <c r="BG53" s="4"/>
      <c r="BH53" s="1"/>
      <c r="BI53" s="1" t="s">
        <v>86</v>
      </c>
    </row>
    <row r="54" spans="1:61" ht="13.5" customHeight="1" x14ac:dyDescent="0.25">
      <c r="A54" s="2">
        <v>1791</v>
      </c>
      <c r="B54" s="1" t="s">
        <v>992</v>
      </c>
      <c r="C54" s="1" t="s">
        <v>47</v>
      </c>
      <c r="D54" s="1" t="s">
        <v>710</v>
      </c>
      <c r="E54" s="1" t="s">
        <v>699</v>
      </c>
      <c r="F54" s="1" t="s">
        <v>466</v>
      </c>
      <c r="G54" s="2"/>
      <c r="H54" s="101"/>
      <c r="I54" s="101"/>
      <c r="J54" s="39">
        <v>1</v>
      </c>
      <c r="K54" s="53" t="s">
        <v>80</v>
      </c>
      <c r="L54" s="66">
        <v>0</v>
      </c>
      <c r="M54" s="8" t="s">
        <v>737</v>
      </c>
      <c r="N54" s="1" t="s">
        <v>80</v>
      </c>
      <c r="O54" s="7" t="s">
        <v>993</v>
      </c>
      <c r="P54" s="111">
        <v>46094.709097222221</v>
      </c>
      <c r="Q54" s="111">
        <v>46211.735879629632</v>
      </c>
      <c r="R54" s="111">
        <v>46211.735879629632</v>
      </c>
      <c r="S54" s="1" t="s">
        <v>81</v>
      </c>
      <c r="T54" s="1" t="s">
        <v>81</v>
      </c>
      <c r="U54" s="4" t="s">
        <v>539</v>
      </c>
      <c r="V54" s="2"/>
      <c r="W54" s="111"/>
      <c r="X54" s="1"/>
      <c r="Y54" s="1" t="s">
        <v>737</v>
      </c>
      <c r="Z54" s="111">
        <v>46119.637673611112</v>
      </c>
      <c r="AA54" s="1"/>
      <c r="AB54" s="4"/>
      <c r="AC54" s="4"/>
      <c r="AD54" s="1"/>
      <c r="AE54" s="1" t="s">
        <v>63</v>
      </c>
      <c r="AF54" s="1"/>
      <c r="AG54" s="2"/>
      <c r="AH54" s="1"/>
      <c r="AI54" s="1"/>
      <c r="AJ54" s="1" t="s">
        <v>81</v>
      </c>
      <c r="AK54" s="111">
        <v>46211.735879629632</v>
      </c>
      <c r="AL54" s="1"/>
      <c r="AM54" s="1"/>
      <c r="AN54" s="1"/>
      <c r="AO54" s="1"/>
      <c r="AP54" s="1"/>
      <c r="AQ54" s="1"/>
      <c r="AR54" s="1" t="s">
        <v>81</v>
      </c>
      <c r="AS54" s="1"/>
      <c r="AT54" s="2"/>
      <c r="AU54" s="1"/>
      <c r="AV54" s="2">
        <v>6</v>
      </c>
      <c r="AW54" s="4"/>
      <c r="AX54" s="111"/>
      <c r="AY54" s="4"/>
      <c r="AZ54" s="1"/>
      <c r="BA54" s="1"/>
      <c r="BB54" s="1" t="s">
        <v>503</v>
      </c>
      <c r="BC54" s="4"/>
      <c r="BD54" s="1" t="s">
        <v>85</v>
      </c>
      <c r="BE54" s="4"/>
      <c r="BF54" s="2"/>
      <c r="BG54" s="4"/>
      <c r="BH54" s="1"/>
      <c r="BI54" s="1" t="s">
        <v>86</v>
      </c>
    </row>
    <row r="55" spans="1:61" ht="13.5" customHeight="1" x14ac:dyDescent="0.25">
      <c r="A55" s="2">
        <v>1872</v>
      </c>
      <c r="B55" s="1" t="s">
        <v>995</v>
      </c>
      <c r="C55" s="1" t="s">
        <v>47</v>
      </c>
      <c r="D55" s="1" t="s">
        <v>710</v>
      </c>
      <c r="E55" s="1" t="s">
        <v>699</v>
      </c>
      <c r="F55" s="1" t="s">
        <v>709</v>
      </c>
      <c r="G55" s="2"/>
      <c r="H55" s="101"/>
      <c r="I55" s="101"/>
      <c r="J55" s="39">
        <v>1</v>
      </c>
      <c r="K55" s="53" t="s">
        <v>80</v>
      </c>
      <c r="L55" s="66">
        <v>0</v>
      </c>
      <c r="M55" s="8" t="s">
        <v>91</v>
      </c>
      <c r="N55" s="1" t="s">
        <v>80</v>
      </c>
      <c r="O55" s="7" t="s">
        <v>1047</v>
      </c>
      <c r="P55" s="111">
        <v>46127.349618055552</v>
      </c>
      <c r="Q55" s="111">
        <v>46211.735902777778</v>
      </c>
      <c r="R55" s="111">
        <v>46211.735902777778</v>
      </c>
      <c r="S55" s="1" t="s">
        <v>81</v>
      </c>
      <c r="T55" s="1" t="s">
        <v>693</v>
      </c>
      <c r="U55" s="4" t="s">
        <v>991</v>
      </c>
      <c r="V55" s="2"/>
      <c r="W55" s="111"/>
      <c r="X55" s="1"/>
      <c r="Y55" s="1" t="s">
        <v>91</v>
      </c>
      <c r="Z55" s="111">
        <v>46127.373298611114</v>
      </c>
      <c r="AA55" s="1"/>
      <c r="AB55" s="4"/>
      <c r="AC55" s="4"/>
      <c r="AD55" s="1"/>
      <c r="AE55" s="1" t="s">
        <v>63</v>
      </c>
      <c r="AF55" s="1"/>
      <c r="AG55" s="2"/>
      <c r="AH55" s="1"/>
      <c r="AI55" s="1"/>
      <c r="AJ55" s="1" t="s">
        <v>81</v>
      </c>
      <c r="AK55" s="111">
        <v>46211.735902777778</v>
      </c>
      <c r="AL55" s="1"/>
      <c r="AM55" s="1"/>
      <c r="AN55" s="1"/>
      <c r="AO55" s="1"/>
      <c r="AP55" s="1"/>
      <c r="AQ55" s="1"/>
      <c r="AR55" s="1" t="s">
        <v>81</v>
      </c>
      <c r="AS55" s="1"/>
      <c r="AT55" s="2"/>
      <c r="AU55" s="1"/>
      <c r="AV55" s="2">
        <v>3</v>
      </c>
      <c r="AW55" s="4"/>
      <c r="AX55" s="111"/>
      <c r="AY55" s="4"/>
      <c r="AZ55" s="1"/>
      <c r="BA55" s="1"/>
      <c r="BB55" s="1" t="s">
        <v>503</v>
      </c>
      <c r="BC55" s="4"/>
      <c r="BD55" s="1" t="s">
        <v>85</v>
      </c>
      <c r="BE55" s="4"/>
      <c r="BF55" s="2"/>
      <c r="BG55" s="4"/>
      <c r="BH55" s="1"/>
      <c r="BI55" s="1" t="s">
        <v>86</v>
      </c>
    </row>
    <row r="56" spans="1:61" ht="13.5" customHeight="1" x14ac:dyDescent="0.25">
      <c r="A56" s="2">
        <v>1886</v>
      </c>
      <c r="B56" s="1" t="s">
        <v>996</v>
      </c>
      <c r="C56" s="1" t="s">
        <v>47</v>
      </c>
      <c r="D56" s="1" t="s">
        <v>311</v>
      </c>
      <c r="E56" s="1" t="s">
        <v>701</v>
      </c>
      <c r="F56" s="1" t="s">
        <v>466</v>
      </c>
      <c r="G56" s="2"/>
      <c r="H56" s="101"/>
      <c r="I56" s="101"/>
      <c r="J56" s="39">
        <v>1</v>
      </c>
      <c r="K56" s="53" t="s">
        <v>80</v>
      </c>
      <c r="L56" s="66">
        <v>0</v>
      </c>
      <c r="M56" s="8" t="s">
        <v>738</v>
      </c>
      <c r="N56" s="1" t="s">
        <v>80</v>
      </c>
      <c r="O56" s="7" t="s">
        <v>997</v>
      </c>
      <c r="P56" s="111">
        <v>46129.47388888889</v>
      </c>
      <c r="Q56" s="111">
        <v>46237.663738425923</v>
      </c>
      <c r="R56" s="111">
        <v>46211.735925925925</v>
      </c>
      <c r="S56" s="1" t="s">
        <v>81</v>
      </c>
      <c r="T56" s="1" t="s">
        <v>155</v>
      </c>
      <c r="U56" s="4" t="s">
        <v>991</v>
      </c>
      <c r="V56" s="2"/>
      <c r="W56" s="111"/>
      <c r="X56" s="1"/>
      <c r="Y56" s="1" t="s">
        <v>738</v>
      </c>
      <c r="Z56" s="111">
        <v>46129.59884259259</v>
      </c>
      <c r="AA56" s="1"/>
      <c r="AB56" s="4"/>
      <c r="AC56" s="4"/>
      <c r="AD56" s="1"/>
      <c r="AE56" s="1" t="s">
        <v>63</v>
      </c>
      <c r="AF56" s="1"/>
      <c r="AG56" s="2"/>
      <c r="AH56" s="1"/>
      <c r="AI56" s="1"/>
      <c r="AJ56" s="1" t="s">
        <v>81</v>
      </c>
      <c r="AK56" s="111">
        <v>46237.663738425923</v>
      </c>
      <c r="AL56" s="1"/>
      <c r="AM56" s="1"/>
      <c r="AN56" s="1"/>
      <c r="AO56" s="1"/>
      <c r="AP56" s="1"/>
      <c r="AQ56" s="1"/>
      <c r="AR56" s="1" t="s">
        <v>81</v>
      </c>
      <c r="AS56" s="1"/>
      <c r="AT56" s="2"/>
      <c r="AU56" s="1"/>
      <c r="AV56" s="2">
        <v>3</v>
      </c>
      <c r="AW56" s="4"/>
      <c r="AX56" s="111"/>
      <c r="AY56" s="4"/>
      <c r="AZ56" s="1"/>
      <c r="BA56" s="1"/>
      <c r="BB56" s="1" t="s">
        <v>503</v>
      </c>
      <c r="BC56" s="4"/>
      <c r="BD56" s="1" t="s">
        <v>85</v>
      </c>
      <c r="BE56" s="4"/>
      <c r="BF56" s="2"/>
      <c r="BG56" s="4"/>
      <c r="BH56" s="1"/>
      <c r="BI56" s="1" t="s">
        <v>86</v>
      </c>
    </row>
    <row r="57" spans="1:61" ht="13.5" customHeight="1" x14ac:dyDescent="0.25">
      <c r="A57" s="2">
        <v>1889</v>
      </c>
      <c r="B57" s="1" t="s">
        <v>998</v>
      </c>
      <c r="C57" s="1" t="s">
        <v>47</v>
      </c>
      <c r="D57" s="1" t="s">
        <v>711</v>
      </c>
      <c r="E57" s="1" t="s">
        <v>702</v>
      </c>
      <c r="F57" s="1" t="s">
        <v>466</v>
      </c>
      <c r="G57" s="2"/>
      <c r="H57" s="101"/>
      <c r="I57" s="101"/>
      <c r="J57" s="39">
        <v>1</v>
      </c>
      <c r="K57" s="53" t="s">
        <v>80</v>
      </c>
      <c r="L57" s="66">
        <v>0</v>
      </c>
      <c r="M57" s="8" t="s">
        <v>738</v>
      </c>
      <c r="N57" s="1" t="s">
        <v>80</v>
      </c>
      <c r="O57" s="7" t="s">
        <v>999</v>
      </c>
      <c r="P57" s="111">
        <v>46134.576261574075</v>
      </c>
      <c r="Q57" s="111">
        <v>46232.801354166666</v>
      </c>
      <c r="R57" s="111">
        <v>46232.801354166666</v>
      </c>
      <c r="S57" s="1" t="s">
        <v>81</v>
      </c>
      <c r="T57" s="1" t="s">
        <v>155</v>
      </c>
      <c r="U57" s="4"/>
      <c r="V57" s="2"/>
      <c r="W57" s="111"/>
      <c r="X57" s="1"/>
      <c r="Y57" s="1" t="s">
        <v>738</v>
      </c>
      <c r="Z57" s="111">
        <v>46224.400787037041</v>
      </c>
      <c r="AA57" s="1"/>
      <c r="AB57" s="4"/>
      <c r="AC57" s="4"/>
      <c r="AD57" s="1"/>
      <c r="AE57" s="1" t="s">
        <v>63</v>
      </c>
      <c r="AF57" s="1"/>
      <c r="AG57" s="2"/>
      <c r="AH57" s="1"/>
      <c r="AI57" s="1"/>
      <c r="AJ57" s="1" t="s">
        <v>81</v>
      </c>
      <c r="AK57" s="111">
        <v>46232.801354166666</v>
      </c>
      <c r="AL57" s="1"/>
      <c r="AM57" s="1"/>
      <c r="AN57" s="1"/>
      <c r="AO57" s="1"/>
      <c r="AP57" s="1"/>
      <c r="AQ57" s="1"/>
      <c r="AR57" s="1" t="s">
        <v>81</v>
      </c>
      <c r="AS57" s="1"/>
      <c r="AT57" s="2"/>
      <c r="AU57" s="1"/>
      <c r="AV57" s="2">
        <v>8</v>
      </c>
      <c r="AW57" s="4"/>
      <c r="AX57" s="111"/>
      <c r="AY57" s="4"/>
      <c r="AZ57" s="1"/>
      <c r="BA57" s="1"/>
      <c r="BB57" s="1" t="s">
        <v>503</v>
      </c>
      <c r="BC57" s="4"/>
      <c r="BD57" s="1" t="s">
        <v>85</v>
      </c>
      <c r="BE57" s="4"/>
      <c r="BF57" s="2"/>
      <c r="BG57" s="4"/>
      <c r="BH57" s="1"/>
      <c r="BI57" s="1" t="s">
        <v>86</v>
      </c>
    </row>
    <row r="58" spans="1:61" ht="13.5" customHeight="1" x14ac:dyDescent="0.25">
      <c r="A58" s="2">
        <v>1894</v>
      </c>
      <c r="B58" s="1" t="s">
        <v>852</v>
      </c>
      <c r="C58" s="1" t="s">
        <v>47</v>
      </c>
      <c r="D58" s="1" t="s">
        <v>310</v>
      </c>
      <c r="E58" s="1" t="s">
        <v>708</v>
      </c>
      <c r="F58" s="1" t="s">
        <v>314</v>
      </c>
      <c r="G58" s="2">
        <v>37</v>
      </c>
      <c r="H58" s="101">
        <v>20</v>
      </c>
      <c r="I58" s="101">
        <v>20</v>
      </c>
      <c r="J58" s="39">
        <v>1</v>
      </c>
      <c r="K58" s="53" t="s">
        <v>80</v>
      </c>
      <c r="L58" s="66">
        <v>0</v>
      </c>
      <c r="M58" s="8" t="s">
        <v>737</v>
      </c>
      <c r="N58" s="1" t="s">
        <v>80</v>
      </c>
      <c r="O58" s="7" t="s">
        <v>853</v>
      </c>
      <c r="P58" s="111">
        <v>46136.408460648148</v>
      </c>
      <c r="Q58" s="111">
        <v>46283.631168981483</v>
      </c>
      <c r="R58" s="111">
        <v>46283.631168981483</v>
      </c>
      <c r="S58" s="1" t="s">
        <v>693</v>
      </c>
      <c r="T58" s="1" t="s">
        <v>693</v>
      </c>
      <c r="U58" s="4"/>
      <c r="V58" s="2"/>
      <c r="W58" s="111"/>
      <c r="X58" s="1"/>
      <c r="Y58" s="1" t="s">
        <v>693</v>
      </c>
      <c r="Z58" s="111">
        <v>46281.616180555553</v>
      </c>
      <c r="AA58" s="1"/>
      <c r="AB58" s="4"/>
      <c r="AC58" s="4"/>
      <c r="AD58" s="1"/>
      <c r="AE58" s="1" t="s">
        <v>63</v>
      </c>
      <c r="AF58" s="1"/>
      <c r="AG58" s="2"/>
      <c r="AH58" s="1"/>
      <c r="AI58" s="1"/>
      <c r="AJ58" s="1" t="s">
        <v>693</v>
      </c>
      <c r="AK58" s="111">
        <v>46283.631168981483</v>
      </c>
      <c r="AL58" s="1"/>
      <c r="AM58" s="1"/>
      <c r="AN58" s="1"/>
      <c r="AO58" s="1"/>
      <c r="AP58" s="1"/>
      <c r="AQ58" s="1"/>
      <c r="AR58" s="1" t="s">
        <v>693</v>
      </c>
      <c r="AS58" s="1"/>
      <c r="AT58" s="2"/>
      <c r="AU58" s="1"/>
      <c r="AV58" s="2">
        <v>1</v>
      </c>
      <c r="AW58" s="4"/>
      <c r="AX58" s="111"/>
      <c r="AY58" s="4"/>
      <c r="AZ58" s="1"/>
      <c r="BA58" s="1"/>
      <c r="BB58" s="1" t="s">
        <v>503</v>
      </c>
      <c r="BC58" s="4"/>
      <c r="BD58" s="1" t="s">
        <v>85</v>
      </c>
      <c r="BE58" s="4"/>
      <c r="BF58" s="2">
        <v>1714</v>
      </c>
      <c r="BG58" s="4"/>
      <c r="BH58" s="1"/>
      <c r="BI58" s="1" t="s">
        <v>86</v>
      </c>
    </row>
    <row r="59" spans="1:61" ht="13.5" customHeight="1" x14ac:dyDescent="0.25">
      <c r="A59" s="2">
        <v>1900</v>
      </c>
      <c r="B59" s="1" t="s">
        <v>939</v>
      </c>
      <c r="C59" s="1" t="s">
        <v>47</v>
      </c>
      <c r="D59" s="1" t="s">
        <v>710</v>
      </c>
      <c r="E59" s="1" t="s">
        <v>699</v>
      </c>
      <c r="F59" s="1" t="s">
        <v>709</v>
      </c>
      <c r="G59" s="2"/>
      <c r="H59" s="101"/>
      <c r="I59" s="101"/>
      <c r="J59" s="39">
        <v>1</v>
      </c>
      <c r="K59" s="53" t="s">
        <v>80</v>
      </c>
      <c r="L59" s="66">
        <v>0</v>
      </c>
      <c r="M59" s="8" t="s">
        <v>91</v>
      </c>
      <c r="N59" s="1" t="s">
        <v>80</v>
      </c>
      <c r="O59" s="7" t="s">
        <v>940</v>
      </c>
      <c r="P59" s="111">
        <v>46139.431261574071</v>
      </c>
      <c r="Q59" s="111">
        <v>46244.735289351855</v>
      </c>
      <c r="R59" s="111">
        <v>46240.45484953704</v>
      </c>
      <c r="S59" s="1" t="s">
        <v>81</v>
      </c>
      <c r="T59" s="1" t="s">
        <v>155</v>
      </c>
      <c r="U59" s="4" t="s">
        <v>941</v>
      </c>
      <c r="V59" s="2"/>
      <c r="W59" s="111"/>
      <c r="X59" s="1"/>
      <c r="Y59" s="1" t="s">
        <v>91</v>
      </c>
      <c r="Z59" s="111">
        <v>46237.693356481483</v>
      </c>
      <c r="AA59" s="1"/>
      <c r="AB59" s="4"/>
      <c r="AC59" s="4"/>
      <c r="AD59" s="1"/>
      <c r="AE59" s="1" t="s">
        <v>63</v>
      </c>
      <c r="AF59" s="1"/>
      <c r="AG59" s="2"/>
      <c r="AH59" s="1"/>
      <c r="AI59" s="1"/>
      <c r="AJ59" s="1" t="s">
        <v>81</v>
      </c>
      <c r="AK59" s="111">
        <v>46244.735289351855</v>
      </c>
      <c r="AL59" s="1"/>
      <c r="AM59" s="1"/>
      <c r="AN59" s="1"/>
      <c r="AO59" s="1"/>
      <c r="AP59" s="1"/>
      <c r="AQ59" s="1"/>
      <c r="AR59" s="1" t="s">
        <v>81</v>
      </c>
      <c r="AS59" s="1"/>
      <c r="AT59" s="2"/>
      <c r="AU59" s="1"/>
      <c r="AV59" s="2">
        <v>2</v>
      </c>
      <c r="AW59" s="4"/>
      <c r="AX59" s="111"/>
      <c r="AY59" s="4"/>
      <c r="AZ59" s="1"/>
      <c r="BA59" s="1"/>
      <c r="BB59" s="1" t="s">
        <v>503</v>
      </c>
      <c r="BC59" s="4"/>
      <c r="BD59" s="1" t="s">
        <v>85</v>
      </c>
      <c r="BE59" s="4"/>
      <c r="BF59" s="2"/>
      <c r="BG59" s="4"/>
      <c r="BH59" s="1"/>
      <c r="BI59" s="1" t="s">
        <v>86</v>
      </c>
    </row>
    <row r="60" spans="1:61" ht="13.5" customHeight="1" x14ac:dyDescent="0.25">
      <c r="A60" s="2">
        <v>1904</v>
      </c>
      <c r="B60" s="1" t="s">
        <v>1000</v>
      </c>
      <c r="C60" s="1" t="s">
        <v>47</v>
      </c>
      <c r="D60" s="1" t="s">
        <v>711</v>
      </c>
      <c r="E60" s="1" t="s">
        <v>702</v>
      </c>
      <c r="F60" s="1" t="s">
        <v>709</v>
      </c>
      <c r="G60" s="2"/>
      <c r="H60" s="101"/>
      <c r="I60" s="101"/>
      <c r="J60" s="39">
        <v>1</v>
      </c>
      <c r="K60" s="53" t="s">
        <v>80</v>
      </c>
      <c r="L60" s="66">
        <v>0</v>
      </c>
      <c r="M60" s="8" t="s">
        <v>738</v>
      </c>
      <c r="N60" s="1" t="s">
        <v>80</v>
      </c>
      <c r="O60" s="7" t="s">
        <v>1048</v>
      </c>
      <c r="P60" s="111">
        <v>46140.430879629632</v>
      </c>
      <c r="Q60" s="111">
        <v>46232.801400462966</v>
      </c>
      <c r="R60" s="111">
        <v>46232.801400462966</v>
      </c>
      <c r="S60" s="1" t="s">
        <v>81</v>
      </c>
      <c r="T60" s="1" t="s">
        <v>693</v>
      </c>
      <c r="U60" s="4"/>
      <c r="V60" s="2"/>
      <c r="W60" s="111"/>
      <c r="X60" s="1"/>
      <c r="Y60" s="1" t="s">
        <v>738</v>
      </c>
      <c r="Z60" s="111">
        <v>46142.69425925926</v>
      </c>
      <c r="AA60" s="1"/>
      <c r="AB60" s="4"/>
      <c r="AC60" s="4"/>
      <c r="AD60" s="1"/>
      <c r="AE60" s="1" t="s">
        <v>63</v>
      </c>
      <c r="AF60" s="1"/>
      <c r="AG60" s="2"/>
      <c r="AH60" s="1"/>
      <c r="AI60" s="1"/>
      <c r="AJ60" s="1" t="s">
        <v>81</v>
      </c>
      <c r="AK60" s="111">
        <v>46232.801400462966</v>
      </c>
      <c r="AL60" s="1"/>
      <c r="AM60" s="1"/>
      <c r="AN60" s="1"/>
      <c r="AO60" s="1"/>
      <c r="AP60" s="1"/>
      <c r="AQ60" s="1"/>
      <c r="AR60" s="1" t="s">
        <v>81</v>
      </c>
      <c r="AS60" s="1"/>
      <c r="AT60" s="2"/>
      <c r="AU60" s="1"/>
      <c r="AV60" s="2">
        <v>4</v>
      </c>
      <c r="AW60" s="4"/>
      <c r="AX60" s="111"/>
      <c r="AY60" s="4"/>
      <c r="AZ60" s="1"/>
      <c r="BA60" s="1"/>
      <c r="BB60" s="1" t="s">
        <v>503</v>
      </c>
      <c r="BC60" s="4"/>
      <c r="BD60" s="1" t="s">
        <v>85</v>
      </c>
      <c r="BE60" s="4"/>
      <c r="BF60" s="2"/>
      <c r="BG60" s="4"/>
      <c r="BH60" s="1"/>
      <c r="BI60" s="1" t="s">
        <v>86</v>
      </c>
    </row>
    <row r="61" spans="1:61" ht="13.5" customHeight="1" x14ac:dyDescent="0.25">
      <c r="A61" s="2">
        <v>1909</v>
      </c>
      <c r="B61" s="1" t="s">
        <v>854</v>
      </c>
      <c r="C61" s="1" t="s">
        <v>47</v>
      </c>
      <c r="D61" s="1" t="s">
        <v>710</v>
      </c>
      <c r="E61" s="1" t="s">
        <v>699</v>
      </c>
      <c r="F61" s="1" t="s">
        <v>466</v>
      </c>
      <c r="G61" s="2"/>
      <c r="H61" s="101">
        <v>8</v>
      </c>
      <c r="I61" s="101"/>
      <c r="J61" s="39">
        <v>1</v>
      </c>
      <c r="K61" s="53" t="s">
        <v>80</v>
      </c>
      <c r="L61" s="66">
        <v>0</v>
      </c>
      <c r="M61" s="8" t="s">
        <v>737</v>
      </c>
      <c r="N61" s="1" t="s">
        <v>80</v>
      </c>
      <c r="O61" s="7" t="s">
        <v>920</v>
      </c>
      <c r="P61" s="111">
        <v>46142.607372685183</v>
      </c>
      <c r="Q61" s="111">
        <v>46267.381342592591</v>
      </c>
      <c r="R61" s="111">
        <v>46267.381342592591</v>
      </c>
      <c r="S61" s="1" t="s">
        <v>81</v>
      </c>
      <c r="T61" s="1" t="s">
        <v>693</v>
      </c>
      <c r="U61" s="4" t="s">
        <v>855</v>
      </c>
      <c r="V61" s="2"/>
      <c r="W61" s="111"/>
      <c r="X61" s="1"/>
      <c r="Y61" s="1" t="s">
        <v>737</v>
      </c>
      <c r="Z61" s="111">
        <v>46255.576562499999</v>
      </c>
      <c r="AA61" s="1"/>
      <c r="AB61" s="4"/>
      <c r="AC61" s="4"/>
      <c r="AD61" s="1"/>
      <c r="AE61" s="1" t="s">
        <v>63</v>
      </c>
      <c r="AF61" s="1"/>
      <c r="AG61" s="2"/>
      <c r="AH61" s="1"/>
      <c r="AI61" s="1"/>
      <c r="AJ61" s="1" t="s">
        <v>81</v>
      </c>
      <c r="AK61" s="111">
        <v>46267.381342592591</v>
      </c>
      <c r="AL61" s="1"/>
      <c r="AM61" s="1"/>
      <c r="AN61" s="1"/>
      <c r="AO61" s="1"/>
      <c r="AP61" s="1"/>
      <c r="AQ61" s="1"/>
      <c r="AR61" s="1" t="s">
        <v>81</v>
      </c>
      <c r="AS61" s="1"/>
      <c r="AT61" s="2"/>
      <c r="AU61" s="1"/>
      <c r="AV61" s="2">
        <v>2</v>
      </c>
      <c r="AW61" s="4"/>
      <c r="AX61" s="111"/>
      <c r="AY61" s="4"/>
      <c r="AZ61" s="1"/>
      <c r="BA61" s="1"/>
      <c r="BB61" s="1" t="s">
        <v>503</v>
      </c>
      <c r="BC61" s="4"/>
      <c r="BD61" s="1" t="s">
        <v>85</v>
      </c>
      <c r="BE61" s="4"/>
      <c r="BF61" s="2"/>
      <c r="BG61" s="4"/>
      <c r="BH61" s="1"/>
      <c r="BI61" s="1" t="s">
        <v>86</v>
      </c>
    </row>
    <row r="62" spans="1:61" ht="13.5" customHeight="1" x14ac:dyDescent="0.25">
      <c r="A62" s="2">
        <v>1935</v>
      </c>
      <c r="B62" s="1" t="s">
        <v>971</v>
      </c>
      <c r="C62" s="1" t="s">
        <v>47</v>
      </c>
      <c r="D62" s="1" t="s">
        <v>312</v>
      </c>
      <c r="E62" s="1" t="s">
        <v>707</v>
      </c>
      <c r="F62" s="1" t="s">
        <v>709</v>
      </c>
      <c r="G62" s="2"/>
      <c r="H62" s="101">
        <v>16</v>
      </c>
      <c r="I62" s="101"/>
      <c r="J62" s="39">
        <v>1</v>
      </c>
      <c r="K62" s="53" t="s">
        <v>80</v>
      </c>
      <c r="L62" s="66">
        <v>0</v>
      </c>
      <c r="M62" s="8" t="s">
        <v>91</v>
      </c>
      <c r="N62" s="1" t="s">
        <v>80</v>
      </c>
      <c r="O62" s="7" t="s">
        <v>972</v>
      </c>
      <c r="P62" s="111">
        <v>46149.399317129632</v>
      </c>
      <c r="Q62" s="111">
        <v>46287.383043981485</v>
      </c>
      <c r="R62" s="111">
        <v>46287.383043981485</v>
      </c>
      <c r="S62" s="1" t="s">
        <v>371</v>
      </c>
      <c r="T62" s="1" t="s">
        <v>693</v>
      </c>
      <c r="U62" s="4" t="s">
        <v>666</v>
      </c>
      <c r="V62" s="2"/>
      <c r="W62" s="111"/>
      <c r="X62" s="1"/>
      <c r="Y62" s="1"/>
      <c r="Z62" s="111"/>
      <c r="AA62" s="1"/>
      <c r="AB62" s="4"/>
      <c r="AC62" s="4"/>
      <c r="AD62" s="1"/>
      <c r="AE62" s="1" t="s">
        <v>63</v>
      </c>
      <c r="AF62" s="1"/>
      <c r="AG62" s="2"/>
      <c r="AH62" s="1"/>
      <c r="AI62" s="1"/>
      <c r="AJ62" s="1" t="s">
        <v>371</v>
      </c>
      <c r="AK62" s="111">
        <v>46287.383043981485</v>
      </c>
      <c r="AL62" s="1"/>
      <c r="AM62" s="1"/>
      <c r="AN62" s="1"/>
      <c r="AO62" s="1"/>
      <c r="AP62" s="1"/>
      <c r="AQ62" s="1"/>
      <c r="AR62" s="1" t="s">
        <v>371</v>
      </c>
      <c r="AS62" s="1"/>
      <c r="AT62" s="2"/>
      <c r="AU62" s="1"/>
      <c r="AV62" s="2">
        <v>1</v>
      </c>
      <c r="AW62" s="4"/>
      <c r="AX62" s="111"/>
      <c r="AY62" s="4"/>
      <c r="AZ62" s="1"/>
      <c r="BA62" s="1"/>
      <c r="BB62" s="1" t="s">
        <v>503</v>
      </c>
      <c r="BC62" s="4"/>
      <c r="BD62" s="1" t="s">
        <v>85</v>
      </c>
      <c r="BE62" s="4"/>
      <c r="BF62" s="2"/>
      <c r="BG62" s="4"/>
      <c r="BH62" s="1"/>
      <c r="BI62" s="1" t="s">
        <v>86</v>
      </c>
    </row>
    <row r="63" spans="1:61" ht="13.5" customHeight="1" x14ac:dyDescent="0.25">
      <c r="A63" s="2">
        <v>1944</v>
      </c>
      <c r="B63" s="1" t="s">
        <v>1001</v>
      </c>
      <c r="C63" s="1" t="s">
        <v>47</v>
      </c>
      <c r="D63" s="1" t="s">
        <v>311</v>
      </c>
      <c r="E63" s="1" t="s">
        <v>701</v>
      </c>
      <c r="F63" s="1" t="s">
        <v>466</v>
      </c>
      <c r="G63" s="2"/>
      <c r="H63" s="101"/>
      <c r="I63" s="101"/>
      <c r="J63" s="39">
        <v>1</v>
      </c>
      <c r="K63" s="53" t="s">
        <v>80</v>
      </c>
      <c r="L63" s="66">
        <v>0</v>
      </c>
      <c r="M63" s="8" t="s">
        <v>81</v>
      </c>
      <c r="N63" s="1" t="s">
        <v>80</v>
      </c>
      <c r="O63" s="7" t="s">
        <v>1002</v>
      </c>
      <c r="P63" s="111">
        <v>46155.723055555558</v>
      </c>
      <c r="Q63" s="111">
        <v>46226.658819444441</v>
      </c>
      <c r="R63" s="111">
        <v>46226.658819444441</v>
      </c>
      <c r="S63" s="1" t="s">
        <v>81</v>
      </c>
      <c r="T63" s="1" t="s">
        <v>81</v>
      </c>
      <c r="U63" s="4" t="s">
        <v>666</v>
      </c>
      <c r="V63" s="2"/>
      <c r="W63" s="111"/>
      <c r="X63" s="1"/>
      <c r="Y63" s="1" t="s">
        <v>81</v>
      </c>
      <c r="Z63" s="111">
        <v>46156.439074074071</v>
      </c>
      <c r="AA63" s="1"/>
      <c r="AB63" s="4"/>
      <c r="AC63" s="4"/>
      <c r="AD63" s="1"/>
      <c r="AE63" s="1" t="s">
        <v>63</v>
      </c>
      <c r="AF63" s="1"/>
      <c r="AG63" s="2"/>
      <c r="AH63" s="1"/>
      <c r="AI63" s="1"/>
      <c r="AJ63" s="1" t="s">
        <v>81</v>
      </c>
      <c r="AK63" s="111">
        <v>46226.658819444441</v>
      </c>
      <c r="AL63" s="1"/>
      <c r="AM63" s="1"/>
      <c r="AN63" s="1"/>
      <c r="AO63" s="1"/>
      <c r="AP63" s="1"/>
      <c r="AQ63" s="1"/>
      <c r="AR63" s="1" t="s">
        <v>81</v>
      </c>
      <c r="AS63" s="1"/>
      <c r="AT63" s="2"/>
      <c r="AU63" s="1"/>
      <c r="AV63" s="2">
        <v>2</v>
      </c>
      <c r="AW63" s="4"/>
      <c r="AX63" s="111"/>
      <c r="AY63" s="4"/>
      <c r="AZ63" s="1"/>
      <c r="BA63" s="1"/>
      <c r="BB63" s="1" t="s">
        <v>503</v>
      </c>
      <c r="BC63" s="4"/>
      <c r="BD63" s="1" t="s">
        <v>85</v>
      </c>
      <c r="BE63" s="4"/>
      <c r="BF63" s="2"/>
      <c r="BG63" s="4"/>
      <c r="BH63" s="1"/>
      <c r="BI63" s="1" t="s">
        <v>86</v>
      </c>
    </row>
    <row r="64" spans="1:61" ht="13.5" customHeight="1" x14ac:dyDescent="0.25">
      <c r="A64" s="2">
        <v>1978</v>
      </c>
      <c r="B64" s="1" t="s">
        <v>856</v>
      </c>
      <c r="C64" s="1" t="s">
        <v>47</v>
      </c>
      <c r="D64" s="1" t="s">
        <v>711</v>
      </c>
      <c r="E64" s="1" t="s">
        <v>702</v>
      </c>
      <c r="F64" s="1" t="s">
        <v>314</v>
      </c>
      <c r="G64" s="2"/>
      <c r="H64" s="101">
        <v>8</v>
      </c>
      <c r="I64" s="101"/>
      <c r="J64" s="39">
        <v>1</v>
      </c>
      <c r="K64" s="53" t="s">
        <v>80</v>
      </c>
      <c r="L64" s="66">
        <v>0</v>
      </c>
      <c r="M64" s="8" t="s">
        <v>737</v>
      </c>
      <c r="N64" s="1" t="s">
        <v>80</v>
      </c>
      <c r="O64" s="7" t="s">
        <v>857</v>
      </c>
      <c r="P64" s="111">
        <v>46163.428379629629</v>
      </c>
      <c r="Q64" s="111">
        <v>46268.429108796299</v>
      </c>
      <c r="R64" s="111">
        <v>46268.429108796299</v>
      </c>
      <c r="S64" s="1" t="s">
        <v>81</v>
      </c>
      <c r="T64" s="1" t="s">
        <v>155</v>
      </c>
      <c r="U64" s="4"/>
      <c r="V64" s="2"/>
      <c r="W64" s="111"/>
      <c r="X64" s="1"/>
      <c r="Y64" s="1" t="s">
        <v>737</v>
      </c>
      <c r="Z64" s="111">
        <v>46230.731736111113</v>
      </c>
      <c r="AA64" s="1"/>
      <c r="AB64" s="4"/>
      <c r="AC64" s="4"/>
      <c r="AD64" s="1"/>
      <c r="AE64" s="1" t="s">
        <v>63</v>
      </c>
      <c r="AF64" s="1"/>
      <c r="AG64" s="2"/>
      <c r="AH64" s="1"/>
      <c r="AI64" s="1"/>
      <c r="AJ64" s="1" t="s">
        <v>81</v>
      </c>
      <c r="AK64" s="111">
        <v>46268.429108796299</v>
      </c>
      <c r="AL64" s="1"/>
      <c r="AM64" s="1"/>
      <c r="AN64" s="1"/>
      <c r="AO64" s="1"/>
      <c r="AP64" s="1"/>
      <c r="AQ64" s="1"/>
      <c r="AR64" s="1" t="s">
        <v>81</v>
      </c>
      <c r="AS64" s="1"/>
      <c r="AT64" s="2"/>
      <c r="AU64" s="1"/>
      <c r="AV64" s="2">
        <v>9</v>
      </c>
      <c r="AW64" s="4"/>
      <c r="AX64" s="111"/>
      <c r="AY64" s="4"/>
      <c r="AZ64" s="1"/>
      <c r="BA64" s="1"/>
      <c r="BB64" s="1" t="s">
        <v>503</v>
      </c>
      <c r="BC64" s="4"/>
      <c r="BD64" s="1" t="s">
        <v>85</v>
      </c>
      <c r="BE64" s="4"/>
      <c r="BF64" s="2"/>
      <c r="BG64" s="4"/>
      <c r="BH64" s="1"/>
      <c r="BI64" s="1" t="s">
        <v>86</v>
      </c>
    </row>
    <row r="65" spans="1:61" ht="13.5" customHeight="1" x14ac:dyDescent="0.25">
      <c r="A65" s="2">
        <v>1986</v>
      </c>
      <c r="B65" s="1" t="s">
        <v>1003</v>
      </c>
      <c r="C65" s="1" t="s">
        <v>47</v>
      </c>
      <c r="D65" s="1" t="s">
        <v>710</v>
      </c>
      <c r="E65" s="1" t="s">
        <v>699</v>
      </c>
      <c r="F65" s="1" t="s">
        <v>466</v>
      </c>
      <c r="G65" s="2"/>
      <c r="H65" s="101"/>
      <c r="I65" s="101"/>
      <c r="J65" s="39">
        <v>1</v>
      </c>
      <c r="K65" s="53" t="s">
        <v>80</v>
      </c>
      <c r="L65" s="66">
        <v>0</v>
      </c>
      <c r="M65" s="8" t="s">
        <v>737</v>
      </c>
      <c r="N65" s="1" t="s">
        <v>80</v>
      </c>
      <c r="O65" s="7" t="s">
        <v>1004</v>
      </c>
      <c r="P65" s="111">
        <v>46168.366435185184</v>
      </c>
      <c r="Q65" s="111">
        <v>46226.658865740741</v>
      </c>
      <c r="R65" s="111">
        <v>46226.658865740741</v>
      </c>
      <c r="S65" s="1" t="s">
        <v>81</v>
      </c>
      <c r="T65" s="1" t="s">
        <v>155</v>
      </c>
      <c r="U65" s="4" t="s">
        <v>666</v>
      </c>
      <c r="V65" s="2"/>
      <c r="W65" s="111"/>
      <c r="X65" s="1"/>
      <c r="Y65" s="1" t="s">
        <v>737</v>
      </c>
      <c r="Z65" s="111">
        <v>46182.446053240739</v>
      </c>
      <c r="AA65" s="1"/>
      <c r="AB65" s="4"/>
      <c r="AC65" s="4"/>
      <c r="AD65" s="1"/>
      <c r="AE65" s="1" t="s">
        <v>63</v>
      </c>
      <c r="AF65" s="1"/>
      <c r="AG65" s="2"/>
      <c r="AH65" s="1"/>
      <c r="AI65" s="1"/>
      <c r="AJ65" s="1" t="s">
        <v>81</v>
      </c>
      <c r="AK65" s="111">
        <v>46226.658865740741</v>
      </c>
      <c r="AL65" s="1"/>
      <c r="AM65" s="1"/>
      <c r="AN65" s="1"/>
      <c r="AO65" s="1"/>
      <c r="AP65" s="1"/>
      <c r="AQ65" s="1"/>
      <c r="AR65" s="1" t="s">
        <v>81</v>
      </c>
      <c r="AS65" s="1"/>
      <c r="AT65" s="2"/>
      <c r="AU65" s="1"/>
      <c r="AV65" s="2">
        <v>9</v>
      </c>
      <c r="AW65" s="4"/>
      <c r="AX65" s="111"/>
      <c r="AY65" s="4"/>
      <c r="AZ65" s="1"/>
      <c r="BA65" s="1"/>
      <c r="BB65" s="1" t="s">
        <v>503</v>
      </c>
      <c r="BC65" s="4"/>
      <c r="BD65" s="1" t="s">
        <v>85</v>
      </c>
      <c r="BE65" s="4"/>
      <c r="BF65" s="2"/>
      <c r="BG65" s="4"/>
      <c r="BH65" s="1"/>
      <c r="BI65" s="1" t="s">
        <v>86</v>
      </c>
    </row>
    <row r="66" spans="1:61" ht="13.5" customHeight="1" x14ac:dyDescent="0.25">
      <c r="A66" s="2">
        <v>1988</v>
      </c>
      <c r="B66" s="1" t="s">
        <v>858</v>
      </c>
      <c r="C66" s="1" t="s">
        <v>47</v>
      </c>
      <c r="D66" s="1" t="s">
        <v>711</v>
      </c>
      <c r="E66" s="1" t="s">
        <v>702</v>
      </c>
      <c r="F66" s="1" t="s">
        <v>466</v>
      </c>
      <c r="G66" s="2"/>
      <c r="H66" s="101"/>
      <c r="I66" s="101"/>
      <c r="J66" s="39">
        <v>1</v>
      </c>
      <c r="K66" s="53" t="s">
        <v>80</v>
      </c>
      <c r="L66" s="66">
        <v>0</v>
      </c>
      <c r="M66" s="8" t="s">
        <v>91</v>
      </c>
      <c r="N66" s="1" t="s">
        <v>80</v>
      </c>
      <c r="O66" s="7" t="s">
        <v>921</v>
      </c>
      <c r="P66" s="111">
        <v>46168.457662037035</v>
      </c>
      <c r="Q66" s="111">
        <v>46266.656226851854</v>
      </c>
      <c r="R66" s="111">
        <v>46266.656226851854</v>
      </c>
      <c r="S66" s="1" t="s">
        <v>81</v>
      </c>
      <c r="T66" s="1" t="s">
        <v>693</v>
      </c>
      <c r="U66" s="4" t="s">
        <v>666</v>
      </c>
      <c r="V66" s="2"/>
      <c r="W66" s="111"/>
      <c r="X66" s="1"/>
      <c r="Y66" s="1" t="s">
        <v>81</v>
      </c>
      <c r="Z66" s="111">
        <v>46266.65519675926</v>
      </c>
      <c r="AA66" s="1"/>
      <c r="AB66" s="4"/>
      <c r="AC66" s="4"/>
      <c r="AD66" s="1"/>
      <c r="AE66" s="1" t="s">
        <v>63</v>
      </c>
      <c r="AF66" s="1"/>
      <c r="AG66" s="2"/>
      <c r="AH66" s="1"/>
      <c r="AI66" s="1"/>
      <c r="AJ66" s="1" t="s">
        <v>81</v>
      </c>
      <c r="AK66" s="111">
        <v>46266.656226851854</v>
      </c>
      <c r="AL66" s="1"/>
      <c r="AM66" s="1"/>
      <c r="AN66" s="1"/>
      <c r="AO66" s="1"/>
      <c r="AP66" s="1"/>
      <c r="AQ66" s="1"/>
      <c r="AR66" s="1" t="s">
        <v>81</v>
      </c>
      <c r="AS66" s="1"/>
      <c r="AT66" s="2"/>
      <c r="AU66" s="1"/>
      <c r="AV66" s="2">
        <v>5</v>
      </c>
      <c r="AW66" s="4"/>
      <c r="AX66" s="111"/>
      <c r="AY66" s="4"/>
      <c r="AZ66" s="1"/>
      <c r="BA66" s="1"/>
      <c r="BB66" s="1" t="s">
        <v>503</v>
      </c>
      <c r="BC66" s="4"/>
      <c r="BD66" s="1" t="s">
        <v>85</v>
      </c>
      <c r="BE66" s="4"/>
      <c r="BF66" s="2"/>
      <c r="BG66" s="4"/>
      <c r="BH66" s="1"/>
      <c r="BI66" s="1" t="s">
        <v>86</v>
      </c>
    </row>
    <row r="67" spans="1:61" ht="13.5" customHeight="1" x14ac:dyDescent="0.25">
      <c r="A67" s="2">
        <v>2000</v>
      </c>
      <c r="B67" s="1" t="s">
        <v>859</v>
      </c>
      <c r="C67" s="1" t="s">
        <v>47</v>
      </c>
      <c r="D67" s="1" t="s">
        <v>711</v>
      </c>
      <c r="E67" s="1" t="s">
        <v>702</v>
      </c>
      <c r="F67" s="1" t="s">
        <v>466</v>
      </c>
      <c r="G67" s="2"/>
      <c r="H67" s="101">
        <v>8</v>
      </c>
      <c r="I67" s="101"/>
      <c r="J67" s="39">
        <v>1</v>
      </c>
      <c r="K67" s="53" t="s">
        <v>80</v>
      </c>
      <c r="L67" s="66">
        <v>0</v>
      </c>
      <c r="M67" s="8" t="s">
        <v>737</v>
      </c>
      <c r="N67" s="1" t="s">
        <v>80</v>
      </c>
      <c r="O67" s="7" t="s">
        <v>922</v>
      </c>
      <c r="P67" s="111">
        <v>46175.363194444442</v>
      </c>
      <c r="Q67" s="111">
        <v>46283.631122685183</v>
      </c>
      <c r="R67" s="111">
        <v>46283.631122685183</v>
      </c>
      <c r="S67" s="1" t="s">
        <v>693</v>
      </c>
      <c r="T67" s="1" t="s">
        <v>693</v>
      </c>
      <c r="U67" s="4"/>
      <c r="V67" s="2"/>
      <c r="W67" s="111"/>
      <c r="X67" s="1"/>
      <c r="Y67" s="1" t="s">
        <v>693</v>
      </c>
      <c r="Z67" s="111">
        <v>46281.621215277781</v>
      </c>
      <c r="AA67" s="1"/>
      <c r="AB67" s="4"/>
      <c r="AC67" s="4"/>
      <c r="AD67" s="1"/>
      <c r="AE67" s="1" t="s">
        <v>63</v>
      </c>
      <c r="AF67" s="1"/>
      <c r="AG67" s="2"/>
      <c r="AH67" s="1"/>
      <c r="AI67" s="1"/>
      <c r="AJ67" s="1" t="s">
        <v>693</v>
      </c>
      <c r="AK67" s="111">
        <v>46283.631122685183</v>
      </c>
      <c r="AL67" s="1"/>
      <c r="AM67" s="1"/>
      <c r="AN67" s="1"/>
      <c r="AO67" s="1"/>
      <c r="AP67" s="1"/>
      <c r="AQ67" s="1"/>
      <c r="AR67" s="1" t="s">
        <v>693</v>
      </c>
      <c r="AS67" s="1"/>
      <c r="AT67" s="2"/>
      <c r="AU67" s="1"/>
      <c r="AV67" s="2">
        <v>5</v>
      </c>
      <c r="AW67" s="4"/>
      <c r="AX67" s="111"/>
      <c r="AY67" s="4"/>
      <c r="AZ67" s="1"/>
      <c r="BA67" s="1"/>
      <c r="BB67" s="1" t="s">
        <v>503</v>
      </c>
      <c r="BC67" s="4"/>
      <c r="BD67" s="1" t="s">
        <v>85</v>
      </c>
      <c r="BE67" s="4"/>
      <c r="BF67" s="2"/>
      <c r="BG67" s="4"/>
      <c r="BH67" s="1"/>
      <c r="BI67" s="1" t="s">
        <v>86</v>
      </c>
    </row>
    <row r="68" spans="1:61" ht="13.5" customHeight="1" x14ac:dyDescent="0.25">
      <c r="A68" s="2">
        <v>2002</v>
      </c>
      <c r="B68" s="1" t="s">
        <v>942</v>
      </c>
      <c r="C68" s="1" t="s">
        <v>47</v>
      </c>
      <c r="D68" s="1" t="s">
        <v>728</v>
      </c>
      <c r="E68" s="1" t="s">
        <v>708</v>
      </c>
      <c r="F68" s="1" t="s">
        <v>314</v>
      </c>
      <c r="G68" s="2"/>
      <c r="H68" s="101"/>
      <c r="I68" s="101"/>
      <c r="J68" s="39">
        <v>1</v>
      </c>
      <c r="K68" s="53" t="s">
        <v>80</v>
      </c>
      <c r="L68" s="66">
        <v>0</v>
      </c>
      <c r="M68" s="8" t="s">
        <v>738</v>
      </c>
      <c r="N68" s="1" t="s">
        <v>80</v>
      </c>
      <c r="O68" s="7" t="s">
        <v>943</v>
      </c>
      <c r="P68" s="111">
        <v>46176.420590277776</v>
      </c>
      <c r="Q68" s="111">
        <v>46258.380543981482</v>
      </c>
      <c r="R68" s="111">
        <v>46247.502129629633</v>
      </c>
      <c r="S68" s="1" t="s">
        <v>81</v>
      </c>
      <c r="T68" s="1" t="s">
        <v>81</v>
      </c>
      <c r="U68" s="4"/>
      <c r="V68" s="2"/>
      <c r="W68" s="111"/>
      <c r="X68" s="1"/>
      <c r="Y68" s="1" t="s">
        <v>738</v>
      </c>
      <c r="Z68" s="111">
        <v>46188.389965277776</v>
      </c>
      <c r="AA68" s="1"/>
      <c r="AB68" s="4"/>
      <c r="AC68" s="4"/>
      <c r="AD68" s="1"/>
      <c r="AE68" s="1" t="s">
        <v>63</v>
      </c>
      <c r="AF68" s="1"/>
      <c r="AG68" s="2"/>
      <c r="AH68" s="1"/>
      <c r="AI68" s="1"/>
      <c r="AJ68" s="1" t="s">
        <v>81</v>
      </c>
      <c r="AK68" s="111">
        <v>46258.380543981482</v>
      </c>
      <c r="AL68" s="1"/>
      <c r="AM68" s="1"/>
      <c r="AN68" s="1"/>
      <c r="AO68" s="1"/>
      <c r="AP68" s="1"/>
      <c r="AQ68" s="1"/>
      <c r="AR68" s="1" t="s">
        <v>81</v>
      </c>
      <c r="AS68" s="1"/>
      <c r="AT68" s="2"/>
      <c r="AU68" s="1"/>
      <c r="AV68" s="2">
        <v>6</v>
      </c>
      <c r="AW68" s="4"/>
      <c r="AX68" s="111"/>
      <c r="AY68" s="4"/>
      <c r="AZ68" s="1"/>
      <c r="BA68" s="1"/>
      <c r="BB68" s="1" t="s">
        <v>503</v>
      </c>
      <c r="BC68" s="4"/>
      <c r="BD68" s="1" t="s">
        <v>85</v>
      </c>
      <c r="BE68" s="4"/>
      <c r="BF68" s="2">
        <v>1749</v>
      </c>
      <c r="BG68" s="4"/>
      <c r="BH68" s="1"/>
      <c r="BI68" s="1" t="s">
        <v>86</v>
      </c>
    </row>
    <row r="69" spans="1:61" ht="13.5" customHeight="1" x14ac:dyDescent="0.25">
      <c r="A69" s="2">
        <v>2003</v>
      </c>
      <c r="B69" s="1" t="s">
        <v>1005</v>
      </c>
      <c r="C69" s="1" t="s">
        <v>47</v>
      </c>
      <c r="D69" s="1" t="s">
        <v>309</v>
      </c>
      <c r="E69" s="1" t="s">
        <v>701</v>
      </c>
      <c r="F69" s="1" t="s">
        <v>314</v>
      </c>
      <c r="G69" s="2"/>
      <c r="H69" s="101"/>
      <c r="I69" s="101"/>
      <c r="J69" s="39">
        <v>1</v>
      </c>
      <c r="K69" s="53" t="s">
        <v>80</v>
      </c>
      <c r="L69" s="66">
        <v>0</v>
      </c>
      <c r="M69" s="8" t="s">
        <v>738</v>
      </c>
      <c r="N69" s="1" t="s">
        <v>80</v>
      </c>
      <c r="O69" s="7" t="s">
        <v>1006</v>
      </c>
      <c r="P69" s="111">
        <v>46176.43277777778</v>
      </c>
      <c r="Q69" s="111">
        <v>46225.464560185188</v>
      </c>
      <c r="R69" s="111">
        <v>46225.464560185188</v>
      </c>
      <c r="S69" s="1" t="s">
        <v>81</v>
      </c>
      <c r="T69" s="1" t="s">
        <v>437</v>
      </c>
      <c r="U69" s="4" t="s">
        <v>666</v>
      </c>
      <c r="V69" s="2"/>
      <c r="W69" s="111"/>
      <c r="X69" s="1"/>
      <c r="Y69" s="1" t="s">
        <v>738</v>
      </c>
      <c r="Z69" s="111">
        <v>46199.380208333336</v>
      </c>
      <c r="AA69" s="1"/>
      <c r="AB69" s="4"/>
      <c r="AC69" s="4"/>
      <c r="AD69" s="1"/>
      <c r="AE69" s="1" t="s">
        <v>63</v>
      </c>
      <c r="AF69" s="1"/>
      <c r="AG69" s="2"/>
      <c r="AH69" s="1"/>
      <c r="AI69" s="1"/>
      <c r="AJ69" s="1" t="s">
        <v>81</v>
      </c>
      <c r="AK69" s="111">
        <v>46225.464560185188</v>
      </c>
      <c r="AL69" s="1"/>
      <c r="AM69" s="1"/>
      <c r="AN69" s="1"/>
      <c r="AO69" s="1"/>
      <c r="AP69" s="1"/>
      <c r="AQ69" s="1"/>
      <c r="AR69" s="1" t="s">
        <v>81</v>
      </c>
      <c r="AS69" s="1"/>
      <c r="AT69" s="2"/>
      <c r="AU69" s="1"/>
      <c r="AV69" s="2">
        <v>3</v>
      </c>
      <c r="AW69" s="4"/>
      <c r="AX69" s="111"/>
      <c r="AY69" s="4"/>
      <c r="AZ69" s="1"/>
      <c r="BA69" s="1"/>
      <c r="BB69" s="1" t="s">
        <v>503</v>
      </c>
      <c r="BC69" s="4"/>
      <c r="BD69" s="1" t="s">
        <v>85</v>
      </c>
      <c r="BE69" s="4"/>
      <c r="BF69" s="2">
        <v>1856</v>
      </c>
      <c r="BG69" s="4"/>
      <c r="BH69" s="1"/>
      <c r="BI69" s="1" t="s">
        <v>86</v>
      </c>
    </row>
    <row r="70" spans="1:61" ht="13.5" customHeight="1" x14ac:dyDescent="0.25">
      <c r="A70" s="2">
        <v>2004</v>
      </c>
      <c r="B70" s="1" t="s">
        <v>1007</v>
      </c>
      <c r="C70" s="1" t="s">
        <v>47</v>
      </c>
      <c r="D70" s="1" t="s">
        <v>310</v>
      </c>
      <c r="E70" s="1" t="s">
        <v>708</v>
      </c>
      <c r="F70" s="1" t="s">
        <v>466</v>
      </c>
      <c r="G70" s="2"/>
      <c r="H70" s="101"/>
      <c r="I70" s="101"/>
      <c r="J70" s="39">
        <v>2</v>
      </c>
      <c r="K70" s="53" t="s">
        <v>80</v>
      </c>
      <c r="L70" s="66">
        <v>0</v>
      </c>
      <c r="M70" s="8" t="s">
        <v>738</v>
      </c>
      <c r="N70" s="1" t="s">
        <v>80</v>
      </c>
      <c r="O70" s="7" t="s">
        <v>1049</v>
      </c>
      <c r="P70" s="111">
        <v>46176.635162037041</v>
      </c>
      <c r="Q70" s="111">
        <v>46226.498078703706</v>
      </c>
      <c r="R70" s="111">
        <v>46226.498078703706</v>
      </c>
      <c r="S70" s="1" t="s">
        <v>693</v>
      </c>
      <c r="T70" s="1" t="s">
        <v>693</v>
      </c>
      <c r="U70" s="4" t="s">
        <v>994</v>
      </c>
      <c r="V70" s="2"/>
      <c r="W70" s="111"/>
      <c r="X70" s="1"/>
      <c r="Y70" s="1"/>
      <c r="Z70" s="111"/>
      <c r="AA70" s="1"/>
      <c r="AB70" s="4"/>
      <c r="AC70" s="4"/>
      <c r="AD70" s="1"/>
      <c r="AE70" s="1" t="s">
        <v>63</v>
      </c>
      <c r="AF70" s="1"/>
      <c r="AG70" s="2"/>
      <c r="AH70" s="1"/>
      <c r="AI70" s="1"/>
      <c r="AJ70" s="1" t="s">
        <v>693</v>
      </c>
      <c r="AK70" s="111">
        <v>46226.498078703706</v>
      </c>
      <c r="AL70" s="1"/>
      <c r="AM70" s="1"/>
      <c r="AN70" s="1"/>
      <c r="AO70" s="1"/>
      <c r="AP70" s="1"/>
      <c r="AQ70" s="1"/>
      <c r="AR70" s="1" t="s">
        <v>693</v>
      </c>
      <c r="AS70" s="1"/>
      <c r="AT70" s="2"/>
      <c r="AU70" s="1"/>
      <c r="AV70" s="2">
        <v>3</v>
      </c>
      <c r="AW70" s="4"/>
      <c r="AX70" s="111"/>
      <c r="AY70" s="4"/>
      <c r="AZ70" s="1"/>
      <c r="BA70" s="1"/>
      <c r="BB70" s="1" t="s">
        <v>503</v>
      </c>
      <c r="BC70" s="4"/>
      <c r="BD70" s="1" t="s">
        <v>85</v>
      </c>
      <c r="BE70" s="4"/>
      <c r="BF70" s="2"/>
      <c r="BG70" s="4"/>
      <c r="BH70" s="1"/>
      <c r="BI70" s="1" t="s">
        <v>86</v>
      </c>
    </row>
    <row r="71" spans="1:61" ht="13.5" customHeight="1" x14ac:dyDescent="0.25">
      <c r="A71" s="2">
        <v>2008</v>
      </c>
      <c r="B71" s="1" t="s">
        <v>1008</v>
      </c>
      <c r="C71" s="1" t="s">
        <v>47</v>
      </c>
      <c r="D71" s="1" t="s">
        <v>710</v>
      </c>
      <c r="E71" s="1" t="s">
        <v>699</v>
      </c>
      <c r="F71" s="1" t="s">
        <v>466</v>
      </c>
      <c r="G71" s="2"/>
      <c r="H71" s="101"/>
      <c r="I71" s="101"/>
      <c r="J71" s="39">
        <v>1</v>
      </c>
      <c r="K71" s="53" t="s">
        <v>80</v>
      </c>
      <c r="L71" s="66">
        <v>0</v>
      </c>
      <c r="M71" s="8" t="s">
        <v>693</v>
      </c>
      <c r="N71" s="1" t="s">
        <v>80</v>
      </c>
      <c r="O71" s="7" t="s">
        <v>1009</v>
      </c>
      <c r="P71" s="111">
        <v>46182.356736111113</v>
      </c>
      <c r="Q71" s="111">
        <v>46211.382534722223</v>
      </c>
      <c r="R71" s="111">
        <v>46211.382534722223</v>
      </c>
      <c r="S71" s="1" t="s">
        <v>81</v>
      </c>
      <c r="T71" s="1" t="s">
        <v>155</v>
      </c>
      <c r="U71" s="4" t="s">
        <v>855</v>
      </c>
      <c r="V71" s="2"/>
      <c r="W71" s="111"/>
      <c r="X71" s="1"/>
      <c r="Y71" s="1" t="s">
        <v>693</v>
      </c>
      <c r="Z71" s="111">
        <v>46196.805081018516</v>
      </c>
      <c r="AA71" s="1"/>
      <c r="AB71" s="4"/>
      <c r="AC71" s="4"/>
      <c r="AD71" s="1"/>
      <c r="AE71" s="1" t="s">
        <v>63</v>
      </c>
      <c r="AF71" s="1"/>
      <c r="AG71" s="2"/>
      <c r="AH71" s="1"/>
      <c r="AI71" s="1"/>
      <c r="AJ71" s="1" t="s">
        <v>81</v>
      </c>
      <c r="AK71" s="111">
        <v>46211.382534722223</v>
      </c>
      <c r="AL71" s="1"/>
      <c r="AM71" s="1"/>
      <c r="AN71" s="1"/>
      <c r="AO71" s="1"/>
      <c r="AP71" s="1"/>
      <c r="AQ71" s="1"/>
      <c r="AR71" s="1" t="s">
        <v>81</v>
      </c>
      <c r="AS71" s="1"/>
      <c r="AT71" s="2"/>
      <c r="AU71" s="1"/>
      <c r="AV71" s="2">
        <v>2</v>
      </c>
      <c r="AW71" s="4"/>
      <c r="AX71" s="111"/>
      <c r="AY71" s="4"/>
      <c r="AZ71" s="1"/>
      <c r="BA71" s="1"/>
      <c r="BB71" s="1" t="s">
        <v>503</v>
      </c>
      <c r="BC71" s="4"/>
      <c r="BD71" s="1" t="s">
        <v>85</v>
      </c>
      <c r="BE71" s="4"/>
      <c r="BF71" s="2"/>
      <c r="BG71" s="4"/>
      <c r="BH71" s="1"/>
      <c r="BI71" s="1" t="s">
        <v>86</v>
      </c>
    </row>
    <row r="72" spans="1:61" ht="13.5" customHeight="1" x14ac:dyDescent="0.25">
      <c r="A72" s="2">
        <v>2012</v>
      </c>
      <c r="B72" s="1" t="s">
        <v>1010</v>
      </c>
      <c r="C72" s="1" t="s">
        <v>47</v>
      </c>
      <c r="D72" s="1" t="s">
        <v>309</v>
      </c>
      <c r="E72" s="1" t="s">
        <v>729</v>
      </c>
      <c r="F72" s="1" t="s">
        <v>314</v>
      </c>
      <c r="G72" s="2"/>
      <c r="H72" s="101"/>
      <c r="I72" s="101"/>
      <c r="J72" s="39">
        <v>2</v>
      </c>
      <c r="K72" s="53" t="s">
        <v>80</v>
      </c>
      <c r="L72" s="66">
        <v>0</v>
      </c>
      <c r="M72" s="8" t="s">
        <v>738</v>
      </c>
      <c r="N72" s="1" t="s">
        <v>80</v>
      </c>
      <c r="O72" s="7" t="s">
        <v>1011</v>
      </c>
      <c r="P72" s="111">
        <v>46184.495717592596</v>
      </c>
      <c r="Q72" s="111">
        <v>46216.382326388892</v>
      </c>
      <c r="R72" s="111">
        <v>46211.735983796294</v>
      </c>
      <c r="S72" s="1" t="s">
        <v>81</v>
      </c>
      <c r="T72" s="1" t="s">
        <v>437</v>
      </c>
      <c r="U72" s="4" t="s">
        <v>990</v>
      </c>
      <c r="V72" s="2"/>
      <c r="W72" s="111"/>
      <c r="X72" s="1"/>
      <c r="Y72" s="1" t="s">
        <v>81</v>
      </c>
      <c r="Z72" s="111">
        <v>46206.410115740742</v>
      </c>
      <c r="AA72" s="1"/>
      <c r="AB72" s="4"/>
      <c r="AC72" s="4"/>
      <c r="AD72" s="1"/>
      <c r="AE72" s="1" t="s">
        <v>63</v>
      </c>
      <c r="AF72" s="1"/>
      <c r="AG72" s="2"/>
      <c r="AH72" s="1"/>
      <c r="AI72" s="1"/>
      <c r="AJ72" s="1" t="s">
        <v>81</v>
      </c>
      <c r="AK72" s="111">
        <v>46216.382326388892</v>
      </c>
      <c r="AL72" s="1"/>
      <c r="AM72" s="1"/>
      <c r="AN72" s="1"/>
      <c r="AO72" s="1"/>
      <c r="AP72" s="1"/>
      <c r="AQ72" s="1"/>
      <c r="AR72" s="1" t="s">
        <v>81</v>
      </c>
      <c r="AS72" s="1"/>
      <c r="AT72" s="2"/>
      <c r="AU72" s="1"/>
      <c r="AV72" s="2">
        <v>4</v>
      </c>
      <c r="AW72" s="4"/>
      <c r="AX72" s="111"/>
      <c r="AY72" s="4"/>
      <c r="AZ72" s="1"/>
      <c r="BA72" s="1"/>
      <c r="BB72" s="1" t="s">
        <v>503</v>
      </c>
      <c r="BC72" s="4"/>
      <c r="BD72" s="1" t="s">
        <v>85</v>
      </c>
      <c r="BE72" s="4"/>
      <c r="BF72" s="2">
        <v>1856</v>
      </c>
      <c r="BG72" s="4"/>
      <c r="BH72" s="1"/>
      <c r="BI72" s="1" t="s">
        <v>86</v>
      </c>
    </row>
    <row r="73" spans="1:61" ht="13.5" customHeight="1" x14ac:dyDescent="0.25">
      <c r="A73" s="2">
        <v>2016</v>
      </c>
      <c r="B73" s="1" t="s">
        <v>1012</v>
      </c>
      <c r="C73" s="1" t="s">
        <v>47</v>
      </c>
      <c r="D73" s="1" t="s">
        <v>307</v>
      </c>
      <c r="E73" s="1" t="s">
        <v>729</v>
      </c>
      <c r="F73" s="1" t="s">
        <v>314</v>
      </c>
      <c r="G73" s="2"/>
      <c r="H73" s="101"/>
      <c r="I73" s="101"/>
      <c r="J73" s="39">
        <v>2</v>
      </c>
      <c r="K73" s="53" t="s">
        <v>80</v>
      </c>
      <c r="L73" s="66">
        <v>0</v>
      </c>
      <c r="M73" s="8" t="s">
        <v>91</v>
      </c>
      <c r="N73" s="1" t="s">
        <v>80</v>
      </c>
      <c r="O73" s="7" t="s">
        <v>1050</v>
      </c>
      <c r="P73" s="111">
        <v>46189.703599537039</v>
      </c>
      <c r="Q73" s="111">
        <v>46226.778541666667</v>
      </c>
      <c r="R73" s="111">
        <v>46226.658796296295</v>
      </c>
      <c r="S73" s="1" t="s">
        <v>81</v>
      </c>
      <c r="T73" s="1" t="s">
        <v>155</v>
      </c>
      <c r="U73" s="4"/>
      <c r="V73" s="2"/>
      <c r="W73" s="111"/>
      <c r="X73" s="1"/>
      <c r="Y73" s="1" t="s">
        <v>91</v>
      </c>
      <c r="Z73" s="111">
        <v>46211.44059027778</v>
      </c>
      <c r="AA73" s="1"/>
      <c r="AB73" s="4"/>
      <c r="AC73" s="4"/>
      <c r="AD73" s="1"/>
      <c r="AE73" s="1" t="s">
        <v>63</v>
      </c>
      <c r="AF73" s="1"/>
      <c r="AG73" s="2"/>
      <c r="AH73" s="1"/>
      <c r="AI73" s="1"/>
      <c r="AJ73" s="1" t="s">
        <v>81</v>
      </c>
      <c r="AK73" s="111">
        <v>46226.778541666667</v>
      </c>
      <c r="AL73" s="1"/>
      <c r="AM73" s="1"/>
      <c r="AN73" s="1"/>
      <c r="AO73" s="1"/>
      <c r="AP73" s="1"/>
      <c r="AQ73" s="1"/>
      <c r="AR73" s="1" t="s">
        <v>81</v>
      </c>
      <c r="AS73" s="1"/>
      <c r="AT73" s="2"/>
      <c r="AU73" s="1"/>
      <c r="AV73" s="2">
        <v>2</v>
      </c>
      <c r="AW73" s="4"/>
      <c r="AX73" s="111"/>
      <c r="AY73" s="4"/>
      <c r="AZ73" s="1"/>
      <c r="BA73" s="1"/>
      <c r="BB73" s="1" t="s">
        <v>503</v>
      </c>
      <c r="BC73" s="4"/>
      <c r="BD73" s="1" t="s">
        <v>85</v>
      </c>
      <c r="BE73" s="4"/>
      <c r="BF73" s="2"/>
      <c r="BG73" s="4"/>
      <c r="BH73" s="1"/>
      <c r="BI73" s="1" t="s">
        <v>86</v>
      </c>
    </row>
    <row r="74" spans="1:61" ht="13.5" customHeight="1" x14ac:dyDescent="0.25">
      <c r="A74" s="2">
        <v>2031</v>
      </c>
      <c r="B74" s="1" t="s">
        <v>860</v>
      </c>
      <c r="C74" s="1" t="s">
        <v>47</v>
      </c>
      <c r="D74" s="1" t="s">
        <v>711</v>
      </c>
      <c r="E74" s="1" t="s">
        <v>702</v>
      </c>
      <c r="F74" s="1" t="s">
        <v>466</v>
      </c>
      <c r="G74" s="2"/>
      <c r="H74" s="101"/>
      <c r="I74" s="101"/>
      <c r="J74" s="39">
        <v>1</v>
      </c>
      <c r="K74" s="53" t="s">
        <v>80</v>
      </c>
      <c r="L74" s="66">
        <v>0</v>
      </c>
      <c r="M74" s="8" t="s">
        <v>738</v>
      </c>
      <c r="N74" s="1" t="s">
        <v>80</v>
      </c>
      <c r="O74" s="7" t="s">
        <v>861</v>
      </c>
      <c r="P74" s="111">
        <v>46196.539317129631</v>
      </c>
      <c r="Q74" s="111">
        <v>46259.682800925926</v>
      </c>
      <c r="R74" s="111">
        <v>46259.682800925926</v>
      </c>
      <c r="S74" s="1" t="s">
        <v>81</v>
      </c>
      <c r="T74" s="1" t="s">
        <v>81</v>
      </c>
      <c r="U74" s="4"/>
      <c r="V74" s="2"/>
      <c r="W74" s="111"/>
      <c r="X74" s="1"/>
      <c r="Y74" s="1" t="s">
        <v>738</v>
      </c>
      <c r="Z74" s="111">
        <v>46234.41783564815</v>
      </c>
      <c r="AA74" s="1"/>
      <c r="AB74" s="4"/>
      <c r="AC74" s="4"/>
      <c r="AD74" s="1"/>
      <c r="AE74" s="1" t="s">
        <v>63</v>
      </c>
      <c r="AF74" s="1"/>
      <c r="AG74" s="2"/>
      <c r="AH74" s="1"/>
      <c r="AI74" s="1"/>
      <c r="AJ74" s="1" t="s">
        <v>81</v>
      </c>
      <c r="AK74" s="111">
        <v>46259.682800925926</v>
      </c>
      <c r="AL74" s="1"/>
      <c r="AM74" s="1"/>
      <c r="AN74" s="1"/>
      <c r="AO74" s="1"/>
      <c r="AP74" s="1"/>
      <c r="AQ74" s="1"/>
      <c r="AR74" s="1" t="s">
        <v>81</v>
      </c>
      <c r="AS74" s="1"/>
      <c r="AT74" s="2"/>
      <c r="AU74" s="1"/>
      <c r="AV74" s="2">
        <v>3</v>
      </c>
      <c r="AW74" s="4"/>
      <c r="AX74" s="111"/>
      <c r="AY74" s="4"/>
      <c r="AZ74" s="1"/>
      <c r="BA74" s="1"/>
      <c r="BB74" s="1" t="s">
        <v>503</v>
      </c>
      <c r="BC74" s="4"/>
      <c r="BD74" s="1" t="s">
        <v>85</v>
      </c>
      <c r="BE74" s="4"/>
      <c r="BF74" s="2"/>
      <c r="BG74" s="4"/>
      <c r="BH74" s="1"/>
      <c r="BI74" s="1" t="s">
        <v>86</v>
      </c>
    </row>
    <row r="75" spans="1:61" ht="13.5" customHeight="1" x14ac:dyDescent="0.25">
      <c r="A75" s="2">
        <v>2032</v>
      </c>
      <c r="B75" s="1" t="s">
        <v>1013</v>
      </c>
      <c r="C75" s="1" t="s">
        <v>47</v>
      </c>
      <c r="D75" s="1" t="s">
        <v>310</v>
      </c>
      <c r="E75" s="1" t="s">
        <v>708</v>
      </c>
      <c r="F75" s="1" t="s">
        <v>466</v>
      </c>
      <c r="G75" s="2"/>
      <c r="H75" s="101"/>
      <c r="I75" s="101"/>
      <c r="J75" s="39">
        <v>2</v>
      </c>
      <c r="K75" s="53" t="s">
        <v>80</v>
      </c>
      <c r="L75" s="66">
        <v>0</v>
      </c>
      <c r="M75" s="8" t="s">
        <v>91</v>
      </c>
      <c r="N75" s="1" t="s">
        <v>80</v>
      </c>
      <c r="O75" s="7" t="s">
        <v>1051</v>
      </c>
      <c r="P75" s="111">
        <v>46196.555648148147</v>
      </c>
      <c r="Q75" s="111">
        <v>46230.499652777777</v>
      </c>
      <c r="R75" s="111">
        <v>46230.499652777777</v>
      </c>
      <c r="S75" s="1" t="s">
        <v>81</v>
      </c>
      <c r="T75" s="1" t="s">
        <v>693</v>
      </c>
      <c r="U75" s="4" t="s">
        <v>666</v>
      </c>
      <c r="V75" s="2"/>
      <c r="W75" s="111"/>
      <c r="X75" s="1"/>
      <c r="Y75" s="1" t="s">
        <v>81</v>
      </c>
      <c r="Z75" s="111">
        <v>46230.499467592592</v>
      </c>
      <c r="AA75" s="1"/>
      <c r="AB75" s="4"/>
      <c r="AC75" s="4"/>
      <c r="AD75" s="1"/>
      <c r="AE75" s="1" t="s">
        <v>63</v>
      </c>
      <c r="AF75" s="1"/>
      <c r="AG75" s="2"/>
      <c r="AH75" s="1"/>
      <c r="AI75" s="1"/>
      <c r="AJ75" s="1" t="s">
        <v>81</v>
      </c>
      <c r="AK75" s="111">
        <v>46230.499652777777</v>
      </c>
      <c r="AL75" s="1"/>
      <c r="AM75" s="1"/>
      <c r="AN75" s="1"/>
      <c r="AO75" s="1"/>
      <c r="AP75" s="1"/>
      <c r="AQ75" s="1"/>
      <c r="AR75" s="1" t="s">
        <v>81</v>
      </c>
      <c r="AS75" s="1"/>
      <c r="AT75" s="2"/>
      <c r="AU75" s="1"/>
      <c r="AV75" s="2">
        <v>4</v>
      </c>
      <c r="AW75" s="4"/>
      <c r="AX75" s="111"/>
      <c r="AY75" s="4"/>
      <c r="AZ75" s="1"/>
      <c r="BA75" s="1"/>
      <c r="BB75" s="1" t="s">
        <v>503</v>
      </c>
      <c r="BC75" s="4"/>
      <c r="BD75" s="1" t="s">
        <v>85</v>
      </c>
      <c r="BE75" s="4"/>
      <c r="BF75" s="2"/>
      <c r="BG75" s="4"/>
      <c r="BH75" s="1"/>
      <c r="BI75" s="1" t="s">
        <v>86</v>
      </c>
    </row>
    <row r="76" spans="1:61" ht="13.5" customHeight="1" x14ac:dyDescent="0.25">
      <c r="A76" s="2">
        <v>2034</v>
      </c>
      <c r="B76" s="1" t="s">
        <v>1014</v>
      </c>
      <c r="C76" s="1" t="s">
        <v>47</v>
      </c>
      <c r="D76" s="1" t="s">
        <v>307</v>
      </c>
      <c r="E76" s="1" t="s">
        <v>729</v>
      </c>
      <c r="F76" s="1" t="s">
        <v>314</v>
      </c>
      <c r="G76" s="2"/>
      <c r="H76" s="101"/>
      <c r="I76" s="101"/>
      <c r="J76" s="39">
        <v>1</v>
      </c>
      <c r="K76" s="53" t="s">
        <v>80</v>
      </c>
      <c r="L76" s="66">
        <v>0</v>
      </c>
      <c r="M76" s="8" t="s">
        <v>81</v>
      </c>
      <c r="N76" s="1" t="s">
        <v>80</v>
      </c>
      <c r="O76" s="7" t="s">
        <v>1052</v>
      </c>
      <c r="P76" s="111">
        <v>46196.562928240739</v>
      </c>
      <c r="Q76" s="111">
        <v>46226.658842592595</v>
      </c>
      <c r="R76" s="111">
        <v>46226.658842592595</v>
      </c>
      <c r="S76" s="1" t="s">
        <v>81</v>
      </c>
      <c r="T76" s="1" t="s">
        <v>81</v>
      </c>
      <c r="U76" s="4" t="s">
        <v>1015</v>
      </c>
      <c r="V76" s="2"/>
      <c r="W76" s="111"/>
      <c r="X76" s="1"/>
      <c r="Y76" s="1" t="s">
        <v>81</v>
      </c>
      <c r="Z76" s="111">
        <v>46196.563055555554</v>
      </c>
      <c r="AA76" s="1"/>
      <c r="AB76" s="4"/>
      <c r="AC76" s="4"/>
      <c r="AD76" s="1"/>
      <c r="AE76" s="1" t="s">
        <v>63</v>
      </c>
      <c r="AF76" s="1"/>
      <c r="AG76" s="2"/>
      <c r="AH76" s="1"/>
      <c r="AI76" s="1"/>
      <c r="AJ76" s="1" t="s">
        <v>81</v>
      </c>
      <c r="AK76" s="111">
        <v>46226.658842592595</v>
      </c>
      <c r="AL76" s="1"/>
      <c r="AM76" s="1"/>
      <c r="AN76" s="1"/>
      <c r="AO76" s="1"/>
      <c r="AP76" s="1"/>
      <c r="AQ76" s="1"/>
      <c r="AR76" s="1" t="s">
        <v>81</v>
      </c>
      <c r="AS76" s="1"/>
      <c r="AT76" s="2"/>
      <c r="AU76" s="1"/>
      <c r="AV76" s="2">
        <v>3</v>
      </c>
      <c r="AW76" s="4"/>
      <c r="AX76" s="111"/>
      <c r="AY76" s="4"/>
      <c r="AZ76" s="1"/>
      <c r="BA76" s="1"/>
      <c r="BB76" s="1" t="s">
        <v>503</v>
      </c>
      <c r="BC76" s="4"/>
      <c r="BD76" s="1" t="s">
        <v>85</v>
      </c>
      <c r="BE76" s="4"/>
      <c r="BF76" s="2"/>
      <c r="BG76" s="4"/>
      <c r="BH76" s="1"/>
      <c r="BI76" s="1" t="s">
        <v>86</v>
      </c>
    </row>
    <row r="77" spans="1:61" ht="13.5" customHeight="1" x14ac:dyDescent="0.25">
      <c r="A77" s="2">
        <v>2035</v>
      </c>
      <c r="B77" s="1" t="s">
        <v>1016</v>
      </c>
      <c r="C77" s="1" t="s">
        <v>47</v>
      </c>
      <c r="D77" s="1" t="s">
        <v>710</v>
      </c>
      <c r="E77" s="1" t="s">
        <v>699</v>
      </c>
      <c r="F77" s="1" t="s">
        <v>466</v>
      </c>
      <c r="G77" s="2"/>
      <c r="H77" s="101"/>
      <c r="I77" s="101"/>
      <c r="J77" s="39">
        <v>1</v>
      </c>
      <c r="K77" s="53" t="s">
        <v>80</v>
      </c>
      <c r="L77" s="66">
        <v>0</v>
      </c>
      <c r="M77" s="8" t="s">
        <v>738</v>
      </c>
      <c r="N77" s="1" t="s">
        <v>80</v>
      </c>
      <c r="O77" s="7" t="s">
        <v>1017</v>
      </c>
      <c r="P77" s="111">
        <v>46196.625231481485</v>
      </c>
      <c r="Q77" s="111">
        <v>46226.658912037034</v>
      </c>
      <c r="R77" s="111">
        <v>46226.658912037034</v>
      </c>
      <c r="S77" s="1" t="s">
        <v>81</v>
      </c>
      <c r="T77" s="1" t="s">
        <v>693</v>
      </c>
      <c r="U77" s="4" t="s">
        <v>666</v>
      </c>
      <c r="V77" s="2"/>
      <c r="W77" s="111"/>
      <c r="X77" s="1"/>
      <c r="Y77" s="1" t="s">
        <v>738</v>
      </c>
      <c r="Z77" s="111">
        <v>46196.667256944442</v>
      </c>
      <c r="AA77" s="1"/>
      <c r="AB77" s="4"/>
      <c r="AC77" s="4"/>
      <c r="AD77" s="1"/>
      <c r="AE77" s="1" t="s">
        <v>63</v>
      </c>
      <c r="AF77" s="1"/>
      <c r="AG77" s="2"/>
      <c r="AH77" s="1"/>
      <c r="AI77" s="1"/>
      <c r="AJ77" s="1" t="s">
        <v>81</v>
      </c>
      <c r="AK77" s="111">
        <v>46226.658912037034</v>
      </c>
      <c r="AL77" s="1"/>
      <c r="AM77" s="1"/>
      <c r="AN77" s="1"/>
      <c r="AO77" s="1"/>
      <c r="AP77" s="1"/>
      <c r="AQ77" s="1"/>
      <c r="AR77" s="1" t="s">
        <v>81</v>
      </c>
      <c r="AS77" s="1"/>
      <c r="AT77" s="2"/>
      <c r="AU77" s="1"/>
      <c r="AV77" s="2">
        <v>3</v>
      </c>
      <c r="AW77" s="4"/>
      <c r="AX77" s="111"/>
      <c r="AY77" s="4"/>
      <c r="AZ77" s="1"/>
      <c r="BA77" s="1"/>
      <c r="BB77" s="1" t="s">
        <v>503</v>
      </c>
      <c r="BC77" s="4"/>
      <c r="BD77" s="1" t="s">
        <v>85</v>
      </c>
      <c r="BE77" s="4"/>
      <c r="BF77" s="2"/>
      <c r="BG77" s="4"/>
      <c r="BH77" s="1"/>
      <c r="BI77" s="1" t="s">
        <v>86</v>
      </c>
    </row>
    <row r="78" spans="1:61" ht="13.5" customHeight="1" x14ac:dyDescent="0.25">
      <c r="A78" s="2">
        <v>2045</v>
      </c>
      <c r="B78" s="1" t="s">
        <v>1061</v>
      </c>
      <c r="C78" s="1" t="s">
        <v>47</v>
      </c>
      <c r="D78" s="1" t="s">
        <v>308</v>
      </c>
      <c r="E78" s="1" t="s">
        <v>700</v>
      </c>
      <c r="F78" s="1" t="s">
        <v>314</v>
      </c>
      <c r="G78" s="2">
        <v>37</v>
      </c>
      <c r="H78" s="101">
        <v>8</v>
      </c>
      <c r="I78" s="101"/>
      <c r="J78" s="39">
        <v>1</v>
      </c>
      <c r="K78" s="53" t="s">
        <v>80</v>
      </c>
      <c r="L78" s="66">
        <v>0</v>
      </c>
      <c r="M78" s="8" t="s">
        <v>91</v>
      </c>
      <c r="N78" s="1" t="s">
        <v>80</v>
      </c>
      <c r="O78" s="7" t="s">
        <v>1062</v>
      </c>
      <c r="P78" s="111">
        <v>46198.409247685187</v>
      </c>
      <c r="Q78" s="111">
        <v>46293.368217592593</v>
      </c>
      <c r="R78" s="111">
        <v>46293.368217592593</v>
      </c>
      <c r="S78" s="1" t="s">
        <v>693</v>
      </c>
      <c r="T78" s="1" t="s">
        <v>693</v>
      </c>
      <c r="U78" s="4"/>
      <c r="V78" s="2"/>
      <c r="W78" s="111"/>
      <c r="X78" s="1"/>
      <c r="Y78" s="1" t="s">
        <v>91</v>
      </c>
      <c r="Z78" s="111">
        <v>46255.463842592595</v>
      </c>
      <c r="AA78" s="1"/>
      <c r="AB78" s="4"/>
      <c r="AC78" s="4"/>
      <c r="AD78" s="1"/>
      <c r="AE78" s="1" t="s">
        <v>63</v>
      </c>
      <c r="AF78" s="1"/>
      <c r="AG78" s="2"/>
      <c r="AH78" s="1"/>
      <c r="AI78" s="1"/>
      <c r="AJ78" s="1" t="s">
        <v>693</v>
      </c>
      <c r="AK78" s="111">
        <v>46293.368217592593</v>
      </c>
      <c r="AL78" s="1"/>
      <c r="AM78" s="1"/>
      <c r="AN78" s="1"/>
      <c r="AO78" s="1"/>
      <c r="AP78" s="1"/>
      <c r="AQ78" s="1"/>
      <c r="AR78" s="1" t="s">
        <v>693</v>
      </c>
      <c r="AS78" s="1"/>
      <c r="AT78" s="2"/>
      <c r="AU78" s="1"/>
      <c r="AV78" s="2">
        <v>3</v>
      </c>
      <c r="AW78" s="4"/>
      <c r="AX78" s="111"/>
      <c r="AY78" s="4"/>
      <c r="AZ78" s="1"/>
      <c r="BA78" s="1"/>
      <c r="BB78" s="1" t="s">
        <v>503</v>
      </c>
      <c r="BC78" s="4"/>
      <c r="BD78" s="1" t="s">
        <v>85</v>
      </c>
      <c r="BE78" s="4"/>
      <c r="BF78" s="2"/>
      <c r="BG78" s="4"/>
      <c r="BH78" s="1"/>
      <c r="BI78" s="1" t="s">
        <v>86</v>
      </c>
    </row>
    <row r="79" spans="1:61" ht="13.5" customHeight="1" x14ac:dyDescent="0.25">
      <c r="A79" s="2">
        <v>2047</v>
      </c>
      <c r="B79" s="1" t="s">
        <v>862</v>
      </c>
      <c r="C79" s="1" t="s">
        <v>47</v>
      </c>
      <c r="D79" s="1" t="s">
        <v>310</v>
      </c>
      <c r="E79" s="1" t="s">
        <v>708</v>
      </c>
      <c r="F79" s="1" t="s">
        <v>314</v>
      </c>
      <c r="G79" s="2">
        <v>37</v>
      </c>
      <c r="H79" s="101">
        <v>20</v>
      </c>
      <c r="I79" s="101"/>
      <c r="J79" s="39">
        <v>1</v>
      </c>
      <c r="K79" s="53" t="s">
        <v>80</v>
      </c>
      <c r="L79" s="66">
        <v>0</v>
      </c>
      <c r="M79" s="8" t="s">
        <v>737</v>
      </c>
      <c r="N79" s="1" t="s">
        <v>80</v>
      </c>
      <c r="O79" s="7" t="s">
        <v>863</v>
      </c>
      <c r="P79" s="111">
        <v>46198.642210648148</v>
      </c>
      <c r="Q79" s="111">
        <v>46283.631203703706</v>
      </c>
      <c r="R79" s="111">
        <v>46283.631203703706</v>
      </c>
      <c r="S79" s="1" t="s">
        <v>693</v>
      </c>
      <c r="T79" s="1" t="s">
        <v>693</v>
      </c>
      <c r="U79" s="4"/>
      <c r="V79" s="2"/>
      <c r="W79" s="111"/>
      <c r="X79" s="1"/>
      <c r="Y79" s="1" t="s">
        <v>693</v>
      </c>
      <c r="Z79" s="111">
        <v>46281.615960648145</v>
      </c>
      <c r="AA79" s="1"/>
      <c r="AB79" s="4"/>
      <c r="AC79" s="4"/>
      <c r="AD79" s="1"/>
      <c r="AE79" s="1" t="s">
        <v>63</v>
      </c>
      <c r="AF79" s="1"/>
      <c r="AG79" s="2"/>
      <c r="AH79" s="1"/>
      <c r="AI79" s="1"/>
      <c r="AJ79" s="1" t="s">
        <v>693</v>
      </c>
      <c r="AK79" s="111">
        <v>46283.631203703706</v>
      </c>
      <c r="AL79" s="1"/>
      <c r="AM79" s="1"/>
      <c r="AN79" s="1"/>
      <c r="AO79" s="1"/>
      <c r="AP79" s="1"/>
      <c r="AQ79" s="1"/>
      <c r="AR79" s="1" t="s">
        <v>693</v>
      </c>
      <c r="AS79" s="1"/>
      <c r="AT79" s="2"/>
      <c r="AU79" s="1"/>
      <c r="AV79" s="2">
        <v>2</v>
      </c>
      <c r="AW79" s="4"/>
      <c r="AX79" s="111"/>
      <c r="AY79" s="4"/>
      <c r="AZ79" s="1"/>
      <c r="BA79" s="1"/>
      <c r="BB79" s="1" t="s">
        <v>503</v>
      </c>
      <c r="BC79" s="4"/>
      <c r="BD79" s="1" t="s">
        <v>85</v>
      </c>
      <c r="BE79" s="4"/>
      <c r="BF79" s="2">
        <v>1714</v>
      </c>
      <c r="BG79" s="4"/>
      <c r="BH79" s="1"/>
      <c r="BI79" s="1" t="s">
        <v>86</v>
      </c>
    </row>
    <row r="80" spans="1:61" ht="13.5" customHeight="1" x14ac:dyDescent="0.25">
      <c r="A80" s="2">
        <v>2048</v>
      </c>
      <c r="B80" s="1" t="s">
        <v>864</v>
      </c>
      <c r="C80" s="1" t="s">
        <v>47</v>
      </c>
      <c r="D80" s="1" t="s">
        <v>310</v>
      </c>
      <c r="E80" s="1" t="s">
        <v>708</v>
      </c>
      <c r="F80" s="1" t="s">
        <v>314</v>
      </c>
      <c r="G80" s="2">
        <v>37</v>
      </c>
      <c r="H80" s="101">
        <v>30</v>
      </c>
      <c r="I80" s="101"/>
      <c r="J80" s="39">
        <v>1</v>
      </c>
      <c r="K80" s="53" t="s">
        <v>80</v>
      </c>
      <c r="L80" s="66">
        <v>0</v>
      </c>
      <c r="M80" s="8" t="s">
        <v>737</v>
      </c>
      <c r="N80" s="1" t="s">
        <v>80</v>
      </c>
      <c r="O80" s="7" t="s">
        <v>865</v>
      </c>
      <c r="P80" s="111">
        <v>46198.649305555555</v>
      </c>
      <c r="Q80" s="111">
        <v>46283.63108796296</v>
      </c>
      <c r="R80" s="111">
        <v>46283.63108796296</v>
      </c>
      <c r="S80" s="1" t="s">
        <v>693</v>
      </c>
      <c r="T80" s="1" t="s">
        <v>693</v>
      </c>
      <c r="U80" s="4"/>
      <c r="V80" s="2"/>
      <c r="W80" s="111"/>
      <c r="X80" s="1"/>
      <c r="Y80" s="1" t="s">
        <v>693</v>
      </c>
      <c r="Z80" s="111">
        <v>46281.669108796297</v>
      </c>
      <c r="AA80" s="1"/>
      <c r="AB80" s="4"/>
      <c r="AC80" s="4"/>
      <c r="AD80" s="1"/>
      <c r="AE80" s="1" t="s">
        <v>63</v>
      </c>
      <c r="AF80" s="1"/>
      <c r="AG80" s="2"/>
      <c r="AH80" s="1"/>
      <c r="AI80" s="1"/>
      <c r="AJ80" s="1" t="s">
        <v>693</v>
      </c>
      <c r="AK80" s="111">
        <v>46283.63108796296</v>
      </c>
      <c r="AL80" s="1"/>
      <c r="AM80" s="1"/>
      <c r="AN80" s="1"/>
      <c r="AO80" s="1"/>
      <c r="AP80" s="1"/>
      <c r="AQ80" s="1"/>
      <c r="AR80" s="1" t="s">
        <v>693</v>
      </c>
      <c r="AS80" s="1"/>
      <c r="AT80" s="2"/>
      <c r="AU80" s="1"/>
      <c r="AV80" s="2">
        <v>1</v>
      </c>
      <c r="AW80" s="4"/>
      <c r="AX80" s="111"/>
      <c r="AY80" s="4"/>
      <c r="AZ80" s="1"/>
      <c r="BA80" s="1"/>
      <c r="BB80" s="1" t="s">
        <v>503</v>
      </c>
      <c r="BC80" s="4"/>
      <c r="BD80" s="1" t="s">
        <v>85</v>
      </c>
      <c r="BE80" s="4"/>
      <c r="BF80" s="2">
        <v>1714</v>
      </c>
      <c r="BG80" s="4"/>
      <c r="BH80" s="1"/>
      <c r="BI80" s="1" t="s">
        <v>86</v>
      </c>
    </row>
    <row r="81" spans="1:61" ht="13.5" customHeight="1" x14ac:dyDescent="0.25">
      <c r="A81" s="2">
        <v>2049</v>
      </c>
      <c r="B81" s="1" t="s">
        <v>866</v>
      </c>
      <c r="C81" s="1" t="s">
        <v>47</v>
      </c>
      <c r="D81" s="1" t="s">
        <v>311</v>
      </c>
      <c r="E81" s="1" t="s">
        <v>701</v>
      </c>
      <c r="F81" s="1" t="s">
        <v>314</v>
      </c>
      <c r="G81" s="2">
        <v>37</v>
      </c>
      <c r="H81" s="101">
        <v>30</v>
      </c>
      <c r="I81" s="101"/>
      <c r="J81" s="39">
        <v>1</v>
      </c>
      <c r="K81" s="53" t="s">
        <v>80</v>
      </c>
      <c r="L81" s="66">
        <v>0</v>
      </c>
      <c r="M81" s="8" t="s">
        <v>737</v>
      </c>
      <c r="N81" s="1" t="s">
        <v>80</v>
      </c>
      <c r="O81" s="7" t="s">
        <v>867</v>
      </c>
      <c r="P81" s="111">
        <v>46198.65115740741</v>
      </c>
      <c r="Q81" s="111">
        <v>46283.631180555552</v>
      </c>
      <c r="R81" s="111">
        <v>46283.631180555552</v>
      </c>
      <c r="S81" s="1" t="s">
        <v>693</v>
      </c>
      <c r="T81" s="1" t="s">
        <v>693</v>
      </c>
      <c r="U81" s="4"/>
      <c r="V81" s="2"/>
      <c r="W81" s="111"/>
      <c r="X81" s="1"/>
      <c r="Y81" s="1" t="s">
        <v>693</v>
      </c>
      <c r="Z81" s="111">
        <v>46281.616041666668</v>
      </c>
      <c r="AA81" s="1"/>
      <c r="AB81" s="4"/>
      <c r="AC81" s="4"/>
      <c r="AD81" s="1"/>
      <c r="AE81" s="1" t="s">
        <v>63</v>
      </c>
      <c r="AF81" s="1"/>
      <c r="AG81" s="2"/>
      <c r="AH81" s="1"/>
      <c r="AI81" s="1"/>
      <c r="AJ81" s="1" t="s">
        <v>693</v>
      </c>
      <c r="AK81" s="111">
        <v>46283.631180555552</v>
      </c>
      <c r="AL81" s="1"/>
      <c r="AM81" s="1"/>
      <c r="AN81" s="1"/>
      <c r="AO81" s="1"/>
      <c r="AP81" s="1"/>
      <c r="AQ81" s="1"/>
      <c r="AR81" s="1" t="s">
        <v>693</v>
      </c>
      <c r="AS81" s="1"/>
      <c r="AT81" s="2"/>
      <c r="AU81" s="1"/>
      <c r="AV81" s="2">
        <v>1</v>
      </c>
      <c r="AW81" s="4"/>
      <c r="AX81" s="111"/>
      <c r="AY81" s="4"/>
      <c r="AZ81" s="1"/>
      <c r="BA81" s="1"/>
      <c r="BB81" s="1" t="s">
        <v>503</v>
      </c>
      <c r="BC81" s="4"/>
      <c r="BD81" s="1" t="s">
        <v>85</v>
      </c>
      <c r="BE81" s="4"/>
      <c r="BF81" s="2">
        <v>1714</v>
      </c>
      <c r="BG81" s="4"/>
      <c r="BH81" s="1"/>
      <c r="BI81" s="1" t="s">
        <v>86</v>
      </c>
    </row>
    <row r="82" spans="1:61" ht="13.5" customHeight="1" x14ac:dyDescent="0.25">
      <c r="A82" s="2">
        <v>2050</v>
      </c>
      <c r="B82" s="1" t="s">
        <v>868</v>
      </c>
      <c r="C82" s="1" t="s">
        <v>47</v>
      </c>
      <c r="D82" s="1" t="s">
        <v>311</v>
      </c>
      <c r="E82" s="1" t="s">
        <v>701</v>
      </c>
      <c r="F82" s="1" t="s">
        <v>314</v>
      </c>
      <c r="G82" s="2">
        <v>37</v>
      </c>
      <c r="H82" s="101">
        <v>16</v>
      </c>
      <c r="I82" s="101"/>
      <c r="J82" s="39">
        <v>1</v>
      </c>
      <c r="K82" s="53" t="s">
        <v>80</v>
      </c>
      <c r="L82" s="66">
        <v>0</v>
      </c>
      <c r="M82" s="8" t="s">
        <v>737</v>
      </c>
      <c r="N82" s="1" t="s">
        <v>80</v>
      </c>
      <c r="O82" s="7" t="s">
        <v>869</v>
      </c>
      <c r="P82" s="111">
        <v>46198.652349537035</v>
      </c>
      <c r="Q82" s="111">
        <v>46283.631145833337</v>
      </c>
      <c r="R82" s="111">
        <v>46283.631145833337</v>
      </c>
      <c r="S82" s="1" t="s">
        <v>693</v>
      </c>
      <c r="T82" s="1" t="s">
        <v>693</v>
      </c>
      <c r="U82" s="4"/>
      <c r="V82" s="2"/>
      <c r="W82" s="111"/>
      <c r="X82" s="1"/>
      <c r="Y82" s="1" t="s">
        <v>693</v>
      </c>
      <c r="Z82" s="111">
        <v>46281.616284722222</v>
      </c>
      <c r="AA82" s="1"/>
      <c r="AB82" s="4"/>
      <c r="AC82" s="4"/>
      <c r="AD82" s="1"/>
      <c r="AE82" s="1" t="s">
        <v>63</v>
      </c>
      <c r="AF82" s="1"/>
      <c r="AG82" s="2"/>
      <c r="AH82" s="1"/>
      <c r="AI82" s="1"/>
      <c r="AJ82" s="1" t="s">
        <v>693</v>
      </c>
      <c r="AK82" s="111">
        <v>46283.631145833337</v>
      </c>
      <c r="AL82" s="1"/>
      <c r="AM82" s="1"/>
      <c r="AN82" s="1"/>
      <c r="AO82" s="1"/>
      <c r="AP82" s="1"/>
      <c r="AQ82" s="1"/>
      <c r="AR82" s="1" t="s">
        <v>693</v>
      </c>
      <c r="AS82" s="1"/>
      <c r="AT82" s="2"/>
      <c r="AU82" s="1"/>
      <c r="AV82" s="2">
        <v>2</v>
      </c>
      <c r="AW82" s="4"/>
      <c r="AX82" s="111"/>
      <c r="AY82" s="4"/>
      <c r="AZ82" s="1"/>
      <c r="BA82" s="1"/>
      <c r="BB82" s="1" t="s">
        <v>503</v>
      </c>
      <c r="BC82" s="4"/>
      <c r="BD82" s="1" t="s">
        <v>85</v>
      </c>
      <c r="BE82" s="4"/>
      <c r="BF82" s="2">
        <v>1714</v>
      </c>
      <c r="BG82" s="4"/>
      <c r="BH82" s="1"/>
      <c r="BI82" s="1" t="s">
        <v>86</v>
      </c>
    </row>
    <row r="83" spans="1:61" ht="13.5" customHeight="1" x14ac:dyDescent="0.25">
      <c r="A83" s="2">
        <v>2051</v>
      </c>
      <c r="B83" s="1" t="s">
        <v>870</v>
      </c>
      <c r="C83" s="1" t="s">
        <v>47</v>
      </c>
      <c r="D83" s="1" t="s">
        <v>311</v>
      </c>
      <c r="E83" s="1" t="s">
        <v>701</v>
      </c>
      <c r="F83" s="1" t="s">
        <v>314</v>
      </c>
      <c r="G83" s="2">
        <v>37</v>
      </c>
      <c r="H83" s="101">
        <v>30</v>
      </c>
      <c r="I83" s="101"/>
      <c r="J83" s="39">
        <v>1</v>
      </c>
      <c r="K83" s="53" t="s">
        <v>80</v>
      </c>
      <c r="L83" s="66">
        <v>0</v>
      </c>
      <c r="M83" s="8" t="s">
        <v>737</v>
      </c>
      <c r="N83" s="1" t="s">
        <v>80</v>
      </c>
      <c r="O83" s="7" t="s">
        <v>871</v>
      </c>
      <c r="P83" s="111">
        <v>46198.654826388891</v>
      </c>
      <c r="Q83" s="111">
        <v>46283.631238425929</v>
      </c>
      <c r="R83" s="111">
        <v>46283.631238425929</v>
      </c>
      <c r="S83" s="1" t="s">
        <v>693</v>
      </c>
      <c r="T83" s="1" t="s">
        <v>693</v>
      </c>
      <c r="U83" s="4"/>
      <c r="V83" s="2"/>
      <c r="W83" s="111"/>
      <c r="X83" s="1"/>
      <c r="Y83" s="1" t="s">
        <v>693</v>
      </c>
      <c r="Z83" s="111">
        <v>46281.615347222221</v>
      </c>
      <c r="AA83" s="1"/>
      <c r="AB83" s="4"/>
      <c r="AC83" s="4"/>
      <c r="AD83" s="1"/>
      <c r="AE83" s="1" t="s">
        <v>63</v>
      </c>
      <c r="AF83" s="1"/>
      <c r="AG83" s="2"/>
      <c r="AH83" s="1"/>
      <c r="AI83" s="1"/>
      <c r="AJ83" s="1" t="s">
        <v>693</v>
      </c>
      <c r="AK83" s="111">
        <v>46283.631238425929</v>
      </c>
      <c r="AL83" s="1"/>
      <c r="AM83" s="1"/>
      <c r="AN83" s="1"/>
      <c r="AO83" s="1"/>
      <c r="AP83" s="1"/>
      <c r="AQ83" s="1"/>
      <c r="AR83" s="1" t="s">
        <v>693</v>
      </c>
      <c r="AS83" s="1"/>
      <c r="AT83" s="2"/>
      <c r="AU83" s="1"/>
      <c r="AV83" s="2">
        <v>1</v>
      </c>
      <c r="AW83" s="4"/>
      <c r="AX83" s="111"/>
      <c r="AY83" s="4"/>
      <c r="AZ83" s="1"/>
      <c r="BA83" s="1"/>
      <c r="BB83" s="1" t="s">
        <v>503</v>
      </c>
      <c r="BC83" s="4"/>
      <c r="BD83" s="1" t="s">
        <v>85</v>
      </c>
      <c r="BE83" s="4"/>
      <c r="BF83" s="2">
        <v>1714</v>
      </c>
      <c r="BG83" s="4"/>
      <c r="BH83" s="1"/>
      <c r="BI83" s="1" t="s">
        <v>86</v>
      </c>
    </row>
    <row r="84" spans="1:61" ht="13.5" customHeight="1" x14ac:dyDescent="0.25">
      <c r="A84" s="2">
        <v>2052</v>
      </c>
      <c r="B84" s="1" t="s">
        <v>872</v>
      </c>
      <c r="C84" s="1" t="s">
        <v>47</v>
      </c>
      <c r="D84" s="1" t="s">
        <v>311</v>
      </c>
      <c r="E84" s="1" t="s">
        <v>701</v>
      </c>
      <c r="F84" s="1" t="s">
        <v>314</v>
      </c>
      <c r="G84" s="2">
        <v>37</v>
      </c>
      <c r="H84" s="101">
        <v>8</v>
      </c>
      <c r="I84" s="101"/>
      <c r="J84" s="39">
        <v>1</v>
      </c>
      <c r="K84" s="53" t="s">
        <v>80</v>
      </c>
      <c r="L84" s="66">
        <v>0</v>
      </c>
      <c r="M84" s="8" t="s">
        <v>737</v>
      </c>
      <c r="N84" s="1" t="s">
        <v>80</v>
      </c>
      <c r="O84" s="7" t="s">
        <v>873</v>
      </c>
      <c r="P84" s="111">
        <v>46198.658032407409</v>
      </c>
      <c r="Q84" s="111">
        <v>46283.631215277775</v>
      </c>
      <c r="R84" s="111">
        <v>46283.631215277775</v>
      </c>
      <c r="S84" s="1" t="s">
        <v>693</v>
      </c>
      <c r="T84" s="1" t="s">
        <v>693</v>
      </c>
      <c r="U84" s="4"/>
      <c r="V84" s="2"/>
      <c r="W84" s="111"/>
      <c r="X84" s="1"/>
      <c r="Y84" s="1" t="s">
        <v>693</v>
      </c>
      <c r="Z84" s="111">
        <v>46281.615682870368</v>
      </c>
      <c r="AA84" s="1"/>
      <c r="AB84" s="4"/>
      <c r="AC84" s="4"/>
      <c r="AD84" s="1"/>
      <c r="AE84" s="1" t="s">
        <v>63</v>
      </c>
      <c r="AF84" s="1"/>
      <c r="AG84" s="2"/>
      <c r="AH84" s="1"/>
      <c r="AI84" s="1"/>
      <c r="AJ84" s="1" t="s">
        <v>693</v>
      </c>
      <c r="AK84" s="111">
        <v>46283.631215277775</v>
      </c>
      <c r="AL84" s="1"/>
      <c r="AM84" s="1"/>
      <c r="AN84" s="1"/>
      <c r="AO84" s="1"/>
      <c r="AP84" s="1"/>
      <c r="AQ84" s="1"/>
      <c r="AR84" s="1" t="s">
        <v>693</v>
      </c>
      <c r="AS84" s="1"/>
      <c r="AT84" s="2"/>
      <c r="AU84" s="1"/>
      <c r="AV84" s="2">
        <v>1</v>
      </c>
      <c r="AW84" s="4"/>
      <c r="AX84" s="111"/>
      <c r="AY84" s="4"/>
      <c r="AZ84" s="1"/>
      <c r="BA84" s="1"/>
      <c r="BB84" s="1" t="s">
        <v>503</v>
      </c>
      <c r="BC84" s="4"/>
      <c r="BD84" s="1" t="s">
        <v>85</v>
      </c>
      <c r="BE84" s="4"/>
      <c r="BF84" s="2">
        <v>1714</v>
      </c>
      <c r="BG84" s="4"/>
      <c r="BH84" s="1"/>
      <c r="BI84" s="1" t="s">
        <v>86</v>
      </c>
    </row>
    <row r="85" spans="1:61" ht="13.5" customHeight="1" x14ac:dyDescent="0.25">
      <c r="A85" s="2">
        <v>2053</v>
      </c>
      <c r="B85" s="1" t="s">
        <v>1018</v>
      </c>
      <c r="C85" s="1" t="s">
        <v>47</v>
      </c>
      <c r="D85" s="1" t="s">
        <v>310</v>
      </c>
      <c r="E85" s="1" t="s">
        <v>708</v>
      </c>
      <c r="F85" s="1"/>
      <c r="G85" s="2"/>
      <c r="H85" s="101"/>
      <c r="I85" s="101"/>
      <c r="J85" s="39">
        <v>1</v>
      </c>
      <c r="K85" s="53" t="s">
        <v>80</v>
      </c>
      <c r="L85" s="66">
        <v>0</v>
      </c>
      <c r="M85" s="8" t="s">
        <v>737</v>
      </c>
      <c r="N85" s="1" t="s">
        <v>80</v>
      </c>
      <c r="O85" s="7" t="s">
        <v>1019</v>
      </c>
      <c r="P85" s="111">
        <v>46199.584849537037</v>
      </c>
      <c r="Q85" s="111">
        <v>46211.452789351853</v>
      </c>
      <c r="R85" s="111">
        <v>46211.452789351853</v>
      </c>
      <c r="S85" s="1" t="s">
        <v>81</v>
      </c>
      <c r="T85" s="1" t="s">
        <v>155</v>
      </c>
      <c r="U85" s="4"/>
      <c r="V85" s="2"/>
      <c r="W85" s="111"/>
      <c r="X85" s="1"/>
      <c r="Y85" s="1" t="s">
        <v>737</v>
      </c>
      <c r="Z85" s="111">
        <v>46199.604826388888</v>
      </c>
      <c r="AA85" s="1"/>
      <c r="AB85" s="4"/>
      <c r="AC85" s="4"/>
      <c r="AD85" s="1"/>
      <c r="AE85" s="1" t="s">
        <v>63</v>
      </c>
      <c r="AF85" s="1"/>
      <c r="AG85" s="2"/>
      <c r="AH85" s="1"/>
      <c r="AI85" s="1"/>
      <c r="AJ85" s="1" t="s">
        <v>81</v>
      </c>
      <c r="AK85" s="111">
        <v>46211.452789351853</v>
      </c>
      <c r="AL85" s="1"/>
      <c r="AM85" s="1"/>
      <c r="AN85" s="1"/>
      <c r="AO85" s="1"/>
      <c r="AP85" s="1"/>
      <c r="AQ85" s="1"/>
      <c r="AR85" s="1" t="s">
        <v>81</v>
      </c>
      <c r="AS85" s="1"/>
      <c r="AT85" s="2"/>
      <c r="AU85" s="1"/>
      <c r="AV85" s="2">
        <v>2</v>
      </c>
      <c r="AW85" s="4"/>
      <c r="AX85" s="111"/>
      <c r="AY85" s="4"/>
      <c r="AZ85" s="1"/>
      <c r="BA85" s="1"/>
      <c r="BB85" s="1" t="s">
        <v>503</v>
      </c>
      <c r="BC85" s="4"/>
      <c r="BD85" s="1" t="s">
        <v>85</v>
      </c>
      <c r="BE85" s="4"/>
      <c r="BF85" s="2"/>
      <c r="BG85" s="4"/>
      <c r="BH85" s="1"/>
      <c r="BI85" s="1" t="s">
        <v>86</v>
      </c>
    </row>
    <row r="86" spans="1:61" ht="13.5" customHeight="1" x14ac:dyDescent="0.25">
      <c r="A86" s="2">
        <v>2056</v>
      </c>
      <c r="B86" s="1" t="s">
        <v>1020</v>
      </c>
      <c r="C86" s="1" t="s">
        <v>47</v>
      </c>
      <c r="D86" s="1" t="s">
        <v>310</v>
      </c>
      <c r="E86" s="1" t="s">
        <v>708</v>
      </c>
      <c r="F86" s="1" t="s">
        <v>466</v>
      </c>
      <c r="G86" s="2"/>
      <c r="H86" s="101"/>
      <c r="I86" s="101"/>
      <c r="J86" s="39">
        <v>1</v>
      </c>
      <c r="K86" s="53" t="s">
        <v>80</v>
      </c>
      <c r="L86" s="66">
        <v>0</v>
      </c>
      <c r="M86" s="8" t="s">
        <v>737</v>
      </c>
      <c r="N86" s="1" t="s">
        <v>80</v>
      </c>
      <c r="O86" s="7" t="s">
        <v>1021</v>
      </c>
      <c r="P86" s="111">
        <v>46202.421261574076</v>
      </c>
      <c r="Q86" s="111">
        <v>46226.659062500003</v>
      </c>
      <c r="R86" s="111">
        <v>46226.659062500003</v>
      </c>
      <c r="S86" s="1" t="s">
        <v>81</v>
      </c>
      <c r="T86" s="1" t="s">
        <v>693</v>
      </c>
      <c r="U86" s="4" t="s">
        <v>666</v>
      </c>
      <c r="V86" s="2"/>
      <c r="W86" s="111"/>
      <c r="X86" s="1"/>
      <c r="Y86" s="1" t="s">
        <v>737</v>
      </c>
      <c r="Z86" s="111">
        <v>46202.470810185187</v>
      </c>
      <c r="AA86" s="1"/>
      <c r="AB86" s="4"/>
      <c r="AC86" s="4"/>
      <c r="AD86" s="1"/>
      <c r="AE86" s="1" t="s">
        <v>63</v>
      </c>
      <c r="AF86" s="1"/>
      <c r="AG86" s="2"/>
      <c r="AH86" s="1"/>
      <c r="AI86" s="1"/>
      <c r="AJ86" s="1" t="s">
        <v>81</v>
      </c>
      <c r="AK86" s="111">
        <v>46226.659062500003</v>
      </c>
      <c r="AL86" s="1"/>
      <c r="AM86" s="1"/>
      <c r="AN86" s="1"/>
      <c r="AO86" s="1"/>
      <c r="AP86" s="1"/>
      <c r="AQ86" s="1"/>
      <c r="AR86" s="1" t="s">
        <v>81</v>
      </c>
      <c r="AS86" s="1"/>
      <c r="AT86" s="2"/>
      <c r="AU86" s="1"/>
      <c r="AV86" s="2">
        <v>4</v>
      </c>
      <c r="AW86" s="4"/>
      <c r="AX86" s="111"/>
      <c r="AY86" s="4"/>
      <c r="AZ86" s="1"/>
      <c r="BA86" s="1"/>
      <c r="BB86" s="1" t="s">
        <v>503</v>
      </c>
      <c r="BC86" s="4"/>
      <c r="BD86" s="1" t="s">
        <v>85</v>
      </c>
      <c r="BE86" s="4"/>
      <c r="BF86" s="2"/>
      <c r="BG86" s="4"/>
      <c r="BH86" s="1"/>
      <c r="BI86" s="1" t="s">
        <v>86</v>
      </c>
    </row>
    <row r="87" spans="1:61" ht="13.5" customHeight="1" x14ac:dyDescent="0.25">
      <c r="A87" s="2">
        <v>2062</v>
      </c>
      <c r="B87" s="1" t="s">
        <v>1022</v>
      </c>
      <c r="C87" s="1" t="s">
        <v>47</v>
      </c>
      <c r="D87" s="1" t="s">
        <v>309</v>
      </c>
      <c r="E87" s="1" t="s">
        <v>729</v>
      </c>
      <c r="F87" s="1" t="s">
        <v>314</v>
      </c>
      <c r="G87" s="2"/>
      <c r="H87" s="101"/>
      <c r="I87" s="101"/>
      <c r="J87" s="39">
        <v>1</v>
      </c>
      <c r="K87" s="53" t="s">
        <v>80</v>
      </c>
      <c r="L87" s="66">
        <v>0</v>
      </c>
      <c r="M87" s="8" t="s">
        <v>738</v>
      </c>
      <c r="N87" s="1" t="s">
        <v>80</v>
      </c>
      <c r="O87" s="7" t="s">
        <v>1023</v>
      </c>
      <c r="P87" s="111">
        <v>46203.539768518516</v>
      </c>
      <c r="Q87" s="111">
        <v>46211.736018518517</v>
      </c>
      <c r="R87" s="111">
        <v>46211.736018518517</v>
      </c>
      <c r="S87" s="1" t="s">
        <v>81</v>
      </c>
      <c r="T87" s="1" t="s">
        <v>81</v>
      </c>
      <c r="U87" s="4" t="s">
        <v>990</v>
      </c>
      <c r="V87" s="2"/>
      <c r="W87" s="111"/>
      <c r="X87" s="1"/>
      <c r="Y87" s="1" t="s">
        <v>738</v>
      </c>
      <c r="Z87" s="111">
        <v>46203.651631944442</v>
      </c>
      <c r="AA87" s="1"/>
      <c r="AB87" s="4"/>
      <c r="AC87" s="4"/>
      <c r="AD87" s="1"/>
      <c r="AE87" s="1" t="s">
        <v>63</v>
      </c>
      <c r="AF87" s="1"/>
      <c r="AG87" s="2"/>
      <c r="AH87" s="1"/>
      <c r="AI87" s="1"/>
      <c r="AJ87" s="1" t="s">
        <v>81</v>
      </c>
      <c r="AK87" s="111">
        <v>46211.736018518517</v>
      </c>
      <c r="AL87" s="1"/>
      <c r="AM87" s="1"/>
      <c r="AN87" s="1"/>
      <c r="AO87" s="1"/>
      <c r="AP87" s="1"/>
      <c r="AQ87" s="1"/>
      <c r="AR87" s="1" t="s">
        <v>81</v>
      </c>
      <c r="AS87" s="1"/>
      <c r="AT87" s="2"/>
      <c r="AU87" s="1"/>
      <c r="AV87" s="2">
        <v>2</v>
      </c>
      <c r="AW87" s="4"/>
      <c r="AX87" s="111"/>
      <c r="AY87" s="4"/>
      <c r="AZ87" s="1"/>
      <c r="BA87" s="1"/>
      <c r="BB87" s="1" t="s">
        <v>503</v>
      </c>
      <c r="BC87" s="4"/>
      <c r="BD87" s="1" t="s">
        <v>85</v>
      </c>
      <c r="BE87" s="4"/>
      <c r="BF87" s="2">
        <v>1856</v>
      </c>
      <c r="BG87" s="4"/>
      <c r="BH87" s="1"/>
      <c r="BI87" s="1" t="s">
        <v>86</v>
      </c>
    </row>
    <row r="88" spans="1:61" ht="13.5" customHeight="1" x14ac:dyDescent="0.25">
      <c r="A88" s="2">
        <v>2063</v>
      </c>
      <c r="B88" s="1" t="s">
        <v>1024</v>
      </c>
      <c r="C88" s="1" t="s">
        <v>47</v>
      </c>
      <c r="D88" s="1" t="s">
        <v>309</v>
      </c>
      <c r="E88" s="1" t="s">
        <v>729</v>
      </c>
      <c r="F88" s="1" t="s">
        <v>466</v>
      </c>
      <c r="G88" s="2"/>
      <c r="H88" s="101"/>
      <c r="I88" s="101"/>
      <c r="J88" s="39">
        <v>1</v>
      </c>
      <c r="K88" s="53" t="s">
        <v>80</v>
      </c>
      <c r="L88" s="66">
        <v>0</v>
      </c>
      <c r="M88" s="8" t="s">
        <v>738</v>
      </c>
      <c r="N88" s="1" t="s">
        <v>80</v>
      </c>
      <c r="O88" s="7" t="s">
        <v>1025</v>
      </c>
      <c r="P88" s="111">
        <v>46203.543981481482</v>
      </c>
      <c r="Q88" s="111">
        <v>46211.736030092594</v>
      </c>
      <c r="R88" s="111">
        <v>46211.736030092594</v>
      </c>
      <c r="S88" s="1" t="s">
        <v>81</v>
      </c>
      <c r="T88" s="1" t="s">
        <v>81</v>
      </c>
      <c r="U88" s="4" t="s">
        <v>990</v>
      </c>
      <c r="V88" s="2"/>
      <c r="W88" s="111"/>
      <c r="X88" s="1"/>
      <c r="Y88" s="1" t="s">
        <v>738</v>
      </c>
      <c r="Z88" s="111">
        <v>46204.522453703707</v>
      </c>
      <c r="AA88" s="1"/>
      <c r="AB88" s="4"/>
      <c r="AC88" s="4"/>
      <c r="AD88" s="1"/>
      <c r="AE88" s="1" t="s">
        <v>63</v>
      </c>
      <c r="AF88" s="1"/>
      <c r="AG88" s="2"/>
      <c r="AH88" s="1"/>
      <c r="AI88" s="1"/>
      <c r="AJ88" s="1" t="s">
        <v>81</v>
      </c>
      <c r="AK88" s="111">
        <v>46211.736030092594</v>
      </c>
      <c r="AL88" s="1"/>
      <c r="AM88" s="1"/>
      <c r="AN88" s="1"/>
      <c r="AO88" s="1"/>
      <c r="AP88" s="1"/>
      <c r="AQ88" s="1"/>
      <c r="AR88" s="1" t="s">
        <v>81</v>
      </c>
      <c r="AS88" s="1"/>
      <c r="AT88" s="2"/>
      <c r="AU88" s="1"/>
      <c r="AV88" s="2">
        <v>2</v>
      </c>
      <c r="AW88" s="4"/>
      <c r="AX88" s="111"/>
      <c r="AY88" s="4"/>
      <c r="AZ88" s="1"/>
      <c r="BA88" s="1"/>
      <c r="BB88" s="1" t="s">
        <v>503</v>
      </c>
      <c r="BC88" s="4"/>
      <c r="BD88" s="1" t="s">
        <v>85</v>
      </c>
      <c r="BE88" s="4"/>
      <c r="BF88" s="2">
        <v>1856</v>
      </c>
      <c r="BG88" s="4"/>
      <c r="BH88" s="1"/>
      <c r="BI88" s="1" t="s">
        <v>86</v>
      </c>
    </row>
    <row r="89" spans="1:61" ht="13.5" customHeight="1" x14ac:dyDescent="0.25">
      <c r="A89" s="2">
        <v>2064</v>
      </c>
      <c r="B89" s="1" t="s">
        <v>1026</v>
      </c>
      <c r="C89" s="1" t="s">
        <v>47</v>
      </c>
      <c r="D89" s="1" t="s">
        <v>309</v>
      </c>
      <c r="E89" s="1" t="s">
        <v>729</v>
      </c>
      <c r="F89" s="1" t="s">
        <v>466</v>
      </c>
      <c r="G89" s="2"/>
      <c r="H89" s="101"/>
      <c r="I89" s="101"/>
      <c r="J89" s="39">
        <v>1</v>
      </c>
      <c r="K89" s="53" t="s">
        <v>80</v>
      </c>
      <c r="L89" s="66">
        <v>0</v>
      </c>
      <c r="M89" s="8" t="s">
        <v>738</v>
      </c>
      <c r="N89" s="1" t="s">
        <v>80</v>
      </c>
      <c r="O89" s="7" t="s">
        <v>1027</v>
      </c>
      <c r="P89" s="111">
        <v>46203.547847222224</v>
      </c>
      <c r="Q89" s="111">
        <v>46211.736006944448</v>
      </c>
      <c r="R89" s="111">
        <v>46211.736006944448</v>
      </c>
      <c r="S89" s="1" t="s">
        <v>81</v>
      </c>
      <c r="T89" s="1" t="s">
        <v>81</v>
      </c>
      <c r="U89" s="4" t="s">
        <v>990</v>
      </c>
      <c r="V89" s="2"/>
      <c r="W89" s="111"/>
      <c r="X89" s="1"/>
      <c r="Y89" s="1" t="s">
        <v>738</v>
      </c>
      <c r="Z89" s="111">
        <v>46205.374293981484</v>
      </c>
      <c r="AA89" s="1"/>
      <c r="AB89" s="4"/>
      <c r="AC89" s="4"/>
      <c r="AD89" s="1"/>
      <c r="AE89" s="1" t="s">
        <v>63</v>
      </c>
      <c r="AF89" s="1"/>
      <c r="AG89" s="2"/>
      <c r="AH89" s="1"/>
      <c r="AI89" s="1"/>
      <c r="AJ89" s="1" t="s">
        <v>81</v>
      </c>
      <c r="AK89" s="111">
        <v>46211.736006944448</v>
      </c>
      <c r="AL89" s="1"/>
      <c r="AM89" s="1"/>
      <c r="AN89" s="1"/>
      <c r="AO89" s="1"/>
      <c r="AP89" s="1"/>
      <c r="AQ89" s="1"/>
      <c r="AR89" s="1" t="s">
        <v>81</v>
      </c>
      <c r="AS89" s="1"/>
      <c r="AT89" s="2"/>
      <c r="AU89" s="1"/>
      <c r="AV89" s="2">
        <v>2</v>
      </c>
      <c r="AW89" s="4"/>
      <c r="AX89" s="111"/>
      <c r="AY89" s="4"/>
      <c r="AZ89" s="1"/>
      <c r="BA89" s="1"/>
      <c r="BB89" s="1" t="s">
        <v>503</v>
      </c>
      <c r="BC89" s="4"/>
      <c r="BD89" s="1" t="s">
        <v>85</v>
      </c>
      <c r="BE89" s="4"/>
      <c r="BF89" s="2">
        <v>1856</v>
      </c>
      <c r="BG89" s="4"/>
      <c r="BH89" s="1"/>
      <c r="BI89" s="1" t="s">
        <v>86</v>
      </c>
    </row>
    <row r="90" spans="1:61" ht="13.5" customHeight="1" x14ac:dyDescent="0.25">
      <c r="A90" s="2">
        <v>2065</v>
      </c>
      <c r="B90" s="1" t="s">
        <v>1028</v>
      </c>
      <c r="C90" s="1" t="s">
        <v>47</v>
      </c>
      <c r="D90" s="1" t="s">
        <v>711</v>
      </c>
      <c r="E90" s="1" t="s">
        <v>702</v>
      </c>
      <c r="F90" s="1" t="s">
        <v>709</v>
      </c>
      <c r="G90" s="2"/>
      <c r="H90" s="101"/>
      <c r="I90" s="101"/>
      <c r="J90" s="39">
        <v>1</v>
      </c>
      <c r="K90" s="53" t="s">
        <v>80</v>
      </c>
      <c r="L90" s="66">
        <v>0</v>
      </c>
      <c r="M90" s="8" t="s">
        <v>91</v>
      </c>
      <c r="N90" s="1" t="s">
        <v>80</v>
      </c>
      <c r="O90" s="7" t="s">
        <v>1053</v>
      </c>
      <c r="P90" s="111">
        <v>46204.412222222221</v>
      </c>
      <c r="Q90" s="111">
        <v>46226.658993055556</v>
      </c>
      <c r="R90" s="111">
        <v>46226.658993055556</v>
      </c>
      <c r="S90" s="1" t="s">
        <v>81</v>
      </c>
      <c r="T90" s="1" t="s">
        <v>693</v>
      </c>
      <c r="U90" s="4" t="s">
        <v>666</v>
      </c>
      <c r="V90" s="2"/>
      <c r="W90" s="111"/>
      <c r="X90" s="1"/>
      <c r="Y90" s="1" t="s">
        <v>693</v>
      </c>
      <c r="Z90" s="111">
        <v>46204.421689814815</v>
      </c>
      <c r="AA90" s="1"/>
      <c r="AB90" s="4"/>
      <c r="AC90" s="4"/>
      <c r="AD90" s="1"/>
      <c r="AE90" s="1" t="s">
        <v>63</v>
      </c>
      <c r="AF90" s="1"/>
      <c r="AG90" s="2"/>
      <c r="AH90" s="1"/>
      <c r="AI90" s="1"/>
      <c r="AJ90" s="1" t="s">
        <v>81</v>
      </c>
      <c r="AK90" s="111">
        <v>46226.658993055556</v>
      </c>
      <c r="AL90" s="1"/>
      <c r="AM90" s="1"/>
      <c r="AN90" s="1"/>
      <c r="AO90" s="1"/>
      <c r="AP90" s="1"/>
      <c r="AQ90" s="1"/>
      <c r="AR90" s="1" t="s">
        <v>81</v>
      </c>
      <c r="AS90" s="1"/>
      <c r="AT90" s="2"/>
      <c r="AU90" s="1"/>
      <c r="AV90" s="2">
        <v>3</v>
      </c>
      <c r="AW90" s="4"/>
      <c r="AX90" s="111"/>
      <c r="AY90" s="4"/>
      <c r="AZ90" s="1"/>
      <c r="BA90" s="1"/>
      <c r="BB90" s="1" t="s">
        <v>503</v>
      </c>
      <c r="BC90" s="4"/>
      <c r="BD90" s="1" t="s">
        <v>85</v>
      </c>
      <c r="BE90" s="4"/>
      <c r="BF90" s="2"/>
      <c r="BG90" s="4"/>
      <c r="BH90" s="1"/>
      <c r="BI90" s="1" t="s">
        <v>86</v>
      </c>
    </row>
    <row r="91" spans="1:61" ht="13.5" customHeight="1" x14ac:dyDescent="0.25">
      <c r="A91" s="2">
        <v>2066</v>
      </c>
      <c r="B91" s="1" t="s">
        <v>1029</v>
      </c>
      <c r="C91" s="1" t="s">
        <v>47</v>
      </c>
      <c r="D91" s="1" t="s">
        <v>710</v>
      </c>
      <c r="E91" s="1" t="s">
        <v>699</v>
      </c>
      <c r="F91" s="1" t="s">
        <v>709</v>
      </c>
      <c r="G91" s="2"/>
      <c r="H91" s="101"/>
      <c r="I91" s="101"/>
      <c r="J91" s="39">
        <v>2</v>
      </c>
      <c r="K91" s="53" t="s">
        <v>80</v>
      </c>
      <c r="L91" s="66">
        <v>0</v>
      </c>
      <c r="M91" s="8" t="s">
        <v>91</v>
      </c>
      <c r="N91" s="1" t="s">
        <v>80</v>
      </c>
      <c r="O91" s="7" t="s">
        <v>1030</v>
      </c>
      <c r="P91" s="111">
        <v>46204.710902777777</v>
      </c>
      <c r="Q91" s="111">
        <v>46216.380856481483</v>
      </c>
      <c r="R91" s="111">
        <v>46211.382187499999</v>
      </c>
      <c r="S91" s="1" t="s">
        <v>81</v>
      </c>
      <c r="T91" s="1" t="s">
        <v>693</v>
      </c>
      <c r="U91" s="4" t="s">
        <v>1031</v>
      </c>
      <c r="V91" s="2"/>
      <c r="W91" s="111"/>
      <c r="X91" s="1"/>
      <c r="Y91" s="1" t="s">
        <v>693</v>
      </c>
      <c r="Z91" s="111">
        <v>46204.711747685185</v>
      </c>
      <c r="AA91" s="1"/>
      <c r="AB91" s="4"/>
      <c r="AC91" s="4"/>
      <c r="AD91" s="1"/>
      <c r="AE91" s="1" t="s">
        <v>63</v>
      </c>
      <c r="AF91" s="1"/>
      <c r="AG91" s="2"/>
      <c r="AH91" s="1"/>
      <c r="AI91" s="1"/>
      <c r="AJ91" s="1" t="s">
        <v>81</v>
      </c>
      <c r="AK91" s="111">
        <v>46216.380856481483</v>
      </c>
      <c r="AL91" s="1"/>
      <c r="AM91" s="1"/>
      <c r="AN91" s="1"/>
      <c r="AO91" s="1"/>
      <c r="AP91" s="1"/>
      <c r="AQ91" s="1"/>
      <c r="AR91" s="1" t="s">
        <v>81</v>
      </c>
      <c r="AS91" s="1"/>
      <c r="AT91" s="2"/>
      <c r="AU91" s="1"/>
      <c r="AV91" s="2">
        <v>1</v>
      </c>
      <c r="AW91" s="4"/>
      <c r="AX91" s="111"/>
      <c r="AY91" s="4"/>
      <c r="AZ91" s="1"/>
      <c r="BA91" s="1"/>
      <c r="BB91" s="1" t="s">
        <v>503</v>
      </c>
      <c r="BC91" s="4"/>
      <c r="BD91" s="1" t="s">
        <v>85</v>
      </c>
      <c r="BE91" s="4"/>
      <c r="BF91" s="2"/>
      <c r="BG91" s="4"/>
      <c r="BH91" s="1"/>
      <c r="BI91" s="1" t="s">
        <v>86</v>
      </c>
    </row>
    <row r="92" spans="1:61" ht="13.5" customHeight="1" x14ac:dyDescent="0.25">
      <c r="A92" s="2">
        <v>2067</v>
      </c>
      <c r="B92" s="1" t="s">
        <v>1032</v>
      </c>
      <c r="C92" s="1" t="s">
        <v>47</v>
      </c>
      <c r="D92" s="1" t="s">
        <v>711</v>
      </c>
      <c r="E92" s="1" t="s">
        <v>702</v>
      </c>
      <c r="F92" s="1" t="s">
        <v>709</v>
      </c>
      <c r="G92" s="2"/>
      <c r="H92" s="101"/>
      <c r="I92" s="101"/>
      <c r="J92" s="39">
        <v>2</v>
      </c>
      <c r="K92" s="53" t="s">
        <v>80</v>
      </c>
      <c r="L92" s="66">
        <v>0</v>
      </c>
      <c r="M92" s="8" t="s">
        <v>91</v>
      </c>
      <c r="N92" s="1" t="s">
        <v>80</v>
      </c>
      <c r="O92" s="7" t="s">
        <v>1033</v>
      </c>
      <c r="P92" s="111">
        <v>46205.644108796296</v>
      </c>
      <c r="Q92" s="111">
        <v>46206.638333333336</v>
      </c>
      <c r="R92" s="111">
        <v>46206.638333333336</v>
      </c>
      <c r="S92" s="1" t="s">
        <v>81</v>
      </c>
      <c r="T92" s="1" t="s">
        <v>693</v>
      </c>
      <c r="U92" s="4" t="s">
        <v>666</v>
      </c>
      <c r="V92" s="2"/>
      <c r="W92" s="111"/>
      <c r="X92" s="1"/>
      <c r="Y92" s="1" t="s">
        <v>91</v>
      </c>
      <c r="Z92" s="111">
        <v>46205.665821759256</v>
      </c>
      <c r="AA92" s="1"/>
      <c r="AB92" s="4"/>
      <c r="AC92" s="4"/>
      <c r="AD92" s="1"/>
      <c r="AE92" s="1" t="s">
        <v>63</v>
      </c>
      <c r="AF92" s="1"/>
      <c r="AG92" s="2"/>
      <c r="AH92" s="1"/>
      <c r="AI92" s="1"/>
      <c r="AJ92" s="1" t="s">
        <v>81</v>
      </c>
      <c r="AK92" s="111">
        <v>46206.638333333336</v>
      </c>
      <c r="AL92" s="1"/>
      <c r="AM92" s="1"/>
      <c r="AN92" s="1"/>
      <c r="AO92" s="1"/>
      <c r="AP92" s="1"/>
      <c r="AQ92" s="1"/>
      <c r="AR92" s="1" t="s">
        <v>81</v>
      </c>
      <c r="AS92" s="1"/>
      <c r="AT92" s="2"/>
      <c r="AU92" s="1"/>
      <c r="AV92" s="2">
        <v>3</v>
      </c>
      <c r="AW92" s="4"/>
      <c r="AX92" s="111"/>
      <c r="AY92" s="4"/>
      <c r="AZ92" s="1"/>
      <c r="BA92" s="1"/>
      <c r="BB92" s="1" t="s">
        <v>503</v>
      </c>
      <c r="BC92" s="4"/>
      <c r="BD92" s="1" t="s">
        <v>85</v>
      </c>
      <c r="BE92" s="4"/>
      <c r="BF92" s="2"/>
      <c r="BG92" s="4"/>
      <c r="BH92" s="1"/>
      <c r="BI92" s="1" t="s">
        <v>86</v>
      </c>
    </row>
    <row r="93" spans="1:61" ht="13.5" customHeight="1" x14ac:dyDescent="0.25">
      <c r="A93" s="2">
        <v>2070</v>
      </c>
      <c r="B93" s="1" t="s">
        <v>1034</v>
      </c>
      <c r="C93" s="1" t="s">
        <v>47</v>
      </c>
      <c r="D93" s="1" t="s">
        <v>310</v>
      </c>
      <c r="E93" s="1" t="s">
        <v>708</v>
      </c>
      <c r="F93" s="1" t="s">
        <v>709</v>
      </c>
      <c r="G93" s="2"/>
      <c r="H93" s="101"/>
      <c r="I93" s="101"/>
      <c r="J93" s="39">
        <v>1</v>
      </c>
      <c r="K93" s="53" t="s">
        <v>80</v>
      </c>
      <c r="L93" s="66">
        <v>0</v>
      </c>
      <c r="M93" s="8" t="s">
        <v>737</v>
      </c>
      <c r="N93" s="1" t="s">
        <v>80</v>
      </c>
      <c r="O93" s="7" t="s">
        <v>1035</v>
      </c>
      <c r="P93" s="111">
        <v>46210.642997685187</v>
      </c>
      <c r="Q93" s="111">
        <v>46226.659085648149</v>
      </c>
      <c r="R93" s="111">
        <v>46226.659085648149</v>
      </c>
      <c r="S93" s="1" t="s">
        <v>81</v>
      </c>
      <c r="T93" s="1" t="s">
        <v>693</v>
      </c>
      <c r="U93" s="4" t="s">
        <v>666</v>
      </c>
      <c r="V93" s="2"/>
      <c r="W93" s="111"/>
      <c r="X93" s="1"/>
      <c r="Y93" s="1" t="s">
        <v>693</v>
      </c>
      <c r="Z93" s="111">
        <v>46210.645219907405</v>
      </c>
      <c r="AA93" s="1"/>
      <c r="AB93" s="4"/>
      <c r="AC93" s="4"/>
      <c r="AD93" s="1"/>
      <c r="AE93" s="1" t="s">
        <v>63</v>
      </c>
      <c r="AF93" s="1"/>
      <c r="AG93" s="2"/>
      <c r="AH93" s="1"/>
      <c r="AI93" s="1"/>
      <c r="AJ93" s="1" t="s">
        <v>81</v>
      </c>
      <c r="AK93" s="111">
        <v>46226.659085648149</v>
      </c>
      <c r="AL93" s="1"/>
      <c r="AM93" s="1"/>
      <c r="AN93" s="1"/>
      <c r="AO93" s="1"/>
      <c r="AP93" s="1"/>
      <c r="AQ93" s="1"/>
      <c r="AR93" s="1" t="s">
        <v>81</v>
      </c>
      <c r="AS93" s="1"/>
      <c r="AT93" s="2"/>
      <c r="AU93" s="1"/>
      <c r="AV93" s="2">
        <v>2</v>
      </c>
      <c r="AW93" s="4"/>
      <c r="AX93" s="111"/>
      <c r="AY93" s="4"/>
      <c r="AZ93" s="1"/>
      <c r="BA93" s="1"/>
      <c r="BB93" s="1" t="s">
        <v>503</v>
      </c>
      <c r="BC93" s="4"/>
      <c r="BD93" s="1" t="s">
        <v>85</v>
      </c>
      <c r="BE93" s="4"/>
      <c r="BF93" s="2"/>
      <c r="BG93" s="4"/>
      <c r="BH93" s="1"/>
      <c r="BI93" s="1" t="s">
        <v>86</v>
      </c>
    </row>
    <row r="94" spans="1:61" ht="13.5" customHeight="1" x14ac:dyDescent="0.25">
      <c r="A94" s="2">
        <v>2071</v>
      </c>
      <c r="B94" s="1" t="s">
        <v>944</v>
      </c>
      <c r="C94" s="1" t="s">
        <v>47</v>
      </c>
      <c r="D94" s="1" t="s">
        <v>307</v>
      </c>
      <c r="E94" s="1" t="s">
        <v>729</v>
      </c>
      <c r="F94" s="1" t="s">
        <v>314</v>
      </c>
      <c r="G94" s="2"/>
      <c r="H94" s="101"/>
      <c r="I94" s="101"/>
      <c r="J94" s="39">
        <v>2</v>
      </c>
      <c r="K94" s="53" t="s">
        <v>80</v>
      </c>
      <c r="L94" s="66">
        <v>0</v>
      </c>
      <c r="M94" s="8" t="s">
        <v>767</v>
      </c>
      <c r="N94" s="1" t="s">
        <v>80</v>
      </c>
      <c r="O94" s="7" t="s">
        <v>945</v>
      </c>
      <c r="P94" s="111">
        <v>46210.65828703704</v>
      </c>
      <c r="Q94" s="111">
        <v>46240.454953703702</v>
      </c>
      <c r="R94" s="111">
        <v>46240.454953703702</v>
      </c>
      <c r="S94" s="1" t="s">
        <v>81</v>
      </c>
      <c r="T94" s="1" t="s">
        <v>767</v>
      </c>
      <c r="U94" s="4" t="s">
        <v>946</v>
      </c>
      <c r="V94" s="2"/>
      <c r="W94" s="111"/>
      <c r="X94" s="1"/>
      <c r="Y94" s="1" t="s">
        <v>767</v>
      </c>
      <c r="Z94" s="111">
        <v>46210.660555555558</v>
      </c>
      <c r="AA94" s="1"/>
      <c r="AB94" s="4"/>
      <c r="AC94" s="4"/>
      <c r="AD94" s="1"/>
      <c r="AE94" s="1" t="s">
        <v>63</v>
      </c>
      <c r="AF94" s="1"/>
      <c r="AG94" s="2"/>
      <c r="AH94" s="1"/>
      <c r="AI94" s="1"/>
      <c r="AJ94" s="1" t="s">
        <v>81</v>
      </c>
      <c r="AK94" s="111">
        <v>46240.454953703702</v>
      </c>
      <c r="AL94" s="1"/>
      <c r="AM94" s="1"/>
      <c r="AN94" s="1"/>
      <c r="AO94" s="1"/>
      <c r="AP94" s="1"/>
      <c r="AQ94" s="1"/>
      <c r="AR94" s="1" t="s">
        <v>81</v>
      </c>
      <c r="AS94" s="1"/>
      <c r="AT94" s="2"/>
      <c r="AU94" s="1"/>
      <c r="AV94" s="2">
        <v>0</v>
      </c>
      <c r="AW94" s="4"/>
      <c r="AX94" s="111"/>
      <c r="AY94" s="4"/>
      <c r="AZ94" s="1"/>
      <c r="BA94" s="1"/>
      <c r="BB94" s="1" t="s">
        <v>503</v>
      </c>
      <c r="BC94" s="4"/>
      <c r="BD94" s="1" t="s">
        <v>85</v>
      </c>
      <c r="BE94" s="4"/>
      <c r="BF94" s="2"/>
      <c r="BG94" s="4"/>
      <c r="BH94" s="1"/>
      <c r="BI94" s="1" t="s">
        <v>86</v>
      </c>
    </row>
    <row r="95" spans="1:61" ht="13.5" customHeight="1" x14ac:dyDescent="0.25">
      <c r="A95" s="2">
        <v>2074</v>
      </c>
      <c r="B95" s="1" t="s">
        <v>874</v>
      </c>
      <c r="C95" s="1" t="s">
        <v>47</v>
      </c>
      <c r="D95" s="1" t="s">
        <v>307</v>
      </c>
      <c r="E95" s="1" t="s">
        <v>729</v>
      </c>
      <c r="F95" s="1" t="s">
        <v>466</v>
      </c>
      <c r="G95" s="2"/>
      <c r="H95" s="101">
        <v>8</v>
      </c>
      <c r="I95" s="101"/>
      <c r="J95" s="39">
        <v>1</v>
      </c>
      <c r="K95" s="53" t="s">
        <v>80</v>
      </c>
      <c r="L95" s="66">
        <v>0</v>
      </c>
      <c r="M95" s="8" t="s">
        <v>91</v>
      </c>
      <c r="N95" s="1" t="s">
        <v>80</v>
      </c>
      <c r="O95" s="7" t="s">
        <v>875</v>
      </c>
      <c r="P95" s="111">
        <v>46212.668506944443</v>
      </c>
      <c r="Q95" s="111">
        <v>46268.429236111115</v>
      </c>
      <c r="R95" s="111">
        <v>46268.429236111115</v>
      </c>
      <c r="S95" s="1" t="s">
        <v>81</v>
      </c>
      <c r="T95" s="1" t="s">
        <v>155</v>
      </c>
      <c r="U95" s="4" t="s">
        <v>666</v>
      </c>
      <c r="V95" s="2"/>
      <c r="W95" s="111"/>
      <c r="X95" s="1"/>
      <c r="Y95" s="1" t="s">
        <v>91</v>
      </c>
      <c r="Z95" s="111">
        <v>46258.426655092589</v>
      </c>
      <c r="AA95" s="1"/>
      <c r="AB95" s="4"/>
      <c r="AC95" s="4"/>
      <c r="AD95" s="1"/>
      <c r="AE95" s="1" t="s">
        <v>63</v>
      </c>
      <c r="AF95" s="1"/>
      <c r="AG95" s="2"/>
      <c r="AH95" s="1"/>
      <c r="AI95" s="1"/>
      <c r="AJ95" s="1" t="s">
        <v>81</v>
      </c>
      <c r="AK95" s="111">
        <v>46268.429236111115</v>
      </c>
      <c r="AL95" s="1"/>
      <c r="AM95" s="1"/>
      <c r="AN95" s="1"/>
      <c r="AO95" s="1"/>
      <c r="AP95" s="1"/>
      <c r="AQ95" s="1"/>
      <c r="AR95" s="1" t="s">
        <v>81</v>
      </c>
      <c r="AS95" s="1"/>
      <c r="AT95" s="2"/>
      <c r="AU95" s="1"/>
      <c r="AV95" s="2">
        <v>5</v>
      </c>
      <c r="AW95" s="4"/>
      <c r="AX95" s="111"/>
      <c r="AY95" s="4"/>
      <c r="AZ95" s="1"/>
      <c r="BA95" s="1"/>
      <c r="BB95" s="1" t="s">
        <v>503</v>
      </c>
      <c r="BC95" s="4"/>
      <c r="BD95" s="1" t="s">
        <v>85</v>
      </c>
      <c r="BE95" s="4"/>
      <c r="BF95" s="2"/>
      <c r="BG95" s="4"/>
      <c r="BH95" s="1"/>
      <c r="BI95" s="1" t="s">
        <v>86</v>
      </c>
    </row>
    <row r="96" spans="1:61" ht="13.5" customHeight="1" x14ac:dyDescent="0.25">
      <c r="A96" s="2">
        <v>2076</v>
      </c>
      <c r="B96" s="1" t="s">
        <v>1036</v>
      </c>
      <c r="C96" s="1" t="s">
        <v>47</v>
      </c>
      <c r="D96" s="1" t="s">
        <v>310</v>
      </c>
      <c r="E96" s="1" t="s">
        <v>708</v>
      </c>
      <c r="F96" s="1" t="s">
        <v>709</v>
      </c>
      <c r="G96" s="2"/>
      <c r="H96" s="101"/>
      <c r="I96" s="101"/>
      <c r="J96" s="39">
        <v>1</v>
      </c>
      <c r="K96" s="53" t="s">
        <v>80</v>
      </c>
      <c r="L96" s="66">
        <v>0</v>
      </c>
      <c r="M96" s="8" t="s">
        <v>737</v>
      </c>
      <c r="N96" s="1" t="s">
        <v>80</v>
      </c>
      <c r="O96" s="7" t="s">
        <v>1037</v>
      </c>
      <c r="P96" s="111">
        <v>46217.41777777778</v>
      </c>
      <c r="Q96" s="111">
        <v>46225.460706018515</v>
      </c>
      <c r="R96" s="111">
        <v>46225.460706018515</v>
      </c>
      <c r="S96" s="1" t="s">
        <v>81</v>
      </c>
      <c r="T96" s="1" t="s">
        <v>81</v>
      </c>
      <c r="U96" s="4" t="s">
        <v>1031</v>
      </c>
      <c r="V96" s="2"/>
      <c r="W96" s="111"/>
      <c r="X96" s="1"/>
      <c r="Y96" s="1" t="s">
        <v>81</v>
      </c>
      <c r="Z96" s="111">
        <v>46217.418668981481</v>
      </c>
      <c r="AA96" s="1"/>
      <c r="AB96" s="4"/>
      <c r="AC96" s="4"/>
      <c r="AD96" s="1"/>
      <c r="AE96" s="1" t="s">
        <v>63</v>
      </c>
      <c r="AF96" s="1"/>
      <c r="AG96" s="2"/>
      <c r="AH96" s="1"/>
      <c r="AI96" s="1"/>
      <c r="AJ96" s="1" t="s">
        <v>81</v>
      </c>
      <c r="AK96" s="111">
        <v>46225.460706018515</v>
      </c>
      <c r="AL96" s="1"/>
      <c r="AM96" s="1"/>
      <c r="AN96" s="1"/>
      <c r="AO96" s="1"/>
      <c r="AP96" s="1"/>
      <c r="AQ96" s="1"/>
      <c r="AR96" s="1" t="s">
        <v>81</v>
      </c>
      <c r="AS96" s="1"/>
      <c r="AT96" s="2"/>
      <c r="AU96" s="1"/>
      <c r="AV96" s="2">
        <v>2</v>
      </c>
      <c r="AW96" s="4"/>
      <c r="AX96" s="111"/>
      <c r="AY96" s="4"/>
      <c r="AZ96" s="1"/>
      <c r="BA96" s="1"/>
      <c r="BB96" s="1" t="s">
        <v>503</v>
      </c>
      <c r="BC96" s="4"/>
      <c r="BD96" s="1" t="s">
        <v>85</v>
      </c>
      <c r="BE96" s="4"/>
      <c r="BF96" s="2"/>
      <c r="BG96" s="4"/>
      <c r="BH96" s="1"/>
      <c r="BI96" s="1" t="s">
        <v>86</v>
      </c>
    </row>
    <row r="97" spans="1:61" ht="13.5" customHeight="1" x14ac:dyDescent="0.25">
      <c r="A97" s="2">
        <v>2077</v>
      </c>
      <c r="B97" s="1" t="s">
        <v>1038</v>
      </c>
      <c r="C97" s="1" t="s">
        <v>47</v>
      </c>
      <c r="D97" s="1" t="s">
        <v>309</v>
      </c>
      <c r="E97" s="1" t="s">
        <v>701</v>
      </c>
      <c r="F97" s="1" t="s">
        <v>314</v>
      </c>
      <c r="G97" s="2"/>
      <c r="H97" s="101"/>
      <c r="I97" s="101"/>
      <c r="J97" s="39">
        <v>1</v>
      </c>
      <c r="K97" s="53" t="s">
        <v>80</v>
      </c>
      <c r="L97" s="66">
        <v>0</v>
      </c>
      <c r="M97" s="8" t="s">
        <v>91</v>
      </c>
      <c r="N97" s="1" t="s">
        <v>80</v>
      </c>
      <c r="O97" s="7" t="s">
        <v>1054</v>
      </c>
      <c r="P97" s="111">
        <v>46217.457604166666</v>
      </c>
      <c r="Q97" s="111">
        <v>46232.801458333335</v>
      </c>
      <c r="R97" s="111">
        <v>46232.801458333335</v>
      </c>
      <c r="S97" s="1" t="s">
        <v>81</v>
      </c>
      <c r="T97" s="1" t="s">
        <v>81</v>
      </c>
      <c r="U97" s="4" t="s">
        <v>1039</v>
      </c>
      <c r="V97" s="2"/>
      <c r="W97" s="111"/>
      <c r="X97" s="1"/>
      <c r="Y97" s="1" t="s">
        <v>91</v>
      </c>
      <c r="Z97" s="111">
        <v>46217.503854166665</v>
      </c>
      <c r="AA97" s="1"/>
      <c r="AB97" s="4"/>
      <c r="AC97" s="4"/>
      <c r="AD97" s="1"/>
      <c r="AE97" s="1" t="s">
        <v>63</v>
      </c>
      <c r="AF97" s="1"/>
      <c r="AG97" s="2"/>
      <c r="AH97" s="1"/>
      <c r="AI97" s="1"/>
      <c r="AJ97" s="1" t="s">
        <v>81</v>
      </c>
      <c r="AK97" s="111">
        <v>46232.801458333335</v>
      </c>
      <c r="AL97" s="1"/>
      <c r="AM97" s="1"/>
      <c r="AN97" s="1"/>
      <c r="AO97" s="1"/>
      <c r="AP97" s="1"/>
      <c r="AQ97" s="1"/>
      <c r="AR97" s="1" t="s">
        <v>81</v>
      </c>
      <c r="AS97" s="1"/>
      <c r="AT97" s="2"/>
      <c r="AU97" s="1"/>
      <c r="AV97" s="2">
        <v>10</v>
      </c>
      <c r="AW97" s="4"/>
      <c r="AX97" s="111"/>
      <c r="AY97" s="4"/>
      <c r="AZ97" s="1"/>
      <c r="BA97" s="1"/>
      <c r="BB97" s="1" t="s">
        <v>503</v>
      </c>
      <c r="BC97" s="4"/>
      <c r="BD97" s="1" t="s">
        <v>85</v>
      </c>
      <c r="BE97" s="4"/>
      <c r="BF97" s="2"/>
      <c r="BG97" s="4"/>
      <c r="BH97" s="1"/>
      <c r="BI97" s="1" t="s">
        <v>86</v>
      </c>
    </row>
    <row r="98" spans="1:61" ht="13.5" customHeight="1" x14ac:dyDescent="0.25">
      <c r="A98" s="2">
        <v>2078</v>
      </c>
      <c r="B98" s="1" t="s">
        <v>947</v>
      </c>
      <c r="C98" s="1" t="s">
        <v>47</v>
      </c>
      <c r="D98" s="1" t="s">
        <v>307</v>
      </c>
      <c r="E98" s="1" t="s">
        <v>729</v>
      </c>
      <c r="F98" s="1" t="s">
        <v>314</v>
      </c>
      <c r="G98" s="2"/>
      <c r="H98" s="101"/>
      <c r="I98" s="101"/>
      <c r="J98" s="39">
        <v>1</v>
      </c>
      <c r="K98" s="53" t="s">
        <v>80</v>
      </c>
      <c r="L98" s="66">
        <v>0</v>
      </c>
      <c r="M98" s="8" t="s">
        <v>81</v>
      </c>
      <c r="N98" s="1" t="s">
        <v>80</v>
      </c>
      <c r="O98" s="7" t="s">
        <v>968</v>
      </c>
      <c r="P98" s="111">
        <v>46217.51017361111</v>
      </c>
      <c r="Q98" s="111">
        <v>46237.393518518518</v>
      </c>
      <c r="R98" s="111">
        <v>46237.393518518518</v>
      </c>
      <c r="S98" s="1" t="s">
        <v>81</v>
      </c>
      <c r="T98" s="1" t="s">
        <v>81</v>
      </c>
      <c r="U98" s="4" t="s">
        <v>948</v>
      </c>
      <c r="V98" s="2"/>
      <c r="W98" s="111"/>
      <c r="X98" s="1"/>
      <c r="Y98" s="1" t="s">
        <v>81</v>
      </c>
      <c r="Z98" s="111">
        <v>46227.370821759258</v>
      </c>
      <c r="AA98" s="1"/>
      <c r="AB98" s="4"/>
      <c r="AC98" s="4"/>
      <c r="AD98" s="1"/>
      <c r="AE98" s="1" t="s">
        <v>63</v>
      </c>
      <c r="AF98" s="1"/>
      <c r="AG98" s="2"/>
      <c r="AH98" s="1"/>
      <c r="AI98" s="1"/>
      <c r="AJ98" s="1" t="s">
        <v>81</v>
      </c>
      <c r="AK98" s="111">
        <v>46237.393518518518</v>
      </c>
      <c r="AL98" s="1"/>
      <c r="AM98" s="1"/>
      <c r="AN98" s="1"/>
      <c r="AO98" s="1"/>
      <c r="AP98" s="1"/>
      <c r="AQ98" s="1"/>
      <c r="AR98" s="1" t="s">
        <v>81</v>
      </c>
      <c r="AS98" s="1"/>
      <c r="AT98" s="2"/>
      <c r="AU98" s="1"/>
      <c r="AV98" s="2">
        <v>5</v>
      </c>
      <c r="AW98" s="4"/>
      <c r="AX98" s="111"/>
      <c r="AY98" s="4"/>
      <c r="AZ98" s="1"/>
      <c r="BA98" s="1"/>
      <c r="BB98" s="1" t="s">
        <v>503</v>
      </c>
      <c r="BC98" s="4"/>
      <c r="BD98" s="1" t="s">
        <v>85</v>
      </c>
      <c r="BE98" s="4"/>
      <c r="BF98" s="2"/>
      <c r="BG98" s="4"/>
      <c r="BH98" s="1"/>
      <c r="BI98" s="1" t="s">
        <v>86</v>
      </c>
    </row>
    <row r="99" spans="1:61" ht="13.5" customHeight="1" x14ac:dyDescent="0.25">
      <c r="A99" s="2">
        <v>2079</v>
      </c>
      <c r="B99" s="1" t="s">
        <v>1040</v>
      </c>
      <c r="C99" s="1" t="s">
        <v>47</v>
      </c>
      <c r="D99" s="1" t="s">
        <v>711</v>
      </c>
      <c r="E99" s="1" t="s">
        <v>702</v>
      </c>
      <c r="F99" s="1" t="s">
        <v>314</v>
      </c>
      <c r="G99" s="2"/>
      <c r="H99" s="101"/>
      <c r="I99" s="101"/>
      <c r="J99" s="39">
        <v>1</v>
      </c>
      <c r="K99" s="53" t="s">
        <v>80</v>
      </c>
      <c r="L99" s="66">
        <v>0</v>
      </c>
      <c r="M99" s="8" t="s">
        <v>91</v>
      </c>
      <c r="N99" s="1" t="s">
        <v>80</v>
      </c>
      <c r="O99" s="7" t="s">
        <v>1041</v>
      </c>
      <c r="P99" s="111">
        <v>46218.387916666667</v>
      </c>
      <c r="Q99" s="111">
        <v>46287.676504629628</v>
      </c>
      <c r="R99" s="111">
        <v>46232.801504629628</v>
      </c>
      <c r="S99" s="1" t="s">
        <v>371</v>
      </c>
      <c r="T99" s="1" t="s">
        <v>155</v>
      </c>
      <c r="U99" s="4" t="s">
        <v>666</v>
      </c>
      <c r="V99" s="2"/>
      <c r="W99" s="111"/>
      <c r="X99" s="1"/>
      <c r="Y99" s="1" t="s">
        <v>91</v>
      </c>
      <c r="Z99" s="111">
        <v>46219.349594907406</v>
      </c>
      <c r="AA99" s="1"/>
      <c r="AB99" s="4"/>
      <c r="AC99" s="4"/>
      <c r="AD99" s="1"/>
      <c r="AE99" s="1" t="s">
        <v>63</v>
      </c>
      <c r="AF99" s="1"/>
      <c r="AG99" s="2"/>
      <c r="AH99" s="1"/>
      <c r="AI99" s="1"/>
      <c r="AJ99" s="1" t="s">
        <v>371</v>
      </c>
      <c r="AK99" s="111">
        <v>46287.676504629628</v>
      </c>
      <c r="AL99" s="1"/>
      <c r="AM99" s="1"/>
      <c r="AN99" s="1"/>
      <c r="AO99" s="1"/>
      <c r="AP99" s="1"/>
      <c r="AQ99" s="1"/>
      <c r="AR99" s="1" t="s">
        <v>81</v>
      </c>
      <c r="AS99" s="1"/>
      <c r="AT99" s="2"/>
      <c r="AU99" s="1"/>
      <c r="AV99" s="2">
        <v>6</v>
      </c>
      <c r="AW99" s="4"/>
      <c r="AX99" s="111"/>
      <c r="AY99" s="4"/>
      <c r="AZ99" s="1"/>
      <c r="BA99" s="1"/>
      <c r="BB99" s="1" t="s">
        <v>503</v>
      </c>
      <c r="BC99" s="4"/>
      <c r="BD99" s="1" t="s">
        <v>85</v>
      </c>
      <c r="BE99" s="4"/>
      <c r="BF99" s="2"/>
      <c r="BG99" s="4"/>
      <c r="BH99" s="1"/>
      <c r="BI99" s="1" t="s">
        <v>86</v>
      </c>
    </row>
    <row r="100" spans="1:61" ht="13.5" customHeight="1" x14ac:dyDescent="0.25">
      <c r="A100" s="2">
        <v>2080</v>
      </c>
      <c r="B100" s="1" t="s">
        <v>876</v>
      </c>
      <c r="C100" s="1" t="s">
        <v>47</v>
      </c>
      <c r="D100" s="1" t="s">
        <v>310</v>
      </c>
      <c r="E100" s="1" t="s">
        <v>708</v>
      </c>
      <c r="F100" s="1" t="s">
        <v>314</v>
      </c>
      <c r="G100" s="2"/>
      <c r="H100" s="101"/>
      <c r="I100" s="101"/>
      <c r="J100" s="39">
        <v>1</v>
      </c>
      <c r="K100" s="53" t="s">
        <v>80</v>
      </c>
      <c r="L100" s="66">
        <v>0</v>
      </c>
      <c r="M100" s="8" t="s">
        <v>738</v>
      </c>
      <c r="N100" s="1" t="s">
        <v>80</v>
      </c>
      <c r="O100" s="7" t="s">
        <v>877</v>
      </c>
      <c r="P100" s="111">
        <v>46220.666331018518</v>
      </c>
      <c r="Q100" s="111">
        <v>46259.682743055557</v>
      </c>
      <c r="R100" s="111">
        <v>46259.682743055557</v>
      </c>
      <c r="S100" s="1" t="s">
        <v>81</v>
      </c>
      <c r="T100" s="1" t="s">
        <v>155</v>
      </c>
      <c r="U100" s="4"/>
      <c r="V100" s="2"/>
      <c r="W100" s="111"/>
      <c r="X100" s="1"/>
      <c r="Y100" s="1" t="s">
        <v>738</v>
      </c>
      <c r="Z100" s="111">
        <v>46226.449965277781</v>
      </c>
      <c r="AA100" s="1"/>
      <c r="AB100" s="4"/>
      <c r="AC100" s="4"/>
      <c r="AD100" s="1"/>
      <c r="AE100" s="1" t="s">
        <v>63</v>
      </c>
      <c r="AF100" s="1"/>
      <c r="AG100" s="2"/>
      <c r="AH100" s="1"/>
      <c r="AI100" s="1"/>
      <c r="AJ100" s="1" t="s">
        <v>81</v>
      </c>
      <c r="AK100" s="111">
        <v>46259.682743055557</v>
      </c>
      <c r="AL100" s="1"/>
      <c r="AM100" s="1"/>
      <c r="AN100" s="1"/>
      <c r="AO100" s="1"/>
      <c r="AP100" s="1"/>
      <c r="AQ100" s="1"/>
      <c r="AR100" s="1" t="s">
        <v>81</v>
      </c>
      <c r="AS100" s="1"/>
      <c r="AT100" s="2"/>
      <c r="AU100" s="1"/>
      <c r="AV100" s="2">
        <v>5</v>
      </c>
      <c r="AW100" s="4"/>
      <c r="AX100" s="111"/>
      <c r="AY100" s="4"/>
      <c r="AZ100" s="1"/>
      <c r="BA100" s="1"/>
      <c r="BB100" s="1" t="s">
        <v>503</v>
      </c>
      <c r="BC100" s="4"/>
      <c r="BD100" s="1" t="s">
        <v>85</v>
      </c>
      <c r="BE100" s="4"/>
      <c r="BF100" s="2"/>
      <c r="BG100" s="4"/>
      <c r="BH100" s="1"/>
      <c r="BI100" s="1" t="s">
        <v>86</v>
      </c>
    </row>
    <row r="101" spans="1:61" ht="13.5" customHeight="1" x14ac:dyDescent="0.25">
      <c r="A101" s="2">
        <v>2081</v>
      </c>
      <c r="B101" s="1" t="s">
        <v>949</v>
      </c>
      <c r="C101" s="1" t="s">
        <v>47</v>
      </c>
      <c r="D101" s="1" t="s">
        <v>711</v>
      </c>
      <c r="E101" s="1" t="s">
        <v>702</v>
      </c>
      <c r="F101" s="1" t="s">
        <v>314</v>
      </c>
      <c r="G101" s="2"/>
      <c r="H101" s="101"/>
      <c r="I101" s="101"/>
      <c r="J101" s="39">
        <v>1</v>
      </c>
      <c r="K101" s="53" t="s">
        <v>80</v>
      </c>
      <c r="L101" s="66">
        <v>0</v>
      </c>
      <c r="M101" s="8" t="s">
        <v>737</v>
      </c>
      <c r="N101" s="1" t="s">
        <v>80</v>
      </c>
      <c r="O101" s="7" t="s">
        <v>950</v>
      </c>
      <c r="P101" s="111">
        <v>46220.743368055555</v>
      </c>
      <c r="Q101" s="111">
        <v>46287.675717592596</v>
      </c>
      <c r="R101" s="111">
        <v>46240.736643518518</v>
      </c>
      <c r="S101" s="1" t="s">
        <v>371</v>
      </c>
      <c r="T101" s="1" t="s">
        <v>155</v>
      </c>
      <c r="U101" s="4" t="s">
        <v>666</v>
      </c>
      <c r="V101" s="2"/>
      <c r="W101" s="111"/>
      <c r="X101" s="1"/>
      <c r="Y101" s="1" t="s">
        <v>737</v>
      </c>
      <c r="Z101" s="111">
        <v>46230.429826388892</v>
      </c>
      <c r="AA101" s="1"/>
      <c r="AB101" s="4"/>
      <c r="AC101" s="4"/>
      <c r="AD101" s="1"/>
      <c r="AE101" s="1" t="s">
        <v>63</v>
      </c>
      <c r="AF101" s="1"/>
      <c r="AG101" s="2"/>
      <c r="AH101" s="1"/>
      <c r="AI101" s="1"/>
      <c r="AJ101" s="1" t="s">
        <v>371</v>
      </c>
      <c r="AK101" s="111">
        <v>46287.675717592596</v>
      </c>
      <c r="AL101" s="1"/>
      <c r="AM101" s="1"/>
      <c r="AN101" s="1"/>
      <c r="AO101" s="1"/>
      <c r="AP101" s="1"/>
      <c r="AQ101" s="1"/>
      <c r="AR101" s="1" t="s">
        <v>693</v>
      </c>
      <c r="AS101" s="1"/>
      <c r="AT101" s="2"/>
      <c r="AU101" s="1"/>
      <c r="AV101" s="2">
        <v>2</v>
      </c>
      <c r="AW101" s="4"/>
      <c r="AX101" s="111"/>
      <c r="AY101" s="4"/>
      <c r="AZ101" s="1"/>
      <c r="BA101" s="1"/>
      <c r="BB101" s="1" t="s">
        <v>503</v>
      </c>
      <c r="BC101" s="4"/>
      <c r="BD101" s="1" t="s">
        <v>85</v>
      </c>
      <c r="BE101" s="4"/>
      <c r="BF101" s="2"/>
      <c r="BG101" s="4"/>
      <c r="BH101" s="1"/>
      <c r="BI101" s="1" t="s">
        <v>86</v>
      </c>
    </row>
    <row r="102" spans="1:61" ht="13.5" customHeight="1" x14ac:dyDescent="0.25">
      <c r="A102" s="2">
        <v>2083</v>
      </c>
      <c r="B102" s="1" t="s">
        <v>1042</v>
      </c>
      <c r="C102" s="1" t="s">
        <v>47</v>
      </c>
      <c r="D102" s="1" t="s">
        <v>710</v>
      </c>
      <c r="E102" s="1" t="s">
        <v>699</v>
      </c>
      <c r="F102" s="1"/>
      <c r="G102" s="2"/>
      <c r="H102" s="101"/>
      <c r="I102" s="101"/>
      <c r="J102" s="39">
        <v>1</v>
      </c>
      <c r="K102" s="53" t="s">
        <v>80</v>
      </c>
      <c r="L102" s="66">
        <v>0</v>
      </c>
      <c r="M102" s="8" t="s">
        <v>91</v>
      </c>
      <c r="N102" s="1" t="s">
        <v>80</v>
      </c>
      <c r="O102" s="7" t="s">
        <v>1043</v>
      </c>
      <c r="P102" s="111">
        <v>46224.36041666667</v>
      </c>
      <c r="Q102" s="111">
        <v>46224.422881944447</v>
      </c>
      <c r="R102" s="111">
        <v>46224.422881944447</v>
      </c>
      <c r="S102" s="1" t="s">
        <v>155</v>
      </c>
      <c r="T102" s="1" t="s">
        <v>155</v>
      </c>
      <c r="U102" s="4" t="s">
        <v>1044</v>
      </c>
      <c r="V102" s="2"/>
      <c r="W102" s="111"/>
      <c r="X102" s="1"/>
      <c r="Y102" s="1" t="s">
        <v>91</v>
      </c>
      <c r="Z102" s="111">
        <v>46224.376828703702</v>
      </c>
      <c r="AA102" s="1"/>
      <c r="AB102" s="4"/>
      <c r="AC102" s="4"/>
      <c r="AD102" s="1"/>
      <c r="AE102" s="1" t="s">
        <v>63</v>
      </c>
      <c r="AF102" s="1"/>
      <c r="AG102" s="2"/>
      <c r="AH102" s="1"/>
      <c r="AI102" s="1"/>
      <c r="AJ102" s="1" t="s">
        <v>155</v>
      </c>
      <c r="AK102" s="111">
        <v>46224.422881944447</v>
      </c>
      <c r="AL102" s="1"/>
      <c r="AM102" s="1"/>
      <c r="AN102" s="1"/>
      <c r="AO102" s="1"/>
      <c r="AP102" s="1"/>
      <c r="AQ102" s="1"/>
      <c r="AR102" s="1" t="s">
        <v>155</v>
      </c>
      <c r="AS102" s="1"/>
      <c r="AT102" s="2"/>
      <c r="AU102" s="1"/>
      <c r="AV102" s="2">
        <v>3</v>
      </c>
      <c r="AW102" s="4"/>
      <c r="AX102" s="111"/>
      <c r="AY102" s="4"/>
      <c r="AZ102" s="1"/>
      <c r="BA102" s="1"/>
      <c r="BB102" s="1" t="s">
        <v>503</v>
      </c>
      <c r="BC102" s="4"/>
      <c r="BD102" s="1" t="s">
        <v>85</v>
      </c>
      <c r="BE102" s="4"/>
      <c r="BF102" s="2">
        <v>1526</v>
      </c>
      <c r="BG102" s="4"/>
      <c r="BH102" s="1"/>
      <c r="BI102" s="1" t="s">
        <v>86</v>
      </c>
    </row>
    <row r="103" spans="1:61" ht="13.5" customHeight="1" x14ac:dyDescent="0.25">
      <c r="A103" s="2">
        <v>2085</v>
      </c>
      <c r="B103" s="1" t="s">
        <v>878</v>
      </c>
      <c r="C103" s="1" t="s">
        <v>47</v>
      </c>
      <c r="D103" s="1" t="s">
        <v>711</v>
      </c>
      <c r="E103" s="1" t="s">
        <v>702</v>
      </c>
      <c r="F103" s="1" t="s">
        <v>709</v>
      </c>
      <c r="G103" s="2"/>
      <c r="H103" s="101">
        <v>8</v>
      </c>
      <c r="I103" s="101"/>
      <c r="J103" s="39">
        <v>1</v>
      </c>
      <c r="K103" s="53" t="s">
        <v>80</v>
      </c>
      <c r="L103" s="66">
        <v>0</v>
      </c>
      <c r="M103" s="8" t="s">
        <v>91</v>
      </c>
      <c r="N103" s="1" t="s">
        <v>80</v>
      </c>
      <c r="O103" s="7" t="s">
        <v>879</v>
      </c>
      <c r="P103" s="111">
        <v>46225.483182870368</v>
      </c>
      <c r="Q103" s="111">
        <v>46268.429143518515</v>
      </c>
      <c r="R103" s="111">
        <v>46268.429143518515</v>
      </c>
      <c r="S103" s="1" t="s">
        <v>81</v>
      </c>
      <c r="T103" s="1" t="s">
        <v>155</v>
      </c>
      <c r="U103" s="4" t="s">
        <v>666</v>
      </c>
      <c r="V103" s="2"/>
      <c r="W103" s="111"/>
      <c r="X103" s="1"/>
      <c r="Y103" s="1" t="s">
        <v>91</v>
      </c>
      <c r="Z103" s="111">
        <v>46240.448275462964</v>
      </c>
      <c r="AA103" s="1"/>
      <c r="AB103" s="4"/>
      <c r="AC103" s="4"/>
      <c r="AD103" s="1"/>
      <c r="AE103" s="1" t="s">
        <v>63</v>
      </c>
      <c r="AF103" s="1"/>
      <c r="AG103" s="2"/>
      <c r="AH103" s="1"/>
      <c r="AI103" s="1"/>
      <c r="AJ103" s="1" t="s">
        <v>81</v>
      </c>
      <c r="AK103" s="111">
        <v>46268.429143518515</v>
      </c>
      <c r="AL103" s="1"/>
      <c r="AM103" s="1"/>
      <c r="AN103" s="1"/>
      <c r="AO103" s="1"/>
      <c r="AP103" s="1"/>
      <c r="AQ103" s="1"/>
      <c r="AR103" s="1" t="s">
        <v>81</v>
      </c>
      <c r="AS103" s="1"/>
      <c r="AT103" s="2"/>
      <c r="AU103" s="1"/>
      <c r="AV103" s="2">
        <v>3</v>
      </c>
      <c r="AW103" s="4"/>
      <c r="AX103" s="111"/>
      <c r="AY103" s="4"/>
      <c r="AZ103" s="1"/>
      <c r="BA103" s="1"/>
      <c r="BB103" s="1" t="s">
        <v>503</v>
      </c>
      <c r="BC103" s="4"/>
      <c r="BD103" s="1" t="s">
        <v>85</v>
      </c>
      <c r="BE103" s="4"/>
      <c r="BF103" s="2"/>
      <c r="BG103" s="4"/>
      <c r="BH103" s="1"/>
      <c r="BI103" s="1" t="s">
        <v>86</v>
      </c>
    </row>
    <row r="104" spans="1:61" ht="13.5" customHeight="1" x14ac:dyDescent="0.25">
      <c r="A104" s="2">
        <v>2089</v>
      </c>
      <c r="B104" s="1" t="s">
        <v>951</v>
      </c>
      <c r="C104" s="1" t="s">
        <v>47</v>
      </c>
      <c r="D104" s="1" t="s">
        <v>711</v>
      </c>
      <c r="E104" s="1" t="s">
        <v>702</v>
      </c>
      <c r="F104" s="1" t="s">
        <v>314</v>
      </c>
      <c r="G104" s="2"/>
      <c r="H104" s="101"/>
      <c r="I104" s="101"/>
      <c r="J104" s="39">
        <v>1</v>
      </c>
      <c r="K104" s="53" t="s">
        <v>80</v>
      </c>
      <c r="L104" s="66">
        <v>0</v>
      </c>
      <c r="M104" s="8" t="s">
        <v>738</v>
      </c>
      <c r="N104" s="1" t="s">
        <v>80</v>
      </c>
      <c r="O104" s="7" t="s">
        <v>952</v>
      </c>
      <c r="P104" s="111">
        <v>46227.574687499997</v>
      </c>
      <c r="Q104" s="111">
        <v>46240.736863425926</v>
      </c>
      <c r="R104" s="111">
        <v>46240.736863425926</v>
      </c>
      <c r="S104" s="1" t="s">
        <v>693</v>
      </c>
      <c r="T104" s="1" t="s">
        <v>155</v>
      </c>
      <c r="U104" s="4"/>
      <c r="V104" s="2"/>
      <c r="W104" s="111"/>
      <c r="X104" s="1"/>
      <c r="Y104" s="1" t="s">
        <v>738</v>
      </c>
      <c r="Z104" s="111">
        <v>46232.455868055556</v>
      </c>
      <c r="AA104" s="1"/>
      <c r="AB104" s="4"/>
      <c r="AC104" s="4"/>
      <c r="AD104" s="1"/>
      <c r="AE104" s="1" t="s">
        <v>63</v>
      </c>
      <c r="AF104" s="1"/>
      <c r="AG104" s="2"/>
      <c r="AH104" s="1"/>
      <c r="AI104" s="1"/>
      <c r="AJ104" s="1" t="s">
        <v>693</v>
      </c>
      <c r="AK104" s="111">
        <v>46240.736863425926</v>
      </c>
      <c r="AL104" s="1"/>
      <c r="AM104" s="1"/>
      <c r="AN104" s="1"/>
      <c r="AO104" s="1"/>
      <c r="AP104" s="1"/>
      <c r="AQ104" s="1"/>
      <c r="AR104" s="1" t="s">
        <v>693</v>
      </c>
      <c r="AS104" s="1"/>
      <c r="AT104" s="2"/>
      <c r="AU104" s="1"/>
      <c r="AV104" s="2">
        <v>5</v>
      </c>
      <c r="AW104" s="4"/>
      <c r="AX104" s="111"/>
      <c r="AY104" s="4"/>
      <c r="AZ104" s="1"/>
      <c r="BA104" s="1"/>
      <c r="BB104" s="1" t="s">
        <v>503</v>
      </c>
      <c r="BC104" s="4"/>
      <c r="BD104" s="1" t="s">
        <v>85</v>
      </c>
      <c r="BE104" s="4"/>
      <c r="BF104" s="2"/>
      <c r="BG104" s="4"/>
      <c r="BH104" s="1"/>
      <c r="BI104" s="1" t="s">
        <v>86</v>
      </c>
    </row>
    <row r="105" spans="1:61" ht="13.5" customHeight="1" x14ac:dyDescent="0.25">
      <c r="A105" s="2">
        <v>2090</v>
      </c>
      <c r="B105" s="1" t="s">
        <v>953</v>
      </c>
      <c r="C105" s="1" t="s">
        <v>47</v>
      </c>
      <c r="D105" s="1" t="s">
        <v>710</v>
      </c>
      <c r="E105" s="1" t="s">
        <v>699</v>
      </c>
      <c r="F105" s="1" t="s">
        <v>709</v>
      </c>
      <c r="G105" s="2"/>
      <c r="H105" s="101"/>
      <c r="I105" s="101"/>
      <c r="J105" s="39">
        <v>2</v>
      </c>
      <c r="K105" s="53" t="s">
        <v>80</v>
      </c>
      <c r="L105" s="66">
        <v>0</v>
      </c>
      <c r="M105" s="8" t="s">
        <v>693</v>
      </c>
      <c r="N105" s="1" t="s">
        <v>80</v>
      </c>
      <c r="O105" s="7" t="s">
        <v>954</v>
      </c>
      <c r="P105" s="111">
        <v>46227.63076388889</v>
      </c>
      <c r="Q105" s="111">
        <v>46238.656678240739</v>
      </c>
      <c r="R105" s="111">
        <v>46238.656678240739</v>
      </c>
      <c r="S105" s="1" t="s">
        <v>693</v>
      </c>
      <c r="T105" s="1" t="s">
        <v>693</v>
      </c>
      <c r="U105" s="4"/>
      <c r="V105" s="2"/>
      <c r="W105" s="111"/>
      <c r="X105" s="1"/>
      <c r="Y105" s="1" t="s">
        <v>693</v>
      </c>
      <c r="Z105" s="111">
        <v>46227.631608796299</v>
      </c>
      <c r="AA105" s="1"/>
      <c r="AB105" s="4"/>
      <c r="AC105" s="4"/>
      <c r="AD105" s="1"/>
      <c r="AE105" s="1" t="s">
        <v>63</v>
      </c>
      <c r="AF105" s="1"/>
      <c r="AG105" s="2"/>
      <c r="AH105" s="1"/>
      <c r="AI105" s="1"/>
      <c r="AJ105" s="1" t="s">
        <v>693</v>
      </c>
      <c r="AK105" s="111">
        <v>46238.656678240739</v>
      </c>
      <c r="AL105" s="1"/>
      <c r="AM105" s="1"/>
      <c r="AN105" s="1"/>
      <c r="AO105" s="1"/>
      <c r="AP105" s="1"/>
      <c r="AQ105" s="1"/>
      <c r="AR105" s="1" t="s">
        <v>693</v>
      </c>
      <c r="AS105" s="1"/>
      <c r="AT105" s="2"/>
      <c r="AU105" s="1"/>
      <c r="AV105" s="2">
        <v>0</v>
      </c>
      <c r="AW105" s="4"/>
      <c r="AX105" s="111"/>
      <c r="AY105" s="4"/>
      <c r="AZ105" s="1"/>
      <c r="BA105" s="1"/>
      <c r="BB105" s="1" t="s">
        <v>503</v>
      </c>
      <c r="BC105" s="4"/>
      <c r="BD105" s="1" t="s">
        <v>85</v>
      </c>
      <c r="BE105" s="4"/>
      <c r="BF105" s="2"/>
      <c r="BG105" s="4"/>
      <c r="BH105" s="1"/>
      <c r="BI105" s="1" t="s">
        <v>86</v>
      </c>
    </row>
    <row r="106" spans="1:61" ht="13.5" customHeight="1" x14ac:dyDescent="0.25">
      <c r="A106" s="2">
        <v>2091</v>
      </c>
      <c r="B106" s="1" t="s">
        <v>1045</v>
      </c>
      <c r="C106" s="1" t="s">
        <v>47</v>
      </c>
      <c r="D106" s="1" t="s">
        <v>307</v>
      </c>
      <c r="E106" s="1" t="s">
        <v>729</v>
      </c>
      <c r="F106" s="1" t="s">
        <v>466</v>
      </c>
      <c r="G106" s="2"/>
      <c r="H106" s="101"/>
      <c r="I106" s="101"/>
      <c r="J106" s="39">
        <v>1</v>
      </c>
      <c r="K106" s="53" t="s">
        <v>80</v>
      </c>
      <c r="L106" s="66">
        <v>0</v>
      </c>
      <c r="M106" s="8" t="s">
        <v>91</v>
      </c>
      <c r="N106" s="1" t="s">
        <v>80</v>
      </c>
      <c r="O106" s="7" t="s">
        <v>1055</v>
      </c>
      <c r="P106" s="111">
        <v>46230.360902777778</v>
      </c>
      <c r="Q106" s="111">
        <v>46232.80127314815</v>
      </c>
      <c r="R106" s="111">
        <v>46232.80127314815</v>
      </c>
      <c r="S106" s="1" t="s">
        <v>81</v>
      </c>
      <c r="T106" s="1" t="s">
        <v>155</v>
      </c>
      <c r="U106" s="4" t="s">
        <v>991</v>
      </c>
      <c r="V106" s="2"/>
      <c r="W106" s="111"/>
      <c r="X106" s="1"/>
      <c r="Y106" s="1" t="s">
        <v>81</v>
      </c>
      <c r="Z106" s="111">
        <v>46230.365243055552</v>
      </c>
      <c r="AA106" s="1"/>
      <c r="AB106" s="4"/>
      <c r="AC106" s="4"/>
      <c r="AD106" s="1"/>
      <c r="AE106" s="1" t="s">
        <v>63</v>
      </c>
      <c r="AF106" s="1"/>
      <c r="AG106" s="2"/>
      <c r="AH106" s="1"/>
      <c r="AI106" s="1"/>
      <c r="AJ106" s="1" t="s">
        <v>81</v>
      </c>
      <c r="AK106" s="111">
        <v>46232.80127314815</v>
      </c>
      <c r="AL106" s="1"/>
      <c r="AM106" s="1"/>
      <c r="AN106" s="1"/>
      <c r="AO106" s="1"/>
      <c r="AP106" s="1"/>
      <c r="AQ106" s="1"/>
      <c r="AR106" s="1" t="s">
        <v>81</v>
      </c>
      <c r="AS106" s="1"/>
      <c r="AT106" s="2"/>
      <c r="AU106" s="1"/>
      <c r="AV106" s="2">
        <v>3</v>
      </c>
      <c r="AW106" s="4"/>
      <c r="AX106" s="111"/>
      <c r="AY106" s="4"/>
      <c r="AZ106" s="1"/>
      <c r="BA106" s="1"/>
      <c r="BB106" s="1" t="s">
        <v>503</v>
      </c>
      <c r="BC106" s="4"/>
      <c r="BD106" s="1" t="s">
        <v>85</v>
      </c>
      <c r="BE106" s="4"/>
      <c r="BF106" s="2"/>
      <c r="BG106" s="4"/>
      <c r="BH106" s="1"/>
      <c r="BI106" s="1" t="s">
        <v>86</v>
      </c>
    </row>
    <row r="107" spans="1:61" ht="13.5" customHeight="1" x14ac:dyDescent="0.25">
      <c r="A107" s="2">
        <v>2092</v>
      </c>
      <c r="B107" s="1" t="s">
        <v>955</v>
      </c>
      <c r="C107" s="1" t="s">
        <v>47</v>
      </c>
      <c r="D107" s="1" t="s">
        <v>310</v>
      </c>
      <c r="E107" s="1" t="s">
        <v>708</v>
      </c>
      <c r="F107" s="1" t="s">
        <v>314</v>
      </c>
      <c r="G107" s="2"/>
      <c r="H107" s="101"/>
      <c r="I107" s="101"/>
      <c r="J107" s="39">
        <v>1</v>
      </c>
      <c r="K107" s="53" t="s">
        <v>80</v>
      </c>
      <c r="L107" s="66">
        <v>0</v>
      </c>
      <c r="M107" s="8" t="s">
        <v>693</v>
      </c>
      <c r="N107" s="1" t="s">
        <v>80</v>
      </c>
      <c r="O107" s="7" t="s">
        <v>956</v>
      </c>
      <c r="P107" s="111">
        <v>46230.585347222222</v>
      </c>
      <c r="Q107" s="111">
        <v>46240.454884259256</v>
      </c>
      <c r="R107" s="111">
        <v>46240.454884259256</v>
      </c>
      <c r="S107" s="1" t="s">
        <v>81</v>
      </c>
      <c r="T107" s="1" t="s">
        <v>693</v>
      </c>
      <c r="U107" s="4"/>
      <c r="V107" s="2"/>
      <c r="W107" s="111"/>
      <c r="X107" s="1"/>
      <c r="Y107" s="1" t="s">
        <v>693</v>
      </c>
      <c r="Z107" s="111">
        <v>46231.6171412037</v>
      </c>
      <c r="AA107" s="1"/>
      <c r="AB107" s="4"/>
      <c r="AC107" s="4"/>
      <c r="AD107" s="1"/>
      <c r="AE107" s="1" t="s">
        <v>63</v>
      </c>
      <c r="AF107" s="1"/>
      <c r="AG107" s="2"/>
      <c r="AH107" s="1"/>
      <c r="AI107" s="1"/>
      <c r="AJ107" s="1" t="s">
        <v>81</v>
      </c>
      <c r="AK107" s="111">
        <v>46240.454884259256</v>
      </c>
      <c r="AL107" s="1"/>
      <c r="AM107" s="1"/>
      <c r="AN107" s="1"/>
      <c r="AO107" s="1"/>
      <c r="AP107" s="1"/>
      <c r="AQ107" s="1"/>
      <c r="AR107" s="1" t="s">
        <v>81</v>
      </c>
      <c r="AS107" s="1"/>
      <c r="AT107" s="2"/>
      <c r="AU107" s="1"/>
      <c r="AV107" s="2">
        <v>2</v>
      </c>
      <c r="AW107" s="4"/>
      <c r="AX107" s="111"/>
      <c r="AY107" s="4"/>
      <c r="AZ107" s="1"/>
      <c r="BA107" s="1"/>
      <c r="BB107" s="1" t="s">
        <v>503</v>
      </c>
      <c r="BC107" s="4"/>
      <c r="BD107" s="1" t="s">
        <v>85</v>
      </c>
      <c r="BE107" s="4"/>
      <c r="BF107" s="2"/>
      <c r="BG107" s="4"/>
      <c r="BH107" s="1"/>
      <c r="BI107" s="1" t="s">
        <v>86</v>
      </c>
    </row>
    <row r="108" spans="1:61" ht="13.5" customHeight="1" x14ac:dyDescent="0.25">
      <c r="A108" s="2">
        <v>2093</v>
      </c>
      <c r="B108" s="1" t="s">
        <v>880</v>
      </c>
      <c r="C108" s="1" t="s">
        <v>47</v>
      </c>
      <c r="D108" s="1" t="s">
        <v>311</v>
      </c>
      <c r="E108" s="1" t="s">
        <v>701</v>
      </c>
      <c r="F108" s="1" t="s">
        <v>709</v>
      </c>
      <c r="G108" s="2"/>
      <c r="H108" s="101"/>
      <c r="I108" s="101"/>
      <c r="J108" s="39">
        <v>1</v>
      </c>
      <c r="K108" s="53" t="s">
        <v>80</v>
      </c>
      <c r="L108" s="66">
        <v>0</v>
      </c>
      <c r="M108" s="8" t="s">
        <v>737</v>
      </c>
      <c r="N108" s="1" t="s">
        <v>80</v>
      </c>
      <c r="O108" s="7" t="s">
        <v>881</v>
      </c>
      <c r="P108" s="111">
        <v>46231.390520833331</v>
      </c>
      <c r="Q108" s="111">
        <v>46259.704768518517</v>
      </c>
      <c r="R108" s="111">
        <v>46259.704768518517</v>
      </c>
      <c r="S108" s="1" t="s">
        <v>81</v>
      </c>
      <c r="T108" s="1" t="s">
        <v>693</v>
      </c>
      <c r="U108" s="4"/>
      <c r="V108" s="2"/>
      <c r="W108" s="111"/>
      <c r="X108" s="1"/>
      <c r="Y108" s="1" t="s">
        <v>693</v>
      </c>
      <c r="Z108" s="111">
        <v>46231.391793981478</v>
      </c>
      <c r="AA108" s="1"/>
      <c r="AB108" s="4"/>
      <c r="AC108" s="4"/>
      <c r="AD108" s="1"/>
      <c r="AE108" s="1" t="s">
        <v>63</v>
      </c>
      <c r="AF108" s="1"/>
      <c r="AG108" s="2"/>
      <c r="AH108" s="1"/>
      <c r="AI108" s="1"/>
      <c r="AJ108" s="1" t="s">
        <v>81</v>
      </c>
      <c r="AK108" s="111">
        <v>46259.704768518517</v>
      </c>
      <c r="AL108" s="1"/>
      <c r="AM108" s="1"/>
      <c r="AN108" s="1"/>
      <c r="AO108" s="1"/>
      <c r="AP108" s="1"/>
      <c r="AQ108" s="1"/>
      <c r="AR108" s="1" t="s">
        <v>81</v>
      </c>
      <c r="AS108" s="1"/>
      <c r="AT108" s="2"/>
      <c r="AU108" s="1"/>
      <c r="AV108" s="2">
        <v>2</v>
      </c>
      <c r="AW108" s="4"/>
      <c r="AX108" s="111"/>
      <c r="AY108" s="4"/>
      <c r="AZ108" s="1"/>
      <c r="BA108" s="1"/>
      <c r="BB108" s="1" t="s">
        <v>503</v>
      </c>
      <c r="BC108" s="4"/>
      <c r="BD108" s="1" t="s">
        <v>85</v>
      </c>
      <c r="BE108" s="4"/>
      <c r="BF108" s="2"/>
      <c r="BG108" s="4"/>
      <c r="BH108" s="1"/>
      <c r="BI108" s="1" t="s">
        <v>86</v>
      </c>
    </row>
    <row r="109" spans="1:61" ht="13.5" customHeight="1" x14ac:dyDescent="0.25">
      <c r="A109" s="2">
        <v>2095</v>
      </c>
      <c r="B109" s="1" t="s">
        <v>957</v>
      </c>
      <c r="C109" s="1" t="s">
        <v>47</v>
      </c>
      <c r="D109" s="1" t="s">
        <v>307</v>
      </c>
      <c r="E109" s="1" t="s">
        <v>729</v>
      </c>
      <c r="F109" s="1" t="s">
        <v>314</v>
      </c>
      <c r="G109" s="2"/>
      <c r="H109" s="101"/>
      <c r="I109" s="101"/>
      <c r="J109" s="39">
        <v>2</v>
      </c>
      <c r="K109" s="53" t="s">
        <v>80</v>
      </c>
      <c r="L109" s="66">
        <v>0</v>
      </c>
      <c r="M109" s="8" t="s">
        <v>767</v>
      </c>
      <c r="N109" s="1" t="s">
        <v>80</v>
      </c>
      <c r="O109" s="7" t="s">
        <v>958</v>
      </c>
      <c r="P109" s="111">
        <v>46232.364120370374</v>
      </c>
      <c r="Q109" s="111">
        <v>46240.454907407409</v>
      </c>
      <c r="R109" s="111">
        <v>46240.454907407409</v>
      </c>
      <c r="S109" s="1" t="s">
        <v>81</v>
      </c>
      <c r="T109" s="1" t="s">
        <v>767</v>
      </c>
      <c r="U109" s="4"/>
      <c r="V109" s="2"/>
      <c r="W109" s="111"/>
      <c r="X109" s="1"/>
      <c r="Y109" s="1" t="s">
        <v>767</v>
      </c>
      <c r="Z109" s="111">
        <v>46233.399525462963</v>
      </c>
      <c r="AA109" s="1"/>
      <c r="AB109" s="4"/>
      <c r="AC109" s="4"/>
      <c r="AD109" s="1"/>
      <c r="AE109" s="1" t="s">
        <v>63</v>
      </c>
      <c r="AF109" s="1"/>
      <c r="AG109" s="2"/>
      <c r="AH109" s="1"/>
      <c r="AI109" s="1"/>
      <c r="AJ109" s="1" t="s">
        <v>81</v>
      </c>
      <c r="AK109" s="111">
        <v>46240.454907407409</v>
      </c>
      <c r="AL109" s="1"/>
      <c r="AM109" s="1"/>
      <c r="AN109" s="1"/>
      <c r="AO109" s="1"/>
      <c r="AP109" s="1"/>
      <c r="AQ109" s="1"/>
      <c r="AR109" s="1" t="s">
        <v>81</v>
      </c>
      <c r="AS109" s="1"/>
      <c r="AT109" s="2"/>
      <c r="AU109" s="1"/>
      <c r="AV109" s="2">
        <v>0</v>
      </c>
      <c r="AW109" s="4"/>
      <c r="AX109" s="111"/>
      <c r="AY109" s="4"/>
      <c r="AZ109" s="1"/>
      <c r="BA109" s="1"/>
      <c r="BB109" s="1" t="s">
        <v>503</v>
      </c>
      <c r="BC109" s="4"/>
      <c r="BD109" s="1" t="s">
        <v>85</v>
      </c>
      <c r="BE109" s="4"/>
      <c r="BF109" s="2"/>
      <c r="BG109" s="4"/>
      <c r="BH109" s="1"/>
      <c r="BI109" s="1" t="s">
        <v>86</v>
      </c>
    </row>
    <row r="110" spans="1:61" ht="13.5" customHeight="1" x14ac:dyDescent="0.25">
      <c r="A110" s="2">
        <v>2100</v>
      </c>
      <c r="B110" s="1" t="s">
        <v>959</v>
      </c>
      <c r="C110" s="1" t="s">
        <v>47</v>
      </c>
      <c r="D110" s="1" t="s">
        <v>307</v>
      </c>
      <c r="E110" s="1" t="s">
        <v>729</v>
      </c>
      <c r="F110" s="1" t="s">
        <v>314</v>
      </c>
      <c r="G110" s="2"/>
      <c r="H110" s="101"/>
      <c r="I110" s="101"/>
      <c r="J110" s="39">
        <v>2</v>
      </c>
      <c r="K110" s="53" t="s">
        <v>80</v>
      </c>
      <c r="L110" s="66">
        <v>0</v>
      </c>
      <c r="M110" s="8" t="s">
        <v>693</v>
      </c>
      <c r="N110" s="1" t="s">
        <v>80</v>
      </c>
      <c r="O110" s="7" t="s">
        <v>960</v>
      </c>
      <c r="P110" s="111">
        <v>46233.727986111109</v>
      </c>
      <c r="Q110" s="111">
        <v>46244.394166666665</v>
      </c>
      <c r="R110" s="111">
        <v>46244.394166666665</v>
      </c>
      <c r="S110" s="1" t="s">
        <v>693</v>
      </c>
      <c r="T110" s="1" t="s">
        <v>693</v>
      </c>
      <c r="U110" s="4"/>
      <c r="V110" s="2"/>
      <c r="W110" s="111"/>
      <c r="X110" s="1"/>
      <c r="Y110" s="1" t="s">
        <v>693</v>
      </c>
      <c r="Z110" s="111">
        <v>46233.728888888887</v>
      </c>
      <c r="AA110" s="1"/>
      <c r="AB110" s="4"/>
      <c r="AC110" s="4"/>
      <c r="AD110" s="1"/>
      <c r="AE110" s="1" t="s">
        <v>63</v>
      </c>
      <c r="AF110" s="1"/>
      <c r="AG110" s="2"/>
      <c r="AH110" s="1"/>
      <c r="AI110" s="1"/>
      <c r="AJ110" s="1" t="s">
        <v>693</v>
      </c>
      <c r="AK110" s="111">
        <v>46244.394166666665</v>
      </c>
      <c r="AL110" s="1"/>
      <c r="AM110" s="1"/>
      <c r="AN110" s="1"/>
      <c r="AO110" s="1"/>
      <c r="AP110" s="1"/>
      <c r="AQ110" s="1"/>
      <c r="AR110" s="1" t="s">
        <v>693</v>
      </c>
      <c r="AS110" s="1"/>
      <c r="AT110" s="2"/>
      <c r="AU110" s="1"/>
      <c r="AV110" s="2">
        <v>1</v>
      </c>
      <c r="AW110" s="4"/>
      <c r="AX110" s="111"/>
      <c r="AY110" s="4"/>
      <c r="AZ110" s="1"/>
      <c r="BA110" s="1"/>
      <c r="BB110" s="1" t="s">
        <v>503</v>
      </c>
      <c r="BC110" s="4"/>
      <c r="BD110" s="1" t="s">
        <v>85</v>
      </c>
      <c r="BE110" s="4"/>
      <c r="BF110" s="2"/>
      <c r="BG110" s="4"/>
      <c r="BH110" s="1"/>
      <c r="BI110" s="1" t="s">
        <v>86</v>
      </c>
    </row>
    <row r="111" spans="1:61" ht="13.5" customHeight="1" x14ac:dyDescent="0.25">
      <c r="A111" s="2">
        <v>2102</v>
      </c>
      <c r="B111" s="1" t="s">
        <v>961</v>
      </c>
      <c r="C111" s="1" t="s">
        <v>47</v>
      </c>
      <c r="D111" s="1" t="s">
        <v>309</v>
      </c>
      <c r="E111" s="1" t="s">
        <v>729</v>
      </c>
      <c r="F111" s="1" t="s">
        <v>314</v>
      </c>
      <c r="G111" s="2"/>
      <c r="H111" s="101"/>
      <c r="I111" s="101"/>
      <c r="J111" s="39">
        <v>1</v>
      </c>
      <c r="K111" s="53" t="s">
        <v>80</v>
      </c>
      <c r="L111" s="66">
        <v>0</v>
      </c>
      <c r="M111" s="8" t="s">
        <v>738</v>
      </c>
      <c r="N111" s="1" t="s">
        <v>80</v>
      </c>
      <c r="O111" s="7" t="s">
        <v>969</v>
      </c>
      <c r="P111" s="111">
        <v>46234.593958333331</v>
      </c>
      <c r="Q111" s="111">
        <v>46244.630347222221</v>
      </c>
      <c r="R111" s="111">
        <v>46244.630347222221</v>
      </c>
      <c r="S111" s="1" t="s">
        <v>81</v>
      </c>
      <c r="T111" s="1" t="s">
        <v>81</v>
      </c>
      <c r="U111" s="4" t="s">
        <v>962</v>
      </c>
      <c r="V111" s="2"/>
      <c r="W111" s="111"/>
      <c r="X111" s="1"/>
      <c r="Y111" s="1" t="s">
        <v>738</v>
      </c>
      <c r="Z111" s="111">
        <v>46237.601967592593</v>
      </c>
      <c r="AA111" s="1"/>
      <c r="AB111" s="4"/>
      <c r="AC111" s="4"/>
      <c r="AD111" s="1"/>
      <c r="AE111" s="1" t="s">
        <v>63</v>
      </c>
      <c r="AF111" s="1"/>
      <c r="AG111" s="2"/>
      <c r="AH111" s="1"/>
      <c r="AI111" s="1"/>
      <c r="AJ111" s="1" t="s">
        <v>81</v>
      </c>
      <c r="AK111" s="111">
        <v>46244.630347222221</v>
      </c>
      <c r="AL111" s="1"/>
      <c r="AM111" s="1"/>
      <c r="AN111" s="1"/>
      <c r="AO111" s="1"/>
      <c r="AP111" s="1"/>
      <c r="AQ111" s="1"/>
      <c r="AR111" s="1" t="s">
        <v>81</v>
      </c>
      <c r="AS111" s="1"/>
      <c r="AT111" s="2"/>
      <c r="AU111" s="1"/>
      <c r="AV111" s="2">
        <v>1</v>
      </c>
      <c r="AW111" s="4"/>
      <c r="AX111" s="111"/>
      <c r="AY111" s="4"/>
      <c r="AZ111" s="1"/>
      <c r="BA111" s="1"/>
      <c r="BB111" s="1" t="s">
        <v>503</v>
      </c>
      <c r="BC111" s="4"/>
      <c r="BD111" s="1" t="s">
        <v>85</v>
      </c>
      <c r="BE111" s="4"/>
      <c r="BF111" s="2">
        <v>2115</v>
      </c>
      <c r="BG111" s="4"/>
      <c r="BH111" s="1"/>
      <c r="BI111" s="1" t="s">
        <v>86</v>
      </c>
    </row>
    <row r="112" spans="1:61" ht="13.5" customHeight="1" x14ac:dyDescent="0.25">
      <c r="A112" s="2">
        <v>2108</v>
      </c>
      <c r="B112" s="1" t="s">
        <v>882</v>
      </c>
      <c r="C112" s="1" t="s">
        <v>47</v>
      </c>
      <c r="D112" s="1" t="s">
        <v>311</v>
      </c>
      <c r="E112" s="1" t="s">
        <v>701</v>
      </c>
      <c r="F112" s="1" t="s">
        <v>314</v>
      </c>
      <c r="G112" s="2"/>
      <c r="H112" s="101"/>
      <c r="I112" s="101"/>
      <c r="J112" s="39">
        <v>1</v>
      </c>
      <c r="K112" s="53" t="s">
        <v>80</v>
      </c>
      <c r="L112" s="66">
        <v>0</v>
      </c>
      <c r="M112" s="8" t="s">
        <v>693</v>
      </c>
      <c r="N112" s="1" t="s">
        <v>80</v>
      </c>
      <c r="O112" s="7"/>
      <c r="P112" s="111">
        <v>46238.395798611113</v>
      </c>
      <c r="Q112" s="111">
        <v>46283.631307870368</v>
      </c>
      <c r="R112" s="111">
        <v>46283.631307870368</v>
      </c>
      <c r="S112" s="1" t="s">
        <v>693</v>
      </c>
      <c r="T112" s="1" t="s">
        <v>693</v>
      </c>
      <c r="U112" s="4"/>
      <c r="V112" s="2"/>
      <c r="W112" s="111"/>
      <c r="X112" s="1"/>
      <c r="Y112" s="1" t="s">
        <v>81</v>
      </c>
      <c r="Z112" s="111">
        <v>46253.455081018517</v>
      </c>
      <c r="AA112" s="1"/>
      <c r="AB112" s="4"/>
      <c r="AC112" s="4"/>
      <c r="AD112" s="1"/>
      <c r="AE112" s="1" t="s">
        <v>63</v>
      </c>
      <c r="AF112" s="1"/>
      <c r="AG112" s="2"/>
      <c r="AH112" s="1"/>
      <c r="AI112" s="1"/>
      <c r="AJ112" s="1" t="s">
        <v>693</v>
      </c>
      <c r="AK112" s="111">
        <v>46283.631307870368</v>
      </c>
      <c r="AL112" s="1"/>
      <c r="AM112" s="1"/>
      <c r="AN112" s="1"/>
      <c r="AO112" s="1"/>
      <c r="AP112" s="1"/>
      <c r="AQ112" s="1"/>
      <c r="AR112" s="1" t="s">
        <v>693</v>
      </c>
      <c r="AS112" s="1"/>
      <c r="AT112" s="2"/>
      <c r="AU112" s="1"/>
      <c r="AV112" s="2">
        <v>0</v>
      </c>
      <c r="AW112" s="4"/>
      <c r="AX112" s="111"/>
      <c r="AY112" s="4"/>
      <c r="AZ112" s="1"/>
      <c r="BA112" s="1"/>
      <c r="BB112" s="1" t="s">
        <v>503</v>
      </c>
      <c r="BC112" s="4"/>
      <c r="BD112" s="1" t="s">
        <v>85</v>
      </c>
      <c r="BE112" s="4"/>
      <c r="BF112" s="2">
        <v>2107</v>
      </c>
      <c r="BG112" s="4"/>
      <c r="BH112" s="1"/>
      <c r="BI112" s="1" t="s">
        <v>86</v>
      </c>
    </row>
    <row r="113" spans="1:61" ht="13.5" customHeight="1" x14ac:dyDescent="0.25">
      <c r="A113" s="2">
        <v>2109</v>
      </c>
      <c r="B113" s="1" t="s">
        <v>1063</v>
      </c>
      <c r="C113" s="1" t="s">
        <v>47</v>
      </c>
      <c r="D113" s="1" t="s">
        <v>309</v>
      </c>
      <c r="E113" s="1" t="s">
        <v>729</v>
      </c>
      <c r="F113" s="1" t="s">
        <v>466</v>
      </c>
      <c r="G113" s="2">
        <v>37</v>
      </c>
      <c r="H113" s="101"/>
      <c r="I113" s="101"/>
      <c r="J113" s="39">
        <v>1</v>
      </c>
      <c r="K113" s="53" t="s">
        <v>80</v>
      </c>
      <c r="L113" s="66">
        <v>0</v>
      </c>
      <c r="M113" s="8" t="s">
        <v>738</v>
      </c>
      <c r="N113" s="1" t="s">
        <v>80</v>
      </c>
      <c r="O113" s="7" t="s">
        <v>1064</v>
      </c>
      <c r="P113" s="111">
        <v>46238.400000000001</v>
      </c>
      <c r="Q113" s="111">
        <v>46293.368275462963</v>
      </c>
      <c r="R113" s="111">
        <v>46293.368275462963</v>
      </c>
      <c r="S113" s="1" t="s">
        <v>693</v>
      </c>
      <c r="T113" s="1" t="s">
        <v>437</v>
      </c>
      <c r="U113" s="4" t="s">
        <v>591</v>
      </c>
      <c r="V113" s="2"/>
      <c r="W113" s="111"/>
      <c r="X113" s="1"/>
      <c r="Y113" s="1" t="s">
        <v>738</v>
      </c>
      <c r="Z113" s="111">
        <v>46251.36383101852</v>
      </c>
      <c r="AA113" s="1"/>
      <c r="AB113" s="4"/>
      <c r="AC113" s="4"/>
      <c r="AD113" s="1"/>
      <c r="AE113" s="1" t="s">
        <v>63</v>
      </c>
      <c r="AF113" s="1"/>
      <c r="AG113" s="2"/>
      <c r="AH113" s="1"/>
      <c r="AI113" s="1"/>
      <c r="AJ113" s="1" t="s">
        <v>693</v>
      </c>
      <c r="AK113" s="111">
        <v>46293.368275462963</v>
      </c>
      <c r="AL113" s="1"/>
      <c r="AM113" s="1"/>
      <c r="AN113" s="1"/>
      <c r="AO113" s="1"/>
      <c r="AP113" s="1"/>
      <c r="AQ113" s="1"/>
      <c r="AR113" s="1" t="s">
        <v>693</v>
      </c>
      <c r="AS113" s="1"/>
      <c r="AT113" s="2"/>
      <c r="AU113" s="1"/>
      <c r="AV113" s="2">
        <v>2</v>
      </c>
      <c r="AW113" s="4"/>
      <c r="AX113" s="111"/>
      <c r="AY113" s="4"/>
      <c r="AZ113" s="1"/>
      <c r="BA113" s="1"/>
      <c r="BB113" s="1" t="s">
        <v>503</v>
      </c>
      <c r="BC113" s="4"/>
      <c r="BD113" s="1" t="s">
        <v>85</v>
      </c>
      <c r="BE113" s="4"/>
      <c r="BF113" s="2">
        <v>2114</v>
      </c>
      <c r="BG113" s="4"/>
      <c r="BH113" s="1"/>
      <c r="BI113" s="1" t="s">
        <v>86</v>
      </c>
    </row>
    <row r="114" spans="1:61" ht="13.5" customHeight="1" x14ac:dyDescent="0.25">
      <c r="A114" s="2">
        <v>2111</v>
      </c>
      <c r="B114" s="1" t="s">
        <v>883</v>
      </c>
      <c r="C114" s="1" t="s">
        <v>47</v>
      </c>
      <c r="D114" s="1" t="s">
        <v>311</v>
      </c>
      <c r="E114" s="1" t="s">
        <v>701</v>
      </c>
      <c r="F114" s="1" t="s">
        <v>314</v>
      </c>
      <c r="G114" s="2">
        <v>38</v>
      </c>
      <c r="H114" s="101">
        <v>8</v>
      </c>
      <c r="I114" s="101"/>
      <c r="J114" s="39">
        <v>1</v>
      </c>
      <c r="K114" s="53" t="s">
        <v>80</v>
      </c>
      <c r="L114" s="66">
        <v>0</v>
      </c>
      <c r="M114" s="8" t="s">
        <v>738</v>
      </c>
      <c r="N114" s="1" t="s">
        <v>80</v>
      </c>
      <c r="O114" s="7"/>
      <c r="P114" s="111">
        <v>46238.401250000003</v>
      </c>
      <c r="Q114" s="111">
        <v>46283.631064814814</v>
      </c>
      <c r="R114" s="111">
        <v>46283.631064814814</v>
      </c>
      <c r="S114" s="1" t="s">
        <v>693</v>
      </c>
      <c r="T114" s="1" t="s">
        <v>693</v>
      </c>
      <c r="U114" s="4"/>
      <c r="V114" s="2"/>
      <c r="W114" s="111"/>
      <c r="X114" s="1"/>
      <c r="Y114" s="1" t="s">
        <v>81</v>
      </c>
      <c r="Z114" s="111">
        <v>46276.735393518517</v>
      </c>
      <c r="AA114" s="1"/>
      <c r="AB114" s="4"/>
      <c r="AC114" s="4"/>
      <c r="AD114" s="1"/>
      <c r="AE114" s="1" t="s">
        <v>63</v>
      </c>
      <c r="AF114" s="1"/>
      <c r="AG114" s="2"/>
      <c r="AH114" s="1"/>
      <c r="AI114" s="1"/>
      <c r="AJ114" s="1" t="s">
        <v>693</v>
      </c>
      <c r="AK114" s="111">
        <v>46283.631064814814</v>
      </c>
      <c r="AL114" s="1"/>
      <c r="AM114" s="1"/>
      <c r="AN114" s="1"/>
      <c r="AO114" s="1"/>
      <c r="AP114" s="1"/>
      <c r="AQ114" s="1"/>
      <c r="AR114" s="1" t="s">
        <v>693</v>
      </c>
      <c r="AS114" s="1"/>
      <c r="AT114" s="2"/>
      <c r="AU114" s="1"/>
      <c r="AV114" s="2">
        <v>0</v>
      </c>
      <c r="AW114" s="4"/>
      <c r="AX114" s="111"/>
      <c r="AY114" s="4"/>
      <c r="AZ114" s="1"/>
      <c r="BA114" s="1"/>
      <c r="BB114" s="1" t="s">
        <v>503</v>
      </c>
      <c r="BC114" s="4"/>
      <c r="BD114" s="1" t="s">
        <v>85</v>
      </c>
      <c r="BE114" s="4"/>
      <c r="BF114" s="2">
        <v>2107</v>
      </c>
      <c r="BG114" s="4"/>
      <c r="BH114" s="1"/>
      <c r="BI114" s="1" t="s">
        <v>86</v>
      </c>
    </row>
    <row r="115" spans="1:61" ht="13.5" customHeight="1" x14ac:dyDescent="0.25">
      <c r="A115" s="2">
        <v>2113</v>
      </c>
      <c r="B115" s="1" t="s">
        <v>1065</v>
      </c>
      <c r="C115" s="1" t="s">
        <v>47</v>
      </c>
      <c r="D115" s="1" t="s">
        <v>309</v>
      </c>
      <c r="E115" s="1" t="s">
        <v>729</v>
      </c>
      <c r="F115" s="1" t="s">
        <v>466</v>
      </c>
      <c r="G115" s="2">
        <v>37</v>
      </c>
      <c r="H115" s="101"/>
      <c r="I115" s="101"/>
      <c r="J115" s="39">
        <v>1</v>
      </c>
      <c r="K115" s="53" t="s">
        <v>80</v>
      </c>
      <c r="L115" s="66">
        <v>0</v>
      </c>
      <c r="M115" s="8" t="s">
        <v>738</v>
      </c>
      <c r="N115" s="1" t="s">
        <v>80</v>
      </c>
      <c r="O115" s="7" t="s">
        <v>1066</v>
      </c>
      <c r="P115" s="111">
        <v>46238.43041666667</v>
      </c>
      <c r="Q115" s="111">
        <v>46293.368252314816</v>
      </c>
      <c r="R115" s="111">
        <v>46293.368252314816</v>
      </c>
      <c r="S115" s="1" t="s">
        <v>693</v>
      </c>
      <c r="T115" s="1" t="s">
        <v>437</v>
      </c>
      <c r="U115" s="4" t="s">
        <v>591</v>
      </c>
      <c r="V115" s="2"/>
      <c r="W115" s="111"/>
      <c r="X115" s="1"/>
      <c r="Y115" s="1" t="s">
        <v>738</v>
      </c>
      <c r="Z115" s="111">
        <v>46251.581377314818</v>
      </c>
      <c r="AA115" s="1"/>
      <c r="AB115" s="4"/>
      <c r="AC115" s="4"/>
      <c r="AD115" s="1"/>
      <c r="AE115" s="1" t="s">
        <v>63</v>
      </c>
      <c r="AF115" s="1"/>
      <c r="AG115" s="2"/>
      <c r="AH115" s="1"/>
      <c r="AI115" s="1"/>
      <c r="AJ115" s="1" t="s">
        <v>693</v>
      </c>
      <c r="AK115" s="111">
        <v>46293.368252314816</v>
      </c>
      <c r="AL115" s="1"/>
      <c r="AM115" s="1"/>
      <c r="AN115" s="1"/>
      <c r="AO115" s="1"/>
      <c r="AP115" s="1"/>
      <c r="AQ115" s="1"/>
      <c r="AR115" s="1" t="s">
        <v>693</v>
      </c>
      <c r="AS115" s="1"/>
      <c r="AT115" s="2"/>
      <c r="AU115" s="1"/>
      <c r="AV115" s="2">
        <v>1</v>
      </c>
      <c r="AW115" s="4"/>
      <c r="AX115" s="111"/>
      <c r="AY115" s="4"/>
      <c r="AZ115" s="1"/>
      <c r="BA115" s="1"/>
      <c r="BB115" s="1" t="s">
        <v>503</v>
      </c>
      <c r="BC115" s="4"/>
      <c r="BD115" s="1" t="s">
        <v>85</v>
      </c>
      <c r="BE115" s="4"/>
      <c r="BF115" s="2">
        <v>2114</v>
      </c>
      <c r="BG115" s="4"/>
      <c r="BH115" s="1"/>
      <c r="BI115" s="1" t="s">
        <v>86</v>
      </c>
    </row>
    <row r="116" spans="1:61" ht="13.5" customHeight="1" x14ac:dyDescent="0.25">
      <c r="A116" s="2">
        <v>2121</v>
      </c>
      <c r="B116" s="1" t="s">
        <v>963</v>
      </c>
      <c r="C116" s="1" t="s">
        <v>47</v>
      </c>
      <c r="D116" s="1" t="s">
        <v>309</v>
      </c>
      <c r="E116" s="1" t="s">
        <v>729</v>
      </c>
      <c r="F116" s="1" t="s">
        <v>314</v>
      </c>
      <c r="G116" s="2"/>
      <c r="H116" s="101"/>
      <c r="I116" s="101"/>
      <c r="J116" s="39">
        <v>1</v>
      </c>
      <c r="K116" s="53" t="s">
        <v>80</v>
      </c>
      <c r="L116" s="66">
        <v>0</v>
      </c>
      <c r="M116" s="8" t="s">
        <v>738</v>
      </c>
      <c r="N116" s="1" t="s">
        <v>80</v>
      </c>
      <c r="O116" s="7" t="s">
        <v>964</v>
      </c>
      <c r="P116" s="111">
        <v>46240.522291666668</v>
      </c>
      <c r="Q116" s="111">
        <v>46244.6643287037</v>
      </c>
      <c r="R116" s="111">
        <v>46244.6643287037</v>
      </c>
      <c r="S116" s="1" t="s">
        <v>81</v>
      </c>
      <c r="T116" s="1" t="s">
        <v>81</v>
      </c>
      <c r="U116" s="4" t="s">
        <v>965</v>
      </c>
      <c r="V116" s="2"/>
      <c r="W116" s="111"/>
      <c r="X116" s="1"/>
      <c r="Y116" s="1" t="s">
        <v>738</v>
      </c>
      <c r="Z116" s="111">
        <v>46241.422060185185</v>
      </c>
      <c r="AA116" s="1"/>
      <c r="AB116" s="4"/>
      <c r="AC116" s="4"/>
      <c r="AD116" s="1"/>
      <c r="AE116" s="1" t="s">
        <v>63</v>
      </c>
      <c r="AF116" s="1"/>
      <c r="AG116" s="2"/>
      <c r="AH116" s="1"/>
      <c r="AI116" s="1"/>
      <c r="AJ116" s="1" t="s">
        <v>81</v>
      </c>
      <c r="AK116" s="111">
        <v>46244.6643287037</v>
      </c>
      <c r="AL116" s="1"/>
      <c r="AM116" s="1"/>
      <c r="AN116" s="1"/>
      <c r="AO116" s="1"/>
      <c r="AP116" s="1"/>
      <c r="AQ116" s="1"/>
      <c r="AR116" s="1" t="s">
        <v>81</v>
      </c>
      <c r="AS116" s="1"/>
      <c r="AT116" s="2"/>
      <c r="AU116" s="1"/>
      <c r="AV116" s="2">
        <v>2</v>
      </c>
      <c r="AW116" s="4"/>
      <c r="AX116" s="111"/>
      <c r="AY116" s="4"/>
      <c r="AZ116" s="1"/>
      <c r="BA116" s="1"/>
      <c r="BB116" s="1" t="s">
        <v>503</v>
      </c>
      <c r="BC116" s="4"/>
      <c r="BD116" s="1" t="s">
        <v>85</v>
      </c>
      <c r="BE116" s="4"/>
      <c r="BF116" s="2">
        <v>2115</v>
      </c>
      <c r="BG116" s="4"/>
      <c r="BH116" s="1"/>
      <c r="BI116" s="1" t="s">
        <v>86</v>
      </c>
    </row>
    <row r="117" spans="1:61" ht="13.5" customHeight="1" x14ac:dyDescent="0.25">
      <c r="A117" s="2">
        <v>2124</v>
      </c>
      <c r="B117" s="1" t="s">
        <v>1067</v>
      </c>
      <c r="C117" s="1" t="s">
        <v>47</v>
      </c>
      <c r="D117" s="1" t="s">
        <v>309</v>
      </c>
      <c r="E117" s="1" t="s">
        <v>729</v>
      </c>
      <c r="F117" s="1" t="s">
        <v>709</v>
      </c>
      <c r="G117" s="2">
        <v>37</v>
      </c>
      <c r="H117" s="101"/>
      <c r="I117" s="101"/>
      <c r="J117" s="39">
        <v>1</v>
      </c>
      <c r="K117" s="53" t="s">
        <v>80</v>
      </c>
      <c r="L117" s="66">
        <v>0</v>
      </c>
      <c r="M117" s="8" t="s">
        <v>738</v>
      </c>
      <c r="N117" s="1" t="s">
        <v>80</v>
      </c>
      <c r="O117" s="7" t="s">
        <v>1077</v>
      </c>
      <c r="P117" s="111">
        <v>46244.581273148149</v>
      </c>
      <c r="Q117" s="111">
        <v>46293.36824074074</v>
      </c>
      <c r="R117" s="111">
        <v>46293.36824074074</v>
      </c>
      <c r="S117" s="1" t="s">
        <v>693</v>
      </c>
      <c r="T117" s="1" t="s">
        <v>437</v>
      </c>
      <c r="U117" s="4" t="s">
        <v>666</v>
      </c>
      <c r="V117" s="2"/>
      <c r="W117" s="111"/>
      <c r="X117" s="1"/>
      <c r="Y117" s="1" t="s">
        <v>693</v>
      </c>
      <c r="Z117" s="111">
        <v>46287.439456018517</v>
      </c>
      <c r="AA117" s="1"/>
      <c r="AB117" s="4"/>
      <c r="AC117" s="4"/>
      <c r="AD117" s="1"/>
      <c r="AE117" s="1" t="s">
        <v>63</v>
      </c>
      <c r="AF117" s="1"/>
      <c r="AG117" s="2"/>
      <c r="AH117" s="1"/>
      <c r="AI117" s="1"/>
      <c r="AJ117" s="1" t="s">
        <v>693</v>
      </c>
      <c r="AK117" s="111">
        <v>46293.36824074074</v>
      </c>
      <c r="AL117" s="1"/>
      <c r="AM117" s="1"/>
      <c r="AN117" s="1"/>
      <c r="AO117" s="1"/>
      <c r="AP117" s="1"/>
      <c r="AQ117" s="1"/>
      <c r="AR117" s="1" t="s">
        <v>693</v>
      </c>
      <c r="AS117" s="1"/>
      <c r="AT117" s="2"/>
      <c r="AU117" s="1"/>
      <c r="AV117" s="2">
        <v>1</v>
      </c>
      <c r="AW117" s="4"/>
      <c r="AX117" s="111"/>
      <c r="AY117" s="4"/>
      <c r="AZ117" s="1"/>
      <c r="BA117" s="1"/>
      <c r="BB117" s="1" t="s">
        <v>503</v>
      </c>
      <c r="BC117" s="4"/>
      <c r="BD117" s="1" t="s">
        <v>85</v>
      </c>
      <c r="BE117" s="4"/>
      <c r="BF117" s="2">
        <v>2114</v>
      </c>
      <c r="BG117" s="4"/>
      <c r="BH117" s="1"/>
      <c r="BI117" s="1" t="s">
        <v>86</v>
      </c>
    </row>
    <row r="118" spans="1:61" ht="13.5" customHeight="1" x14ac:dyDescent="0.25">
      <c r="A118" s="2">
        <v>2126</v>
      </c>
      <c r="B118" s="1" t="s">
        <v>884</v>
      </c>
      <c r="C118" s="1" t="s">
        <v>47</v>
      </c>
      <c r="D118" s="1" t="s">
        <v>310</v>
      </c>
      <c r="E118" s="1" t="s">
        <v>708</v>
      </c>
      <c r="F118" s="1" t="s">
        <v>314</v>
      </c>
      <c r="G118" s="2"/>
      <c r="H118" s="101"/>
      <c r="I118" s="101"/>
      <c r="J118" s="39">
        <v>1</v>
      </c>
      <c r="K118" s="53" t="s">
        <v>80</v>
      </c>
      <c r="L118" s="66">
        <v>0</v>
      </c>
      <c r="M118" s="8" t="s">
        <v>91</v>
      </c>
      <c r="N118" s="1" t="s">
        <v>80</v>
      </c>
      <c r="O118" s="7" t="s">
        <v>885</v>
      </c>
      <c r="P118" s="111">
        <v>46245.568541666667</v>
      </c>
      <c r="Q118" s="111">
        <v>46283.631273148145</v>
      </c>
      <c r="R118" s="111">
        <v>46283.631273148145</v>
      </c>
      <c r="S118" s="1" t="s">
        <v>693</v>
      </c>
      <c r="T118" s="1" t="s">
        <v>155</v>
      </c>
      <c r="U118" s="4"/>
      <c r="V118" s="2"/>
      <c r="W118" s="111"/>
      <c r="X118" s="1"/>
      <c r="Y118" s="1" t="s">
        <v>81</v>
      </c>
      <c r="Z118" s="111">
        <v>46258.429560185185</v>
      </c>
      <c r="AA118" s="1"/>
      <c r="AB118" s="4"/>
      <c r="AC118" s="4"/>
      <c r="AD118" s="1"/>
      <c r="AE118" s="1" t="s">
        <v>63</v>
      </c>
      <c r="AF118" s="1"/>
      <c r="AG118" s="2"/>
      <c r="AH118" s="1"/>
      <c r="AI118" s="1"/>
      <c r="AJ118" s="1" t="s">
        <v>693</v>
      </c>
      <c r="AK118" s="111">
        <v>46283.631273148145</v>
      </c>
      <c r="AL118" s="1"/>
      <c r="AM118" s="1"/>
      <c r="AN118" s="1"/>
      <c r="AO118" s="1"/>
      <c r="AP118" s="1"/>
      <c r="AQ118" s="1"/>
      <c r="AR118" s="1" t="s">
        <v>693</v>
      </c>
      <c r="AS118" s="1"/>
      <c r="AT118" s="2"/>
      <c r="AU118" s="1"/>
      <c r="AV118" s="2">
        <v>3</v>
      </c>
      <c r="AW118" s="4"/>
      <c r="AX118" s="111"/>
      <c r="AY118" s="4"/>
      <c r="AZ118" s="1"/>
      <c r="BA118" s="1"/>
      <c r="BB118" s="1" t="s">
        <v>503</v>
      </c>
      <c r="BC118" s="4"/>
      <c r="BD118" s="1" t="s">
        <v>85</v>
      </c>
      <c r="BE118" s="4"/>
      <c r="BF118" s="2"/>
      <c r="BG118" s="4"/>
      <c r="BH118" s="1"/>
      <c r="BI118" s="1" t="s">
        <v>86</v>
      </c>
    </row>
    <row r="119" spans="1:61" ht="13.5" customHeight="1" x14ac:dyDescent="0.25">
      <c r="A119" s="2">
        <v>2129</v>
      </c>
      <c r="B119" s="1" t="s">
        <v>886</v>
      </c>
      <c r="C119" s="1" t="s">
        <v>47</v>
      </c>
      <c r="D119" s="1" t="s">
        <v>310</v>
      </c>
      <c r="E119" s="1" t="s">
        <v>708</v>
      </c>
      <c r="F119" s="1" t="s">
        <v>709</v>
      </c>
      <c r="G119" s="2"/>
      <c r="H119" s="101"/>
      <c r="I119" s="101"/>
      <c r="J119" s="39">
        <v>1</v>
      </c>
      <c r="K119" s="53" t="s">
        <v>80</v>
      </c>
      <c r="L119" s="66">
        <v>0</v>
      </c>
      <c r="M119" s="8" t="s">
        <v>737</v>
      </c>
      <c r="N119" s="1" t="s">
        <v>80</v>
      </c>
      <c r="O119" s="7" t="s">
        <v>923</v>
      </c>
      <c r="P119" s="111">
        <v>46251.632476851853</v>
      </c>
      <c r="Q119" s="111">
        <v>46268.42900462963</v>
      </c>
      <c r="R119" s="111">
        <v>46268.42900462963</v>
      </c>
      <c r="S119" s="1" t="s">
        <v>81</v>
      </c>
      <c r="T119" s="1" t="s">
        <v>693</v>
      </c>
      <c r="U119" s="4" t="s">
        <v>666</v>
      </c>
      <c r="V119" s="2"/>
      <c r="W119" s="111"/>
      <c r="X119" s="1"/>
      <c r="Y119" s="1" t="s">
        <v>737</v>
      </c>
      <c r="Z119" s="111">
        <v>46251.741018518522</v>
      </c>
      <c r="AA119" s="1"/>
      <c r="AB119" s="4"/>
      <c r="AC119" s="4"/>
      <c r="AD119" s="1"/>
      <c r="AE119" s="1" t="s">
        <v>63</v>
      </c>
      <c r="AF119" s="1"/>
      <c r="AG119" s="2"/>
      <c r="AH119" s="1"/>
      <c r="AI119" s="1"/>
      <c r="AJ119" s="1" t="s">
        <v>81</v>
      </c>
      <c r="AK119" s="111">
        <v>46268.42900462963</v>
      </c>
      <c r="AL119" s="1"/>
      <c r="AM119" s="1"/>
      <c r="AN119" s="1"/>
      <c r="AO119" s="1"/>
      <c r="AP119" s="1"/>
      <c r="AQ119" s="1"/>
      <c r="AR119" s="1" t="s">
        <v>81</v>
      </c>
      <c r="AS119" s="1"/>
      <c r="AT119" s="2"/>
      <c r="AU119" s="1"/>
      <c r="AV119" s="2">
        <v>3</v>
      </c>
      <c r="AW119" s="4"/>
      <c r="AX119" s="111"/>
      <c r="AY119" s="4"/>
      <c r="AZ119" s="1"/>
      <c r="BA119" s="1"/>
      <c r="BB119" s="1" t="s">
        <v>503</v>
      </c>
      <c r="BC119" s="4"/>
      <c r="BD119" s="1" t="s">
        <v>85</v>
      </c>
      <c r="BE119" s="4"/>
      <c r="BF119" s="2"/>
      <c r="BG119" s="4"/>
      <c r="BH119" s="1"/>
      <c r="BI119" s="1" t="s">
        <v>86</v>
      </c>
    </row>
    <row r="120" spans="1:61" ht="13.5" customHeight="1" x14ac:dyDescent="0.25">
      <c r="A120" s="2">
        <v>2134</v>
      </c>
      <c r="B120" s="1" t="s">
        <v>887</v>
      </c>
      <c r="C120" s="1" t="s">
        <v>47</v>
      </c>
      <c r="D120" s="1" t="s">
        <v>311</v>
      </c>
      <c r="E120" s="1" t="s">
        <v>701</v>
      </c>
      <c r="F120" s="1" t="s">
        <v>314</v>
      </c>
      <c r="G120" s="2"/>
      <c r="H120" s="101"/>
      <c r="I120" s="101"/>
      <c r="J120" s="39">
        <v>1</v>
      </c>
      <c r="K120" s="53" t="s">
        <v>80</v>
      </c>
      <c r="L120" s="66">
        <v>0</v>
      </c>
      <c r="M120" s="8" t="s">
        <v>81</v>
      </c>
      <c r="N120" s="1" t="s">
        <v>80</v>
      </c>
      <c r="O120" s="7"/>
      <c r="P120" s="111">
        <v>46253.418645833335</v>
      </c>
      <c r="Q120" s="111">
        <v>46259.682870370372</v>
      </c>
      <c r="R120" s="111">
        <v>46259.682870370372</v>
      </c>
      <c r="S120" s="1" t="s">
        <v>81</v>
      </c>
      <c r="T120" s="1" t="s">
        <v>81</v>
      </c>
      <c r="U120" s="4" t="s">
        <v>888</v>
      </c>
      <c r="V120" s="2"/>
      <c r="W120" s="111"/>
      <c r="X120" s="1"/>
      <c r="Y120" s="1" t="s">
        <v>81</v>
      </c>
      <c r="Z120" s="111">
        <v>46255.61645833333</v>
      </c>
      <c r="AA120" s="1"/>
      <c r="AB120" s="4"/>
      <c r="AC120" s="4"/>
      <c r="AD120" s="1"/>
      <c r="AE120" s="1" t="s">
        <v>63</v>
      </c>
      <c r="AF120" s="1"/>
      <c r="AG120" s="2"/>
      <c r="AH120" s="1"/>
      <c r="AI120" s="1"/>
      <c r="AJ120" s="1" t="s">
        <v>81</v>
      </c>
      <c r="AK120" s="111">
        <v>46259.682870370372</v>
      </c>
      <c r="AL120" s="1"/>
      <c r="AM120" s="1"/>
      <c r="AN120" s="1"/>
      <c r="AO120" s="1"/>
      <c r="AP120" s="1"/>
      <c r="AQ120" s="1"/>
      <c r="AR120" s="1" t="s">
        <v>81</v>
      </c>
      <c r="AS120" s="1"/>
      <c r="AT120" s="2"/>
      <c r="AU120" s="1"/>
      <c r="AV120" s="2">
        <v>1</v>
      </c>
      <c r="AW120" s="4"/>
      <c r="AX120" s="111"/>
      <c r="AY120" s="4"/>
      <c r="AZ120" s="1"/>
      <c r="BA120" s="1"/>
      <c r="BB120" s="1" t="s">
        <v>503</v>
      </c>
      <c r="BC120" s="4"/>
      <c r="BD120" s="1" t="s">
        <v>85</v>
      </c>
      <c r="BE120" s="4"/>
      <c r="BF120" s="2">
        <v>2107</v>
      </c>
      <c r="BG120" s="4"/>
      <c r="BH120" s="1"/>
      <c r="BI120" s="1" t="s">
        <v>86</v>
      </c>
    </row>
    <row r="121" spans="1:61" ht="13.5" customHeight="1" x14ac:dyDescent="0.25">
      <c r="A121" s="2">
        <v>2135</v>
      </c>
      <c r="B121" s="1" t="s">
        <v>889</v>
      </c>
      <c r="C121" s="1" t="s">
        <v>47</v>
      </c>
      <c r="D121" s="1" t="s">
        <v>311</v>
      </c>
      <c r="E121" s="1" t="s">
        <v>701</v>
      </c>
      <c r="F121" s="1" t="s">
        <v>314</v>
      </c>
      <c r="G121" s="2"/>
      <c r="H121" s="101"/>
      <c r="I121" s="101"/>
      <c r="J121" s="39">
        <v>1</v>
      </c>
      <c r="K121" s="53" t="s">
        <v>80</v>
      </c>
      <c r="L121" s="66">
        <v>0</v>
      </c>
      <c r="M121" s="8" t="s">
        <v>693</v>
      </c>
      <c r="N121" s="1" t="s">
        <v>80</v>
      </c>
      <c r="O121" s="7"/>
      <c r="P121" s="111">
        <v>46253.434131944443</v>
      </c>
      <c r="Q121" s="111">
        <v>46283.631284722222</v>
      </c>
      <c r="R121" s="111">
        <v>46283.631284722222</v>
      </c>
      <c r="S121" s="1" t="s">
        <v>693</v>
      </c>
      <c r="T121" s="1" t="s">
        <v>693</v>
      </c>
      <c r="U121" s="4" t="s">
        <v>888</v>
      </c>
      <c r="V121" s="2"/>
      <c r="W121" s="111"/>
      <c r="X121" s="1"/>
      <c r="Y121" s="1" t="s">
        <v>693</v>
      </c>
      <c r="Z121" s="111">
        <v>46253.434606481482</v>
      </c>
      <c r="AA121" s="1"/>
      <c r="AB121" s="4"/>
      <c r="AC121" s="4"/>
      <c r="AD121" s="1"/>
      <c r="AE121" s="1" t="s">
        <v>63</v>
      </c>
      <c r="AF121" s="1"/>
      <c r="AG121" s="2"/>
      <c r="AH121" s="1"/>
      <c r="AI121" s="1"/>
      <c r="AJ121" s="1" t="s">
        <v>693</v>
      </c>
      <c r="AK121" s="111">
        <v>46283.631284722222</v>
      </c>
      <c r="AL121" s="1"/>
      <c r="AM121" s="1"/>
      <c r="AN121" s="1"/>
      <c r="AO121" s="1"/>
      <c r="AP121" s="1"/>
      <c r="AQ121" s="1"/>
      <c r="AR121" s="1" t="s">
        <v>693</v>
      </c>
      <c r="AS121" s="1"/>
      <c r="AT121" s="2"/>
      <c r="AU121" s="1"/>
      <c r="AV121" s="2">
        <v>0</v>
      </c>
      <c r="AW121" s="4"/>
      <c r="AX121" s="111"/>
      <c r="AY121" s="4"/>
      <c r="AZ121" s="1"/>
      <c r="BA121" s="1"/>
      <c r="BB121" s="1" t="s">
        <v>503</v>
      </c>
      <c r="BC121" s="4"/>
      <c r="BD121" s="1" t="s">
        <v>85</v>
      </c>
      <c r="BE121" s="4"/>
      <c r="BF121" s="2">
        <v>2107</v>
      </c>
      <c r="BG121" s="4"/>
      <c r="BH121" s="1"/>
      <c r="BI121" s="1" t="s">
        <v>86</v>
      </c>
    </row>
    <row r="122" spans="1:61" ht="13.5" customHeight="1" x14ac:dyDescent="0.25">
      <c r="A122" s="2">
        <v>2146</v>
      </c>
      <c r="B122" s="1" t="s">
        <v>890</v>
      </c>
      <c r="C122" s="1" t="s">
        <v>47</v>
      </c>
      <c r="D122" s="1" t="s">
        <v>310</v>
      </c>
      <c r="E122" s="1" t="s">
        <v>708</v>
      </c>
      <c r="F122" s="1" t="s">
        <v>314</v>
      </c>
      <c r="G122" s="2"/>
      <c r="H122" s="101"/>
      <c r="I122" s="101"/>
      <c r="J122" s="39">
        <v>2</v>
      </c>
      <c r="K122" s="53" t="s">
        <v>80</v>
      </c>
      <c r="L122" s="66">
        <v>0</v>
      </c>
      <c r="M122" s="8" t="s">
        <v>738</v>
      </c>
      <c r="N122" s="1" t="s">
        <v>80</v>
      </c>
      <c r="O122" s="7" t="s">
        <v>924</v>
      </c>
      <c r="P122" s="111">
        <v>46254.363819444443</v>
      </c>
      <c r="Q122" s="111">
        <v>46268.429166666669</v>
      </c>
      <c r="R122" s="111">
        <v>46268.429166666669</v>
      </c>
      <c r="S122" s="1" t="s">
        <v>81</v>
      </c>
      <c r="T122" s="1" t="s">
        <v>693</v>
      </c>
      <c r="U122" s="4"/>
      <c r="V122" s="2"/>
      <c r="W122" s="111"/>
      <c r="X122" s="1"/>
      <c r="Y122" s="1" t="s">
        <v>738</v>
      </c>
      <c r="Z122" s="111">
        <v>46254.380706018521</v>
      </c>
      <c r="AA122" s="1"/>
      <c r="AB122" s="4"/>
      <c r="AC122" s="4"/>
      <c r="AD122" s="1"/>
      <c r="AE122" s="1" t="s">
        <v>63</v>
      </c>
      <c r="AF122" s="1"/>
      <c r="AG122" s="2"/>
      <c r="AH122" s="1"/>
      <c r="AI122" s="1"/>
      <c r="AJ122" s="1" t="s">
        <v>81</v>
      </c>
      <c r="AK122" s="111">
        <v>46268.429166666669</v>
      </c>
      <c r="AL122" s="1"/>
      <c r="AM122" s="1"/>
      <c r="AN122" s="1"/>
      <c r="AO122" s="1"/>
      <c r="AP122" s="1"/>
      <c r="AQ122" s="1"/>
      <c r="AR122" s="1" t="s">
        <v>81</v>
      </c>
      <c r="AS122" s="1"/>
      <c r="AT122" s="2"/>
      <c r="AU122" s="1"/>
      <c r="AV122" s="2">
        <v>1</v>
      </c>
      <c r="AW122" s="4"/>
      <c r="AX122" s="111"/>
      <c r="AY122" s="4"/>
      <c r="AZ122" s="1"/>
      <c r="BA122" s="1"/>
      <c r="BB122" s="1" t="s">
        <v>503</v>
      </c>
      <c r="BC122" s="4"/>
      <c r="BD122" s="1" t="s">
        <v>85</v>
      </c>
      <c r="BE122" s="4"/>
      <c r="BF122" s="2"/>
      <c r="BG122" s="4"/>
      <c r="BH122" s="1"/>
      <c r="BI122" s="1" t="s">
        <v>86</v>
      </c>
    </row>
    <row r="123" spans="1:61" ht="13.5" customHeight="1" x14ac:dyDescent="0.25">
      <c r="A123" s="2">
        <v>2148</v>
      </c>
      <c r="B123" s="1" t="s">
        <v>891</v>
      </c>
      <c r="C123" s="1" t="s">
        <v>47</v>
      </c>
      <c r="D123" s="1" t="s">
        <v>310</v>
      </c>
      <c r="E123" s="1" t="s">
        <v>708</v>
      </c>
      <c r="F123" s="1" t="s">
        <v>709</v>
      </c>
      <c r="G123" s="2"/>
      <c r="H123" s="101"/>
      <c r="I123" s="101"/>
      <c r="J123" s="39">
        <v>2</v>
      </c>
      <c r="K123" s="53" t="s">
        <v>80</v>
      </c>
      <c r="L123" s="66">
        <v>0</v>
      </c>
      <c r="M123" s="8" t="s">
        <v>737</v>
      </c>
      <c r="N123" s="1" t="s">
        <v>80</v>
      </c>
      <c r="O123" s="7" t="s">
        <v>925</v>
      </c>
      <c r="P123" s="111">
        <v>46254.450358796297</v>
      </c>
      <c r="Q123" s="111">
        <v>46267.381145833337</v>
      </c>
      <c r="R123" s="111">
        <v>46267.381064814814</v>
      </c>
      <c r="S123" s="1" t="s">
        <v>81</v>
      </c>
      <c r="T123" s="1" t="s">
        <v>693</v>
      </c>
      <c r="U123" s="4" t="s">
        <v>855</v>
      </c>
      <c r="V123" s="2"/>
      <c r="W123" s="111"/>
      <c r="X123" s="1"/>
      <c r="Y123" s="1" t="s">
        <v>737</v>
      </c>
      <c r="Z123" s="111">
        <v>46254.471851851849</v>
      </c>
      <c r="AA123" s="1"/>
      <c r="AB123" s="4"/>
      <c r="AC123" s="4"/>
      <c r="AD123" s="1"/>
      <c r="AE123" s="1" t="s">
        <v>63</v>
      </c>
      <c r="AF123" s="1"/>
      <c r="AG123" s="2"/>
      <c r="AH123" s="1"/>
      <c r="AI123" s="1"/>
      <c r="AJ123" s="1" t="s">
        <v>81</v>
      </c>
      <c r="AK123" s="111">
        <v>46267.381145833337</v>
      </c>
      <c r="AL123" s="1"/>
      <c r="AM123" s="1"/>
      <c r="AN123" s="1"/>
      <c r="AO123" s="1"/>
      <c r="AP123" s="1"/>
      <c r="AQ123" s="1"/>
      <c r="AR123" s="1" t="s">
        <v>81</v>
      </c>
      <c r="AS123" s="1"/>
      <c r="AT123" s="2"/>
      <c r="AU123" s="1"/>
      <c r="AV123" s="2">
        <v>2</v>
      </c>
      <c r="AW123" s="4"/>
      <c r="AX123" s="111"/>
      <c r="AY123" s="4"/>
      <c r="AZ123" s="1"/>
      <c r="BA123" s="1"/>
      <c r="BB123" s="1" t="s">
        <v>503</v>
      </c>
      <c r="BC123" s="4"/>
      <c r="BD123" s="1" t="s">
        <v>85</v>
      </c>
      <c r="BE123" s="4"/>
      <c r="BF123" s="2"/>
      <c r="BG123" s="4"/>
      <c r="BH123" s="1"/>
      <c r="BI123" s="1" t="s">
        <v>86</v>
      </c>
    </row>
    <row r="124" spans="1:61" ht="13.5" customHeight="1" x14ac:dyDescent="0.25">
      <c r="A124" s="2">
        <v>2149</v>
      </c>
      <c r="B124" s="1" t="s">
        <v>966</v>
      </c>
      <c r="C124" s="1" t="s">
        <v>47</v>
      </c>
      <c r="D124" s="1" t="s">
        <v>710</v>
      </c>
      <c r="E124" s="1" t="s">
        <v>699</v>
      </c>
      <c r="F124" s="1" t="s">
        <v>709</v>
      </c>
      <c r="G124" s="2"/>
      <c r="H124" s="101"/>
      <c r="I124" s="101"/>
      <c r="J124" s="39">
        <v>2</v>
      </c>
      <c r="K124" s="53" t="s">
        <v>80</v>
      </c>
      <c r="L124" s="66">
        <v>0</v>
      </c>
      <c r="M124" s="8" t="s">
        <v>738</v>
      </c>
      <c r="N124" s="1" t="s">
        <v>80</v>
      </c>
      <c r="O124" s="7" t="s">
        <v>970</v>
      </c>
      <c r="P124" s="111">
        <v>46254.577777777777</v>
      </c>
      <c r="Q124" s="111">
        <v>46254.620949074073</v>
      </c>
      <c r="R124" s="111">
        <v>46254.620949074073</v>
      </c>
      <c r="S124" s="1" t="s">
        <v>738</v>
      </c>
      <c r="T124" s="1" t="s">
        <v>693</v>
      </c>
      <c r="U124" s="4"/>
      <c r="V124" s="2"/>
      <c r="W124" s="111"/>
      <c r="X124" s="1"/>
      <c r="Y124" s="1" t="s">
        <v>693</v>
      </c>
      <c r="Z124" s="111">
        <v>46254.578668981485</v>
      </c>
      <c r="AA124" s="1"/>
      <c r="AB124" s="4"/>
      <c r="AC124" s="4"/>
      <c r="AD124" s="1"/>
      <c r="AE124" s="1" t="s">
        <v>63</v>
      </c>
      <c r="AF124" s="1"/>
      <c r="AG124" s="2"/>
      <c r="AH124" s="1"/>
      <c r="AI124" s="1"/>
      <c r="AJ124" s="1" t="s">
        <v>738</v>
      </c>
      <c r="AK124" s="111">
        <v>46254.620949074073</v>
      </c>
      <c r="AL124" s="1"/>
      <c r="AM124" s="1"/>
      <c r="AN124" s="1"/>
      <c r="AO124" s="1"/>
      <c r="AP124" s="1"/>
      <c r="AQ124" s="1"/>
      <c r="AR124" s="1" t="s">
        <v>738</v>
      </c>
      <c r="AS124" s="1"/>
      <c r="AT124" s="2"/>
      <c r="AU124" s="1"/>
      <c r="AV124" s="2">
        <v>1</v>
      </c>
      <c r="AW124" s="4"/>
      <c r="AX124" s="111"/>
      <c r="AY124" s="4"/>
      <c r="AZ124" s="1"/>
      <c r="BA124" s="1"/>
      <c r="BB124" s="1" t="s">
        <v>503</v>
      </c>
      <c r="BC124" s="4"/>
      <c r="BD124" s="1" t="s">
        <v>85</v>
      </c>
      <c r="BE124" s="4"/>
      <c r="BF124" s="2"/>
      <c r="BG124" s="4"/>
      <c r="BH124" s="1"/>
      <c r="BI124" s="1" t="s">
        <v>86</v>
      </c>
    </row>
    <row r="125" spans="1:61" ht="13.5" customHeight="1" x14ac:dyDescent="0.25">
      <c r="A125" s="2">
        <v>2150</v>
      </c>
      <c r="B125" s="1" t="s">
        <v>892</v>
      </c>
      <c r="C125" s="1" t="s">
        <v>47</v>
      </c>
      <c r="D125" s="1" t="s">
        <v>311</v>
      </c>
      <c r="E125" s="1" t="s">
        <v>701</v>
      </c>
      <c r="F125" s="1" t="s">
        <v>314</v>
      </c>
      <c r="G125" s="2"/>
      <c r="H125" s="101"/>
      <c r="I125" s="101"/>
      <c r="J125" s="39">
        <v>1</v>
      </c>
      <c r="K125" s="53" t="s">
        <v>80</v>
      </c>
      <c r="L125" s="66">
        <v>0</v>
      </c>
      <c r="M125" s="8" t="s">
        <v>738</v>
      </c>
      <c r="N125" s="1" t="s">
        <v>80</v>
      </c>
      <c r="O125" s="7" t="s">
        <v>893</v>
      </c>
      <c r="P125" s="111">
        <v>46254.580474537041</v>
      </c>
      <c r="Q125" s="111">
        <v>46262.370648148149</v>
      </c>
      <c r="R125" s="111">
        <v>46259.682905092595</v>
      </c>
      <c r="S125" s="1" t="s">
        <v>81</v>
      </c>
      <c r="T125" s="1" t="s">
        <v>693</v>
      </c>
      <c r="U125" s="4" t="s">
        <v>666</v>
      </c>
      <c r="V125" s="2"/>
      <c r="W125" s="111"/>
      <c r="X125" s="1"/>
      <c r="Y125" s="1" t="s">
        <v>693</v>
      </c>
      <c r="Z125" s="111">
        <v>46254.582245370373</v>
      </c>
      <c r="AA125" s="1"/>
      <c r="AB125" s="4"/>
      <c r="AC125" s="4"/>
      <c r="AD125" s="1"/>
      <c r="AE125" s="1" t="s">
        <v>63</v>
      </c>
      <c r="AF125" s="1"/>
      <c r="AG125" s="2"/>
      <c r="AH125" s="1"/>
      <c r="AI125" s="1"/>
      <c r="AJ125" s="1" t="s">
        <v>81</v>
      </c>
      <c r="AK125" s="111">
        <v>46262.370648148149</v>
      </c>
      <c r="AL125" s="1"/>
      <c r="AM125" s="1"/>
      <c r="AN125" s="1"/>
      <c r="AO125" s="1"/>
      <c r="AP125" s="1"/>
      <c r="AQ125" s="1"/>
      <c r="AR125" s="1" t="s">
        <v>81</v>
      </c>
      <c r="AS125" s="1"/>
      <c r="AT125" s="2"/>
      <c r="AU125" s="1"/>
      <c r="AV125" s="2">
        <v>2</v>
      </c>
      <c r="AW125" s="4"/>
      <c r="AX125" s="111"/>
      <c r="AY125" s="4"/>
      <c r="AZ125" s="1"/>
      <c r="BA125" s="1"/>
      <c r="BB125" s="1" t="s">
        <v>503</v>
      </c>
      <c r="BC125" s="4"/>
      <c r="BD125" s="1" t="s">
        <v>85</v>
      </c>
      <c r="BE125" s="4"/>
      <c r="BF125" s="2"/>
      <c r="BG125" s="4"/>
      <c r="BH125" s="1"/>
      <c r="BI125" s="1" t="s">
        <v>86</v>
      </c>
    </row>
    <row r="126" spans="1:61" ht="13.5" customHeight="1" x14ac:dyDescent="0.25">
      <c r="A126" s="2">
        <v>2162</v>
      </c>
      <c r="B126" s="1" t="s">
        <v>894</v>
      </c>
      <c r="C126" s="1" t="s">
        <v>47</v>
      </c>
      <c r="D126" s="1" t="s">
        <v>710</v>
      </c>
      <c r="E126" s="1" t="s">
        <v>699</v>
      </c>
      <c r="F126" s="1" t="s">
        <v>709</v>
      </c>
      <c r="G126" s="2"/>
      <c r="H126" s="101"/>
      <c r="I126" s="101"/>
      <c r="J126" s="39">
        <v>1</v>
      </c>
      <c r="K126" s="53" t="s">
        <v>80</v>
      </c>
      <c r="L126" s="66">
        <v>0</v>
      </c>
      <c r="M126" s="8" t="s">
        <v>91</v>
      </c>
      <c r="N126" s="1" t="s">
        <v>80</v>
      </c>
      <c r="O126" s="7" t="s">
        <v>895</v>
      </c>
      <c r="P126" s="111">
        <v>46260.452951388892</v>
      </c>
      <c r="Q126" s="111">
        <v>46287.676203703704</v>
      </c>
      <c r="R126" s="111">
        <v>46260.457361111112</v>
      </c>
      <c r="S126" s="1" t="s">
        <v>371</v>
      </c>
      <c r="T126" s="1" t="s">
        <v>155</v>
      </c>
      <c r="U126" s="4"/>
      <c r="V126" s="2"/>
      <c r="W126" s="111"/>
      <c r="X126" s="1"/>
      <c r="Y126" s="1" t="s">
        <v>155</v>
      </c>
      <c r="Z126" s="111">
        <v>46260.456458333334</v>
      </c>
      <c r="AA126" s="1"/>
      <c r="AB126" s="4"/>
      <c r="AC126" s="4"/>
      <c r="AD126" s="1"/>
      <c r="AE126" s="1" t="s">
        <v>63</v>
      </c>
      <c r="AF126" s="1"/>
      <c r="AG126" s="2"/>
      <c r="AH126" s="1"/>
      <c r="AI126" s="1"/>
      <c r="AJ126" s="1" t="s">
        <v>371</v>
      </c>
      <c r="AK126" s="111">
        <v>46287.676203703704</v>
      </c>
      <c r="AL126" s="1"/>
      <c r="AM126" s="1"/>
      <c r="AN126" s="1"/>
      <c r="AO126" s="1"/>
      <c r="AP126" s="1"/>
      <c r="AQ126" s="1"/>
      <c r="AR126" s="1" t="s">
        <v>155</v>
      </c>
      <c r="AS126" s="1"/>
      <c r="AT126" s="2"/>
      <c r="AU126" s="1"/>
      <c r="AV126" s="2">
        <v>5</v>
      </c>
      <c r="AW126" s="4"/>
      <c r="AX126" s="111"/>
      <c r="AY126" s="4"/>
      <c r="AZ126" s="1"/>
      <c r="BA126" s="1"/>
      <c r="BB126" s="1" t="s">
        <v>503</v>
      </c>
      <c r="BC126" s="4"/>
      <c r="BD126" s="1" t="s">
        <v>85</v>
      </c>
      <c r="BE126" s="4"/>
      <c r="BF126" s="2"/>
      <c r="BG126" s="4"/>
      <c r="BH126" s="1"/>
      <c r="BI126" s="1" t="s">
        <v>86</v>
      </c>
    </row>
    <row r="127" spans="1:61" ht="13.5" customHeight="1" x14ac:dyDescent="0.25">
      <c r="A127" s="2">
        <v>2165</v>
      </c>
      <c r="B127" s="1" t="s">
        <v>896</v>
      </c>
      <c r="C127" s="1" t="s">
        <v>47</v>
      </c>
      <c r="D127" s="1" t="s">
        <v>310</v>
      </c>
      <c r="E127" s="1" t="s">
        <v>708</v>
      </c>
      <c r="F127" s="1" t="s">
        <v>709</v>
      </c>
      <c r="G127" s="2"/>
      <c r="H127" s="101"/>
      <c r="I127" s="101"/>
      <c r="J127" s="39">
        <v>2</v>
      </c>
      <c r="K127" s="53" t="s">
        <v>80</v>
      </c>
      <c r="L127" s="66">
        <v>0</v>
      </c>
      <c r="M127" s="8" t="s">
        <v>737</v>
      </c>
      <c r="N127" s="1" t="s">
        <v>80</v>
      </c>
      <c r="O127" s="7" t="s">
        <v>926</v>
      </c>
      <c r="P127" s="111">
        <v>46260.682986111111</v>
      </c>
      <c r="Q127" s="111">
        <v>46268.429050925923</v>
      </c>
      <c r="R127" s="111">
        <v>46268.429050925923</v>
      </c>
      <c r="S127" s="1" t="s">
        <v>81</v>
      </c>
      <c r="T127" s="1" t="s">
        <v>693</v>
      </c>
      <c r="U127" s="4"/>
      <c r="V127" s="2"/>
      <c r="W127" s="111"/>
      <c r="X127" s="1"/>
      <c r="Y127" s="1" t="s">
        <v>693</v>
      </c>
      <c r="Z127" s="111">
        <v>46260.683657407404</v>
      </c>
      <c r="AA127" s="1"/>
      <c r="AB127" s="4"/>
      <c r="AC127" s="4"/>
      <c r="AD127" s="1"/>
      <c r="AE127" s="1" t="s">
        <v>63</v>
      </c>
      <c r="AF127" s="1"/>
      <c r="AG127" s="2"/>
      <c r="AH127" s="1"/>
      <c r="AI127" s="1"/>
      <c r="AJ127" s="1" t="s">
        <v>81</v>
      </c>
      <c r="AK127" s="111">
        <v>46268.429050925923</v>
      </c>
      <c r="AL127" s="1"/>
      <c r="AM127" s="1"/>
      <c r="AN127" s="1"/>
      <c r="AO127" s="1"/>
      <c r="AP127" s="1"/>
      <c r="AQ127" s="1"/>
      <c r="AR127" s="1" t="s">
        <v>81</v>
      </c>
      <c r="AS127" s="1"/>
      <c r="AT127" s="2"/>
      <c r="AU127" s="1"/>
      <c r="AV127" s="2">
        <v>2</v>
      </c>
      <c r="AW127" s="4"/>
      <c r="AX127" s="111"/>
      <c r="AY127" s="4"/>
      <c r="AZ127" s="1"/>
      <c r="BA127" s="1"/>
      <c r="BB127" s="1" t="s">
        <v>503</v>
      </c>
      <c r="BC127" s="4"/>
      <c r="BD127" s="1" t="s">
        <v>85</v>
      </c>
      <c r="BE127" s="4"/>
      <c r="BF127" s="2"/>
      <c r="BG127" s="4"/>
      <c r="BH127" s="1"/>
      <c r="BI127" s="1" t="s">
        <v>86</v>
      </c>
    </row>
    <row r="128" spans="1:61" ht="13.5" customHeight="1" x14ac:dyDescent="0.25">
      <c r="A128" s="2">
        <v>2166</v>
      </c>
      <c r="B128" s="1" t="s">
        <v>897</v>
      </c>
      <c r="C128" s="1" t="s">
        <v>47</v>
      </c>
      <c r="D128" s="1" t="s">
        <v>711</v>
      </c>
      <c r="E128" s="1" t="s">
        <v>702</v>
      </c>
      <c r="F128" s="1" t="s">
        <v>709</v>
      </c>
      <c r="G128" s="2"/>
      <c r="H128" s="101"/>
      <c r="I128" s="101"/>
      <c r="J128" s="39">
        <v>1</v>
      </c>
      <c r="K128" s="53" t="s">
        <v>80</v>
      </c>
      <c r="L128" s="66">
        <v>0</v>
      </c>
      <c r="M128" s="8" t="s">
        <v>91</v>
      </c>
      <c r="N128" s="1" t="s">
        <v>80</v>
      </c>
      <c r="O128" s="7" t="s">
        <v>898</v>
      </c>
      <c r="P128" s="112">
        <v>46260.700879629629</v>
      </c>
      <c r="Q128" s="112">
        <v>46268.429085648146</v>
      </c>
      <c r="R128" s="112">
        <v>46268.429085648146</v>
      </c>
      <c r="S128" s="1" t="s">
        <v>81</v>
      </c>
      <c r="T128" s="1" t="s">
        <v>155</v>
      </c>
      <c r="U128" s="4"/>
      <c r="V128" s="2"/>
      <c r="W128" s="112"/>
      <c r="X128" s="1"/>
      <c r="Y128" s="1" t="s">
        <v>155</v>
      </c>
      <c r="Z128" s="112">
        <v>46260.703981481478</v>
      </c>
      <c r="AA128" s="1"/>
      <c r="AB128" s="4"/>
      <c r="AC128" s="4"/>
      <c r="AD128" s="1"/>
      <c r="AE128" s="1" t="s">
        <v>63</v>
      </c>
      <c r="AF128" s="1"/>
      <c r="AG128" s="2"/>
      <c r="AH128" s="1"/>
      <c r="AI128" s="1"/>
      <c r="AJ128" s="1" t="s">
        <v>81</v>
      </c>
      <c r="AK128" s="112">
        <v>46268.429085648146</v>
      </c>
      <c r="AL128" s="1"/>
      <c r="AM128" s="1"/>
      <c r="AN128" s="1"/>
      <c r="AO128" s="1"/>
      <c r="AP128" s="1"/>
      <c r="AQ128" s="1"/>
      <c r="AR128" s="1" t="s">
        <v>81</v>
      </c>
      <c r="AS128" s="1"/>
      <c r="AT128" s="2"/>
      <c r="AU128" s="1"/>
      <c r="AV128" s="2">
        <v>3</v>
      </c>
      <c r="AW128" s="4"/>
      <c r="AX128" s="112"/>
      <c r="AY128" s="4"/>
      <c r="AZ128" s="1"/>
      <c r="BA128" s="1"/>
      <c r="BB128" s="1" t="s">
        <v>503</v>
      </c>
      <c r="BC128" s="4"/>
      <c r="BD128" s="1" t="s">
        <v>85</v>
      </c>
      <c r="BE128" s="4"/>
      <c r="BF128" s="2"/>
      <c r="BG128" s="4"/>
      <c r="BH128" s="1"/>
      <c r="BI128" s="1" t="s">
        <v>86</v>
      </c>
    </row>
    <row r="129" spans="1:61" ht="13.5" customHeight="1" x14ac:dyDescent="0.25">
      <c r="A129" s="2">
        <v>2168</v>
      </c>
      <c r="B129" s="1" t="s">
        <v>899</v>
      </c>
      <c r="C129" s="1" t="s">
        <v>47</v>
      </c>
      <c r="D129" s="1" t="s">
        <v>711</v>
      </c>
      <c r="E129" s="1" t="s">
        <v>702</v>
      </c>
      <c r="F129" s="1" t="s">
        <v>314</v>
      </c>
      <c r="G129" s="2"/>
      <c r="H129" s="101"/>
      <c r="I129" s="101"/>
      <c r="J129" s="39">
        <v>2</v>
      </c>
      <c r="K129" s="53" t="s">
        <v>80</v>
      </c>
      <c r="L129" s="66">
        <v>0</v>
      </c>
      <c r="M129" s="8" t="s">
        <v>844</v>
      </c>
      <c r="N129" s="1" t="s">
        <v>80</v>
      </c>
      <c r="O129" s="7"/>
      <c r="P129" s="112">
        <v>46265.384432870371</v>
      </c>
      <c r="Q129" s="112">
        <v>46268.429201388892</v>
      </c>
      <c r="R129" s="112">
        <v>46268.429201388892</v>
      </c>
      <c r="S129" s="1" t="s">
        <v>81</v>
      </c>
      <c r="T129" s="1" t="s">
        <v>155</v>
      </c>
      <c r="U129" s="4"/>
      <c r="V129" s="2"/>
      <c r="W129" s="112"/>
      <c r="X129" s="1"/>
      <c r="Y129" s="1" t="s">
        <v>155</v>
      </c>
      <c r="Z129" s="112">
        <v>46265.392488425925</v>
      </c>
      <c r="AA129" s="1"/>
      <c r="AB129" s="4"/>
      <c r="AC129" s="4"/>
      <c r="AD129" s="1"/>
      <c r="AE129" s="1" t="s">
        <v>63</v>
      </c>
      <c r="AF129" s="1"/>
      <c r="AG129" s="2"/>
      <c r="AH129" s="1"/>
      <c r="AI129" s="1"/>
      <c r="AJ129" s="1" t="s">
        <v>81</v>
      </c>
      <c r="AK129" s="112">
        <v>46268.429201388892</v>
      </c>
      <c r="AL129" s="1"/>
      <c r="AM129" s="1"/>
      <c r="AN129" s="1"/>
      <c r="AO129" s="1"/>
      <c r="AP129" s="1"/>
      <c r="AQ129" s="1"/>
      <c r="AR129" s="1" t="s">
        <v>81</v>
      </c>
      <c r="AS129" s="1"/>
      <c r="AT129" s="2"/>
      <c r="AU129" s="1"/>
      <c r="AV129" s="2">
        <v>0</v>
      </c>
      <c r="AW129" s="4"/>
      <c r="AX129" s="112"/>
      <c r="AY129" s="4"/>
      <c r="AZ129" s="1"/>
      <c r="BA129" s="1"/>
      <c r="BB129" s="1" t="s">
        <v>503</v>
      </c>
      <c r="BC129" s="4"/>
      <c r="BD129" s="1" t="s">
        <v>85</v>
      </c>
      <c r="BE129" s="4"/>
      <c r="BF129" s="2"/>
      <c r="BG129" s="4"/>
      <c r="BH129" s="1"/>
      <c r="BI129" s="1" t="s">
        <v>86</v>
      </c>
    </row>
    <row r="130" spans="1:61" ht="13.5" customHeight="1" x14ac:dyDescent="0.25">
      <c r="A130" s="2">
        <v>2169</v>
      </c>
      <c r="B130" s="1" t="s">
        <v>900</v>
      </c>
      <c r="C130" s="1" t="s">
        <v>47</v>
      </c>
      <c r="D130" s="1" t="s">
        <v>711</v>
      </c>
      <c r="E130" s="1" t="s">
        <v>702</v>
      </c>
      <c r="F130" s="1" t="s">
        <v>314</v>
      </c>
      <c r="G130" s="2"/>
      <c r="H130" s="101"/>
      <c r="I130" s="101"/>
      <c r="J130" s="39">
        <v>2</v>
      </c>
      <c r="K130" s="53" t="s">
        <v>80</v>
      </c>
      <c r="L130" s="66">
        <v>0</v>
      </c>
      <c r="M130" s="8" t="s">
        <v>844</v>
      </c>
      <c r="N130" s="1" t="s">
        <v>80</v>
      </c>
      <c r="O130" s="7"/>
      <c r="P130" s="112">
        <v>46265.392245370371</v>
      </c>
      <c r="Q130" s="112">
        <v>46268.429270833331</v>
      </c>
      <c r="R130" s="112">
        <v>46268.429270833331</v>
      </c>
      <c r="S130" s="1" t="s">
        <v>81</v>
      </c>
      <c r="T130" s="1" t="s">
        <v>155</v>
      </c>
      <c r="U130" s="4"/>
      <c r="V130" s="2"/>
      <c r="W130" s="112"/>
      <c r="X130" s="1"/>
      <c r="Y130" s="1" t="s">
        <v>155</v>
      </c>
      <c r="Z130" s="112">
        <v>46265.397488425922</v>
      </c>
      <c r="AA130" s="1"/>
      <c r="AB130" s="4"/>
      <c r="AC130" s="4"/>
      <c r="AD130" s="1"/>
      <c r="AE130" s="1" t="s">
        <v>63</v>
      </c>
      <c r="AF130" s="1"/>
      <c r="AG130" s="2"/>
      <c r="AH130" s="1"/>
      <c r="AI130" s="1"/>
      <c r="AJ130" s="1" t="s">
        <v>81</v>
      </c>
      <c r="AK130" s="112">
        <v>46268.429270833331</v>
      </c>
      <c r="AL130" s="1"/>
      <c r="AM130" s="1"/>
      <c r="AN130" s="1"/>
      <c r="AO130" s="1"/>
      <c r="AP130" s="1"/>
      <c r="AQ130" s="1"/>
      <c r="AR130" s="1" t="s">
        <v>81</v>
      </c>
      <c r="AS130" s="1"/>
      <c r="AT130" s="2"/>
      <c r="AU130" s="1"/>
      <c r="AV130" s="2">
        <v>0</v>
      </c>
      <c r="AW130" s="4"/>
      <c r="AX130" s="112"/>
      <c r="AY130" s="4"/>
      <c r="AZ130" s="1"/>
      <c r="BA130" s="1"/>
      <c r="BB130" s="1" t="s">
        <v>503</v>
      </c>
      <c r="BC130" s="4"/>
      <c r="BD130" s="1" t="s">
        <v>85</v>
      </c>
      <c r="BE130" s="4"/>
      <c r="BF130" s="2">
        <v>2018</v>
      </c>
      <c r="BG130" s="4"/>
      <c r="BH130" s="1"/>
      <c r="BI130" s="1" t="s">
        <v>86</v>
      </c>
    </row>
    <row r="131" spans="1:61" ht="13.5" customHeight="1" x14ac:dyDescent="0.25">
      <c r="A131" s="2">
        <v>2173</v>
      </c>
      <c r="B131" s="1" t="s">
        <v>901</v>
      </c>
      <c r="C131" s="1" t="s">
        <v>47</v>
      </c>
      <c r="D131" s="1" t="s">
        <v>307</v>
      </c>
      <c r="E131" s="1" t="s">
        <v>729</v>
      </c>
      <c r="F131" s="1" t="s">
        <v>314</v>
      </c>
      <c r="G131" s="2"/>
      <c r="H131" s="101">
        <v>4</v>
      </c>
      <c r="I131" s="101"/>
      <c r="J131" s="39">
        <v>2</v>
      </c>
      <c r="K131" s="53" t="s">
        <v>80</v>
      </c>
      <c r="L131" s="66">
        <v>0</v>
      </c>
      <c r="M131" s="8" t="s">
        <v>693</v>
      </c>
      <c r="N131" s="1" t="s">
        <v>80</v>
      </c>
      <c r="O131" s="7"/>
      <c r="P131" s="112">
        <v>46265.673993055556</v>
      </c>
      <c r="Q131" s="112">
        <v>46267.636631944442</v>
      </c>
      <c r="R131" s="112">
        <v>46267.636631944442</v>
      </c>
      <c r="S131" s="1" t="s">
        <v>693</v>
      </c>
      <c r="T131" s="1" t="s">
        <v>693</v>
      </c>
      <c r="U131" s="4"/>
      <c r="V131" s="2"/>
      <c r="W131" s="112"/>
      <c r="X131" s="1"/>
      <c r="Y131" s="1" t="s">
        <v>693</v>
      </c>
      <c r="Z131" s="112">
        <v>46265.675891203704</v>
      </c>
      <c r="AA131" s="1"/>
      <c r="AB131" s="4"/>
      <c r="AC131" s="4"/>
      <c r="AD131" s="1"/>
      <c r="AE131" s="1" t="s">
        <v>63</v>
      </c>
      <c r="AF131" s="1"/>
      <c r="AG131" s="2"/>
      <c r="AH131" s="1"/>
      <c r="AI131" s="1"/>
      <c r="AJ131" s="1" t="s">
        <v>693</v>
      </c>
      <c r="AK131" s="112">
        <v>46267.636631944442</v>
      </c>
      <c r="AL131" s="1"/>
      <c r="AM131" s="1"/>
      <c r="AN131" s="1"/>
      <c r="AO131" s="1"/>
      <c r="AP131" s="1"/>
      <c r="AQ131" s="1"/>
      <c r="AR131" s="1" t="s">
        <v>693</v>
      </c>
      <c r="AS131" s="1"/>
      <c r="AT131" s="2"/>
      <c r="AU131" s="1"/>
      <c r="AV131" s="2">
        <v>0</v>
      </c>
      <c r="AW131" s="4"/>
      <c r="AX131" s="112"/>
      <c r="AY131" s="4"/>
      <c r="AZ131" s="1"/>
      <c r="BA131" s="1"/>
      <c r="BB131" s="1" t="s">
        <v>503</v>
      </c>
      <c r="BC131" s="4"/>
      <c r="BD131" s="1" t="s">
        <v>85</v>
      </c>
      <c r="BE131" s="4"/>
      <c r="BF131" s="2"/>
      <c r="BG131" s="4"/>
      <c r="BH131" s="1"/>
      <c r="BI131" s="1" t="s">
        <v>86</v>
      </c>
    </row>
    <row r="132" spans="1:61" ht="13.5" customHeight="1" x14ac:dyDescent="0.25">
      <c r="A132" s="2">
        <v>2175</v>
      </c>
      <c r="B132" s="1" t="s">
        <v>902</v>
      </c>
      <c r="C132" s="1" t="s">
        <v>47</v>
      </c>
      <c r="D132" s="1" t="s">
        <v>710</v>
      </c>
      <c r="E132" s="1" t="s">
        <v>699</v>
      </c>
      <c r="F132" s="1" t="s">
        <v>466</v>
      </c>
      <c r="G132" s="2"/>
      <c r="H132" s="101"/>
      <c r="I132" s="101"/>
      <c r="J132" s="39">
        <v>1</v>
      </c>
      <c r="K132" s="53" t="s">
        <v>80</v>
      </c>
      <c r="L132" s="66">
        <v>0</v>
      </c>
      <c r="M132" s="8" t="s">
        <v>737</v>
      </c>
      <c r="N132" s="1" t="s">
        <v>80</v>
      </c>
      <c r="O132" s="7" t="s">
        <v>927</v>
      </c>
      <c r="P132" s="112">
        <v>46267.384895833333</v>
      </c>
      <c r="Q132" s="112">
        <v>46268.428969907407</v>
      </c>
      <c r="R132" s="112">
        <v>46268.428969907407</v>
      </c>
      <c r="S132" s="1" t="s">
        <v>81</v>
      </c>
      <c r="T132" s="1" t="s">
        <v>81</v>
      </c>
      <c r="U132" s="4" t="s">
        <v>666</v>
      </c>
      <c r="V132" s="2"/>
      <c r="W132" s="112"/>
      <c r="X132" s="1"/>
      <c r="Y132" s="1" t="s">
        <v>81</v>
      </c>
      <c r="Z132" s="112">
        <v>46267.387152777781</v>
      </c>
      <c r="AA132" s="1"/>
      <c r="AB132" s="4"/>
      <c r="AC132" s="4"/>
      <c r="AD132" s="1"/>
      <c r="AE132" s="1" t="s">
        <v>63</v>
      </c>
      <c r="AF132" s="1"/>
      <c r="AG132" s="2"/>
      <c r="AH132" s="1"/>
      <c r="AI132" s="1"/>
      <c r="AJ132" s="1" t="s">
        <v>81</v>
      </c>
      <c r="AK132" s="112">
        <v>46268.428969907407</v>
      </c>
      <c r="AL132" s="1"/>
      <c r="AM132" s="1"/>
      <c r="AN132" s="1"/>
      <c r="AO132" s="1"/>
      <c r="AP132" s="1"/>
      <c r="AQ132" s="1"/>
      <c r="AR132" s="1" t="s">
        <v>81</v>
      </c>
      <c r="AS132" s="1"/>
      <c r="AT132" s="2"/>
      <c r="AU132" s="1"/>
      <c r="AV132" s="2">
        <v>1</v>
      </c>
      <c r="AW132" s="4"/>
      <c r="AX132" s="112"/>
      <c r="AY132" s="4"/>
      <c r="AZ132" s="1"/>
      <c r="BA132" s="1"/>
      <c r="BB132" s="1" t="s">
        <v>503</v>
      </c>
      <c r="BC132" s="4"/>
      <c r="BD132" s="1" t="s">
        <v>85</v>
      </c>
      <c r="BE132" s="4"/>
      <c r="BF132" s="2"/>
      <c r="BG132" s="4"/>
      <c r="BH132" s="1"/>
      <c r="BI132" s="1" t="s">
        <v>86</v>
      </c>
    </row>
    <row r="133" spans="1:61" ht="13.5" customHeight="1" x14ac:dyDescent="0.25">
      <c r="A133" s="2">
        <v>2179</v>
      </c>
      <c r="B133" s="1" t="s">
        <v>903</v>
      </c>
      <c r="C133" s="1" t="s">
        <v>47</v>
      </c>
      <c r="D133" s="1" t="s">
        <v>711</v>
      </c>
      <c r="E133" s="1" t="s">
        <v>702</v>
      </c>
      <c r="F133" s="1" t="s">
        <v>709</v>
      </c>
      <c r="G133" s="2">
        <v>37</v>
      </c>
      <c r="H133" s="101">
        <v>2</v>
      </c>
      <c r="I133" s="101"/>
      <c r="J133" s="39">
        <v>1</v>
      </c>
      <c r="K133" s="53" t="s">
        <v>80</v>
      </c>
      <c r="L133" s="66">
        <v>0</v>
      </c>
      <c r="M133" s="8" t="s">
        <v>91</v>
      </c>
      <c r="N133" s="1" t="s">
        <v>80</v>
      </c>
      <c r="O133" s="7" t="s">
        <v>904</v>
      </c>
      <c r="P133" s="112">
        <v>46268.663923611108</v>
      </c>
      <c r="Q133" s="112">
        <v>46286.436111111114</v>
      </c>
      <c r="R133" s="112">
        <v>46286.436111111114</v>
      </c>
      <c r="S133" s="1" t="s">
        <v>693</v>
      </c>
      <c r="T133" s="1" t="s">
        <v>155</v>
      </c>
      <c r="U133" s="4" t="s">
        <v>666</v>
      </c>
      <c r="V133" s="2"/>
      <c r="W133" s="112"/>
      <c r="X133" s="1"/>
      <c r="Y133" s="1" t="s">
        <v>155</v>
      </c>
      <c r="Z133" s="112">
        <v>46268.66615740741</v>
      </c>
      <c r="AA133" s="1"/>
      <c r="AB133" s="4"/>
      <c r="AC133" s="4"/>
      <c r="AD133" s="1"/>
      <c r="AE133" s="1" t="s">
        <v>63</v>
      </c>
      <c r="AF133" s="1"/>
      <c r="AG133" s="2"/>
      <c r="AH133" s="1"/>
      <c r="AI133" s="1"/>
      <c r="AJ133" s="1" t="s">
        <v>693</v>
      </c>
      <c r="AK133" s="112">
        <v>46286.436111111114</v>
      </c>
      <c r="AL133" s="1"/>
      <c r="AM133" s="1"/>
      <c r="AN133" s="1"/>
      <c r="AO133" s="1"/>
      <c r="AP133" s="1"/>
      <c r="AQ133" s="1"/>
      <c r="AR133" s="1" t="s">
        <v>693</v>
      </c>
      <c r="AS133" s="1"/>
      <c r="AT133" s="2"/>
      <c r="AU133" s="1"/>
      <c r="AV133" s="2">
        <v>2</v>
      </c>
      <c r="AW133" s="4"/>
      <c r="AX133" s="112"/>
      <c r="AY133" s="4"/>
      <c r="AZ133" s="1"/>
      <c r="BA133" s="1"/>
      <c r="BB133" s="1" t="s">
        <v>503</v>
      </c>
      <c r="BC133" s="4"/>
      <c r="BD133" s="1" t="s">
        <v>85</v>
      </c>
      <c r="BE133" s="4"/>
      <c r="BF133" s="2"/>
      <c r="BG133" s="4"/>
      <c r="BH133" s="1"/>
      <c r="BI133" s="1" t="s">
        <v>86</v>
      </c>
    </row>
    <row r="134" spans="1:61" ht="13.5" customHeight="1" x14ac:dyDescent="0.25">
      <c r="A134" s="2">
        <v>2180</v>
      </c>
      <c r="B134" s="1" t="s">
        <v>905</v>
      </c>
      <c r="C134" s="1" t="s">
        <v>47</v>
      </c>
      <c r="D134" s="1" t="s">
        <v>309</v>
      </c>
      <c r="E134" s="1" t="s">
        <v>729</v>
      </c>
      <c r="F134" s="1" t="s">
        <v>466</v>
      </c>
      <c r="G134" s="2"/>
      <c r="H134" s="101"/>
      <c r="I134" s="101"/>
      <c r="J134" s="39">
        <v>1</v>
      </c>
      <c r="K134" s="53" t="s">
        <v>80</v>
      </c>
      <c r="L134" s="66">
        <v>0</v>
      </c>
      <c r="M134" s="8" t="s">
        <v>738</v>
      </c>
      <c r="N134" s="1" t="s">
        <v>80</v>
      </c>
      <c r="O134" s="7" t="s">
        <v>928</v>
      </c>
      <c r="P134" s="112">
        <v>46268.704953703702</v>
      </c>
      <c r="Q134" s="112">
        <v>46269.673043981478</v>
      </c>
      <c r="R134" s="112">
        <v>46269.673043981478</v>
      </c>
      <c r="S134" s="1" t="s">
        <v>81</v>
      </c>
      <c r="T134" s="1" t="s">
        <v>81</v>
      </c>
      <c r="U134" s="4" t="s">
        <v>666</v>
      </c>
      <c r="V134" s="2"/>
      <c r="W134" s="112"/>
      <c r="X134" s="1"/>
      <c r="Y134" s="1" t="s">
        <v>81</v>
      </c>
      <c r="Z134" s="112">
        <v>46268.723645833335</v>
      </c>
      <c r="AA134" s="1"/>
      <c r="AB134" s="4"/>
      <c r="AC134" s="4"/>
      <c r="AD134" s="1"/>
      <c r="AE134" s="1" t="s">
        <v>63</v>
      </c>
      <c r="AF134" s="1"/>
      <c r="AG134" s="2"/>
      <c r="AH134" s="1"/>
      <c r="AI134" s="1"/>
      <c r="AJ134" s="1" t="s">
        <v>81</v>
      </c>
      <c r="AK134" s="112">
        <v>46269.673043981478</v>
      </c>
      <c r="AL134" s="1"/>
      <c r="AM134" s="1"/>
      <c r="AN134" s="1"/>
      <c r="AO134" s="1"/>
      <c r="AP134" s="1"/>
      <c r="AQ134" s="1"/>
      <c r="AR134" s="1" t="s">
        <v>81</v>
      </c>
      <c r="AS134" s="1"/>
      <c r="AT134" s="2"/>
      <c r="AU134" s="1"/>
      <c r="AV134" s="2">
        <v>0</v>
      </c>
      <c r="AW134" s="4"/>
      <c r="AX134" s="112"/>
      <c r="AY134" s="4"/>
      <c r="AZ134" s="1"/>
      <c r="BA134" s="1"/>
      <c r="BB134" s="1" t="s">
        <v>503</v>
      </c>
      <c r="BC134" s="4"/>
      <c r="BD134" s="1" t="s">
        <v>85</v>
      </c>
      <c r="BE134" s="4"/>
      <c r="BF134" s="2"/>
      <c r="BG134" s="4"/>
      <c r="BH134" s="1"/>
      <c r="BI134" s="1" t="s">
        <v>86</v>
      </c>
    </row>
    <row r="135" spans="1:61" ht="13.5" customHeight="1" x14ac:dyDescent="0.25">
      <c r="A135" s="2">
        <v>2181</v>
      </c>
      <c r="B135" s="1" t="s">
        <v>906</v>
      </c>
      <c r="C135" s="1" t="s">
        <v>47</v>
      </c>
      <c r="D135" s="1" t="s">
        <v>309</v>
      </c>
      <c r="E135" s="1" t="s">
        <v>729</v>
      </c>
      <c r="F135" s="1" t="s">
        <v>466</v>
      </c>
      <c r="G135" s="2"/>
      <c r="H135" s="101"/>
      <c r="I135" s="101"/>
      <c r="J135" s="39">
        <v>1</v>
      </c>
      <c r="K135" s="53" t="s">
        <v>80</v>
      </c>
      <c r="L135" s="66">
        <v>0</v>
      </c>
      <c r="M135" s="8" t="s">
        <v>81</v>
      </c>
      <c r="N135" s="1" t="s">
        <v>80</v>
      </c>
      <c r="O135" s="7" t="s">
        <v>929</v>
      </c>
      <c r="P135" s="112">
        <v>46269.371342592596</v>
      </c>
      <c r="Q135" s="112">
        <v>46269.673055555555</v>
      </c>
      <c r="R135" s="112">
        <v>46269.673055555555</v>
      </c>
      <c r="S135" s="1" t="s">
        <v>81</v>
      </c>
      <c r="T135" s="1" t="s">
        <v>81</v>
      </c>
      <c r="U135" s="4" t="s">
        <v>666</v>
      </c>
      <c r="V135" s="2"/>
      <c r="W135" s="112"/>
      <c r="X135" s="1"/>
      <c r="Y135" s="1" t="s">
        <v>81</v>
      </c>
      <c r="Z135" s="112">
        <v>46269.41978009259</v>
      </c>
      <c r="AA135" s="1"/>
      <c r="AB135" s="4"/>
      <c r="AC135" s="4"/>
      <c r="AD135" s="1"/>
      <c r="AE135" s="1" t="s">
        <v>63</v>
      </c>
      <c r="AF135" s="1"/>
      <c r="AG135" s="2"/>
      <c r="AH135" s="1"/>
      <c r="AI135" s="1"/>
      <c r="AJ135" s="1" t="s">
        <v>81</v>
      </c>
      <c r="AK135" s="112">
        <v>46269.673055555555</v>
      </c>
      <c r="AL135" s="1"/>
      <c r="AM135" s="1"/>
      <c r="AN135" s="1"/>
      <c r="AO135" s="1"/>
      <c r="AP135" s="1"/>
      <c r="AQ135" s="1"/>
      <c r="AR135" s="1" t="s">
        <v>81</v>
      </c>
      <c r="AS135" s="1"/>
      <c r="AT135" s="2"/>
      <c r="AU135" s="1"/>
      <c r="AV135" s="2">
        <v>0</v>
      </c>
      <c r="AW135" s="4"/>
      <c r="AX135" s="112"/>
      <c r="AY135" s="4"/>
      <c r="AZ135" s="1"/>
      <c r="BA135" s="1"/>
      <c r="BB135" s="1" t="s">
        <v>503</v>
      </c>
      <c r="BC135" s="4"/>
      <c r="BD135" s="1" t="s">
        <v>85</v>
      </c>
      <c r="BE135" s="4"/>
      <c r="BF135" s="2"/>
      <c r="BG135" s="4"/>
      <c r="BH135" s="1"/>
      <c r="BI135" s="1" t="s">
        <v>86</v>
      </c>
    </row>
    <row r="136" spans="1:61" ht="13.5" customHeight="1" x14ac:dyDescent="0.25">
      <c r="A136" s="2">
        <v>2183</v>
      </c>
      <c r="B136" s="1" t="s">
        <v>1068</v>
      </c>
      <c r="C136" s="1" t="s">
        <v>47</v>
      </c>
      <c r="D136" s="1" t="s">
        <v>311</v>
      </c>
      <c r="E136" s="1" t="s">
        <v>701</v>
      </c>
      <c r="F136" s="1" t="s">
        <v>314</v>
      </c>
      <c r="G136" s="2">
        <v>38</v>
      </c>
      <c r="H136" s="101">
        <v>8</v>
      </c>
      <c r="I136" s="101"/>
      <c r="J136" s="39">
        <v>1</v>
      </c>
      <c r="K136" s="53" t="s">
        <v>80</v>
      </c>
      <c r="L136" s="66">
        <v>0</v>
      </c>
      <c r="M136" s="8" t="s">
        <v>738</v>
      </c>
      <c r="N136" s="1" t="s">
        <v>80</v>
      </c>
      <c r="O136" s="7"/>
      <c r="P136" s="112">
        <v>46273.489004629628</v>
      </c>
      <c r="Q136" s="112">
        <v>46293.368321759262</v>
      </c>
      <c r="R136" s="112">
        <v>46293.368321759262</v>
      </c>
      <c r="S136" s="1" t="s">
        <v>693</v>
      </c>
      <c r="T136" s="1" t="s">
        <v>81</v>
      </c>
      <c r="U136" s="4"/>
      <c r="V136" s="2"/>
      <c r="W136" s="112"/>
      <c r="X136" s="1"/>
      <c r="Y136" s="1" t="s">
        <v>81</v>
      </c>
      <c r="Z136" s="112">
        <v>46276.735648148147</v>
      </c>
      <c r="AA136" s="1"/>
      <c r="AB136" s="4"/>
      <c r="AC136" s="4"/>
      <c r="AD136" s="1"/>
      <c r="AE136" s="1" t="s">
        <v>63</v>
      </c>
      <c r="AF136" s="1"/>
      <c r="AG136" s="2"/>
      <c r="AH136" s="1"/>
      <c r="AI136" s="1"/>
      <c r="AJ136" s="1" t="s">
        <v>693</v>
      </c>
      <c r="AK136" s="112">
        <v>46293.368321759262</v>
      </c>
      <c r="AL136" s="1"/>
      <c r="AM136" s="1"/>
      <c r="AN136" s="1"/>
      <c r="AO136" s="1"/>
      <c r="AP136" s="1"/>
      <c r="AQ136" s="1"/>
      <c r="AR136" s="1" t="s">
        <v>693</v>
      </c>
      <c r="AS136" s="1"/>
      <c r="AT136" s="2"/>
      <c r="AU136" s="1"/>
      <c r="AV136" s="2">
        <v>0</v>
      </c>
      <c r="AW136" s="4"/>
      <c r="AX136" s="112"/>
      <c r="AY136" s="4"/>
      <c r="AZ136" s="1"/>
      <c r="BA136" s="1"/>
      <c r="BB136" s="1" t="s">
        <v>503</v>
      </c>
      <c r="BC136" s="4"/>
      <c r="BD136" s="1" t="s">
        <v>85</v>
      </c>
      <c r="BE136" s="4"/>
      <c r="BF136" s="2">
        <v>2107</v>
      </c>
      <c r="BG136" s="4"/>
      <c r="BH136" s="1"/>
      <c r="BI136" s="1" t="s">
        <v>86</v>
      </c>
    </row>
    <row r="137" spans="1:61" ht="13.5" customHeight="1" x14ac:dyDescent="0.25">
      <c r="A137" s="2">
        <v>2184</v>
      </c>
      <c r="B137" s="1" t="s">
        <v>1069</v>
      </c>
      <c r="C137" s="1" t="s">
        <v>47</v>
      </c>
      <c r="D137" s="1" t="s">
        <v>311</v>
      </c>
      <c r="E137" s="1" t="s">
        <v>701</v>
      </c>
      <c r="F137" s="1" t="s">
        <v>314</v>
      </c>
      <c r="G137" s="2">
        <v>38</v>
      </c>
      <c r="H137" s="101">
        <v>8</v>
      </c>
      <c r="I137" s="101"/>
      <c r="J137" s="39">
        <v>1</v>
      </c>
      <c r="K137" s="53" t="s">
        <v>80</v>
      </c>
      <c r="L137" s="66">
        <v>0</v>
      </c>
      <c r="M137" s="8" t="s">
        <v>738</v>
      </c>
      <c r="N137" s="1" t="s">
        <v>80</v>
      </c>
      <c r="O137" s="7"/>
      <c r="P137" s="112">
        <v>46273.494618055556</v>
      </c>
      <c r="Q137" s="112">
        <v>46293.368298611109</v>
      </c>
      <c r="R137" s="112">
        <v>46293.368298611109</v>
      </c>
      <c r="S137" s="1" t="s">
        <v>693</v>
      </c>
      <c r="T137" s="1" t="s">
        <v>81</v>
      </c>
      <c r="U137" s="4"/>
      <c r="V137" s="2"/>
      <c r="W137" s="112"/>
      <c r="X137" s="1"/>
      <c r="Y137" s="1" t="s">
        <v>81</v>
      </c>
      <c r="Z137" s="112">
        <v>46276.735671296294</v>
      </c>
      <c r="AA137" s="1"/>
      <c r="AB137" s="4"/>
      <c r="AC137" s="4"/>
      <c r="AD137" s="1"/>
      <c r="AE137" s="1" t="s">
        <v>63</v>
      </c>
      <c r="AF137" s="1"/>
      <c r="AG137" s="2"/>
      <c r="AH137" s="1"/>
      <c r="AI137" s="1"/>
      <c r="AJ137" s="1" t="s">
        <v>693</v>
      </c>
      <c r="AK137" s="112">
        <v>46293.368298611109</v>
      </c>
      <c r="AL137" s="1"/>
      <c r="AM137" s="1"/>
      <c r="AN137" s="1"/>
      <c r="AO137" s="1"/>
      <c r="AP137" s="1"/>
      <c r="AQ137" s="1"/>
      <c r="AR137" s="1" t="s">
        <v>693</v>
      </c>
      <c r="AS137" s="1"/>
      <c r="AT137" s="2"/>
      <c r="AU137" s="1"/>
      <c r="AV137" s="2">
        <v>0</v>
      </c>
      <c r="AW137" s="4"/>
      <c r="AX137" s="112"/>
      <c r="AY137" s="4"/>
      <c r="AZ137" s="1"/>
      <c r="BA137" s="1"/>
      <c r="BB137" s="1" t="s">
        <v>503</v>
      </c>
      <c r="BC137" s="4"/>
      <c r="BD137" s="1" t="s">
        <v>85</v>
      </c>
      <c r="BE137" s="4"/>
      <c r="BF137" s="2">
        <v>2107</v>
      </c>
      <c r="BG137" s="4"/>
      <c r="BH137" s="1"/>
      <c r="BI137" s="1" t="s">
        <v>86</v>
      </c>
    </row>
    <row r="138" spans="1:61" ht="13.5" customHeight="1" x14ac:dyDescent="0.25">
      <c r="A138" s="2">
        <v>2185</v>
      </c>
      <c r="B138" s="1" t="s">
        <v>1070</v>
      </c>
      <c r="C138" s="1" t="s">
        <v>47</v>
      </c>
      <c r="D138" s="1" t="s">
        <v>311</v>
      </c>
      <c r="E138" s="1" t="s">
        <v>701</v>
      </c>
      <c r="F138" s="1" t="s">
        <v>314</v>
      </c>
      <c r="G138" s="2">
        <v>38</v>
      </c>
      <c r="H138" s="101">
        <v>8</v>
      </c>
      <c r="I138" s="101"/>
      <c r="J138" s="39">
        <v>1</v>
      </c>
      <c r="K138" s="53" t="s">
        <v>80</v>
      </c>
      <c r="L138" s="66">
        <v>0</v>
      </c>
      <c r="M138" s="8" t="s">
        <v>738</v>
      </c>
      <c r="N138" s="1" t="s">
        <v>80</v>
      </c>
      <c r="O138" s="7"/>
      <c r="P138" s="112">
        <v>46273.49800925926</v>
      </c>
      <c r="Q138" s="112">
        <v>46293.368356481478</v>
      </c>
      <c r="R138" s="112">
        <v>46293.368356481478</v>
      </c>
      <c r="S138" s="1" t="s">
        <v>693</v>
      </c>
      <c r="T138" s="1" t="s">
        <v>81</v>
      </c>
      <c r="U138" s="4"/>
      <c r="V138" s="2"/>
      <c r="W138" s="112"/>
      <c r="X138" s="1"/>
      <c r="Y138" s="1" t="s">
        <v>81</v>
      </c>
      <c r="Z138" s="112">
        <v>46276.735868055555</v>
      </c>
      <c r="AA138" s="1"/>
      <c r="AB138" s="4"/>
      <c r="AC138" s="4"/>
      <c r="AD138" s="1"/>
      <c r="AE138" s="1" t="s">
        <v>63</v>
      </c>
      <c r="AF138" s="1"/>
      <c r="AG138" s="2"/>
      <c r="AH138" s="1"/>
      <c r="AI138" s="1"/>
      <c r="AJ138" s="1" t="s">
        <v>693</v>
      </c>
      <c r="AK138" s="112">
        <v>46293.368356481478</v>
      </c>
      <c r="AL138" s="1"/>
      <c r="AM138" s="1"/>
      <c r="AN138" s="1"/>
      <c r="AO138" s="1"/>
      <c r="AP138" s="1"/>
      <c r="AQ138" s="1"/>
      <c r="AR138" s="1" t="s">
        <v>693</v>
      </c>
      <c r="AS138" s="1"/>
      <c r="AT138" s="2"/>
      <c r="AU138" s="1"/>
      <c r="AV138" s="2">
        <v>0</v>
      </c>
      <c r="AW138" s="4"/>
      <c r="AX138" s="112"/>
      <c r="AY138" s="4"/>
      <c r="AZ138" s="1"/>
      <c r="BA138" s="1"/>
      <c r="BB138" s="1" t="s">
        <v>503</v>
      </c>
      <c r="BC138" s="4"/>
      <c r="BD138" s="1" t="s">
        <v>85</v>
      </c>
      <c r="BE138" s="4"/>
      <c r="BF138" s="2">
        <v>2107</v>
      </c>
      <c r="BG138" s="4"/>
      <c r="BH138" s="1"/>
      <c r="BI138" s="1" t="s">
        <v>86</v>
      </c>
    </row>
    <row r="139" spans="1:61" ht="13.5" customHeight="1" x14ac:dyDescent="0.25">
      <c r="A139" s="2">
        <v>2186</v>
      </c>
      <c r="B139" s="1" t="s">
        <v>1071</v>
      </c>
      <c r="C139" s="1" t="s">
        <v>47</v>
      </c>
      <c r="D139" s="1" t="s">
        <v>311</v>
      </c>
      <c r="E139" s="1" t="s">
        <v>701</v>
      </c>
      <c r="F139" s="1" t="s">
        <v>314</v>
      </c>
      <c r="G139" s="2">
        <v>38</v>
      </c>
      <c r="H139" s="101">
        <v>8</v>
      </c>
      <c r="I139" s="101"/>
      <c r="J139" s="39">
        <v>1</v>
      </c>
      <c r="K139" s="53" t="s">
        <v>80</v>
      </c>
      <c r="L139" s="66">
        <v>0</v>
      </c>
      <c r="M139" s="8" t="s">
        <v>738</v>
      </c>
      <c r="N139" s="1" t="s">
        <v>80</v>
      </c>
      <c r="O139" s="7"/>
      <c r="P139" s="112">
        <v>46273.49800925926</v>
      </c>
      <c r="Q139" s="112">
        <v>46293.368333333332</v>
      </c>
      <c r="R139" s="112">
        <v>46293.368333333332</v>
      </c>
      <c r="S139" s="1" t="s">
        <v>693</v>
      </c>
      <c r="T139" s="1" t="s">
        <v>81</v>
      </c>
      <c r="U139" s="4"/>
      <c r="V139" s="2"/>
      <c r="W139" s="112"/>
      <c r="X139" s="1"/>
      <c r="Y139" s="1" t="s">
        <v>81</v>
      </c>
      <c r="Z139" s="112">
        <v>46276.735995370371</v>
      </c>
      <c r="AA139" s="1"/>
      <c r="AB139" s="4"/>
      <c r="AC139" s="4"/>
      <c r="AD139" s="1"/>
      <c r="AE139" s="1" t="s">
        <v>63</v>
      </c>
      <c r="AF139" s="1"/>
      <c r="AG139" s="2"/>
      <c r="AH139" s="1"/>
      <c r="AI139" s="1"/>
      <c r="AJ139" s="1" t="s">
        <v>693</v>
      </c>
      <c r="AK139" s="112">
        <v>46293.368333333332</v>
      </c>
      <c r="AL139" s="1"/>
      <c r="AM139" s="1"/>
      <c r="AN139" s="1"/>
      <c r="AO139" s="1"/>
      <c r="AP139" s="1"/>
      <c r="AQ139" s="1"/>
      <c r="AR139" s="1" t="s">
        <v>693</v>
      </c>
      <c r="AS139" s="1"/>
      <c r="AT139" s="2"/>
      <c r="AU139" s="1"/>
      <c r="AV139" s="2">
        <v>0</v>
      </c>
      <c r="AW139" s="4"/>
      <c r="AX139" s="112"/>
      <c r="AY139" s="4"/>
      <c r="AZ139" s="1"/>
      <c r="BA139" s="1"/>
      <c r="BB139" s="1" t="s">
        <v>503</v>
      </c>
      <c r="BC139" s="4"/>
      <c r="BD139" s="1" t="s">
        <v>85</v>
      </c>
      <c r="BE139" s="4"/>
      <c r="BF139" s="2">
        <v>2107</v>
      </c>
      <c r="BG139" s="4"/>
      <c r="BH139" s="1"/>
      <c r="BI139" s="1" t="s">
        <v>86</v>
      </c>
    </row>
    <row r="140" spans="1:61" ht="13.5" customHeight="1" x14ac:dyDescent="0.25">
      <c r="A140" s="2">
        <v>2189</v>
      </c>
      <c r="B140" s="1" t="s">
        <v>1072</v>
      </c>
      <c r="C140" s="1" t="s">
        <v>47</v>
      </c>
      <c r="D140" s="1" t="s">
        <v>311</v>
      </c>
      <c r="E140" s="1" t="s">
        <v>701</v>
      </c>
      <c r="F140" s="1" t="s">
        <v>314</v>
      </c>
      <c r="G140" s="2">
        <v>38</v>
      </c>
      <c r="H140" s="101">
        <v>8</v>
      </c>
      <c r="I140" s="101"/>
      <c r="J140" s="39">
        <v>1</v>
      </c>
      <c r="K140" s="53" t="s">
        <v>80</v>
      </c>
      <c r="L140" s="66">
        <v>0</v>
      </c>
      <c r="M140" s="8" t="s">
        <v>738</v>
      </c>
      <c r="N140" s="1" t="s">
        <v>80</v>
      </c>
      <c r="O140" s="7"/>
      <c r="P140" s="112">
        <v>46273.49800925926</v>
      </c>
      <c r="Q140" s="112">
        <v>46293.368287037039</v>
      </c>
      <c r="R140" s="112">
        <v>46293.368287037039</v>
      </c>
      <c r="S140" s="1" t="s">
        <v>693</v>
      </c>
      <c r="T140" s="1" t="s">
        <v>81</v>
      </c>
      <c r="U140" s="4"/>
      <c r="V140" s="2"/>
      <c r="W140" s="112"/>
      <c r="X140" s="1"/>
      <c r="Y140" s="1" t="s">
        <v>738</v>
      </c>
      <c r="Z140" s="112">
        <v>46282.722291666665</v>
      </c>
      <c r="AA140" s="1"/>
      <c r="AB140" s="4"/>
      <c r="AC140" s="4"/>
      <c r="AD140" s="1"/>
      <c r="AE140" s="1" t="s">
        <v>63</v>
      </c>
      <c r="AF140" s="1"/>
      <c r="AG140" s="2"/>
      <c r="AH140" s="1"/>
      <c r="AI140" s="1"/>
      <c r="AJ140" s="1" t="s">
        <v>693</v>
      </c>
      <c r="AK140" s="112">
        <v>46293.368287037039</v>
      </c>
      <c r="AL140" s="1"/>
      <c r="AM140" s="1"/>
      <c r="AN140" s="1"/>
      <c r="AO140" s="1"/>
      <c r="AP140" s="1"/>
      <c r="AQ140" s="1"/>
      <c r="AR140" s="1" t="s">
        <v>693</v>
      </c>
      <c r="AS140" s="1"/>
      <c r="AT140" s="2"/>
      <c r="AU140" s="1"/>
      <c r="AV140" s="2">
        <v>0</v>
      </c>
      <c r="AW140" s="4"/>
      <c r="AX140" s="112"/>
      <c r="AY140" s="4"/>
      <c r="AZ140" s="1"/>
      <c r="BA140" s="1"/>
      <c r="BB140" s="1" t="s">
        <v>503</v>
      </c>
      <c r="BC140" s="4"/>
      <c r="BD140" s="1" t="s">
        <v>85</v>
      </c>
      <c r="BE140" s="4"/>
      <c r="BF140" s="2">
        <v>2107</v>
      </c>
      <c r="BG140" s="4"/>
      <c r="BH140" s="1"/>
      <c r="BI140" s="1" t="s">
        <v>86</v>
      </c>
    </row>
    <row r="141" spans="1:61" ht="13.5" customHeight="1" x14ac:dyDescent="0.25">
      <c r="A141" s="2">
        <v>2192</v>
      </c>
      <c r="B141" s="1" t="s">
        <v>907</v>
      </c>
      <c r="C141" s="1" t="s">
        <v>47</v>
      </c>
      <c r="D141" s="1" t="s">
        <v>710</v>
      </c>
      <c r="E141" s="1" t="s">
        <v>699</v>
      </c>
      <c r="F141" s="1" t="s">
        <v>709</v>
      </c>
      <c r="G141" s="2"/>
      <c r="H141" s="101"/>
      <c r="I141" s="101"/>
      <c r="J141" s="39">
        <v>1</v>
      </c>
      <c r="K141" s="53" t="s">
        <v>80</v>
      </c>
      <c r="L141" s="66">
        <v>0</v>
      </c>
      <c r="M141" s="8" t="s">
        <v>737</v>
      </c>
      <c r="N141" s="1" t="s">
        <v>80</v>
      </c>
      <c r="O141" s="7" t="s">
        <v>908</v>
      </c>
      <c r="P141" s="112">
        <v>46273.747627314813</v>
      </c>
      <c r="Q141" s="112">
        <v>46283.631249999999</v>
      </c>
      <c r="R141" s="112">
        <v>46283.631249999999</v>
      </c>
      <c r="S141" s="1" t="s">
        <v>693</v>
      </c>
      <c r="T141" s="1" t="s">
        <v>155</v>
      </c>
      <c r="U141" s="4" t="s">
        <v>666</v>
      </c>
      <c r="V141" s="2"/>
      <c r="W141" s="112"/>
      <c r="X141" s="1"/>
      <c r="Y141" s="1" t="s">
        <v>155</v>
      </c>
      <c r="Z141" s="112">
        <v>46281.369490740741</v>
      </c>
      <c r="AA141" s="1"/>
      <c r="AB141" s="4"/>
      <c r="AC141" s="4"/>
      <c r="AD141" s="1"/>
      <c r="AE141" s="1" t="s">
        <v>63</v>
      </c>
      <c r="AF141" s="1"/>
      <c r="AG141" s="2"/>
      <c r="AH141" s="1"/>
      <c r="AI141" s="1"/>
      <c r="AJ141" s="1" t="s">
        <v>693</v>
      </c>
      <c r="AK141" s="112">
        <v>46283.631249999999</v>
      </c>
      <c r="AL141" s="1"/>
      <c r="AM141" s="1"/>
      <c r="AN141" s="1"/>
      <c r="AO141" s="1"/>
      <c r="AP141" s="1"/>
      <c r="AQ141" s="1"/>
      <c r="AR141" s="1" t="s">
        <v>693</v>
      </c>
      <c r="AS141" s="1"/>
      <c r="AT141" s="2"/>
      <c r="AU141" s="1"/>
      <c r="AV141" s="2">
        <v>3</v>
      </c>
      <c r="AW141" s="4"/>
      <c r="AX141" s="112"/>
      <c r="AY141" s="4"/>
      <c r="AZ141" s="1"/>
      <c r="BA141" s="1"/>
      <c r="BB141" s="1" t="s">
        <v>503</v>
      </c>
      <c r="BC141" s="4"/>
      <c r="BD141" s="1" t="s">
        <v>85</v>
      </c>
      <c r="BE141" s="4"/>
      <c r="BF141" s="2"/>
      <c r="BG141" s="4"/>
      <c r="BH141" s="1"/>
      <c r="BI141" s="1" t="s">
        <v>86</v>
      </c>
    </row>
    <row r="142" spans="1:61" ht="13.5" customHeight="1" x14ac:dyDescent="0.25">
      <c r="A142" s="2">
        <v>2195</v>
      </c>
      <c r="B142" s="1" t="s">
        <v>909</v>
      </c>
      <c r="C142" s="1" t="s">
        <v>47</v>
      </c>
      <c r="D142" s="1" t="s">
        <v>711</v>
      </c>
      <c r="E142" s="1" t="s">
        <v>702</v>
      </c>
      <c r="F142" s="1" t="s">
        <v>314</v>
      </c>
      <c r="G142" s="2">
        <v>37</v>
      </c>
      <c r="H142" s="101"/>
      <c r="I142" s="101"/>
      <c r="J142" s="39">
        <v>2</v>
      </c>
      <c r="K142" s="53" t="s">
        <v>80</v>
      </c>
      <c r="L142" s="66">
        <v>0</v>
      </c>
      <c r="M142" s="8" t="s">
        <v>91</v>
      </c>
      <c r="N142" s="1" t="s">
        <v>80</v>
      </c>
      <c r="O142" s="7" t="s">
        <v>910</v>
      </c>
      <c r="P142" s="113">
        <v>46274.6565162037</v>
      </c>
      <c r="Q142" s="113">
        <v>46286.435277777775</v>
      </c>
      <c r="R142" s="113">
        <v>46286.435277777775</v>
      </c>
      <c r="S142" s="1" t="s">
        <v>693</v>
      </c>
      <c r="T142" s="1" t="s">
        <v>693</v>
      </c>
      <c r="U142" s="4"/>
      <c r="V142" s="2"/>
      <c r="W142" s="113"/>
      <c r="X142" s="1"/>
      <c r="Y142" s="1" t="s">
        <v>91</v>
      </c>
      <c r="Z142" s="113">
        <v>46275.702326388891</v>
      </c>
      <c r="AA142" s="1"/>
      <c r="AB142" s="4"/>
      <c r="AC142" s="4"/>
      <c r="AD142" s="1"/>
      <c r="AE142" s="1" t="s">
        <v>63</v>
      </c>
      <c r="AF142" s="1"/>
      <c r="AG142" s="2"/>
      <c r="AH142" s="1"/>
      <c r="AI142" s="1"/>
      <c r="AJ142" s="1" t="s">
        <v>693</v>
      </c>
      <c r="AK142" s="113">
        <v>46286.435277777775</v>
      </c>
      <c r="AL142" s="1"/>
      <c r="AM142" s="1"/>
      <c r="AN142" s="1"/>
      <c r="AO142" s="1"/>
      <c r="AP142" s="1"/>
      <c r="AQ142" s="1"/>
      <c r="AR142" s="1" t="s">
        <v>693</v>
      </c>
      <c r="AS142" s="1"/>
      <c r="AT142" s="2"/>
      <c r="AU142" s="1"/>
      <c r="AV142" s="2">
        <v>2</v>
      </c>
      <c r="AW142" s="4"/>
      <c r="AX142" s="113"/>
      <c r="AY142" s="4"/>
      <c r="AZ142" s="1"/>
      <c r="BA142" s="1"/>
      <c r="BB142" s="1" t="s">
        <v>503</v>
      </c>
      <c r="BC142" s="4"/>
      <c r="BD142" s="1" t="s">
        <v>85</v>
      </c>
      <c r="BE142" s="4"/>
      <c r="BF142" s="2"/>
      <c r="BG142" s="4"/>
      <c r="BH142" s="1"/>
      <c r="BI142" s="1" t="s">
        <v>86</v>
      </c>
    </row>
    <row r="143" spans="1:61" ht="13.5" customHeight="1" x14ac:dyDescent="0.25">
      <c r="A143" s="2">
        <v>2197</v>
      </c>
      <c r="B143" s="1" t="s">
        <v>911</v>
      </c>
      <c r="C143" s="1" t="s">
        <v>47</v>
      </c>
      <c r="D143" s="1" t="s">
        <v>711</v>
      </c>
      <c r="E143" s="1" t="s">
        <v>702</v>
      </c>
      <c r="F143" s="1" t="s">
        <v>466</v>
      </c>
      <c r="G143" s="2">
        <v>38</v>
      </c>
      <c r="H143" s="101">
        <v>1</v>
      </c>
      <c r="I143" s="101"/>
      <c r="J143" s="39">
        <v>1</v>
      </c>
      <c r="K143" s="53" t="s">
        <v>80</v>
      </c>
      <c r="L143" s="66">
        <v>0</v>
      </c>
      <c r="M143" s="8" t="s">
        <v>91</v>
      </c>
      <c r="N143" s="1" t="s">
        <v>80</v>
      </c>
      <c r="O143" s="7" t="s">
        <v>912</v>
      </c>
      <c r="P143" s="113">
        <v>46276.45108796296</v>
      </c>
      <c r="Q143" s="113">
        <v>46283.631111111114</v>
      </c>
      <c r="R143" s="113">
        <v>46283.631111111114</v>
      </c>
      <c r="S143" s="1" t="s">
        <v>693</v>
      </c>
      <c r="T143" s="1" t="s">
        <v>155</v>
      </c>
      <c r="U143" s="4" t="s">
        <v>666</v>
      </c>
      <c r="V143" s="2"/>
      <c r="W143" s="113"/>
      <c r="X143" s="1"/>
      <c r="Y143" s="1" t="s">
        <v>91</v>
      </c>
      <c r="Z143" s="113">
        <v>46276.453090277777</v>
      </c>
      <c r="AA143" s="1"/>
      <c r="AB143" s="4"/>
      <c r="AC143" s="4"/>
      <c r="AD143" s="1"/>
      <c r="AE143" s="1" t="s">
        <v>63</v>
      </c>
      <c r="AF143" s="1"/>
      <c r="AG143" s="2"/>
      <c r="AH143" s="1"/>
      <c r="AI143" s="1"/>
      <c r="AJ143" s="1" t="s">
        <v>693</v>
      </c>
      <c r="AK143" s="113">
        <v>46283.631111111114</v>
      </c>
      <c r="AL143" s="1"/>
      <c r="AM143" s="1"/>
      <c r="AN143" s="1"/>
      <c r="AO143" s="1"/>
      <c r="AP143" s="1"/>
      <c r="AQ143" s="1"/>
      <c r="AR143" s="1" t="s">
        <v>693</v>
      </c>
      <c r="AS143" s="1"/>
      <c r="AT143" s="2"/>
      <c r="AU143" s="1"/>
      <c r="AV143" s="2">
        <v>3</v>
      </c>
      <c r="AW143" s="4"/>
      <c r="AX143" s="113"/>
      <c r="AY143" s="4"/>
      <c r="AZ143" s="1"/>
      <c r="BA143" s="1"/>
      <c r="BB143" s="1" t="s">
        <v>503</v>
      </c>
      <c r="BC143" s="4"/>
      <c r="BD143" s="1" t="s">
        <v>85</v>
      </c>
      <c r="BE143" s="4"/>
      <c r="BF143" s="2"/>
      <c r="BG143" s="4"/>
      <c r="BH143" s="1"/>
      <c r="BI143" s="1" t="s">
        <v>86</v>
      </c>
    </row>
    <row r="144" spans="1:61" ht="13.5" customHeight="1" x14ac:dyDescent="0.25">
      <c r="A144" s="2">
        <v>2199</v>
      </c>
      <c r="B144" s="1" t="s">
        <v>913</v>
      </c>
      <c r="C144" s="1" t="s">
        <v>47</v>
      </c>
      <c r="D144" s="1" t="s">
        <v>710</v>
      </c>
      <c r="E144" s="1" t="s">
        <v>699</v>
      </c>
      <c r="F144" s="1" t="s">
        <v>466</v>
      </c>
      <c r="G144" s="2">
        <v>38</v>
      </c>
      <c r="H144" s="101">
        <v>10</v>
      </c>
      <c r="I144" s="101"/>
      <c r="J144" s="39">
        <v>1</v>
      </c>
      <c r="K144" s="53" t="s">
        <v>80</v>
      </c>
      <c r="L144" s="66">
        <v>0</v>
      </c>
      <c r="M144" s="8" t="s">
        <v>91</v>
      </c>
      <c r="N144" s="1" t="s">
        <v>80</v>
      </c>
      <c r="O144" s="7" t="s">
        <v>914</v>
      </c>
      <c r="P144" s="114">
        <v>46276.684351851851</v>
      </c>
      <c r="Q144" s="114">
        <v>46286.435023148151</v>
      </c>
      <c r="R144" s="114">
        <v>46286.435023148151</v>
      </c>
      <c r="S144" s="1" t="s">
        <v>693</v>
      </c>
      <c r="T144" s="1" t="s">
        <v>155</v>
      </c>
      <c r="U144" s="4" t="s">
        <v>666</v>
      </c>
      <c r="V144" s="2"/>
      <c r="W144" s="114"/>
      <c r="X144" s="1"/>
      <c r="Y144" s="1" t="s">
        <v>91</v>
      </c>
      <c r="Z144" s="114">
        <v>46276.707754629628</v>
      </c>
      <c r="AA144" s="1"/>
      <c r="AB144" s="4"/>
      <c r="AC144" s="4"/>
      <c r="AD144" s="1"/>
      <c r="AE144" s="1" t="s">
        <v>63</v>
      </c>
      <c r="AF144" s="1"/>
      <c r="AG144" s="2"/>
      <c r="AH144" s="1"/>
      <c r="AI144" s="1"/>
      <c r="AJ144" s="1" t="s">
        <v>693</v>
      </c>
      <c r="AK144" s="114">
        <v>46286.435023148151</v>
      </c>
      <c r="AL144" s="1"/>
      <c r="AM144" s="1"/>
      <c r="AN144" s="1"/>
      <c r="AO144" s="1"/>
      <c r="AP144" s="1"/>
      <c r="AQ144" s="1"/>
      <c r="AR144" s="1" t="s">
        <v>693</v>
      </c>
      <c r="AS144" s="1"/>
      <c r="AT144" s="2"/>
      <c r="AU144" s="1"/>
      <c r="AV144" s="2">
        <v>0</v>
      </c>
      <c r="AW144" s="4"/>
      <c r="AX144" s="114"/>
      <c r="AY144" s="4"/>
      <c r="AZ144" s="1"/>
      <c r="BA144" s="1"/>
      <c r="BB144" s="1" t="s">
        <v>503</v>
      </c>
      <c r="BC144" s="4"/>
      <c r="BD144" s="1" t="s">
        <v>85</v>
      </c>
      <c r="BE144" s="4"/>
      <c r="BF144" s="2"/>
      <c r="BG144" s="4"/>
      <c r="BH144" s="1"/>
      <c r="BI144" s="1" t="s">
        <v>86</v>
      </c>
    </row>
    <row r="145" spans="1:61" ht="13.5" customHeight="1" x14ac:dyDescent="0.25">
      <c r="A145" s="2">
        <v>2201</v>
      </c>
      <c r="B145" s="1" t="s">
        <v>915</v>
      </c>
      <c r="C145" s="1" t="s">
        <v>47</v>
      </c>
      <c r="D145" s="1" t="s">
        <v>310</v>
      </c>
      <c r="E145" s="1" t="s">
        <v>708</v>
      </c>
      <c r="F145" s="1" t="s">
        <v>466</v>
      </c>
      <c r="G145" s="2">
        <v>38</v>
      </c>
      <c r="H145" s="101">
        <v>6</v>
      </c>
      <c r="I145" s="101"/>
      <c r="J145" s="39">
        <v>2</v>
      </c>
      <c r="K145" s="53" t="s">
        <v>80</v>
      </c>
      <c r="L145" s="66">
        <v>0</v>
      </c>
      <c r="M145" s="8" t="s">
        <v>737</v>
      </c>
      <c r="N145" s="1" t="s">
        <v>80</v>
      </c>
      <c r="O145" s="7" t="s">
        <v>916</v>
      </c>
      <c r="P145" s="114">
        <v>46282.393784722219</v>
      </c>
      <c r="Q145" s="114">
        <v>46283.713761574072</v>
      </c>
      <c r="R145" s="114">
        <v>46283.713761574072</v>
      </c>
      <c r="S145" s="1" t="s">
        <v>371</v>
      </c>
      <c r="T145" s="1" t="s">
        <v>693</v>
      </c>
      <c r="U145" s="4" t="s">
        <v>666</v>
      </c>
      <c r="V145" s="2"/>
      <c r="W145" s="114"/>
      <c r="X145" s="1"/>
      <c r="Y145" s="1" t="s">
        <v>737</v>
      </c>
      <c r="Z145" s="114">
        <v>46282.471296296295</v>
      </c>
      <c r="AA145" s="1"/>
      <c r="AB145" s="4"/>
      <c r="AC145" s="4"/>
      <c r="AD145" s="1"/>
      <c r="AE145" s="1" t="s">
        <v>63</v>
      </c>
      <c r="AF145" s="1"/>
      <c r="AG145" s="2"/>
      <c r="AH145" s="1"/>
      <c r="AI145" s="1"/>
      <c r="AJ145" s="1" t="s">
        <v>371</v>
      </c>
      <c r="AK145" s="114">
        <v>46283.713761574072</v>
      </c>
      <c r="AL145" s="1"/>
      <c r="AM145" s="1"/>
      <c r="AN145" s="1"/>
      <c r="AO145" s="1"/>
      <c r="AP145" s="1"/>
      <c r="AQ145" s="1"/>
      <c r="AR145" s="1" t="s">
        <v>371</v>
      </c>
      <c r="AS145" s="1"/>
      <c r="AT145" s="2"/>
      <c r="AU145" s="1"/>
      <c r="AV145" s="2">
        <v>2</v>
      </c>
      <c r="AW145" s="4"/>
      <c r="AX145" s="114"/>
      <c r="AY145" s="4"/>
      <c r="AZ145" s="1"/>
      <c r="BA145" s="1"/>
      <c r="BB145" s="1" t="s">
        <v>503</v>
      </c>
      <c r="BC145" s="4"/>
      <c r="BD145" s="1" t="s">
        <v>85</v>
      </c>
      <c r="BE145" s="4"/>
      <c r="BF145" s="2"/>
      <c r="BG145" s="4"/>
      <c r="BH145" s="1"/>
      <c r="BI145" s="1" t="s">
        <v>86</v>
      </c>
    </row>
    <row r="146" spans="1:61" ht="13.5" customHeight="1" x14ac:dyDescent="0.25">
      <c r="A146" s="2">
        <v>2206</v>
      </c>
      <c r="B146" s="1" t="s">
        <v>1073</v>
      </c>
      <c r="C146" s="1" t="s">
        <v>47</v>
      </c>
      <c r="D146" s="1" t="s">
        <v>728</v>
      </c>
      <c r="E146" s="1" t="s">
        <v>731</v>
      </c>
      <c r="F146" s="1" t="s">
        <v>709</v>
      </c>
      <c r="G146" s="2">
        <v>39</v>
      </c>
      <c r="H146" s="101">
        <v>4</v>
      </c>
      <c r="I146" s="101"/>
      <c r="J146" s="39">
        <v>1</v>
      </c>
      <c r="K146" s="53" t="s">
        <v>80</v>
      </c>
      <c r="L146" s="66">
        <v>0</v>
      </c>
      <c r="M146" s="8" t="s">
        <v>693</v>
      </c>
      <c r="N146" s="1" t="s">
        <v>80</v>
      </c>
      <c r="O146" s="7" t="s">
        <v>1074</v>
      </c>
      <c r="P146" s="114">
        <v>46283.642488425925</v>
      </c>
      <c r="Q146" s="114">
        <v>46293.36818287037</v>
      </c>
      <c r="R146" s="114">
        <v>46293.36818287037</v>
      </c>
      <c r="S146" s="1" t="s">
        <v>693</v>
      </c>
      <c r="T146" s="1" t="s">
        <v>155</v>
      </c>
      <c r="U146" s="4"/>
      <c r="V146" s="2"/>
      <c r="W146" s="114"/>
      <c r="X146" s="1"/>
      <c r="Y146" s="1" t="s">
        <v>693</v>
      </c>
      <c r="Z146" s="114">
        <v>46288.619027777779</v>
      </c>
      <c r="AA146" s="1"/>
      <c r="AB146" s="4"/>
      <c r="AC146" s="4"/>
      <c r="AD146" s="1"/>
      <c r="AE146" s="1" t="s">
        <v>63</v>
      </c>
      <c r="AF146" s="1"/>
      <c r="AG146" s="2"/>
      <c r="AH146" s="1"/>
      <c r="AI146" s="1"/>
      <c r="AJ146" s="1" t="s">
        <v>693</v>
      </c>
      <c r="AK146" s="114">
        <v>46293.36818287037</v>
      </c>
      <c r="AL146" s="1"/>
      <c r="AM146" s="1"/>
      <c r="AN146" s="1"/>
      <c r="AO146" s="1"/>
      <c r="AP146" s="1"/>
      <c r="AQ146" s="1"/>
      <c r="AR146" s="1" t="s">
        <v>693</v>
      </c>
      <c r="AS146" s="1"/>
      <c r="AT146" s="2"/>
      <c r="AU146" s="1"/>
      <c r="AV146" s="2">
        <v>0</v>
      </c>
      <c r="AW146" s="4"/>
      <c r="AX146" s="114"/>
      <c r="AY146" s="4"/>
      <c r="AZ146" s="1"/>
      <c r="BA146" s="1"/>
      <c r="BB146" s="1" t="s">
        <v>503</v>
      </c>
      <c r="BC146" s="4"/>
      <c r="BD146" s="1" t="s">
        <v>85</v>
      </c>
      <c r="BE146" s="4"/>
      <c r="BF146" s="2"/>
      <c r="BG146" s="4"/>
      <c r="BH146" s="1"/>
      <c r="BI146" s="1" t="s">
        <v>86</v>
      </c>
    </row>
    <row r="147" spans="1:61" ht="13.5" customHeight="1" x14ac:dyDescent="0.25">
      <c r="A147" s="2">
        <v>2212</v>
      </c>
      <c r="B147" s="1" t="s">
        <v>1075</v>
      </c>
      <c r="C147" s="1" t="s">
        <v>47</v>
      </c>
      <c r="D147" s="1" t="s">
        <v>309</v>
      </c>
      <c r="E147" s="1" t="s">
        <v>729</v>
      </c>
      <c r="F147" s="1" t="s">
        <v>466</v>
      </c>
      <c r="G147" s="2">
        <v>39</v>
      </c>
      <c r="H147" s="101">
        <v>4</v>
      </c>
      <c r="I147" s="101"/>
      <c r="J147" s="39">
        <v>1</v>
      </c>
      <c r="K147" s="53" t="s">
        <v>80</v>
      </c>
      <c r="L147" s="66">
        <v>0</v>
      </c>
      <c r="M147" s="8" t="s">
        <v>693</v>
      </c>
      <c r="N147" s="1" t="s">
        <v>80</v>
      </c>
      <c r="O147" s="7" t="s">
        <v>1078</v>
      </c>
      <c r="P147" s="114">
        <v>46287.408472222225</v>
      </c>
      <c r="Q147" s="114">
        <v>46293.368206018517</v>
      </c>
      <c r="R147" s="114">
        <v>46293.368206018517</v>
      </c>
      <c r="S147" s="1" t="s">
        <v>693</v>
      </c>
      <c r="T147" s="1" t="s">
        <v>437</v>
      </c>
      <c r="U147" s="4" t="s">
        <v>591</v>
      </c>
      <c r="V147" s="2"/>
      <c r="W147" s="114"/>
      <c r="X147" s="1"/>
      <c r="Y147" s="1" t="s">
        <v>693</v>
      </c>
      <c r="Z147" s="114">
        <v>46287.416724537034</v>
      </c>
      <c r="AA147" s="1"/>
      <c r="AB147" s="4"/>
      <c r="AC147" s="4"/>
      <c r="AD147" s="1"/>
      <c r="AE147" s="1" t="s">
        <v>63</v>
      </c>
      <c r="AF147" s="1"/>
      <c r="AG147" s="2"/>
      <c r="AH147" s="1"/>
      <c r="AI147" s="1"/>
      <c r="AJ147" s="1" t="s">
        <v>693</v>
      </c>
      <c r="AK147" s="114">
        <v>46293.368206018517</v>
      </c>
      <c r="AL147" s="1"/>
      <c r="AM147" s="1"/>
      <c r="AN147" s="1"/>
      <c r="AO147" s="1"/>
      <c r="AP147" s="1"/>
      <c r="AQ147" s="1"/>
      <c r="AR147" s="1" t="s">
        <v>693</v>
      </c>
      <c r="AS147" s="1"/>
      <c r="AT147" s="2"/>
      <c r="AU147" s="1"/>
      <c r="AV147" s="2">
        <v>1</v>
      </c>
      <c r="AW147" s="4"/>
      <c r="AX147" s="114"/>
      <c r="AY147" s="4"/>
      <c r="AZ147" s="1"/>
      <c r="BA147" s="1"/>
      <c r="BB147" s="1" t="s">
        <v>503</v>
      </c>
      <c r="BC147" s="4"/>
      <c r="BD147" s="1" t="s">
        <v>85</v>
      </c>
      <c r="BE147" s="4"/>
      <c r="BF147" s="2">
        <v>2114</v>
      </c>
      <c r="BG147" s="4"/>
      <c r="BH147" s="1"/>
      <c r="BI147" s="1" t="s">
        <v>86</v>
      </c>
    </row>
    <row r="148" spans="1:61" ht="13.5" customHeight="1" x14ac:dyDescent="0.25">
      <c r="A148" s="9"/>
      <c r="B148" s="9"/>
      <c r="C148" s="50"/>
      <c r="D148" s="65"/>
      <c r="E148" s="50"/>
      <c r="F148" s="9"/>
      <c r="G148" s="9"/>
      <c r="H148" s="9"/>
      <c r="I148" s="9"/>
      <c r="J148" s="9"/>
      <c r="K148" s="9"/>
      <c r="L148" s="9"/>
      <c r="M148" s="9"/>
      <c r="N148" s="9"/>
      <c r="O148" s="9"/>
      <c r="P148" s="9"/>
      <c r="Q148" s="9"/>
      <c r="R148" s="9"/>
      <c r="S148" s="9"/>
      <c r="T148" s="9"/>
      <c r="U148" s="9"/>
      <c r="V148" s="9"/>
      <c r="W148" s="9"/>
      <c r="X148" s="9"/>
      <c r="Y148" s="9"/>
      <c r="Z148" s="9"/>
      <c r="AA148" s="9"/>
      <c r="AB148" s="9"/>
      <c r="AC148" s="9"/>
      <c r="AD148" s="9"/>
      <c r="AE148" s="9"/>
      <c r="AF148" s="9"/>
      <c r="AG148" s="9"/>
      <c r="AH148" s="9"/>
      <c r="AI148" s="9"/>
      <c r="AJ148" s="9"/>
      <c r="AK148" s="9"/>
      <c r="AL148" s="9"/>
      <c r="AM148" s="9"/>
      <c r="AN148" s="9"/>
      <c r="AO148" s="9"/>
      <c r="AP148" s="9"/>
      <c r="AQ148" s="9"/>
      <c r="AR148" s="9"/>
      <c r="AS148" s="9"/>
      <c r="AT148" s="9"/>
      <c r="AU148" s="9"/>
      <c r="AV148" s="9"/>
      <c r="AW148" s="9"/>
      <c r="AX148" s="9"/>
      <c r="AY148" s="9"/>
      <c r="AZ148" s="9"/>
      <c r="BA148" s="9"/>
      <c r="BB148" s="9"/>
      <c r="BC148" s="9"/>
      <c r="BD148" s="9"/>
      <c r="BE148" s="9"/>
      <c r="BF148" s="9"/>
      <c r="BG148" s="9"/>
      <c r="BH148" s="9"/>
      <c r="BI148" s="9"/>
    </row>
    <row r="149" spans="1:61" ht="13.5" customHeight="1" x14ac:dyDescent="0.25">
      <c r="A149" s="9"/>
      <c r="B149" s="9"/>
      <c r="C149" s="50"/>
      <c r="D149" s="65"/>
      <c r="E149" s="50"/>
      <c r="F149" s="9"/>
      <c r="G149" s="9"/>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9"/>
      <c r="AP149" s="9"/>
      <c r="AQ149" s="9"/>
      <c r="AR149" s="9"/>
      <c r="AS149" s="9"/>
      <c r="AT149" s="9"/>
      <c r="AU149" s="9"/>
      <c r="AV149" s="9"/>
      <c r="AW149" s="9"/>
      <c r="AX149" s="9"/>
      <c r="AY149" s="9"/>
      <c r="AZ149" s="9"/>
      <c r="BA149" s="9"/>
      <c r="BB149" s="9"/>
      <c r="BC149" s="9"/>
      <c r="BD149" s="9"/>
      <c r="BE149" s="9"/>
      <c r="BF149" s="9"/>
      <c r="BG149" s="9"/>
      <c r="BH149" s="9"/>
      <c r="BI149" s="9"/>
    </row>
    <row r="150" spans="1:61" ht="13.5" customHeight="1" x14ac:dyDescent="0.25">
      <c r="A150" s="9"/>
      <c r="B150" s="9"/>
      <c r="C150" s="50"/>
      <c r="D150" s="65"/>
      <c r="E150" s="50"/>
      <c r="F150" s="9"/>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c r="AN150" s="9"/>
      <c r="AO150" s="9"/>
      <c r="AP150" s="9"/>
      <c r="AQ150" s="9"/>
      <c r="AR150" s="9"/>
      <c r="AS150" s="9"/>
      <c r="AT150" s="9"/>
      <c r="AU150" s="9"/>
      <c r="AV150" s="9"/>
      <c r="AW150" s="9"/>
      <c r="AX150" s="9"/>
      <c r="AY150" s="9"/>
      <c r="AZ150" s="9"/>
      <c r="BA150" s="9"/>
      <c r="BB150" s="9"/>
      <c r="BC150" s="9"/>
      <c r="BD150" s="9"/>
      <c r="BE150" s="9"/>
      <c r="BF150" s="9"/>
      <c r="BG150" s="9"/>
      <c r="BH150" s="9"/>
      <c r="BI150" s="9"/>
    </row>
    <row r="151" spans="1:61" ht="13.5" customHeight="1" x14ac:dyDescent="0.25">
      <c r="A151" s="9"/>
      <c r="B151" s="9"/>
      <c r="C151" s="50"/>
      <c r="D151" s="65"/>
      <c r="E151" s="50"/>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9"/>
      <c r="AP151" s="9"/>
      <c r="AQ151" s="9"/>
      <c r="AR151" s="9"/>
      <c r="AS151" s="9"/>
      <c r="AT151" s="9"/>
      <c r="AU151" s="9"/>
      <c r="AV151" s="9"/>
      <c r="AW151" s="9"/>
      <c r="AX151" s="9"/>
      <c r="AY151" s="9"/>
      <c r="AZ151" s="9"/>
      <c r="BA151" s="9"/>
      <c r="BB151" s="9"/>
      <c r="BC151" s="9"/>
      <c r="BD151" s="9"/>
      <c r="BE151" s="9"/>
      <c r="BF151" s="9"/>
      <c r="BG151" s="9"/>
      <c r="BH151" s="9"/>
      <c r="BI151" s="9"/>
    </row>
    <row r="152" spans="1:61" ht="13.5" customHeight="1" x14ac:dyDescent="0.25">
      <c r="A152" s="9"/>
      <c r="B152" s="9"/>
      <c r="C152" s="50"/>
      <c r="D152" s="65"/>
      <c r="E152" s="50"/>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c r="AP152" s="9"/>
      <c r="AQ152" s="9"/>
      <c r="AR152" s="9"/>
      <c r="AS152" s="9"/>
      <c r="AT152" s="9"/>
      <c r="AU152" s="9"/>
      <c r="AV152" s="9"/>
      <c r="AW152" s="9"/>
      <c r="AX152" s="9"/>
      <c r="AY152" s="9"/>
      <c r="AZ152" s="9"/>
      <c r="BA152" s="9"/>
      <c r="BB152" s="9"/>
      <c r="BC152" s="9"/>
      <c r="BD152" s="9"/>
      <c r="BE152" s="9"/>
      <c r="BF152" s="9"/>
      <c r="BG152" s="9"/>
      <c r="BH152" s="9"/>
      <c r="BI152" s="9"/>
    </row>
    <row r="153" spans="1:61" ht="13.5" customHeight="1" x14ac:dyDescent="0.25">
      <c r="A153" s="9"/>
      <c r="B153" s="9"/>
      <c r="C153" s="50"/>
      <c r="D153" s="65"/>
      <c r="E153" s="50"/>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9"/>
      <c r="AT153" s="9"/>
      <c r="AU153" s="9"/>
      <c r="AV153" s="9"/>
      <c r="AW153" s="9"/>
      <c r="AX153" s="9"/>
      <c r="AY153" s="9"/>
      <c r="AZ153" s="9"/>
      <c r="BA153" s="9"/>
      <c r="BB153" s="9"/>
      <c r="BC153" s="9"/>
      <c r="BD153" s="9"/>
      <c r="BE153" s="9"/>
      <c r="BF153" s="9"/>
      <c r="BG153" s="9"/>
      <c r="BH153" s="9"/>
      <c r="BI153" s="9"/>
    </row>
    <row r="154" spans="1:61" ht="13.5" customHeight="1" x14ac:dyDescent="0.25">
      <c r="A154" s="9"/>
      <c r="B154" s="9"/>
      <c r="C154" s="50"/>
      <c r="D154" s="65"/>
      <c r="E154" s="50"/>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c r="AR154" s="9"/>
      <c r="AS154" s="9"/>
      <c r="AT154" s="9"/>
      <c r="AU154" s="9"/>
      <c r="AV154" s="9"/>
      <c r="AW154" s="9"/>
      <c r="AX154" s="9"/>
      <c r="AY154" s="9"/>
      <c r="AZ154" s="9"/>
      <c r="BA154" s="9"/>
      <c r="BB154" s="9"/>
      <c r="BC154" s="9"/>
      <c r="BD154" s="9"/>
      <c r="BE154" s="9"/>
      <c r="BF154" s="9"/>
      <c r="BG154" s="9"/>
      <c r="BH154" s="9"/>
      <c r="BI154" s="9"/>
    </row>
    <row r="155" spans="1:61" ht="13.5" customHeight="1" x14ac:dyDescent="0.25">
      <c r="A155" s="9"/>
      <c r="B155" s="9"/>
      <c r="C155" s="50"/>
      <c r="D155" s="65"/>
      <c r="E155" s="50"/>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c r="AT155" s="9"/>
      <c r="AU155" s="9"/>
      <c r="AV155" s="9"/>
      <c r="AW155" s="9"/>
      <c r="AX155" s="9"/>
      <c r="AY155" s="9"/>
      <c r="AZ155" s="9"/>
      <c r="BA155" s="9"/>
      <c r="BB155" s="9"/>
      <c r="BC155" s="9"/>
      <c r="BD155" s="9"/>
      <c r="BE155" s="9"/>
      <c r="BF155" s="9"/>
      <c r="BG155" s="9"/>
      <c r="BH155" s="9"/>
      <c r="BI155" s="9"/>
    </row>
    <row r="156" spans="1:61" ht="13.5" customHeight="1" x14ac:dyDescent="0.25">
      <c r="A156" s="9"/>
      <c r="B156" s="9"/>
      <c r="C156" s="50"/>
      <c r="D156" s="65"/>
      <c r="E156" s="50"/>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c r="AT156" s="9"/>
      <c r="AU156" s="9"/>
      <c r="AV156" s="9"/>
      <c r="AW156" s="9"/>
      <c r="AX156" s="9"/>
      <c r="AY156" s="9"/>
      <c r="AZ156" s="9"/>
      <c r="BA156" s="9"/>
      <c r="BB156" s="9"/>
      <c r="BC156" s="9"/>
      <c r="BD156" s="9"/>
      <c r="BE156" s="9"/>
      <c r="BF156" s="9"/>
      <c r="BG156" s="9"/>
      <c r="BH156" s="9"/>
      <c r="BI156" s="9"/>
    </row>
    <row r="157" spans="1:61" ht="13.5" customHeight="1" x14ac:dyDescent="0.25">
      <c r="A157" s="9"/>
      <c r="B157" s="9"/>
      <c r="C157" s="50"/>
      <c r="D157" s="65"/>
      <c r="E157" s="50"/>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c r="AT157" s="9"/>
      <c r="AU157" s="9"/>
      <c r="AV157" s="9"/>
      <c r="AW157" s="9"/>
      <c r="AX157" s="9"/>
      <c r="AY157" s="9"/>
      <c r="AZ157" s="9"/>
      <c r="BA157" s="9"/>
      <c r="BB157" s="9"/>
      <c r="BC157" s="9"/>
      <c r="BD157" s="9"/>
      <c r="BE157" s="9"/>
      <c r="BF157" s="9"/>
      <c r="BG157" s="9"/>
      <c r="BH157" s="9"/>
      <c r="BI157" s="9"/>
    </row>
    <row r="158" spans="1:61" ht="13.5" customHeight="1" x14ac:dyDescent="0.25">
      <c r="A158" s="9"/>
      <c r="B158" s="9"/>
      <c r="C158" s="50"/>
      <c r="D158" s="65"/>
      <c r="E158" s="50"/>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c r="AZ158" s="9"/>
      <c r="BA158" s="9"/>
      <c r="BB158" s="9"/>
      <c r="BC158" s="9"/>
      <c r="BD158" s="9"/>
      <c r="BE158" s="9"/>
      <c r="BF158" s="9"/>
      <c r="BG158" s="9"/>
      <c r="BH158" s="9"/>
      <c r="BI158" s="9"/>
    </row>
    <row r="159" spans="1:61" ht="13.5" customHeight="1" x14ac:dyDescent="0.25">
      <c r="A159" s="9"/>
      <c r="B159" s="9"/>
      <c r="C159" s="50"/>
      <c r="D159" s="65"/>
      <c r="E159" s="50"/>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c r="AZ159" s="9"/>
      <c r="BA159" s="9"/>
      <c r="BB159" s="9"/>
      <c r="BC159" s="9"/>
      <c r="BD159" s="9"/>
      <c r="BE159" s="9"/>
      <c r="BF159" s="9"/>
      <c r="BG159" s="9"/>
      <c r="BH159" s="9"/>
      <c r="BI159" s="9"/>
    </row>
    <row r="160" spans="1:61" ht="13.5" customHeight="1" x14ac:dyDescent="0.25">
      <c r="A160" s="9"/>
      <c r="B160" s="9"/>
      <c r="C160" s="50"/>
      <c r="D160" s="65"/>
      <c r="E160" s="50"/>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c r="AZ160" s="9"/>
      <c r="BA160" s="9"/>
      <c r="BB160" s="9"/>
      <c r="BC160" s="9"/>
      <c r="BD160" s="9"/>
      <c r="BE160" s="9"/>
      <c r="BF160" s="9"/>
      <c r="BG160" s="9"/>
      <c r="BH160" s="9"/>
      <c r="BI160" s="9"/>
    </row>
    <row r="161" spans="1:61" ht="13.5" customHeight="1" x14ac:dyDescent="0.25">
      <c r="A161" s="9"/>
      <c r="B161" s="9"/>
      <c r="C161" s="50"/>
      <c r="D161" s="65"/>
      <c r="E161" s="50"/>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c r="BA161" s="9"/>
      <c r="BB161" s="9"/>
      <c r="BC161" s="9"/>
      <c r="BD161" s="9"/>
      <c r="BE161" s="9"/>
      <c r="BF161" s="9"/>
      <c r="BG161" s="9"/>
      <c r="BH161" s="9"/>
      <c r="BI161" s="9"/>
    </row>
    <row r="162" spans="1:61" ht="13.5" customHeight="1" x14ac:dyDescent="0.25">
      <c r="A162" s="9"/>
      <c r="B162" s="9"/>
      <c r="C162" s="50"/>
      <c r="D162" s="65"/>
      <c r="E162" s="50"/>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c r="BA162" s="9"/>
      <c r="BB162" s="9"/>
      <c r="BC162" s="9"/>
      <c r="BD162" s="9"/>
      <c r="BE162" s="9"/>
      <c r="BF162" s="9"/>
      <c r="BG162" s="9"/>
      <c r="BH162" s="9"/>
      <c r="BI162" s="9"/>
    </row>
    <row r="163" spans="1:61" ht="13.5" customHeight="1" x14ac:dyDescent="0.25">
      <c r="A163" s="9"/>
      <c r="B163" s="9"/>
      <c r="C163" s="50"/>
      <c r="D163" s="65"/>
      <c r="E163" s="50"/>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c r="BA163" s="9"/>
      <c r="BB163" s="9"/>
      <c r="BC163" s="9"/>
      <c r="BD163" s="9"/>
      <c r="BE163" s="9"/>
      <c r="BF163" s="9"/>
      <c r="BG163" s="9"/>
      <c r="BH163" s="9"/>
      <c r="BI163" s="9"/>
    </row>
    <row r="164" spans="1:61" ht="13.5" customHeight="1" x14ac:dyDescent="0.25">
      <c r="A164" s="9"/>
      <c r="B164" s="9"/>
      <c r="C164" s="50"/>
      <c r="D164" s="65"/>
      <c r="E164" s="50"/>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c r="BC164" s="9"/>
      <c r="BD164" s="9"/>
      <c r="BE164" s="9"/>
      <c r="BF164" s="9"/>
      <c r="BG164" s="9"/>
      <c r="BH164" s="9"/>
      <c r="BI164" s="9"/>
    </row>
    <row r="165" spans="1:61" ht="13.5" customHeight="1" x14ac:dyDescent="0.25">
      <c r="A165" s="9"/>
      <c r="B165" s="9"/>
      <c r="C165" s="50"/>
      <c r="D165" s="65"/>
      <c r="E165" s="50"/>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row>
    <row r="166" spans="1:61" ht="13.5" customHeight="1" x14ac:dyDescent="0.25">
      <c r="A166" s="9"/>
      <c r="B166" s="9"/>
      <c r="C166" s="50"/>
      <c r="D166" s="65"/>
      <c r="E166" s="5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row>
    <row r="167" spans="1:61" ht="13.5" customHeight="1" x14ac:dyDescent="0.25">
      <c r="A167" s="9"/>
      <c r="B167" s="9"/>
      <c r="C167" s="50"/>
      <c r="D167" s="65"/>
      <c r="E167" s="5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row>
    <row r="168" spans="1:61" ht="13.5" customHeight="1" x14ac:dyDescent="0.25">
      <c r="A168" s="9"/>
      <c r="B168" s="9"/>
      <c r="C168" s="50"/>
      <c r="D168" s="65"/>
      <c r="E168" s="5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row>
    <row r="169" spans="1:61" ht="13.5" customHeight="1" x14ac:dyDescent="0.25">
      <c r="A169" s="9"/>
      <c r="B169" s="9"/>
      <c r="C169" s="50"/>
      <c r="D169" s="65"/>
      <c r="E169" s="5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row r="186" spans="1:61" ht="13.5" customHeight="1" x14ac:dyDescent="0.25">
      <c r="A186" s="9"/>
      <c r="B186" s="9"/>
      <c r="C186" s="50"/>
      <c r="D186" s="65"/>
      <c r="E186" s="5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row>
    <row r="187" spans="1:61" ht="13.5" customHeight="1" x14ac:dyDescent="0.25">
      <c r="A187" s="9"/>
      <c r="B187" s="9"/>
      <c r="C187" s="50"/>
      <c r="D187" s="65"/>
      <c r="E187" s="5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row>
    <row r="188" spans="1:61" ht="13.5" customHeight="1" x14ac:dyDescent="0.25">
      <c r="A188" s="9"/>
      <c r="B188" s="9"/>
      <c r="C188" s="50"/>
      <c r="D188" s="65"/>
      <c r="E188" s="50"/>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row>
    <row r="189" spans="1:61" ht="13.5" customHeight="1" x14ac:dyDescent="0.25">
      <c r="A189" s="9"/>
      <c r="B189" s="9"/>
      <c r="C189" s="50"/>
      <c r="D189" s="65"/>
      <c r="E189" s="50"/>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row>
    <row r="190" spans="1:61" ht="13.5" customHeight="1" x14ac:dyDescent="0.25">
      <c r="A190" s="9"/>
      <c r="B190" s="9"/>
      <c r="C190" s="50"/>
      <c r="D190" s="65"/>
      <c r="E190" s="50"/>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row>
    <row r="191" spans="1:61" ht="13.5" customHeight="1" x14ac:dyDescent="0.25">
      <c r="A191" s="9"/>
      <c r="B191" s="9"/>
      <c r="C191" s="50"/>
      <c r="D191" s="65"/>
      <c r="E191" s="50"/>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c r="BC191" s="9"/>
      <c r="BD191" s="9"/>
      <c r="BE191" s="9"/>
      <c r="BF191" s="9"/>
      <c r="BG191" s="9"/>
      <c r="BH191" s="9"/>
      <c r="BI191" s="9"/>
    </row>
    <row r="192" spans="1:61" ht="13.5" customHeight="1" x14ac:dyDescent="0.25">
      <c r="A192" s="9"/>
      <c r="B192" s="9"/>
      <c r="C192" s="50"/>
      <c r="D192" s="65"/>
      <c r="E192" s="50"/>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c r="BA192" s="9"/>
      <c r="BB192" s="9"/>
      <c r="BC192" s="9"/>
      <c r="BD192" s="9"/>
      <c r="BE192" s="9"/>
      <c r="BF192" s="9"/>
      <c r="BG192" s="9"/>
      <c r="BH192" s="9"/>
      <c r="BI192" s="9"/>
    </row>
  </sheetData>
  <dataValidations xWindow="1110" yWindow="282" count="112">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499960D-0FE1-4C92-ABEC-C827B61F7952}">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3AE59FDD-69D6-4E4B-AB75-10AF616ABA9E}">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BAA92CD7-CDD9-42E7-ADE3-E698FCCF3CB4}">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360032C4-8D1D-49BB-A000-7256123E2EB7}">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0DA006-C02B-4969-9EE3-27351D92C5EE}">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84A61BC2-1350-4285-BE08-C233E81F3C65}">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48C132D-C64E-4839-8E29-A2B46B0409ED}">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5E76C7F6-417D-4ADB-8A23-32235C653500}">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757F3CE-716D-4C64-B190-E5377B18278B}">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F3B847D0-0EDA-47E1-B432-9CC5D95BF167}">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FFC271EC-B4F5-4545-A77A-A035A2AFAB86}">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3900C0A-B10B-4483-B0F4-BC0A5DBBE68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9761CDC5-6423-4BAC-AB7D-5A1F30BD53C3}">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6054AFD-A5A1-4207-BD7E-871798C539DD}">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9142ABEB-FCEE-4A72-A891-72769DB1FA5A}">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D00B4B09-A9F2-4717-A8FF-3827DB269568}">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94B6DC6B-4213-4AA4-9022-4FCE3E562ED4}">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EA660A2E-BDA1-4F1A-ACD7-A171E193D452}">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559740DB-BE86-47F2-BAB8-DE8463AE3E0D}">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DCBBB0FB-5A46-46AC-B99D-29C9FE089691}">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C8CEDC7C-97A1-42D4-B7B4-BCE9BC6E377A}">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48F86C08-A29A-469C-B40E-88D2DE5E76F7}">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66E710DF-4A09-4929-8682-AB77A1152A2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168FC3DE-3393-4F6D-82C5-713EB2DEA1E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A41CD32C-E793-4D1B-826A-B6C9EBEF9BAC}">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EF23B66F-5FB8-4781-A108-9A41C253E83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FD46382E-2253-4EE6-AF12-4197DA064C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6AAAADC3-16CA-408F-80F4-7F6845AD1459}">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3AB23E9B-4D53-4B0E-B64C-4004DF4AB32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527E8C73-BC93-4E47-93C8-ED82E6A8CFC8}">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02C4E3F6-1E4C-4B23-AF6B-009AC48A8BEF}">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896DCCFA-CEA9-4F8C-A462-C8BA441969E5}">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BD3A102-1A85-4B1F-B624-C5FD782424C1}">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B59C750B-30FB-4704-9CA2-098685C80C1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F381540-2DE9-4010-AA38-642EF1D209F5}">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6B7BAF1-88CB-4CC7-8D04-A0C95C598884}">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3584C53C-0B77-4BF3-BEEF-B9BC8C1654D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E6A2D3DD-F1C8-4DC4-BB33-A1EFE25AE8B3}">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5A2322FC-B026-4D37-BB38-4DC19CB76EB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98AADE4A-313B-40CB-851E-C544F5BB421C}">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E441CE0A-FB51-42A7-89B4-5E500512CA9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59E721F5-14C4-4687-B47E-E39C049E8667}">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836A4F5B-1AF1-4398-923B-D14786DDFE15}">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93A8920C-4040-49FC-AF2D-A11FFCE67FA2}">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08607845-B2D3-4A63-8A38-2979F05247E3}">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A65D2939-39AB-4228-9676-4DCA4EC787C7}">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4B6222AE-4151-45CC-ACE3-25C5EECC8B89}">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6D358E91-388B-437F-A31F-8E0E473090A1}">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3DD457C7-C44E-4ED0-BE86-EBB6FC3910B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326F9F95-E12B-4BDA-ACC9-54048B912F7D}">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D8AE127B-1F41-4B2F-8065-79FD41EB614D}">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5E950DF1-4FB8-4FFD-9635-D5A8A4A07181}">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F5D385C-CA0B-408A-AC54-57BECB25046E}">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B03A6E4C-88DF-47FF-9BEC-2EFEEDEFF55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8FD1E517-606F-4DA1-AD23-536E8D453C3D}">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074352EC-BA51-42E6-B5CE-7837FBA3A957}">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1A776EDE-4BDD-4DCE-BBD2-F0CE17712326}">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DE5DE600-0B94-4720-8970-FCFEC5AEC65D}">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E880AEC9-ABE8-4A2D-B2FE-0DF11C145830}">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562DBE48-41D8-48BA-A0F7-6ABB43804681}">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EE562D91-1836-416D-8BD8-13974300B563}">
      <formula1>"Reason"</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702138DE-B2C6-41D2-B3F6-6C8CA7907CA9}">
      <formula1>"2004"</formula1>
    </dataValidation>
    <dataValidation type="textLength" showInputMessage="1" sqref="B70" xr:uid="{12FDBA7E-C2EF-4DAC-A7B6-EFFB849436F3}">
      <formula1>1</formula1>
      <formula2>255</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C70" xr:uid="{17BC1449-37E0-4A37-BB2C-DA052E435933}">
      <formula1>"Issue"</formula1>
    </dataValidation>
    <dataValidation type="list" operator="equal" allowBlank="1" showInputMessage="1" showErrorMessage="1" errorTitle="Microsoft Excel" error="TF84042: The value you entered is not supported in this field. Select a supported value from the list." sqref="D70" xr:uid="{4332F08F-C483-48F3-BAE5-F1723B5E1161}">
      <formula1>VSTS_ValidationRange_856deddbffd54c71bb8cf49b7c9041a2</formula1>
    </dataValidation>
    <dataValidation type="list" operator="equal" allowBlank="1" showInputMessage="1" showErrorMessage="1" errorTitle="Microsoft Excel" error="TF84042: The value you entered is not supported in this field. Select a supported value from the list." sqref="E70" xr:uid="{25A00BC0-EA9E-4F34-B857-76E7A1CDE941}">
      <formula1>VSTS_ValidationRange_77604218412d485397ca0584bd556bcd</formula1>
    </dataValidation>
    <dataValidation type="list" operator="equal" allowBlank="1" showInputMessage="1" showErrorMessage="1" errorTitle="Microsoft Excel" error="TF84042: The value you entered is not supported in this field. Select a supported value from the list." sqref="F70" xr:uid="{8CC738F9-062D-42BD-AAC2-52FD9EF4D935}">
      <formula1>VSTS_ValidationRange_23a106f121d24cebb7d2db7ccc9dc623</formula1>
    </dataValidation>
    <dataValidation type="whole" allowBlank="1" showInputMessage="1" sqref="G70" xr:uid="{138D0D97-EB38-4CB8-AFE1-8EAEC301B1EF}">
      <formula1>-2147483648</formula1>
      <formula2>2147483647</formula2>
    </dataValidation>
    <dataValidation type="list" operator="equal" allowBlank="1" showInputMessage="1" showErrorMessage="1" errorTitle="Microsoft Excel" error="TF84042: The value you entered is not supported in this field. Select a supported value from the list." sqref="J70" xr:uid="{688229A6-E182-4FA6-BE8D-95C7160A18ED}">
      <formula1>VSTS_ValidationRange_54c6d9f9313f4327b32163244e2c8325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K70" xr:uid="{E97A7C56-4F90-4650-91F4-E3B4E910CC3E}">
      <formula1>"Done"</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L70" xr:uid="{670CB0EE-1349-4985-8D7C-A8E1E57AAAE2}">
      <formula1>"FALSO"</formula1>
    </dataValidation>
    <dataValidation type="list" operator="equal" allowBlank="1" showInputMessage="1" sqref="M70" xr:uid="{69EA2B4E-F73D-4D6D-ABF9-1B4FB2007D0A}">
      <formula1>VSTS_ValidationRange_8a99d843ec914117ba1d79101bc86205</formula1>
    </dataValidation>
    <dataValidation type="list" operator="equal" allowBlank="1" showInputMessage="1" showErrorMessage="1" errorTitle="Microsoft Excel" error="TF84042: The value you entered is not supported in this field. Select a supported value from the list." sqref="N70" xr:uid="{69BF73F7-11C3-4DDD-BCDF-D53AB636C5BF}">
      <formula1>VSTS_ValidationRange_adb8cfc0286a48eabe28fe37a14e14bd</formula1>
    </dataValidation>
    <dataValidation type="textLength" allowBlank="1" showInputMessage="1" sqref="O70" xr:uid="{E5EFE1AF-FBE1-4544-93B4-6D8B2611160E}">
      <formula1>0</formula1>
      <formula2>32767</formula2>
    </dataValidation>
    <dataValidation type="list" operator="equal" allowBlank="1" showInputMessage="1" sqref="S70" xr:uid="{4A186392-04A1-410E-AE39-0A1D9C8292CF}">
      <formula1>VSTS_ValidationRange_38b356516fc34b0791aef1efa8761588</formula1>
    </dataValidation>
    <dataValidation type="list" operator="equal" allowBlank="1" showInputMessage="1" sqref="T70" xr:uid="{E5794D93-F88B-4E8F-8DF6-2DA1325AC7D5}">
      <formula1>VSTS_ValidationRange_77a90effa61b435198a992dda3099b7e</formula1>
    </dataValidation>
    <dataValidation type="textLength" allowBlank="1" showInputMessage="1" sqref="U70" xr:uid="{EAEF7C54-FEEE-406B-97D1-B0D336F1F31E}">
      <formula1>0</formula1>
      <formula2>32767</formula2>
    </dataValidation>
    <dataValidation type="whole" allowBlank="1" showInputMessage="1" sqref="V70" xr:uid="{FE983EC9-A668-4A85-9283-7F6B1170873E}">
      <formula1>-2147483648</formula1>
      <formula2>2147483647</formula2>
    </dataValidation>
    <dataValidation type="textLength" allowBlank="1" showInputMessage="1" sqref="X70" xr:uid="{94363505-0577-4EF2-A403-87BB13EABE88}">
      <formula1>0</formula1>
      <formula2>255</formula2>
    </dataValidation>
    <dataValidation type="list" operator="equal" allowBlank="1" showInputMessage="1" sqref="Y70" xr:uid="{1F574974-3902-4C27-AC5C-7772AC81DCF9}">
      <formula1>VSTS_ValidationRange_3a23782404e54a58a3b75bc235386974</formula1>
    </dataValidation>
    <dataValidation type="textLength" allowBlank="1" showInputMessage="1" sqref="AA70" xr:uid="{3EA37CD6-FA58-4CB0-9003-A1ECD61548CA}">
      <formula1>0</formula1>
      <formula2>255</formula2>
    </dataValidation>
    <dataValidation type="textLength" allowBlank="1" showInputMessage="1" sqref="AB70" xr:uid="{B931032C-D913-4138-B2EA-1B3C15A6D9D3}">
      <formula1>0</formula1>
      <formula2>32767</formula2>
    </dataValidation>
    <dataValidation type="textLength" allowBlank="1" showInputMessage="1" sqref="AC70" xr:uid="{FD662C75-C363-4FC5-A81A-EDB5E367C45A}">
      <formula1>0</formula1>
      <formula2>32767</formula2>
    </dataValidation>
    <dataValidation type="textLength" allowBlank="1" showInputMessage="1" sqref="AD70" xr:uid="{BC95FF95-D279-4DCA-9DA1-D1394A1C0426}">
      <formula1>0</formula1>
      <formula2>255</formula2>
    </dataValidation>
    <dataValidation type="list" operator="equal" allowBlank="1" showInputMessage="1" showErrorMessage="1" errorTitle="Microsoft Excel" error="TF84042: The value you entered is not supported in this field. Select a supported value from the list." sqref="AE70" xr:uid="{3B23E3A7-6814-4D7D-811C-098EF8B5B8D5}">
      <formula1>VSTS_ValidationRange_71ca3e79e8934a7a8386b65b7c04bcea</formula1>
    </dataValidation>
    <dataValidation type="textLength" allowBlank="1" showInputMessage="1" sqref="AF70" xr:uid="{0C272D6F-06A1-4EDA-AA82-9C52A1F5C23C}">
      <formula1>0</formula1>
      <formula2>255</formula2>
    </dataValidation>
    <dataValidation type="whole" allowBlank="1" showInputMessage="1" sqref="AG70" xr:uid="{2537C83B-60A6-4D01-8FA9-DBB7F9FDB94C}">
      <formula1>-2147483648</formula1>
      <formula2>2147483647</formula2>
    </dataValidation>
    <dataValidation type="textLength" allowBlank="1" showInputMessage="1" sqref="AH70" xr:uid="{6E7A0800-1C88-40E3-B6C7-1D91C2D7787D}">
      <formula1>0</formula1>
      <formula2>255</formula2>
    </dataValidation>
    <dataValidation type="textLength" allowBlank="1" showInputMessage="1" sqref="AI70" xr:uid="{167F632B-6643-4417-9A1B-A6BDEBA6A8B2}">
      <formula1>0</formula1>
      <formula2>255</formula2>
    </dataValidation>
    <dataValidation type="textLength" allowBlank="1" showInputMessage="1" sqref="AJ70" xr:uid="{F8A3B7E2-9D25-4FA5-8F26-C86061A629F3}">
      <formula1>0</formula1>
      <formula2>255</formula2>
    </dataValidation>
    <dataValidation type="textLength" allowBlank="1" showInputMessage="1" sqref="AL70" xr:uid="{0DA9CD5A-FF1B-406A-B495-E96817F19DB2}">
      <formula1>0</formula1>
      <formula2>255</formula2>
    </dataValidation>
    <dataValidation type="textLength" allowBlank="1" showInputMessage="1" sqref="AM70" xr:uid="{10047E08-ABF2-4264-80DD-5ED1936EFA76}">
      <formula1>0</formula1>
      <formula2>255</formula2>
    </dataValidation>
    <dataValidation type="textLength" allowBlank="1" showInputMessage="1" sqref="AN70" xr:uid="{2CB51D1D-7F76-4E2A-AB8A-00D2210C2B64}">
      <formula1>0</formula1>
      <formula2>255</formula2>
    </dataValidation>
    <dataValidation type="textLength" allowBlank="1" showInputMessage="1" sqref="AO70" xr:uid="{CDCB6684-6EF0-4D09-8A5B-DE9CE26CC985}">
      <formula1>0</formula1>
      <formula2>255</formula2>
    </dataValidation>
    <dataValidation type="textLength" allowBlank="1" showInputMessage="1" sqref="AP70" xr:uid="{59D0D247-F0BB-4B55-B713-5B511D3F3D11}">
      <formula1>0</formula1>
      <formula2>255</formula2>
    </dataValidation>
    <dataValidation type="textLength" allowBlank="1" showInputMessage="1" sqref="AQ70" xr:uid="{C05BC0FA-12A5-46E0-B640-207D1E367772}">
      <formula1>0</formula1>
      <formula2>255</formula2>
    </dataValidation>
    <dataValidation type="list" operator="equal" allowBlank="1" showInputMessage="1" sqref="AR70" xr:uid="{B0C42E34-CC88-49CE-AF5F-EA033E6E55D6}">
      <formula1>VSTS_ValidationRange_dec80569f8864e20a0ce8ee3d9183501</formula1>
    </dataValidation>
    <dataValidation type="textLength" allowBlank="1" showInputMessage="1" sqref="AS70" xr:uid="{9C3126DE-E733-4493-8B52-8451A7942540}">
      <formula1>0</formula1>
      <formula2>255</formula2>
    </dataValidation>
    <dataValidation type="whole" allowBlank="1" showInputMessage="1" sqref="AT70" xr:uid="{B104BE93-79A2-42AA-9FF2-C3D5B2D6146D}">
      <formula1>-2147483648</formula1>
      <formula2>2147483647</formula2>
    </dataValidation>
    <dataValidation type="textLength" allowBlank="1" showInputMessage="1" sqref="AU70" xr:uid="{EA975AC4-795B-4CA6-BB1A-89CA23E95317}">
      <formula1>0</formula1>
      <formula2>255</formula2>
    </dataValidation>
    <dataValidation type="whole" allowBlank="1" showInputMessage="1" sqref="AV70" xr:uid="{AFACA73D-49F2-4DB5-B8A1-61DFA67E4369}">
      <formula1>-2147483648</formula1>
      <formula2>2147483647</formula2>
    </dataValidation>
    <dataValidation type="textLength" allowBlank="1" showInputMessage="1" prompt="Type a comment here and publish to add a new history entry. After publishing this cell will be cleared." sqref="AY70" xr:uid="{5106F37F-CB28-4809-B99B-FDEBF65C3FA6}">
      <formula1>0</formula1>
      <formula2>32767</formula2>
    </dataValidation>
    <dataValidation type="list" operator="equal" allowBlank="1" showInputMessage="1" sqref="AZ70" xr:uid="{EBCC7975-8A61-49BF-9C3A-ECB2E76AC677}">
      <formula1>VSTS_ValidationRange_521214e612ac45e68591c90995034cbc</formula1>
    </dataValidation>
    <dataValidation type="textLength" allowBlank="1" showInputMessage="1" sqref="BA70" xr:uid="{654EC57E-7707-492E-AC91-4624D2308ED1}">
      <formula1>0</formula1>
      <formula2>255</formula2>
    </dataValidation>
    <dataValidation type="list" operator="equal" allowBlank="1" showInputMessage="1" showErrorMessage="1" errorTitle="Microsoft Excel" error="TF84042: The value you entered is not supported in this field. Select a supported value from the list." sqref="BB70" xr:uid="{F1280ACF-EC74-401B-8A9D-296C0FA94F7D}">
      <formula1>VSTS_ValidationRange_159e02a39b7f445b916540c625bb5cf0</formula1>
    </dataValidation>
    <dataValidation type="textLength" allowBlank="1" showInputMessage="1" sqref="BC70" xr:uid="{84C9AB41-266B-4B90-B5EF-E89E58FD6D9D}">
      <formula1>0</formula1>
      <formula2>32767</formula2>
    </dataValidation>
    <dataValidation type="textLength" allowBlank="1" showInputMessage="1" sqref="BD70" xr:uid="{D2BC4209-70A9-4A11-A9D3-CD7C6300C702}">
      <formula1>0</formula1>
      <formula2>255</formula2>
    </dataValidation>
    <dataValidation type="textLength" allowBlank="1" showInputMessage="1" sqref="BE70" xr:uid="{FBCA8390-BE0B-4A81-87F8-F65066C1D627}">
      <formula1>0</formula1>
      <formula2>32767</formula2>
    </dataValidation>
    <dataValidation type="whole" allowBlank="1" showInputMessage="1" sqref="BF70" xr:uid="{DE49F00A-8F7F-4D09-904F-C1DC26DDB1AB}">
      <formula1>-2147483648</formula1>
      <formula2>2147483647</formula2>
    </dataValidation>
    <dataValidation type="textLength" allowBlank="1" showInputMessage="1" sqref="BG70" xr:uid="{0E58D2A4-5CBA-4205-8EBD-C8434DAB4362}">
      <formula1>0</formula1>
      <formula2>32767</formula2>
    </dataValidation>
    <dataValidation type="textLength" allowBlank="1" showInputMessage="1" sqref="BH70" xr:uid="{D57DB1E9-85B0-458F-9722-773522C8F5A5}">
      <formula1>0</formula1>
      <formula2>255</formula2>
    </dataValidation>
    <dataValidation type="list" operator="equal" allowBlank="1" showInputMessage="1" showErrorMessage="1" errorTitle="Microsoft Excel" error="TF84042: The value you entered is not supported in this field. Select a supported value from the list." sqref="BI70" xr:uid="{B8A4CD5C-98BF-447F-B03A-727A9E2F49EB}">
      <formula1>VSTS_ValidationRange_55447dd8519948f8be0a0f680c8ef75f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244</v>
      </c>
      <c r="C2" s="71">
        <v>1</v>
      </c>
      <c r="D2" s="72" t="s">
        <v>252</v>
      </c>
      <c r="E2" s="71">
        <v>0</v>
      </c>
      <c r="F2" s="70" t="s">
        <v>81</v>
      </c>
      <c r="G2" s="70" t="s">
        <v>175</v>
      </c>
      <c r="H2" s="73" t="s">
        <v>245</v>
      </c>
      <c r="I2" s="74">
        <v>45649.686331018522</v>
      </c>
      <c r="J2" s="74">
        <v>46020.436608796299</v>
      </c>
      <c r="K2" s="74"/>
      <c r="L2" s="70" t="s">
        <v>81</v>
      </c>
      <c r="M2" s="70" t="s">
        <v>84</v>
      </c>
      <c r="N2" s="75" t="s">
        <v>663</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189</v>
      </c>
    </row>
    <row r="3" spans="1:56" ht="12.75" customHeight="1" x14ac:dyDescent="0.25">
      <c r="A3" s="76">
        <v>522</v>
      </c>
      <c r="B3" s="77" t="s">
        <v>251</v>
      </c>
      <c r="C3" s="78">
        <v>1</v>
      </c>
      <c r="D3" s="79" t="s">
        <v>252</v>
      </c>
      <c r="E3" s="78">
        <v>0</v>
      </c>
      <c r="F3" s="77" t="s">
        <v>90</v>
      </c>
      <c r="G3" s="77" t="s">
        <v>175</v>
      </c>
      <c r="H3" s="80"/>
      <c r="I3" s="81">
        <v>45687.442280092589</v>
      </c>
      <c r="J3" s="81">
        <v>46021.421666666669</v>
      </c>
      <c r="K3" s="81"/>
      <c r="L3" s="77" t="s">
        <v>81</v>
      </c>
      <c r="M3" s="77" t="s">
        <v>91</v>
      </c>
      <c r="N3" s="80" t="s">
        <v>679</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189</v>
      </c>
    </row>
    <row r="4" spans="1:56" ht="12.75" customHeight="1" x14ac:dyDescent="0.25">
      <c r="A4" s="69">
        <v>1148</v>
      </c>
      <c r="B4" s="70" t="s">
        <v>557</v>
      </c>
      <c r="C4" s="71">
        <v>1</v>
      </c>
      <c r="D4" s="72" t="s">
        <v>243</v>
      </c>
      <c r="E4" s="71">
        <v>0</v>
      </c>
      <c r="F4" s="70" t="s">
        <v>81</v>
      </c>
      <c r="G4" s="70" t="s">
        <v>176</v>
      </c>
      <c r="H4" s="75"/>
      <c r="I4" s="74">
        <v>45825.642962962964</v>
      </c>
      <c r="J4" s="74">
        <v>46020.436990740738</v>
      </c>
      <c r="K4" s="74"/>
      <c r="L4" s="70" t="s">
        <v>81</v>
      </c>
      <c r="M4" s="70" t="s">
        <v>81</v>
      </c>
      <c r="N4" s="75" t="s">
        <v>664</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183</v>
      </c>
    </row>
    <row r="5" spans="1:56" ht="12.75" customHeight="1" x14ac:dyDescent="0.25">
      <c r="A5" s="76">
        <v>1278</v>
      </c>
      <c r="B5" s="77" t="s">
        <v>680</v>
      </c>
      <c r="C5" s="78">
        <v>1</v>
      </c>
      <c r="D5" s="79" t="s">
        <v>460</v>
      </c>
      <c r="E5" s="78">
        <v>0</v>
      </c>
      <c r="F5" s="77"/>
      <c r="G5" s="77" t="s">
        <v>176</v>
      </c>
      <c r="H5" s="82" t="s">
        <v>445</v>
      </c>
      <c r="I5" s="81">
        <v>45874.404131944444</v>
      </c>
      <c r="J5" s="81">
        <v>46021.420960648145</v>
      </c>
      <c r="K5" s="81"/>
      <c r="L5" s="77" t="s">
        <v>81</v>
      </c>
      <c r="M5" s="77" t="s">
        <v>146</v>
      </c>
      <c r="N5" s="80" t="s">
        <v>628</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186</v>
      </c>
    </row>
    <row r="6" spans="1:56" ht="12.75" customHeight="1" x14ac:dyDescent="0.25">
      <c r="A6" s="69">
        <v>1444</v>
      </c>
      <c r="B6" s="70" t="s">
        <v>511</v>
      </c>
      <c r="C6" s="71">
        <v>1</v>
      </c>
      <c r="D6" s="72" t="s">
        <v>248</v>
      </c>
      <c r="E6" s="71">
        <v>1</v>
      </c>
      <c r="F6" s="70" t="s">
        <v>89</v>
      </c>
      <c r="G6" s="70" t="s">
        <v>176</v>
      </c>
      <c r="H6" s="73" t="s">
        <v>512</v>
      </c>
      <c r="I6" s="74">
        <v>45952.729583333334</v>
      </c>
      <c r="J6" s="74">
        <v>46024.382650462961</v>
      </c>
      <c r="K6" s="74"/>
      <c r="L6" s="70" t="s">
        <v>81</v>
      </c>
      <c r="M6" s="70" t="s">
        <v>81</v>
      </c>
      <c r="N6" s="75" t="s">
        <v>622</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503</v>
      </c>
      <c r="AX6" s="75"/>
      <c r="AY6" s="70" t="s">
        <v>85</v>
      </c>
      <c r="AZ6" s="75"/>
      <c r="BA6" s="69"/>
      <c r="BB6" s="75"/>
      <c r="BC6" s="70"/>
      <c r="BD6" s="70" t="s">
        <v>186</v>
      </c>
    </row>
    <row r="7" spans="1:56" ht="12.75" customHeight="1" x14ac:dyDescent="0.25">
      <c r="A7" s="76">
        <v>1449</v>
      </c>
      <c r="B7" s="77" t="s">
        <v>602</v>
      </c>
      <c r="C7" s="78">
        <v>1</v>
      </c>
      <c r="D7" s="79" t="s">
        <v>248</v>
      </c>
      <c r="E7" s="78">
        <v>1</v>
      </c>
      <c r="F7" s="77" t="s">
        <v>97</v>
      </c>
      <c r="G7" s="77" t="s">
        <v>176</v>
      </c>
      <c r="H7" s="82" t="s">
        <v>513</v>
      </c>
      <c r="I7" s="81">
        <v>45954.5549537037</v>
      </c>
      <c r="J7" s="81">
        <v>46013.63108796296</v>
      </c>
      <c r="K7" s="81"/>
      <c r="L7" s="77" t="s">
        <v>81</v>
      </c>
      <c r="M7" s="77" t="s">
        <v>89</v>
      </c>
      <c r="N7" s="80" t="s">
        <v>640</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503</v>
      </c>
      <c r="AX7" s="80"/>
      <c r="AY7" s="77" t="s">
        <v>85</v>
      </c>
      <c r="AZ7" s="80"/>
      <c r="BA7" s="76"/>
      <c r="BB7" s="80"/>
      <c r="BC7" s="77"/>
      <c r="BD7" s="77" t="s">
        <v>186</v>
      </c>
    </row>
    <row r="8" spans="1:56" ht="12.75" customHeight="1" x14ac:dyDescent="0.25">
      <c r="A8" s="69">
        <v>1492</v>
      </c>
      <c r="B8" s="70" t="s">
        <v>529</v>
      </c>
      <c r="C8" s="71">
        <v>1</v>
      </c>
      <c r="D8" s="72" t="s">
        <v>248</v>
      </c>
      <c r="E8" s="71">
        <v>0</v>
      </c>
      <c r="F8" s="70" t="s">
        <v>91</v>
      </c>
      <c r="G8" s="70" t="s">
        <v>176</v>
      </c>
      <c r="H8" s="73" t="s">
        <v>530</v>
      </c>
      <c r="I8" s="74">
        <v>45980.646736111114</v>
      </c>
      <c r="J8" s="74">
        <v>46010.448344907411</v>
      </c>
      <c r="K8" s="74"/>
      <c r="L8" s="70" t="s">
        <v>91</v>
      </c>
      <c r="M8" s="70" t="s">
        <v>91</v>
      </c>
      <c r="N8" s="75" t="s">
        <v>625</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503</v>
      </c>
      <c r="AX8" s="75"/>
      <c r="AY8" s="70" t="s">
        <v>85</v>
      </c>
      <c r="AZ8" s="75"/>
      <c r="BA8" s="69"/>
      <c r="BB8" s="75"/>
      <c r="BC8" s="70"/>
      <c r="BD8" s="70" t="s">
        <v>186</v>
      </c>
    </row>
    <row r="9" spans="1:56" ht="12.75" customHeight="1" x14ac:dyDescent="0.25">
      <c r="A9" s="76">
        <v>1496</v>
      </c>
      <c r="B9" s="77" t="s">
        <v>536</v>
      </c>
      <c r="C9" s="78">
        <v>1</v>
      </c>
      <c r="D9" s="79" t="s">
        <v>460</v>
      </c>
      <c r="E9" s="78">
        <v>0</v>
      </c>
      <c r="F9" s="77" t="s">
        <v>82</v>
      </c>
      <c r="G9" s="77" t="s">
        <v>176</v>
      </c>
      <c r="H9" s="82" t="s">
        <v>100</v>
      </c>
      <c r="I9" s="81">
        <v>45982.450196759259</v>
      </c>
      <c r="J9" s="81">
        <v>46014.510011574072</v>
      </c>
      <c r="K9" s="81"/>
      <c r="L9" s="77" t="s">
        <v>82</v>
      </c>
      <c r="M9" s="77" t="s">
        <v>94</v>
      </c>
      <c r="N9" s="80" t="s">
        <v>646</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503</v>
      </c>
      <c r="AX9" s="80"/>
      <c r="AY9" s="77" t="s">
        <v>85</v>
      </c>
      <c r="AZ9" s="80"/>
      <c r="BA9" s="76"/>
      <c r="BB9" s="80"/>
      <c r="BC9" s="77"/>
      <c r="BD9" s="77" t="s">
        <v>186</v>
      </c>
    </row>
    <row r="10" spans="1:56" ht="12.75" customHeight="1" x14ac:dyDescent="0.25">
      <c r="A10" s="69">
        <v>1503</v>
      </c>
      <c r="B10" s="70" t="s">
        <v>541</v>
      </c>
      <c r="C10" s="71">
        <v>1</v>
      </c>
      <c r="D10" s="72" t="s">
        <v>248</v>
      </c>
      <c r="E10" s="71">
        <v>0</v>
      </c>
      <c r="F10" s="70" t="s">
        <v>89</v>
      </c>
      <c r="G10" s="70" t="s">
        <v>176</v>
      </c>
      <c r="H10" s="73"/>
      <c r="I10" s="74">
        <v>45982.516030092593</v>
      </c>
      <c r="J10" s="74">
        <v>46013.385578703703</v>
      </c>
      <c r="K10" s="74"/>
      <c r="L10" s="70" t="s">
        <v>89</v>
      </c>
      <c r="M10" s="70" t="s">
        <v>89</v>
      </c>
      <c r="N10" s="75" t="s">
        <v>583</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503</v>
      </c>
      <c r="AX10" s="75"/>
      <c r="AY10" s="70" t="s">
        <v>85</v>
      </c>
      <c r="AZ10" s="75"/>
      <c r="BA10" s="69"/>
      <c r="BB10" s="75"/>
      <c r="BC10" s="70"/>
      <c r="BD10" s="70" t="s">
        <v>186</v>
      </c>
    </row>
    <row r="11" spans="1:56" ht="12.75" customHeight="1" x14ac:dyDescent="0.25">
      <c r="A11" s="76">
        <v>1531</v>
      </c>
      <c r="B11" s="77" t="s">
        <v>603</v>
      </c>
      <c r="C11" s="78">
        <v>1</v>
      </c>
      <c r="D11" s="79" t="s">
        <v>248</v>
      </c>
      <c r="E11" s="78">
        <v>0</v>
      </c>
      <c r="F11" s="77" t="s">
        <v>90</v>
      </c>
      <c r="G11" s="77" t="s">
        <v>176</v>
      </c>
      <c r="H11" s="82" t="s">
        <v>604</v>
      </c>
      <c r="I11" s="81">
        <v>45992.662708333337</v>
      </c>
      <c r="J11" s="81">
        <v>46020.454479166663</v>
      </c>
      <c r="K11" s="81"/>
      <c r="L11" s="77" t="s">
        <v>90</v>
      </c>
      <c r="M11" s="77" t="s">
        <v>155</v>
      </c>
      <c r="N11" s="80" t="s">
        <v>627</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503</v>
      </c>
      <c r="AX11" s="80"/>
      <c r="AY11" s="77" t="s">
        <v>85</v>
      </c>
      <c r="AZ11" s="80"/>
      <c r="BA11" s="76"/>
      <c r="BB11" s="80"/>
      <c r="BC11" s="77"/>
      <c r="BD11" s="77" t="s">
        <v>186</v>
      </c>
    </row>
    <row r="12" spans="1:56" ht="12.75" customHeight="1" x14ac:dyDescent="0.25">
      <c r="A12" s="69">
        <v>1542</v>
      </c>
      <c r="B12" s="70" t="s">
        <v>605</v>
      </c>
      <c r="C12" s="71">
        <v>1</v>
      </c>
      <c r="D12" s="72" t="s">
        <v>248</v>
      </c>
      <c r="E12" s="71">
        <v>0</v>
      </c>
      <c r="F12" s="70" t="s">
        <v>90</v>
      </c>
      <c r="G12" s="70" t="s">
        <v>176</v>
      </c>
      <c r="H12" s="73" t="s">
        <v>606</v>
      </c>
      <c r="I12" s="74">
        <v>45994.603530092594</v>
      </c>
      <c r="J12" s="74">
        <v>46007.430543981478</v>
      </c>
      <c r="K12" s="74"/>
      <c r="L12" s="70" t="s">
        <v>81</v>
      </c>
      <c r="M12" s="70" t="s">
        <v>81</v>
      </c>
      <c r="N12" s="75" t="s">
        <v>635</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503</v>
      </c>
      <c r="AX12" s="75"/>
      <c r="AY12" s="70" t="s">
        <v>85</v>
      </c>
      <c r="AZ12" s="75"/>
      <c r="BA12" s="69"/>
      <c r="BB12" s="75"/>
      <c r="BC12" s="70"/>
      <c r="BD12" s="70" t="s">
        <v>186</v>
      </c>
    </row>
    <row r="13" spans="1:56" ht="12.75" customHeight="1" x14ac:dyDescent="0.25">
      <c r="A13" s="76">
        <v>1546</v>
      </c>
      <c r="B13" s="77" t="s">
        <v>607</v>
      </c>
      <c r="C13" s="78">
        <v>1</v>
      </c>
      <c r="D13" s="79" t="s">
        <v>198</v>
      </c>
      <c r="E13" s="78">
        <v>0</v>
      </c>
      <c r="F13" s="77" t="s">
        <v>89</v>
      </c>
      <c r="G13" s="77" t="s">
        <v>176</v>
      </c>
      <c r="H13" s="82" t="s">
        <v>608</v>
      </c>
      <c r="I13" s="81">
        <v>45994.736215277779</v>
      </c>
      <c r="J13" s="81">
        <v>46021.674988425926</v>
      </c>
      <c r="K13" s="81"/>
      <c r="L13" s="77" t="s">
        <v>81</v>
      </c>
      <c r="M13" s="77" t="s">
        <v>81</v>
      </c>
      <c r="N13" s="80" t="s">
        <v>647</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503</v>
      </c>
      <c r="AX13" s="80"/>
      <c r="AY13" s="77" t="s">
        <v>85</v>
      </c>
      <c r="AZ13" s="80"/>
      <c r="BA13" s="76"/>
      <c r="BB13" s="80"/>
      <c r="BC13" s="77"/>
      <c r="BD13" s="77" t="s">
        <v>186</v>
      </c>
    </row>
    <row r="14" spans="1:56" ht="12.75" customHeight="1" x14ac:dyDescent="0.25">
      <c r="A14" s="69">
        <v>1549</v>
      </c>
      <c r="B14" s="70" t="s">
        <v>609</v>
      </c>
      <c r="C14" s="71">
        <v>1</v>
      </c>
      <c r="D14" s="72" t="s">
        <v>248</v>
      </c>
      <c r="E14" s="71">
        <v>0</v>
      </c>
      <c r="F14" s="70" t="s">
        <v>82</v>
      </c>
      <c r="G14" s="70" t="s">
        <v>176</v>
      </c>
      <c r="H14" s="73" t="s">
        <v>610</v>
      </c>
      <c r="I14" s="74">
        <v>45995.466064814813</v>
      </c>
      <c r="J14" s="74">
        <v>46001.412777777776</v>
      </c>
      <c r="K14" s="74"/>
      <c r="L14" s="70" t="s">
        <v>82</v>
      </c>
      <c r="M14" s="70" t="s">
        <v>81</v>
      </c>
      <c r="N14" s="75" t="s">
        <v>620</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503</v>
      </c>
      <c r="AX14" s="75"/>
      <c r="AY14" s="70" t="s">
        <v>85</v>
      </c>
      <c r="AZ14" s="75"/>
      <c r="BA14" s="69"/>
      <c r="BB14" s="75"/>
      <c r="BC14" s="70"/>
      <c r="BD14" s="70" t="s">
        <v>186</v>
      </c>
    </row>
    <row r="15" spans="1:56" ht="12.75" customHeight="1" x14ac:dyDescent="0.25">
      <c r="A15" s="76">
        <v>1551</v>
      </c>
      <c r="B15" s="77" t="s">
        <v>611</v>
      </c>
      <c r="C15" s="78">
        <v>1</v>
      </c>
      <c r="D15" s="79" t="s">
        <v>460</v>
      </c>
      <c r="E15" s="78">
        <v>0</v>
      </c>
      <c r="F15" s="77" t="s">
        <v>90</v>
      </c>
      <c r="G15" s="77" t="s">
        <v>176</v>
      </c>
      <c r="H15" s="82" t="s">
        <v>612</v>
      </c>
      <c r="I15" s="81">
        <v>45995.494895833333</v>
      </c>
      <c r="J15" s="81">
        <v>46013.645856481482</v>
      </c>
      <c r="K15" s="81"/>
      <c r="L15" s="77" t="s">
        <v>81</v>
      </c>
      <c r="M15" s="77" t="s">
        <v>155</v>
      </c>
      <c r="N15" s="80" t="s">
        <v>619</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503</v>
      </c>
      <c r="AX15" s="80"/>
      <c r="AY15" s="77" t="s">
        <v>85</v>
      </c>
      <c r="AZ15" s="80"/>
      <c r="BA15" s="76"/>
      <c r="BB15" s="80"/>
      <c r="BC15" s="77"/>
      <c r="BD15" s="77" t="s">
        <v>186</v>
      </c>
    </row>
    <row r="16" spans="1:56" ht="12.75" customHeight="1" x14ac:dyDescent="0.25">
      <c r="A16" s="69">
        <v>1557</v>
      </c>
      <c r="B16" s="70" t="s">
        <v>615</v>
      </c>
      <c r="C16" s="71">
        <v>1</v>
      </c>
      <c r="D16" s="72" t="s">
        <v>248</v>
      </c>
      <c r="E16" s="71">
        <v>0</v>
      </c>
      <c r="F16" s="83" t="s">
        <v>90</v>
      </c>
      <c r="G16" s="70" t="s">
        <v>176</v>
      </c>
      <c r="H16" s="73" t="s">
        <v>616</v>
      </c>
      <c r="I16" s="74">
        <v>45996.587511574071</v>
      </c>
      <c r="J16" s="74">
        <v>46008.35796296296</v>
      </c>
      <c r="K16" s="74"/>
      <c r="L16" s="70" t="s">
        <v>81</v>
      </c>
      <c r="M16" s="70" t="s">
        <v>155</v>
      </c>
      <c r="N16" s="75" t="s">
        <v>614</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503</v>
      </c>
      <c r="AX16" s="75"/>
      <c r="AY16" s="70" t="s">
        <v>85</v>
      </c>
      <c r="AZ16" s="75"/>
      <c r="BA16" s="69"/>
      <c r="BB16" s="75"/>
      <c r="BC16" s="70"/>
      <c r="BD16" s="70" t="s">
        <v>186</v>
      </c>
    </row>
    <row r="17" spans="1:56" ht="12.75" customHeight="1" x14ac:dyDescent="0.25">
      <c r="A17" s="76">
        <v>1560</v>
      </c>
      <c r="B17" s="77" t="s">
        <v>617</v>
      </c>
      <c r="C17" s="78">
        <v>1</v>
      </c>
      <c r="D17" s="79" t="s">
        <v>248</v>
      </c>
      <c r="E17" s="78">
        <v>0</v>
      </c>
      <c r="F17" s="84" t="s">
        <v>91</v>
      </c>
      <c r="G17" s="77" t="s">
        <v>176</v>
      </c>
      <c r="H17" s="82" t="s">
        <v>618</v>
      </c>
      <c r="I17" s="81">
        <v>45996.758912037039</v>
      </c>
      <c r="J17" s="81">
        <v>46007.425000000003</v>
      </c>
      <c r="K17" s="81"/>
      <c r="L17" s="77" t="s">
        <v>81</v>
      </c>
      <c r="M17" s="77" t="s">
        <v>155</v>
      </c>
      <c r="N17" s="80" t="s">
        <v>621</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503</v>
      </c>
      <c r="AX17" s="80"/>
      <c r="AY17" s="77" t="s">
        <v>85</v>
      </c>
      <c r="AZ17" s="80"/>
      <c r="BA17" s="76"/>
      <c r="BB17" s="80"/>
      <c r="BC17" s="77"/>
      <c r="BD17" s="77" t="s">
        <v>186</v>
      </c>
    </row>
    <row r="18" spans="1:56" ht="12.75" customHeight="1" x14ac:dyDescent="0.25">
      <c r="A18" s="69">
        <v>1581</v>
      </c>
      <c r="B18" s="70" t="s">
        <v>632</v>
      </c>
      <c r="C18" s="71">
        <v>1</v>
      </c>
      <c r="D18" s="72" t="s">
        <v>248</v>
      </c>
      <c r="E18" s="85">
        <v>0</v>
      </c>
      <c r="F18" s="83" t="s">
        <v>91</v>
      </c>
      <c r="G18" s="70" t="s">
        <v>176</v>
      </c>
      <c r="H18" s="73" t="s">
        <v>634</v>
      </c>
      <c r="I18" s="74">
        <v>46006.728865740741</v>
      </c>
      <c r="J18" s="74">
        <v>46007.425000000003</v>
      </c>
      <c r="K18" s="74"/>
      <c r="L18" s="70" t="s">
        <v>81</v>
      </c>
      <c r="M18" s="70" t="s">
        <v>155</v>
      </c>
      <c r="N18" s="75" t="s">
        <v>633</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503</v>
      </c>
      <c r="AX18" s="75"/>
      <c r="AY18" s="70" t="s">
        <v>85</v>
      </c>
      <c r="AZ18" s="75"/>
      <c r="BA18" s="69"/>
      <c r="BB18" s="75"/>
      <c r="BC18" s="70"/>
      <c r="BD18" s="70" t="s">
        <v>186</v>
      </c>
    </row>
    <row r="19" spans="1:56" ht="12.75" customHeight="1" x14ac:dyDescent="0.25">
      <c r="A19" s="76">
        <v>1591</v>
      </c>
      <c r="B19" s="77" t="s">
        <v>637</v>
      </c>
      <c r="C19" s="78">
        <v>1</v>
      </c>
      <c r="D19" s="79" t="s">
        <v>198</v>
      </c>
      <c r="E19" s="86">
        <v>0</v>
      </c>
      <c r="F19" s="84" t="s">
        <v>89</v>
      </c>
      <c r="G19" s="77" t="s">
        <v>176</v>
      </c>
      <c r="H19" s="82" t="s">
        <v>648</v>
      </c>
      <c r="I19" s="81">
        <v>46013.491886574076</v>
      </c>
      <c r="J19" s="81">
        <v>46021.466180555559</v>
      </c>
      <c r="K19" s="81"/>
      <c r="L19" s="77" t="s">
        <v>81</v>
      </c>
      <c r="M19" s="77" t="s">
        <v>89</v>
      </c>
      <c r="N19" s="80" t="s">
        <v>649</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503</v>
      </c>
      <c r="AX19" s="80"/>
      <c r="AY19" s="77" t="s">
        <v>85</v>
      </c>
      <c r="AZ19" s="80"/>
      <c r="BA19" s="76"/>
      <c r="BB19" s="80"/>
      <c r="BC19" s="77"/>
      <c r="BD19" s="77" t="s">
        <v>186</v>
      </c>
    </row>
    <row r="20" spans="1:56" ht="12.75" customHeight="1" x14ac:dyDescent="0.25">
      <c r="A20" s="69">
        <v>1593</v>
      </c>
      <c r="B20" s="70" t="s">
        <v>642</v>
      </c>
      <c r="C20" s="71">
        <v>1</v>
      </c>
      <c r="D20" s="72" t="s">
        <v>243</v>
      </c>
      <c r="E20" s="85">
        <v>0</v>
      </c>
      <c r="F20" s="83"/>
      <c r="G20" s="70" t="s">
        <v>176</v>
      </c>
      <c r="H20" s="73" t="s">
        <v>643</v>
      </c>
      <c r="I20" s="74">
        <v>46013.686828703707</v>
      </c>
      <c r="J20" s="74">
        <v>46014.635439814818</v>
      </c>
      <c r="K20" s="74"/>
      <c r="L20" s="70" t="s">
        <v>81</v>
      </c>
      <c r="M20" s="70" t="s">
        <v>81</v>
      </c>
      <c r="N20" s="75" t="s">
        <v>650</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503</v>
      </c>
      <c r="AX20" s="75"/>
      <c r="AY20" s="70" t="s">
        <v>85</v>
      </c>
      <c r="AZ20" s="75"/>
      <c r="BA20" s="69"/>
      <c r="BB20" s="75"/>
      <c r="BC20" s="70"/>
      <c r="BD20" s="70" t="s">
        <v>183</v>
      </c>
    </row>
    <row r="21" spans="1:56" ht="12.75" customHeight="1" x14ac:dyDescent="0.25">
      <c r="A21" s="76">
        <v>1597</v>
      </c>
      <c r="B21" s="77" t="s">
        <v>651</v>
      </c>
      <c r="C21" s="78">
        <v>1</v>
      </c>
      <c r="D21" s="79" t="s">
        <v>198</v>
      </c>
      <c r="E21" s="86">
        <v>0</v>
      </c>
      <c r="F21" s="84" t="s">
        <v>81</v>
      </c>
      <c r="G21" s="77" t="s">
        <v>176</v>
      </c>
      <c r="H21" s="82" t="s">
        <v>652</v>
      </c>
      <c r="I21" s="81">
        <v>46014.488182870373</v>
      </c>
      <c r="J21" s="81">
        <v>46021.465914351851</v>
      </c>
      <c r="K21" s="81"/>
      <c r="L21" s="77" t="s">
        <v>81</v>
      </c>
      <c r="M21" s="77" t="s">
        <v>81</v>
      </c>
      <c r="N21" s="80" t="s">
        <v>667</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503</v>
      </c>
      <c r="AX21" s="80"/>
      <c r="AY21" s="77" t="s">
        <v>85</v>
      </c>
      <c r="AZ21" s="80"/>
      <c r="BA21" s="76"/>
      <c r="BB21" s="80"/>
      <c r="BC21" s="77"/>
      <c r="BD21" s="77" t="s">
        <v>186</v>
      </c>
    </row>
    <row r="22" spans="1:56" ht="12.75" customHeight="1" x14ac:dyDescent="0.25">
      <c r="A22" s="69">
        <v>1599</v>
      </c>
      <c r="B22" s="70" t="s">
        <v>653</v>
      </c>
      <c r="C22" s="71">
        <v>1</v>
      </c>
      <c r="D22" s="72" t="s">
        <v>198</v>
      </c>
      <c r="E22" s="85">
        <v>0</v>
      </c>
      <c r="F22" s="83" t="s">
        <v>90</v>
      </c>
      <c r="G22" s="70" t="s">
        <v>176</v>
      </c>
      <c r="H22" s="73" t="s">
        <v>654</v>
      </c>
      <c r="I22" s="74">
        <v>46017.408136574071</v>
      </c>
      <c r="J22" s="74">
        <v>46021.465555555558</v>
      </c>
      <c r="K22" s="74"/>
      <c r="L22" s="70" t="s">
        <v>81</v>
      </c>
      <c r="M22" s="70" t="s">
        <v>81</v>
      </c>
      <c r="N22" s="75" t="s">
        <v>658</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503</v>
      </c>
      <c r="AX22" s="75"/>
      <c r="AY22" s="70" t="s">
        <v>85</v>
      </c>
      <c r="AZ22" s="75"/>
      <c r="BA22" s="69"/>
      <c r="BB22" s="75"/>
      <c r="BC22" s="70"/>
      <c r="BD22" s="70" t="s">
        <v>186</v>
      </c>
    </row>
    <row r="23" spans="1:56" ht="12.75" customHeight="1" x14ac:dyDescent="0.25">
      <c r="A23" s="76">
        <v>1602</v>
      </c>
      <c r="B23" s="77" t="s">
        <v>660</v>
      </c>
      <c r="C23" s="78">
        <v>1</v>
      </c>
      <c r="D23" s="79" t="s">
        <v>460</v>
      </c>
      <c r="E23" s="86">
        <v>0</v>
      </c>
      <c r="F23" s="84" t="s">
        <v>90</v>
      </c>
      <c r="G23" s="77" t="s">
        <v>176</v>
      </c>
      <c r="H23" s="82" t="s">
        <v>661</v>
      </c>
      <c r="I23" s="81">
        <v>46020.420046296298</v>
      </c>
      <c r="J23" s="81">
        <v>46021.421469907407</v>
      </c>
      <c r="K23" s="81"/>
      <c r="L23" s="77" t="s">
        <v>90</v>
      </c>
      <c r="M23" s="77" t="s">
        <v>155</v>
      </c>
      <c r="N23" s="80" t="s">
        <v>662</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503</v>
      </c>
      <c r="AX23" s="80"/>
      <c r="AY23" s="77" t="s">
        <v>85</v>
      </c>
      <c r="AZ23" s="80"/>
      <c r="BA23" s="76"/>
      <c r="BB23" s="80"/>
      <c r="BC23" s="77"/>
      <c r="BD23" s="77" t="s">
        <v>186</v>
      </c>
    </row>
    <row r="24" spans="1:56" ht="12.75" customHeight="1" x14ac:dyDescent="0.25">
      <c r="A24" s="69">
        <v>1426</v>
      </c>
      <c r="B24" s="70" t="s">
        <v>501</v>
      </c>
      <c r="C24" s="71">
        <v>2</v>
      </c>
      <c r="D24" s="72" t="s">
        <v>248</v>
      </c>
      <c r="E24" s="71">
        <v>0</v>
      </c>
      <c r="F24" s="70" t="s">
        <v>91</v>
      </c>
      <c r="G24" s="70" t="s">
        <v>176</v>
      </c>
      <c r="H24" s="73" t="s">
        <v>500</v>
      </c>
      <c r="I24" s="74">
        <v>45946.730486111112</v>
      </c>
      <c r="J24" s="74">
        <v>46013.631712962961</v>
      </c>
      <c r="K24" s="74"/>
      <c r="L24" s="70" t="s">
        <v>81</v>
      </c>
      <c r="M24" s="70" t="s">
        <v>155</v>
      </c>
      <c r="N24" s="75" t="s">
        <v>639</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186</v>
      </c>
    </row>
    <row r="25" spans="1:56" ht="12.75" customHeight="1" x14ac:dyDescent="0.25">
      <c r="A25" s="76">
        <v>1500</v>
      </c>
      <c r="B25" s="77" t="s">
        <v>537</v>
      </c>
      <c r="C25" s="78">
        <v>2</v>
      </c>
      <c r="D25" s="79" t="s">
        <v>460</v>
      </c>
      <c r="E25" s="78">
        <v>0</v>
      </c>
      <c r="F25" s="77" t="s">
        <v>82</v>
      </c>
      <c r="G25" s="77" t="s">
        <v>176</v>
      </c>
      <c r="H25" s="82" t="s">
        <v>558</v>
      </c>
      <c r="I25" s="81">
        <v>45982.514722222222</v>
      </c>
      <c r="J25" s="81">
        <v>46020.438877314817</v>
      </c>
      <c r="K25" s="81"/>
      <c r="L25" s="77" t="s">
        <v>81</v>
      </c>
      <c r="M25" s="77" t="s">
        <v>89</v>
      </c>
      <c r="N25" s="80" t="s">
        <v>665</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503</v>
      </c>
      <c r="AX25" s="80"/>
      <c r="AY25" s="77" t="s">
        <v>85</v>
      </c>
      <c r="AZ25" s="80"/>
      <c r="BA25" s="76"/>
      <c r="BB25" s="80"/>
      <c r="BC25" s="77"/>
      <c r="BD25" s="77" t="s">
        <v>186</v>
      </c>
    </row>
    <row r="26" spans="1:56" ht="12.75" customHeight="1" x14ac:dyDescent="0.25">
      <c r="A26" s="69">
        <v>1571</v>
      </c>
      <c r="B26" s="70" t="s">
        <v>623</v>
      </c>
      <c r="C26" s="71">
        <v>2</v>
      </c>
      <c r="D26" s="72" t="s">
        <v>248</v>
      </c>
      <c r="E26" s="85">
        <v>0</v>
      </c>
      <c r="F26" s="83" t="s">
        <v>90</v>
      </c>
      <c r="G26" s="70" t="s">
        <v>176</v>
      </c>
      <c r="H26" s="73" t="s">
        <v>624</v>
      </c>
      <c r="I26" s="74">
        <v>46002.56695601852</v>
      </c>
      <c r="J26" s="74">
        <v>46013.622303240743</v>
      </c>
      <c r="K26" s="74"/>
      <c r="L26" s="70" t="s">
        <v>90</v>
      </c>
      <c r="M26" s="70" t="s">
        <v>155</v>
      </c>
      <c r="N26" s="75" t="s">
        <v>626</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503</v>
      </c>
      <c r="AX26" s="75"/>
      <c r="AY26" s="70" t="s">
        <v>85</v>
      </c>
      <c r="AZ26" s="75"/>
      <c r="BA26" s="69"/>
      <c r="BB26" s="75"/>
      <c r="BC26" s="70"/>
      <c r="BD26" s="70" t="s">
        <v>186</v>
      </c>
    </row>
    <row r="27" spans="1:56" ht="12.75" customHeight="1" x14ac:dyDescent="0.25">
      <c r="A27" s="76">
        <v>1577</v>
      </c>
      <c r="B27" s="77" t="s">
        <v>629</v>
      </c>
      <c r="C27" s="78">
        <v>2</v>
      </c>
      <c r="D27" s="79" t="s">
        <v>248</v>
      </c>
      <c r="E27" s="86">
        <v>0</v>
      </c>
      <c r="F27" s="84" t="s">
        <v>91</v>
      </c>
      <c r="G27" s="77" t="s">
        <v>176</v>
      </c>
      <c r="H27" s="82" t="s">
        <v>630</v>
      </c>
      <c r="I27" s="81">
        <v>46006.398726851854</v>
      </c>
      <c r="J27" s="81">
        <v>46009.683749999997</v>
      </c>
      <c r="K27" s="81"/>
      <c r="L27" s="77" t="s">
        <v>91</v>
      </c>
      <c r="M27" s="77" t="s">
        <v>155</v>
      </c>
      <c r="N27" s="80" t="s">
        <v>631</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503</v>
      </c>
      <c r="AX27" s="80"/>
      <c r="AY27" s="77" t="s">
        <v>85</v>
      </c>
      <c r="AZ27" s="80"/>
      <c r="BA27" s="76"/>
      <c r="BB27" s="80"/>
      <c r="BC27" s="77"/>
      <c r="BD27" s="77" t="s">
        <v>186</v>
      </c>
    </row>
    <row r="28" spans="1:56" ht="12.75" customHeight="1" x14ac:dyDescent="0.25">
      <c r="A28" s="69">
        <v>1586</v>
      </c>
      <c r="B28" s="70" t="s">
        <v>636</v>
      </c>
      <c r="C28" s="71">
        <v>2</v>
      </c>
      <c r="D28" s="72" t="s">
        <v>460</v>
      </c>
      <c r="E28" s="85">
        <v>0</v>
      </c>
      <c r="F28" s="83" t="s">
        <v>90</v>
      </c>
      <c r="G28" s="70" t="s">
        <v>176</v>
      </c>
      <c r="H28" s="73" t="s">
        <v>659</v>
      </c>
      <c r="I28" s="74">
        <v>46008.765069444446</v>
      </c>
      <c r="J28" s="74">
        <v>46020.42597222222</v>
      </c>
      <c r="K28" s="74"/>
      <c r="L28" s="70" t="s">
        <v>90</v>
      </c>
      <c r="M28" s="70" t="s">
        <v>81</v>
      </c>
      <c r="N28" s="75" t="s">
        <v>638</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503</v>
      </c>
      <c r="AX28" s="75"/>
      <c r="AY28" s="70" t="s">
        <v>85</v>
      </c>
      <c r="AZ28" s="75"/>
      <c r="BA28" s="69"/>
      <c r="BB28" s="75"/>
      <c r="BC28" s="70"/>
      <c r="BD28" s="70" t="s">
        <v>186</v>
      </c>
    </row>
    <row r="29" spans="1:56" ht="12.75" customHeight="1" x14ac:dyDescent="0.25">
      <c r="A29" s="76">
        <v>1594</v>
      </c>
      <c r="B29" s="77" t="s">
        <v>644</v>
      </c>
      <c r="C29" s="78">
        <v>2</v>
      </c>
      <c r="D29" s="79" t="s">
        <v>198</v>
      </c>
      <c r="E29" s="86">
        <v>0</v>
      </c>
      <c r="F29" s="84" t="s">
        <v>81</v>
      </c>
      <c r="G29" s="77" t="s">
        <v>176</v>
      </c>
      <c r="H29" s="82" t="s">
        <v>645</v>
      </c>
      <c r="I29" s="81">
        <v>46014.357210648152</v>
      </c>
      <c r="J29" s="81">
        <v>46021.465740740743</v>
      </c>
      <c r="K29" s="81"/>
      <c r="L29" s="77" t="s">
        <v>81</v>
      </c>
      <c r="M29" s="77" t="s">
        <v>81</v>
      </c>
      <c r="N29" s="80" t="s">
        <v>668</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503</v>
      </c>
      <c r="AX29" s="80"/>
      <c r="AY29" s="77" t="s">
        <v>85</v>
      </c>
      <c r="AZ29" s="80"/>
      <c r="BA29" s="76"/>
      <c r="BB29" s="80"/>
      <c r="BC29" s="77"/>
      <c r="BD29" s="77" t="s">
        <v>186</v>
      </c>
    </row>
    <row r="30" spans="1:56" ht="12.75" customHeight="1" x14ac:dyDescent="0.25">
      <c r="A30" s="69">
        <v>1598</v>
      </c>
      <c r="B30" s="70" t="s">
        <v>655</v>
      </c>
      <c r="C30" s="71">
        <v>2</v>
      </c>
      <c r="D30" s="72" t="s">
        <v>198</v>
      </c>
      <c r="E30" s="85">
        <v>0</v>
      </c>
      <c r="F30" s="83" t="s">
        <v>90</v>
      </c>
      <c r="G30" s="70" t="s">
        <v>176</v>
      </c>
      <c r="H30" s="73" t="s">
        <v>656</v>
      </c>
      <c r="I30" s="74">
        <v>46014.669305555559</v>
      </c>
      <c r="J30" s="74">
        <v>46021.619664351849</v>
      </c>
      <c r="K30" s="74"/>
      <c r="L30" s="70" t="s">
        <v>81</v>
      </c>
      <c r="M30" s="70" t="s">
        <v>155</v>
      </c>
      <c r="N30" s="75" t="s">
        <v>657</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503</v>
      </c>
      <c r="AX30" s="75"/>
      <c r="AY30" s="70" t="s">
        <v>85</v>
      </c>
      <c r="AZ30" s="75"/>
      <c r="BA30" s="69"/>
      <c r="BB30" s="75"/>
      <c r="BC30" s="70"/>
      <c r="BD30" s="70" t="s">
        <v>186</v>
      </c>
    </row>
    <row r="31" spans="1:56" ht="12.75" customHeight="1" x14ac:dyDescent="0.25">
      <c r="A31" s="76">
        <v>1411</v>
      </c>
      <c r="B31" s="77" t="s">
        <v>494</v>
      </c>
      <c r="C31" s="78">
        <v>3</v>
      </c>
      <c r="D31" s="79" t="s">
        <v>248</v>
      </c>
      <c r="E31" s="78">
        <v>1</v>
      </c>
      <c r="F31" s="77" t="s">
        <v>81</v>
      </c>
      <c r="G31" s="77" t="s">
        <v>176</v>
      </c>
      <c r="H31" s="82" t="s">
        <v>495</v>
      </c>
      <c r="I31" s="81">
        <v>45939.496168981481</v>
      </c>
      <c r="J31" s="81">
        <v>46021.758275462962</v>
      </c>
      <c r="K31" s="81"/>
      <c r="L31" s="77" t="s">
        <v>81</v>
      </c>
      <c r="M31" s="77" t="s">
        <v>81</v>
      </c>
      <c r="N31" s="80" t="s">
        <v>641</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186</v>
      </c>
    </row>
    <row r="32" spans="1:56" ht="12.75" customHeight="1" x14ac:dyDescent="0.25">
      <c r="A32" s="69">
        <v>1374</v>
      </c>
      <c r="B32" s="70" t="s">
        <v>470</v>
      </c>
      <c r="C32" s="71">
        <v>4</v>
      </c>
      <c r="D32" s="72" t="s">
        <v>460</v>
      </c>
      <c r="E32" s="71">
        <v>0</v>
      </c>
      <c r="F32" s="70" t="s">
        <v>82</v>
      </c>
      <c r="G32" s="70" t="s">
        <v>176</v>
      </c>
      <c r="H32" s="73" t="s">
        <v>471</v>
      </c>
      <c r="I32" s="74">
        <v>45915.541620370372</v>
      </c>
      <c r="J32" s="74">
        <v>46024.410254629627</v>
      </c>
      <c r="K32" s="74"/>
      <c r="L32" s="70" t="s">
        <v>89</v>
      </c>
      <c r="M32" s="70" t="s">
        <v>89</v>
      </c>
      <c r="N32" s="75" t="s">
        <v>688</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186</v>
      </c>
    </row>
    <row r="33" spans="1:56" ht="12.75" customHeight="1" x14ac:dyDescent="0.25">
      <c r="A33" s="76">
        <v>1604</v>
      </c>
      <c r="B33" s="77" t="s">
        <v>669</v>
      </c>
      <c r="C33" s="78">
        <v>2</v>
      </c>
      <c r="D33" s="79" t="s">
        <v>198</v>
      </c>
      <c r="E33" s="86">
        <v>0</v>
      </c>
      <c r="F33" s="84" t="s">
        <v>90</v>
      </c>
      <c r="G33" s="77" t="s">
        <v>176</v>
      </c>
      <c r="H33" s="82" t="s">
        <v>670</v>
      </c>
      <c r="I33" s="81">
        <v>46020.7266087963</v>
      </c>
      <c r="J33" s="81">
        <v>46021.464942129627</v>
      </c>
      <c r="K33" s="81"/>
      <c r="L33" s="77" t="s">
        <v>81</v>
      </c>
      <c r="M33" s="77" t="s">
        <v>155</v>
      </c>
      <c r="N33" s="80" t="s">
        <v>671</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503</v>
      </c>
      <c r="AX33" s="80"/>
      <c r="AY33" s="77" t="s">
        <v>85</v>
      </c>
      <c r="AZ33" s="80"/>
      <c r="BA33" s="76"/>
      <c r="BB33" s="80"/>
      <c r="BC33" s="77"/>
      <c r="BD33" s="77" t="s">
        <v>183</v>
      </c>
    </row>
    <row r="34" spans="1:56" ht="12.75" customHeight="1" x14ac:dyDescent="0.25">
      <c r="A34" s="69">
        <v>1605</v>
      </c>
      <c r="B34" s="70" t="s">
        <v>672</v>
      </c>
      <c r="C34" s="71">
        <v>2</v>
      </c>
      <c r="D34" s="72" t="s">
        <v>198</v>
      </c>
      <c r="E34" s="85">
        <v>0</v>
      </c>
      <c r="F34" s="83" t="s">
        <v>90</v>
      </c>
      <c r="G34" s="70" t="s">
        <v>176</v>
      </c>
      <c r="H34" s="73" t="s">
        <v>673</v>
      </c>
      <c r="I34" s="74">
        <v>46020.739953703705</v>
      </c>
      <c r="J34" s="74">
        <v>46021.46502314815</v>
      </c>
      <c r="K34" s="74"/>
      <c r="L34" s="70" t="s">
        <v>81</v>
      </c>
      <c r="M34" s="70" t="s">
        <v>155</v>
      </c>
      <c r="N34" s="75" t="s">
        <v>671</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503</v>
      </c>
      <c r="AX34" s="75"/>
      <c r="AY34" s="70" t="s">
        <v>85</v>
      </c>
      <c r="AZ34" s="75"/>
      <c r="BA34" s="69"/>
      <c r="BB34" s="75"/>
      <c r="BC34" s="70"/>
      <c r="BD34" s="70" t="s">
        <v>183</v>
      </c>
    </row>
    <row r="35" spans="1:56" ht="12.75" customHeight="1" x14ac:dyDescent="0.25">
      <c r="A35" s="76">
        <v>1606</v>
      </c>
      <c r="B35" s="77" t="s">
        <v>674</v>
      </c>
      <c r="C35" s="78">
        <v>2</v>
      </c>
      <c r="D35" s="79" t="s">
        <v>248</v>
      </c>
      <c r="E35" s="86">
        <v>0</v>
      </c>
      <c r="F35" s="84" t="s">
        <v>89</v>
      </c>
      <c r="G35" s="77" t="s">
        <v>176</v>
      </c>
      <c r="H35" s="82" t="s">
        <v>681</v>
      </c>
      <c r="I35" s="81">
        <v>46020.759247685186</v>
      </c>
      <c r="J35" s="81">
        <v>46024.392060185186</v>
      </c>
      <c r="K35" s="81"/>
      <c r="L35" s="77" t="s">
        <v>89</v>
      </c>
      <c r="M35" s="77" t="s">
        <v>155</v>
      </c>
      <c r="N35" s="80" t="s">
        <v>675</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503</v>
      </c>
      <c r="AX35" s="80"/>
      <c r="AY35" s="77" t="s">
        <v>85</v>
      </c>
      <c r="AZ35" s="80"/>
      <c r="BA35" s="76"/>
      <c r="BB35" s="80"/>
      <c r="BC35" s="77"/>
      <c r="BD35" s="77" t="s">
        <v>186</v>
      </c>
    </row>
    <row r="36" spans="1:56" ht="12.75" customHeight="1" x14ac:dyDescent="0.25">
      <c r="A36" s="69">
        <v>1607</v>
      </c>
      <c r="B36" s="70" t="s">
        <v>676</v>
      </c>
      <c r="C36" s="71">
        <v>2</v>
      </c>
      <c r="D36" s="72" t="s">
        <v>247</v>
      </c>
      <c r="E36" s="85">
        <v>0</v>
      </c>
      <c r="F36" s="83" t="s">
        <v>81</v>
      </c>
      <c r="G36" s="70" t="s">
        <v>176</v>
      </c>
      <c r="H36" s="73" t="s">
        <v>677</v>
      </c>
      <c r="I36" s="74">
        <v>46020.766840277778</v>
      </c>
      <c r="J36" s="74">
        <v>46020.771701388891</v>
      </c>
      <c r="K36" s="74"/>
      <c r="L36" s="70" t="s">
        <v>155</v>
      </c>
      <c r="M36" s="70" t="s">
        <v>155</v>
      </c>
      <c r="N36" s="75" t="s">
        <v>678</v>
      </c>
      <c r="O36" s="70" t="s">
        <v>47</v>
      </c>
      <c r="P36" s="69"/>
      <c r="Q36" s="74"/>
      <c r="R36" s="70"/>
      <c r="S36" s="70"/>
      <c r="T36" s="74"/>
      <c r="U36" s="70"/>
      <c r="V36" s="75"/>
      <c r="W36" s="75"/>
      <c r="X36" s="70"/>
      <c r="Y36" s="70" t="s">
        <v>63</v>
      </c>
      <c r="Z36" s="70"/>
      <c r="AA36" s="69"/>
      <c r="AB36" s="70"/>
      <c r="AC36" s="70"/>
      <c r="AD36" s="70" t="s">
        <v>155</v>
      </c>
      <c r="AE36" s="74">
        <v>46020.771701388891</v>
      </c>
      <c r="AF36" s="70"/>
      <c r="AG36" s="70"/>
      <c r="AH36" s="70"/>
      <c r="AI36" s="70"/>
      <c r="AJ36" s="70"/>
      <c r="AK36" s="70"/>
      <c r="AL36" s="70"/>
      <c r="AM36" s="70"/>
      <c r="AN36" s="69"/>
      <c r="AO36" s="70"/>
      <c r="AP36" s="69">
        <v>0</v>
      </c>
      <c r="AQ36" s="75"/>
      <c r="AR36" s="75"/>
      <c r="AS36" s="74"/>
      <c r="AT36" s="75"/>
      <c r="AU36" s="70"/>
      <c r="AV36" s="70"/>
      <c r="AW36" s="70" t="s">
        <v>503</v>
      </c>
      <c r="AX36" s="75"/>
      <c r="AY36" s="70" t="s">
        <v>85</v>
      </c>
      <c r="AZ36" s="75"/>
      <c r="BA36" s="69"/>
      <c r="BB36" s="75"/>
      <c r="BC36" s="70"/>
      <c r="BD36" s="70" t="s">
        <v>183</v>
      </c>
    </row>
    <row r="37" spans="1:56" ht="12.75" customHeight="1" x14ac:dyDescent="0.25">
      <c r="A37" s="76">
        <v>1609</v>
      </c>
      <c r="B37" s="77" t="s">
        <v>682</v>
      </c>
      <c r="C37" s="78">
        <v>1</v>
      </c>
      <c r="D37" s="79" t="s">
        <v>243</v>
      </c>
      <c r="E37" s="86">
        <v>0</v>
      </c>
      <c r="F37" s="84"/>
      <c r="G37" s="77" t="s">
        <v>176</v>
      </c>
      <c r="H37" s="82" t="s">
        <v>683</v>
      </c>
      <c r="I37" s="81">
        <v>46021.42150462963</v>
      </c>
      <c r="J37" s="81">
        <v>46021.426724537036</v>
      </c>
      <c r="K37" s="81"/>
      <c r="L37" s="77" t="s">
        <v>81</v>
      </c>
      <c r="M37" s="77" t="s">
        <v>81</v>
      </c>
      <c r="N37" s="80" t="s">
        <v>684</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503</v>
      </c>
      <c r="AX37" s="80"/>
      <c r="AY37" s="77" t="s">
        <v>85</v>
      </c>
      <c r="AZ37" s="80"/>
      <c r="BA37" s="76"/>
      <c r="BB37" s="80"/>
      <c r="BC37" s="77"/>
      <c r="BD37" s="77" t="s">
        <v>183</v>
      </c>
    </row>
    <row r="38" spans="1:56" ht="12.75" customHeight="1" x14ac:dyDescent="0.25">
      <c r="A38" s="69">
        <v>1610</v>
      </c>
      <c r="B38" s="70" t="s">
        <v>685</v>
      </c>
      <c r="C38" s="71">
        <v>2</v>
      </c>
      <c r="D38" s="72" t="s">
        <v>198</v>
      </c>
      <c r="E38" s="85">
        <v>0</v>
      </c>
      <c r="F38" s="83" t="s">
        <v>81</v>
      </c>
      <c r="G38" s="70" t="s">
        <v>176</v>
      </c>
      <c r="H38" s="73" t="s">
        <v>686</v>
      </c>
      <c r="I38" s="74">
        <v>46021.551354166666</v>
      </c>
      <c r="J38" s="74">
        <v>46021.675219907411</v>
      </c>
      <c r="K38" s="74"/>
      <c r="L38" s="70" t="s">
        <v>81</v>
      </c>
      <c r="M38" s="70" t="s">
        <v>81</v>
      </c>
      <c r="N38" s="75" t="s">
        <v>687</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503</v>
      </c>
      <c r="AX38" s="75"/>
      <c r="AY38" s="70" t="s">
        <v>85</v>
      </c>
      <c r="AZ38" s="75"/>
      <c r="BA38" s="69"/>
      <c r="BB38" s="75"/>
      <c r="BC38" s="70"/>
      <c r="BD38" s="70" t="s">
        <v>186</v>
      </c>
    </row>
    <row r="39" spans="1:56" ht="12.75" customHeight="1" thickBot="1" x14ac:dyDescent="0.3">
      <c r="A39" s="87">
        <v>1611</v>
      </c>
      <c r="B39" s="88" t="s">
        <v>689</v>
      </c>
      <c r="C39" s="89">
        <v>2</v>
      </c>
      <c r="D39" s="90" t="s">
        <v>252</v>
      </c>
      <c r="E39" s="91">
        <v>1</v>
      </c>
      <c r="F39" s="92" t="s">
        <v>90</v>
      </c>
      <c r="G39" s="88" t="s">
        <v>175</v>
      </c>
      <c r="H39" s="93" t="s">
        <v>690</v>
      </c>
      <c r="I39" s="94">
        <v>46022.370324074072</v>
      </c>
      <c r="J39" s="94">
        <v>46022.379641203705</v>
      </c>
      <c r="K39" s="94"/>
      <c r="L39" s="88" t="s">
        <v>90</v>
      </c>
      <c r="M39" s="88" t="s">
        <v>155</v>
      </c>
      <c r="N39" s="95" t="s">
        <v>691</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503</v>
      </c>
      <c r="AX39" s="95"/>
      <c r="AY39" s="88" t="s">
        <v>85</v>
      </c>
      <c r="AZ39" s="95"/>
      <c r="BA39" s="87"/>
      <c r="BB39" s="95"/>
      <c r="BC39" s="88"/>
      <c r="BD39" s="88" t="s">
        <v>189</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826</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506</v>
      </c>
      <c r="C3" s="1" t="s">
        <v>252</v>
      </c>
      <c r="D3" s="1" t="s">
        <v>81</v>
      </c>
      <c r="E3" s="4" t="s">
        <v>580</v>
      </c>
      <c r="F3" s="2">
        <v>1</v>
      </c>
      <c r="G3" s="1" t="s">
        <v>175</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189</v>
      </c>
    </row>
    <row r="4" spans="1:56" ht="15" customHeight="1" x14ac:dyDescent="0.25">
      <c r="A4" s="2">
        <v>1357</v>
      </c>
      <c r="B4" s="1" t="s">
        <v>522</v>
      </c>
      <c r="C4" s="1" t="s">
        <v>252</v>
      </c>
      <c r="D4" s="1" t="s">
        <v>89</v>
      </c>
      <c r="E4" s="4" t="s">
        <v>578</v>
      </c>
      <c r="F4" s="2">
        <v>1</v>
      </c>
      <c r="G4" s="1" t="s">
        <v>175</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493</v>
      </c>
      <c r="AR4" s="4"/>
      <c r="AS4" s="32"/>
      <c r="AT4" s="4"/>
      <c r="AU4" s="1"/>
      <c r="AV4" s="1"/>
      <c r="AW4" s="1" t="s">
        <v>61</v>
      </c>
      <c r="AX4" s="4"/>
      <c r="AY4" s="1" t="s">
        <v>85</v>
      </c>
      <c r="AZ4" s="4"/>
      <c r="BA4" s="2"/>
      <c r="BB4" s="4"/>
      <c r="BC4" s="1"/>
      <c r="BD4" s="1" t="s">
        <v>189</v>
      </c>
    </row>
    <row r="5" spans="1:56" ht="15" customHeight="1" x14ac:dyDescent="0.25">
      <c r="A5" s="2">
        <v>309</v>
      </c>
      <c r="B5" s="1" t="s">
        <v>244</v>
      </c>
      <c r="C5" s="1" t="s">
        <v>252</v>
      </c>
      <c r="D5" s="1" t="s">
        <v>81</v>
      </c>
      <c r="E5" s="4" t="s">
        <v>577</v>
      </c>
      <c r="F5" s="2">
        <v>1</v>
      </c>
      <c r="G5" s="1" t="s">
        <v>175</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245</v>
      </c>
      <c r="AR5" s="4"/>
      <c r="AS5" s="33"/>
      <c r="AT5" s="4"/>
      <c r="AU5" s="1"/>
      <c r="AV5" s="1"/>
      <c r="AW5" s="1" t="s">
        <v>61</v>
      </c>
      <c r="AX5" s="4"/>
      <c r="AY5" s="1" t="s">
        <v>85</v>
      </c>
      <c r="AZ5" s="4"/>
      <c r="BA5" s="2"/>
      <c r="BB5" s="4"/>
      <c r="BC5" s="1"/>
      <c r="BD5" s="1" t="s">
        <v>189</v>
      </c>
    </row>
    <row r="6" spans="1:56" ht="15" customHeight="1" x14ac:dyDescent="0.25">
      <c r="A6" s="2">
        <v>1382</v>
      </c>
      <c r="B6" s="1" t="s">
        <v>472</v>
      </c>
      <c r="C6" s="1" t="s">
        <v>252</v>
      </c>
      <c r="D6" s="1" t="s">
        <v>82</v>
      </c>
      <c r="E6" s="4" t="s">
        <v>579</v>
      </c>
      <c r="F6" s="2">
        <v>2</v>
      </c>
      <c r="G6" s="1" t="s">
        <v>175</v>
      </c>
      <c r="H6" s="33">
        <v>45992.435243055559</v>
      </c>
      <c r="I6" s="1" t="s">
        <v>81</v>
      </c>
      <c r="J6" s="33">
        <v>45922.41369212963</v>
      </c>
      <c r="K6" s="1" t="s">
        <v>155</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189</v>
      </c>
    </row>
    <row r="7" spans="1:56" ht="15" customHeight="1" x14ac:dyDescent="0.25">
      <c r="A7" s="2">
        <v>1475</v>
      </c>
      <c r="B7" s="1" t="s">
        <v>519</v>
      </c>
      <c r="C7" s="1" t="s">
        <v>252</v>
      </c>
      <c r="D7" s="1" t="s">
        <v>82</v>
      </c>
      <c r="E7" s="4" t="s">
        <v>581</v>
      </c>
      <c r="F7" s="2">
        <v>1</v>
      </c>
      <c r="G7" s="1" t="s">
        <v>175</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503</v>
      </c>
      <c r="AX7" s="4"/>
      <c r="AY7" s="1" t="s">
        <v>85</v>
      </c>
      <c r="AZ7" s="4"/>
      <c r="BA7" s="2"/>
      <c r="BB7" s="4"/>
      <c r="BC7" s="1"/>
      <c r="BD7" s="1" t="s">
        <v>189</v>
      </c>
    </row>
    <row r="8" spans="1:56" ht="15" customHeight="1" x14ac:dyDescent="0.25">
      <c r="A8" s="2">
        <v>1502</v>
      </c>
      <c r="B8" s="1" t="s">
        <v>559</v>
      </c>
      <c r="C8" s="1" t="s">
        <v>252</v>
      </c>
      <c r="D8" s="1" t="s">
        <v>82</v>
      </c>
      <c r="E8" s="4" t="s">
        <v>582</v>
      </c>
      <c r="F8" s="2">
        <v>1</v>
      </c>
      <c r="G8" s="1" t="s">
        <v>175</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560</v>
      </c>
      <c r="AR8" s="4"/>
      <c r="AS8" s="34"/>
      <c r="AT8" s="4"/>
      <c r="AU8" s="1"/>
      <c r="AV8" s="1"/>
      <c r="AW8" s="1" t="s">
        <v>503</v>
      </c>
      <c r="AX8" s="4"/>
      <c r="AY8" s="1" t="s">
        <v>85</v>
      </c>
      <c r="AZ8" s="4"/>
      <c r="BA8" s="2"/>
      <c r="BB8" s="4"/>
      <c r="BC8" s="1"/>
      <c r="BD8" s="1" t="s">
        <v>189</v>
      </c>
    </row>
    <row r="9" spans="1:56" ht="15" customHeight="1" x14ac:dyDescent="0.25">
      <c r="A9" s="2">
        <v>1503</v>
      </c>
      <c r="B9" s="1" t="s">
        <v>541</v>
      </c>
      <c r="C9" s="1" t="s">
        <v>252</v>
      </c>
      <c r="D9" s="1" t="s">
        <v>89</v>
      </c>
      <c r="E9" s="4" t="s">
        <v>583</v>
      </c>
      <c r="F9" s="2">
        <v>1</v>
      </c>
      <c r="G9" s="1" t="s">
        <v>175</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503</v>
      </c>
      <c r="AX9" s="4"/>
      <c r="AY9" s="1" t="s">
        <v>85</v>
      </c>
      <c r="AZ9" s="4"/>
      <c r="BA9" s="2"/>
      <c r="BB9" s="4"/>
      <c r="BC9" s="1"/>
      <c r="BD9" s="1" t="s">
        <v>189</v>
      </c>
    </row>
    <row r="10" spans="1:56" ht="15" customHeight="1" x14ac:dyDescent="0.25">
      <c r="A10" s="2">
        <v>1530</v>
      </c>
      <c r="B10" s="1" t="s">
        <v>586</v>
      </c>
      <c r="C10" s="1" t="s">
        <v>252</v>
      </c>
      <c r="D10" s="1" t="s">
        <v>91</v>
      </c>
      <c r="E10" s="4" t="s">
        <v>588</v>
      </c>
      <c r="F10" s="2">
        <v>2</v>
      </c>
      <c r="G10" s="1" t="s">
        <v>175</v>
      </c>
      <c r="H10" s="34">
        <v>45992.489895833336</v>
      </c>
      <c r="I10" s="1" t="s">
        <v>155</v>
      </c>
      <c r="J10" s="34">
        <v>45992.46974537037</v>
      </c>
      <c r="K10" s="1" t="s">
        <v>155</v>
      </c>
      <c r="L10" s="1" t="s">
        <v>47</v>
      </c>
      <c r="M10" s="2"/>
      <c r="N10" s="34"/>
      <c r="O10" s="34"/>
      <c r="P10" s="1"/>
      <c r="Q10" s="1" t="s">
        <v>155</v>
      </c>
      <c r="R10" s="34">
        <v>45992.470879629633</v>
      </c>
      <c r="S10" s="1"/>
      <c r="T10" s="4"/>
      <c r="U10" s="4"/>
      <c r="V10" s="1"/>
      <c r="W10" s="1" t="s">
        <v>63</v>
      </c>
      <c r="X10" s="1"/>
      <c r="Y10" s="2"/>
      <c r="Z10" s="1"/>
      <c r="AA10" s="1"/>
      <c r="AB10" s="1" t="s">
        <v>155</v>
      </c>
      <c r="AC10" s="34">
        <v>45992.489895833336</v>
      </c>
      <c r="AD10" s="1"/>
      <c r="AE10" s="1"/>
      <c r="AF10" s="1"/>
      <c r="AG10" s="1"/>
      <c r="AH10" s="1"/>
      <c r="AI10" s="2">
        <v>0</v>
      </c>
      <c r="AJ10" s="1"/>
      <c r="AK10" s="1"/>
      <c r="AL10" s="1"/>
      <c r="AM10" s="2"/>
      <c r="AN10" s="1"/>
      <c r="AO10" s="2">
        <v>0</v>
      </c>
      <c r="AP10" s="4"/>
      <c r="AQ10" s="7" t="s">
        <v>587</v>
      </c>
      <c r="AR10" s="4"/>
      <c r="AS10" s="34"/>
      <c r="AT10" s="4"/>
      <c r="AU10" s="1"/>
      <c r="AV10" s="1"/>
      <c r="AW10" s="1" t="s">
        <v>503</v>
      </c>
      <c r="AX10" s="4"/>
      <c r="AY10" s="1" t="s">
        <v>85</v>
      </c>
      <c r="AZ10" s="4"/>
      <c r="BA10" s="2"/>
      <c r="BB10" s="4"/>
      <c r="BC10" s="1"/>
      <c r="BD10" s="1" t="s">
        <v>189</v>
      </c>
    </row>
    <row r="11" spans="1:56" ht="15" customHeight="1" x14ac:dyDescent="0.25">
      <c r="A11" s="2">
        <v>1374</v>
      </c>
      <c r="B11" s="1" t="s">
        <v>470</v>
      </c>
      <c r="C11" s="1" t="s">
        <v>248</v>
      </c>
      <c r="D11" s="1" t="s">
        <v>82</v>
      </c>
      <c r="E11" s="4" t="s">
        <v>467</v>
      </c>
      <c r="F11" s="2">
        <v>2</v>
      </c>
      <c r="G11" s="1" t="s">
        <v>176</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471</v>
      </c>
      <c r="AR11" s="4"/>
      <c r="AS11" s="34"/>
      <c r="AT11" s="4"/>
      <c r="AU11" s="1"/>
      <c r="AV11" s="1"/>
      <c r="AW11" s="1" t="s">
        <v>61</v>
      </c>
      <c r="AX11" s="4"/>
      <c r="AY11" s="1" t="s">
        <v>85</v>
      </c>
      <c r="AZ11" s="4"/>
      <c r="BA11" s="2"/>
      <c r="BB11" s="4"/>
      <c r="BC11" s="1"/>
      <c r="BD11" s="1" t="s">
        <v>186</v>
      </c>
    </row>
    <row r="12" spans="1:56" ht="15" customHeight="1" x14ac:dyDescent="0.25">
      <c r="A12" s="2">
        <v>1479</v>
      </c>
      <c r="B12" s="1" t="s">
        <v>523</v>
      </c>
      <c r="C12" s="1" t="s">
        <v>248</v>
      </c>
      <c r="D12" s="1" t="s">
        <v>81</v>
      </c>
      <c r="E12" s="4" t="s">
        <v>544</v>
      </c>
      <c r="F12" s="2">
        <v>2</v>
      </c>
      <c r="G12" s="1" t="s">
        <v>176</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524</v>
      </c>
      <c r="AR12" s="4"/>
      <c r="AS12" s="34"/>
      <c r="AT12" s="4"/>
      <c r="AU12" s="1"/>
      <c r="AV12" s="1"/>
      <c r="AW12" s="1" t="s">
        <v>503</v>
      </c>
      <c r="AX12" s="4"/>
      <c r="AY12" s="1" t="s">
        <v>85</v>
      </c>
      <c r="AZ12" s="4"/>
      <c r="BA12" s="2"/>
      <c r="BB12" s="4"/>
      <c r="BC12" s="1"/>
      <c r="BD12" s="1" t="s">
        <v>186</v>
      </c>
    </row>
    <row r="13" spans="1:56" ht="15" customHeight="1" x14ac:dyDescent="0.25">
      <c r="A13" s="2">
        <v>1490</v>
      </c>
      <c r="B13" s="1" t="s">
        <v>526</v>
      </c>
      <c r="C13" s="1" t="s">
        <v>248</v>
      </c>
      <c r="D13" s="1" t="s">
        <v>91</v>
      </c>
      <c r="E13" s="4" t="s">
        <v>527</v>
      </c>
      <c r="F13" s="2">
        <v>2</v>
      </c>
      <c r="G13" s="1" t="s">
        <v>176</v>
      </c>
      <c r="H13" s="34">
        <v>45988.378923611112</v>
      </c>
      <c r="I13" s="1" t="s">
        <v>91</v>
      </c>
      <c r="J13" s="34">
        <v>45980.484293981484</v>
      </c>
      <c r="K13" s="1" t="s">
        <v>155</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528</v>
      </c>
      <c r="AR13" s="4"/>
      <c r="AS13" s="34"/>
      <c r="AT13" s="4"/>
      <c r="AU13" s="1"/>
      <c r="AV13" s="1"/>
      <c r="AW13" s="1" t="s">
        <v>503</v>
      </c>
      <c r="AX13" s="4"/>
      <c r="AY13" s="1" t="s">
        <v>85</v>
      </c>
      <c r="AZ13" s="4"/>
      <c r="BA13" s="2"/>
      <c r="BB13" s="4"/>
      <c r="BC13" s="1"/>
      <c r="BD13" s="1" t="s">
        <v>186</v>
      </c>
    </row>
    <row r="14" spans="1:56" ht="15" customHeight="1" x14ac:dyDescent="0.25">
      <c r="A14" s="2">
        <v>1373</v>
      </c>
      <c r="B14" s="1" t="s">
        <v>468</v>
      </c>
      <c r="C14" s="1" t="s">
        <v>248</v>
      </c>
      <c r="D14" s="1" t="s">
        <v>82</v>
      </c>
      <c r="E14" s="4" t="s">
        <v>467</v>
      </c>
      <c r="F14" s="2">
        <v>2</v>
      </c>
      <c r="G14" s="1" t="s">
        <v>176</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469</v>
      </c>
      <c r="AR14" s="4"/>
      <c r="AS14" s="35"/>
      <c r="AT14" s="4"/>
      <c r="AU14" s="1"/>
      <c r="AV14" s="1"/>
      <c r="AW14" s="1" t="s">
        <v>61</v>
      </c>
      <c r="AX14" s="4"/>
      <c r="AY14" s="1" t="s">
        <v>85</v>
      </c>
      <c r="AZ14" s="4"/>
      <c r="BA14" s="2"/>
      <c r="BB14" s="4"/>
      <c r="BC14" s="1"/>
      <c r="BD14" s="1" t="s">
        <v>186</v>
      </c>
    </row>
    <row r="15" spans="1:56" ht="15" customHeight="1" x14ac:dyDescent="0.25">
      <c r="A15" s="2">
        <v>1411</v>
      </c>
      <c r="B15" s="1" t="s">
        <v>494</v>
      </c>
      <c r="C15" s="1" t="s">
        <v>248</v>
      </c>
      <c r="D15" s="1" t="s">
        <v>81</v>
      </c>
      <c r="E15" s="4" t="s">
        <v>473</v>
      </c>
      <c r="F15" s="2">
        <v>2</v>
      </c>
      <c r="G15" s="1" t="s">
        <v>176</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495</v>
      </c>
      <c r="AR15" s="4"/>
      <c r="AS15" s="35"/>
      <c r="AT15" s="4"/>
      <c r="AU15" s="1"/>
      <c r="AV15" s="1"/>
      <c r="AW15" s="1" t="s">
        <v>61</v>
      </c>
      <c r="AX15" s="4"/>
      <c r="AY15" s="1" t="s">
        <v>85</v>
      </c>
      <c r="AZ15" s="4"/>
      <c r="BA15" s="2"/>
      <c r="BB15" s="4"/>
      <c r="BC15" s="1"/>
      <c r="BD15" s="1" t="s">
        <v>186</v>
      </c>
    </row>
    <row r="16" spans="1:56" ht="15" customHeight="1" x14ac:dyDescent="0.25">
      <c r="A16" s="2">
        <v>1416</v>
      </c>
      <c r="B16" s="1" t="s">
        <v>499</v>
      </c>
      <c r="C16" s="1" t="s">
        <v>248</v>
      </c>
      <c r="D16" s="1" t="s">
        <v>82</v>
      </c>
      <c r="E16" s="4" t="s">
        <v>553</v>
      </c>
      <c r="F16" s="2">
        <v>2</v>
      </c>
      <c r="G16" s="1" t="s">
        <v>176</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186</v>
      </c>
    </row>
    <row r="17" spans="1:56" ht="15" customHeight="1" x14ac:dyDescent="0.25">
      <c r="A17" s="2">
        <v>1426</v>
      </c>
      <c r="B17" s="1" t="s">
        <v>501</v>
      </c>
      <c r="C17" s="1" t="s">
        <v>248</v>
      </c>
      <c r="D17" s="1" t="s">
        <v>91</v>
      </c>
      <c r="E17" s="4" t="s">
        <v>502</v>
      </c>
      <c r="F17" s="2">
        <v>2</v>
      </c>
      <c r="G17" s="1" t="s">
        <v>176</v>
      </c>
      <c r="H17" s="35">
        <v>45947.716678240744</v>
      </c>
      <c r="I17" s="1" t="s">
        <v>81</v>
      </c>
      <c r="J17" s="35">
        <v>45946.730486111112</v>
      </c>
      <c r="K17" s="1" t="s">
        <v>155</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500</v>
      </c>
      <c r="AR17" s="4"/>
      <c r="AS17" s="35"/>
      <c r="AT17" s="4"/>
      <c r="AU17" s="1"/>
      <c r="AV17" s="1"/>
      <c r="AW17" s="1" t="s">
        <v>61</v>
      </c>
      <c r="AX17" s="4"/>
      <c r="AY17" s="1" t="s">
        <v>85</v>
      </c>
      <c r="AZ17" s="4"/>
      <c r="BA17" s="2"/>
      <c r="BB17" s="4"/>
      <c r="BC17" s="1"/>
      <c r="BD17" s="1" t="s">
        <v>186</v>
      </c>
    </row>
    <row r="18" spans="1:56" ht="15" customHeight="1" x14ac:dyDescent="0.25">
      <c r="A18" s="2">
        <v>1485</v>
      </c>
      <c r="B18" s="1" t="s">
        <v>542</v>
      </c>
      <c r="C18" s="1" t="s">
        <v>248</v>
      </c>
      <c r="D18" s="1" t="s">
        <v>94</v>
      </c>
      <c r="E18" s="4" t="s">
        <v>554</v>
      </c>
      <c r="F18" s="2">
        <v>2</v>
      </c>
      <c r="G18" s="1" t="s">
        <v>176</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571</v>
      </c>
      <c r="AR18" s="4"/>
      <c r="AS18" s="37"/>
      <c r="AT18" s="4"/>
      <c r="AU18" s="1"/>
      <c r="AV18" s="1"/>
      <c r="AW18" s="1" t="s">
        <v>503</v>
      </c>
      <c r="AX18" s="4"/>
      <c r="AY18" s="1" t="s">
        <v>85</v>
      </c>
      <c r="AZ18" s="4"/>
      <c r="BA18" s="2"/>
      <c r="BB18" s="4"/>
      <c r="BC18" s="1"/>
      <c r="BD18" s="1" t="s">
        <v>186</v>
      </c>
    </row>
    <row r="19" spans="1:56" ht="15" customHeight="1" x14ac:dyDescent="0.25">
      <c r="A19" s="2">
        <v>1494</v>
      </c>
      <c r="B19" s="1" t="s">
        <v>531</v>
      </c>
      <c r="C19" s="1" t="s">
        <v>248</v>
      </c>
      <c r="D19" s="1" t="s">
        <v>82</v>
      </c>
      <c r="E19" s="4" t="s">
        <v>532</v>
      </c>
      <c r="F19" s="2">
        <v>2</v>
      </c>
      <c r="G19" s="1" t="s">
        <v>176</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503</v>
      </c>
      <c r="AX19" s="4"/>
      <c r="AY19" s="1" t="s">
        <v>85</v>
      </c>
      <c r="AZ19" s="4"/>
      <c r="BA19" s="2"/>
      <c r="BB19" s="4"/>
      <c r="BC19" s="1"/>
      <c r="BD19" s="1" t="s">
        <v>186</v>
      </c>
    </row>
    <row r="20" spans="1:56" ht="15" customHeight="1" x14ac:dyDescent="0.25">
      <c r="A20" s="2">
        <v>1363</v>
      </c>
      <c r="B20" s="1" t="s">
        <v>463</v>
      </c>
      <c r="C20" s="1" t="s">
        <v>248</v>
      </c>
      <c r="D20" s="1" t="s">
        <v>82</v>
      </c>
      <c r="E20" s="4" t="s">
        <v>563</v>
      </c>
      <c r="F20" s="2">
        <v>2</v>
      </c>
      <c r="G20" s="1" t="s">
        <v>176</v>
      </c>
      <c r="H20" s="37">
        <v>45992.479618055557</v>
      </c>
      <c r="I20" s="1" t="s">
        <v>82</v>
      </c>
      <c r="J20" s="37">
        <v>45910.578460648147</v>
      </c>
      <c r="K20" s="1" t="s">
        <v>155</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464</v>
      </c>
      <c r="AR20" s="4"/>
      <c r="AS20" s="37"/>
      <c r="AT20" s="4"/>
      <c r="AU20" s="1"/>
      <c r="AV20" s="1"/>
      <c r="AW20" s="1" t="s">
        <v>61</v>
      </c>
      <c r="AX20" s="4"/>
      <c r="AY20" s="1" t="s">
        <v>85</v>
      </c>
      <c r="AZ20" s="4"/>
      <c r="BA20" s="2"/>
      <c r="BB20" s="4"/>
      <c r="BC20" s="1"/>
      <c r="BD20" s="1" t="s">
        <v>186</v>
      </c>
    </row>
    <row r="21" spans="1:56" ht="15" customHeight="1" x14ac:dyDescent="0.25">
      <c r="A21" s="2">
        <v>1508</v>
      </c>
      <c r="B21" s="1" t="s">
        <v>570</v>
      </c>
      <c r="C21" s="1" t="s">
        <v>248</v>
      </c>
      <c r="D21" s="1" t="s">
        <v>89</v>
      </c>
      <c r="E21" s="4" t="s">
        <v>552</v>
      </c>
      <c r="F21" s="2">
        <v>2</v>
      </c>
      <c r="G21" s="1" t="s">
        <v>176</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543</v>
      </c>
      <c r="AR21" s="4"/>
      <c r="AS21" s="37"/>
      <c r="AT21" s="4"/>
      <c r="AU21" s="1"/>
      <c r="AV21" s="1"/>
      <c r="AW21" s="1" t="s">
        <v>503</v>
      </c>
      <c r="AX21" s="4"/>
      <c r="AY21" s="1" t="s">
        <v>85</v>
      </c>
      <c r="AZ21" s="4"/>
      <c r="BA21" s="2"/>
      <c r="BB21" s="4"/>
      <c r="BC21" s="1"/>
      <c r="BD21" s="1" t="s">
        <v>186</v>
      </c>
    </row>
    <row r="22" spans="1:56" ht="15" customHeight="1" x14ac:dyDescent="0.25">
      <c r="A22" s="2">
        <v>1516</v>
      </c>
      <c r="B22" s="1" t="s">
        <v>549</v>
      </c>
      <c r="C22" s="1" t="s">
        <v>248</v>
      </c>
      <c r="D22" s="1" t="s">
        <v>84</v>
      </c>
      <c r="E22" s="4" t="s">
        <v>555</v>
      </c>
      <c r="F22" s="2">
        <v>2</v>
      </c>
      <c r="G22" s="1" t="s">
        <v>176</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550</v>
      </c>
      <c r="AR22" s="4"/>
      <c r="AS22" s="37"/>
      <c r="AT22" s="4"/>
      <c r="AU22" s="1"/>
      <c r="AV22" s="1"/>
      <c r="AW22" s="1" t="s">
        <v>503</v>
      </c>
      <c r="AX22" s="4"/>
      <c r="AY22" s="1" t="s">
        <v>85</v>
      </c>
      <c r="AZ22" s="4"/>
      <c r="BA22" s="2"/>
      <c r="BB22" s="4"/>
      <c r="BC22" s="1"/>
      <c r="BD22" s="1" t="s">
        <v>186</v>
      </c>
    </row>
    <row r="23" spans="1:56" ht="15" customHeight="1" x14ac:dyDescent="0.25">
      <c r="A23" s="2">
        <v>1518</v>
      </c>
      <c r="B23" s="1" t="s">
        <v>551</v>
      </c>
      <c r="C23" s="1" t="s">
        <v>248</v>
      </c>
      <c r="D23" s="1" t="s">
        <v>89</v>
      </c>
      <c r="E23" s="4" t="s">
        <v>552</v>
      </c>
      <c r="F23" s="2">
        <v>2</v>
      </c>
      <c r="G23" s="1" t="s">
        <v>176</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503</v>
      </c>
      <c r="AX23" s="4"/>
      <c r="AY23" s="1" t="s">
        <v>85</v>
      </c>
      <c r="AZ23" s="4"/>
      <c r="BA23" s="2"/>
      <c r="BB23" s="4"/>
      <c r="BC23" s="1"/>
      <c r="BD23" s="1" t="s">
        <v>186</v>
      </c>
    </row>
    <row r="24" spans="1:56" ht="15" customHeight="1" x14ac:dyDescent="0.25">
      <c r="A24" s="2">
        <v>1521</v>
      </c>
      <c r="B24" s="1" t="s">
        <v>572</v>
      </c>
      <c r="C24" s="1" t="s">
        <v>248</v>
      </c>
      <c r="D24" s="1" t="s">
        <v>84</v>
      </c>
      <c r="E24" s="4" t="s">
        <v>576</v>
      </c>
      <c r="F24" s="2">
        <v>2</v>
      </c>
      <c r="G24" s="1" t="s">
        <v>176</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573</v>
      </c>
      <c r="AR24" s="4"/>
      <c r="AS24" s="37"/>
      <c r="AT24" s="4"/>
      <c r="AU24" s="1"/>
      <c r="AV24" s="1"/>
      <c r="AW24" s="1" t="s">
        <v>503</v>
      </c>
      <c r="AX24" s="4"/>
      <c r="AY24" s="1" t="s">
        <v>85</v>
      </c>
      <c r="AZ24" s="4"/>
      <c r="BA24" s="2"/>
      <c r="BB24" s="4"/>
      <c r="BC24" s="1"/>
      <c r="BD24" s="1" t="s">
        <v>183</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BB12:BC19 AZ12:AZ19 AX12:AX19 AU12:AV19 AS12:AS19 AP12:AP19 AL12:AN19 AD12:AH19 X12:AA19 S12:V19 O12: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BA12:BA19 AJ12:AK19 Q12:R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62C7095-E229-493E-8714-C940F4DB7015}">
      <formula1>"1373"</formula1>
    </dataValidation>
    <dataValidation type="list" operator="equal" allowBlank="1" showInputMessage="1" sqref="D14 I14" xr:uid="{48AE79AA-398D-48A2-9F59-2E2A07CE561B}">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827</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249</v>
      </c>
      <c r="C3" s="1" t="s">
        <v>198</v>
      </c>
      <c r="D3" s="1" t="s">
        <v>84</v>
      </c>
      <c r="E3" s="4" t="s">
        <v>593</v>
      </c>
      <c r="F3" s="1" t="s">
        <v>176</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250</v>
      </c>
      <c r="AR3" s="7"/>
      <c r="AS3" s="35"/>
      <c r="AT3" s="4"/>
      <c r="AU3" s="1"/>
      <c r="AV3" s="1"/>
      <c r="AW3" s="1" t="s">
        <v>61</v>
      </c>
      <c r="AX3" s="4"/>
      <c r="AY3" s="1" t="s">
        <v>85</v>
      </c>
      <c r="AZ3" s="4"/>
      <c r="BA3" s="2"/>
      <c r="BB3" s="4"/>
      <c r="BC3" s="1"/>
      <c r="BD3" s="1" t="s">
        <v>183</v>
      </c>
      <c r="BE3" s="1"/>
    </row>
    <row r="4" spans="1:57" ht="15" customHeight="1" x14ac:dyDescent="0.25">
      <c r="A4" s="2">
        <v>773</v>
      </c>
      <c r="B4" s="1" t="s">
        <v>253</v>
      </c>
      <c r="C4" s="1" t="s">
        <v>198</v>
      </c>
      <c r="D4" s="1" t="s">
        <v>84</v>
      </c>
      <c r="E4" s="4" t="s">
        <v>594</v>
      </c>
      <c r="F4" s="1" t="s">
        <v>176</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254</v>
      </c>
      <c r="AR4" s="7"/>
      <c r="AS4" s="35"/>
      <c r="AT4" s="4"/>
      <c r="AU4" s="1"/>
      <c r="AV4" s="1"/>
      <c r="AW4" s="1" t="s">
        <v>61</v>
      </c>
      <c r="AX4" s="4"/>
      <c r="AY4" s="1" t="s">
        <v>85</v>
      </c>
      <c r="AZ4" s="4"/>
      <c r="BA4" s="2"/>
      <c r="BB4" s="4"/>
      <c r="BC4" s="1"/>
      <c r="BD4" s="1" t="s">
        <v>183</v>
      </c>
      <c r="BE4" s="1"/>
    </row>
    <row r="5" spans="1:57" ht="15" customHeight="1" x14ac:dyDescent="0.25">
      <c r="A5" s="2">
        <v>1121</v>
      </c>
      <c r="B5" s="1" t="s">
        <v>262</v>
      </c>
      <c r="C5" s="1" t="s">
        <v>198</v>
      </c>
      <c r="D5" s="1" t="s">
        <v>90</v>
      </c>
      <c r="E5" s="4" t="s">
        <v>566</v>
      </c>
      <c r="F5" s="1" t="s">
        <v>176</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263</v>
      </c>
      <c r="AR5" s="7"/>
      <c r="AS5" s="35"/>
      <c r="AT5" s="4"/>
      <c r="AU5" s="1"/>
      <c r="AV5" s="1"/>
      <c r="AW5" s="1" t="s">
        <v>61</v>
      </c>
      <c r="AX5" s="4"/>
      <c r="AY5" s="1" t="s">
        <v>85</v>
      </c>
      <c r="AZ5" s="4"/>
      <c r="BA5" s="2"/>
      <c r="BB5" s="4"/>
      <c r="BC5" s="1"/>
      <c r="BD5" s="1" t="s">
        <v>186</v>
      </c>
      <c r="BE5" s="1"/>
    </row>
    <row r="6" spans="1:57" ht="15" customHeight="1" x14ac:dyDescent="0.25">
      <c r="A6" s="2">
        <v>1352</v>
      </c>
      <c r="B6" s="1" t="s">
        <v>461</v>
      </c>
      <c r="C6" s="1" t="s">
        <v>198</v>
      </c>
      <c r="D6" s="1" t="s">
        <v>94</v>
      </c>
      <c r="E6" s="4" t="s">
        <v>490</v>
      </c>
      <c r="F6" s="1" t="s">
        <v>176</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491</v>
      </c>
      <c r="AR6" s="7"/>
      <c r="AS6" s="35"/>
      <c r="AT6" s="4"/>
      <c r="AU6" s="1"/>
      <c r="AV6" s="1"/>
      <c r="AW6" s="1" t="s">
        <v>61</v>
      </c>
      <c r="AX6" s="4"/>
      <c r="AY6" s="1" t="s">
        <v>85</v>
      </c>
      <c r="AZ6" s="4"/>
      <c r="BA6" s="2"/>
      <c r="BB6" s="4"/>
      <c r="BC6" s="1"/>
      <c r="BD6" s="1" t="s">
        <v>186</v>
      </c>
      <c r="BE6" s="1"/>
    </row>
    <row r="7" spans="1:57" ht="15" customHeight="1" x14ac:dyDescent="0.25">
      <c r="A7" s="2">
        <v>1432</v>
      </c>
      <c r="B7" s="1" t="s">
        <v>507</v>
      </c>
      <c r="C7" s="1" t="s">
        <v>198</v>
      </c>
      <c r="D7" s="1" t="s">
        <v>81</v>
      </c>
      <c r="E7" s="4" t="s">
        <v>595</v>
      </c>
      <c r="F7" s="1" t="s">
        <v>176</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508</v>
      </c>
      <c r="AR7" s="7"/>
      <c r="AS7" s="35"/>
      <c r="AT7" s="4"/>
      <c r="AU7" s="1"/>
      <c r="AV7" s="1"/>
      <c r="AW7" s="1" t="s">
        <v>61</v>
      </c>
      <c r="AX7" s="4"/>
      <c r="AY7" s="1" t="s">
        <v>85</v>
      </c>
      <c r="AZ7" s="4"/>
      <c r="BA7" s="2"/>
      <c r="BB7" s="4"/>
      <c r="BC7" s="1"/>
      <c r="BD7" s="1" t="s">
        <v>186</v>
      </c>
      <c r="BE7" s="1"/>
    </row>
    <row r="8" spans="1:57" ht="15" customHeight="1" x14ac:dyDescent="0.25">
      <c r="A8" s="2">
        <v>1440</v>
      </c>
      <c r="B8" s="1" t="s">
        <v>509</v>
      </c>
      <c r="C8" s="1" t="s">
        <v>198</v>
      </c>
      <c r="D8" s="1" t="s">
        <v>81</v>
      </c>
      <c r="E8" s="4" t="s">
        <v>596</v>
      </c>
      <c r="F8" s="1" t="s">
        <v>176</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510</v>
      </c>
      <c r="AR8" s="7"/>
      <c r="AS8" s="35"/>
      <c r="AT8" s="4"/>
      <c r="AU8" s="1"/>
      <c r="AV8" s="1"/>
      <c r="AW8" s="1" t="s">
        <v>61</v>
      </c>
      <c r="AX8" s="4"/>
      <c r="AY8" s="1" t="s">
        <v>85</v>
      </c>
      <c r="AZ8" s="4"/>
      <c r="BA8" s="2"/>
      <c r="BB8" s="4"/>
      <c r="BC8" s="1"/>
      <c r="BD8" s="1" t="s">
        <v>186</v>
      </c>
      <c r="BE8" s="1"/>
    </row>
    <row r="9" spans="1:57" ht="15" customHeight="1" x14ac:dyDescent="0.25">
      <c r="A9" s="2">
        <v>1469</v>
      </c>
      <c r="B9" s="1" t="s">
        <v>517</v>
      </c>
      <c r="C9" s="1" t="s">
        <v>198</v>
      </c>
      <c r="D9" s="1" t="s">
        <v>91</v>
      </c>
      <c r="E9" s="4" t="s">
        <v>568</v>
      </c>
      <c r="F9" s="1" t="s">
        <v>176</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518</v>
      </c>
      <c r="AR9" s="7"/>
      <c r="AS9" s="35"/>
      <c r="AT9" s="4"/>
      <c r="AU9" s="1"/>
      <c r="AV9" s="1"/>
      <c r="AW9" s="1" t="s">
        <v>503</v>
      </c>
      <c r="AX9" s="4"/>
      <c r="AY9" s="1" t="s">
        <v>85</v>
      </c>
      <c r="AZ9" s="4"/>
      <c r="BA9" s="2"/>
      <c r="BB9" s="4"/>
      <c r="BC9" s="1"/>
      <c r="BD9" s="1" t="s">
        <v>186</v>
      </c>
      <c r="BE9" s="1"/>
    </row>
    <row r="10" spans="1:57" ht="15" customHeight="1" x14ac:dyDescent="0.25">
      <c r="A10" s="2">
        <v>1486</v>
      </c>
      <c r="B10" s="1" t="s">
        <v>545</v>
      </c>
      <c r="C10" s="1" t="s">
        <v>198</v>
      </c>
      <c r="D10" s="1" t="s">
        <v>84</v>
      </c>
      <c r="E10" s="4" t="s">
        <v>597</v>
      </c>
      <c r="F10" s="1" t="s">
        <v>176</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525</v>
      </c>
      <c r="AR10" s="7"/>
      <c r="AS10" s="35"/>
      <c r="AT10" s="4"/>
      <c r="AU10" s="1"/>
      <c r="AV10" s="1"/>
      <c r="AW10" s="1" t="s">
        <v>503</v>
      </c>
      <c r="AX10" s="4"/>
      <c r="AY10" s="1" t="s">
        <v>85</v>
      </c>
      <c r="AZ10" s="4"/>
      <c r="BA10" s="2"/>
      <c r="BB10" s="4"/>
      <c r="BC10" s="1"/>
      <c r="BD10" s="1" t="s">
        <v>186</v>
      </c>
      <c r="BE10" s="1"/>
    </row>
    <row r="11" spans="1:57" ht="15" customHeight="1" x14ac:dyDescent="0.25">
      <c r="A11" s="2">
        <v>1501</v>
      </c>
      <c r="B11" s="1" t="s">
        <v>538</v>
      </c>
      <c r="C11" s="1" t="s">
        <v>198</v>
      </c>
      <c r="D11" s="1" t="s">
        <v>84</v>
      </c>
      <c r="E11" s="4" t="s">
        <v>598</v>
      </c>
      <c r="F11" s="1" t="s">
        <v>176</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540</v>
      </c>
      <c r="AR11" s="7"/>
      <c r="AS11" s="35"/>
      <c r="AT11" s="4"/>
      <c r="AU11" s="1"/>
      <c r="AV11" s="1"/>
      <c r="AW11" s="1" t="s">
        <v>503</v>
      </c>
      <c r="AX11" s="4"/>
      <c r="AY11" s="1" t="s">
        <v>85</v>
      </c>
      <c r="AZ11" s="4"/>
      <c r="BA11" s="2"/>
      <c r="BB11" s="4"/>
      <c r="BC11" s="1"/>
      <c r="BD11" s="1" t="s">
        <v>186</v>
      </c>
      <c r="BE11" s="1"/>
    </row>
    <row r="12" spans="1:57" ht="15" customHeight="1" x14ac:dyDescent="0.25">
      <c r="A12" s="2">
        <v>1510</v>
      </c>
      <c r="B12" s="1" t="s">
        <v>546</v>
      </c>
      <c r="C12" s="1" t="s">
        <v>198</v>
      </c>
      <c r="D12" s="1" t="s">
        <v>89</v>
      </c>
      <c r="E12" s="4" t="s">
        <v>487</v>
      </c>
      <c r="F12" s="1" t="s">
        <v>176</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547</v>
      </c>
      <c r="AR12" s="7"/>
      <c r="AS12" s="34"/>
      <c r="AT12" s="4"/>
      <c r="AU12" s="1"/>
      <c r="AV12" s="1"/>
      <c r="AW12" s="1" t="s">
        <v>503</v>
      </c>
      <c r="AX12" s="4"/>
      <c r="AY12" s="1" t="s">
        <v>85</v>
      </c>
      <c r="AZ12" s="4"/>
      <c r="BA12" s="2"/>
      <c r="BB12" s="4"/>
      <c r="BC12" s="1"/>
      <c r="BD12" s="1" t="s">
        <v>186</v>
      </c>
      <c r="BE12" s="1"/>
    </row>
    <row r="13" spans="1:57" ht="15" customHeight="1" x14ac:dyDescent="0.25">
      <c r="A13" s="2">
        <v>1515</v>
      </c>
      <c r="B13" s="1" t="s">
        <v>548</v>
      </c>
      <c r="C13" s="1" t="s">
        <v>198</v>
      </c>
      <c r="D13" s="1" t="s">
        <v>89</v>
      </c>
      <c r="E13" s="4" t="s">
        <v>599</v>
      </c>
      <c r="F13" s="1" t="s">
        <v>176</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503</v>
      </c>
      <c r="AX13" s="4"/>
      <c r="AY13" s="1" t="s">
        <v>85</v>
      </c>
      <c r="AZ13" s="4"/>
      <c r="BA13" s="2"/>
      <c r="BB13" s="4"/>
      <c r="BC13" s="1"/>
      <c r="BD13" s="1" t="s">
        <v>186</v>
      </c>
      <c r="BE13" s="1"/>
    </row>
    <row r="14" spans="1:57" ht="15" customHeight="1" x14ac:dyDescent="0.25">
      <c r="A14" s="2">
        <v>1192</v>
      </c>
      <c r="B14" s="1" t="s">
        <v>265</v>
      </c>
      <c r="C14" s="1" t="s">
        <v>198</v>
      </c>
      <c r="D14" s="1" t="s">
        <v>84</v>
      </c>
      <c r="E14" s="4" t="s">
        <v>569</v>
      </c>
      <c r="F14" s="1" t="s">
        <v>176</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186</v>
      </c>
      <c r="BE14" s="1"/>
    </row>
    <row r="15" spans="1:57" ht="15" customHeight="1" x14ac:dyDescent="0.25">
      <c r="A15" s="2">
        <v>1495</v>
      </c>
      <c r="B15" s="1" t="s">
        <v>533</v>
      </c>
      <c r="C15" s="1" t="s">
        <v>198</v>
      </c>
      <c r="D15" s="1" t="s">
        <v>90</v>
      </c>
      <c r="E15" s="4" t="s">
        <v>534</v>
      </c>
      <c r="F15" s="1" t="s">
        <v>176</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535</v>
      </c>
      <c r="AR15" s="7"/>
      <c r="AS15" s="37"/>
      <c r="AT15" s="4"/>
      <c r="AU15" s="1"/>
      <c r="AV15" s="1"/>
      <c r="AW15" s="1" t="s">
        <v>503</v>
      </c>
      <c r="AX15" s="4"/>
      <c r="AY15" s="1" t="s">
        <v>85</v>
      </c>
      <c r="AZ15" s="4"/>
      <c r="BA15" s="2"/>
      <c r="BB15" s="4"/>
      <c r="BC15" s="1"/>
      <c r="BD15" s="1" t="s">
        <v>186</v>
      </c>
      <c r="BE15" s="1"/>
    </row>
    <row r="16" spans="1:57" ht="15" customHeight="1" x14ac:dyDescent="0.25">
      <c r="A16" s="2">
        <v>1523</v>
      </c>
      <c r="B16" s="1" t="s">
        <v>574</v>
      </c>
      <c r="C16" s="1" t="s">
        <v>198</v>
      </c>
      <c r="D16" s="1" t="s">
        <v>81</v>
      </c>
      <c r="E16" s="4" t="s">
        <v>575</v>
      </c>
      <c r="F16" s="1" t="s">
        <v>176</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503</v>
      </c>
      <c r="AX16" s="4"/>
      <c r="AY16" s="1" t="s">
        <v>85</v>
      </c>
      <c r="AZ16" s="4"/>
      <c r="BA16" s="2"/>
      <c r="BB16" s="4"/>
      <c r="BC16" s="1"/>
      <c r="BD16" s="1" t="s">
        <v>186</v>
      </c>
      <c r="BE16" s="1"/>
    </row>
    <row r="17" spans="1:57" ht="15" customHeight="1" x14ac:dyDescent="0.25">
      <c r="A17" s="2">
        <v>1529</v>
      </c>
      <c r="B17" s="1" t="s">
        <v>584</v>
      </c>
      <c r="C17" s="1" t="s">
        <v>198</v>
      </c>
      <c r="D17" s="1" t="s">
        <v>89</v>
      </c>
      <c r="E17" s="4" t="s">
        <v>505</v>
      </c>
      <c r="F17" s="1" t="s">
        <v>176</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585</v>
      </c>
      <c r="AR17" s="7"/>
      <c r="AS17" s="37"/>
      <c r="AT17" s="4"/>
      <c r="AU17" s="1"/>
      <c r="AV17" s="1"/>
      <c r="AW17" s="1" t="s">
        <v>503</v>
      </c>
      <c r="AX17" s="4"/>
      <c r="AY17" s="1" t="s">
        <v>85</v>
      </c>
      <c r="AZ17" s="4"/>
      <c r="BA17" s="2"/>
      <c r="BB17" s="4"/>
      <c r="BC17" s="1"/>
      <c r="BD17" s="1" t="s">
        <v>183</v>
      </c>
      <c r="BE17" s="1"/>
    </row>
    <row r="18" spans="1:57" ht="15" customHeight="1" x14ac:dyDescent="0.25">
      <c r="A18" s="2" t="s">
        <v>306</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12:BC17 AZ12:AZ17 AX12:AX17 AU12:AV17 AS12:AS17 AP12:AP17 AL12:AN17 AD12:AH17 X12:AA17 S12:V17 O12: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BA12:BA17 AJ12:AK17 Q12:R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E90736EF-5C77-4955-9B25-688D5599EEFC}">
      <formula1>"1192"</formula1>
    </dataValidation>
    <dataValidation type="list" operator="equal" allowBlank="1" showInputMessage="1" sqref="D14 I14" xr:uid="{4ADCBAFA-BA81-4303-A6FF-D83C48021F4A}">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FF8CA492-F1A1-43FA-B0CD-050ED2F2B041}">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692</v>
      </c>
      <c r="B1" s="55" t="s">
        <v>613</v>
      </c>
      <c r="C1" s="55" t="s">
        <v>589</v>
      </c>
      <c r="D1" s="55" t="s">
        <v>590</v>
      </c>
      <c r="E1" s="55" t="s">
        <v>592</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828</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172</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246</v>
      </c>
      <c r="F15" s="4"/>
      <c r="G15" s="1" t="s">
        <v>247</v>
      </c>
      <c r="H15" s="4" t="s">
        <v>561</v>
      </c>
      <c r="I15" s="2">
        <v>2</v>
      </c>
      <c r="J15" s="1" t="s">
        <v>94</v>
      </c>
      <c r="K15" s="1" t="s">
        <v>176</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186</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127</v>
      </c>
      <c r="F19" s="7" t="s">
        <v>129</v>
      </c>
      <c r="G19" s="1" t="s">
        <v>80</v>
      </c>
      <c r="H19" s="4" t="s">
        <v>128</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130</v>
      </c>
      <c r="F20" s="4"/>
      <c r="G20" s="1" t="s">
        <v>80</v>
      </c>
      <c r="H20" s="4" t="s">
        <v>131</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132</v>
      </c>
      <c r="F21" s="4"/>
      <c r="G21" s="1" t="s">
        <v>80</v>
      </c>
      <c r="H21" s="4" t="s">
        <v>128</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133</v>
      </c>
      <c r="F22" s="4" t="s">
        <v>134</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135</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136</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137</v>
      </c>
      <c r="F25" s="4"/>
      <c r="G25" s="1" t="s">
        <v>80</v>
      </c>
      <c r="H25" s="4" t="s">
        <v>138</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139</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140</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141</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142</v>
      </c>
      <c r="F29" s="7" t="s">
        <v>144</v>
      </c>
      <c r="G29" s="1" t="s">
        <v>80</v>
      </c>
      <c r="H29" s="4" t="s">
        <v>143</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145</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147</v>
      </c>
      <c r="F31" s="4"/>
      <c r="G31" s="1" t="s">
        <v>80</v>
      </c>
      <c r="H31" s="4" t="s">
        <v>148</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149</v>
      </c>
      <c r="F32" s="7" t="s">
        <v>173</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150</v>
      </c>
      <c r="F33" s="7" t="s">
        <v>174</v>
      </c>
      <c r="G33" s="1" t="s">
        <v>80</v>
      </c>
      <c r="H33" s="4" t="s">
        <v>131</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151</v>
      </c>
      <c r="F34" s="4"/>
      <c r="G34" s="1" t="s">
        <v>80</v>
      </c>
      <c r="H34" s="4" t="s">
        <v>128</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152</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153</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154</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257</v>
      </c>
      <c r="F38" s="7" t="s">
        <v>266</v>
      </c>
      <c r="G38" s="1" t="s">
        <v>460</v>
      </c>
      <c r="H38" s="4" t="s">
        <v>565</v>
      </c>
      <c r="I38" s="2">
        <v>1</v>
      </c>
      <c r="J38" s="1" t="s">
        <v>94</v>
      </c>
      <c r="K38" s="1" t="s">
        <v>176</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186</v>
      </c>
    </row>
    <row r="39" spans="1:56" ht="15" hidden="1" customHeight="1" x14ac:dyDescent="0.25">
      <c r="A39" s="2">
        <v>952</v>
      </c>
      <c r="B39" s="16">
        <v>45791.671759259261</v>
      </c>
      <c r="C39" s="16">
        <v>45841.349907407406</v>
      </c>
      <c r="D39" s="16">
        <v>45841.349907407406</v>
      </c>
      <c r="E39" s="1" t="s">
        <v>156</v>
      </c>
      <c r="F39" s="7" t="s">
        <v>157</v>
      </c>
      <c r="G39" s="1" t="s">
        <v>80</v>
      </c>
      <c r="H39" s="4" t="s">
        <v>128</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158</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159</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160</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161</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258</v>
      </c>
      <c r="F44" s="4"/>
      <c r="G44" s="1" t="s">
        <v>243</v>
      </c>
      <c r="H44" s="4" t="s">
        <v>556</v>
      </c>
      <c r="I44" s="2">
        <v>4</v>
      </c>
      <c r="J44" s="1"/>
      <c r="K44" s="1" t="s">
        <v>176</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183</v>
      </c>
    </row>
    <row r="45" spans="1:56" ht="15" hidden="1" customHeight="1" x14ac:dyDescent="0.25">
      <c r="A45" s="2">
        <v>1072</v>
      </c>
      <c r="B45" s="16">
        <v>45804.657766203702</v>
      </c>
      <c r="C45" s="16">
        <v>45992.549456018518</v>
      </c>
      <c r="D45" s="16"/>
      <c r="E45" s="1" t="s">
        <v>259</v>
      </c>
      <c r="F45" s="7" t="s">
        <v>100</v>
      </c>
      <c r="G45" s="1" t="s">
        <v>460</v>
      </c>
      <c r="H45" s="4" t="s">
        <v>600</v>
      </c>
      <c r="I45" s="2">
        <v>4</v>
      </c>
      <c r="J45" s="1" t="s">
        <v>94</v>
      </c>
      <c r="K45" s="1" t="s">
        <v>176</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186</v>
      </c>
    </row>
    <row r="46" spans="1:56" ht="15" hidden="1" customHeight="1" x14ac:dyDescent="0.25">
      <c r="A46" s="2">
        <v>1095</v>
      </c>
      <c r="B46" s="16">
        <v>45813.420416666668</v>
      </c>
      <c r="C46" s="16">
        <v>45951.677175925928</v>
      </c>
      <c r="D46" s="16">
        <v>45951.677175925928</v>
      </c>
      <c r="E46" s="1" t="s">
        <v>260</v>
      </c>
      <c r="F46" s="4"/>
      <c r="G46" s="1" t="s">
        <v>80</v>
      </c>
      <c r="H46" s="4" t="s">
        <v>465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199</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162</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163</v>
      </c>
      <c r="F49" s="4"/>
      <c r="G49" s="1" t="s">
        <v>80</v>
      </c>
      <c r="H49" s="4" t="s">
        <v>128</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261</v>
      </c>
      <c r="F50" s="7" t="s">
        <v>515</v>
      </c>
      <c r="G50" s="1" t="s">
        <v>247</v>
      </c>
      <c r="H50" s="4" t="s">
        <v>514</v>
      </c>
      <c r="I50" s="2">
        <v>2</v>
      </c>
      <c r="J50" s="1"/>
      <c r="K50" s="1" t="s">
        <v>176</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183</v>
      </c>
    </row>
    <row r="51" spans="1:56" ht="15" customHeight="1" x14ac:dyDescent="0.25">
      <c r="A51" s="2">
        <v>1148</v>
      </c>
      <c r="B51" s="16">
        <v>45825.642962962964</v>
      </c>
      <c r="C51" s="16">
        <v>45992.363333333335</v>
      </c>
      <c r="D51" s="16"/>
      <c r="E51" s="1" t="s">
        <v>557</v>
      </c>
      <c r="F51" s="4"/>
      <c r="G51" s="1" t="s">
        <v>243</v>
      </c>
      <c r="H51" s="4" t="s">
        <v>514</v>
      </c>
      <c r="I51" s="2">
        <v>1</v>
      </c>
      <c r="J51" s="1" t="s">
        <v>81</v>
      </c>
      <c r="K51" s="1" t="s">
        <v>176</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183</v>
      </c>
    </row>
    <row r="52" spans="1:56" ht="15" hidden="1" customHeight="1" x14ac:dyDescent="0.25">
      <c r="A52" s="2">
        <v>1166</v>
      </c>
      <c r="B52" s="16">
        <v>45834.45113425926</v>
      </c>
      <c r="C52" s="16">
        <v>45841.349675925929</v>
      </c>
      <c r="D52" s="16">
        <v>45841.349675925929</v>
      </c>
      <c r="E52" s="1" t="s">
        <v>164</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165</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264</v>
      </c>
      <c r="F54" s="7" t="s">
        <v>444</v>
      </c>
      <c r="G54" s="1" t="s">
        <v>80</v>
      </c>
      <c r="H54" s="4" t="s">
        <v>443</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166</v>
      </c>
      <c r="F55" s="7" t="s">
        <v>168</v>
      </c>
      <c r="G55" s="1" t="s">
        <v>80</v>
      </c>
      <c r="H55" s="4" t="s">
        <v>167</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169</v>
      </c>
      <c r="F56" s="7" t="s">
        <v>171</v>
      </c>
      <c r="G56" s="1" t="s">
        <v>80</v>
      </c>
      <c r="H56" s="4" t="s">
        <v>170</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375</v>
      </c>
      <c r="F57" s="4"/>
      <c r="G57" s="1" t="s">
        <v>80</v>
      </c>
      <c r="H57" s="4" t="s">
        <v>376</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377</v>
      </c>
      <c r="F58" s="4"/>
      <c r="G58" s="1" t="s">
        <v>80</v>
      </c>
      <c r="H58" s="4" t="s">
        <v>378</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379</v>
      </c>
      <c r="F59" s="4"/>
      <c r="G59" s="1" t="s">
        <v>243</v>
      </c>
      <c r="H59" s="4" t="s">
        <v>380</v>
      </c>
      <c r="I59" s="2">
        <v>2</v>
      </c>
      <c r="J59" s="1"/>
      <c r="K59" s="1" t="s">
        <v>176</v>
      </c>
      <c r="L59" s="1" t="s">
        <v>146</v>
      </c>
      <c r="M59" s="1" t="s">
        <v>81</v>
      </c>
      <c r="N59" s="1" t="s">
        <v>47</v>
      </c>
      <c r="O59" s="2"/>
      <c r="P59" s="16"/>
      <c r="Q59" s="1"/>
      <c r="R59" s="1"/>
      <c r="S59" s="16"/>
      <c r="T59" s="1"/>
      <c r="U59" s="4"/>
      <c r="V59" s="4"/>
      <c r="W59" s="1"/>
      <c r="X59" s="1" t="s">
        <v>63</v>
      </c>
      <c r="Y59" s="1"/>
      <c r="Z59" s="2"/>
      <c r="AA59" s="1"/>
      <c r="AB59" s="1"/>
      <c r="AC59" s="1" t="s">
        <v>146</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183</v>
      </c>
    </row>
    <row r="60" spans="1:56" ht="15" customHeight="1" x14ac:dyDescent="0.25">
      <c r="A60" s="2">
        <v>1255</v>
      </c>
      <c r="B60" s="16">
        <v>45867.36105324074</v>
      </c>
      <c r="C60" s="16">
        <v>45881.571215277778</v>
      </c>
      <c r="D60" s="16"/>
      <c r="E60" s="1" t="s">
        <v>381</v>
      </c>
      <c r="F60" s="4"/>
      <c r="G60" s="1" t="s">
        <v>243</v>
      </c>
      <c r="H60" s="4" t="s">
        <v>380</v>
      </c>
      <c r="I60" s="2">
        <v>2</v>
      </c>
      <c r="J60" s="1"/>
      <c r="K60" s="1" t="s">
        <v>176</v>
      </c>
      <c r="L60" s="1" t="s">
        <v>146</v>
      </c>
      <c r="M60" s="1" t="s">
        <v>81</v>
      </c>
      <c r="N60" s="1" t="s">
        <v>47</v>
      </c>
      <c r="O60" s="2"/>
      <c r="P60" s="16"/>
      <c r="Q60" s="1"/>
      <c r="R60" s="1"/>
      <c r="S60" s="16"/>
      <c r="T60" s="1"/>
      <c r="U60" s="4"/>
      <c r="V60" s="4"/>
      <c r="W60" s="1"/>
      <c r="X60" s="1" t="s">
        <v>63</v>
      </c>
      <c r="Y60" s="1"/>
      <c r="Z60" s="2"/>
      <c r="AA60" s="1"/>
      <c r="AB60" s="1"/>
      <c r="AC60" s="1" t="s">
        <v>146</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183</v>
      </c>
    </row>
    <row r="61" spans="1:56" ht="15" hidden="1" customHeight="1" x14ac:dyDescent="0.25">
      <c r="A61" s="2">
        <v>1306</v>
      </c>
      <c r="B61" s="16">
        <v>45884.448958333334</v>
      </c>
      <c r="C61" s="16">
        <v>45901.591793981483</v>
      </c>
      <c r="D61" s="16">
        <v>45901.591793981483</v>
      </c>
      <c r="E61" s="1" t="s">
        <v>382</v>
      </c>
      <c r="F61" s="7" t="s">
        <v>383</v>
      </c>
      <c r="G61" s="1" t="s">
        <v>80</v>
      </c>
      <c r="H61" s="4" t="s">
        <v>384</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385</v>
      </c>
      <c r="F62" s="4"/>
      <c r="G62" s="1" t="s">
        <v>80</v>
      </c>
      <c r="H62" s="4" t="s">
        <v>386</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387</v>
      </c>
      <c r="F63" s="7" t="s">
        <v>388</v>
      </c>
      <c r="G63" s="1" t="s">
        <v>80</v>
      </c>
      <c r="H63" s="4" t="s">
        <v>389</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390</v>
      </c>
      <c r="F64" s="7" t="s">
        <v>391</v>
      </c>
      <c r="G64" s="1" t="s">
        <v>80</v>
      </c>
      <c r="H64" s="4" t="s">
        <v>386</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392</v>
      </c>
      <c r="F65" s="7" t="s">
        <v>100</v>
      </c>
      <c r="G65" s="1" t="s">
        <v>80</v>
      </c>
      <c r="H65" s="4" t="s">
        <v>386</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393</v>
      </c>
      <c r="F66" s="7" t="s">
        <v>394</v>
      </c>
      <c r="G66" s="1" t="s">
        <v>80</v>
      </c>
      <c r="H66" s="4" t="s">
        <v>395</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396</v>
      </c>
      <c r="F67" s="7" t="s">
        <v>398</v>
      </c>
      <c r="G67" s="1" t="s">
        <v>80</v>
      </c>
      <c r="H67" s="4" t="s">
        <v>441</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397</v>
      </c>
      <c r="F68" s="4"/>
      <c r="G68" s="1" t="s">
        <v>80</v>
      </c>
      <c r="H68" s="4" t="s">
        <v>386</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446</v>
      </c>
      <c r="F69" s="4"/>
      <c r="G69" s="1" t="s">
        <v>460</v>
      </c>
      <c r="H69" s="4" t="s">
        <v>567</v>
      </c>
      <c r="I69" s="2">
        <v>2</v>
      </c>
      <c r="J69" s="1" t="s">
        <v>81</v>
      </c>
      <c r="K69" s="1" t="s">
        <v>176</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186</v>
      </c>
    </row>
    <row r="70" spans="1:56" ht="15" hidden="1" customHeight="1" x14ac:dyDescent="0.25">
      <c r="A70" s="2">
        <v>1334</v>
      </c>
      <c r="B70" s="17">
        <v>45894.419664351852</v>
      </c>
      <c r="C70" s="17">
        <v>45905.780543981484</v>
      </c>
      <c r="D70" s="17">
        <v>45905.780543981484</v>
      </c>
      <c r="E70" s="1" t="s">
        <v>452</v>
      </c>
      <c r="F70" s="4"/>
      <c r="G70" s="1" t="s">
        <v>80</v>
      </c>
      <c r="H70" s="4" t="s">
        <v>386</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453</v>
      </c>
      <c r="F71" s="4"/>
      <c r="G71" s="1" t="s">
        <v>80</v>
      </c>
      <c r="H71" s="4" t="s">
        <v>386</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454</v>
      </c>
      <c r="F72" s="7" t="s">
        <v>457</v>
      </c>
      <c r="G72" s="1" t="s">
        <v>247</v>
      </c>
      <c r="H72" s="4" t="s">
        <v>562</v>
      </c>
      <c r="I72" s="2">
        <v>2</v>
      </c>
      <c r="J72" s="1"/>
      <c r="K72" s="1" t="s">
        <v>176</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183</v>
      </c>
    </row>
    <row r="73" spans="1:56" ht="15" hidden="1" customHeight="1" x14ac:dyDescent="0.25">
      <c r="A73" s="2">
        <v>1341</v>
      </c>
      <c r="B73" s="17">
        <v>45898.481689814813</v>
      </c>
      <c r="C73" s="17">
        <v>45911.659884259258</v>
      </c>
      <c r="D73" s="17">
        <v>45911.659884259258</v>
      </c>
      <c r="E73" s="1" t="s">
        <v>439</v>
      </c>
      <c r="F73" s="7" t="s">
        <v>440</v>
      </c>
      <c r="G73" s="1" t="s">
        <v>80</v>
      </c>
      <c r="H73" s="4" t="s">
        <v>442</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455</v>
      </c>
      <c r="F74" s="7" t="s">
        <v>458</v>
      </c>
      <c r="G74" s="1" t="s">
        <v>80</v>
      </c>
      <c r="H74" s="4" t="s">
        <v>456</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447</v>
      </c>
      <c r="F75" s="7" t="s">
        <v>449</v>
      </c>
      <c r="G75" s="1" t="s">
        <v>80</v>
      </c>
      <c r="H75" s="4" t="s">
        <v>448</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461</v>
      </c>
      <c r="F76" s="7" t="s">
        <v>491</v>
      </c>
      <c r="G76" s="1" t="s">
        <v>198</v>
      </c>
      <c r="H76" s="4" t="s">
        <v>490</v>
      </c>
      <c r="I76" s="2">
        <v>3</v>
      </c>
      <c r="J76" s="1" t="s">
        <v>94</v>
      </c>
      <c r="K76" s="1" t="s">
        <v>176</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186</v>
      </c>
    </row>
    <row r="77" spans="1:56" ht="15" hidden="1" customHeight="1" x14ac:dyDescent="0.25">
      <c r="A77" s="2">
        <v>1353</v>
      </c>
      <c r="B77" s="27">
        <v>45909.641851851855</v>
      </c>
      <c r="C77" s="27">
        <v>45958.468587962961</v>
      </c>
      <c r="D77" s="27">
        <v>45958.468587962961</v>
      </c>
      <c r="E77" s="1" t="s">
        <v>462</v>
      </c>
      <c r="F77" s="7" t="s">
        <v>492</v>
      </c>
      <c r="G77" s="1" t="s">
        <v>80</v>
      </c>
      <c r="H77" s="4" t="s">
        <v>521</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483</v>
      </c>
      <c r="F78" s="7"/>
      <c r="G78" s="1" t="s">
        <v>80</v>
      </c>
      <c r="H78" s="4" t="s">
        <v>484</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485</v>
      </c>
      <c r="F79" s="7"/>
      <c r="G79" s="1" t="s">
        <v>80</v>
      </c>
      <c r="H79" s="4" t="s">
        <v>484</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486</v>
      </c>
      <c r="F80" s="7"/>
      <c r="G80" s="1" t="s">
        <v>80</v>
      </c>
      <c r="H80" s="4" t="s">
        <v>484</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488</v>
      </c>
      <c r="F81" s="7"/>
      <c r="G81" s="1" t="s">
        <v>80</v>
      </c>
      <c r="H81" s="4" t="s">
        <v>489</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474</v>
      </c>
      <c r="F82" s="7" t="s">
        <v>476</v>
      </c>
      <c r="G82" s="1" t="s">
        <v>80</v>
      </c>
      <c r="H82" s="4" t="s">
        <v>475</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477</v>
      </c>
      <c r="F83" s="7"/>
      <c r="G83" s="1" t="s">
        <v>80</v>
      </c>
      <c r="H83" s="4" t="s">
        <v>478</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479</v>
      </c>
      <c r="F84" s="7"/>
      <c r="G84" s="1" t="s">
        <v>80</v>
      </c>
      <c r="H84" s="4" t="s">
        <v>478</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480</v>
      </c>
      <c r="F85" s="7" t="s">
        <v>482</v>
      </c>
      <c r="G85" s="1" t="s">
        <v>80</v>
      </c>
      <c r="H85" s="4" t="s">
        <v>481</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496</v>
      </c>
      <c r="F86" s="7" t="s">
        <v>498</v>
      </c>
      <c r="G86" s="1" t="s">
        <v>80</v>
      </c>
      <c r="H86" s="4" t="s">
        <v>497</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516</v>
      </c>
      <c r="F87" s="7" t="s">
        <v>520</v>
      </c>
      <c r="G87" s="1" t="s">
        <v>460</v>
      </c>
      <c r="H87" s="4" t="s">
        <v>601</v>
      </c>
      <c r="I87" s="2">
        <v>2</v>
      </c>
      <c r="J87" s="1" t="s">
        <v>94</v>
      </c>
      <c r="K87" s="1" t="s">
        <v>176</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503</v>
      </c>
      <c r="AX87" s="4"/>
      <c r="AY87" s="1" t="s">
        <v>85</v>
      </c>
      <c r="AZ87" s="4"/>
      <c r="BA87" s="2"/>
      <c r="BB87" s="4"/>
      <c r="BC87" s="1"/>
      <c r="BD87" s="1" t="s">
        <v>186</v>
      </c>
    </row>
    <row r="88" spans="1:56" ht="15" hidden="1" customHeight="1" x14ac:dyDescent="0.25">
      <c r="A88" s="2">
        <v>1485</v>
      </c>
      <c r="B88" s="34">
        <v>45979.621921296297</v>
      </c>
      <c r="C88" s="34">
        <v>45988.664525462962</v>
      </c>
      <c r="D88" s="34"/>
      <c r="E88" s="1" t="s">
        <v>542</v>
      </c>
      <c r="F88" s="7" t="s">
        <v>571</v>
      </c>
      <c r="G88" s="1" t="s">
        <v>248</v>
      </c>
      <c r="H88" s="4" t="s">
        <v>554</v>
      </c>
      <c r="I88" s="2">
        <v>2</v>
      </c>
      <c r="J88" s="1" t="s">
        <v>94</v>
      </c>
      <c r="K88" s="1" t="s">
        <v>176</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503</v>
      </c>
      <c r="AX88" s="4"/>
      <c r="AY88" s="1" t="s">
        <v>85</v>
      </c>
      <c r="AZ88" s="4"/>
      <c r="BA88" s="2"/>
      <c r="BB88" s="4"/>
      <c r="BC88" s="1"/>
      <c r="BD88" s="1" t="s">
        <v>186</v>
      </c>
    </row>
    <row r="89" spans="1:56" ht="15" hidden="1" customHeight="1" x14ac:dyDescent="0.25">
      <c r="A89" s="2">
        <v>1496</v>
      </c>
      <c r="B89" s="34">
        <v>45982.450196759259</v>
      </c>
      <c r="C89" s="34">
        <v>45992.362905092596</v>
      </c>
      <c r="D89" s="34"/>
      <c r="E89" s="1" t="s">
        <v>536</v>
      </c>
      <c r="F89" s="7" t="s">
        <v>100</v>
      </c>
      <c r="G89" s="1" t="s">
        <v>460</v>
      </c>
      <c r="H89" s="4" t="s">
        <v>564</v>
      </c>
      <c r="I89" s="2">
        <v>1</v>
      </c>
      <c r="J89" s="1" t="s">
        <v>81</v>
      </c>
      <c r="K89" s="1" t="s">
        <v>176</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503</v>
      </c>
      <c r="AX89" s="4"/>
      <c r="AY89" s="1" t="s">
        <v>85</v>
      </c>
      <c r="AZ89" s="4"/>
      <c r="BA89" s="2"/>
      <c r="BB89" s="4"/>
      <c r="BC89" s="1"/>
      <c r="BD89" s="1" t="s">
        <v>186</v>
      </c>
    </row>
  </sheetData>
  <conditionalFormatting sqref="G1:G1048576">
    <cfRule type="cellIs" dxfId="5" priority="1" operator="equal">
      <formula>"Done"</formula>
    </cfRule>
  </conditionalFormatting>
  <dataValidations count="199">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12:E19 E64" xr:uid="{4E9BBFEE-C14B-4CE5-A722-C784839132DE}">
      <formula1>1</formula1>
      <formula2>255</formula2>
    </dataValidation>
    <dataValidation type="textLength" allowBlank="1" showInputMessage="1" sqref="H38 F38 H3 F3 F6:F8 H6:H8 H21 F21 H27 F27 BB13:BB14 AZ13:AZ14 AX13:AX14 U13:V14 H12:H19 F12:F19 H64 F64"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12:G14 G6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12:I19 I64"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12:K19 K64"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12:N19 N64"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12:X19 X64"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xr:uid="{4866BBC7-7E60-4166-B3B6-18F1527C1D32}">
      <formula1>" "</formula1>
    </dataValidation>
    <dataValidation type="textLength" allowBlank="1" showInputMessage="1" prompt="Type a comment here and publish to add a new history entry. After publishing this cell will be cleared." sqref="AT38 AT3 AT6:AT8 AT21 AT27 AT12:AT19 AT64"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12:AW19 AW64"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BC13:BC14 AY13:AY14 AU13:AV14 AO13:AO14 AM13:AM14 AK13:AK14 AE13:AI14 AA13:AC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41DAAFD-3862-42E3-A570-399FB61547F4}">
      <formula1>"375"</formula1>
    </dataValidation>
    <dataValidation type="list" operator="equal" allowBlank="1" showInputMessage="1" sqref="J14 L64 J64" xr:uid="{98511046-C8B4-4CC2-A19B-82A29FB7E6E4}">
      <formula1>VSTS_ValidationRange_ff084c76d9804d589b683200d0e6425a</formula1>
    </dataValidation>
    <dataValidation type="list" operator="equal" allowBlank="1" showInputMessage="1" sqref="L14" xr:uid="{1178B973-878A-4A4A-BA76-E65F4EE8EDD0}">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7266551C-FD39-4016-95B3-95FABB53EFA5}">
      <formula1>"1334"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0" xr:uid="{52AA5863-C497-4EEE-A9DA-C5DD6140AC8B}">
      <formula1>"05/09/2025 18:43"</formula1>
    </dataValidation>
    <dataValidation type="textLength" showInputMessage="1" sqref="E70" xr:uid="{5D2648A4-8A29-4EF8-9516-F61D4BC68516}">
      <formula1>1</formula1>
      <formula2>255</formula2>
    </dataValidation>
    <dataValidation type="textLength" allowBlank="1" showInputMessage="1" sqref="F70" xr:uid="{B4182F90-42EA-4D24-B819-1B304A3E6CB8}">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70" xr:uid="{05B1CF04-15F0-4190-8747-95F23B72902E}">
      <formula1>"Done"</formula1>
    </dataValidation>
    <dataValidation type="textLength" allowBlank="1" showInputMessage="1" sqref="H70" xr:uid="{9F5C3117-0822-4E1C-B483-2DE7032FC666}">
      <formula1>0</formula1>
      <formula2>32767</formula2>
    </dataValidation>
    <dataValidation type="list" operator="equal" allowBlank="1" showInputMessage="1" showErrorMessage="1" errorTitle="Microsoft Excel" error="TF84042: The value you entered is not supported in this field. Select a supported value from the list." sqref="I70" xr:uid="{DC2A2692-8896-4072-B9AA-6B6E1FBA2956}">
      <formula1>VSTS_ValidationRange_57383a09c4744028bf7d851e46e4c5ac</formula1>
    </dataValidation>
    <dataValidation type="list" operator="equal" allowBlank="1" showInputMessage="1" sqref="J70" xr:uid="{DC476995-315F-4390-8C22-B197669D9CF4}">
      <formula1>VSTS_ValidationRange_ff084c76d9804d589b683200d0e6425a</formula1>
    </dataValidation>
    <dataValidation type="list" operator="equal" showInputMessage="1" showErrorMessage="1" errorTitle="Microsoft Excel" error="TF84042: The value you entered is not supported in this field. Select a supported value from the list." sqref="K70" xr:uid="{6CD54F46-384C-4A96-B85A-6AAF7D7B7291}">
      <formula1>VSTS_ValidationRange_1e4b7298ec5f48c78a3d9eda0fde598d</formula1>
    </dataValidation>
    <dataValidation type="list" operator="equal" allowBlank="1" showInputMessage="1" sqref="L70" xr:uid="{1D11912A-4D3E-4B89-9291-7CAE465FC2A1}">
      <formula1>VSTS_ValidationRange_ff084c76d9804d589b683200d0e6425a</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0" xr:uid="{D48ACB01-240B-4C67-BEAB-234FA2DBE725}">
      <formula1>"Matheus Henrique Falcão Santos"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70" xr:uid="{8BE9C7B4-2403-4538-BD71-15C4BA18F66F}">
      <formula1>"Issue"</formula1>
    </dataValidation>
    <dataValidation type="list" operator="equal" allowBlank="1" showDropDown="1" showInputMessage="1" showErrorMessage="1" errorTitle="Read-only column" error="TF84027: This field is not available for this type of work item and must be left blank." prompt="Read-only" sqref="O70" xr:uid="{EFCC72CE-1342-4AD6-B25C-B32FE6CAF608}">
      <formula1>" "</formula1>
    </dataValidation>
    <dataValidation type="list" operator="equal" allowBlank="1" showDropDown="1" showInputMessage="1" showErrorMessage="1" errorTitle="Read-only column" error="TF84027: This field is not available for this type of work item and must be left blank." prompt="Read-only" sqref="P70" xr:uid="{2BADD60E-47F3-40D6-AC44-1B1CA16A2BF8}">
      <formula1>" "</formula1>
    </dataValidation>
    <dataValidation type="list" operator="equal" allowBlank="1" showDropDown="1" showInputMessage="1" showErrorMessage="1" errorTitle="Read-only column" error="TF84027: This field is not available for this type of work item and must be left blank." prompt="Read-only" sqref="Q70" xr:uid="{6CBFBBFD-79A0-4094-830C-244FA887D106}">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70" xr:uid="{DDB4ABEB-8279-4199-8725-7AEE407628B7}">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70" xr:uid="{0DD24893-298C-45D4-AFE1-F8E4A78DD22B}">
      <formula1>" "</formula1>
    </dataValidation>
    <dataValidation type="list" operator="equal" allowBlank="1" showDropDown="1" showInputMessage="1" showErrorMessage="1" errorTitle="Read-only column" error="TF84027: This field is not available for this type of work item and must be left blank." prompt="Read-only" sqref="T70" xr:uid="{CA5F8C38-CDD5-4AC3-A950-8B8329F361E6}">
      <formula1>" "</formula1>
    </dataValidation>
    <dataValidation type="list" operator="equal" allowBlank="1" showDropDown="1" showInputMessage="1" showErrorMessage="1" errorTitle="Read-only column" error="TF84027: This field is not available for this type of work item and must be left blank." prompt="Read-only" sqref="U70" xr:uid="{1BA7E186-ECA9-43AC-98AA-8516A476F73F}">
      <formula1>" "</formula1>
    </dataValidation>
    <dataValidation type="list" operator="equal" allowBlank="1" showDropDown="1" showInputMessage="1" showErrorMessage="1" errorTitle="Read-only column" error="TF84027: This field is not available for this type of work item and must be left blank." prompt="Read-only" sqref="V70" xr:uid="{420A7BD0-9781-4524-97C4-32B4E14C7862}">
      <formula1>" "</formula1>
    </dataValidation>
    <dataValidation type="list" operator="equal" allowBlank="1" showDropDown="1" showInputMessage="1" showErrorMessage="1" errorTitle="Read-only column" error="TF84027: This field is not available for this type of work item and must be left blank." prompt="Read-only" sqref="W70" xr:uid="{CCE6F8BC-FC58-4C1D-AC48-AA43E29DA050}">
      <formula1>" "</formula1>
    </dataValidation>
    <dataValidation type="list" operator="equal" allowBlank="1" showInputMessage="1" showErrorMessage="1" errorTitle="Microsoft Excel" error="TF84042: The value you entered is not supported in this field. Select a supported value from the list." sqref="X70" xr:uid="{73689F70-DA1A-4591-99E6-F5A408B4CAA0}">
      <formula1>VSTS_ValidationRange_b479c1a7b13b4ab883036a52cf2189b7</formula1>
    </dataValidation>
    <dataValidation type="list" operator="equal" allowBlank="1" showDropDown="1" showInputMessage="1" showErrorMessage="1" errorTitle="Read-only column" error="TF84027: This field is not available for this type of work item and must be left blank." prompt="Read-only" sqref="Y70" xr:uid="{FA18204E-E88E-4119-8F34-59E1178CA326}">
      <formula1>" "</formula1>
    </dataValidation>
    <dataValidation type="list" operator="equal" allowBlank="1" showDropDown="1" showInputMessage="1" showErrorMessage="1" errorTitle="Read-only column" error="TF84027: This field is not available for this type of work item and must be left blank." prompt="Read-only" sqref="Z70" xr:uid="{934B7E65-63E8-4184-8291-947E5E2D8643}">
      <formula1>" "</formula1>
    </dataValidation>
    <dataValidation type="list" operator="equal" allowBlank="1" showDropDown="1" showInputMessage="1" showErrorMessage="1" errorTitle="Read-only column" error="TF84027: This field is not available for this type of work item and must be left blank." prompt="Read-only" sqref="AA70" xr:uid="{3503B99E-18DC-4A2B-B67D-24C62126C034}">
      <formula1>" "</formula1>
    </dataValidation>
    <dataValidation type="list" operator="equal" allowBlank="1" showDropDown="1" showInputMessage="1" showErrorMessage="1" errorTitle="Read-only column" error="TF84027: This field is not available for this type of work item and must be left blank." prompt="Read-only" sqref="AB70" xr:uid="{36C6D72B-CFF5-4AA6-B2F5-EBC5A7F5A1BA}">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0" xr:uid="{866788F6-D4B1-477E-ADC8-AAB77173A761}">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0" xr:uid="{716A7968-92CF-4DDE-BD32-8DD064420845}">
      <formula1>"05/09/2025 18:43"</formula1>
    </dataValidation>
    <dataValidation type="list" operator="equal" allowBlank="1" showDropDown="1" showInputMessage="1" showErrorMessage="1" errorTitle="Read-only column" error="TF84027: This field is not available for this type of work item and must be left blank." prompt="Read-only" sqref="AE70" xr:uid="{934BAAAD-A863-481F-AFD5-4C6DAEBA275F}">
      <formula1>" "</formula1>
    </dataValidation>
    <dataValidation type="list" operator="equal" allowBlank="1" showDropDown="1" showInputMessage="1" showErrorMessage="1" errorTitle="Read-only column" error="TF84027: This field is not available for this type of work item and must be left blank." prompt="Read-only" sqref="AF70" xr:uid="{11A09BB8-F575-4E6E-9062-05FEEA764201}">
      <formula1>" "</formula1>
    </dataValidation>
    <dataValidation type="list" operator="equal" allowBlank="1" showDropDown="1" showInputMessage="1" showErrorMessage="1" errorTitle="Read-only column" error="TF84027: This field is not available for this type of work item and must be left blank." prompt="Read-only" sqref="AG70" xr:uid="{724908D3-217A-479E-81B8-7F87371C18C4}">
      <formula1>" "</formula1>
    </dataValidation>
    <dataValidation type="list" operator="equal" allowBlank="1" showDropDown="1" showInputMessage="1" showErrorMessage="1" errorTitle="Read-only column" error="TF84027: This field is not available for this type of work item and must be left blank." prompt="Read-only" sqref="AH70" xr:uid="{82DC2F98-3CE8-4135-AB34-029E14065C25}">
      <formula1>" "</formula1>
    </dataValidation>
    <dataValidation type="list" operator="equal" allowBlank="1" showDropDown="1" showInputMessage="1" showErrorMessage="1" errorTitle="Read-only column" error="TF84027: This field is not available for this type of work item and must be left blank." prompt="Read-only" sqref="AI70" xr:uid="{A9BEA585-A3FE-40FA-8C43-505B705DDC76}">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70" xr:uid="{2C9132E2-6F4E-4DCA-A94B-95B17847F9C1}">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70" xr:uid="{66C5DA1C-3640-4FD3-85A9-2AB889EE0C38}">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70" xr:uid="{F9EA712C-354B-442A-9F14-D7B7DB30F2B6}">
      <formula1>"Vinícius Birsenek de Moraes"</formula1>
    </dataValidation>
    <dataValidation type="list" operator="equal" allowBlank="1" showDropDown="1" showInputMessage="1" showErrorMessage="1" errorTitle="Read-only column" error="TF84027: This field is not available for this type of work item and must be left blank." prompt="Read-only" sqref="AM70" xr:uid="{1EE6538F-EF1A-43A7-889E-342517ABF37E}">
      <formula1>" "</formula1>
    </dataValidation>
    <dataValidation type="list" operator="equal" allowBlank="1" showDropDown="1" showInputMessage="1" showErrorMessage="1" errorTitle="Read-only column" error="TF84027: This field is not available for this type of work item and must be left blank." prompt="Read-only" sqref="AN70" xr:uid="{42E990E8-EA08-49C4-ABA0-66F52DE5BE81}">
      <formula1>" "</formula1>
    </dataValidation>
    <dataValidation type="list" operator="equal" allowBlank="1" showDropDown="1" showInputMessage="1" showErrorMessage="1" errorTitle="Read-only column" error="TF84027: This field is not available for this type of work item and must be left blank." prompt="Read-only" sqref="AO70" xr:uid="{6059D028-9732-49D4-A888-888F37242B1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70" xr:uid="{9B008979-6BED-4A08-A312-8ADE163CA2FE}">
      <formula1>"1"</formula1>
    </dataValidation>
    <dataValidation type="list" operator="equal" allowBlank="1" showDropDown="1" showInputMessage="1" showErrorMessage="1" errorTitle="Read-only column" error="TF84027: This field is not available for this type of work item and must be left blank." prompt="Read-only" sqref="AQ70" xr:uid="{841D79B4-E95C-4E5E-B53F-383D841DB1E9}">
      <formula1>" "</formula1>
    </dataValidation>
    <dataValidation type="list" operator="equal" allowBlank="1" showDropDown="1" showInputMessage="1" showErrorMessage="1" errorTitle="Read-only column" error="TF84027: This field is not available for this type of work item and must be left blank." prompt="Read-only" sqref="AS70" xr:uid="{9F983DBF-9530-4D97-9096-FAED195984A3}">
      <formula1>" "</formula1>
    </dataValidation>
    <dataValidation type="textLength" allowBlank="1" showInputMessage="1" prompt="Type a comment here and publish to add a new history entry. After publishing this cell will be cleared." sqref="AT70" xr:uid="{806E10EC-71A7-4176-8999-B65895D46338}">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70" xr:uid="{BF0D1CFD-6AA4-42AE-9CD0-F7AC74E96D8A}">
      <formula1>" "</formula1>
    </dataValidation>
    <dataValidation type="list" operator="equal" allowBlank="1" showDropDown="1" showInputMessage="1" showErrorMessage="1" errorTitle="Read-only column" error="TF84027: This field is not available for this type of work item and must be left blank." prompt="Read-only" sqref="AV70" xr:uid="{C2FD7C44-2B71-48C0-9807-6829B13B2CFE}">
      <formula1>" "</formula1>
    </dataValidation>
    <dataValidation type="list" operator="equal" allowBlank="1" showInputMessage="1" showErrorMessage="1" errorTitle="Microsoft Excel" error="TF84042: The value you entered is not supported in this field. Select a supported value from the list." sqref="AW70" xr:uid="{E298FF40-094F-4172-837D-D383A4E0B51B}">
      <formula1>VSTS_ValidationRange_9be3ad0ed6f246b489ad94c659c96481</formula1>
    </dataValidation>
    <dataValidation type="list" operator="equal" allowBlank="1" showDropDown="1" showInputMessage="1" showErrorMessage="1" errorTitle="Read-only column" error="TF84027: This field is not available for this type of work item and must be left blank." prompt="Read-only" sqref="AX70" xr:uid="{A8039DA7-633F-4495-9304-5A8CCD3CB60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70" xr:uid="{0D2B140E-FCF6-4337-BD4F-F1593CF2BA6B}">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70" xr:uid="{ECE8EA85-4219-4B79-A283-C921A0DA435F}">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70" xr:uid="{20705FBB-FFD6-442A-B861-DADE9CF80384}">
      <formula1>" "</formula1>
    </dataValidation>
    <dataValidation type="list" operator="equal" allowBlank="1" showDropDown="1" showInputMessage="1" showErrorMessage="1" errorTitle="Read-only column" error="TF84027: This field is not available for this type of work item and must be left blank." prompt="Read-only" sqref="BB70" xr:uid="{35139A12-41C7-4355-97E9-DDE5EE7C111C}">
      <formula1>" "</formula1>
    </dataValidation>
    <dataValidation type="list" operator="equal" allowBlank="1" showDropDown="1" showInputMessage="1" showErrorMessage="1" errorTitle="Read-only column" error="TF84027: This field is not available for this type of work item and must be left blank." prompt="Read-only" sqref="BC70" xr:uid="{07123553-CF3C-4818-B641-65F39D677C97}">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70" xr:uid="{519A9EB2-F068-472E-8F5F-11682C7F2170}">
      <formula1>"Completed"</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16" t="s">
        <v>366</v>
      </c>
      <c r="Z1" s="117"/>
      <c r="AB1" s="116" t="s">
        <v>367</v>
      </c>
      <c r="AC1" s="117"/>
      <c r="AE1" s="116" t="s">
        <v>368</v>
      </c>
      <c r="AF1" s="117"/>
    </row>
    <row r="2" spans="2:32" x14ac:dyDescent="0.25">
      <c r="Y2" s="10" t="s">
        <v>307</v>
      </c>
      <c r="Z2" s="11">
        <f>COUNTIF(VSTS_c467189f_b1e3_4921_ac93_2d6d7014346c[Tags],"*"&amp;Y2&amp;"*")</f>
        <v>3</v>
      </c>
      <c r="AB2" s="10" t="s">
        <v>243</v>
      </c>
      <c r="AC2" s="11">
        <f>COUNTIF(VSTS_c467189f_b1e3_4921_ac93_2d6d7014346c[Board Column],"*"&amp;AB2&amp;"*")</f>
        <v>0</v>
      </c>
      <c r="AE2" s="10" t="s">
        <v>466</v>
      </c>
      <c r="AF2" s="11">
        <f>COUNTIF(VSTS_c467189f_b1e3_4921_ac93_2d6d7014346c[Tags],"*"&amp;AE2&amp;"*")</f>
        <v>1</v>
      </c>
    </row>
    <row r="3" spans="2:32" x14ac:dyDescent="0.25">
      <c r="Y3" s="12" t="s">
        <v>308</v>
      </c>
      <c r="Z3" s="11">
        <f>COUNTIF(VSTS_c467189f_b1e3_4921_ac93_2d6d7014346c[Tags],"*"&amp;Y3&amp;"*")</f>
        <v>0</v>
      </c>
      <c r="AB3" s="12" t="s">
        <v>247</v>
      </c>
      <c r="AC3" s="11">
        <f>COUNTIF(VSTS_c467189f_b1e3_4921_ac93_2d6d7014346c[Board Column],"*"&amp;AB3&amp;"*")</f>
        <v>0</v>
      </c>
      <c r="AE3" s="10" t="s">
        <v>314</v>
      </c>
      <c r="AF3" s="11">
        <f>COUNTIF(VSTS_c467189f_b1e3_4921_ac93_2d6d7014346c[Tags],"*"&amp;AE3&amp;"*")</f>
        <v>6</v>
      </c>
    </row>
    <row r="4" spans="2:32" ht="15.75" thickBot="1" x14ac:dyDescent="0.3">
      <c r="Y4" s="12" t="s">
        <v>309</v>
      </c>
      <c r="Z4" s="11">
        <f>COUNTIF(VSTS_c467189f_b1e3_4921_ac93_2d6d7014346c[Tags],"*"&amp;Y4&amp;"*")</f>
        <v>1</v>
      </c>
      <c r="AB4" s="12" t="s">
        <v>248</v>
      </c>
      <c r="AC4" s="11">
        <f>COUNTIF(VSTS_c467189f_b1e3_4921_ac93_2d6d7014346c[Board Column],"*"&amp;AB4&amp;"*")</f>
        <v>0</v>
      </c>
      <c r="AE4" s="14" t="s">
        <v>315</v>
      </c>
      <c r="AF4" s="11">
        <f>COUNTIF(VSTS_c467189f_b1e3_4921_ac93_2d6d7014346c[Tags],"*"&amp;AE4&amp;"*")</f>
        <v>0</v>
      </c>
    </row>
    <row r="5" spans="2:32" x14ac:dyDescent="0.25">
      <c r="Y5" s="12" t="s">
        <v>310</v>
      </c>
      <c r="Z5" s="11">
        <f>COUNTIF(VSTS_c467189f_b1e3_4921_ac93_2d6d7014346c[Tags],"*"&amp;Y5&amp;"*")</f>
        <v>3</v>
      </c>
      <c r="AB5" s="12" t="s">
        <v>252</v>
      </c>
      <c r="AC5" s="11">
        <f>COUNTIF(VSTS_c467189f_b1e3_4921_ac93_2d6d7014346c[Board Column],"*"&amp;AB5&amp;"*")</f>
        <v>0</v>
      </c>
      <c r="AE5" s="23" t="s">
        <v>459</v>
      </c>
      <c r="AF5" s="11">
        <f>COUNTIF(VSTS_c467189f_b1e3_4921_ac93_2d6d7014346c[Tags],"*"&amp;AE5&amp;"*")</f>
        <v>1</v>
      </c>
    </row>
    <row r="6" spans="2:32" ht="15.75" thickBot="1" x14ac:dyDescent="0.3">
      <c r="Y6" s="12" t="s">
        <v>369</v>
      </c>
      <c r="Z6" s="11">
        <f>COUNTIF(VSTS_c467189f_b1e3_4921_ac93_2d6d7014346c[Tags],"*"&amp;Y6&amp;"*")</f>
        <v>5</v>
      </c>
      <c r="AB6" s="14" t="s">
        <v>198</v>
      </c>
      <c r="AC6" s="15">
        <f>COUNTIF(VSTS_c467189f_b1e3_4921_ac93_2d6d7014346c[Board Column],"*"&amp;AB6&amp;"*")</f>
        <v>15</v>
      </c>
    </row>
    <row r="7" spans="2:32" ht="15.75" thickBot="1" x14ac:dyDescent="0.3">
      <c r="Y7" s="14" t="s">
        <v>316</v>
      </c>
      <c r="Z7" s="11">
        <f>COUNTIF(VSTS_c467189f_b1e3_4921_ac93_2d6d7014346c[Tags],"*"&amp;Y7&amp;"*")</f>
        <v>0</v>
      </c>
    </row>
    <row r="9" spans="2:32" ht="15.75" thickBot="1" x14ac:dyDescent="0.3"/>
    <row r="10" spans="2:32" x14ac:dyDescent="0.25">
      <c r="Y10" s="118" t="s">
        <v>365</v>
      </c>
      <c r="Z10" s="119"/>
      <c r="AB10" s="118" t="s">
        <v>317</v>
      </c>
      <c r="AC10" s="119"/>
      <c r="AE10" s="118" t="s">
        <v>318</v>
      </c>
      <c r="AF10" s="119"/>
    </row>
    <row r="11" spans="2:32" x14ac:dyDescent="0.25">
      <c r="Y11" s="12" t="s">
        <v>307</v>
      </c>
      <c r="Z11" s="11">
        <f>COUNTIFS(VSTS_d6760eb0_ea3a_4c33_85d6_f85b26745a24[Tags],"*"&amp;Y11&amp;"*",VSTS_d6760eb0_ea3a_4c33_85d6_f85b26745a24[State],"&lt;&gt;DONE")</f>
        <v>8</v>
      </c>
      <c r="AB11" s="10" t="s">
        <v>243</v>
      </c>
      <c r="AC11" s="11">
        <f>COUNTIF(VSTS_c467189f_b1e3_4921_ac93_2d6d7014346c[Board Column],"*"&amp;AB11&amp;"*")</f>
        <v>0</v>
      </c>
      <c r="AE11" s="12" t="s">
        <v>313</v>
      </c>
      <c r="AF11" s="13">
        <f>COUNTIFS(VSTS_d6760eb0_ea3a_4c33_85d6_f85b26745a24[Tags],"*"&amp;AE11&amp;"*",VSTS_d6760eb0_ea3a_4c33_85d6_f85b26745a24[Board Column],"&lt;&gt;Done")</f>
        <v>0</v>
      </c>
    </row>
    <row r="12" spans="2:32" x14ac:dyDescent="0.25">
      <c r="Y12" s="12" t="s">
        <v>308</v>
      </c>
      <c r="Z12" s="11">
        <f>COUNTIFS(VSTS_d6760eb0_ea3a_4c33_85d6_f85b26745a24[Tags],"*"&amp;Y12&amp;"*",VSTS_d6760eb0_ea3a_4c33_85d6_f85b26745a24[State],"&lt;&gt;DONE")</f>
        <v>0</v>
      </c>
      <c r="AB12" s="12" t="s">
        <v>247</v>
      </c>
      <c r="AC12" s="11">
        <f>COUNTIF(VSTS_c467189f_b1e3_4921_ac93_2d6d7014346c[Board Column],"*"&amp;AB12&amp;"*")</f>
        <v>0</v>
      </c>
      <c r="AE12" s="12" t="s">
        <v>314</v>
      </c>
      <c r="AF12" s="13">
        <f>COUNTIFS(VSTS_d6760eb0_ea3a_4c33_85d6_f85b26745a24[Tags],"*"&amp;AE12&amp;"*",VSTS_d6760eb0_ea3a_4c33_85d6_f85b26745a24[Board Column],"&lt;&gt;Done")</f>
        <v>0</v>
      </c>
    </row>
    <row r="13" spans="2:32" ht="27" thickBot="1" x14ac:dyDescent="0.45">
      <c r="B13" s="115" t="s">
        <v>451</v>
      </c>
      <c r="C13" s="115"/>
      <c r="D13" s="115"/>
      <c r="E13" s="115"/>
      <c r="F13" s="24"/>
      <c r="G13" s="19"/>
      <c r="H13" s="115" t="s">
        <v>450</v>
      </c>
      <c r="I13" s="115"/>
      <c r="J13" s="115"/>
      <c r="K13" s="115"/>
      <c r="L13" s="29"/>
      <c r="Y13" s="12" t="s">
        <v>309</v>
      </c>
      <c r="Z13" s="11">
        <f>COUNTIFS(VSTS_d6760eb0_ea3a_4c33_85d6_f85b26745a24[Tags],"*"&amp;Y13&amp;"*",VSTS_d6760eb0_ea3a_4c33_85d6_f85b26745a24[State],"&lt;&gt;DONE")</f>
        <v>2</v>
      </c>
      <c r="AB13" s="12" t="s">
        <v>248</v>
      </c>
      <c r="AC13" s="11">
        <f>COUNTIF(VSTS_c467189f_b1e3_4921_ac93_2d6d7014346c[Board Column],"*"&amp;AB13&amp;"*")</f>
        <v>0</v>
      </c>
      <c r="AE13" s="14" t="s">
        <v>315</v>
      </c>
      <c r="AF13" s="13">
        <f>COUNTIFS(VSTS_d6760eb0_ea3a_4c33_85d6_f85b26745a24[Tags],"*"&amp;AE13&amp;"*",VSTS_d6760eb0_ea3a_4c33_85d6_f85b26745a24[Board Column],"&lt;&gt;Done")</f>
        <v>2</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310</v>
      </c>
      <c r="Z14" s="11">
        <f>COUNTIFS(VSTS_d6760eb0_ea3a_4c33_85d6_f85b26745a24[Tags],"*"&amp;Y14&amp;"*",VSTS_d6760eb0_ea3a_4c33_85d6_f85b26745a24[State],"&lt;&gt;DONE")</f>
        <v>0</v>
      </c>
      <c r="AB14" s="12" t="s">
        <v>252</v>
      </c>
      <c r="AC14" s="11">
        <f>COUNTIF(VSTS_c467189f_b1e3_4921_ac93_2d6d7014346c[Board Column],"*"&amp;AB14&amp;"*")</f>
        <v>0</v>
      </c>
      <c r="AE14" s="14" t="s">
        <v>370</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311</v>
      </c>
      <c r="Z15" s="11">
        <f>COUNTIFS(VSTS_d6760eb0_ea3a_4c33_85d6_f85b26745a24[Tags],"*"&amp;Y15&amp;"*",VSTS_d6760eb0_ea3a_4c33_85d6_f85b26745a24[State],"&lt;&gt;DONE")</f>
        <v>0</v>
      </c>
      <c r="AB15" s="14" t="s">
        <v>198</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312</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362</v>
      </c>
      <c r="Y22" s="1"/>
      <c r="Z22" s="1"/>
      <c r="AA22" s="1" t="s">
        <v>363</v>
      </c>
      <c r="AB22" s="1"/>
      <c r="AC22" s="1"/>
      <c r="AD22" s="1" t="s">
        <v>364</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t="b">
        <v>0</v>
      </c>
      <c r="C1" s="120">
        <v>45905.780543981484</v>
      </c>
      <c r="D1" s="4" t="s">
        <v>56</v>
      </c>
      <c r="E1" s="1" t="s">
        <v>177</v>
      </c>
      <c r="G1" s="1" t="s">
        <v>61</v>
      </c>
      <c r="H1" s="1" t="s">
        <v>61</v>
      </c>
      <c r="J1" s="1" t="s">
        <v>177</v>
      </c>
      <c r="K1" s="2">
        <v>1</v>
      </c>
      <c r="M1" s="2">
        <v>0</v>
      </c>
      <c r="N1" s="2">
        <v>1</v>
      </c>
      <c r="O1" s="1" t="s">
        <v>177</v>
      </c>
      <c r="P1" s="1" t="s">
        <v>175</v>
      </c>
      <c r="Q1" s="1" t="s">
        <v>177</v>
      </c>
      <c r="U1" s="1" t="s">
        <v>175</v>
      </c>
      <c r="V1" s="1" t="s">
        <v>177</v>
      </c>
      <c r="W1" s="1" t="s">
        <v>177</v>
      </c>
      <c r="X1" s="1" t="s">
        <v>177</v>
      </c>
      <c r="Y1" s="1" t="s">
        <v>177</v>
      </c>
      <c r="Z1" s="1" t="s">
        <v>183</v>
      </c>
      <c r="AA1" s="2">
        <v>1</v>
      </c>
      <c r="AB1" s="2">
        <v>0</v>
      </c>
      <c r="AC1" s="1" t="s">
        <v>177</v>
      </c>
      <c r="AD1" s="1" t="s">
        <v>175</v>
      </c>
      <c r="AE1" s="1" t="s">
        <v>177</v>
      </c>
      <c r="AF1" s="1" t="s">
        <v>177</v>
      </c>
      <c r="AN1" s="1" t="s">
        <v>177</v>
      </c>
      <c r="AO1" s="1" t="s">
        <v>177</v>
      </c>
      <c r="AT1" s="1" t="s">
        <v>177</v>
      </c>
      <c r="AW1" s="1" t="s">
        <v>183</v>
      </c>
      <c r="AY1" s="2">
        <v>1</v>
      </c>
      <c r="BA1" s="2">
        <v>0</v>
      </c>
      <c r="BC1" s="1" t="s">
        <v>177</v>
      </c>
      <c r="BE1" s="1" t="s">
        <v>175</v>
      </c>
      <c r="BH1" s="1" t="s">
        <v>177</v>
      </c>
      <c r="BL1" s="1" t="s">
        <v>177</v>
      </c>
      <c r="BP1" s="1" t="s">
        <v>177</v>
      </c>
      <c r="BS1" s="1" t="s">
        <v>190</v>
      </c>
      <c r="CA1" s="1" t="s">
        <v>177</v>
      </c>
      <c r="CH1" s="1" t="s">
        <v>183</v>
      </c>
      <c r="CM1" s="2">
        <v>1</v>
      </c>
      <c r="CQ1" s="2">
        <v>0</v>
      </c>
      <c r="CV1" s="1" t="s">
        <v>177</v>
      </c>
      <c r="CZ1" s="1" t="s">
        <v>175</v>
      </c>
      <c r="DD1" s="1" t="s">
        <v>177</v>
      </c>
      <c r="DG1" s="1" t="s">
        <v>177</v>
      </c>
      <c r="DJ1" s="1" t="s">
        <v>196</v>
      </c>
      <c r="DM1" s="1" t="s">
        <v>177</v>
      </c>
      <c r="DP1" s="1" t="s">
        <v>177</v>
      </c>
      <c r="DS1" s="1" t="s">
        <v>183</v>
      </c>
      <c r="DX1" s="1" t="s">
        <v>190</v>
      </c>
      <c r="EA1" s="1" t="s">
        <v>61</v>
      </c>
      <c r="EB1" s="1" t="s">
        <v>61</v>
      </c>
      <c r="EK1" s="1" t="s">
        <v>177</v>
      </c>
      <c r="EN1" s="2">
        <v>1</v>
      </c>
      <c r="EO1" s="1" t="s">
        <v>177</v>
      </c>
      <c r="ER1" s="1" t="s">
        <v>175</v>
      </c>
      <c r="ES1" s="2">
        <v>1</v>
      </c>
      <c r="ET1" s="1" t="s">
        <v>175</v>
      </c>
      <c r="EV1" s="1" t="s">
        <v>177</v>
      </c>
      <c r="EW1" s="1" t="s">
        <v>61</v>
      </c>
      <c r="EX1" s="1" t="s">
        <v>61</v>
      </c>
      <c r="EZ1" s="1" t="s">
        <v>177</v>
      </c>
      <c r="FB1" s="1" t="s">
        <v>177</v>
      </c>
      <c r="FD1" s="2">
        <v>0</v>
      </c>
      <c r="FF1" s="1" t="s">
        <v>177</v>
      </c>
      <c r="FH1" s="1" t="s">
        <v>177</v>
      </c>
      <c r="FI1" s="1" t="s">
        <v>183</v>
      </c>
      <c r="FK1" s="1" t="s">
        <v>175</v>
      </c>
      <c r="FL1" s="1" t="s">
        <v>177</v>
      </c>
      <c r="FN1" s="2">
        <v>1</v>
      </c>
      <c r="FO1" s="1" t="s">
        <v>177</v>
      </c>
      <c r="FP1" s="2">
        <v>1</v>
      </c>
      <c r="FR1" s="1" t="s">
        <v>177</v>
      </c>
      <c r="FS1" s="1" t="s">
        <v>175</v>
      </c>
      <c r="FU1" s="1" t="s">
        <v>175</v>
      </c>
      <c r="FV1" s="1" t="s">
        <v>177</v>
      </c>
      <c r="FW1" s="1" t="s">
        <v>177</v>
      </c>
      <c r="FX1" s="2">
        <v>1</v>
      </c>
      <c r="FZ1" s="1" t="s">
        <v>177</v>
      </c>
      <c r="GA1" s="1" t="s">
        <v>177</v>
      </c>
      <c r="GC1" s="2">
        <v>0</v>
      </c>
      <c r="GD1" s="1" t="s">
        <v>177</v>
      </c>
      <c r="GF1" s="1" t="s">
        <v>177</v>
      </c>
      <c r="GG1" s="2">
        <v>0</v>
      </c>
      <c r="GI1" s="1" t="s">
        <v>183</v>
      </c>
      <c r="GJ1" s="1" t="s">
        <v>177</v>
      </c>
      <c r="GL1" s="1" t="s">
        <v>177</v>
      </c>
      <c r="GM1" s="1" t="s">
        <v>183</v>
      </c>
      <c r="GQ1" s="1" t="s">
        <v>175</v>
      </c>
      <c r="GR1" s="1" t="s">
        <v>177</v>
      </c>
      <c r="GS1" s="2">
        <v>1</v>
      </c>
      <c r="GT1" s="2">
        <v>1</v>
      </c>
      <c r="GU1" s="1" t="s">
        <v>177</v>
      </c>
      <c r="GV1" s="1" t="s">
        <v>175</v>
      </c>
      <c r="GW1" s="1" t="s">
        <v>177</v>
      </c>
      <c r="GX1" s="1" t="s">
        <v>177</v>
      </c>
      <c r="GY1" s="1" t="s">
        <v>177</v>
      </c>
      <c r="GZ1" s="1" t="s">
        <v>177</v>
      </c>
      <c r="HA1" s="2">
        <v>0</v>
      </c>
      <c r="HB1" s="1" t="s">
        <v>177</v>
      </c>
      <c r="HC1" s="1" t="s">
        <v>177</v>
      </c>
      <c r="HE1" s="1" t="s">
        <v>190</v>
      </c>
      <c r="HF1" s="1" t="s">
        <v>183</v>
      </c>
      <c r="HJ1" s="2">
        <v>0</v>
      </c>
      <c r="HL1" s="1" t="s">
        <v>177</v>
      </c>
      <c r="HN1" s="1" t="s">
        <v>177</v>
      </c>
      <c r="HO1" s="1" t="s">
        <v>175</v>
      </c>
      <c r="HQ1" s="1" t="s">
        <v>183</v>
      </c>
      <c r="HR1" s="2">
        <v>1</v>
      </c>
      <c r="HU1" s="1" t="s">
        <v>177</v>
      </c>
      <c r="HW1" s="1" t="s">
        <v>177</v>
      </c>
      <c r="HY1" s="2">
        <v>1</v>
      </c>
      <c r="HZ1" s="1" t="s">
        <v>177</v>
      </c>
      <c r="IC1" s="1" t="s">
        <v>175</v>
      </c>
      <c r="ID1" s="1" t="s">
        <v>177</v>
      </c>
      <c r="IE1" s="1" t="s">
        <v>177</v>
      </c>
      <c r="IG1" s="1" t="s">
        <v>177</v>
      </c>
      <c r="IH1" s="1" t="s">
        <v>190</v>
      </c>
      <c r="IJ1" s="1" t="s">
        <v>177</v>
      </c>
      <c r="IK1" s="2">
        <v>0</v>
      </c>
      <c r="IM1" s="1" t="s">
        <v>196</v>
      </c>
      <c r="IN1" s="1" t="s">
        <v>177</v>
      </c>
      <c r="IP1" s="1" t="s">
        <v>177</v>
      </c>
      <c r="IQ1" s="1" t="s">
        <v>183</v>
      </c>
      <c r="IS1" s="2">
        <v>0</v>
      </c>
      <c r="IT1" s="1" t="s">
        <v>177</v>
      </c>
      <c r="JK1" s="1" t="s">
        <v>177</v>
      </c>
      <c r="JM1" s="1" t="s">
        <v>175</v>
      </c>
      <c r="JP1" s="1" t="s">
        <v>183</v>
      </c>
      <c r="JQ1" s="2">
        <v>1</v>
      </c>
      <c r="JT1" s="1" t="s">
        <v>190</v>
      </c>
      <c r="JV1" s="1" t="s">
        <v>177</v>
      </c>
      <c r="KC1" s="1" t="s">
        <v>177</v>
      </c>
      <c r="KF1" s="1" t="s">
        <v>196</v>
      </c>
      <c r="KI1" s="1" t="s">
        <v>177</v>
      </c>
      <c r="KL1" s="2">
        <v>0</v>
      </c>
      <c r="KO1" s="1" t="s">
        <v>177</v>
      </c>
      <c r="KR1" s="1" t="s">
        <v>183</v>
      </c>
      <c r="KU1" s="1" t="s">
        <v>190</v>
      </c>
      <c r="MK1" s="1" t="s">
        <v>177</v>
      </c>
      <c r="ML1" s="1" t="s">
        <v>177</v>
      </c>
      <c r="MT1" s="1" t="s">
        <v>61</v>
      </c>
      <c r="MU1" s="2">
        <v>1</v>
      </c>
      <c r="MY1" s="1" t="s">
        <v>61</v>
      </c>
      <c r="NN1" s="1" t="s">
        <v>177</v>
      </c>
      <c r="NP1" s="1" t="s">
        <v>177</v>
      </c>
      <c r="NQ1" s="1" t="s">
        <v>177</v>
      </c>
      <c r="NU1" s="1" t="s">
        <v>175</v>
      </c>
      <c r="NY1" s="1" t="s">
        <v>177</v>
      </c>
      <c r="OB1" s="2">
        <v>1</v>
      </c>
      <c r="OC1" s="1" t="s">
        <v>177</v>
      </c>
      <c r="OE1" s="1" t="s">
        <v>177</v>
      </c>
      <c r="OF1" s="1" t="s">
        <v>710</v>
      </c>
      <c r="OG1" s="1" t="s">
        <v>177</v>
      </c>
      <c r="OH1" s="1" t="s">
        <v>175</v>
      </c>
      <c r="OI1" s="1" t="s">
        <v>710</v>
      </c>
      <c r="OK1" s="1" t="s">
        <v>177</v>
      </c>
      <c r="OL1" s="1" t="s">
        <v>710</v>
      </c>
      <c r="ON1" s="1" t="s">
        <v>710</v>
      </c>
      <c r="OO1" s="1" t="s">
        <v>177</v>
      </c>
      <c r="OQ1" s="2">
        <v>0</v>
      </c>
      <c r="OR1" s="1" t="s">
        <v>177</v>
      </c>
      <c r="OT1" s="1" t="s">
        <v>177</v>
      </c>
      <c r="OU1" s="1" t="s">
        <v>177</v>
      </c>
      <c r="OW1" s="1" t="s">
        <v>183</v>
      </c>
      <c r="OZ1" s="2">
        <v>1</v>
      </c>
      <c r="PC1" s="1" t="s">
        <v>177</v>
      </c>
      <c r="PE1" s="1" t="s">
        <v>177</v>
      </c>
      <c r="PH1" s="1" t="s">
        <v>175</v>
      </c>
      <c r="PJ1" s="1" t="s">
        <v>177</v>
      </c>
      <c r="PK1" s="1" t="s">
        <v>177</v>
      </c>
      <c r="PM1" s="1" t="s">
        <v>177</v>
      </c>
      <c r="PN1" s="1" t="s">
        <v>177</v>
      </c>
      <c r="PO1" s="1" t="s">
        <v>177</v>
      </c>
      <c r="PR1" s="1" t="s">
        <v>177</v>
      </c>
      <c r="PT1" s="1" t="s">
        <v>177</v>
      </c>
      <c r="PU1" s="2">
        <v>0</v>
      </c>
      <c r="PX1" s="1" t="s">
        <v>177</v>
      </c>
      <c r="PY1" s="1" t="s">
        <v>183</v>
      </c>
      <c r="QA1" s="2">
        <v>1</v>
      </c>
      <c r="QB1" s="1" t="s">
        <v>177</v>
      </c>
      <c r="QD1" s="1" t="s">
        <v>175</v>
      </c>
      <c r="QE1" s="1" t="s">
        <v>177</v>
      </c>
      <c r="QG1" s="1" t="s">
        <v>177</v>
      </c>
      <c r="QH1" s="1" t="s">
        <v>177</v>
      </c>
      <c r="QJ1" s="1" t="s">
        <v>190</v>
      </c>
      <c r="QK1" s="2">
        <v>0</v>
      </c>
      <c r="QL1" s="1" t="s">
        <v>177</v>
      </c>
      <c r="QM1" s="1" t="s">
        <v>177</v>
      </c>
      <c r="QN1" s="1" t="s">
        <v>183</v>
      </c>
      <c r="QP1" s="2">
        <v>1</v>
      </c>
      <c r="QQ1" s="1" t="s">
        <v>177</v>
      </c>
      <c r="QS1" s="1" t="s">
        <v>175</v>
      </c>
      <c r="QT1" s="1" t="s">
        <v>177</v>
      </c>
      <c r="QV1" s="1" t="s">
        <v>177</v>
      </c>
      <c r="QW1" s="1" t="s">
        <v>196</v>
      </c>
      <c r="QX1" s="1" t="s">
        <v>177</v>
      </c>
      <c r="QY1" s="1" t="s">
        <v>177</v>
      </c>
      <c r="QZ1" s="2">
        <v>0</v>
      </c>
      <c r="RA1" s="1" t="s">
        <v>177</v>
      </c>
      <c r="RB1" s="1" t="s">
        <v>183</v>
      </c>
      <c r="RC1" s="1" t="s">
        <v>190</v>
      </c>
      <c r="RJ1" s="1" t="s">
        <v>177</v>
      </c>
      <c r="RR1" s="1" t="s">
        <v>177</v>
      </c>
      <c r="RT1" s="1" t="s">
        <v>803</v>
      </c>
      <c r="RU1" s="1" t="s">
        <v>756</v>
      </c>
      <c r="RW1" s="1" t="s">
        <v>177</v>
      </c>
      <c r="RX1" s="1" t="s">
        <v>729</v>
      </c>
      <c r="RY1" s="1" t="s">
        <v>729</v>
      </c>
      <c r="RZ1" s="1" t="s">
        <v>729</v>
      </c>
      <c r="SA1" s="1" t="s">
        <v>466</v>
      </c>
      <c r="SB1" s="1" t="s">
        <v>466</v>
      </c>
      <c r="SC1" s="1" t="s">
        <v>466</v>
      </c>
      <c r="SD1" s="1" t="s">
        <v>177</v>
      </c>
      <c r="SG1" s="1" t="s">
        <v>177</v>
      </c>
      <c r="SK1" s="1" t="s">
        <v>177</v>
      </c>
      <c r="SL1" s="1" t="s">
        <v>177</v>
      </c>
      <c r="SO1" s="1" t="s">
        <v>177</v>
      </c>
      <c r="SP1" s="1" t="s">
        <v>177</v>
      </c>
      <c r="SR1" s="1"/>
      <c r="SS1" s="1" t="s">
        <v>177</v>
      </c>
      <c r="ST1" s="1" t="s">
        <v>177</v>
      </c>
      <c r="SU1" s="1" t="s">
        <v>177</v>
      </c>
      <c r="TE1" s="1" t="s">
        <v>702</v>
      </c>
      <c r="UO1" s="1" t="s">
        <v>177</v>
      </c>
      <c r="UP1" s="1" t="s">
        <v>177</v>
      </c>
      <c r="UQ1" s="1" t="s">
        <v>177</v>
      </c>
      <c r="UR1" s="1" t="s">
        <v>177</v>
      </c>
      <c r="US1" s="1" t="s">
        <v>177</v>
      </c>
      <c r="UT1" s="1" t="s">
        <v>177</v>
      </c>
      <c r="UU1" s="1" t="s">
        <v>177</v>
      </c>
      <c r="UV1" s="1" t="s">
        <v>177</v>
      </c>
    </row>
    <row r="2" spans="1:568" x14ac:dyDescent="0.25">
      <c r="A2" t="s">
        <v>57</v>
      </c>
      <c r="B2" t="s">
        <v>58</v>
      </c>
      <c r="C2" t="s">
        <v>59</v>
      </c>
      <c r="D2" t="s">
        <v>60</v>
      </c>
      <c r="E2" s="1" t="s">
        <v>371</v>
      </c>
      <c r="G2" s="1" t="s">
        <v>62</v>
      </c>
      <c r="H2" s="1" t="s">
        <v>503</v>
      </c>
      <c r="J2" s="1" t="s">
        <v>371</v>
      </c>
      <c r="K2" s="2">
        <v>2</v>
      </c>
      <c r="M2" s="2">
        <v>1</v>
      </c>
      <c r="N2" s="2">
        <v>2</v>
      </c>
      <c r="O2" s="1" t="s">
        <v>371</v>
      </c>
      <c r="P2" s="1" t="s">
        <v>80</v>
      </c>
      <c r="Q2" s="1" t="s">
        <v>371</v>
      </c>
      <c r="U2" s="1" t="s">
        <v>80</v>
      </c>
      <c r="V2" s="1" t="s">
        <v>371</v>
      </c>
      <c r="W2" s="1" t="s">
        <v>371</v>
      </c>
      <c r="X2" s="1" t="s">
        <v>371</v>
      </c>
      <c r="Y2" s="1" t="s">
        <v>371</v>
      </c>
      <c r="Z2" s="1" t="s">
        <v>86</v>
      </c>
      <c r="AA2" s="2">
        <v>2</v>
      </c>
      <c r="AB2" s="2">
        <v>1</v>
      </c>
      <c r="AC2" s="1" t="s">
        <v>371</v>
      </c>
      <c r="AD2" s="1" t="s">
        <v>80</v>
      </c>
      <c r="AE2" s="1" t="s">
        <v>371</v>
      </c>
      <c r="AF2" s="1" t="s">
        <v>371</v>
      </c>
      <c r="AN2" s="1" t="s">
        <v>371</v>
      </c>
      <c r="AO2" s="1" t="s">
        <v>371</v>
      </c>
      <c r="AT2" s="1" t="s">
        <v>371</v>
      </c>
      <c r="AW2" s="1" t="s">
        <v>86</v>
      </c>
      <c r="AY2" s="2">
        <v>2</v>
      </c>
      <c r="BA2" s="2">
        <v>1</v>
      </c>
      <c r="BC2" s="1" t="s">
        <v>371</v>
      </c>
      <c r="BE2" s="1" t="s">
        <v>80</v>
      </c>
      <c r="BH2" s="1" t="s">
        <v>371</v>
      </c>
      <c r="BL2" s="1" t="s">
        <v>371</v>
      </c>
      <c r="BP2" s="1" t="s">
        <v>371</v>
      </c>
      <c r="BS2" s="1" t="s">
        <v>191</v>
      </c>
      <c r="CA2" s="1" t="s">
        <v>371</v>
      </c>
      <c r="CH2" s="1" t="s">
        <v>86</v>
      </c>
      <c r="CM2" s="2">
        <v>2</v>
      </c>
      <c r="CQ2" s="2">
        <v>1</v>
      </c>
      <c r="CV2" s="1" t="s">
        <v>371</v>
      </c>
      <c r="CZ2" s="1" t="s">
        <v>80</v>
      </c>
      <c r="DD2" s="1" t="s">
        <v>371</v>
      </c>
      <c r="DG2" s="1" t="s">
        <v>371</v>
      </c>
      <c r="DJ2" s="1" t="s">
        <v>47</v>
      </c>
      <c r="DM2" s="1" t="s">
        <v>371</v>
      </c>
      <c r="DP2" s="1" t="s">
        <v>371</v>
      </c>
      <c r="DS2" s="1" t="s">
        <v>86</v>
      </c>
      <c r="DX2" s="1" t="s">
        <v>191</v>
      </c>
      <c r="EA2" s="1" t="s">
        <v>62</v>
      </c>
      <c r="EB2" s="1" t="s">
        <v>503</v>
      </c>
      <c r="EK2" s="1" t="s">
        <v>371</v>
      </c>
      <c r="EN2" s="2">
        <v>2</v>
      </c>
      <c r="EO2" s="1" t="s">
        <v>371</v>
      </c>
      <c r="ER2" s="1" t="s">
        <v>80</v>
      </c>
      <c r="ES2" s="2">
        <v>2</v>
      </c>
      <c r="ET2" s="1" t="s">
        <v>80</v>
      </c>
      <c r="EV2" s="1" t="s">
        <v>371</v>
      </c>
      <c r="EW2" s="1" t="s">
        <v>62</v>
      </c>
      <c r="EX2" s="1" t="s">
        <v>503</v>
      </c>
      <c r="EZ2" s="1" t="s">
        <v>371</v>
      </c>
      <c r="FB2" s="1" t="s">
        <v>371</v>
      </c>
      <c r="FD2" s="2">
        <v>1</v>
      </c>
      <c r="FF2" s="1" t="s">
        <v>371</v>
      </c>
      <c r="FH2" s="1" t="s">
        <v>371</v>
      </c>
      <c r="FI2" s="1" t="s">
        <v>86</v>
      </c>
      <c r="FK2" s="1" t="s">
        <v>80</v>
      </c>
      <c r="FL2" s="1" t="s">
        <v>371</v>
      </c>
      <c r="FN2" s="2">
        <v>2</v>
      </c>
      <c r="FO2" s="1" t="s">
        <v>371</v>
      </c>
      <c r="FP2" s="2">
        <v>2</v>
      </c>
      <c r="FR2" s="1" t="s">
        <v>371</v>
      </c>
      <c r="FS2" s="1" t="s">
        <v>80</v>
      </c>
      <c r="FU2" s="1" t="s">
        <v>80</v>
      </c>
      <c r="FV2" s="1" t="s">
        <v>371</v>
      </c>
      <c r="FW2" s="1" t="s">
        <v>371</v>
      </c>
      <c r="FX2" s="2">
        <v>2</v>
      </c>
      <c r="FZ2" s="1" t="s">
        <v>371</v>
      </c>
      <c r="GA2" s="1" t="s">
        <v>371</v>
      </c>
      <c r="GC2" s="2">
        <v>1</v>
      </c>
      <c r="GD2" s="1" t="s">
        <v>371</v>
      </c>
      <c r="GF2" s="1" t="s">
        <v>371</v>
      </c>
      <c r="GG2" s="2">
        <v>1</v>
      </c>
      <c r="GI2" s="1" t="s">
        <v>86</v>
      </c>
      <c r="GJ2" s="1" t="s">
        <v>371</v>
      </c>
      <c r="GL2" s="1" t="s">
        <v>371</v>
      </c>
      <c r="GM2" s="1" t="s">
        <v>86</v>
      </c>
      <c r="GQ2" s="1" t="s">
        <v>80</v>
      </c>
      <c r="GR2" s="1" t="s">
        <v>371</v>
      </c>
      <c r="GS2" s="2">
        <v>2</v>
      </c>
      <c r="GT2" s="2">
        <v>2</v>
      </c>
      <c r="GU2" s="1" t="s">
        <v>371</v>
      </c>
      <c r="GV2" s="1" t="s">
        <v>80</v>
      </c>
      <c r="GW2" s="1" t="s">
        <v>371</v>
      </c>
      <c r="GX2" s="1" t="s">
        <v>371</v>
      </c>
      <c r="GY2" s="1" t="s">
        <v>371</v>
      </c>
      <c r="GZ2" s="1" t="s">
        <v>371</v>
      </c>
      <c r="HA2" s="2">
        <v>1</v>
      </c>
      <c r="HB2" s="1" t="s">
        <v>371</v>
      </c>
      <c r="HC2" s="1" t="s">
        <v>371</v>
      </c>
      <c r="HE2" s="1" t="s">
        <v>191</v>
      </c>
      <c r="HF2" s="1" t="s">
        <v>86</v>
      </c>
      <c r="HJ2" s="2">
        <v>1</v>
      </c>
      <c r="HL2" s="1" t="s">
        <v>371</v>
      </c>
      <c r="HN2" s="1" t="s">
        <v>371</v>
      </c>
      <c r="HO2" s="1" t="s">
        <v>80</v>
      </c>
      <c r="HQ2" s="1" t="s">
        <v>86</v>
      </c>
      <c r="HR2" s="2">
        <v>2</v>
      </c>
      <c r="HU2" s="1" t="s">
        <v>371</v>
      </c>
      <c r="HW2" s="1" t="s">
        <v>371</v>
      </c>
      <c r="HY2" s="2">
        <v>2</v>
      </c>
      <c r="HZ2" s="1" t="s">
        <v>371</v>
      </c>
      <c r="IC2" s="1" t="s">
        <v>80</v>
      </c>
      <c r="ID2" s="1" t="s">
        <v>178</v>
      </c>
      <c r="IE2" s="1" t="s">
        <v>371</v>
      </c>
      <c r="IG2" s="1" t="s">
        <v>371</v>
      </c>
      <c r="IH2" s="1" t="s">
        <v>191</v>
      </c>
      <c r="IJ2" s="1" t="s">
        <v>371</v>
      </c>
      <c r="IK2" s="2">
        <v>1</v>
      </c>
      <c r="IM2" s="1" t="s">
        <v>47</v>
      </c>
      <c r="IN2" s="1" t="s">
        <v>371</v>
      </c>
      <c r="IP2" s="1" t="s">
        <v>371</v>
      </c>
      <c r="IQ2" s="1" t="s">
        <v>86</v>
      </c>
      <c r="IS2" s="2">
        <v>1</v>
      </c>
      <c r="IT2" s="1" t="s">
        <v>371</v>
      </c>
      <c r="JK2" s="1" t="s">
        <v>371</v>
      </c>
      <c r="JM2" s="1" t="s">
        <v>80</v>
      </c>
      <c r="JP2" s="1" t="s">
        <v>86</v>
      </c>
      <c r="JQ2" s="2">
        <v>2</v>
      </c>
      <c r="JT2" s="1" t="s">
        <v>191</v>
      </c>
      <c r="JV2" s="1" t="s">
        <v>371</v>
      </c>
      <c r="KC2" s="1" t="s">
        <v>371</v>
      </c>
      <c r="KF2" s="1" t="s">
        <v>47</v>
      </c>
      <c r="KI2" s="1" t="s">
        <v>371</v>
      </c>
      <c r="KL2" s="2">
        <v>1</v>
      </c>
      <c r="KO2" s="1" t="s">
        <v>371</v>
      </c>
      <c r="KR2" s="1" t="s">
        <v>86</v>
      </c>
      <c r="KU2" s="1" t="s">
        <v>191</v>
      </c>
      <c r="MK2" s="1" t="s">
        <v>371</v>
      </c>
      <c r="ML2" s="1" t="s">
        <v>371</v>
      </c>
      <c r="MT2" s="1" t="s">
        <v>62</v>
      </c>
      <c r="MU2" s="2">
        <v>2</v>
      </c>
      <c r="MY2" s="1" t="s">
        <v>503</v>
      </c>
      <c r="NN2" s="1" t="s">
        <v>371</v>
      </c>
      <c r="NP2" s="1" t="s">
        <v>371</v>
      </c>
      <c r="NQ2" s="1" t="s">
        <v>371</v>
      </c>
      <c r="NU2" s="1" t="s">
        <v>80</v>
      </c>
      <c r="NY2" s="1" t="s">
        <v>371</v>
      </c>
      <c r="OB2" s="2">
        <v>2</v>
      </c>
      <c r="OC2" s="1" t="s">
        <v>371</v>
      </c>
      <c r="OE2" s="1" t="s">
        <v>371</v>
      </c>
      <c r="OF2" s="1" t="s">
        <v>308</v>
      </c>
      <c r="OG2" s="1" t="s">
        <v>371</v>
      </c>
      <c r="OH2" s="1" t="s">
        <v>80</v>
      </c>
      <c r="OI2" s="1" t="s">
        <v>308</v>
      </c>
      <c r="OK2" s="1" t="s">
        <v>371</v>
      </c>
      <c r="OL2" s="1" t="s">
        <v>308</v>
      </c>
      <c r="ON2" s="1" t="s">
        <v>308</v>
      </c>
      <c r="OO2" s="1" t="s">
        <v>371</v>
      </c>
      <c r="OQ2" s="2">
        <v>1</v>
      </c>
      <c r="OR2" s="1" t="s">
        <v>371</v>
      </c>
      <c r="OT2" s="1" t="s">
        <v>371</v>
      </c>
      <c r="OU2" s="1" t="s">
        <v>371</v>
      </c>
      <c r="OW2" s="1" t="s">
        <v>86</v>
      </c>
      <c r="OZ2" s="2">
        <v>2</v>
      </c>
      <c r="PC2" s="1" t="s">
        <v>371</v>
      </c>
      <c r="PE2" s="1" t="s">
        <v>371</v>
      </c>
      <c r="PH2" s="1" t="s">
        <v>80</v>
      </c>
      <c r="PJ2" s="1" t="s">
        <v>371</v>
      </c>
      <c r="PK2" s="1" t="s">
        <v>371</v>
      </c>
      <c r="PM2" s="1" t="s">
        <v>371</v>
      </c>
      <c r="PN2" s="1" t="s">
        <v>371</v>
      </c>
      <c r="PO2" s="1" t="s">
        <v>371</v>
      </c>
      <c r="PR2" s="1" t="s">
        <v>371</v>
      </c>
      <c r="PT2" s="1" t="s">
        <v>371</v>
      </c>
      <c r="PU2" s="2">
        <v>1</v>
      </c>
      <c r="PX2" s="1" t="s">
        <v>371</v>
      </c>
      <c r="PY2" s="1" t="s">
        <v>86</v>
      </c>
      <c r="QA2" s="2">
        <v>2</v>
      </c>
      <c r="QB2" s="1" t="s">
        <v>371</v>
      </c>
      <c r="QD2" s="1" t="s">
        <v>80</v>
      </c>
      <c r="QE2" s="1" t="s">
        <v>371</v>
      </c>
      <c r="QG2" s="1" t="s">
        <v>371</v>
      </c>
      <c r="QH2" s="1" t="s">
        <v>371</v>
      </c>
      <c r="QJ2" s="1" t="s">
        <v>191</v>
      </c>
      <c r="QK2" s="2">
        <v>1</v>
      </c>
      <c r="QL2" s="1" t="s">
        <v>371</v>
      </c>
      <c r="QM2" s="1" t="s">
        <v>371</v>
      </c>
      <c r="QN2" s="1" t="s">
        <v>86</v>
      </c>
      <c r="QP2" s="2">
        <v>2</v>
      </c>
      <c r="QQ2" s="1" t="s">
        <v>371</v>
      </c>
      <c r="QS2" s="1" t="s">
        <v>80</v>
      </c>
      <c r="QT2" s="1" t="s">
        <v>371</v>
      </c>
      <c r="QV2" s="1" t="s">
        <v>371</v>
      </c>
      <c r="QW2" s="1" t="s">
        <v>47</v>
      </c>
      <c r="QX2" s="1" t="s">
        <v>371</v>
      </c>
      <c r="QY2" s="1" t="s">
        <v>371</v>
      </c>
      <c r="QZ2" s="2">
        <v>1</v>
      </c>
      <c r="RA2" s="1" t="s">
        <v>371</v>
      </c>
      <c r="RB2" s="1" t="s">
        <v>86</v>
      </c>
      <c r="RC2" s="1" t="s">
        <v>191</v>
      </c>
      <c r="RJ2" s="1" t="s">
        <v>371</v>
      </c>
      <c r="RR2" s="1" t="s">
        <v>371</v>
      </c>
      <c r="RT2" s="1" t="s">
        <v>191</v>
      </c>
      <c r="RU2" s="1" t="s">
        <v>806</v>
      </c>
      <c r="RW2" s="1" t="s">
        <v>371</v>
      </c>
      <c r="RX2" s="1" t="s">
        <v>702</v>
      </c>
      <c r="RY2" s="1" t="s">
        <v>702</v>
      </c>
      <c r="RZ2" s="1" t="s">
        <v>702</v>
      </c>
      <c r="SA2" s="1" t="s">
        <v>314</v>
      </c>
      <c r="SB2" s="1" t="s">
        <v>314</v>
      </c>
      <c r="SC2" s="1" t="s">
        <v>314</v>
      </c>
      <c r="SD2" s="1" t="s">
        <v>371</v>
      </c>
      <c r="SG2" s="1" t="s">
        <v>371</v>
      </c>
      <c r="SK2" s="1" t="s">
        <v>371</v>
      </c>
      <c r="SL2" s="1" t="s">
        <v>371</v>
      </c>
      <c r="SO2" s="1" t="s">
        <v>371</v>
      </c>
      <c r="SP2" s="1" t="s">
        <v>371</v>
      </c>
      <c r="SR2" s="1" t="s">
        <v>829</v>
      </c>
      <c r="SS2" s="1" t="s">
        <v>371</v>
      </c>
      <c r="ST2" s="1" t="s">
        <v>371</v>
      </c>
      <c r="SU2" s="1" t="s">
        <v>371</v>
      </c>
      <c r="TE2" s="1" t="s">
        <v>701</v>
      </c>
      <c r="UO2" s="1" t="s">
        <v>371</v>
      </c>
      <c r="UP2" s="1" t="s">
        <v>371</v>
      </c>
      <c r="UQ2" s="1" t="s">
        <v>371</v>
      </c>
      <c r="UR2" s="1" t="s">
        <v>371</v>
      </c>
      <c r="US2" s="1" t="s">
        <v>371</v>
      </c>
      <c r="UT2" s="1" t="s">
        <v>371</v>
      </c>
      <c r="UU2" s="1" t="s">
        <v>371</v>
      </c>
      <c r="UV2" s="1" t="s">
        <v>371</v>
      </c>
    </row>
    <row r="3" spans="1:568" x14ac:dyDescent="0.25">
      <c r="E3" s="1" t="s">
        <v>738</v>
      </c>
      <c r="G3" s="1" t="s">
        <v>63</v>
      </c>
      <c r="H3" s="1" t="s">
        <v>504</v>
      </c>
      <c r="J3" s="1" t="s">
        <v>81</v>
      </c>
      <c r="K3" s="2">
        <v>3</v>
      </c>
      <c r="M3" t="s">
        <v>329</v>
      </c>
      <c r="N3" s="2">
        <v>3</v>
      </c>
      <c r="O3" s="1" t="s">
        <v>81</v>
      </c>
      <c r="P3" s="1" t="s">
        <v>176</v>
      </c>
      <c r="Q3" s="1" t="s">
        <v>81</v>
      </c>
      <c r="U3" s="1" t="s">
        <v>176</v>
      </c>
      <c r="V3" s="1" t="s">
        <v>81</v>
      </c>
      <c r="W3" s="1" t="s">
        <v>81</v>
      </c>
      <c r="X3" s="1" t="s">
        <v>81</v>
      </c>
      <c r="Y3" s="1" t="s">
        <v>81</v>
      </c>
      <c r="Z3" s="1" t="s">
        <v>184</v>
      </c>
      <c r="AA3" s="2">
        <v>3</v>
      </c>
      <c r="AB3" t="s">
        <v>338</v>
      </c>
      <c r="AC3" s="1" t="s">
        <v>81</v>
      </c>
      <c r="AD3" s="1" t="s">
        <v>176</v>
      </c>
      <c r="AE3" s="1" t="s">
        <v>81</v>
      </c>
      <c r="AF3" s="1" t="s">
        <v>81</v>
      </c>
      <c r="AN3" s="1" t="s">
        <v>81</v>
      </c>
      <c r="AO3" s="1" t="s">
        <v>81</v>
      </c>
      <c r="AT3" s="1" t="s">
        <v>81</v>
      </c>
      <c r="AW3" s="1" t="s">
        <v>184</v>
      </c>
      <c r="AY3" s="2">
        <v>3</v>
      </c>
      <c r="BA3" t="s">
        <v>348</v>
      </c>
      <c r="BC3" s="1" t="s">
        <v>81</v>
      </c>
      <c r="BE3" s="1" t="s">
        <v>176</v>
      </c>
      <c r="BH3" s="1" t="s">
        <v>81</v>
      </c>
      <c r="BL3" s="1" t="s">
        <v>81</v>
      </c>
      <c r="BP3" s="1" t="s">
        <v>81</v>
      </c>
      <c r="BS3" s="1" t="s">
        <v>192</v>
      </c>
      <c r="CA3" s="1" t="s">
        <v>81</v>
      </c>
      <c r="CH3" s="1" t="s">
        <v>184</v>
      </c>
      <c r="CM3" s="2">
        <v>3</v>
      </c>
      <c r="CQ3" t="s">
        <v>358</v>
      </c>
      <c r="CV3" s="1" t="s">
        <v>81</v>
      </c>
      <c r="CZ3" s="1" t="s">
        <v>176</v>
      </c>
      <c r="DD3" s="1" t="s">
        <v>81</v>
      </c>
      <c r="DG3" s="1" t="s">
        <v>81</v>
      </c>
      <c r="DJ3" s="1" t="s">
        <v>197</v>
      </c>
      <c r="DM3" s="1" t="s">
        <v>81</v>
      </c>
      <c r="DP3" s="1" t="s">
        <v>81</v>
      </c>
      <c r="DS3" s="1" t="s">
        <v>184</v>
      </c>
      <c r="DX3" s="1" t="s">
        <v>192</v>
      </c>
      <c r="EA3" s="1" t="s">
        <v>63</v>
      </c>
      <c r="EB3" s="1" t="s">
        <v>504</v>
      </c>
      <c r="EK3" s="1" t="s">
        <v>81</v>
      </c>
      <c r="EN3" s="2">
        <v>3</v>
      </c>
      <c r="EO3" s="1" t="s">
        <v>81</v>
      </c>
      <c r="ER3" s="1" t="s">
        <v>176</v>
      </c>
      <c r="ES3" s="2">
        <v>3</v>
      </c>
      <c r="ET3" s="1" t="s">
        <v>176</v>
      </c>
      <c r="EV3" s="1" t="s">
        <v>81</v>
      </c>
      <c r="EW3" s="1" t="s">
        <v>63</v>
      </c>
      <c r="EX3" s="1" t="s">
        <v>504</v>
      </c>
      <c r="EZ3" s="1" t="s">
        <v>81</v>
      </c>
      <c r="FB3" s="1" t="s">
        <v>81</v>
      </c>
      <c r="FD3" t="s">
        <v>273</v>
      </c>
      <c r="FF3" s="1" t="s">
        <v>81</v>
      </c>
      <c r="FH3" s="1" t="s">
        <v>81</v>
      </c>
      <c r="FI3" s="1" t="s">
        <v>184</v>
      </c>
      <c r="FK3" s="1" t="s">
        <v>176</v>
      </c>
      <c r="FL3" s="1" t="s">
        <v>81</v>
      </c>
      <c r="FN3" s="2">
        <v>3</v>
      </c>
      <c r="FO3" s="1" t="s">
        <v>81</v>
      </c>
      <c r="FP3" s="2">
        <v>3</v>
      </c>
      <c r="FR3" s="1" t="s">
        <v>81</v>
      </c>
      <c r="FS3" s="1" t="s">
        <v>176</v>
      </c>
      <c r="FU3" s="1" t="s">
        <v>176</v>
      </c>
      <c r="FV3" s="1" t="s">
        <v>81</v>
      </c>
      <c r="FW3" s="1" t="s">
        <v>81</v>
      </c>
      <c r="FX3" s="2">
        <v>3</v>
      </c>
      <c r="FZ3" s="1" t="s">
        <v>81</v>
      </c>
      <c r="GA3" s="1" t="s">
        <v>81</v>
      </c>
      <c r="GC3" t="s">
        <v>208</v>
      </c>
      <c r="GD3" s="1" t="s">
        <v>81</v>
      </c>
      <c r="GF3" s="1" t="s">
        <v>81</v>
      </c>
      <c r="GG3" t="s">
        <v>282</v>
      </c>
      <c r="GI3" s="1" t="s">
        <v>184</v>
      </c>
      <c r="GJ3" s="1" t="s">
        <v>81</v>
      </c>
      <c r="GL3" s="1" t="s">
        <v>81</v>
      </c>
      <c r="GM3" s="1" t="s">
        <v>184</v>
      </c>
      <c r="GQ3" s="1" t="s">
        <v>176</v>
      </c>
      <c r="GR3" s="1" t="s">
        <v>81</v>
      </c>
      <c r="GS3" s="2">
        <v>3</v>
      </c>
      <c r="GT3" s="2">
        <v>3</v>
      </c>
      <c r="GU3" s="1" t="s">
        <v>81</v>
      </c>
      <c r="GV3" s="1" t="s">
        <v>176</v>
      </c>
      <c r="GW3" s="1" t="s">
        <v>81</v>
      </c>
      <c r="GX3" s="1" t="s">
        <v>81</v>
      </c>
      <c r="GY3" s="1" t="s">
        <v>81</v>
      </c>
      <c r="GZ3" s="1" t="s">
        <v>81</v>
      </c>
      <c r="HA3" t="s">
        <v>217</v>
      </c>
      <c r="HB3" s="1" t="s">
        <v>81</v>
      </c>
      <c r="HC3" s="1" t="s">
        <v>81</v>
      </c>
      <c r="HE3" s="1" t="s">
        <v>192</v>
      </c>
      <c r="HF3" s="1" t="s">
        <v>184</v>
      </c>
      <c r="HJ3" t="s">
        <v>292</v>
      </c>
      <c r="HL3" s="1" t="s">
        <v>81</v>
      </c>
      <c r="HN3" s="1" t="s">
        <v>81</v>
      </c>
      <c r="HO3" s="1" t="s">
        <v>176</v>
      </c>
      <c r="HQ3" s="1" t="s">
        <v>184</v>
      </c>
      <c r="HR3" s="2">
        <v>3</v>
      </c>
      <c r="HU3" s="1" t="s">
        <v>81</v>
      </c>
      <c r="HW3" s="1" t="s">
        <v>81</v>
      </c>
      <c r="HY3" s="2">
        <v>3</v>
      </c>
      <c r="HZ3" s="1" t="s">
        <v>81</v>
      </c>
      <c r="IC3" s="1" t="s">
        <v>176</v>
      </c>
      <c r="ID3" s="1" t="s">
        <v>179</v>
      </c>
      <c r="IE3" s="1" t="s">
        <v>81</v>
      </c>
      <c r="IG3" s="1" t="s">
        <v>81</v>
      </c>
      <c r="IH3" s="1" t="s">
        <v>192</v>
      </c>
      <c r="IJ3" s="1" t="s">
        <v>81</v>
      </c>
      <c r="IK3" t="s">
        <v>227</v>
      </c>
      <c r="IM3" s="1" t="s">
        <v>197</v>
      </c>
      <c r="IN3" s="1" t="s">
        <v>81</v>
      </c>
      <c r="IP3" s="1" t="s">
        <v>81</v>
      </c>
      <c r="IQ3" s="1" t="s">
        <v>184</v>
      </c>
      <c r="IS3" t="s">
        <v>302</v>
      </c>
      <c r="IT3" s="1" t="s">
        <v>81</v>
      </c>
      <c r="JK3" s="1" t="s">
        <v>81</v>
      </c>
      <c r="JM3" s="1" t="s">
        <v>176</v>
      </c>
      <c r="JP3" s="1" t="s">
        <v>184</v>
      </c>
      <c r="JQ3" s="2">
        <v>3</v>
      </c>
      <c r="JT3" s="1" t="s">
        <v>192</v>
      </c>
      <c r="JV3" s="1" t="s">
        <v>81</v>
      </c>
      <c r="KC3" s="1" t="s">
        <v>81</v>
      </c>
      <c r="KF3" s="1" t="s">
        <v>197</v>
      </c>
      <c r="KI3" s="1" t="s">
        <v>81</v>
      </c>
      <c r="KL3" t="s">
        <v>237</v>
      </c>
      <c r="KO3" s="1" t="s">
        <v>81</v>
      </c>
      <c r="KR3" s="1" t="s">
        <v>184</v>
      </c>
      <c r="KU3" s="1" t="s">
        <v>192</v>
      </c>
      <c r="MK3" s="1" t="s">
        <v>81</v>
      </c>
      <c r="ML3" s="1" t="s">
        <v>81</v>
      </c>
      <c r="MT3" s="1" t="s">
        <v>63</v>
      </c>
      <c r="MU3" s="2">
        <v>3</v>
      </c>
      <c r="MY3" s="1" t="s">
        <v>504</v>
      </c>
      <c r="NN3" s="1" t="s">
        <v>81</v>
      </c>
      <c r="NP3" s="1" t="s">
        <v>81</v>
      </c>
      <c r="NQ3" s="1" t="s">
        <v>81</v>
      </c>
      <c r="NU3" s="1" t="s">
        <v>176</v>
      </c>
      <c r="NY3" s="1" t="s">
        <v>81</v>
      </c>
      <c r="OB3" s="2">
        <v>3</v>
      </c>
      <c r="OC3" s="1" t="s">
        <v>738</v>
      </c>
      <c r="OE3" s="1" t="s">
        <v>81</v>
      </c>
      <c r="OF3" s="1" t="s">
        <v>310</v>
      </c>
      <c r="OG3" s="1" t="s">
        <v>81</v>
      </c>
      <c r="OH3" s="1" t="s">
        <v>176</v>
      </c>
      <c r="OI3" s="1" t="s">
        <v>310</v>
      </c>
      <c r="OK3" s="1" t="s">
        <v>81</v>
      </c>
      <c r="OL3" s="1" t="s">
        <v>310</v>
      </c>
      <c r="ON3" s="1" t="s">
        <v>310</v>
      </c>
      <c r="OO3" s="1" t="s">
        <v>81</v>
      </c>
      <c r="OQ3" t="s">
        <v>404</v>
      </c>
      <c r="OR3" s="1" t="s">
        <v>81</v>
      </c>
      <c r="OT3" s="1" t="s">
        <v>81</v>
      </c>
      <c r="OU3" s="1" t="s">
        <v>81</v>
      </c>
      <c r="OW3" s="1" t="s">
        <v>184</v>
      </c>
      <c r="OZ3" s="2">
        <v>3</v>
      </c>
      <c r="PC3" s="1" t="s">
        <v>81</v>
      </c>
      <c r="PE3" s="1" t="s">
        <v>81</v>
      </c>
      <c r="PH3" s="1" t="s">
        <v>176</v>
      </c>
      <c r="PJ3" s="1" t="s">
        <v>81</v>
      </c>
      <c r="PK3" s="1" t="s">
        <v>81</v>
      </c>
      <c r="PM3" s="1" t="s">
        <v>81</v>
      </c>
      <c r="PN3" s="1" t="s">
        <v>81</v>
      </c>
      <c r="PO3" s="1" t="s">
        <v>81</v>
      </c>
      <c r="PR3" s="1" t="s">
        <v>81</v>
      </c>
      <c r="PT3" s="1" t="s">
        <v>81</v>
      </c>
      <c r="PU3" t="s">
        <v>413</v>
      </c>
      <c r="PX3" s="1" t="s">
        <v>81</v>
      </c>
      <c r="PY3" s="1" t="s">
        <v>184</v>
      </c>
      <c r="QA3" s="2">
        <v>3</v>
      </c>
      <c r="QB3" s="1" t="s">
        <v>81</v>
      </c>
      <c r="QD3" s="1" t="s">
        <v>176</v>
      </c>
      <c r="QE3" s="1" t="s">
        <v>81</v>
      </c>
      <c r="QG3" s="1" t="s">
        <v>81</v>
      </c>
      <c r="QH3" s="1" t="s">
        <v>81</v>
      </c>
      <c r="QJ3" s="1" t="s">
        <v>192</v>
      </c>
      <c r="QK3" t="s">
        <v>423</v>
      </c>
      <c r="QL3" s="1" t="s">
        <v>81</v>
      </c>
      <c r="QM3" s="1" t="s">
        <v>81</v>
      </c>
      <c r="QN3" s="1" t="s">
        <v>184</v>
      </c>
      <c r="QP3" s="2">
        <v>3</v>
      </c>
      <c r="QQ3" s="1" t="s">
        <v>81</v>
      </c>
      <c r="QS3" s="1" t="s">
        <v>176</v>
      </c>
      <c r="QT3" s="1" t="s">
        <v>81</v>
      </c>
      <c r="QV3" s="1" t="s">
        <v>81</v>
      </c>
      <c r="QW3" s="1" t="s">
        <v>197</v>
      </c>
      <c r="QX3" s="1" t="s">
        <v>738</v>
      </c>
      <c r="QY3" s="1" t="s">
        <v>81</v>
      </c>
      <c r="QZ3" t="s">
        <v>433</v>
      </c>
      <c r="RA3" s="1" t="s">
        <v>81</v>
      </c>
      <c r="RB3" s="1" t="s">
        <v>184</v>
      </c>
      <c r="RC3" s="1" t="s">
        <v>192</v>
      </c>
      <c r="RJ3" s="1" t="s">
        <v>738</v>
      </c>
      <c r="RR3" s="1" t="s">
        <v>738</v>
      </c>
      <c r="RT3" s="1" t="s">
        <v>804</v>
      </c>
      <c r="RU3" t="s">
        <v>807</v>
      </c>
      <c r="RW3" s="1" t="s">
        <v>738</v>
      </c>
      <c r="RX3" s="1" t="s">
        <v>701</v>
      </c>
      <c r="RY3" s="1" t="s">
        <v>701</v>
      </c>
      <c r="RZ3" s="1" t="s">
        <v>701</v>
      </c>
      <c r="SA3" s="1" t="s">
        <v>709</v>
      </c>
      <c r="SB3" s="1" t="s">
        <v>709</v>
      </c>
      <c r="SC3" s="1" t="s">
        <v>709</v>
      </c>
      <c r="SD3" s="1" t="s">
        <v>738</v>
      </c>
      <c r="SG3" s="1" t="s">
        <v>81</v>
      </c>
      <c r="SK3" s="1" t="s">
        <v>81</v>
      </c>
      <c r="SL3" s="1" t="s">
        <v>81</v>
      </c>
      <c r="SO3" s="1" t="s">
        <v>81</v>
      </c>
      <c r="SP3" s="1" t="s">
        <v>81</v>
      </c>
      <c r="SR3" t="s">
        <v>830</v>
      </c>
      <c r="SS3" s="1" t="s">
        <v>81</v>
      </c>
      <c r="ST3" s="1" t="s">
        <v>81</v>
      </c>
      <c r="SU3" s="1" t="s">
        <v>81</v>
      </c>
      <c r="TE3" s="1" t="s">
        <v>704</v>
      </c>
      <c r="UO3" s="1" t="s">
        <v>81</v>
      </c>
      <c r="UP3" s="1" t="s">
        <v>81</v>
      </c>
      <c r="UQ3" s="1" t="s">
        <v>81</v>
      </c>
      <c r="UR3" s="1" t="s">
        <v>81</v>
      </c>
      <c r="US3" s="1" t="s">
        <v>738</v>
      </c>
      <c r="UT3" s="1" t="s">
        <v>738</v>
      </c>
      <c r="UU3" s="1" t="s">
        <v>738</v>
      </c>
      <c r="UV3" s="1" t="s">
        <v>738</v>
      </c>
    </row>
    <row r="4" spans="1:568" x14ac:dyDescent="0.25">
      <c r="E4" s="1" t="s">
        <v>81</v>
      </c>
      <c r="G4" s="1" t="s">
        <v>64</v>
      </c>
      <c r="H4" s="1" t="s">
        <v>67</v>
      </c>
      <c r="J4" s="1" t="s">
        <v>155</v>
      </c>
      <c r="K4" s="2">
        <v>4</v>
      </c>
      <c r="N4" s="2">
        <v>4</v>
      </c>
      <c r="O4" s="1" t="s">
        <v>155</v>
      </c>
      <c r="P4" t="s">
        <v>324</v>
      </c>
      <c r="Q4" s="1" t="s">
        <v>155</v>
      </c>
      <c r="U4" t="s">
        <v>322</v>
      </c>
      <c r="V4" s="1" t="s">
        <v>155</v>
      </c>
      <c r="W4" s="1" t="s">
        <v>155</v>
      </c>
      <c r="X4" s="1" t="s">
        <v>155</v>
      </c>
      <c r="Y4" s="1" t="s">
        <v>155</v>
      </c>
      <c r="Z4" s="1" t="s">
        <v>185</v>
      </c>
      <c r="AA4" s="2">
        <v>4</v>
      </c>
      <c r="AC4" s="1" t="s">
        <v>155</v>
      </c>
      <c r="AD4" t="s">
        <v>333</v>
      </c>
      <c r="AE4" s="1" t="s">
        <v>155</v>
      </c>
      <c r="AF4" s="1" t="s">
        <v>155</v>
      </c>
      <c r="AN4" s="1" t="s">
        <v>155</v>
      </c>
      <c r="AO4" s="1" t="s">
        <v>155</v>
      </c>
      <c r="AT4" s="1" t="s">
        <v>155</v>
      </c>
      <c r="AW4" s="1" t="s">
        <v>185</v>
      </c>
      <c r="AY4" s="2">
        <v>4</v>
      </c>
      <c r="BC4" s="1" t="s">
        <v>155</v>
      </c>
      <c r="BE4" t="s">
        <v>342</v>
      </c>
      <c r="BH4" s="1" t="s">
        <v>155</v>
      </c>
      <c r="BL4" s="1" t="s">
        <v>155</v>
      </c>
      <c r="BP4" s="1" t="s">
        <v>155</v>
      </c>
      <c r="BS4" s="1" t="s">
        <v>193</v>
      </c>
      <c r="CA4" s="1" t="s">
        <v>155</v>
      </c>
      <c r="CH4" s="1" t="s">
        <v>185</v>
      </c>
      <c r="CM4" s="2">
        <v>4</v>
      </c>
      <c r="CV4" s="1" t="s">
        <v>155</v>
      </c>
      <c r="CZ4" t="s">
        <v>352</v>
      </c>
      <c r="DD4" s="1" t="s">
        <v>155</v>
      </c>
      <c r="DG4" s="1" t="s">
        <v>155</v>
      </c>
      <c r="DJ4" t="s">
        <v>356</v>
      </c>
      <c r="DM4" s="1" t="s">
        <v>155</v>
      </c>
      <c r="DP4" s="1" t="s">
        <v>155</v>
      </c>
      <c r="DS4" s="1" t="s">
        <v>185</v>
      </c>
      <c r="DX4" s="1" t="s">
        <v>193</v>
      </c>
      <c r="EA4" s="1" t="s">
        <v>64</v>
      </c>
      <c r="EB4" s="1" t="s">
        <v>67</v>
      </c>
      <c r="EK4" s="1" t="s">
        <v>155</v>
      </c>
      <c r="EN4" s="2">
        <v>4</v>
      </c>
      <c r="EO4" s="1" t="s">
        <v>155</v>
      </c>
      <c r="ER4" t="s">
        <v>268</v>
      </c>
      <c r="ES4" s="2">
        <v>4</v>
      </c>
      <c r="ET4" t="s">
        <v>720</v>
      </c>
      <c r="EV4" s="1" t="s">
        <v>155</v>
      </c>
      <c r="EW4" s="1" t="s">
        <v>64</v>
      </c>
      <c r="EX4" s="1" t="s">
        <v>67</v>
      </c>
      <c r="EZ4" s="1" t="s">
        <v>155</v>
      </c>
      <c r="FB4" s="1" t="s">
        <v>155</v>
      </c>
      <c r="FF4" s="1" t="s">
        <v>155</v>
      </c>
      <c r="FH4" s="1" t="s">
        <v>155</v>
      </c>
      <c r="FI4" s="1" t="s">
        <v>185</v>
      </c>
      <c r="FK4" t="s">
        <v>203</v>
      </c>
      <c r="FL4" s="1" t="s">
        <v>155</v>
      </c>
      <c r="FN4" s="2">
        <v>4</v>
      </c>
      <c r="FO4" s="1" t="s">
        <v>155</v>
      </c>
      <c r="FP4" s="2">
        <v>4</v>
      </c>
      <c r="FR4" s="1" t="s">
        <v>155</v>
      </c>
      <c r="FS4" t="s">
        <v>277</v>
      </c>
      <c r="FU4" t="s">
        <v>722</v>
      </c>
      <c r="FV4" s="1" t="s">
        <v>155</v>
      </c>
      <c r="FW4" s="1" t="s">
        <v>155</v>
      </c>
      <c r="FX4" s="2">
        <v>4</v>
      </c>
      <c r="FZ4" s="1" t="s">
        <v>155</v>
      </c>
      <c r="GA4" s="1" t="s">
        <v>155</v>
      </c>
      <c r="GD4" s="1" t="s">
        <v>155</v>
      </c>
      <c r="GF4" s="1" t="s">
        <v>155</v>
      </c>
      <c r="GI4" s="1" t="s">
        <v>185</v>
      </c>
      <c r="GJ4" s="1" t="s">
        <v>155</v>
      </c>
      <c r="GL4" s="1" t="s">
        <v>155</v>
      </c>
      <c r="GM4" s="1" t="s">
        <v>185</v>
      </c>
      <c r="GQ4" t="s">
        <v>212</v>
      </c>
      <c r="GR4" s="1" t="s">
        <v>155</v>
      </c>
      <c r="GS4" s="2">
        <v>4</v>
      </c>
      <c r="GT4" s="2">
        <v>4</v>
      </c>
      <c r="GU4" s="1" t="s">
        <v>155</v>
      </c>
      <c r="GV4" t="s">
        <v>286</v>
      </c>
      <c r="GW4" s="1" t="s">
        <v>155</v>
      </c>
      <c r="GX4" s="1" t="s">
        <v>155</v>
      </c>
      <c r="GY4" s="1" t="s">
        <v>155</v>
      </c>
      <c r="GZ4" s="1" t="s">
        <v>155</v>
      </c>
      <c r="HB4" s="1" t="s">
        <v>155</v>
      </c>
      <c r="HC4" s="1" t="s">
        <v>155</v>
      </c>
      <c r="HE4" s="1" t="s">
        <v>193</v>
      </c>
      <c r="HF4" s="1" t="s">
        <v>185</v>
      </c>
      <c r="HL4" s="1" t="s">
        <v>155</v>
      </c>
      <c r="HN4" s="1" t="s">
        <v>155</v>
      </c>
      <c r="HO4" t="s">
        <v>221</v>
      </c>
      <c r="HQ4" s="1" t="s">
        <v>185</v>
      </c>
      <c r="HR4" s="2">
        <v>4</v>
      </c>
      <c r="HU4" s="1" t="s">
        <v>155</v>
      </c>
      <c r="HW4" s="1" t="s">
        <v>155</v>
      </c>
      <c r="HY4" s="2">
        <v>4</v>
      </c>
      <c r="HZ4" s="1" t="s">
        <v>155</v>
      </c>
      <c r="IC4" t="s">
        <v>296</v>
      </c>
      <c r="ID4" s="1" t="s">
        <v>81</v>
      </c>
      <c r="IE4" s="1" t="s">
        <v>155</v>
      </c>
      <c r="IG4" s="1" t="s">
        <v>155</v>
      </c>
      <c r="IH4" s="1" t="s">
        <v>193</v>
      </c>
      <c r="IJ4" s="1" t="s">
        <v>155</v>
      </c>
      <c r="IM4" t="s">
        <v>300</v>
      </c>
      <c r="IN4" s="1" t="s">
        <v>155</v>
      </c>
      <c r="IP4" s="1" t="s">
        <v>155</v>
      </c>
      <c r="IQ4" s="1" t="s">
        <v>185</v>
      </c>
      <c r="IT4" s="1" t="s">
        <v>155</v>
      </c>
      <c r="JK4" s="1" t="s">
        <v>155</v>
      </c>
      <c r="JM4" t="s">
        <v>231</v>
      </c>
      <c r="JP4" s="1" t="s">
        <v>185</v>
      </c>
      <c r="JQ4" s="2">
        <v>4</v>
      </c>
      <c r="JT4" s="1" t="s">
        <v>193</v>
      </c>
      <c r="JV4" s="1" t="s">
        <v>155</v>
      </c>
      <c r="KC4" s="1" t="s">
        <v>155</v>
      </c>
      <c r="KF4" t="s">
        <v>235</v>
      </c>
      <c r="KI4" s="1" t="s">
        <v>155</v>
      </c>
      <c r="KO4" s="1" t="s">
        <v>155</v>
      </c>
      <c r="KR4" s="1" t="s">
        <v>185</v>
      </c>
      <c r="KU4" s="1" t="s">
        <v>193</v>
      </c>
      <c r="MK4" s="1" t="s">
        <v>155</v>
      </c>
      <c r="ML4" s="1" t="s">
        <v>155</v>
      </c>
      <c r="MT4" s="1" t="s">
        <v>64</v>
      </c>
      <c r="MU4" s="2">
        <v>4</v>
      </c>
      <c r="MY4" s="1" t="s">
        <v>67</v>
      </c>
      <c r="NN4" s="1" t="s">
        <v>155</v>
      </c>
      <c r="NP4" s="1" t="s">
        <v>155</v>
      </c>
      <c r="NQ4" s="1" t="s">
        <v>155</v>
      </c>
      <c r="NU4" t="s">
        <v>401</v>
      </c>
      <c r="NY4" s="1" t="s">
        <v>155</v>
      </c>
      <c r="OB4" s="2">
        <v>4</v>
      </c>
      <c r="OC4" s="1" t="s">
        <v>81</v>
      </c>
      <c r="OE4" s="1" t="s">
        <v>155</v>
      </c>
      <c r="OF4" s="1" t="s">
        <v>711</v>
      </c>
      <c r="OG4" s="1" t="s">
        <v>155</v>
      </c>
      <c r="OH4" t="s">
        <v>726</v>
      </c>
      <c r="OI4" s="1" t="s">
        <v>711</v>
      </c>
      <c r="OK4" s="1" t="s">
        <v>155</v>
      </c>
      <c r="OL4" s="1" t="s">
        <v>711</v>
      </c>
      <c r="ON4" s="1" t="s">
        <v>711</v>
      </c>
      <c r="OO4" s="1" t="s">
        <v>155</v>
      </c>
      <c r="OR4" s="1" t="s">
        <v>155</v>
      </c>
      <c r="OT4" s="1" t="s">
        <v>155</v>
      </c>
      <c r="OU4" s="1" t="s">
        <v>155</v>
      </c>
      <c r="OW4" s="1" t="s">
        <v>185</v>
      </c>
      <c r="OZ4" s="2">
        <v>4</v>
      </c>
      <c r="PC4" s="1" t="s">
        <v>155</v>
      </c>
      <c r="PE4" s="1" t="s">
        <v>155</v>
      </c>
      <c r="PH4" t="s">
        <v>409</v>
      </c>
      <c r="PJ4" s="1" t="s">
        <v>155</v>
      </c>
      <c r="PK4" s="1" t="s">
        <v>155</v>
      </c>
      <c r="PM4" s="1" t="s">
        <v>155</v>
      </c>
      <c r="PN4" s="1" t="s">
        <v>155</v>
      </c>
      <c r="PO4" s="1" t="s">
        <v>155</v>
      </c>
      <c r="PR4" s="1" t="s">
        <v>155</v>
      </c>
      <c r="PT4" s="1" t="s">
        <v>155</v>
      </c>
      <c r="PX4" s="1" t="s">
        <v>155</v>
      </c>
      <c r="PY4" s="1" t="s">
        <v>185</v>
      </c>
      <c r="QA4" s="2">
        <v>4</v>
      </c>
      <c r="QB4" s="1" t="s">
        <v>155</v>
      </c>
      <c r="QD4" t="s">
        <v>418</v>
      </c>
      <c r="QE4" s="1" t="s">
        <v>155</v>
      </c>
      <c r="QG4" s="1" t="s">
        <v>155</v>
      </c>
      <c r="QH4" s="1" t="s">
        <v>155</v>
      </c>
      <c r="QJ4" s="1" t="s">
        <v>193</v>
      </c>
      <c r="QL4" s="1" t="s">
        <v>155</v>
      </c>
      <c r="QM4" s="1" t="s">
        <v>155</v>
      </c>
      <c r="QN4" s="1" t="s">
        <v>185</v>
      </c>
      <c r="QP4" s="2">
        <v>4</v>
      </c>
      <c r="QQ4" s="1" t="s">
        <v>155</v>
      </c>
      <c r="QS4" t="s">
        <v>428</v>
      </c>
      <c r="QT4" s="1" t="s">
        <v>155</v>
      </c>
      <c r="QV4" s="1" t="s">
        <v>155</v>
      </c>
      <c r="QW4" t="s">
        <v>431</v>
      </c>
      <c r="QX4" s="1" t="s">
        <v>81</v>
      </c>
      <c r="QY4" s="1" t="s">
        <v>155</v>
      </c>
      <c r="RA4" s="1" t="s">
        <v>155</v>
      </c>
      <c r="RB4" s="1" t="s">
        <v>185</v>
      </c>
      <c r="RC4" s="1" t="s">
        <v>193</v>
      </c>
      <c r="RJ4" s="1" t="s">
        <v>81</v>
      </c>
      <c r="RR4" s="1" t="s">
        <v>81</v>
      </c>
      <c r="RT4" t="s">
        <v>805</v>
      </c>
      <c r="RW4" s="1" t="s">
        <v>81</v>
      </c>
      <c r="RX4" s="1" t="s">
        <v>704</v>
      </c>
      <c r="RY4" s="1" t="s">
        <v>704</v>
      </c>
      <c r="RZ4" s="1" t="s">
        <v>704</v>
      </c>
      <c r="SA4" t="s">
        <v>813</v>
      </c>
      <c r="SB4" t="s">
        <v>812</v>
      </c>
      <c r="SC4" t="s">
        <v>814</v>
      </c>
      <c r="SD4" s="1" t="s">
        <v>81</v>
      </c>
      <c r="SG4" s="1" t="s">
        <v>155</v>
      </c>
      <c r="SK4" s="1" t="s">
        <v>155</v>
      </c>
      <c r="SL4" s="1" t="s">
        <v>155</v>
      </c>
      <c r="SO4" s="1" t="s">
        <v>155</v>
      </c>
      <c r="SP4" s="1" t="s">
        <v>155</v>
      </c>
      <c r="SS4" s="1" t="s">
        <v>155</v>
      </c>
      <c r="ST4" s="1" t="s">
        <v>155</v>
      </c>
      <c r="SU4" s="1" t="s">
        <v>155</v>
      </c>
      <c r="TE4" s="1" t="s">
        <v>717</v>
      </c>
      <c r="UO4" s="1" t="s">
        <v>155</v>
      </c>
      <c r="UP4" s="1" t="s">
        <v>155</v>
      </c>
      <c r="UQ4" s="1" t="s">
        <v>155</v>
      </c>
      <c r="UR4" s="1" t="s">
        <v>155</v>
      </c>
      <c r="US4" s="1" t="s">
        <v>81</v>
      </c>
      <c r="UT4" s="1" t="s">
        <v>81</v>
      </c>
      <c r="UU4" s="1" t="s">
        <v>81</v>
      </c>
      <c r="UV4" s="1" t="s">
        <v>81</v>
      </c>
    </row>
    <row r="5" spans="1:568" x14ac:dyDescent="0.25">
      <c r="E5" s="1" t="s">
        <v>155</v>
      </c>
      <c r="G5" s="1" t="s">
        <v>65</v>
      </c>
      <c r="H5" s="1" t="s">
        <v>68</v>
      </c>
      <c r="J5" s="1" t="s">
        <v>437</v>
      </c>
      <c r="K5" t="s">
        <v>321</v>
      </c>
      <c r="N5" t="s">
        <v>323</v>
      </c>
      <c r="O5" s="1" t="s">
        <v>437</v>
      </c>
      <c r="Q5" s="1" t="s">
        <v>437</v>
      </c>
      <c r="V5" s="1" t="s">
        <v>437</v>
      </c>
      <c r="W5" s="1" t="s">
        <v>437</v>
      </c>
      <c r="X5" s="1" t="s">
        <v>437</v>
      </c>
      <c r="Y5" s="1" t="s">
        <v>437</v>
      </c>
      <c r="Z5" s="1" t="s">
        <v>186</v>
      </c>
      <c r="AA5" t="s">
        <v>332</v>
      </c>
      <c r="AC5" s="1" t="s">
        <v>437</v>
      </c>
      <c r="AE5" s="1" t="s">
        <v>437</v>
      </c>
      <c r="AF5" s="1" t="s">
        <v>437</v>
      </c>
      <c r="AN5" s="1" t="s">
        <v>437</v>
      </c>
      <c r="AO5" s="1" t="s">
        <v>437</v>
      </c>
      <c r="AT5" s="1" t="s">
        <v>437</v>
      </c>
      <c r="AW5" s="1" t="s">
        <v>186</v>
      </c>
      <c r="AY5" t="s">
        <v>341</v>
      </c>
      <c r="BC5" s="1" t="s">
        <v>437</v>
      </c>
      <c r="BH5" s="1" t="s">
        <v>437</v>
      </c>
      <c r="BL5" s="1" t="s">
        <v>437</v>
      </c>
      <c r="BP5" s="1" t="s">
        <v>437</v>
      </c>
      <c r="BS5" s="1" t="s">
        <v>194</v>
      </c>
      <c r="CA5" s="1" t="s">
        <v>437</v>
      </c>
      <c r="CH5" s="1" t="s">
        <v>186</v>
      </c>
      <c r="CM5" t="s">
        <v>351</v>
      </c>
      <c r="CV5" s="1" t="s">
        <v>437</v>
      </c>
      <c r="DD5" s="1" t="s">
        <v>437</v>
      </c>
      <c r="DG5" s="1" t="s">
        <v>437</v>
      </c>
      <c r="DM5" s="1" t="s">
        <v>437</v>
      </c>
      <c r="DP5" s="1" t="s">
        <v>437</v>
      </c>
      <c r="DS5" s="1" t="s">
        <v>186</v>
      </c>
      <c r="DX5" s="1" t="s">
        <v>194</v>
      </c>
      <c r="EA5" s="1" t="s">
        <v>65</v>
      </c>
      <c r="EB5" s="1" t="s">
        <v>68</v>
      </c>
      <c r="EK5" s="1" t="s">
        <v>437</v>
      </c>
      <c r="EN5" t="s">
        <v>267</v>
      </c>
      <c r="EO5" s="1" t="s">
        <v>437</v>
      </c>
      <c r="ES5" t="s">
        <v>719</v>
      </c>
      <c r="EV5" s="1" t="s">
        <v>437</v>
      </c>
      <c r="EW5" s="1" t="s">
        <v>65</v>
      </c>
      <c r="EX5" s="1" t="s">
        <v>68</v>
      </c>
      <c r="EZ5" s="1" t="s">
        <v>437</v>
      </c>
      <c r="FB5" s="1" t="s">
        <v>437</v>
      </c>
      <c r="FF5" s="1" t="s">
        <v>437</v>
      </c>
      <c r="FH5" s="1" t="s">
        <v>437</v>
      </c>
      <c r="FI5" s="1" t="s">
        <v>186</v>
      </c>
      <c r="FL5" s="1" t="s">
        <v>437</v>
      </c>
      <c r="FN5" t="s">
        <v>202</v>
      </c>
      <c r="FO5" s="1" t="s">
        <v>437</v>
      </c>
      <c r="FP5" t="s">
        <v>276</v>
      </c>
      <c r="FR5" s="1" t="s">
        <v>437</v>
      </c>
      <c r="FV5" s="1" t="s">
        <v>437</v>
      </c>
      <c r="FW5" s="1" t="s">
        <v>437</v>
      </c>
      <c r="FX5" t="s">
        <v>723</v>
      </c>
      <c r="FZ5" s="1" t="s">
        <v>437</v>
      </c>
      <c r="GA5" s="1" t="s">
        <v>437</v>
      </c>
      <c r="GD5" s="1" t="s">
        <v>437</v>
      </c>
      <c r="GF5" s="1" t="s">
        <v>437</v>
      </c>
      <c r="GI5" s="1" t="s">
        <v>186</v>
      </c>
      <c r="GJ5" s="1" t="s">
        <v>437</v>
      </c>
      <c r="GL5" s="1" t="s">
        <v>437</v>
      </c>
      <c r="GM5" s="1" t="s">
        <v>186</v>
      </c>
      <c r="GR5" s="1" t="s">
        <v>437</v>
      </c>
      <c r="GS5" t="s">
        <v>211</v>
      </c>
      <c r="GT5" t="s">
        <v>285</v>
      </c>
      <c r="GU5" s="1" t="s">
        <v>437</v>
      </c>
      <c r="GW5" s="1" t="s">
        <v>437</v>
      </c>
      <c r="GX5" s="1" t="s">
        <v>437</v>
      </c>
      <c r="GY5" s="1" t="s">
        <v>437</v>
      </c>
      <c r="GZ5" s="1" t="s">
        <v>437</v>
      </c>
      <c r="HB5" s="1" t="s">
        <v>437</v>
      </c>
      <c r="HC5" s="1" t="s">
        <v>437</v>
      </c>
      <c r="HE5" s="1" t="s">
        <v>194</v>
      </c>
      <c r="HF5" s="1" t="s">
        <v>186</v>
      </c>
      <c r="HL5" s="1" t="s">
        <v>437</v>
      </c>
      <c r="HN5" s="1" t="s">
        <v>437</v>
      </c>
      <c r="HQ5" s="1" t="s">
        <v>186</v>
      </c>
      <c r="HR5" t="s">
        <v>220</v>
      </c>
      <c r="HU5" s="1" t="s">
        <v>437</v>
      </c>
      <c r="HW5" s="1" t="s">
        <v>437</v>
      </c>
      <c r="HY5" t="s">
        <v>295</v>
      </c>
      <c r="HZ5" s="1" t="s">
        <v>437</v>
      </c>
      <c r="ID5" s="1" t="s">
        <v>155</v>
      </c>
      <c r="IE5" s="1" t="s">
        <v>437</v>
      </c>
      <c r="IG5" s="1" t="s">
        <v>437</v>
      </c>
      <c r="IH5" s="1" t="s">
        <v>194</v>
      </c>
      <c r="IJ5" s="1" t="s">
        <v>437</v>
      </c>
      <c r="IN5" s="1" t="s">
        <v>437</v>
      </c>
      <c r="IP5" s="1" t="s">
        <v>437</v>
      </c>
      <c r="IQ5" s="1" t="s">
        <v>186</v>
      </c>
      <c r="IT5" s="1" t="s">
        <v>437</v>
      </c>
      <c r="JK5" s="1" t="s">
        <v>437</v>
      </c>
      <c r="JP5" s="1" t="s">
        <v>186</v>
      </c>
      <c r="JQ5" t="s">
        <v>230</v>
      </c>
      <c r="JT5" s="1" t="s">
        <v>194</v>
      </c>
      <c r="JV5" s="1" t="s">
        <v>437</v>
      </c>
      <c r="KC5" s="1" t="s">
        <v>437</v>
      </c>
      <c r="KI5" s="1" t="s">
        <v>437</v>
      </c>
      <c r="KO5" s="1" t="s">
        <v>437</v>
      </c>
      <c r="KR5" s="1" t="s">
        <v>186</v>
      </c>
      <c r="KU5" s="1" t="s">
        <v>194</v>
      </c>
      <c r="MK5" s="1" t="s">
        <v>437</v>
      </c>
      <c r="ML5" s="1" t="s">
        <v>437</v>
      </c>
      <c r="MT5" s="1" t="s">
        <v>65</v>
      </c>
      <c r="MU5" t="s">
        <v>399</v>
      </c>
      <c r="MY5" s="1" t="s">
        <v>68</v>
      </c>
      <c r="NN5" s="1" t="s">
        <v>437</v>
      </c>
      <c r="NP5" s="1" t="s">
        <v>437</v>
      </c>
      <c r="NQ5" s="1" t="s">
        <v>437</v>
      </c>
      <c r="NY5" s="1" t="s">
        <v>437</v>
      </c>
      <c r="OB5" t="s">
        <v>724</v>
      </c>
      <c r="OC5" s="1" t="s">
        <v>155</v>
      </c>
      <c r="OE5" s="1" t="s">
        <v>437</v>
      </c>
      <c r="OF5" s="1" t="s">
        <v>312</v>
      </c>
      <c r="OG5" s="1" t="s">
        <v>437</v>
      </c>
      <c r="OI5" s="1" t="s">
        <v>312</v>
      </c>
      <c r="OK5" s="1" t="s">
        <v>437</v>
      </c>
      <c r="OL5" s="1" t="s">
        <v>312</v>
      </c>
      <c r="ON5" s="1" t="s">
        <v>312</v>
      </c>
      <c r="OO5" s="1" t="s">
        <v>437</v>
      </c>
      <c r="OR5" s="1" t="s">
        <v>437</v>
      </c>
      <c r="OT5" s="1" t="s">
        <v>437</v>
      </c>
      <c r="OU5" s="1" t="s">
        <v>437</v>
      </c>
      <c r="OW5" s="1" t="s">
        <v>186</v>
      </c>
      <c r="OZ5" t="s">
        <v>407</v>
      </c>
      <c r="PC5" s="1" t="s">
        <v>437</v>
      </c>
      <c r="PE5" s="1" t="s">
        <v>437</v>
      </c>
      <c r="PJ5" s="1" t="s">
        <v>437</v>
      </c>
      <c r="PK5" s="1" t="s">
        <v>437</v>
      </c>
      <c r="PM5" s="1" t="s">
        <v>437</v>
      </c>
      <c r="PN5" s="1" t="s">
        <v>437</v>
      </c>
      <c r="PO5" s="1" t="s">
        <v>372</v>
      </c>
      <c r="PR5" s="1" t="s">
        <v>437</v>
      </c>
      <c r="PT5" s="1" t="s">
        <v>437</v>
      </c>
      <c r="PX5" s="1" t="s">
        <v>437</v>
      </c>
      <c r="PY5" s="1" t="s">
        <v>186</v>
      </c>
      <c r="QA5" t="s">
        <v>416</v>
      </c>
      <c r="QB5" s="1" t="s">
        <v>437</v>
      </c>
      <c r="QE5" s="1" t="s">
        <v>437</v>
      </c>
      <c r="QG5" s="1" t="s">
        <v>437</v>
      </c>
      <c r="QH5" s="1" t="s">
        <v>437</v>
      </c>
      <c r="QJ5" s="1" t="s">
        <v>194</v>
      </c>
      <c r="QL5" s="1" t="s">
        <v>437</v>
      </c>
      <c r="QM5" s="1" t="s">
        <v>437</v>
      </c>
      <c r="QN5" s="1" t="s">
        <v>186</v>
      </c>
      <c r="QP5" t="s">
        <v>426</v>
      </c>
      <c r="QQ5" s="1" t="s">
        <v>437</v>
      </c>
      <c r="QT5" s="1" t="s">
        <v>437</v>
      </c>
      <c r="QV5" s="1" t="s">
        <v>437</v>
      </c>
      <c r="QX5" s="1" t="s">
        <v>155</v>
      </c>
      <c r="QY5" s="1" t="s">
        <v>437</v>
      </c>
      <c r="RA5" s="1" t="s">
        <v>437</v>
      </c>
      <c r="RB5" s="1" t="s">
        <v>186</v>
      </c>
      <c r="RC5" s="1" t="s">
        <v>194</v>
      </c>
      <c r="RJ5" s="1" t="s">
        <v>155</v>
      </c>
      <c r="RR5" s="1" t="s">
        <v>155</v>
      </c>
      <c r="RW5" s="1" t="s">
        <v>155</v>
      </c>
      <c r="RX5" s="1" t="s">
        <v>717</v>
      </c>
      <c r="RY5" s="1" t="s">
        <v>717</v>
      </c>
      <c r="RZ5" s="1" t="s">
        <v>717</v>
      </c>
      <c r="SD5" s="1" t="s">
        <v>155</v>
      </c>
      <c r="SG5" s="1" t="s">
        <v>437</v>
      </c>
      <c r="SK5" s="1" t="s">
        <v>437</v>
      </c>
      <c r="SL5" s="1" t="s">
        <v>437</v>
      </c>
      <c r="SO5" s="1" t="s">
        <v>437</v>
      </c>
      <c r="SP5" s="1" t="s">
        <v>437</v>
      </c>
      <c r="SS5" s="1" t="s">
        <v>437</v>
      </c>
      <c r="ST5" s="1" t="s">
        <v>437</v>
      </c>
      <c r="SU5" s="1" t="s">
        <v>437</v>
      </c>
      <c r="TE5" s="1" t="s">
        <v>707</v>
      </c>
      <c r="UO5" s="1" t="s">
        <v>437</v>
      </c>
      <c r="UP5" s="1" t="s">
        <v>437</v>
      </c>
      <c r="UQ5" s="1" t="s">
        <v>437</v>
      </c>
      <c r="UR5" s="1" t="s">
        <v>437</v>
      </c>
      <c r="US5" s="1" t="s">
        <v>155</v>
      </c>
      <c r="UT5" s="1" t="s">
        <v>155</v>
      </c>
      <c r="UU5" s="1" t="s">
        <v>155</v>
      </c>
      <c r="UV5" s="1" t="s">
        <v>155</v>
      </c>
    </row>
    <row r="6" spans="1:568" x14ac:dyDescent="0.25">
      <c r="E6" s="1" t="s">
        <v>437</v>
      </c>
      <c r="G6" s="1" t="s">
        <v>66</v>
      </c>
      <c r="H6" s="1" t="s">
        <v>69</v>
      </c>
      <c r="J6" s="1" t="s">
        <v>181</v>
      </c>
      <c r="O6" s="1" t="s">
        <v>181</v>
      </c>
      <c r="Q6" s="1" t="s">
        <v>181</v>
      </c>
      <c r="V6" s="1" t="s">
        <v>181</v>
      </c>
      <c r="W6" s="1" t="s">
        <v>181</v>
      </c>
      <c r="X6" s="1" t="s">
        <v>181</v>
      </c>
      <c r="Y6" s="1" t="s">
        <v>181</v>
      </c>
      <c r="Z6" s="1" t="s">
        <v>187</v>
      </c>
      <c r="AC6" s="1" t="s">
        <v>181</v>
      </c>
      <c r="AE6" s="1" t="s">
        <v>181</v>
      </c>
      <c r="AF6" s="1" t="s">
        <v>181</v>
      </c>
      <c r="AN6" s="1" t="s">
        <v>181</v>
      </c>
      <c r="AO6" s="1" t="s">
        <v>181</v>
      </c>
      <c r="AT6" s="1" t="s">
        <v>181</v>
      </c>
      <c r="AW6" s="1" t="s">
        <v>187</v>
      </c>
      <c r="BC6" s="1" t="s">
        <v>181</v>
      </c>
      <c r="BH6" s="1" t="s">
        <v>181</v>
      </c>
      <c r="BL6" s="1" t="s">
        <v>181</v>
      </c>
      <c r="BP6" s="1" t="s">
        <v>181</v>
      </c>
      <c r="BS6" s="1" t="s">
        <v>195</v>
      </c>
      <c r="CA6" s="1" t="s">
        <v>181</v>
      </c>
      <c r="CH6" s="1" t="s">
        <v>187</v>
      </c>
      <c r="CV6" s="1" t="s">
        <v>181</v>
      </c>
      <c r="DD6" s="1" t="s">
        <v>181</v>
      </c>
      <c r="DG6" s="1" t="s">
        <v>181</v>
      </c>
      <c r="DM6" s="1" t="s">
        <v>181</v>
      </c>
      <c r="DP6" s="1" t="s">
        <v>181</v>
      </c>
      <c r="DS6" s="1" t="s">
        <v>187</v>
      </c>
      <c r="DX6" s="1" t="s">
        <v>195</v>
      </c>
      <c r="EA6" s="1" t="s">
        <v>66</v>
      </c>
      <c r="EB6" s="1" t="s">
        <v>69</v>
      </c>
      <c r="EK6" s="1" t="s">
        <v>181</v>
      </c>
      <c r="EO6" s="1" t="s">
        <v>181</v>
      </c>
      <c r="EV6" s="1" t="s">
        <v>181</v>
      </c>
      <c r="EW6" s="1" t="s">
        <v>66</v>
      </c>
      <c r="EX6" s="1" t="s">
        <v>69</v>
      </c>
      <c r="EZ6" s="1" t="s">
        <v>181</v>
      </c>
      <c r="FB6" s="1" t="s">
        <v>181</v>
      </c>
      <c r="FF6" s="1" t="s">
        <v>181</v>
      </c>
      <c r="FH6" s="1" t="s">
        <v>181</v>
      </c>
      <c r="FI6" s="1" t="s">
        <v>187</v>
      </c>
      <c r="FL6" s="1" t="s">
        <v>181</v>
      </c>
      <c r="FO6" s="1" t="s">
        <v>181</v>
      </c>
      <c r="FR6" s="1" t="s">
        <v>181</v>
      </c>
      <c r="FV6" s="1" t="s">
        <v>181</v>
      </c>
      <c r="FW6" s="1" t="s">
        <v>181</v>
      </c>
      <c r="FZ6" s="1" t="s">
        <v>181</v>
      </c>
      <c r="GA6" s="1" t="s">
        <v>181</v>
      </c>
      <c r="GD6" s="1" t="s">
        <v>181</v>
      </c>
      <c r="GF6" s="1" t="s">
        <v>181</v>
      </c>
      <c r="GI6" s="1" t="s">
        <v>187</v>
      </c>
      <c r="GJ6" s="1" t="s">
        <v>181</v>
      </c>
      <c r="GL6" s="1" t="s">
        <v>181</v>
      </c>
      <c r="GM6" s="1" t="s">
        <v>187</v>
      </c>
      <c r="GR6" s="1" t="s">
        <v>181</v>
      </c>
      <c r="GU6" s="1" t="s">
        <v>181</v>
      </c>
      <c r="GW6" s="1" t="s">
        <v>181</v>
      </c>
      <c r="GX6" s="1" t="s">
        <v>181</v>
      </c>
      <c r="GY6" s="1" t="s">
        <v>181</v>
      </c>
      <c r="GZ6" s="1" t="s">
        <v>181</v>
      </c>
      <c r="HB6" s="1" t="s">
        <v>181</v>
      </c>
      <c r="HC6" s="1" t="s">
        <v>181</v>
      </c>
      <c r="HE6" s="1" t="s">
        <v>195</v>
      </c>
      <c r="HF6" s="1" t="s">
        <v>187</v>
      </c>
      <c r="HL6" s="1" t="s">
        <v>181</v>
      </c>
      <c r="HN6" s="1" t="s">
        <v>181</v>
      </c>
      <c r="HQ6" s="1" t="s">
        <v>187</v>
      </c>
      <c r="HU6" s="1" t="s">
        <v>181</v>
      </c>
      <c r="HW6" s="1" t="s">
        <v>181</v>
      </c>
      <c r="HZ6" s="1" t="s">
        <v>181</v>
      </c>
      <c r="ID6" s="1" t="s">
        <v>180</v>
      </c>
      <c r="IE6" s="1" t="s">
        <v>181</v>
      </c>
      <c r="IG6" s="1" t="s">
        <v>181</v>
      </c>
      <c r="IH6" s="1" t="s">
        <v>195</v>
      </c>
      <c r="IJ6" s="1" t="s">
        <v>181</v>
      </c>
      <c r="IN6" s="1" t="s">
        <v>181</v>
      </c>
      <c r="IP6" s="1" t="s">
        <v>181</v>
      </c>
      <c r="IQ6" s="1" t="s">
        <v>187</v>
      </c>
      <c r="IT6" s="1" t="s">
        <v>181</v>
      </c>
      <c r="JK6" s="1" t="s">
        <v>181</v>
      </c>
      <c r="JP6" s="1" t="s">
        <v>187</v>
      </c>
      <c r="JT6" s="1" t="s">
        <v>195</v>
      </c>
      <c r="JV6" s="1" t="s">
        <v>181</v>
      </c>
      <c r="KC6" s="1" t="s">
        <v>181</v>
      </c>
      <c r="KI6" s="1" t="s">
        <v>181</v>
      </c>
      <c r="KO6" s="1" t="s">
        <v>181</v>
      </c>
      <c r="KR6" s="1" t="s">
        <v>187</v>
      </c>
      <c r="KU6" s="1" t="s">
        <v>195</v>
      </c>
      <c r="MK6" s="1" t="s">
        <v>739</v>
      </c>
      <c r="ML6" s="1" t="s">
        <v>739</v>
      </c>
      <c r="MT6" s="1" t="s">
        <v>66</v>
      </c>
      <c r="MY6" s="1" t="s">
        <v>69</v>
      </c>
      <c r="NN6" s="1" t="s">
        <v>739</v>
      </c>
      <c r="NP6" s="1" t="s">
        <v>181</v>
      </c>
      <c r="NQ6" s="1" t="s">
        <v>739</v>
      </c>
      <c r="NY6" s="1" t="s">
        <v>181</v>
      </c>
      <c r="OC6" s="1" t="s">
        <v>437</v>
      </c>
      <c r="OE6" s="1" t="s">
        <v>181</v>
      </c>
      <c r="OF6" s="1" t="s">
        <v>712</v>
      </c>
      <c r="OG6" s="1" t="s">
        <v>181</v>
      </c>
      <c r="OI6" s="1" t="s">
        <v>712</v>
      </c>
      <c r="OK6" s="1" t="s">
        <v>181</v>
      </c>
      <c r="OL6" s="1" t="s">
        <v>712</v>
      </c>
      <c r="ON6" s="1" t="s">
        <v>712</v>
      </c>
      <c r="OO6" s="1" t="s">
        <v>739</v>
      </c>
      <c r="OR6" s="1" t="s">
        <v>739</v>
      </c>
      <c r="OT6" s="1" t="s">
        <v>181</v>
      </c>
      <c r="OU6" s="1" t="s">
        <v>739</v>
      </c>
      <c r="OW6" s="1" t="s">
        <v>187</v>
      </c>
      <c r="PC6" s="1" t="s">
        <v>181</v>
      </c>
      <c r="PE6" s="1" t="s">
        <v>181</v>
      </c>
      <c r="PJ6" s="1" t="s">
        <v>739</v>
      </c>
      <c r="PK6" s="1" t="s">
        <v>181</v>
      </c>
      <c r="PM6" s="1" t="s">
        <v>739</v>
      </c>
      <c r="PN6" s="1" t="s">
        <v>181</v>
      </c>
      <c r="PO6" s="1" t="s">
        <v>181</v>
      </c>
      <c r="PR6" s="1" t="s">
        <v>181</v>
      </c>
      <c r="PT6" s="1" t="s">
        <v>739</v>
      </c>
      <c r="PX6" s="1" t="s">
        <v>181</v>
      </c>
      <c r="PY6" s="1" t="s">
        <v>187</v>
      </c>
      <c r="QB6" s="1" t="s">
        <v>181</v>
      </c>
      <c r="QE6" s="1" t="s">
        <v>181</v>
      </c>
      <c r="QG6" s="1" t="s">
        <v>181</v>
      </c>
      <c r="QH6" s="1" t="s">
        <v>181</v>
      </c>
      <c r="QJ6" s="1" t="s">
        <v>195</v>
      </c>
      <c r="QL6" s="1" t="s">
        <v>739</v>
      </c>
      <c r="QM6" s="1" t="s">
        <v>181</v>
      </c>
      <c r="QN6" s="1" t="s">
        <v>187</v>
      </c>
      <c r="QQ6" s="1" t="s">
        <v>181</v>
      </c>
      <c r="QT6" s="1" t="s">
        <v>181</v>
      </c>
      <c r="QV6" s="1" t="s">
        <v>181</v>
      </c>
      <c r="QX6" s="1" t="s">
        <v>437</v>
      </c>
      <c r="QY6" s="1" t="s">
        <v>181</v>
      </c>
      <c r="RA6" s="1" t="s">
        <v>181</v>
      </c>
      <c r="RB6" s="1" t="s">
        <v>187</v>
      </c>
      <c r="RC6" s="1" t="s">
        <v>195</v>
      </c>
      <c r="RJ6" s="1" t="s">
        <v>437</v>
      </c>
      <c r="RR6" s="1" t="s">
        <v>437</v>
      </c>
      <c r="RW6" s="1" t="s">
        <v>437</v>
      </c>
      <c r="RX6" s="1" t="s">
        <v>730</v>
      </c>
      <c r="RY6" s="1" t="s">
        <v>730</v>
      </c>
      <c r="RZ6" s="1" t="s">
        <v>730</v>
      </c>
      <c r="SD6" s="1" t="s">
        <v>437</v>
      </c>
      <c r="SG6" s="1" t="s">
        <v>739</v>
      </c>
      <c r="SK6" s="1" t="s">
        <v>739</v>
      </c>
      <c r="SL6" s="1" t="s">
        <v>739</v>
      </c>
      <c r="SO6" s="1" t="s">
        <v>739</v>
      </c>
      <c r="SP6" s="1" t="s">
        <v>739</v>
      </c>
      <c r="SS6" s="1" t="s">
        <v>739</v>
      </c>
      <c r="ST6" s="1" t="s">
        <v>739</v>
      </c>
      <c r="SU6" s="1" t="s">
        <v>739</v>
      </c>
      <c r="TE6" s="1" t="s">
        <v>703</v>
      </c>
      <c r="UO6" s="1" t="s">
        <v>739</v>
      </c>
      <c r="UP6" s="1" t="s">
        <v>739</v>
      </c>
      <c r="UQ6" s="1" t="s">
        <v>739</v>
      </c>
      <c r="UR6" s="1" t="s">
        <v>739</v>
      </c>
      <c r="US6" s="1" t="s">
        <v>437</v>
      </c>
      <c r="UT6" s="1" t="s">
        <v>437</v>
      </c>
      <c r="UU6" s="1" t="s">
        <v>437</v>
      </c>
      <c r="UV6" s="1" t="s">
        <v>437</v>
      </c>
    </row>
    <row r="7" spans="1:568" x14ac:dyDescent="0.25">
      <c r="E7" s="1" t="s">
        <v>739</v>
      </c>
      <c r="G7" t="s">
        <v>319</v>
      </c>
      <c r="H7" s="1" t="s">
        <v>70</v>
      </c>
      <c r="J7" s="1" t="s">
        <v>182</v>
      </c>
      <c r="O7" s="1" t="s">
        <v>182</v>
      </c>
      <c r="Q7" s="1" t="s">
        <v>182</v>
      </c>
      <c r="V7" s="1" t="s">
        <v>182</v>
      </c>
      <c r="W7" s="1" t="s">
        <v>182</v>
      </c>
      <c r="X7" s="1" t="s">
        <v>182</v>
      </c>
      <c r="Y7" s="1" t="s">
        <v>182</v>
      </c>
      <c r="Z7" s="1" t="s">
        <v>188</v>
      </c>
      <c r="AC7" s="1" t="s">
        <v>182</v>
      </c>
      <c r="AE7" s="1" t="s">
        <v>182</v>
      </c>
      <c r="AF7" s="1" t="s">
        <v>182</v>
      </c>
      <c r="AN7" s="1" t="s">
        <v>182</v>
      </c>
      <c r="AO7" s="1" t="s">
        <v>182</v>
      </c>
      <c r="AT7" s="1" t="s">
        <v>182</v>
      </c>
      <c r="AW7" s="1" t="s">
        <v>188</v>
      </c>
      <c r="BC7" s="1" t="s">
        <v>182</v>
      </c>
      <c r="BH7" s="1" t="s">
        <v>182</v>
      </c>
      <c r="BL7" s="1" t="s">
        <v>182</v>
      </c>
      <c r="BP7" s="1" t="s">
        <v>182</v>
      </c>
      <c r="BS7" t="s">
        <v>347</v>
      </c>
      <c r="CA7" s="1" t="s">
        <v>182</v>
      </c>
      <c r="CH7" s="1" t="s">
        <v>188</v>
      </c>
      <c r="CV7" s="1" t="s">
        <v>182</v>
      </c>
      <c r="DD7" s="1" t="s">
        <v>182</v>
      </c>
      <c r="DG7" s="1" t="s">
        <v>182</v>
      </c>
      <c r="DM7" s="1" t="s">
        <v>182</v>
      </c>
      <c r="DP7" s="1" t="s">
        <v>182</v>
      </c>
      <c r="DS7" s="1" t="s">
        <v>188</v>
      </c>
      <c r="DX7" t="s">
        <v>361</v>
      </c>
      <c r="EA7" t="s">
        <v>241</v>
      </c>
      <c r="EB7" s="1" t="s">
        <v>70</v>
      </c>
      <c r="EK7" s="1" t="s">
        <v>182</v>
      </c>
      <c r="EO7" s="1" t="s">
        <v>182</v>
      </c>
      <c r="EV7" s="1" t="s">
        <v>182</v>
      </c>
      <c r="EW7" t="s">
        <v>200</v>
      </c>
      <c r="EX7" s="1" t="s">
        <v>70</v>
      </c>
      <c r="EZ7" s="1" t="s">
        <v>182</v>
      </c>
      <c r="FB7" s="1" t="s">
        <v>182</v>
      </c>
      <c r="FF7" s="1" t="s">
        <v>182</v>
      </c>
      <c r="FH7" s="1" t="s">
        <v>182</v>
      </c>
      <c r="FI7" s="1" t="s">
        <v>188</v>
      </c>
      <c r="FL7" s="1" t="s">
        <v>182</v>
      </c>
      <c r="FO7" s="1" t="s">
        <v>182</v>
      </c>
      <c r="FR7" s="1" t="s">
        <v>182</v>
      </c>
      <c r="FV7" s="1" t="s">
        <v>182</v>
      </c>
      <c r="FW7" s="1" t="s">
        <v>182</v>
      </c>
      <c r="FZ7" s="1" t="s">
        <v>182</v>
      </c>
      <c r="GA7" s="1" t="s">
        <v>182</v>
      </c>
      <c r="GD7" s="1" t="s">
        <v>182</v>
      </c>
      <c r="GF7" s="1" t="s">
        <v>182</v>
      </c>
      <c r="GI7" s="1" t="s">
        <v>188</v>
      </c>
      <c r="GJ7" s="1" t="s">
        <v>182</v>
      </c>
      <c r="GL7" s="1" t="s">
        <v>182</v>
      </c>
      <c r="GM7" s="1" t="s">
        <v>188</v>
      </c>
      <c r="GR7" s="1" t="s">
        <v>182</v>
      </c>
      <c r="GU7" s="1" t="s">
        <v>182</v>
      </c>
      <c r="GW7" s="1" t="s">
        <v>182</v>
      </c>
      <c r="GX7" s="1" t="s">
        <v>182</v>
      </c>
      <c r="GY7" s="1" t="s">
        <v>182</v>
      </c>
      <c r="GZ7" s="1" t="s">
        <v>182</v>
      </c>
      <c r="HB7" s="1" t="s">
        <v>182</v>
      </c>
      <c r="HC7" s="1" t="s">
        <v>182</v>
      </c>
      <c r="HE7" t="s">
        <v>291</v>
      </c>
      <c r="HF7" s="1" t="s">
        <v>188</v>
      </c>
      <c r="HL7" s="1" t="s">
        <v>182</v>
      </c>
      <c r="HN7" s="1" t="s">
        <v>182</v>
      </c>
      <c r="HQ7" s="1" t="s">
        <v>188</v>
      </c>
      <c r="HU7" s="1" t="s">
        <v>182</v>
      </c>
      <c r="HW7" s="1" t="s">
        <v>182</v>
      </c>
      <c r="HZ7" s="1" t="s">
        <v>182</v>
      </c>
      <c r="ID7" s="1" t="s">
        <v>181</v>
      </c>
      <c r="IE7" s="1" t="s">
        <v>182</v>
      </c>
      <c r="IG7" s="1" t="s">
        <v>182</v>
      </c>
      <c r="IH7" t="s">
        <v>226</v>
      </c>
      <c r="IJ7" s="1" t="s">
        <v>182</v>
      </c>
      <c r="IN7" s="1" t="s">
        <v>182</v>
      </c>
      <c r="IP7" s="1" t="s">
        <v>182</v>
      </c>
      <c r="IQ7" s="1" t="s">
        <v>188</v>
      </c>
      <c r="IT7" s="1" t="s">
        <v>182</v>
      </c>
      <c r="JK7" s="1" t="s">
        <v>182</v>
      </c>
      <c r="JP7" s="1" t="s">
        <v>188</v>
      </c>
      <c r="JT7" t="s">
        <v>305</v>
      </c>
      <c r="JV7" s="1" t="s">
        <v>182</v>
      </c>
      <c r="KC7" s="1" t="s">
        <v>182</v>
      </c>
      <c r="KI7" s="1" t="s">
        <v>182</v>
      </c>
      <c r="KO7" s="1" t="s">
        <v>182</v>
      </c>
      <c r="KR7" s="1" t="s">
        <v>188</v>
      </c>
      <c r="KU7" t="s">
        <v>240</v>
      </c>
      <c r="MK7" s="1" t="s">
        <v>87</v>
      </c>
      <c r="ML7" s="1" t="s">
        <v>87</v>
      </c>
      <c r="MT7" t="s">
        <v>373</v>
      </c>
      <c r="MY7" s="1" t="s">
        <v>70</v>
      </c>
      <c r="NN7" s="1" t="s">
        <v>87</v>
      </c>
      <c r="NP7" s="1" t="s">
        <v>182</v>
      </c>
      <c r="NQ7" s="1" t="s">
        <v>87</v>
      </c>
      <c r="NY7" s="1" t="s">
        <v>182</v>
      </c>
      <c r="OC7" s="1" t="s">
        <v>739</v>
      </c>
      <c r="OE7" s="1" t="s">
        <v>182</v>
      </c>
      <c r="OF7" s="1" t="s">
        <v>713</v>
      </c>
      <c r="OG7" s="1" t="s">
        <v>182</v>
      </c>
      <c r="OI7" s="1" t="s">
        <v>713</v>
      </c>
      <c r="OK7" s="1" t="s">
        <v>182</v>
      </c>
      <c r="OL7" s="1" t="s">
        <v>713</v>
      </c>
      <c r="ON7" s="1" t="s">
        <v>713</v>
      </c>
      <c r="OO7" s="1" t="s">
        <v>767</v>
      </c>
      <c r="OR7" s="1" t="s">
        <v>767</v>
      </c>
      <c r="OT7" s="1" t="s">
        <v>182</v>
      </c>
      <c r="OU7" s="1" t="s">
        <v>767</v>
      </c>
      <c r="OW7" s="1" t="s">
        <v>188</v>
      </c>
      <c r="PC7" s="1" t="s">
        <v>182</v>
      </c>
      <c r="PE7" s="1" t="s">
        <v>182</v>
      </c>
      <c r="PJ7" s="1" t="s">
        <v>87</v>
      </c>
      <c r="PK7" s="1" t="s">
        <v>182</v>
      </c>
      <c r="PM7" s="1" t="s">
        <v>87</v>
      </c>
      <c r="PN7" s="1" t="s">
        <v>182</v>
      </c>
      <c r="PO7" s="1" t="s">
        <v>182</v>
      </c>
      <c r="PR7" s="1" t="s">
        <v>182</v>
      </c>
      <c r="PT7" s="1" t="s">
        <v>87</v>
      </c>
      <c r="PX7" s="1" t="s">
        <v>182</v>
      </c>
      <c r="PY7" s="1" t="s">
        <v>188</v>
      </c>
      <c r="QB7" s="1" t="s">
        <v>182</v>
      </c>
      <c r="QE7" s="1" t="s">
        <v>182</v>
      </c>
      <c r="QG7" s="1" t="s">
        <v>182</v>
      </c>
      <c r="QH7" s="1" t="s">
        <v>182</v>
      </c>
      <c r="QJ7" t="s">
        <v>422</v>
      </c>
      <c r="QL7" s="1" t="s">
        <v>87</v>
      </c>
      <c r="QM7" s="1" t="s">
        <v>182</v>
      </c>
      <c r="QN7" s="1" t="s">
        <v>188</v>
      </c>
      <c r="QQ7" s="1" t="s">
        <v>182</v>
      </c>
      <c r="QT7" s="1" t="s">
        <v>182</v>
      </c>
      <c r="QV7" s="1" t="s">
        <v>182</v>
      </c>
      <c r="QX7" s="1" t="s">
        <v>739</v>
      </c>
      <c r="QY7" s="1" t="s">
        <v>182</v>
      </c>
      <c r="RA7" s="1" t="s">
        <v>182</v>
      </c>
      <c r="RB7" s="1" t="s">
        <v>188</v>
      </c>
      <c r="RC7" t="s">
        <v>436</v>
      </c>
      <c r="RJ7" s="1" t="s">
        <v>739</v>
      </c>
      <c r="RR7" s="1" t="s">
        <v>739</v>
      </c>
      <c r="RW7" s="1" t="s">
        <v>739</v>
      </c>
      <c r="RX7" s="1" t="s">
        <v>707</v>
      </c>
      <c r="RY7" s="1" t="s">
        <v>707</v>
      </c>
      <c r="RZ7" s="1" t="s">
        <v>707</v>
      </c>
      <c r="SD7" s="1" t="s">
        <v>739</v>
      </c>
      <c r="SG7" s="1" t="s">
        <v>146</v>
      </c>
      <c r="SK7" s="1" t="s">
        <v>146</v>
      </c>
      <c r="SL7" s="1" t="s">
        <v>146</v>
      </c>
      <c r="SO7" s="1" t="s">
        <v>146</v>
      </c>
      <c r="SP7" s="1" t="s">
        <v>146</v>
      </c>
      <c r="SS7" s="1" t="s">
        <v>146</v>
      </c>
      <c r="ST7" s="1" t="s">
        <v>146</v>
      </c>
      <c r="SU7" s="1" t="s">
        <v>146</v>
      </c>
      <c r="TE7" s="1" t="s">
        <v>708</v>
      </c>
      <c r="UO7" s="1" t="s">
        <v>767</v>
      </c>
      <c r="UP7" s="1" t="s">
        <v>767</v>
      </c>
      <c r="UQ7" s="1" t="s">
        <v>767</v>
      </c>
      <c r="UR7" s="1" t="s">
        <v>767</v>
      </c>
      <c r="US7" s="1" t="s">
        <v>739</v>
      </c>
      <c r="UT7" s="1" t="s">
        <v>739</v>
      </c>
      <c r="UU7" s="1" t="s">
        <v>739</v>
      </c>
      <c r="UV7" s="1" t="s">
        <v>739</v>
      </c>
    </row>
    <row r="8" spans="1:568" x14ac:dyDescent="0.25">
      <c r="E8" s="1" t="s">
        <v>146</v>
      </c>
      <c r="H8" s="1" t="s">
        <v>71</v>
      </c>
      <c r="J8" s="1" t="s">
        <v>87</v>
      </c>
      <c r="O8" s="1" t="s">
        <v>87</v>
      </c>
      <c r="Q8" s="1" t="s">
        <v>87</v>
      </c>
      <c r="V8" s="1" t="s">
        <v>87</v>
      </c>
      <c r="W8" s="1" t="s">
        <v>87</v>
      </c>
      <c r="X8" s="1" t="s">
        <v>87</v>
      </c>
      <c r="Y8" s="1" t="s">
        <v>87</v>
      </c>
      <c r="Z8" s="1" t="s">
        <v>189</v>
      </c>
      <c r="AC8" s="1" t="s">
        <v>87</v>
      </c>
      <c r="AE8" s="1" t="s">
        <v>87</v>
      </c>
      <c r="AF8" s="1" t="s">
        <v>87</v>
      </c>
      <c r="AN8" s="1" t="s">
        <v>87</v>
      </c>
      <c r="AO8" s="1" t="s">
        <v>87</v>
      </c>
      <c r="AT8" s="1" t="s">
        <v>87</v>
      </c>
      <c r="AW8" s="1" t="s">
        <v>189</v>
      </c>
      <c r="BC8" s="1" t="s">
        <v>87</v>
      </c>
      <c r="BH8" s="1" t="s">
        <v>87</v>
      </c>
      <c r="BL8" s="1" t="s">
        <v>87</v>
      </c>
      <c r="BP8" s="1" t="s">
        <v>87</v>
      </c>
      <c r="CA8" s="1" t="s">
        <v>87</v>
      </c>
      <c r="CH8" s="1" t="s">
        <v>189</v>
      </c>
      <c r="CV8" s="1" t="s">
        <v>87</v>
      </c>
      <c r="DD8" s="1" t="s">
        <v>87</v>
      </c>
      <c r="DG8" s="1" t="s">
        <v>87</v>
      </c>
      <c r="DM8" s="1" t="s">
        <v>87</v>
      </c>
      <c r="DP8" s="1" t="s">
        <v>87</v>
      </c>
      <c r="DS8" s="1" t="s">
        <v>189</v>
      </c>
      <c r="EB8" s="1" t="s">
        <v>71</v>
      </c>
      <c r="EK8" s="1" t="s">
        <v>87</v>
      </c>
      <c r="EO8" s="1" t="s">
        <v>87</v>
      </c>
      <c r="EV8" s="1" t="s">
        <v>87</v>
      </c>
      <c r="EX8" s="1" t="s">
        <v>71</v>
      </c>
      <c r="EZ8" s="1" t="s">
        <v>87</v>
      </c>
      <c r="FB8" s="1" t="s">
        <v>87</v>
      </c>
      <c r="FF8" s="1" t="s">
        <v>87</v>
      </c>
      <c r="FH8" s="1" t="s">
        <v>87</v>
      </c>
      <c r="FI8" s="1" t="s">
        <v>189</v>
      </c>
      <c r="FL8" s="1" t="s">
        <v>87</v>
      </c>
      <c r="FO8" s="1" t="s">
        <v>87</v>
      </c>
      <c r="FR8" s="1" t="s">
        <v>87</v>
      </c>
      <c r="FV8" s="1" t="s">
        <v>87</v>
      </c>
      <c r="FW8" s="1" t="s">
        <v>87</v>
      </c>
      <c r="FZ8" s="1" t="s">
        <v>87</v>
      </c>
      <c r="GA8" s="1" t="s">
        <v>87</v>
      </c>
      <c r="GD8" s="1" t="s">
        <v>87</v>
      </c>
      <c r="GF8" s="1" t="s">
        <v>87</v>
      </c>
      <c r="GI8" s="1" t="s">
        <v>189</v>
      </c>
      <c r="GJ8" s="1" t="s">
        <v>87</v>
      </c>
      <c r="GL8" s="1" t="s">
        <v>87</v>
      </c>
      <c r="GM8" s="1" t="s">
        <v>189</v>
      </c>
      <c r="GR8" s="1" t="s">
        <v>87</v>
      </c>
      <c r="GU8" s="1" t="s">
        <v>87</v>
      </c>
      <c r="GW8" s="1" t="s">
        <v>87</v>
      </c>
      <c r="GX8" s="1" t="s">
        <v>87</v>
      </c>
      <c r="GY8" s="1" t="s">
        <v>87</v>
      </c>
      <c r="GZ8" s="1" t="s">
        <v>87</v>
      </c>
      <c r="HB8" s="1" t="s">
        <v>87</v>
      </c>
      <c r="HC8" s="1" t="s">
        <v>87</v>
      </c>
      <c r="HF8" s="1" t="s">
        <v>189</v>
      </c>
      <c r="HL8" s="1" t="s">
        <v>87</v>
      </c>
      <c r="HN8" s="1" t="s">
        <v>87</v>
      </c>
      <c r="HQ8" s="1" t="s">
        <v>189</v>
      </c>
      <c r="HU8" s="1" t="s">
        <v>87</v>
      </c>
      <c r="HW8" s="1" t="s">
        <v>87</v>
      </c>
      <c r="HZ8" s="1" t="s">
        <v>87</v>
      </c>
      <c r="ID8" s="1" t="s">
        <v>182</v>
      </c>
      <c r="IE8" s="1" t="s">
        <v>87</v>
      </c>
      <c r="IG8" s="1" t="s">
        <v>87</v>
      </c>
      <c r="IJ8" s="1" t="s">
        <v>87</v>
      </c>
      <c r="IN8" s="1" t="s">
        <v>87</v>
      </c>
      <c r="IP8" s="1" t="s">
        <v>87</v>
      </c>
      <c r="IQ8" s="1" t="s">
        <v>189</v>
      </c>
      <c r="IT8" s="1" t="s">
        <v>87</v>
      </c>
      <c r="JK8" s="1" t="s">
        <v>87</v>
      </c>
      <c r="JP8" s="1" t="s">
        <v>189</v>
      </c>
      <c r="JV8" s="1" t="s">
        <v>87</v>
      </c>
      <c r="KC8" s="1" t="s">
        <v>87</v>
      </c>
      <c r="KI8" s="1" t="s">
        <v>87</v>
      </c>
      <c r="KO8" s="1" t="s">
        <v>87</v>
      </c>
      <c r="KR8" s="1" t="s">
        <v>189</v>
      </c>
      <c r="MK8" s="1" t="s">
        <v>146</v>
      </c>
      <c r="ML8" s="1" t="s">
        <v>146</v>
      </c>
      <c r="MY8" s="1" t="s">
        <v>71</v>
      </c>
      <c r="NN8" s="1" t="s">
        <v>146</v>
      </c>
      <c r="NP8" s="1" t="s">
        <v>87</v>
      </c>
      <c r="NQ8" s="1" t="s">
        <v>146</v>
      </c>
      <c r="NY8" s="1" t="s">
        <v>87</v>
      </c>
      <c r="OC8" s="1" t="s">
        <v>87</v>
      </c>
      <c r="OE8" s="1" t="s">
        <v>87</v>
      </c>
      <c r="OF8" s="1" t="s">
        <v>311</v>
      </c>
      <c r="OG8" s="1" t="s">
        <v>87</v>
      </c>
      <c r="OI8" s="1" t="s">
        <v>311</v>
      </c>
      <c r="OK8" s="1" t="s">
        <v>87</v>
      </c>
      <c r="OL8" s="1" t="s">
        <v>311</v>
      </c>
      <c r="ON8" s="1" t="s">
        <v>311</v>
      </c>
      <c r="OO8" s="1" t="s">
        <v>87</v>
      </c>
      <c r="OR8" s="1" t="s">
        <v>87</v>
      </c>
      <c r="OT8" s="1" t="s">
        <v>87</v>
      </c>
      <c r="OU8" s="1" t="s">
        <v>87</v>
      </c>
      <c r="OW8" s="1" t="s">
        <v>189</v>
      </c>
      <c r="PC8" s="1" t="s">
        <v>87</v>
      </c>
      <c r="PE8" s="1" t="s">
        <v>87</v>
      </c>
      <c r="PJ8" s="1" t="s">
        <v>146</v>
      </c>
      <c r="PK8" s="1" t="s">
        <v>87</v>
      </c>
      <c r="PM8" s="1" t="s">
        <v>146</v>
      </c>
      <c r="PN8" s="1" t="s">
        <v>87</v>
      </c>
      <c r="PO8" s="1" t="s">
        <v>87</v>
      </c>
      <c r="PR8" s="1" t="s">
        <v>87</v>
      </c>
      <c r="PT8" s="1" t="s">
        <v>146</v>
      </c>
      <c r="PX8" s="1" t="s">
        <v>87</v>
      </c>
      <c r="PY8" s="1" t="s">
        <v>189</v>
      </c>
      <c r="QB8" s="1" t="s">
        <v>87</v>
      </c>
      <c r="QE8" s="1" t="s">
        <v>87</v>
      </c>
      <c r="QG8" s="1" t="s">
        <v>87</v>
      </c>
      <c r="QH8" s="1" t="s">
        <v>87</v>
      </c>
      <c r="QL8" s="1" t="s">
        <v>146</v>
      </c>
      <c r="QM8" s="1" t="s">
        <v>87</v>
      </c>
      <c r="QN8" s="1" t="s">
        <v>189</v>
      </c>
      <c r="QQ8" s="1" t="s">
        <v>87</v>
      </c>
      <c r="QT8" s="1" t="s">
        <v>87</v>
      </c>
      <c r="QV8" s="1" t="s">
        <v>87</v>
      </c>
      <c r="QX8" s="1" t="s">
        <v>767</v>
      </c>
      <c r="QY8" s="1" t="s">
        <v>87</v>
      </c>
      <c r="RA8" s="1" t="s">
        <v>87</v>
      </c>
      <c r="RB8" s="1" t="s">
        <v>189</v>
      </c>
      <c r="RJ8" s="1" t="s">
        <v>87</v>
      </c>
      <c r="RR8" s="1" t="s">
        <v>87</v>
      </c>
      <c r="RW8" s="1" t="s">
        <v>767</v>
      </c>
      <c r="RX8" s="1" t="s">
        <v>731</v>
      </c>
      <c r="RY8" s="1" t="s">
        <v>731</v>
      </c>
      <c r="RZ8" s="1" t="s">
        <v>731</v>
      </c>
      <c r="SD8" s="1" t="s">
        <v>767</v>
      </c>
      <c r="SG8" s="1" t="s">
        <v>82</v>
      </c>
      <c r="SK8" s="1" t="s">
        <v>82</v>
      </c>
      <c r="SL8" s="1" t="s">
        <v>82</v>
      </c>
      <c r="SO8" s="1" t="s">
        <v>82</v>
      </c>
      <c r="SP8" s="1" t="s">
        <v>82</v>
      </c>
      <c r="SS8" s="1" t="s">
        <v>82</v>
      </c>
      <c r="ST8" s="1" t="s">
        <v>82</v>
      </c>
      <c r="SU8" s="1" t="s">
        <v>82</v>
      </c>
      <c r="TE8" s="1" t="s">
        <v>705</v>
      </c>
      <c r="UO8" s="1" t="s">
        <v>146</v>
      </c>
      <c r="UP8" s="1" t="s">
        <v>146</v>
      </c>
      <c r="UQ8" s="1" t="s">
        <v>146</v>
      </c>
      <c r="UR8" s="1" t="s">
        <v>146</v>
      </c>
      <c r="US8" s="1" t="s">
        <v>146</v>
      </c>
      <c r="UT8" s="1" t="s">
        <v>767</v>
      </c>
      <c r="UU8" s="1" t="s">
        <v>146</v>
      </c>
      <c r="UV8" s="1" t="s">
        <v>146</v>
      </c>
    </row>
    <row r="9" spans="1:568" x14ac:dyDescent="0.25">
      <c r="E9" s="1" t="s">
        <v>82</v>
      </c>
      <c r="H9" s="1" t="s">
        <v>72</v>
      </c>
      <c r="J9" s="1" t="s">
        <v>146</v>
      </c>
      <c r="O9" s="1" t="s">
        <v>146</v>
      </c>
      <c r="Q9" s="1" t="s">
        <v>146</v>
      </c>
      <c r="V9" s="1" t="s">
        <v>146</v>
      </c>
      <c r="W9" s="1" t="s">
        <v>146</v>
      </c>
      <c r="X9" s="1" t="s">
        <v>146</v>
      </c>
      <c r="Y9" s="1" t="s">
        <v>146</v>
      </c>
      <c r="Z9" t="s">
        <v>331</v>
      </c>
      <c r="AC9" s="1" t="s">
        <v>146</v>
      </c>
      <c r="AE9" s="1" t="s">
        <v>146</v>
      </c>
      <c r="AF9" s="1" t="s">
        <v>146</v>
      </c>
      <c r="AN9" s="1" t="s">
        <v>146</v>
      </c>
      <c r="AO9" s="1" t="s">
        <v>146</v>
      </c>
      <c r="AT9" s="1" t="s">
        <v>146</v>
      </c>
      <c r="AW9" t="s">
        <v>340</v>
      </c>
      <c r="BC9" s="1" t="s">
        <v>146</v>
      </c>
      <c r="BH9" s="1" t="s">
        <v>146</v>
      </c>
      <c r="BL9" s="1" t="s">
        <v>146</v>
      </c>
      <c r="BP9" s="1" t="s">
        <v>146</v>
      </c>
      <c r="CA9" s="1" t="s">
        <v>146</v>
      </c>
      <c r="CH9" t="s">
        <v>350</v>
      </c>
      <c r="CV9" s="1" t="s">
        <v>146</v>
      </c>
      <c r="DD9" s="1" t="s">
        <v>146</v>
      </c>
      <c r="DG9" s="1" t="s">
        <v>146</v>
      </c>
      <c r="DM9" s="1" t="s">
        <v>146</v>
      </c>
      <c r="DP9" s="1" t="s">
        <v>146</v>
      </c>
      <c r="DS9" t="s">
        <v>360</v>
      </c>
      <c r="EB9" s="1" t="s">
        <v>72</v>
      </c>
      <c r="EK9" s="1" t="s">
        <v>146</v>
      </c>
      <c r="EO9" s="1" t="s">
        <v>146</v>
      </c>
      <c r="EV9" s="1" t="s">
        <v>146</v>
      </c>
      <c r="EX9" s="1" t="s">
        <v>72</v>
      </c>
      <c r="EZ9" s="1" t="s">
        <v>146</v>
      </c>
      <c r="FB9" s="1" t="s">
        <v>146</v>
      </c>
      <c r="FF9" s="1" t="s">
        <v>146</v>
      </c>
      <c r="FH9" s="1" t="s">
        <v>146</v>
      </c>
      <c r="FI9" t="s">
        <v>275</v>
      </c>
      <c r="FL9" s="1" t="s">
        <v>146</v>
      </c>
      <c r="FO9" s="1" t="s">
        <v>146</v>
      </c>
      <c r="FR9" s="1" t="s">
        <v>146</v>
      </c>
      <c r="FV9" s="1" t="s">
        <v>146</v>
      </c>
      <c r="FW9" s="1" t="s">
        <v>146</v>
      </c>
      <c r="FZ9" s="1" t="s">
        <v>146</v>
      </c>
      <c r="GA9" s="1" t="s">
        <v>146</v>
      </c>
      <c r="GD9" s="1" t="s">
        <v>146</v>
      </c>
      <c r="GF9" s="1" t="s">
        <v>146</v>
      </c>
      <c r="GI9" t="s">
        <v>210</v>
      </c>
      <c r="GJ9" s="1" t="s">
        <v>146</v>
      </c>
      <c r="GL9" s="1" t="s">
        <v>146</v>
      </c>
      <c r="GM9" t="s">
        <v>284</v>
      </c>
      <c r="GR9" s="1" t="s">
        <v>146</v>
      </c>
      <c r="GU9" s="1" t="s">
        <v>146</v>
      </c>
      <c r="GW9" s="1" t="s">
        <v>146</v>
      </c>
      <c r="GX9" s="1" t="s">
        <v>146</v>
      </c>
      <c r="GY9" s="1" t="s">
        <v>146</v>
      </c>
      <c r="GZ9" s="1" t="s">
        <v>146</v>
      </c>
      <c r="HB9" s="1" t="s">
        <v>146</v>
      </c>
      <c r="HC9" s="1" t="s">
        <v>146</v>
      </c>
      <c r="HF9" t="s">
        <v>219</v>
      </c>
      <c r="HL9" s="1" t="s">
        <v>146</v>
      </c>
      <c r="HN9" s="1" t="s">
        <v>146</v>
      </c>
      <c r="HQ9" t="s">
        <v>294</v>
      </c>
      <c r="HU9" s="1" t="s">
        <v>146</v>
      </c>
      <c r="HW9" s="1" t="s">
        <v>146</v>
      </c>
      <c r="HZ9" s="1" t="s">
        <v>146</v>
      </c>
      <c r="ID9" s="1" t="s">
        <v>87</v>
      </c>
      <c r="IE9" s="1" t="s">
        <v>146</v>
      </c>
      <c r="IG9" s="1" t="s">
        <v>146</v>
      </c>
      <c r="IJ9" s="1" t="s">
        <v>146</v>
      </c>
      <c r="IN9" s="1" t="s">
        <v>146</v>
      </c>
      <c r="IP9" s="1" t="s">
        <v>146</v>
      </c>
      <c r="IQ9" t="s">
        <v>229</v>
      </c>
      <c r="IT9" s="1" t="s">
        <v>146</v>
      </c>
      <c r="JK9" s="1" t="s">
        <v>146</v>
      </c>
      <c r="JP9" t="s">
        <v>304</v>
      </c>
      <c r="JV9" s="1" t="s">
        <v>146</v>
      </c>
      <c r="KC9" s="1" t="s">
        <v>146</v>
      </c>
      <c r="KI9" s="1" t="s">
        <v>146</v>
      </c>
      <c r="KO9" s="1" t="s">
        <v>146</v>
      </c>
      <c r="KR9" t="s">
        <v>239</v>
      </c>
      <c r="MK9" s="1" t="s">
        <v>82</v>
      </c>
      <c r="ML9" s="1" t="s">
        <v>82</v>
      </c>
      <c r="MY9" s="1" t="s">
        <v>72</v>
      </c>
      <c r="NN9" s="1" t="s">
        <v>82</v>
      </c>
      <c r="NP9" s="1" t="s">
        <v>146</v>
      </c>
      <c r="NQ9" s="1" t="s">
        <v>82</v>
      </c>
      <c r="NY9" s="1" t="s">
        <v>146</v>
      </c>
      <c r="OC9" s="1" t="s">
        <v>146</v>
      </c>
      <c r="OE9" s="1" t="s">
        <v>146</v>
      </c>
      <c r="OF9" s="1" t="s">
        <v>728</v>
      </c>
      <c r="OG9" s="1" t="s">
        <v>146</v>
      </c>
      <c r="OI9" s="1" t="s">
        <v>728</v>
      </c>
      <c r="OK9" s="1" t="s">
        <v>146</v>
      </c>
      <c r="OL9" s="1" t="s">
        <v>728</v>
      </c>
      <c r="ON9" s="1" t="s">
        <v>728</v>
      </c>
      <c r="OO9" s="1" t="s">
        <v>146</v>
      </c>
      <c r="OR9" s="1" t="s">
        <v>146</v>
      </c>
      <c r="OT9" s="1" t="s">
        <v>146</v>
      </c>
      <c r="OU9" s="1" t="s">
        <v>146</v>
      </c>
      <c r="OW9" t="s">
        <v>406</v>
      </c>
      <c r="PC9" s="1" t="s">
        <v>146</v>
      </c>
      <c r="PE9" s="1" t="s">
        <v>146</v>
      </c>
      <c r="PJ9" s="1" t="s">
        <v>82</v>
      </c>
      <c r="PK9" s="1" t="s">
        <v>146</v>
      </c>
      <c r="PM9" s="1" t="s">
        <v>82</v>
      </c>
      <c r="PN9" s="1" t="s">
        <v>146</v>
      </c>
      <c r="PO9" s="1" t="s">
        <v>146</v>
      </c>
      <c r="PR9" s="1" t="s">
        <v>146</v>
      </c>
      <c r="PT9" s="1" t="s">
        <v>82</v>
      </c>
      <c r="PX9" s="1" t="s">
        <v>146</v>
      </c>
      <c r="PY9" t="s">
        <v>415</v>
      </c>
      <c r="QB9" s="1" t="s">
        <v>146</v>
      </c>
      <c r="QE9" s="1" t="s">
        <v>146</v>
      </c>
      <c r="QG9" s="1" t="s">
        <v>146</v>
      </c>
      <c r="QH9" s="1" t="s">
        <v>146</v>
      </c>
      <c r="QL9" s="1" t="s">
        <v>82</v>
      </c>
      <c r="QM9" s="1" t="s">
        <v>146</v>
      </c>
      <c r="QN9" t="s">
        <v>425</v>
      </c>
      <c r="QQ9" s="1" t="s">
        <v>146</v>
      </c>
      <c r="QT9" s="1" t="s">
        <v>146</v>
      </c>
      <c r="QV9" s="1" t="s">
        <v>146</v>
      </c>
      <c r="QX9" s="1" t="s">
        <v>87</v>
      </c>
      <c r="QY9" s="1" t="s">
        <v>146</v>
      </c>
      <c r="RA9" s="1" t="s">
        <v>146</v>
      </c>
      <c r="RB9" t="s">
        <v>435</v>
      </c>
      <c r="RJ9" s="1" t="s">
        <v>146</v>
      </c>
      <c r="RR9" s="1" t="s">
        <v>146</v>
      </c>
      <c r="RW9" s="1" t="s">
        <v>87</v>
      </c>
      <c r="RX9" s="1" t="s">
        <v>703</v>
      </c>
      <c r="RY9" s="1" t="s">
        <v>703</v>
      </c>
      <c r="RZ9" s="1" t="s">
        <v>703</v>
      </c>
      <c r="SD9" s="1" t="s">
        <v>87</v>
      </c>
      <c r="SG9" s="1" t="s">
        <v>90</v>
      </c>
      <c r="SK9" s="1" t="s">
        <v>90</v>
      </c>
      <c r="SL9" s="1" t="s">
        <v>90</v>
      </c>
      <c r="SO9" s="1" t="s">
        <v>90</v>
      </c>
      <c r="SP9" s="1" t="s">
        <v>90</v>
      </c>
      <c r="SS9" s="1" t="s">
        <v>90</v>
      </c>
      <c r="ST9" s="1" t="s">
        <v>737</v>
      </c>
      <c r="SU9" s="1" t="s">
        <v>737</v>
      </c>
      <c r="TE9" s="1" t="s">
        <v>700</v>
      </c>
      <c r="UO9" s="1" t="s">
        <v>82</v>
      </c>
      <c r="UP9" s="1" t="s">
        <v>82</v>
      </c>
      <c r="UQ9" s="1" t="s">
        <v>82</v>
      </c>
      <c r="UR9" s="1" t="s">
        <v>82</v>
      </c>
      <c r="US9" s="1" t="s">
        <v>82</v>
      </c>
      <c r="UT9" s="1" t="s">
        <v>146</v>
      </c>
      <c r="UU9" s="1" t="s">
        <v>82</v>
      </c>
      <c r="UV9" s="1" t="s">
        <v>82</v>
      </c>
    </row>
    <row r="10" spans="1:568" x14ac:dyDescent="0.25">
      <c r="E10" s="1" t="s">
        <v>90</v>
      </c>
      <c r="H10" s="1" t="s">
        <v>73</v>
      </c>
      <c r="J10" s="1" t="s">
        <v>82</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146</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737</v>
      </c>
      <c r="NP10" s="1" t="s">
        <v>82</v>
      </c>
      <c r="NQ10" s="1" t="s">
        <v>737</v>
      </c>
      <c r="NY10" s="1" t="s">
        <v>82</v>
      </c>
      <c r="OC10" s="1" t="s">
        <v>82</v>
      </c>
      <c r="OE10" s="1" t="s">
        <v>82</v>
      </c>
      <c r="OF10" s="1" t="s">
        <v>698</v>
      </c>
      <c r="OG10" s="1" t="s">
        <v>82</v>
      </c>
      <c r="OI10" s="1" t="s">
        <v>698</v>
      </c>
      <c r="OK10" s="1" t="s">
        <v>82</v>
      </c>
      <c r="OL10" s="1" t="s">
        <v>698</v>
      </c>
      <c r="ON10" s="1" t="s">
        <v>698</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146</v>
      </c>
      <c r="QY10" s="1" t="s">
        <v>82</v>
      </c>
      <c r="RA10" s="1" t="s">
        <v>82</v>
      </c>
      <c r="RJ10" s="1" t="s">
        <v>82</v>
      </c>
      <c r="RR10" s="1" t="s">
        <v>82</v>
      </c>
      <c r="RW10" s="1" t="s">
        <v>146</v>
      </c>
      <c r="RX10" s="1" t="s">
        <v>708</v>
      </c>
      <c r="RY10" s="1" t="s">
        <v>708</v>
      </c>
      <c r="RZ10" s="1" t="s">
        <v>708</v>
      </c>
      <c r="SD10" s="1" t="s">
        <v>146</v>
      </c>
      <c r="SG10" s="1" t="s">
        <v>91</v>
      </c>
      <c r="SK10" s="1" t="s">
        <v>91</v>
      </c>
      <c r="SL10" s="1" t="s">
        <v>91</v>
      </c>
      <c r="SO10" s="1" t="s">
        <v>91</v>
      </c>
      <c r="SP10" s="1" t="s">
        <v>91</v>
      </c>
      <c r="SS10" s="1" t="s">
        <v>91</v>
      </c>
      <c r="ST10" s="1" t="s">
        <v>90</v>
      </c>
      <c r="SU10" s="1" t="s">
        <v>90</v>
      </c>
      <c r="TE10" s="1" t="s">
        <v>715</v>
      </c>
      <c r="UO10" s="1" t="s">
        <v>737</v>
      </c>
      <c r="UP10" s="1" t="s">
        <v>90</v>
      </c>
      <c r="UQ10" s="1" t="s">
        <v>90</v>
      </c>
      <c r="UR10" s="1" t="s">
        <v>737</v>
      </c>
      <c r="US10" s="1" t="s">
        <v>90</v>
      </c>
      <c r="UT10" s="1" t="s">
        <v>82</v>
      </c>
      <c r="UU10" s="1" t="s">
        <v>737</v>
      </c>
      <c r="UV10" s="1" t="s">
        <v>737</v>
      </c>
    </row>
    <row r="11" spans="1:568" x14ac:dyDescent="0.25">
      <c r="E11" s="1" t="s">
        <v>91</v>
      </c>
      <c r="H11" s="1" t="s">
        <v>74</v>
      </c>
      <c r="J11" s="1" t="s">
        <v>90</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309</v>
      </c>
      <c r="OG11" s="1" t="s">
        <v>90</v>
      </c>
      <c r="OI11" s="1" t="s">
        <v>309</v>
      </c>
      <c r="OK11" s="1" t="s">
        <v>90</v>
      </c>
      <c r="OL11" s="1" t="s">
        <v>309</v>
      </c>
      <c r="ON11" s="1" t="s">
        <v>309</v>
      </c>
      <c r="OO11" s="1" t="s">
        <v>90</v>
      </c>
      <c r="OR11" s="1" t="s">
        <v>737</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737</v>
      </c>
      <c r="RW11" s="1" t="s">
        <v>82</v>
      </c>
      <c r="RX11" s="1" t="s">
        <v>732</v>
      </c>
      <c r="RY11" s="1" t="s">
        <v>732</v>
      </c>
      <c r="RZ11" s="1" t="s">
        <v>732</v>
      </c>
      <c r="SD11" s="1" t="s">
        <v>82</v>
      </c>
      <c r="SG11" s="1" t="s">
        <v>88</v>
      </c>
      <c r="SK11" s="1" t="s">
        <v>88</v>
      </c>
      <c r="SL11" s="1" t="s">
        <v>88</v>
      </c>
      <c r="SO11" s="1" t="s">
        <v>88</v>
      </c>
      <c r="SP11" s="1" t="s">
        <v>88</v>
      </c>
      <c r="SS11" s="1" t="s">
        <v>693</v>
      </c>
      <c r="ST11" s="1" t="s">
        <v>91</v>
      </c>
      <c r="SU11" s="1" t="s">
        <v>91</v>
      </c>
      <c r="TE11" s="1" t="s">
        <v>706</v>
      </c>
      <c r="UO11" s="1" t="s">
        <v>90</v>
      </c>
      <c r="UP11" s="1" t="s">
        <v>91</v>
      </c>
      <c r="UQ11" s="1" t="s">
        <v>91</v>
      </c>
      <c r="UR11" s="1" t="s">
        <v>90</v>
      </c>
      <c r="US11" s="1" t="s">
        <v>91</v>
      </c>
      <c r="UT11" s="1" t="s">
        <v>90</v>
      </c>
      <c r="UU11" s="1" t="s">
        <v>90</v>
      </c>
      <c r="UV11" s="1" t="s">
        <v>90</v>
      </c>
    </row>
    <row r="12" spans="1:568" x14ac:dyDescent="0.25">
      <c r="E12" s="1" t="s">
        <v>693</v>
      </c>
      <c r="H12" s="1" t="s">
        <v>75</v>
      </c>
      <c r="J12" s="1" t="s">
        <v>91</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697</v>
      </c>
      <c r="OG12" s="1" t="s">
        <v>91</v>
      </c>
      <c r="OI12" s="1" t="s">
        <v>697</v>
      </c>
      <c r="OK12" s="1" t="s">
        <v>91</v>
      </c>
      <c r="OL12" s="1" t="s">
        <v>697</v>
      </c>
      <c r="ON12" s="1" t="s">
        <v>697</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737</v>
      </c>
      <c r="RX12" s="1" t="s">
        <v>705</v>
      </c>
      <c r="RY12" s="1" t="s">
        <v>705</v>
      </c>
      <c r="RZ12" s="1" t="s">
        <v>705</v>
      </c>
      <c r="SD12" s="1" t="s">
        <v>90</v>
      </c>
      <c r="SG12" s="1" t="s">
        <v>97</v>
      </c>
      <c r="SK12" s="1" t="s">
        <v>97</v>
      </c>
      <c r="SL12" s="1" t="s">
        <v>97</v>
      </c>
      <c r="SO12" s="1" t="s">
        <v>97</v>
      </c>
      <c r="SP12" s="1" t="s">
        <v>97</v>
      </c>
      <c r="SS12" s="1" t="s">
        <v>88</v>
      </c>
      <c r="ST12" s="1" t="s">
        <v>88</v>
      </c>
      <c r="SU12" s="1" t="s">
        <v>693</v>
      </c>
      <c r="TE12" s="1" t="s">
        <v>716</v>
      </c>
      <c r="UO12" s="1" t="s">
        <v>91</v>
      </c>
      <c r="UP12" s="1" t="s">
        <v>88</v>
      </c>
      <c r="UQ12" s="1" t="s">
        <v>693</v>
      </c>
      <c r="UR12" s="1" t="s">
        <v>91</v>
      </c>
      <c r="US12" s="1" t="s">
        <v>88</v>
      </c>
      <c r="UT12" s="1" t="s">
        <v>91</v>
      </c>
      <c r="UU12" s="1" t="s">
        <v>91</v>
      </c>
      <c r="UV12" s="1" t="s">
        <v>91</v>
      </c>
    </row>
    <row r="13" spans="1:568" x14ac:dyDescent="0.25">
      <c r="E13" s="1" t="s">
        <v>88</v>
      </c>
      <c r="H13" s="1" t="s">
        <v>76</v>
      </c>
      <c r="J13" s="1" t="s">
        <v>92</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693</v>
      </c>
      <c r="MY13" s="1" t="s">
        <v>76</v>
      </c>
      <c r="NN13" s="1" t="s">
        <v>92</v>
      </c>
      <c r="NP13" s="1" t="s">
        <v>92</v>
      </c>
      <c r="NQ13" s="1" t="s">
        <v>92</v>
      </c>
      <c r="NY13" s="1" t="s">
        <v>92</v>
      </c>
      <c r="OC13" s="1" t="s">
        <v>92</v>
      </c>
      <c r="OE13" s="1" t="s">
        <v>92</v>
      </c>
      <c r="OF13" s="1" t="s">
        <v>307</v>
      </c>
      <c r="OG13" s="1" t="s">
        <v>92</v>
      </c>
      <c r="OI13" s="1" t="s">
        <v>307</v>
      </c>
      <c r="OK13" s="1" t="s">
        <v>92</v>
      </c>
      <c r="OL13" s="1" t="s">
        <v>307</v>
      </c>
      <c r="ON13" s="1" t="s">
        <v>307</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700</v>
      </c>
      <c r="RY13" s="1" t="s">
        <v>700</v>
      </c>
      <c r="RZ13" s="1" t="s">
        <v>700</v>
      </c>
      <c r="SD13" s="1" t="s">
        <v>91</v>
      </c>
      <c r="SG13" s="1" t="s">
        <v>89</v>
      </c>
      <c r="SK13" s="1" t="s">
        <v>89</v>
      </c>
      <c r="SL13" s="1" t="s">
        <v>89</v>
      </c>
      <c r="SO13" s="1" t="s">
        <v>89</v>
      </c>
      <c r="SP13" s="1" t="s">
        <v>83</v>
      </c>
      <c r="SS13" s="1" t="s">
        <v>97</v>
      </c>
      <c r="ST13" s="1" t="s">
        <v>97</v>
      </c>
      <c r="SU13" s="1" t="s">
        <v>88</v>
      </c>
      <c r="TE13" s="1" t="s">
        <v>699</v>
      </c>
      <c r="UO13" s="1" t="s">
        <v>693</v>
      </c>
      <c r="UP13" s="1" t="s">
        <v>97</v>
      </c>
      <c r="UQ13" s="1" t="s">
        <v>88</v>
      </c>
      <c r="UR13" s="1" t="s">
        <v>88</v>
      </c>
      <c r="US13" s="1" t="s">
        <v>97</v>
      </c>
      <c r="UT13" s="1" t="s">
        <v>88</v>
      </c>
      <c r="UU13" s="1" t="s">
        <v>88</v>
      </c>
      <c r="UV13" s="1" t="s">
        <v>693</v>
      </c>
    </row>
    <row r="14" spans="1:568" x14ac:dyDescent="0.25">
      <c r="E14" s="1" t="s">
        <v>97</v>
      </c>
      <c r="H14" s="1" t="s">
        <v>77</v>
      </c>
      <c r="J14" s="1" t="s">
        <v>693</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693</v>
      </c>
      <c r="NP14" s="1" t="s">
        <v>88</v>
      </c>
      <c r="NQ14" s="1" t="s">
        <v>88</v>
      </c>
      <c r="NY14" s="1" t="s">
        <v>88</v>
      </c>
      <c r="OC14" s="1" t="s">
        <v>88</v>
      </c>
      <c r="OE14" s="1" t="s">
        <v>88</v>
      </c>
      <c r="OF14" t="s">
        <v>770</v>
      </c>
      <c r="OG14" s="1" t="s">
        <v>88</v>
      </c>
      <c r="OI14" t="s">
        <v>769</v>
      </c>
      <c r="OK14" s="1" t="s">
        <v>88</v>
      </c>
      <c r="OL14" t="s">
        <v>771</v>
      </c>
      <c r="ON14" t="s">
        <v>772</v>
      </c>
      <c r="OO14" s="1" t="s">
        <v>693</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693</v>
      </c>
      <c r="RR14" s="1" t="s">
        <v>92</v>
      </c>
      <c r="RW14" s="1" t="s">
        <v>91</v>
      </c>
      <c r="RX14" s="1" t="s">
        <v>733</v>
      </c>
      <c r="RY14" s="1" t="s">
        <v>733</v>
      </c>
      <c r="RZ14" s="1" t="s">
        <v>733</v>
      </c>
      <c r="SD14" s="1" t="s">
        <v>92</v>
      </c>
      <c r="SG14" s="1" t="s">
        <v>84</v>
      </c>
      <c r="SK14" s="1" t="s">
        <v>84</v>
      </c>
      <c r="SL14" s="1" t="s">
        <v>84</v>
      </c>
      <c r="SO14" s="1" t="s">
        <v>84</v>
      </c>
      <c r="SP14" s="1" t="s">
        <v>89</v>
      </c>
      <c r="SS14" s="1" t="s">
        <v>89</v>
      </c>
      <c r="ST14" s="1" t="s">
        <v>89</v>
      </c>
      <c r="SU14" s="1" t="s">
        <v>97</v>
      </c>
      <c r="TE14" s="1" t="s">
        <v>714</v>
      </c>
      <c r="UO14" s="1" t="s">
        <v>88</v>
      </c>
      <c r="UP14" s="1" t="s">
        <v>89</v>
      </c>
      <c r="UQ14" s="1" t="s">
        <v>97</v>
      </c>
      <c r="UR14" s="1" t="s">
        <v>97</v>
      </c>
      <c r="US14" s="1" t="s">
        <v>89</v>
      </c>
      <c r="UT14" s="1" t="s">
        <v>97</v>
      </c>
      <c r="UU14" s="1" t="s">
        <v>97</v>
      </c>
      <c r="UV14" s="1" t="s">
        <v>88</v>
      </c>
    </row>
    <row r="15" spans="1:568" x14ac:dyDescent="0.25">
      <c r="E15" s="1" t="s">
        <v>89</v>
      </c>
      <c r="H15" s="1" t="s">
        <v>78</v>
      </c>
      <c r="J15" s="1" t="s">
        <v>88</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693</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693</v>
      </c>
      <c r="QY15" s="1" t="s">
        <v>97</v>
      </c>
      <c r="RA15" s="1" t="s">
        <v>97</v>
      </c>
      <c r="RJ15" s="1" t="s">
        <v>88</v>
      </c>
      <c r="RR15" s="1" t="s">
        <v>693</v>
      </c>
      <c r="RW15" s="1" t="s">
        <v>92</v>
      </c>
      <c r="RX15" s="1" t="s">
        <v>715</v>
      </c>
      <c r="RY15" s="1" t="s">
        <v>715</v>
      </c>
      <c r="RZ15" s="1" t="s">
        <v>715</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H16" s="1" t="s">
        <v>79</v>
      </c>
      <c r="J16" s="1" t="s">
        <v>97</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693</v>
      </c>
      <c r="RX16" s="1" t="s">
        <v>706</v>
      </c>
      <c r="RY16" s="1" t="s">
        <v>706</v>
      </c>
      <c r="RZ16" s="1" t="s">
        <v>706</v>
      </c>
      <c r="SD16" s="1" t="s">
        <v>97</v>
      </c>
      <c r="SG16" t="s">
        <v>821</v>
      </c>
      <c r="SK16" t="s">
        <v>822</v>
      </c>
      <c r="SL16" t="s">
        <v>823</v>
      </c>
      <c r="SO16" t="s">
        <v>824</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H17" t="s">
        <v>320</v>
      </c>
      <c r="J17" s="1" t="s">
        <v>89</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242</v>
      </c>
      <c r="EK17" s="1" t="s">
        <v>84</v>
      </c>
      <c r="EO17" s="1" t="s">
        <v>84</v>
      </c>
      <c r="EV17" s="1" t="s">
        <v>84</v>
      </c>
      <c r="EX17" t="s">
        <v>201</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374</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716</v>
      </c>
      <c r="RY17" s="1" t="s">
        <v>716</v>
      </c>
      <c r="RZ17" s="1" t="s">
        <v>716</v>
      </c>
      <c r="SD17" s="1" t="s">
        <v>89</v>
      </c>
      <c r="SP17" t="s">
        <v>825</v>
      </c>
      <c r="SS17" t="s">
        <v>831</v>
      </c>
      <c r="ST17" t="s">
        <v>832</v>
      </c>
      <c r="SU17" s="1" t="s">
        <v>94</v>
      </c>
      <c r="UO17" s="1" t="s">
        <v>84</v>
      </c>
      <c r="UP17" t="s">
        <v>835</v>
      </c>
      <c r="UQ17" s="1" t="s">
        <v>94</v>
      </c>
      <c r="UR17" s="1" t="s">
        <v>94</v>
      </c>
      <c r="US17" t="s">
        <v>838</v>
      </c>
      <c r="UT17" s="1" t="s">
        <v>94</v>
      </c>
      <c r="UU17" s="1" t="s">
        <v>94</v>
      </c>
      <c r="UV17" s="1" t="s">
        <v>84</v>
      </c>
    </row>
    <row r="18" spans="5:568" x14ac:dyDescent="0.25">
      <c r="E18" t="s">
        <v>843</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759</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776</v>
      </c>
      <c r="PK18" s="1" t="s">
        <v>94</v>
      </c>
      <c r="PM18" t="s">
        <v>777</v>
      </c>
      <c r="PN18" s="1" t="s">
        <v>94</v>
      </c>
      <c r="PO18" s="1" t="s">
        <v>84</v>
      </c>
      <c r="PR18" s="1" t="s">
        <v>94</v>
      </c>
      <c r="PT18" t="s">
        <v>778</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734</v>
      </c>
      <c r="RY18" s="1" t="s">
        <v>734</v>
      </c>
      <c r="RZ18" s="1" t="s">
        <v>734</v>
      </c>
      <c r="SD18" s="1" t="s">
        <v>84</v>
      </c>
      <c r="SU18" t="s">
        <v>833</v>
      </c>
      <c r="UO18" s="1" t="s">
        <v>94</v>
      </c>
      <c r="UQ18" t="s">
        <v>836</v>
      </c>
      <c r="UR18" t="s">
        <v>837</v>
      </c>
      <c r="UT18" t="s">
        <v>839</v>
      </c>
      <c r="UU18" t="s">
        <v>840</v>
      </c>
      <c r="UV18" s="1" t="s">
        <v>94</v>
      </c>
    </row>
    <row r="19" spans="5:568" x14ac:dyDescent="0.25">
      <c r="J19" s="1" t="s">
        <v>94</v>
      </c>
      <c r="O19" t="s">
        <v>438</v>
      </c>
      <c r="Q19" t="s">
        <v>326</v>
      </c>
      <c r="V19" t="s">
        <v>325</v>
      </c>
      <c r="W19" t="s">
        <v>327</v>
      </c>
      <c r="X19" t="s">
        <v>328</v>
      </c>
      <c r="Y19" t="s">
        <v>330</v>
      </c>
      <c r="AC19" t="s">
        <v>335</v>
      </c>
      <c r="AE19" t="s">
        <v>334</v>
      </c>
      <c r="AF19" t="s">
        <v>336</v>
      </c>
      <c r="AO19" t="s">
        <v>337</v>
      </c>
      <c r="AT19" t="s">
        <v>339</v>
      </c>
      <c r="BC19" t="s">
        <v>344</v>
      </c>
      <c r="BH19" t="s">
        <v>343</v>
      </c>
      <c r="BL19" t="s">
        <v>345</v>
      </c>
      <c r="BP19" t="s">
        <v>346</v>
      </c>
      <c r="CA19" t="s">
        <v>349</v>
      </c>
      <c r="CV19" t="s">
        <v>354</v>
      </c>
      <c r="DD19" t="s">
        <v>353</v>
      </c>
      <c r="DG19" t="s">
        <v>355</v>
      </c>
      <c r="DM19" t="s">
        <v>357</v>
      </c>
      <c r="DP19" t="s">
        <v>359</v>
      </c>
      <c r="EK19" t="s">
        <v>270</v>
      </c>
      <c r="EO19" t="s">
        <v>718</v>
      </c>
      <c r="EV19" t="s">
        <v>269</v>
      </c>
      <c r="EZ19" t="s">
        <v>271</v>
      </c>
      <c r="FB19" t="s">
        <v>272</v>
      </c>
      <c r="FF19" t="s">
        <v>274</v>
      </c>
      <c r="FH19" t="s">
        <v>205</v>
      </c>
      <c r="FL19" t="s">
        <v>279</v>
      </c>
      <c r="FO19" t="s">
        <v>721</v>
      </c>
      <c r="FR19" t="s">
        <v>204</v>
      </c>
      <c r="FV19" t="s">
        <v>206</v>
      </c>
      <c r="FW19" t="s">
        <v>278</v>
      </c>
      <c r="FZ19" t="s">
        <v>207</v>
      </c>
      <c r="GA19" t="s">
        <v>280</v>
      </c>
      <c r="GD19" t="s">
        <v>281</v>
      </c>
      <c r="GF19" t="s">
        <v>209</v>
      </c>
      <c r="GJ19" t="s">
        <v>283</v>
      </c>
      <c r="GL19" t="s">
        <v>214</v>
      </c>
      <c r="GR19" t="s">
        <v>288</v>
      </c>
      <c r="GU19" t="s">
        <v>213</v>
      </c>
      <c r="GW19" t="s">
        <v>215</v>
      </c>
      <c r="GX19" t="s">
        <v>287</v>
      </c>
      <c r="GY19" t="s">
        <v>216</v>
      </c>
      <c r="GZ19" t="s">
        <v>289</v>
      </c>
      <c r="HB19" t="s">
        <v>290</v>
      </c>
      <c r="HC19" t="s">
        <v>218</v>
      </c>
      <c r="HL19" t="s">
        <v>223</v>
      </c>
      <c r="HN19" t="s">
        <v>293</v>
      </c>
      <c r="HU19" t="s">
        <v>298</v>
      </c>
      <c r="HW19" t="s">
        <v>222</v>
      </c>
      <c r="HZ19" t="s">
        <v>224</v>
      </c>
      <c r="ID19" s="1" t="s">
        <v>94</v>
      </c>
      <c r="IE19" t="s">
        <v>225</v>
      </c>
      <c r="IG19" t="s">
        <v>297</v>
      </c>
      <c r="IJ19" t="s">
        <v>299</v>
      </c>
      <c r="IN19" t="s">
        <v>228</v>
      </c>
      <c r="IP19" t="s">
        <v>301</v>
      </c>
      <c r="IT19" t="s">
        <v>233</v>
      </c>
      <c r="JK19" t="s">
        <v>303</v>
      </c>
      <c r="JV19" t="s">
        <v>232</v>
      </c>
      <c r="KC19" t="s">
        <v>234</v>
      </c>
      <c r="KI19" t="s">
        <v>236</v>
      </c>
      <c r="KO19" t="s">
        <v>238</v>
      </c>
      <c r="ML19" t="s">
        <v>760</v>
      </c>
      <c r="NN19" s="1" t="s">
        <v>94</v>
      </c>
      <c r="NP19" t="s">
        <v>400</v>
      </c>
      <c r="NQ19" t="s">
        <v>763</v>
      </c>
      <c r="NY19" t="s">
        <v>735</v>
      </c>
      <c r="OC19" t="s">
        <v>765</v>
      </c>
      <c r="OE19" t="s">
        <v>402</v>
      </c>
      <c r="OG19" t="s">
        <v>725</v>
      </c>
      <c r="OK19" t="s">
        <v>403</v>
      </c>
      <c r="OO19" s="1" t="s">
        <v>94</v>
      </c>
      <c r="OR19" s="1" t="s">
        <v>84</v>
      </c>
      <c r="OT19" t="s">
        <v>405</v>
      </c>
      <c r="OU19" t="s">
        <v>775</v>
      </c>
      <c r="PE19" t="s">
        <v>408</v>
      </c>
      <c r="PK19" t="s">
        <v>410</v>
      </c>
      <c r="PN19" t="s">
        <v>411</v>
      </c>
      <c r="PO19" s="1" t="s">
        <v>94</v>
      </c>
      <c r="PR19" t="s">
        <v>412</v>
      </c>
      <c r="PX19" t="s">
        <v>414</v>
      </c>
      <c r="QB19" t="s">
        <v>417</v>
      </c>
      <c r="QE19" t="s">
        <v>419</v>
      </c>
      <c r="QG19" t="s">
        <v>420</v>
      </c>
      <c r="QH19" t="s">
        <v>421</v>
      </c>
      <c r="QL19" t="s">
        <v>779</v>
      </c>
      <c r="QM19" t="s">
        <v>424</v>
      </c>
      <c r="QQ19" t="s">
        <v>427</v>
      </c>
      <c r="QT19" t="s">
        <v>429</v>
      </c>
      <c r="QV19" t="s">
        <v>430</v>
      </c>
      <c r="QX19" s="1" t="s">
        <v>84</v>
      </c>
      <c r="QY19" t="s">
        <v>432</v>
      </c>
      <c r="RA19" t="s">
        <v>434</v>
      </c>
      <c r="RJ19" s="1" t="s">
        <v>94</v>
      </c>
      <c r="RR19" s="1" t="s">
        <v>84</v>
      </c>
      <c r="RW19" s="1" t="s">
        <v>89</v>
      </c>
      <c r="RX19" s="1" t="s">
        <v>699</v>
      </c>
      <c r="RY19" s="1" t="s">
        <v>699</v>
      </c>
      <c r="RZ19" s="1" t="s">
        <v>699</v>
      </c>
      <c r="SD19" s="1" t="s">
        <v>94</v>
      </c>
      <c r="UO19" t="s">
        <v>834</v>
      </c>
      <c r="UV19" t="s">
        <v>842</v>
      </c>
    </row>
    <row r="20" spans="5:568" x14ac:dyDescent="0.25">
      <c r="J20" t="s">
        <v>736</v>
      </c>
      <c r="ID20" s="1" t="s">
        <v>126</v>
      </c>
      <c r="NN20" t="s">
        <v>762</v>
      </c>
      <c r="OO20" t="s">
        <v>773</v>
      </c>
      <c r="OR20" s="1" t="s">
        <v>94</v>
      </c>
      <c r="QX20" s="1" t="s">
        <v>94</v>
      </c>
      <c r="RJ20" t="s">
        <v>790</v>
      </c>
      <c r="RR20" s="1" t="s">
        <v>94</v>
      </c>
      <c r="RW20" s="1" t="s">
        <v>84</v>
      </c>
      <c r="RX20" s="1" t="s">
        <v>714</v>
      </c>
      <c r="RY20" s="1" t="s">
        <v>714</v>
      </c>
      <c r="RZ20" s="1" t="s">
        <v>714</v>
      </c>
      <c r="SD20" t="s">
        <v>815</v>
      </c>
    </row>
    <row r="21" spans="5:568" x14ac:dyDescent="0.25">
      <c r="OR21" t="s">
        <v>774</v>
      </c>
      <c r="QX21" t="s">
        <v>783</v>
      </c>
      <c r="RR21" t="s">
        <v>801</v>
      </c>
      <c r="RW21" s="1" t="s">
        <v>94</v>
      </c>
      <c r="RX21" t="s">
        <v>810</v>
      </c>
      <c r="RY21" t="s">
        <v>809</v>
      </c>
      <c r="RZ21" t="s">
        <v>811</v>
      </c>
    </row>
    <row r="22" spans="5:568" x14ac:dyDescent="0.25">
      <c r="RW22" t="s">
        <v>808</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Finalizados</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2026-10-01T14:35:35Z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2cfeace4-4d8c-423e-9eeb-b8e5e9059e11</vt:lpwstr>
  </property>
  <property fmtid="{D5CDD505-2E9C-101B-9397-08002B2CF9AE}" pid="3" name="VS Team System Data DO NOT EDIT0">
    <vt:lpwstr>RVpSRwEAAADtvVlzJMeVpv1XYLz47pJ0jz003RqL9RNnRImjYqsvaVlAFokRCqjGQon96+e8jweWjCWJADJ7eszapkZdzAIi3T2On/U97/mn//6Pz1dnv+xu7y5vrv/5K/+1++q///6fPnzY/+jMfuj67p+/eri9/t3d+c+7z9u7zefL89ubu5tP95vzm8+/++Xy7mF7dXf/cHF587v73fbz3a9397vPv7v59OnyfHd3f3O7/Wn31e//6a9n9sg</vt:lpwstr>
  </property>
  <property fmtid="{D5CDD505-2E9C-101B-9397-08002B2CF9AE}" pid="4" name="VS Team System Data DO NOT EDIT1">
    <vt:lpwstr>vtzf/e3d+/6ft591XZ/f//NWHpy/46vf/o/7w/c3t/fbqn7756/6P/8vt5eSnf7m7/3T3u2+++aa52t7dXdp3be9t1d/8YCv4PvzaN8Wn9GOcp+nGfdwmm6S88Jui8LtNnp9vi21aJNk25sv+pC+7ury7v3vxDeHTv3744cOP50mW+6L89ONHv4t/TMrI/7g9L+Mfo4vsInc+iZPs/HGL//awu/11WO7vd5nP3UefbbLtx2yTZLuLzcfz80+bKI</vt:lpwstr>
  </property>
  <property fmtid="{D5CDD505-2E9C-101B-9397-08002B2CF9AE}" pid="5" name="VS Team System Data DO NOT EDIT2">
    <vt:lpwstr>3OP8bxxzRO0uftagU//Prl8Wh+/7/0qPrm4frij/Yvzz/33eV1c3W5u77/a3hVjz/vn3/k4vLuy9X21x9udzs98duLx59xzz/DSl+8it9X95e/XF5sL3Z3Z5uzv+yudtu73cvzuf6bnc83w3/+/eb2b9/ai757PCmf+vTxEP5+ef/40G/v7h52z1/68/njP/TFxtebpt1kub2bTRRtomLTVRu9r24T29/zTe433m3KbtP3m8p+MttE7abqN7n9g</vt:lpwstr>
  </property>
  <property fmtid="{D5CDD505-2E9C-101B-9397-08002B2CF9AE}" pid="6" name="VS Team System Data DO NOT EDIT3">
    <vt:lpwstr>NdPtsmmSTZtsemjTeM2VbNpe31eds9febv75emESj7+5k+Pa07iaM2andvE3cY3m8i+qNpUxaaJNnW3aWw9trB0k2abPNt4W2G58cmmr0zitNrabTyrzdJNHGuFtt+u3eSNtlzkG5duqmh2zVE6WnPq3Zo1F40W00abuNl4+0u9SdpNUemTItbx5v0mKzdxuqlTLT5LNi7flL2Waqfd+I2zT+pNWmwSx8m3JsmbvNZ76fL5c45Ga/aRX7NmO8Ay</vt:lpwstr>
  </property>
  <property fmtid="{D5CDD505-2E9C-101B-9397-08002B2CF9AE}" pid="7" name="VS Team System Data DO NOT EDIT4">
    <vt:lpwstr>3ST2Tm1V8SayVflNWWwKO2rOtu+0vLrUueVu41ptzVebuJJQdfahHX6j4zXJSW2n6aaPN02mw3fF7JrzsWykbtWay0bv11ae2UH1m6beRF7faMKZ2TJyrTwuN6ltx4S80/nbvmInSShrrT/mpdjrqOpN3W5a26bJUqaTr5P5c87215zn8ZolJ4m+VqcS6SDbdFPYd7YST/taHWqki1X0WnVuYuslMraJvtafytbe69r1JlYmC143wH6467XpZEE</vt:lpwstr>
  </property>
  <property fmtid="{D5CDD505-2E9C-101B-9397-08002B2CF9AE}" pid="8" name="VS Team System Data DO NOT EDIT5">
    <vt:lpwstr>03PiYo1VrriIdpElxVGrZdSaxrUy9V9IWtmaT2SjVGZf5prNzbXUpa5PfZFO0m7pny43+3nttwRSG3U5TOa4yGZm/gvFYbZSrVF3dbBo7EDucZNMletu2CxMBE8mq2+SFbmSSb1pTIfGmM7FNEVsnabJfsc/LaNPaak18+k3S6LRNa+rvhZ3DK9VGVK66gq1k0w6ttOOKtfi02bgGqex0nraRONN/mtLNqk3ipQVNeINusDtqWs177SWr9VKkO3</vt:lpwstr>
  </property>
  <property fmtid="{D5CDD505-2E9C-101B-9397-08002B2CF9AE}" pid="9" name="VS Team System Data DO NOT EDIT6">
    <vt:lpwstr>venXTkK885WaXqpFAdq0Wz2u2xJZk8x4n0lr2CrNPb700H5zpq+4svpFfseE2S03pjytKViFYrdWLbN0MUddJ8C6puuuZs1Tl3dsU73UGTWLuAdj4yceWgaO1g7V17U1q9pMVWEjmpmc6sotfPJLGk1yxnZe+ikbSY5NhdaE2c7ML283ew2F9z6vJVV7CSdrOziWKpWmmOSOdqKzLbbCs1veKyTeE3iUlEK9NimsN2KWHJ9ULMqNi2zH6YCNsTi</vt:lpwstr>
  </property>
  <property fmtid="{D5CDD505-2E9C-101B-9397-08002B2CF9AE}" pid="10" name="VS Team System Data DO NOT EDIT7">
    <vt:lpwstr>kjXsSs3mW7A/JLH4uzLVZbbLpypNJNZOzCTaDkWlTS12W9bjJmKutIC7JLZf9oZSyV4ORl2L83tKCspEtMWdrSmtc0ymdau/SaL9CqKemHN40UnRbZm0TG3yaxHF2sRFQrEjs8O0UyfyarUmtm6CJEwYah14iYzpq7tlqU57lWlYzVPpE70w6mkQjtM5xcd+9Ga43Sdi1TL9paZXqrZDlutuRKmOgpTepWO2/SbYwGmEOyuaXkmRhFa2uNomHtV</vt:lpwstr>
  </property>
  <property fmtid="{D5CDD505-2E9C-101B-9397-08002B2CF9AE}" pid="11" name="VS Team System Data DO NOT EDIT8">
    <vt:lpwstr>y+ybYJkMSWLsPwuZnqL9rTU/rXuIHc5vru93/7gfBSAh0Ph+e//zS/93bjumMWqcCzttc+jsnE2ZmGbLnNSyrdwunePamjK0HzbFYi6GLd62by/OftJ2bQcuSSolcPZOpecr3dPuheqexDrHDXEev8NCsrv//8G8/Ovz3fL+P5rn/+Hyfvcvt1fTfxxW+vgP+3Hb3jsgePLn2afzItr+eBFFux8T53c/fvxoEVRa5OU2ukh8ln+aDZ7i2LntRal</vt:lpwstr>
  </property>
  <property fmtid="{D5CDD505-2E9C-101B-9397-08002B2CF9AE}" pid="12" name="VS Team System Data DO NOT EDIT9">
    <vt:lpwstr>TM0lO4l2++bhNt+adbn1aXOSfPn38zxo8de23KwInCx/X3DDTnCZrpmDNXJiaN+fLrr5JYsKlMREzOU0ruQ8mrfYD9ondfvsxORGp1FqJYY9wRsxEm2GUeqzkRtXN/A1LJlphlddmC2uJ4izeMOfYbox5ak2FgfCy1aaW5BmZKW6l1cwcFJm2YCbGdK8jGjGraH+3C2RhgK3W/rhCarmbD/bicRAS+1VmztxD8w3NeNkfs88l5snO2Rw3M7amid</vt:lpwstr>
  </property>
  <property fmtid="{D5CDD505-2E9C-101B-9397-08002B2CF9AE}" pid="13" name="VS Team System Data DO NOT EDIT10">
    <vt:lpwstr>NSq/L4nrYMnXylZZtb4YipzEbYr5gOMEMtb7STbjNVYaGvm/faJgFqvC5Atcihx2UozCtP0MTJECDJ38xkmi18NeGxoMjWWeFZmNIy/VrhONibMnVrDrIFuvKjzUX1ejv27voFD2js0bt81ZrNFNgZmrNpvliLbJhHaa/YFK30ZSshMdtlZsTk1oIMW56Jt/2n1pYSrKZyPM16mJtmmlURtVc0ZRKez685Hntt6+JTs0n2x+Iyc4jzSnfIYr0eB</vt:lpwstr>
  </property>
  <property fmtid="{D5CDD505-2E9C-101B-9397-08002B2CF9AE}" pid="14" name="VS Team System Data DO NOT EDIT11">
    <vt:lpwstr>8fMWEl+IEc8HY6SBQBRrqDb4mvbogWzEmc3+Hz2qJwra2egF5K+aslZuUqaTQRblEJ437You3gJ5tg+zxEFcySkDhLeR61AQ2ErrpsFWRZzmQtaE7ZmOHlm4+zGyqzPaw2fj502V6zyf6LB47VTNH/GjlMZlEZeRI9PZrfRXF9TH/ZPeS4HPsUhC0GrfW5xv8m6+Ri2TosOfD2oRdtj5V655mzdmtFfth6TVDth83HlQkSSUYumTV6aXNrWfGVz</vt:lpwstr>
  </property>
  <property fmtid="{D5CDD505-2E9C-101B-9397-08002B2CF9AE}" pid="15" name="VS Team System Data DO NOT EDIT12">
    <vt:lpwstr>KjpehG3NFIpFhXZXTY+Y7ktwms1BUhop1m9ZmJDIV54XjfGa42hVfGrRegg27b6V6LuOHI9yKrXWb5qrKiQGJrZdcEG97I0pa5Oc2OTEydFXxiVG8CsirFbxV+Hn1zzWGuYcr0prVUq82YW30zZJsMtnC6uCM+xxrirSil6RXY82LPhXOaXEgMoyIiG2FwXa8uOlvu1dNAvplrFv7NatWTeLvIqddo9shEyVBdfmT5pWMMF2BKQNKli+cS6DF/E</vt:lpwstr>
  </property>
  <property fmtid="{D5CDD505-2E9C-101B-9397-08002B2CF9AE}" pid="16" name="VS Team System Data DO NOT EDIT13">
    <vt:lpwstr>XZRNLwo8WE14rzWKukcUtOur5tJYfWe4sXbXkkNGx4L4n4uxIsyaPN8+neucVgb4tQRnbTGbd1J9FfPYe7BftOpoetvDF1ImFIwWhk13WzsKCedEYpy6ydFVE3ZLxqTqZEXOU7ILpNDtlJVKCOc/9tMDOFmKS2hHGRSxf2Y1YqtCugdkZxdWYTUl2jd6cX/JEa8TxqhtoyzOZsFNpMF81yVXTvGbH7CxN+RasxHSH3TcTaJMh02smvnYt0xDzO5</vt:lpwstr>
  </property>
  <property fmtid="{D5CDD505-2E9C-101B-9397-08002B2CF9AE}" pid="17" name="VS Team System Data DO NOT EDIT14">
    <vt:lpwstr>lrJcNjybSpdduO3Ch7FQuabpIM96t8OpNdW5upJ5nCWGu29Zs5s4O1E7a3YDFqV0h2LXIzg2Hup9RuLWGxc+4QB9MgJjgt/lT1mAm3l5LPR6dRNBaNVa6zXmMu5aboLFwoxMEERIaMNLmtKw4JzERun523LdZskBygRDbfojlzPsyky2EiSx1h85v54HQiGkm26pg96aCO/KSFlhGZT1uY+XO2C4dCsJumjFwrC2JuhbmeLclbJTsKrbwk86076</vt:lpwstr>
  </property>
  <property fmtid="{D5CDD505-2E9C-101B-9397-08002B2CF9AE}" pid="18" name="VS Team System Data DO NOT EDIT15">
    <vt:lpwstr>SQ49lv2iZOz+DrRcOmqRFwbsrIIgt1FF0l9mI41v8L8y46SiGkQU7n2T/a/Om2Mo4m2yWyGi2/CZVrOthCSciYg5gzE/VKIMlV0q1y6iIjcvDRTri7W8ZibYLfO3GDz832uP7bwLpbE2ykWpDNtNzlFEZNjUyJmrk2UzGnKC+mRUDWxN5Yv5JVH0lzEyZolZwlZY0oeZqrlKpGmV8yRyCim5F7lbXDFzI+2PSVIgGoNPannXBJvli8JioUrYVrI</vt:lpwstr>
  </property>
  <property fmtid="{D5CDD505-2E9C-101B-9397-08002B2CF9AE}" pid="19" name="VS Team System Data DO NOT EDIT16">
    <vt:lpwstr>z5uTaGQC42iVYDRccVu4RUoWdpomqHs5DLaoksSR/afCj5LKTz3YDDM8phVK0rMeV9p8Ie8H9WNPs88zuUzzgjHx9dNVx2z3yyWyZOYd6XK1cnXMpJmfIKe+1jWUb1xKtwV7abfP8UJMYjL+1VPCMkHxuHyqVpC99/Nx4EhnlKsMYMaCVYCiVtLhLZiT0JOIUxktU9RkZ54Es9PweU9VM5NRN+ffrIf9VlCMCeecBGd7XmOM3bk4X2X/OvRxR57</vt:lpwstr>
  </property>
  <property fmtid="{D5CDD505-2E9C-101B-9397-08002B2CF9AE}" pid="20" name="VS Team System Data DO NOT EDIT17">
    <vt:lpwstr>SvkqpCfJtCVXJ4OybTCt27nScJffUAsauVj3KXFETaNtTh3axhVdUsWqqK+VCYTUZL3mVWNgxSXxLXcCemp2ZY1MMHS5HT0ySEANIdiMp5RQX0+xHQ6BlH9pttZ+x+2hG3/xRBayUC9OF+nUxtiVu1TFbQNVRQCrJBKRUSD2xnB2Y6S3zcKT5Wuk8+Q9eutiMXxxy4TE1lQRdXMuFtZ2a1s6o0iavLEQlxao1F9wosxP2eu0MPcswrWyfmONuci</vt:lpwstr>
  </property>
  <property fmtid="{D5CDD505-2E9C-101B-9397-08002B2CF9AE}" pid="21" name="VS Team System Data DO NOT EDIT18">
    <vt:lpwstr>GvmmSrwtdYXpB5I46SZBBu+9Acv1CRiqhd2LGb9utUIHxtELjKzzAF0aKcM4p5pjXsQmbyanTzE4qUJj8JNlsBeQgaMYQdgbrZPxOM4JrYUn2IdvixZMHPGAcnybr6dd3q1Zvra/Ge0nIABuQzd1Jz4Y/pL13QUsuzz01/mRmMqAWaNrR/sqDRZNgOv8LDMJfVHGm72e28PI+vYLYuq9gTu5mBsNO1l+koqsqslIpDYtIUZi9qkqRNrCySfLYI6</vt:lpwstr>
  </property>
  <property fmtid="{D5CDD505-2E9C-101B-9397-08002B2CF9AE}" pid="22" name="VS Team System Data DO NOT EDIT19">
    <vt:lpwstr>Y6kBgucQJWCen2YhhClIGJ5XaydrfOM5E4SUZiaMC2bUUQ1b95ulx2lLV+1XxKJXSiWdfqZjCyLSbApYNOBwm1ESnWkldK5Nbky26V7nTdXrMsppgQa5u3Lb4vl9fSgBBwJY7tZthBbtdJJDVUcrqRtxWLaHlSBGUK7uSYJtZPCzohlTNWY2Y4XQkA3XvIqwbCrVhdSbD0hlKIrXKE2OEepgljTvvLeW6kTT8BnL8a0hVIKqS6u/WeoZVqAqHjB</vt:lpwstr>
  </property>
  <property fmtid="{D5CDD505-2E9C-101B-9397-08002B2CF9AE}" pid="23" name="VS Team System Data DO NOT EDIT20">
    <vt:lpwstr>64iFUZq/f5M0qF+J04kHMFGPQDSU/pUAzfVhSoJCKjBXZkApjkz+WkwgqPxGS8DaS1sUpYpWJvDS3ORn2oXkwDicKlYlBxLuk8pZVPjTWnfLFlvhAEdUtlWHj3T2prnMPS0oTgqFkSorZtbIZMikx0QnKSVk9isVQbhbiFqz8THn60KTWG9SaIVYHqUtuyWtZZbMPDWTl5gQ1DSviYmt01xRi8BUUa+l0E1eGgTarLVyGjWRX6OfNFXUzdfbJ6I</vt:lpwstr>
  </property>
  <property fmtid="{D5CDD505-2E9C-101B-9397-08002B2CF9AE}" pid="24" name="VS Team System Data DO NOT EDIT21">
    <vt:lpwstr>RxavMiYKIkrpiSYTktRg7dlMO5iPZRuzEzHdLKAzZm6+paMurcEBjYuk5Cxl7Ei92gctOl8Nk2V7WkmoerzmO1lUiOtkzeQyOy4d3bO6ZCUxDKtfeuLAMIVcHOsYk2uy6IhMwf3b+JmC2cROSjKSMp15vKqZ5ndZIylWiEbLMpjvMBHcgnBQzJ7IuttIE82efC/jX6ipGqF6z9Z6UuolJhOHpo4Alkrozs2gBoqznwjGPPLrSrTrlnGyKGQbz0n</vt:lpwstr>
  </property>
  <property fmtid="{D5CDD505-2E9C-101B-9397-08002B2CF9AE}" pid="25" name="VS Team System Data DO NOT EDIT22">
    <vt:lpwstr>MyA570rJkzW5fZZ1uC2TVbkUAPiaSkI8KyvxQU1ZQu6iRVebCAhSxmgQOYLyx5mutaJc22VE8aUVkinGgzFCmJ2dhJVyfcvYI6pf630eKFQCvlX1Qgu1JqPwVAiCZXgGvWNFeq7FWKzsd+laYza636AmvzVGl0/QrtwkTTxEQKwhOEeiVhHPF3xI0150gQSzSdKTiBTnBI5ND1/MpCXW3kHEXr7ElDbKpDLeRsmLIidwLUyOOGVjhwlVSxJ6VoC</vt:lpwstr>
  </property>
  <property fmtid="{D5CDD505-2E9C-101B-9397-08002B2CF9AE}" pid="26" name="VS Team System Data DO NOT EDIT23">
    <vt:lpwstr>tli8YoQ0Ey4CZQsXqlfN//efjeU3uwk3AJKZxpqrxJni0A8LkKCW2ni0GLxgsWuKJ7W1ChMeBXdZqTrqiETYPvNiArtBphjbWokC2efk4pZ8PVHNzBO10WumTyfjjhOqS6kVm+614tPKfY2+KB2hGYhTW9UheyMaeiYAps5IgVF+4AqMgFypOpI3bzO1f9/C6PzqDXWuUedXmnMMkoqOg3ZZuWMIu3FbIjZGfOaYzJa9veKuFtQp0yrDXU4O3OH</vt:lpwstr>
  </property>
  <property fmtid="{D5CDD505-2E9C-101B-9397-08002B2CF9AE}" pid="27" name="VS Team System Data DO NOT EDIT24">
    <vt:lpwstr>zVGY0+iZ9hy3UO8Zh65xsSpFUBP+Ky1PvToBA2SRfst5ZkBpTXgbcjEmpKYydEFxQM2jt9tp9tNUiYmNOdXmSyfk6+x/bdfxgnaenPM6tRFhZqWnUrJIDicIl0EWpSZcJVCtWadZzP6xTmFyYlJtfzx31xzWkvdVhJyoPXMe9zlO3do5r7qDduOEUo0ECFYjQEkxtdEZmn9Xk7YThKhTyBdxnuYx2ZnbD4SMvyPIFdAjuITJAJcQouu1/tG65G0</vt:lpwstr>
  </property>
  <property fmtid="{D5CDD505-2E9C-101B-9397-08002B2CF9AE}" pid="28" name="VS Team System Data DO NOT EDIT25">
    <vt:lpwstr>eKqmgMKJKKykBBKdORs7uUUd4ZWYmAvlnC0vQKgUXzSSn8VqwHb6pDrPfVaRdtIRd5UIgOFJ12brStnnwNWqjzYZCmYl2QhbZPqyJwWvK7oLMOf1RXbgmSUaZviI2UaQDlFGgjVKCb1tM5w332Ah6l6zKhZpEeFpJzL+0bw/uTQ3MJW3B6cXobJzpkPEy02y/YoakpEilkmcn/WH20qRY6Eryj7b3JdzneM3lquC1JJDWwpMh2LYFZvzJ6ZBRX0</vt:lpwstr>
  </property>
  <property fmtid="{D5CDD505-2E9C-101B-9397-08002B2CF9AE}" pid="29" name="VS Team System Data DO NOT EDIT26">
    <vt:lpwstr>Gp29gUpHW97mRLzjMHRmW+WwNEqiMgbwEdSP3ZDhZQn2OfrlzX+9DLcLS8b7nq1WPJ0klj9wFhjxJW7c2DFYi5cbhKJsnmNgfzXpJn7wEu1VTg0oW84jgRk63CwyhLAdDCFmXuqHp3iECED8kI9lJwdZ30SkEoZbrZDte0mqlzEwMVNnFHdGtL4hMSjXaPowXMw9gLdev6CDrSLQniappA/lyvLZgBL2h/MbkxExfKguZXK79L1awADGwSXhGxS</vt:lpwstr>
  </property>
  <property fmtid="{D5CDD505-2E9C-101B-9397-08002B2CF9AE}" pid="30" name="VS Team System Data DO NOT EDIT27">
    <vt:lpwstr>7FhHu09FNxB+6Sdj7fHNSrTzau8fbUTRZII4YsyGUBhdSIqO/T0mIZTNYfGo5TYK7ihWlikn1fTTESU2+gC0FqiWMDucrHQYzIpX+arxNlOT/F8LFfCjshiV9UfibGVdCOpKAR8Kzmp8X3sWmZgjWz9Of0m6pjo5P2ZMrTfaunyMNc5mnedx5n9uFyXiiH4sAA1ZFfsqOxQlUeuANunUmYlGPuIK6c8AFkFZYmAgCoJ2tGuFusnfaezD46dWwi3</vt:lpwstr>
  </property>
  <property fmtid="{D5CDD505-2E9C-101B-9397-08002B2CF9AE}" pid="31" name="VS Team System Data DO NOT EDIT28">
    <vt:lpwstr>J6kYt0o35/ShmaKT69zK54gI8jz3TwCOmMxjJ89Yrg8tAwGLYpdVqedMWRcyn4oUTCsWNFwpS7cAIJhk6da1a5T0Z6Qk5wrq1UKWRbQFFnKXVSIDNar0YSlVIWgrly8HaqfyD3UuIdQi7TEhNBQCa8HVGJ9z7NahHmppJlMeSuCSRKxppTMVaI6OvGEsucmMXdMIN9TEw8IP21RODGASZbIcg57r5XoShSEnC51pycgNzdYhpVRAJX8hWEgn5Zs</vt:lpwstr>
  </property>
  <property fmtid="{D5CDD505-2E9C-101B-9397-08002B2CF9AE}" pid="32" name="VS Team System Data DO NOT EDIT29">
    <vt:lpwstr>Dpg8SLfWR6UQbsHFauGO9KkJJs2QkbV3I82YKpuyFRLR7JcLwzmvnMcBynafRUj3L6YeqyGmoMJiAZsYFMjEVvKWQpEaIvkBfTuIu0UmB1cVkQmibUiyYkSgw92k+sTiBZSflusQiHQ22JDO5dSisOR2hcH0kunq8ILlJpeydYll6c813buiJMNE3Qa/xqTwYXHtdvmVTCzXMScPUupRXTOmspVRlSzWXQV4llSj1WXQgW3gLJsoZdcsUWK4t20</vt:lpwstr>
  </property>
  <property fmtid="{D5CDD505-2E9C-101B-9397-08002B2CF9AE}" pid="33" name="VS Team System Data DO NOT EDIT30">
    <vt:lpwstr>61TKX1CnoGa4JCJXZAeKgl93VNXlmyytcwDaxUXCEPKUUJq3eExhF1t7YKA5QJa5QjVcogoGBAlZeAKIUVdQAlaMgzVam4EQOVLdjtcRzo15WKzUxEVJdMlmNwlPKjC+leOzzBTWiLUS9gh+wQdzWNDlJXLpbZF0qxGLK7pn9cQB+bsCysedyXtq411ETW7EDG0lSIQCdYGCiwUaF/UnmdmnsDPLsGMmcCobZGWkMj9dDoogqoVsgdCRUuVVnmQ</vt:lpwstr>
  </property>
  <property fmtid="{D5CDD505-2E9C-101B-9397-08002B2CF9AE}" pid="34" name="VS Team System Data DO NOT EDIT31">
    <vt:lpwstr>6rJilc5GjFvPwUMZWFQRqhh4lETOSsJBiagD1USUIw9hb8CVJci7RTgSSTXo0RtCPBXSN7TheTRyKFLinW+EQmKHuypiaSJti1HHntKDZWiil41WKOOLEFM23BFYVOVYpKn9rspMmXXskFdK4GzoObG4JJ1CDqlBUvKM6gOoQboOTG3Xw4TaWf7e0vTeU8GTuaCDsaOLJGZzIb0r3IhjUxTSYOK6kCvQ+vH2Sol5zksHU352PNHUj+jvU9ecEXT</vt:lpwstr>
  </property>
  <property fmtid="{D5CDD505-2E9C-101B-9397-08002B2CF9AE}" pid="35" name="VS Team System Data DO NOT EDIT32">
    <vt:lpwstr>OGiZmupVihwXAUoMD0JBldmTkLabaC8ppXK/UD0Zd2Zn65KKLWZDLcERoDKHI0nuuQYWp45iqB7s6O18ldPlnvrQxZ0NpQv3qKNDosY8DtUYF+qX4wRdtC5565NAYiAzFhHY2xWUFxxwGkCQhC2g4qNglvZ8FbULuftmOWzZDa6IEjX0jCqnX+sQynkPdOI0r4tbK+qUJrc5rVNm6XL0Vg0su0RBqxRS6X/VBU9y1JSFmuVz2U1lpunUbnCsC/C</vt:lpwstr>
  </property>
  <property fmtid="{D5CDD505-2E9C-101B-9397-08002B2CF9AE}" pid="36" name="VS Team System Data DO NOT EDIT33">
    <vt:lpwstr>Zgh3ZNX0l7j32q3RGAhKrhGegDpktMO1qAK6Ivgn6FatmWHNgrgLrZvKSS1KkckMjbadO9KEcjIak0yt7yeN1eFBVgkHj2zLk+Xi8S/KItrYCzLgnP9chI/Fjy0NE9GWfF1S1EnrYehrJPRlK2E3m1zzJNyfrzAmyHFO8SWhLUmd1KPmgIyyos4ulVjS8HZE51BTsHRV3MDN2FVTSpKZmKrkJuEcT/9dBeMp1WqMibWXaKXjzQlJjD3zoRCMQb0</vt:lpwstr>
  </property>
  <property fmtid="{D5CDD505-2E9C-101B-9397-08002B2CF9AE}" pid="37" name="VS Team System Data DO NOT EDIT34">
    <vt:lpwstr>GmCj/g5Ec1oHXMuXNgNJTtTegBwn2K8ZHst/Th61K3xToMa7jjfTtweoTW35QONgFKSEw4osMCccmJts2tU+Ig112NubdmBwsQxCr9AMEUs80CvHJ0A6N1XRyuJhfuoPLIcdEjeUZq+2zIa6WSEAtMSgDbGX8s+I+4dGZjzLHwgV+n0F8a4PGik3FLmdt0nNFw6xRd6FjvAVQ2BKINgGw7OXVskNnsqLfWCIG0BxiliC6KAsvXNhQuqLOZ+VaWB</vt:lpwstr>
  </property>
  <property fmtid="{D5CDD505-2E9C-101B-9397-08002B2CF9AE}" pid="38" name="VS Team System Data DO NOT EDIT35">
    <vt:lpwstr>nTxQrJrnCDP15EMNEAnG5ItHtoJOzBprxLXp6KWmhNFoTBS3P4Oa5dCpFARlTck8U1PqGO3HAhlFjoZp/WeYpVzJGXsyXzTM1e3lAYJPWyFXa3DVgdSLftQAY6TeSHraUutqiFHHWAItpE6IJ1jGjN/E3n7X/36/9n69S+yPHO7j+7H3Tbe/picx/GPRXqR/fipSD9GWZ6k2+ip0LXXrx/lFxfbXbzb7C62XmRn2Wa7UzEjj87TTxeZi7YvzN7/</vt:lpwstr>
  </property>
  <property fmtid="{D5CDD505-2E9C-101B-9397-08002B2CF9AE}" pid="39" name="VS Team System Data DO NOT EDIT36">
    <vt:lpwstr>7X79/vJ6e3X579uLmzt+6lWt+lG0LlfhaE/uqZKFcoH5EabV1C7QDXmrJFCAATBKYqnVnlRKhi3LaSPI4Vgy4bSrF9NprLzuvH+ZjByfyK1TYgmuYg98weyyErAFKFNQTTng7wJvWMkBJYdphMdECJ2VkM6PgThQQrGVKzKkwJO8zomI/Lpz7kjAx6B6zYlvaG+3rzPHtgaBkeO7i3YtUfCnGk6vi99SnTKT4tBXZgBr2p0L2rYdLna6gPcsxmt</vt:lpwstr>
  </property>
  <property fmtid="{D5CDD505-2E9C-101B-9397-08002B2CF9AE}" pid="40" name="VS Team System Data DO NOT EDIT37">
    <vt:lpwstr>eB5Dr4FwLCcqukTtZgSNpqe714G1y2NkcecEI59HO2dO6I9cMVSzKMAdyuRxcJpWKFwpQk3NeBwXuWJsyJrVyIjk8OZ5EhDKFpAkFpMyxbuSyHMbOkX9u6YSvChpiaKcyPykU0Ow11QuuTzSW53WyYYupMklvS26oIM7IoFPKaScpq0FEhVkndxznA1WR8mwUc2qCVQ+WNfjLDfmxBdlIJmv2awE6towWr1gZ4pbcZCcXt6TjWT0MtZJC6oUijW</vt:lpwstr>
  </property>
  <property fmtid="{D5CDD505-2E9C-101B-9397-08002B2CF9AE}" pid="41" name="VS Team System Data DO NOT EDIT38">
    <vt:lpwstr>8upnqv6YC30/a0yQg5mQ20dwHco1b4BbqMiTyvS1lYlNMAplHOIYYukDRU/thg5AL3Ra8UaAmIr+G0lUuqoXdIKJGlfN6AmyEEtD0uNetPznmdPJuTmMMxoCa6RkUFu1BqbgE8rtge4IV92IN9MWHISWDFfoDs1NBW9gHXVSr9nMFCaOtP5oO8Sc6+KNf2HcW0l6WUT2OybB1MURVcHzGsiPZjGTXBjCafBABtR6ddhsbI6Sm3d+RQ2jFUlQulk</vt:lpwstr>
  </property>
  <property fmtid="{D5CDD505-2E9C-101B-9397-08002B2CF9AE}" pid="42" name="VS Team System Data DO NOT EDIT39">
    <vt:lpwstr>cSNz3mlbETIMLAVH9qiOiB8JJaFr0+HXLG9iAgEuF29mj54i6lacrjidiS6FVS4Io4BZLCQ5xzrZ1/4Vedc0PZgkinCiVhxjwmwKYqEyKlBiZn2jqlsx+HAYXjsyed3kIDYL9pP1qVCO4sPVbhKyP/Przkdh3krC9dqSXzsJVPHXq7TrkMPNoUd+3sdWqGAc4kOJJUbHwEKFcUN0b9tMK0GEUoxi/KNF2z3ONFSJKvOOSboUOM6F1DvtFV8oQ7F</vt:lpwstr>
  </property>
  <property fmtid="{D5CDD505-2E9C-101B-9397-08002B2CF9AE}" pid="43" name="VS Team System Data DO NOT EDIT40">
    <vt:lpwstr>mkg7JukdEMH4Gzm8FFU0ACgT6jxFSAggxhWMc2IKmrcpk0RLua7xwTSqmoRC6yqOhHgmKpyHVqJS0kIUwc+nJp2arH4BTZMndwHXjZkSD99GCaDcXpBoTuZt99ivM3letWYTy8D1VOJX1FR7S1Hl0oEPzKGBfSSiX0DcEjAdmeo2G2TxlBhUKwCUwIaVpX0ExfTzsjEmwItWEsDYCYthj0RJQc9Fgm9WA7QxLSHUUUBY44KGBj8nvlSdrQPVKhw</vt:lpwstr>
  </property>
  <property fmtid="{D5CDD505-2E9C-101B-9397-08002B2CF9AE}" pid="44" name="VS Team System Data DO NOT EDIT41">
    <vt:lpwstr>tOWghpgAIileqXNLPE9vt151zHKAiePghdpaOpVlf0LkY++LogGolseYmBTiULbKDeDLDfW3pzEw5cAWnmdzvBds90XVlvmrNObye6nwAPZSL7VKXKCYJmtEEaA5GAXdpDQmyGosd7A+x3pG4SOn6s0U2UN3koYM0WyJVzcaJ8GJdstNT1E2wywml4BxnI6YgHHLeqt7Ao9NjxwtwtBlV4gGrSErOrEkFHMlUuoPdcSkNN/GR1uXhzENuSVcqjQ</vt:lpwstr>
  </property>
  <property fmtid="{D5CDD505-2E9C-101B-9397-08002B2CF9AE}" pid="45" name="VS Team System Data DO NOT EDIT42">
    <vt:lpwstr>kNpmDtKdxr9OWaAKjDKNTynNZvglTC5tiR8HZA+lNckQTGKNuF6j7xEnPmGIkRrSQ0KqmqdiFPQqutfW9BYjsBfSb4J80+KY0D6uegUzwG1VcSy5SBUgibHgOUaAiK21dyZuTr8IhmrTJSQDntXYrjKsUaLcmunKRQXAx8zR7Ahaf7M4eapIEJzattVbdS5RyiWvm0YtN83TlH69BQqs3hGOfw9YkhGEBRRdOZuXYN7SYmnBbxmZttekbsf/RBy</vt:lpwstr>
  </property>
  <property fmtid="{D5CDD505-2E9C-101B-9397-08002B2CF9AE}" pid="46" name="VS Team System Data DO NOT EDIT43">
    <vt:lpwstr>GqQR45RMrEbqllxCNPsvbySW7xYR9021HRJ2mcgyjog1wkdGTVI5R5BVQmFlpOUbJvQ8DSvCSjHIrXHRldD5hLcX72A4CrH8lys80VplFPBnQ4kSSaMKQ3Ya2k2SEqUCwdBWcI+EjAEYsbystT2izlRcIti9+BGhdlYQDGP9XMarcLpyDNPoFTJAFfgmqoXAsBbB+IhBgHf1YqbbD1ifoUdtiOtVJIfcOANVJyAu6sAyJMu1VbfydClQJTyk9gS</vt:lpwstr>
  </property>
  <property fmtid="{D5CDD505-2E9C-101B-9397-08002B2CF9AE}" pid="47" name="VS Team System Data DO NOT EDIT44">
    <vt:lpwstr>K7h0qDnmcLGHVvIq4PYquMWw8RDgSZLs9dT4ymrL7CT6ZlFqvO1UzZbzi3bjDMfKqoP3A5AsJR8Q00zZwHBsK7ADk7Pc0vrX64WYf11w9j09O1WEYaH+muDsp+hOR5PoQhQ7htia179qzRl0Hh60iAiYaSlKCAIyOKxK6JVq6I0SwNXmMqspk5ZjTTGgadGTcYTjA7R2E3IJr/PsXLGuO83TPx6Ic/DUWoKtGm6KlrkPsszBDQn8CZSoO/KIqlx</vt:lpwstr>
  </property>
  <property fmtid="{D5CDD505-2E9C-101B-9397-08002B2CF9AE}" pid="48" name="VS Team System Data DO NOT EDIT45">
    <vt:lpwstr>CF5rAhpyiYEzqbeVmNheiq4mGduv6Q8UmH5xfSOLUBZ9LMTvC1oKe5gYK5pRSg6jwKZs4+MdtjyVl1wxrWUKzaJ8I5KeWtdk1j5HM+Tplp5EI2fC2Re/hcYNoQQuNGCl0IzEseSYgAfUQQ55iay9BhjvqQxH1vh6PViFxt2kXoC/jZIHPVhnvgiZQj2fT0h4iMvEGxFCuXEZD3dWT0i2Z/9DQI9+T0RjYdYItdPJoOxKUBQ0H+bxoTB27lc2WDf</vt:lpwstr>
  </property>
  <property fmtid="{D5CDD505-2E9C-101B-9397-08002B2CF9AE}" pid="49" name="VS Team System Data DO NOT EDIT46">
    <vt:lpwstr>SvzcCQ2QbuR/g+E9oR+26Q6Jpkrtk8JXZDVEBuN4N1J6WJTXReGRyyCdd6IZk7cezW6ecyHapiZh6a0E0AY5ia8+n3UhAYIiuSthV+s2rBAKiU2YcQMAdXGzC2BbpHzcgLDsckkeRWnbPyFzW9MWD3KjDWaeg8A3cRUvw9AiO6s0Q2RW8/VPIgQAsZEGU0SkJcUh6mkKqFgHByzivJ0JhyIykFAGOWztFcnmRYX+xdy4tQGh2snIpAGMq2G2DZD</vt:lpwstr>
  </property>
  <property fmtid="{D5CDD505-2E9C-101B-9397-08002B2CF9AE}" pid="50" name="VS Team System Data DO NOT EDIT47">
    <vt:lpwstr>WeubjwI6xRFOKm9YsHhyCZ3cG23ZUzzjd5pBk0/aY4YoKcLHG4tZRIlwWnfCU1sXkamZoCM7TqFnqskuycSMuLMV5LB+Hxdor8i61qHESsMh8lhnY7BKrbAuPJI0tIBZ8+AcQV0RoSQRFAwls1AXRPROyZWYhWVZ9dc5ONzXinPhPoF7HIZXUiB/DNm9oSnRFGByvb4cOYsiQaETEdo2Kjp9BAwDcNSgjmXGleP43zgPSkCrUMMmHzWAUqR0BsF</vt:lpwstr>
  </property>
  <property fmtid="{D5CDD505-2E9C-101B-9397-08002B2CF9AE}" pid="51" name="VS Team System Data DO NOT EDIT">
    <vt:i4>107</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A2VLX3wP3rPt5U0I54Ikd0TUMT0SNVMiOgBdpmHK5LHhFV/R1h8tFNsmbt061o/cDeo0peTmaEisYFAJbRjysOGXi4hds36YDiOh8gP71KCrG20zeqTnVey9sOZxgmMlu0ofGjoxtWrpQuVq7gOddi5cKxIK8kfgpVQON2WIFsOI8n7IkZl0VQBsm3ggjM2XCioTgV5HCmq+qPj7qPgJjNiRNAJcmyDocujxo+owhSoAw5uhgTfHFNVwgQp2AYV</vt:lpwstr>
  </property>
  <property fmtid="{D5CDD505-2E9C-101B-9397-08002B2CF9AE}" pid="56" name="VS Team System Data DO NOT EDIT49">
    <vt:lpwstr>XAXWheEHmmR+nldh1Y5BcS7ABX4KphiakzGktaSnvCLVF52pF43MOSlgNMbA5ZGSVHNmanrSucECVlIhmiSy0PI+FI1+X6RfQ2g9woRQquQJVq+lNEMAn0HNF1NO6FnoY1J+DVM/DAGKf1/T3pOEdwQ+udPtCNneMLIjW9SEVdFl0aARVFQBSBwVRwAspxz7THyGEUd8hMqzpJ7A70NDaFZFl9/jeGdA728VCdWKM6LI1r0IIV1RyTPN6OggCja</vt:lpwstr>
  </property>
  <property fmtid="{D5CDD505-2E9C-101B-9397-08002B2CF9AE}" pid="57" name="VS Team System Data DO NOT EDIT50">
    <vt:lpwstr>MaFOuBa7dk5RG2PGb0WAtPb0dHSgtULiBWK1K/OW/EtIkQuq+jOIqidZP1VOurAXrXEHaHqgKUg3Gg+c5110ockTaMLUuJrnGSRBMKr0IKk3BN/TCjDUXBzvw5T1An0UoKcgCTMSCCjl6MgnlXqlxhj0UgAK5ExJA0C5qeKRBdu4Au0NaFyISUpCqNIVvTL2VGp6iTYl3Grh/qNj1DhMKfDqYwcZ1RUy3JL5bMFGqJuGqyBFHIuEfM90qHZv8Uu</vt:lpwstr>
  </property>
  <property fmtid="{D5CDD505-2E9C-101B-9397-08002B2CF9AE}" pid="58" name="VS Team System Data DO NOT EDIT51">
    <vt:lpwstr>qGa9Ez9uvFpkV/HDSoK3VLnM8wuBN0gVjfY0JTEyAhXmFyQhB+jRFzCmd6DNKlpi+1CNyxOkv28WusXaAcmzui6XEGODFQgU3PY2zO6PzOEuQ0zGRHyLly3WoZTXFN0piTwKoR+x452lQoakyLQAr7OpqzkZUpIa1bw0nsuU0R6UQh8xmnkkOl4krkFg8kcrDcmy7YJRz0gJ+BNaShV8iAmT2C2cR6lX44LhOW6BLTWQF0zBh8uQmwYVyv6r1Um</vt:lpwstr>
  </property>
  <property fmtid="{D5CDD505-2E9C-101B-9397-08002B2CF9AE}" pid="59" name="VS Team System Data DO NOT EDIT52">
    <vt:lpwstr>BJNf4deV8CSk8HyEeQch7RiCQVOKHTx7qsZBzdTPr3ncJhP5dVPqEjjd1Q/4GP05jlTeTqnL19LSnMG3H+PM1/gggcMygq1QVSs47OyHo0Bsyfy4BbaSmbh7XaMoBBrK4ZYwuFfKzzjytimH5qCKKamrxcz+s1sY2n46YqsMgGBFu10aCESzoZd4IdE/rVutGwaIx+Nppqz5k+XDoJaIDv6CKMTBqRpTJDKh8GD/SvrE+nxQJQ2YQNM7JYx5bhH</vt:lpwstr>
  </property>
  <property fmtid="{D5CDD505-2E9C-101B-9397-08002B2CF9AE}" pid="60" name="VS Team System Data DO NOT EDIT53">
    <vt:lpwstr>3Na4BRSs7tXtodpMQcTZQI2CbTQocB+kJZAvUhEOF2ctvQhSb0XpZMyqg1kXMKHnXTN7rFKUtuM8TT3Sddo7kw1UA+VJwoTkcrA2zTUpINkugaCXDcR09u+a3xYy+lGbECjaAmtT0Q9tVQh3cL9TaxvWUlVzvHciuGp4GseZxPnloMaHiUDEjSR3GDJkpKWSL0hL4YkVKJgYk03PtxCUEob7Q2q+rtZmqW4U5keqlKK+WCBIDBXx4BZOnQntGSH</vt:lpwstr>
  </property>
  <property fmtid="{D5CDD505-2E9C-101B-9397-08002B2CF9AE}" pid="61" name="VS Team System Data DO NOT EDIT54">
    <vt:lpwstr>XIgXMEgjTEpHSgDE4/nCoZUBnVB2EtEGxvYYTW2OMv1+FkKqAaaZh5kkFEiANa49yrjwdeioJEQkzqNGdOjuAx8ZBmUD2DLEKML1tR1RJfxAJOZqw33Lr+8iRMiA2Y4ZhRIJjqmhqDLTKFHSRjcIG5QVlooguMMEx59cAsE3LuspzwiBYBU7GQyp1UJvy6KAVe5oS4wtG1kT0CeNQr2DAFhCaCjvkiBS5gh1+VMV/Cc+xFwObR1tiinrWjhcrEB</vt:lpwstr>
  </property>
  <property fmtid="{D5CDD505-2E9C-101B-9397-08002B2CF9AE}" pid="62" name="VS Team System Data DO NOT EDIT55">
    <vt:lpwstr>LO9bq5FGkY59cOcVQ8/U8aAJuUXO/6pABmFwPRUkB2U00WY9EugrmHb/UBeqYbuillW82mkZFppW8eRDdjSQZqSg53rUBQd8D/H1GpPTSgiEVAHzDPY15rALwOaHmOMClab4FjHIrNfqGlO1rwqSsnpNAqc7y3jFnwgR4M0Q4MeQjKPiLEic6PkFq1tOXFgT3HAwUCb+aFBMGHwqHvdqLLIrUvXyUDAtpWQ3XSMlrKv7un9ckBA5dkFAh7yTCVB</vt:lpwstr>
  </property>
  <property fmtid="{D5CDD505-2E9C-101B-9397-08002B2CF9AE}" pid="63" name="VS Team System Data DO NOT EDIT56">
    <vt:lpwstr>rzjyUOaB3V52B5LRHCr+ClDKQip3zIBlemNdihHMcEwrRA3ZZ4dz5Ki/ZnSv1sGzT5iUVei0RT7V68a5aOhLt72Y2DvhH+BDCiW3eVd0jGOMXL5KngO9Y6i2N2BdBCNnHHHKMJGMRomI/rkEfJ1GWBAKBNREBqAupRJe41yJurUiD/LayrFbdc4xeGDHxISEjFtOJbsJlMiZLEWCQclJ85sfmKIGHU50CeVqDqijgeI0ZeqPeSa9MiCvLAGtI30</vt:lpwstr>
  </property>
  <property fmtid="{D5CDD505-2E9C-101B-9397-08002B2CF9AE}" pid="64" name="VS Team System Data DO NOT EDIT57">
    <vt:lpwstr>X+WAYeNsQNkVyGAJ4u4U7tCLJVT6ON0iZSyRmh0QqogntFYl+UioFTqk4DCRpFiPYiR1cx0CQYbwqQNoJY8c0UIhRT2FkmYedUK0ogXHYM72C6Yc5dbYYuoqQ4q0CoRMAD7OYbgEnM/af3bqsaNkNySB7yw2NSE0YpAarc12HGXpYduLUkNKVe0yNvIT81FUDc3XeDBz89kz1JiyEVuNMgVtHtBJSSI4B4BG1wQ7keRUNUyxFx0lavQe+WDM0IP</vt:lpwstr>
  </property>
  <property fmtid="{D5CDD505-2E9C-101B-9397-08002B2CF9AE}" pid="65" name="VS Team System Data DO NOT EDIT58">
    <vt:lpwstr>CGFBQiGtCwAevo6YJVwZzeooWwe0ydF/l1pG4qBqa6em1QVuWAOOrgJqiIoYVTwlszP7mEatMc0Yau+lClbwP2OBmm6Gg8WE3+63V9rhZ2r5sj4ugUhwQhhHJ9PjRxt0RMBcTSKYffF0OMHpVDf6WYIGlGqKm2NdQAPGxa9moWECcT/ezXjVgT8pZemCqkPrk+jtddkd9UlgWRriBarOC/ElkWEyxMMGpGUQXmrpKJQGJNKBXYLs0EmOCfk3X+B</vt:lpwstr>
  </property>
  <property fmtid="{D5CDD505-2E9C-101B-9397-08002B2CF9AE}" pid="66" name="VS Team System Data DO NOT EDIT59">
    <vt:lpwstr>tCijhRnQmeuqV+lgppAvUW4DWdeQZdEBoa/hDYkzC6LQJw0WJaCLdT0D8JR/jr9vJLVrcdSVMA7HTNvWqJCFTMJRU13qTAIdqcBDSFwR/D0SOQk8EgFk92mQzxo7qL5ANXrSm2RX+fX2fMbBt32MEvF4LpKugxMXzW0/yjFkRN3w4wllFXozWyAb1QwHeGRClOV6GlFHJrs59c8wTGuG5k0JFvaIdwWf0YgoINF2tGKnqATBJqIB67YmJb6mGmM</vt:lpwstr>
  </property>
  <property fmtid="{D5CDD505-2E9C-101B-9397-08002B2CF9AE}" pid="67" name="VS Team System Data DO NOT EDIT60">
    <vt:lpwstr>EuYEHDJ31kMfKgierNLrztmty5iXtK2pcAWUIGLGV5wMJMIejpCUbtOAMQ61SjN5gflKPbMUIdQCCQlKF4xmRCV5fs3Tvol1a27IqCQk9CtGWigZ3ZEEj8jVlbDG9jBTkwQNDknWDTDGHnJyx+QkzZKExjcQ+7TztjufVjRX5QpaShExM0JrKjdNqErC9J6CM3KQTWsGBBwJCTexpXClSZMwPVTgU7pQJSJRo6zkwjlPK23rxqzBtOWZ5xXhJxc</vt:lpwstr>
  </property>
  <property fmtid="{D5CDD505-2E9C-101B-9397-08002B2CF9AE}" pid="68" name="VS Team System Data DO NOT EDIT61">
    <vt:lpwstr>0TddQAYrgMSMVFg+AZ3OQYqad1CAsOypVKm22OtsEvJ0dtQNylSzg+SdxyrpULvxPcucS2sGkb+EGLnHkXDcMregCIz1wJA+pQoy69kD9G7CPIUixXZvy7CmfVwtUvWNC1nydTYlA69RMpQojIzS1guSS2YgSArEECjJ1t1EHKB01V1o/NPGCkRyFfyztMxVHeKV4yd/IJnZwHcG3kLWN9FiYJNIylVpdaQGCFKk2XzJsI/CSm023DTpohGootg</vt:lpwstr>
  </property>
  <property fmtid="{D5CDD505-2E9C-101B-9397-08002B2CF9AE}" pid="69" name="VS Team System Data DO NOT EDIT62">
    <vt:lpwstr>ObZEP5oqAaI8I0erX862aAmTyvIz1iPWWAOMB6WwLzqRnR0rKdnu2oyAOnaI3vl5IODcNQeyAbNenKmlKGea2203yBqGksz9E6oqacBEVFcVoOEr1gfRgJkMtS1Mx8HRhN/ZAkT7vQhkl4S+bcUwRtuB0ekg1zpJe4FSfyvK53qQA3VIVONAxcCsioYIxgCQOWEqEV5G0RfmmtWKyDCDmGn67Gmph4BE+gQ0kC1pvXdWNofLnOF+0ghIzCxUEMI</vt:lpwstr>
  </property>
  <property fmtid="{D5CDD505-2E9C-101B-9397-08002B2CF9AE}" pid="70" name="VS Team System Data DO NOT EDIT63">
    <vt:lpwstr>oruFY5QgpOW0U3ckt+wv+foMZcNyX9xKuJ+BH40SHpB0lSLPTXTPs11MEZea3Agn3RCz3Rcz1T7ik4KpR8byP4IrDx8LMovMasxhcfS/l5RD1K6jChgARmfTPo018HrKsbvaQoS+dsOuJxnCKciO0b+Osbah0FsHXMBXTG0Olakbgpm/8bUDzUiOhoYlaP5HOMUZb5yBkpPHArngJBcZJhbZgv5UCIhC90y6a6AsUlg/TBBtyac8VSyAneo019M</vt:lpwstr>
  </property>
  <property fmtid="{D5CDD505-2E9C-101B-9397-08002B2CF9AE}" pid="71" name="VS Team System Data DO NOT EDIT64">
    <vt:lpwstr>DTqckwXG+nSSR1qnn1sytyn1CI3BSYbimiqcjLSsmBpYQUtYgn7tALKpZkGMk1MnV59pNDiHJYecZUsIqmn+eV3cXcPeXUG5WQUWVoomvhrqLDn8uz4d5g9nNFVFWHalX2Cky+E0MKluA/u7Y7JYv1TuHiNO8nVc6jFzfl0+ZDdT0GhCvDC0x0QjSgd+twRKXEdLVkVXdA/gqmIwTo6dZzIq1JJACRfKVtmkPLhO1aW46oHwJmNYo2k1CzJaWEs</vt:lpwstr>
  </property>
  <property fmtid="{D5CDD505-2E9C-101B-9397-08002B2CF9AE}" pid="72" name="VS Team System Data DO NOT EDIT65">
    <vt:lpwstr>FZQZeqR47Er2eDo4yMO6Fya6wLHiyjy607oEf08CUhQ6EiTivc5E8DAqOfgnxKjLRMmR2PcX70HBpa2sCyzCJz9CUmdLXW0D6VSHaYVZEBCGgWEMW3LpJinEdlaVMNPCR0FdQQgWRwezmYLMomkGieyBJHdqihVm2D6X7QDPGkK0a/1TzD3LpzoX0czoFUK2S5w7mZXXX0TOtPqlSZxWYbiPmvXaQuwcWojIbuMklPDREBriJWnJgRI5BJOcBhL</vt:lpwstr>
  </property>
  <property fmtid="{D5CDD505-2E9C-101B-9397-08002B2CF9AE}" pid="73" name="VS Team System Data DO NOT EDIT66">
    <vt:lpwstr>lAfzsNrdapZzz6AjUQWChSOlIK0nhSgR73AZrnUOKOYVnoAl9yJHNdA6mqYQvMMPs5ZKcL0zmmraXr2gcdGa/QldvGwywhDR5rGQIO1Zyp5BxqVruADqBmS++snFYaD1qqAV2osDEopSJwyV57zuvKsFlo0QbR3lUM4wsFWLKbCfwxRZiQ25AyBxHq6LrR+HnaFRpaqwQ9561l8cBesODyT1My6845YG7F0+MpT4WunpyeQS8vNaX6rSMt6Q1ky</vt:lpwstr>
  </property>
  <property fmtid="{D5CDD505-2E9C-101B-9397-08002B2CF9AE}" pid="74" name="VS Team System Data DO NOT EDIT67">
    <vt:lpwstr>kHKjCpz/LvglgZ2ugAZ7cFFx7qery13+2RduRtYeYRNEzEigPiOwFp0X+S9asqGEnVyvQ3YqQK+RYejJBBNIe87D5qwVQAh0pSFVO4EQeXXpWRADdRUWQtc+wQqtZiG3YRIK2A01GxDNbtkTKAIIWAmKNlpCk+SiNgTyC4hAV4AXs6kGNfJM52MNT6m4DAMmxnGB8IYJExEycRUUtFJoHTCOLa0oKRYn6ASO4ghI8A18D3Pr3liU9bBkdTwgNXL</vt:lpwstr>
  </property>
  <property fmtid="{D5CDD505-2E9C-101B-9397-08002B2CF9AE}" pid="75" name="VS Team System Data DO NOT EDIT68">
    <vt:lpwstr>YP90FExi2E3Sapjd4ckE2L/af3ZgyzOKWgUJMKFpwqCXhKyMY/w8rWIL8jxJI7l1XROmnVRDo/vSgb+NQRSndHVrhj0vXVTPpB47iNaywIzSU5Gj3qX0UkmrNJSpmulYL7WkT+/gOk51Dc5lXrmId+OQR6GRhlGRcTHgyXviP3MkStCW8uvpn1F0y0hBc7R6Whg8n6cA6f3rWtKjlSOfPKPTEri+PIbAA2T0uNINViOioyZjiKtCgQLVTQeOD9a</vt:lpwstr>
  </property>
  <property fmtid="{D5CDD505-2E9C-101B-9397-08002B2CF9AE}" pid="76" name="VS Team System Data DO NOT EDIT69">
    <vt:lpwstr>zJsUImqkgB5xg9xfu4AR5Ga1rTpGPEQ9KLEyYVAhSAgaGT8u8kZATregqJKmMlWzQD+BHyzCooR3iwp4+1UxJ99fpOreOAqdPCEYp4Nj3pqQBwlTBnIE5HaN0k1AqZFBn6M1z5AbachjjEAL0jFRZ3T+Ohl3oxBvz7a+rALVu4PsQ2AgEldmWnilUDdDWOswoAsiacbqhGbMKaV8QvCorgnfUUM2M+5cGbM28u5FOG5dWyXNEtrgAv1PhmNWk7d</vt:lpwstr>
  </property>
  <property fmtid="{D5CDD505-2E9C-101B-9397-08002B2CF9AE}" pid="77" name="VS Team System Data DO NOT EDIT70">
    <vt:lpwstr>vgGgEdd7htGdwbHWmklhR1DrN+Ck5QYzQ73CQnn1C4D5H2zeu6yZrXjY/oQEhZGNIFOgqajS28zjAQDnFN0Huy7CWBFXakAxdWA4IIDVktHGA9Jbic3mP/WvjGuq7jmCkLWTDBxBqiUM/hPiEtlEF2ONB+w1AfGk+yZsB0qMjG0HmXDvwWPWxbZb9kB+NJDLsuxWiHk1D5EXLBb0KF0xNKC9EAKMyWHZDlaiulIpEA8HHQ3fXoHNXrQLdVUMvIs</vt:lpwstr>
  </property>
  <property fmtid="{D5CDD505-2E9C-101B-9397-08002B2CF9AE}" pid="78" name="VS Team System Data DO NOT EDIT71">
    <vt:lpwstr>1qevz2hZlmX3khxI0PzQEn/WgayMmFWcRyq7qRIs2YYqFVy9zSvIadXAb6FmGYiNdGEMT89EzPnbcqY0ilaObI4CgW0FDejYmoxJKmaJcqMvS5kMKJheKRjTGNaDTQLHtafiM5SDxCyZU6bhQNSOgs+0gRKvC6GTQn9sl7SGIFH63AVcvIzgcYpR0or5kT0JKcbit6iuqTmFnCXpR9mFEXsCKjmfNw9SeWug+V2FDNbsp6ahEQjVU5rqGIlnOH4</vt:lpwstr>
  </property>
  <property fmtid="{D5CDD505-2E9C-101B-9397-08002B2CF9AE}" pid="79" name="VS Team System Data DO NOT EDIT72">
    <vt:lpwstr>cSSRPGeYCxssUQmdhVp/00GhNwC6U1isNEd4Xtfl45R5sXKOYEakX8OgBuYlxvNXJFUOHSCOCkANwMQFykBefQ/TfQJbki3YBCMj/dW4gTiln4e4Tkpt2cqcDDasaIdqW4ojJIUGG4ySWkI06ABrhgKUVDtbTjigHgrgHjUN1TXNgx11NsFqFjo9xrouWkc92zGKpYLcKwxJbcLAy5KYC+7hqh+KnDX0kEk5DAkPzPElDoY68rzUXRRGojis+8K</vt:lpwstr>
  </property>
  <property fmtid="{D5CDD505-2E9C-101B-9397-08002B2CF9AE}" pid="80" name="VS Team System Data DO NOT EDIT73">
    <vt:lpwstr>wuEnbxMo5yziNQmrTua1wm2C2gTYvgF4rgOQ9KEVp5lheU85QdA8eoaK3I6ORoqU8XoJBzl9pB320rgUBcptANJV2w+ieAvK8nixiS7txQSwjhh/GXlY4fhUdhaFJydO/1LuBJCytAhnY6/xnv25mcQJXhSLWNvQaQUKRSRh6qA2FbHVDOjyCObWlfymmEcex+IjgNwdBL8ONohPN+UIud5LmXwcrsHuUUvgd4PnQuGpMS0vQEXgHYCmztWXJgP</vt:lpwstr>
  </property>
  <property fmtid="{D5CDD505-2E9C-101B-9397-08002B2CF9AE}" pid="81" name="VS Team System Data DO NOT EDIT74">
    <vt:lpwstr>LIGKuTwBSuGcak9VQPZ+P2n54ixgKEagozXwnfoESc0VWQ4EPags0DyTvqw6EySYNCK/YBiANB3gVKszCTwdHMpH7PSA8RSQqWPVmYzz6FuK6bZ82E35Rx23FAycH6YZeuoUihwb5w9yrWhlamhGLZfjImXdAzR6IAk1tDYZChglSTWdDP02bYVXBRKdKAnSQtENEn0aIW7NK1MLaYwISCdsUUmhRmDXV8U5WoiLhbsEsd01DEjgSh+JK/MfFF1</vt:lpwstr>
  </property>
  <property fmtid="{D5CDD505-2E9C-101B-9397-08002B2CF9AE}" pid="82" name="VS Team System Data DO NOT EDIT75">
    <vt:lpwstr>+UKcixyFAgWgCCJ+A2UXBpYvJykXWk9JmAU5A+rMFUgcF7gSgnTnWq/gaagwv0oFiirJ7CvdbmClmg6ghTQ1myBtkaWhbbGQu/X7EgEVCeCqimhNcHTpxwFmqpUUVUZUPMluLYYAmZVN+bXPKaQzNbp55pwQ74BA7RLesKUBAM0F8Epq9nh+NIpqNvAu9EH6txCerihkhWDv+vDBEUKLt08o1MxpTNfR3sJxNW8o8YPfYQllZQy3oQ5S4FhKgZX</vt:lpwstr>
  </property>
  <property fmtid="{D5CDD505-2E9C-101B-9397-08002B2CF9AE}" pid="83" name="VS Team System Data DO NOT EDIT76">
    <vt:lpwstr>PswfSCXGTbCPnsZBxjhkFOc1cwl1Jyqo1820jty6OVspRbGUerWyGX5QvyJFZopPVA2cMnUgAM6HxpoKWEdDB6/zQ0hrl1HNK3S3xNkSo5N30z6gdYsupExL0Ed99zgpC+qKyA+j7ApAKSmzRn2Y2kk+seEqqnzIzKUObrCEX2xpc1vqT5kkGdfN9fCQlvcUTtRCSBGooauxDCBAmMBNWdgNFB8VyJOakCa0LJVMoyipJfsAKiboFWplAUs86al</vt:lpwstr>
  </property>
  <property fmtid="{D5CDD505-2E9C-101B-9397-08002B2CF9AE}" pid="84" name="VS Team System Data DO NOT EDIT77">
    <vt:lpwstr>Z53B0tHWYXtC5QeJl/5lRuDf1l5MayHCve+q1WT+AeRIYy0S/wjwm0zg9CeimHnYtMvYFJ+lZcTyt+7+GE/0nGU7kXbTNkuz8x+2F2/6YFLvzH4viY/Gjv9imn6ILu8bPWZK94UQXZbyNso8mxJlI+PPswkykKcLzi+jTx/RCFCsvcs7/t4cTVfeXv9ixXuzuzjZn3eezdne3u/7l5uqXy8/2ZTf85p/CQg8PLPLJOlB5T6DXASp3oMk8RSgJo5</vt:lpwstr>
  </property>
  <property fmtid="{D5CDD505-2E9C-101B-9397-08002B2CF9AE}" pid="85" name="VS Team System Data DO NOT EDIT78">
    <vt:lpwstr>fn00OJpZgOpucO4KcoF2t5Te2j+o0ZoVuTBhEKiQL3wqTiyXTJdB3XRgFntoVOSWiPBsqX5QMSMKEMEQdtxziUDmi/cuMeaDCsTXLy3TClVBNhA2u4wAnzax5nBlYO/lXxmmRaHyYOl3iMDLtwfkDmtHBK1mQ7VaZvwVfC+xbBLSPgcKafdMkwxbYEHbTQjDIZlpqsq25ntK42j4OJamruNaielO7GBD8nBFMuDKqNAaJ4hS29H9DZdSAerobGl</vt:lpwstr>
  </property>
  <property fmtid="{D5CDD505-2E9C-101B-9397-08002B2CF9AE}" pid="86" name="VS Team System Data DO NOT EDIT79">
    <vt:lpwstr>I6ZMAtgujGg1ScrUQSJrEEBF27gYczo6ggeTg3KtYDqNgdj2wVeVujAHQeumdUtOSWy01E2jCOQwCxU5KdrXicbzAdIgT14SoFyJXKonaNhULHYiUEa9PmQJhJWlPjOtmyOfZqTiiQi60NpPrSfvjLTtXLEcgeVc0/aRMFFhrNQACqIOGTgSUloQqIqEYhoS4gTCtrl635oFCvDMISnQegLTT+TO7iustZytoIK1MNUmQAiDtlCk+GKxg61mAPS</vt:lpwstr>
  </property>
  <property fmtid="{D5CDD505-2E9C-101B-9397-08002B2CF9AE}" pid="87" name="VS Team System Data DO NOT EDIT80">
    <vt:lpwstr>yOnCVOc3XnTBPI2evKgoN2JmcXd0E4pBdV6exyQQ8brMQAJdcM7stQj24BTStgzksoMMOUNFqwILgUFNp2MB873WTNU+4GrkcmZDy4WAkK+cJJ+uG4jhQwcbvTI5mc8CfgJbdkezpkwM/EclDRwlzRxVLeFvGCElOH+tsMX+NaVxVnCgMKrrdUPOV1YwcyrVEd1KKflXqQe6mttqQMzVtOl6XnsH6WhLPc1TZ/N0kOYAZHw/9Bu3zBZfSJCPi1R</vt:lpwstr>
  </property>
  <property fmtid="{D5CDD505-2E9C-101B-9397-08002B2CF9AE}" pid="88" name="VS Team System Data DO NOT EDIT81">
    <vt:lpwstr>mutetmUSaAuUImQ0YyQhOBBgTHO5yjSspS8jg1Ir5yxrMBqQ0BqGZhZPGb27iYGTm1zwZsryux1hvm/RhaK3Mw5x7huWaW+8zWNO6IZYVnpi5EXWg2/CwV/BqcioVDROkHJvV3+dV3WReUbKOBVzc1ABGCsrpHYUF02eBhEWYL3rpMzjUE3z3EEqFwSSm1fIwrrgcZlTIGIY2oXaJA2JqutfNDIvhVYn5rhxdJcZskDJh1kWoCSvea+FcJMvVAc</vt:lpwstr>
  </property>
  <property fmtid="{D5CDD505-2E9C-101B-9397-08002B2CF9AE}" pid="89" name="VS Team System Data DO NOT EDIT82">
    <vt:lpwstr>v19ePsXRpKE7iceuiQCkT6tfSn6TpuAgGvQ+GRS2SnrWEeCWAACJw72h1bWB4cyeYO1HNBSqOjVUxQmuAMMn+rDMNUlKJbSAyM5Xkd3XoYDlHgTbRQmah1jeaZPDA7JOhahip5WilyaO1axvsJ61HCKYMf16J5RBbQ6lcWZjpOXNFkHYWaJg9RDW5h2ciBpCVMIslgwkqygU3d0dQhXDNzuWq4rDvITTogbAUJAh+GecAsmCy4/BMXaV2/gUol/</vt:lpwstr>
  </property>
  <property fmtid="{D5CDD505-2E9C-101B-9397-08002B2CF9AE}" pid="90" name="VS Team System Data DO NOT EDIT83">
    <vt:lpwstr>cDKmzF7OKEO7+jz18RlOhAysFEeOmjx4ICxSkHte6qdeTmMjGogQWwp0Xev6wfzabxKb5gQ5ozxsC9t4Qxq3ABIjMjFmnJovPzKgmKgMGgk0YswyojqkHoIvQ62Y3p0R++uaozzsjG5gqsxuAVEzpobn4CiY7JVhhMf+LNLEFR9oC4BCBgS+hG4+TwbBpjGDJAqGSddYlgWWownohGnq3L6HSQPKV2BGvOE8Dqmwjn4hYuYog6URyltBubPFfEw</vt:lpwstr>
  </property>
  <property fmtid="{D5CDD505-2E9C-101B-9397-08002B2CF9AE}" pid="91" name="VS Team System Data DO NOT EDIT84">
    <vt:lpwstr>SUozapMhvR7RKaEW2owwQC0H86ruuXbyXymj/xwpo6f3oC+4+7I937Xb++2H+5vb7U/2hf/4fHV9989fPb6Wb6/v7rWib9snzyRKzz/66KPFMao3nF8IVGz+cvrpU5aXaeJid/68pOvHL3mx4J/v77/o+OwQv/7fH+++Pr/5/PXHW/3nN/af97vbz5fX28u7mYe8PJM1T2G/ny53VxeP+3zCADxu9DKkn75NnsKnvz790lPCS//6Qp9c3nUXl/f</vt:lpwstr>
  </property>
  <property fmtid="{D5CDD505-2E9C-101B-9397-08002B2CF9AE}" pid="92" name="VS Team System Data DO NOT EDIT85">
    <vt:lpwstr>bj1fhX+uvfv/D7cu7d/1iuX/Zbe9url/+7rcXu+v7y/tfH3+3317d7V7eok8vt/vhV9vT569fPObpRZpGcd5Fz3mWF3t5+rc3b2m0rJd7+qNybGf/3/bzl/92Vt3fb89/VhLu7u2b/O7y/Pbm7ubT/dd/vbx72F59uH+4uLz5uvvjbnvxNd9WXV+Mv+lZITr3jPB/cQZ8foJXWj3c33ze3u8uzn7Y3d2faSNH2fqHHz58/UPz3ddPz9fjn57+HL</vt:lpwstr>
  </property>
  <property fmtid="{D5CDD505-2E9C-101B-9397-08002B2CF9AE}" pid="93" name="VS Team System Data DO NOT EDIT86">
    <vt:lpwstr>nNyW58UHbjt220ud2xTVMU79jhIMHDw56etff6yoXXV57+9emRp3t9T0/f226xsN3i9Nv99uJ0mx2e/bzVuW2eYIs/XN5fvV9An5+y967ihXcVH9pI/raNfL+9tf8yG3YcXfr4kkaP3dvenDLh8xNs78P97stxd/b8xJebeq547W/qZXPs0YTvu93u/vL6p+Pqkea77779enjyvApxC+/NnWCLf9lqHcfb3M3nzzfXX7946t7O8oWd5SfY2Ug5D</vt:lpwstr>
  </property>
  <property fmtid="{D5CDD505-2E9C-101B-9397-08002B2CF9AE}" pid="94" name="VS Team System Data DO NOT EDIT87">
    <vt:lpwstr>l7i6TTkyy94uels4XVmh1+ne+M9vPz34+3xw/nPu4uHK3uVXz89d+99LlzG5OBlfKPH0l9eX979/E6HZXmD4fHzLkyysM3kBNv8cL+9vT/ZLnn6dJObWcdzc9jzjA5t8ECI8Qd7yK1q+WfNzcP1/du3ORh3nqdI4vlxL9+eX3BA/Skc0G+v73c/3ZI6OKsfLq+O55HxtK9fPP/58Xu7XfA//Sn8z79urx52Z5V5/8c2IDz56cEvNujd/Aa9O8UG</vt:lpwstr>
  </property>
  <property fmtid="{D5CDD505-2E9C-101B-9397-08002B2CF9AE}" pid="95" name="VS Team System Data DO NOT EDIT88">
    <vt:lpwstr>//xFJ729Uii8u77Y7c7i4+1UfsDjFzw+f1yucS/4KEf7PYX4TvebnHa/4/ynCepsZKHPT5LBubu5+sVchPrXo7tAw6OHJ+9tccEj8Ac9gjfak6ctHtWkjDY5azb9grfnD3t7b3V87rfnfzv7y/b6b8feJE9+evDeDhdSU/4UqakPu192t7aVo2/v5XP3NM98/OjdaXKp//ZweWti+qR50uNqnscveHz+uMhs+5pPB3h3MB1wtP1mp93vuDrmXgx</vt:lpwstr>
  </property>
  <property fmtid="{D5CDD505-2E9C-101B-9397-08002B2CF9AE}" pid="96" name="VS Team System Data DO NOT EDIT89">
    <vt:lpwstr>vHe33JHHmZL9HtqTj/c5Y0nnLYv/vP2S/R7ak4/1OLKl389rJPv8P8Rz8cfc79hzGOC3b17y98e4U2YXpfqPT7ncMfLB9zYel9vl/iDznp5XnMQDB9jWfbXjsbzn1fovT7rcY79dFC9mV6BT7re7ubs4vSZc1oYp/9ue/X+9uj+htXOz+svvlcvf3r4cveH7+cx5iTqQ3p0izND9vr386Wv0rPGzqBc/FbqeI2x53cziM2f/9g1uZRi0+WnCPol</vt:lpwstr>
  </property>
  <property fmtid="{D5CDD505-2E9C-101B-9397-08002B2CF9AE}" pid="97" name="VS Team System Data DO NOT EDIT90">
    <vt:lpwstr>NUSwgsHqQBTxKyPD95z51fKJj40zi8Q1z2XhTB4chsFlwwiyo4CZygerj/+eb28t+lSN9RHhqE8/lp1d14S7MJzHe8uQOb+pOpsndCA4YN6UkzKIA5EMCbdeDr3s5R9ODz82ZSzOmce7ZJDzpnb00xd/+4393KO/vj8dLMj89cyDTPWut3mOoDu/vXm9u/nanz7Z2FyWFj/zr00c0WI/OF7Hl+0Iy9Uet/+/nL9vz+7Ob6rN39sru6+SJE0HHdr</vt:lpwstr>
  </property>
  <property fmtid="{D5CDD505-2E9C-101B-9397-08002B2CF9AE}" pid="98" name="VS Team System Data DO NOT EDIT91">
    <vt:lpwstr>vAVf74ef8Henhdy6PnBFPO796wi4mk2+/TkvV0uoB/yt6uaAzCO7e1Pu/uzwSodOReprYYvGJ4/m47MF6x7fgo4RHNze7s7v7+0vVbnVIPs/zyYQjqFY6P9P39h+L7wdQecnXLO1ebzExzHd5fXD/e74+FDAobixUP3XvRCej0/mNd6484qswi/3l0eeWt7T93b20JOPT9oRt+tmv7lbnd71v3jy+72cnd9fuSr+6il9CWj79jb+kKyPT+Yznr3</vt:lpwstr>
  </property>
  <property fmtid="{D5CDD505-2E9C-101B-9397-08002B2CF9AE}" pid="99" name="VS Team System Data DO NOT EDIT92">
    <vt:lpwstr>1qvb858v7+1qPdyeaN+Tb9jDHiyUw5JTJC1HfQbHiUSeH7r3NhfUT36K5FV3d769OrrJ2Xvqy70tlGzdSUq2Uve/kLd5R/A//+aeHj1Tw1wow7vDZfg3eg/PezxFEfPp6XO4mDknaRMfdJHeGrRoObabI4Urw9PmMTELpS73G6WuN5ZmbSlfrnZ6fQo1jvb6XsCanr7h6Qv2drvg+f1GIfONu/3z7eVPl4o9u7v7y88nwnE9fsned+ztecFu/Ea</vt:lpwstr>
  </property>
  <property fmtid="{D5CDD505-2E9C-101B-9397-08002B2CF9AE}" pid="100" name="VS Team System Data DO NOT EDIT93">
    <vt:lpwstr>x6417/svu8/byWlDZU73hp2+Yf8MLLt9vlDLfDDW4uf317Puby2M1xkxAevb8F4/f2+mCA3i4yPV2LOL97iykhE+ievmC8PzZmG2hhOkOlzDfnHP+cntzdnwgO8+dR7MvlLTc4ZLWWyH6GIazb68/3Rx1f+G5T4/d29+Cl3eSEiV2/AQAmb3nvnANZrPo8UH9+lbXIPTHmQHtL692R3IQHp+pR854CbOez2HH563Fq6EV7QjFq/Cksbu6ieeu2S</vt:lpwstr>
  </property>
  <property fmtid="{D5CDD505-2E9C-101B-9397-08002B2CF9AE}" pid="101" name="VS Team System Data DO NOT EDIT94">
    <vt:lpwstr>Y+eMne+qq+396+K2k5bOXFY/ZKVAsKw799Lwdalm4vb06BONt77l7Fe0FdRCdRF5OK9xH3Oa51jwVyVh5PIY7ftu8WxUnrn5mnhegvPQUI+4fby2M27gxC+OKpL6qIswZ58xsQk+Jt+/r2fjd0Cogb4P2v6fFxT097hiHMmarycCTwVoGrb7a3ulFXD5+vz9qb6/fXp3hieODT814KY7GQbilOkW758PBRfAxn323v7x9zovfHxroNXxK+I3zFB</vt:lpwstr>
  </property>
  <property fmtid="{D5CDD505-2E9C-101B-9397-08002B2CF9AE}" pid="102" name="VS Team System Data DO NOT EDIT95">
    <vt:lpwstr>O7m8gVTkJ/Cd/wfDxZoPpJiHHez00e/gAPNVvUPN7C+taoqpo+zgerj3TL7gjZkf0uzJu5U9u3yp2u1Px5091/jVz0+6oeRh7+Z1ZZvb/478HZkTu+OhVMYHjYbcmYL2iQ7hTYZQIB3J6j9Pj56tvabLdjv7BT2+2mTwSU6zTZfPPtpo+ncXUsP3rXybVv8w+WdcjbvFsyXz9l7Xwv52uwkTAW3N19u7gg2/3Hcl/X45McH721xIUmbnYSt4NfP</vt:lpwstr>
  </property>
  <property fmtid="{D5CDD505-2E9C-101B-9397-08002B2CF9AE}" pid="103" name="VS Team System Data DO NOT EDIT96">
    <vt:lpwstr>X+5vPh/Zar946N7OFlKx2SlKePXVzfnfdsdrO2VnLx/6tLNZ/+Ow8/FWn/IvuyvitCOiuYZHLrcNZwuJ1uwU3QQ/bO/+dgKWCT12FtWVLeRVs1O0hvzh5u9nvejkj7s5e+zzU/c2t+AYZyfpE7i5uT9rtg93R351eu7zY/e2t5AkyU7hRHLCZ99en3XXv1ze3lwfH5DHN3x7PX7+XqSzoEDzgwr0aMit76+2JwZrPX3Dy13HC45ofArkZfXly9U</vt:lpwstr>
  </property>
  <property fmtid="{D5CDD505-2E9C-101B-9397-08002B2CF9AE}" pid="104" name="VS Team System Data DO NOT EDIT97">
    <vt:lpwstr>Qgp39cftwff7zmWgCbx9Y3/HqIf1ud/Fxe/63r198Yfi+ydftncWCvxof9FfT959FYONQbeP283Fj37mT4NvGX7Z3Dgt+4OG8/Pswm6eiIgmPn43BZtlI+PwUGvzy7ugt40/P3NvVgho7XDJ6c9CleOgUqKDHJ8+AguKFMnx8io7i6vx89+XYuKenvP3j0+d2ueAZxidhsXqhjI7qIM7pn1lfMV7wFePDvuIbsRXdJ9N+x3MxXuibF0/e296Ct3</vt:lpwstr>
  </property>
  <property fmtid="{D5CDD505-2E9C-101B-9397-08002B2CF9AE}" pid="105" name="VS Team System Data DO NOT EDIT98">
    <vt:lpwstr>i4OvjW7f1w+Xl31txe3tuJX52gtKbnjx+/t9sF5zE+6Dy+sX5YP9xdXu/u7s5g8zn2Vh+f/vzwvW7FBXKD6DSqCGz/qVqjw+OXG6NnWYL5/D9gr0dui97f66gpejMrvpt3CO/BpMPnm/vdcXMOeuJCyiGd83nSUyS/2t3d+e3ll/d5s8OWxs96LjnObac8SeEmVBz/uD1WqfHpSXvAiwXF6U8RdTdX5F+P7rqF507gMbNFtrdT/x3QHbe77dkRE</vt:lpwstr>
  </property>
  <property fmtid="{D5CDD505-2E9C-101B-9397-08002B2CF9AE}" pid="106" name="VS Team System Data DO NOT EDIT99">
    <vt:lpwstr>Al6zgwqoVyImMsTlm4uTkYAMiaImBCAuHIhKi5PWMW5OBnBy3i/04p3uRD9lqeoggz4+SM3du09dW9vCyHvYZX51grPw63qMMfd2suH7u1sIez9DfzJ23Y2D884MtXUDDxjwjblyoVYuDyFAzq/7SMrpJltz+ikheC4PEVw3Gyvro5M3sgl5bEzkX+5EAqXB0PhtzLUhM0dv1U6PHgu8eaLBcq/4iSdMn+4eXgHv1DzcHd/8/nrp4fs7WPeUtjn</vt:lpwstr>
  </property>
  <property fmtid="{D5CDD505-2E9C-101B-9397-08002B2CF9AE}" pid="107" name="VS Team System Data DO NOT EDIT100">
    <vt:lpwstr>J/Bq/rT7+9n7obLDduxhS/BYXyzEtMUpVEq7+7K9vX9fvWfY0+hRe1taCF2L0+RE/+1hpzFC797R/pP2NrRAulecorL6voTgsJe5pJ8vFrj0ilOo8f+5+/Xs4e4Ir8Ue9PScvd3MB2/2+QnUwb/udu+oJww7eXrI3jYWCPCKU4D//3x7sXsHQGbYx/NT9hC7C4FLcYrABe6CkM7X1LMTQO30Dc9fMAXcbWaZjw7epDdCygmwj4Im15OmQPJZC3T</vt:lpwstr>
  </property>
  <property fmtid="{D5CDD505-2E9C-101B-9397-08002B2CF9AE}" pid="108" name="VS Team System Data DO NOT EDIT101">
    <vt:lpwstr>Y/LyxCPvD9qf384U9PeQ5LTW3gXe45K8Ewr97Jy8w8Psbmh12d4oI4/4YwNvnp+y1/SzkbaKDeZs3cwkMZcMj97NOKoezle1oQfNFBzXfG1X40L5rSzviPl/07T4+eK8zaOFdpqfIwbWXd+eXX64u35P5nd/g6Ml7r3AhC3WYB/N4tKzHhQlOOtVma8CzMzX5/ARiO7PnI8vweM+zkrxQVXMnqaopMy/6hCE/eJK9hq94+Q17213IV52kYPoIKz</vt:lpwstr>
  </property>
  <property fmtid="{D5CDD505-2E9C-101B-9397-08002B2CF9AE}" pid="109" name="VS Team System Data DO NOT EDIT102">
    <vt:lpwstr>zaPsN0nAFLON3bQlIqOklSKhRvpCIfjpg93n+Ru4sXz9/TvwvaKT2FdgqD1R4uzcocVSuJVYCRanr0rEKarZby+QkU0mibx56zubfTuWbbBUWUnqS8H0baCW50d1wJfjEwL0AdZ8V3QQulp+Du++PN+fZKfuD27MPNw+0Ree20V57OHO7nZ+9tdUEpHWbEfaPX2z4cmcDlBbDKnj3r66YL2fL0FOQtLwJ84Z92t5dHn0n2/BV737C35QUwWXowQ</vt:lpwstr>
  </property>
  <property fmtid="{D5CDD505-2E9C-101B-9397-08002B2CF9AE}" pid="110" name="VS Team System Data DO NOT EDIT103">
    <vt:lpwstr>/PWEPlZLVUP9lunUUrPj97b6AIc4nB33Rs3+r8edre/nv1wTIYGbZHH/jAhZ/DOL7Bs+MMsG0cCVB25arcPqBoV7DbzQ0Q2vzFD5I129Jnw4BisFI8Pm1pMvzAE0Z9kCOL4/R15btX++5tOrVoYb+lPMt5yvNcjz6za3+t0YtXCgAZ/kgEN0wk/R4Z1jif8TIGdfqGM6U/hzE/3e2Ro53i/k4k3fmEwoj88GPFo+z3yzR3vd+buLlQ/TzLrcrrf</vt:lpwstr>
  </property>
  <property fmtid="{D5CDD505-2E9C-101B-9397-08002B2CF9AE}" pid="111" name="VS Team System Data DO NOT EDIT104">
    <vt:lpwstr>I9/e8X5n7u9CcfQk8xLHuurIIKB9XTWdNrcw/dL/xvTL4+z1yLPm9vc6nTS3AI71JwHHjvd6ZBji/l6nIMQFaIk7DC15MwjRdnP90+76/NeTtKE+PX22A3UBDeQOo4HePCLg/vKn7Ykabp8fPr/RhQzLYRTK+zf6w+3lTz/tbo8+F+HxC/aev7fhhTTL4VLuESacnP98rdaks+8fPj42nR15988zT4bvmnzV3kEsJGEO41zedxDV3d3u7g6q7z/</vt:lpwstr>
  </property>
  <property fmtid="{D5CDD505-2E9C-101B-9397-08002B2CF9AE}" pid="112" name="VS Team System Data DO NOT EDIT105">
    <vt:lpwstr>88N0fT7H956/4w/3nq+muFzIzJwEpKXtyaer0yPQP+4/d291CEuYwTOZ9sHje5vEJPF48fTYNvgBscicBNn1/e/Nx+/HyuG2LAy3Q3oOfKWbmGGbevLMDWI1/3d7vbj9v30Nd/jhMa+9Jz8CZOdzMKXbyl90v797D4zNeStq8nJ1iBzTcve8qDfvQk+7431mM40JR2x8uar8V7Fxvz/92dfPTEZDCC+2w4fmL3LoLuQR3OJfwVux6qIGegjI+PH</vt:lpwstr>
  </property>
  <property fmtid="{D5CDD505-2E9C-101B-9397-08002B2CF9AE}" pid="113" name="VS Team System Data DO NOT EDIT106">
    <vt:lpwstr>oeXLNg1qKDZu2N2nCvzHs6gMKLWu8eSuHp/3/48Pv/Aw==</vt:lpwstr>
  </property>
</Properties>
</file>