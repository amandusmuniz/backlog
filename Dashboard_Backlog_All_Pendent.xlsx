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jbsbrazil-my.sharepoint.com/personal/amandus_muniz_jbsterminais_com_br/Documents/Área de Trabalho/Backlog Desenvolvimento/"/>
    </mc:Choice>
  </mc:AlternateContent>
  <xr:revisionPtr revIDLastSave="505" documentId="13_ncr:1_{FEE737A7-9F40-4E5E-8087-28EC58BAA201}" xr6:coauthVersionLast="47" xr6:coauthVersionMax="47" xr10:uidLastSave="{29628877-114C-4286-A8C1-1997D3209B18}"/>
  <bookViews>
    <workbookView xWindow="4260" yWindow="3915" windowWidth="21600" windowHeight="11295" tabRatio="776" xr2:uid="{EDE57212-6352-4622-A340-398BA4F7B8FD}"/>
  </bookViews>
  <sheets>
    <sheet name="All Pendent" sheetId="6" r:id="rId1"/>
    <sheet name="20250102_Backups_Sprints" sheetId="13" state="hidden" r:id="rId2"/>
    <sheet name="Doing" sheetId="3" state="hidden" r:id="rId3"/>
    <sheet name="Release" sheetId="1" state="hidden" r:id="rId4"/>
    <sheet name="Planning" sheetId="11" state="hidden" r:id="rId5"/>
    <sheet name="EDI" sheetId="8" state="hidden" r:id="rId6"/>
    <sheet name="Dashboard" sheetId="5" state="hidden" r:id="rId7"/>
    <sheet name="VSTS_ValidationWS_1" sheetId="2" state="veryHidden" r:id="rId8"/>
  </sheets>
  <definedNames>
    <definedName name="_xlnm._FilterDatabase" localSheetId="4" hidden="1">Planning!$A$1:$BI$2575</definedName>
    <definedName name="VSTS_102a646c_ad0a_48ec_88b8_1da5f2d06195_1" hidden="1">Doing!$B$2:$B$24</definedName>
    <definedName name="VSTS_102a646c_ad0a_48ec_88b8_1da5f2d06195_10003" hidden="1">Doing!$AP$2:$AP$24</definedName>
    <definedName name="VSTS_102a646c_ad0a_48ec_88b8_1da5f2d06195_10004" hidden="1">Doing!$S$2:$S$24</definedName>
    <definedName name="VSTS_102a646c_ad0a_48ec_88b8_1da5f2d06195_10008" hidden="1">Doing!$R$2:$R$24</definedName>
    <definedName name="VSTS_102a646c_ad0a_48ec_88b8_1da5f2d06195_10009" hidden="1">Doing!$Q$2:$Q$24</definedName>
    <definedName name="VSTS_102a646c_ad0a_48ec_88b8_1da5f2d06195_10013" hidden="1">Doing!$N$2:$N$24</definedName>
    <definedName name="VSTS_102a646c_ad0a_48ec_88b8_1da5f2d06195_10014" hidden="1">Doing!$AK$2:$AK$24</definedName>
    <definedName name="VSTS_102a646c_ad0a_48ec_88b8_1da5f2d06195_10015" hidden="1">Doing!$F$2:$F$24</definedName>
    <definedName name="VSTS_102a646c_ad0a_48ec_88b8_1da5f2d06195_10019" hidden="1">Doing!$AU$2:$AU$24</definedName>
    <definedName name="VSTS_102a646c_ad0a_48ec_88b8_1da5f2d06195_10021" hidden="1">Doing!$AN$2:$AN$24</definedName>
    <definedName name="VSTS_102a646c_ad0a_48ec_88b8_1da5f2d06195_10022" hidden="1">Doing!$Y$2:$Y$24</definedName>
    <definedName name="VSTS_102a646c_ad0a_48ec_88b8_1da5f2d06195_10023" hidden="1">Doing!$AA$2:$AA$24</definedName>
    <definedName name="VSTS_102a646c_ad0a_48ec_88b8_1da5f2d06195_10024" hidden="1">Doing!$X$2:$X$24</definedName>
    <definedName name="VSTS_102a646c_ad0a_48ec_88b8_1da5f2d06195_10025" hidden="1">Doing!$Z$2:$Z$24</definedName>
    <definedName name="VSTS_102a646c_ad0a_48ec_88b8_1da5f2d06195_10026" hidden="1">Doing!$AM$2:$AM$24</definedName>
    <definedName name="VSTS_102a646c_ad0a_48ec_88b8_1da5f2d06195_10027" hidden="1">Doing!$AL$2:$AL$24</definedName>
    <definedName name="VSTS_102a646c_ad0a_48ec_88b8_1da5f2d06195_10028" hidden="1">Doing!$M$2:$M$24</definedName>
    <definedName name="VSTS_102a646c_ad0a_48ec_88b8_1da5f2d06195_10029" hidden="1">Doing!$O$2:$O$24</definedName>
    <definedName name="VSTS_102a646c_ad0a_48ec_88b8_1da5f2d06195_10030" hidden="1">Doing!$P$2:$P$24</definedName>
    <definedName name="VSTS_102a646c_ad0a_48ec_88b8_1da5f2d06195_10036" hidden="1">Doing!$AR$2:$AR$24</definedName>
    <definedName name="VSTS_102a646c_ad0a_48ec_88b8_1da5f2d06195_10037" hidden="1">Doing!$V$2:$V$24</definedName>
    <definedName name="VSTS_102a646c_ad0a_48ec_88b8_1da5f2d06195_10038" hidden="1">Doing!$U$2:$U$24</definedName>
    <definedName name="VSTS_102a646c_ad0a_48ec_88b8_1da5f2d06195_10039" hidden="1">Doing!$T$2:$T$24</definedName>
    <definedName name="VSTS_102a646c_ad0a_48ec_88b8_1da5f2d06195_10040" hidden="1">Doing!$BC$2:$BC$24</definedName>
    <definedName name="VSTS_102a646c_ad0a_48ec_88b8_1da5f2d06195_10041" hidden="1">Doing!$AV$2:$AV$24</definedName>
    <definedName name="VSTS_102a646c_ad0a_48ec_88b8_1da5f2d06195_10043" hidden="1">Doing!$AZ$2:$AZ$24</definedName>
    <definedName name="VSTS_102a646c_ad0a_48ec_88b8_1da5f2d06195_10045" hidden="1">Doing!$AS$2:$AS$24</definedName>
    <definedName name="VSTS_102a646c_ad0a_48ec_88b8_1da5f2d06195_10046" hidden="1">Doing!$AE$2:$AE$24</definedName>
    <definedName name="VSTS_102a646c_ad0a_48ec_88b8_1da5f2d06195_10047" hidden="1">Doing!$AF$2:$AF$24</definedName>
    <definedName name="VSTS_102a646c_ad0a_48ec_88b8_1da5f2d06195_10048" hidden="1">Doing!$AD$2:$AD$24</definedName>
    <definedName name="VSTS_102a646c_ad0a_48ec_88b8_1da5f2d06195_10049" hidden="1">Doing!$AG$2:$AG$24</definedName>
    <definedName name="VSTS_102a646c_ad0a_48ec_88b8_1da5f2d06195_10050" hidden="1">Doing!$AX$2:$AX$24</definedName>
    <definedName name="VSTS_102a646c_ad0a_48ec_88b8_1da5f2d06195_10051" hidden="1">Doing!$AH$2:$AH$24</definedName>
    <definedName name="VSTS_102a646c_ad0a_48ec_88b8_1da5f2d06195_10054" hidden="1">Doing!$BB$2:$BB$24</definedName>
    <definedName name="VSTS_102a646c_ad0a_48ec_88b8_1da5f2d06195_2" hidden="1">Doing!$G$2:$G$24</definedName>
    <definedName name="VSTS_102a646c_ad0a_48ec_88b8_1da5f2d06195_22" hidden="1">Doing!$BD$2:$BD$24</definedName>
    <definedName name="VSTS_102a646c_ad0a_48ec_88b8_1da5f2d06195_24" hidden="1">Doing!$D$2:$D$24</definedName>
    <definedName name="VSTS_102a646c_ad0a_48ec_88b8_1da5f2d06195_25" hidden="1">Doing!$L$2:$L$24</definedName>
    <definedName name="VSTS_102a646c_ad0a_48ec_88b8_1da5f2d06195_3" hidden="1">Doing!$AC$2:$AC$24</definedName>
    <definedName name="VSTS_102a646c_ad0a_48ec_88b8_1da5f2d06195_32" hidden="1">Doing!$J$2:$J$24</definedName>
    <definedName name="VSTS_102a646c_ad0a_48ec_88b8_1da5f2d06195_33" hidden="1">Doing!$K$2:$K$24</definedName>
    <definedName name="VSTS_102a646c_ad0a_48ec_88b8_1da5f2d06195_52" hidden="1">Doing!$AQ$2:$AQ$24</definedName>
    <definedName name="VSTS_102a646c_ad0a_48ec_88b8_1da5f2d06195_54" hidden="1">Doing!$AT$2:$AT$24</definedName>
    <definedName name="VSTS_102a646c_ad0a_48ec_88b8_1da5f2d06195_80" hidden="1">Doing!$E$2:$E$24</definedName>
    <definedName name="VSTS_102a646c_ad0a_48ec_88b8_1da5f2d06195_9" hidden="1">Doing!$I$2:$I$24</definedName>
    <definedName name="VSTS_102a646c_ad0a_48ec_88b8_1da5f2d06195_90" hidden="1">Doing!$C$2:$C$24</definedName>
    <definedName name="VSTS_102a646c_ad0a_48ec_88b8_1da5f2d06195_91" hidden="1">Doing!$AI$2:$AI$24</definedName>
    <definedName name="VSTS_102a646c_ad0a_48ec_88b8_1da5f2d06195_92" hidden="1">Doing!$AJ$2:$AJ$24</definedName>
    <definedName name="VSTS_102a646c_ad0a_48ec_88b8_1da5f2d06195_n1" hidden="1">Doing!$AB$2:$AB$24</definedName>
    <definedName name="VSTS_102a646c_ad0a_48ec_88b8_1da5f2d06195_n105" hidden="1">Doing!$AW$2:$AW$24</definedName>
    <definedName name="VSTS_102a646c_ad0a_48ec_88b8_1da5f2d06195_n12" hidden="1">Doing!$AY$2:$AY$24</definedName>
    <definedName name="VSTS_102a646c_ad0a_48ec_88b8_1da5f2d06195_n3" hidden="1">Doing!$A$2:$A$24</definedName>
    <definedName name="VSTS_102a646c_ad0a_48ec_88b8_1da5f2d06195_n33" hidden="1">Doing!$AO$2:$AO$24</definedName>
    <definedName name="VSTS_102a646c_ad0a_48ec_88b8_1da5f2d06195_n35" hidden="1">Doing!$BA$2:$BA$24</definedName>
    <definedName name="VSTS_102a646c_ad0a_48ec_88b8_1da5f2d06195_n4" hidden="1">Doing!$H$2:$H$24</definedName>
    <definedName name="VSTS_102a646c_ad0a_48ec_88b8_1da5f2d06195_n7" hidden="1">Doing!$W$2:$W$24</definedName>
    <definedName name="VSTS_1c6fc82a_d22e_401e_bb21_5879a2d4167f_1" hidden="1">EDI!$E$2:$E$89</definedName>
    <definedName name="VSTS_1c6fc82a_d22e_401e_bb21_5879a2d4167f_10003" hidden="1">EDI!$AQ$2:$AQ$89</definedName>
    <definedName name="VSTS_1c6fc82a_d22e_401e_bb21_5879a2d4167f_10004" hidden="1">EDI!$T$2:$T$89</definedName>
    <definedName name="VSTS_1c6fc82a_d22e_401e_bb21_5879a2d4167f_10008" hidden="1">EDI!$S$2:$S$89</definedName>
    <definedName name="VSTS_1c6fc82a_d22e_401e_bb21_5879a2d4167f_10009" hidden="1">EDI!$R$2:$R$89</definedName>
    <definedName name="VSTS_1c6fc82a_d22e_401e_bb21_5879a2d4167f_10013" hidden="1">EDI!$D$2:$D$89</definedName>
    <definedName name="VSTS_1c6fc82a_d22e_401e_bb21_5879a2d4167f_10014" hidden="1">EDI!$AL$2:$AL$89</definedName>
    <definedName name="VSTS_1c6fc82a_d22e_401e_bb21_5879a2d4167f_10015" hidden="1">EDI!$I$2:$I$89</definedName>
    <definedName name="VSTS_1c6fc82a_d22e_401e_bb21_5879a2d4167f_10019" hidden="1">EDI!$AU$2:$AU$89</definedName>
    <definedName name="VSTS_1c6fc82a_d22e_401e_bb21_5879a2d4167f_10021" hidden="1">EDI!$AO$2:$AO$89</definedName>
    <definedName name="VSTS_1c6fc82a_d22e_401e_bb21_5879a2d4167f_10022" hidden="1">EDI!$Z$2:$Z$89</definedName>
    <definedName name="VSTS_1c6fc82a_d22e_401e_bb21_5879a2d4167f_10023" hidden="1">EDI!$AB$2:$AB$89</definedName>
    <definedName name="VSTS_1c6fc82a_d22e_401e_bb21_5879a2d4167f_10024" hidden="1">EDI!$Y$2:$Y$89</definedName>
    <definedName name="VSTS_1c6fc82a_d22e_401e_bb21_5879a2d4167f_10025" hidden="1">EDI!$AA$2:$AA$89</definedName>
    <definedName name="VSTS_1c6fc82a_d22e_401e_bb21_5879a2d4167f_10026" hidden="1">EDI!$AN$2:$AN$89</definedName>
    <definedName name="VSTS_1c6fc82a_d22e_401e_bb21_5879a2d4167f_10027" hidden="1">EDI!$AM$2:$AM$89</definedName>
    <definedName name="VSTS_1c6fc82a_d22e_401e_bb21_5879a2d4167f_10028" hidden="1">EDI!$O$2:$O$89</definedName>
    <definedName name="VSTS_1c6fc82a_d22e_401e_bb21_5879a2d4167f_10029" hidden="1">EDI!$P$2:$P$89</definedName>
    <definedName name="VSTS_1c6fc82a_d22e_401e_bb21_5879a2d4167f_10030" hidden="1">EDI!$Q$2:$Q$89</definedName>
    <definedName name="VSTS_1c6fc82a_d22e_401e_bb21_5879a2d4167f_10036" hidden="1">EDI!$AR$2:$AR$89</definedName>
    <definedName name="VSTS_1c6fc82a_d22e_401e_bb21_5879a2d4167f_10037" hidden="1">EDI!$W$2:$W$89</definedName>
    <definedName name="VSTS_1c6fc82a_d22e_401e_bb21_5879a2d4167f_10038" hidden="1">EDI!$V$2:$V$89</definedName>
    <definedName name="VSTS_1c6fc82a_d22e_401e_bb21_5879a2d4167f_10039" hidden="1">EDI!$U$2:$U$89</definedName>
    <definedName name="VSTS_1c6fc82a_d22e_401e_bb21_5879a2d4167f_10040" hidden="1">EDI!$BC$2:$BC$89</definedName>
    <definedName name="VSTS_1c6fc82a_d22e_401e_bb21_5879a2d4167f_10041" hidden="1">EDI!$AV$2:$AV$89</definedName>
    <definedName name="VSTS_1c6fc82a_d22e_401e_bb21_5879a2d4167f_10043" hidden="1">EDI!$AZ$2:$AZ$89</definedName>
    <definedName name="VSTS_1c6fc82a_d22e_401e_bb21_5879a2d4167f_10045" hidden="1">EDI!$AS$2:$AS$89</definedName>
    <definedName name="VSTS_1c6fc82a_d22e_401e_bb21_5879a2d4167f_10046" hidden="1">EDI!$AF$2:$AF$89</definedName>
    <definedName name="VSTS_1c6fc82a_d22e_401e_bb21_5879a2d4167f_10047" hidden="1">EDI!$AG$2:$AG$89</definedName>
    <definedName name="VSTS_1c6fc82a_d22e_401e_bb21_5879a2d4167f_10048" hidden="1">EDI!$AE$2:$AE$89</definedName>
    <definedName name="VSTS_1c6fc82a_d22e_401e_bb21_5879a2d4167f_10049" hidden="1">EDI!$AH$2:$AH$89</definedName>
    <definedName name="VSTS_1c6fc82a_d22e_401e_bb21_5879a2d4167f_10050" hidden="1">EDI!$AX$2:$AX$89</definedName>
    <definedName name="VSTS_1c6fc82a_d22e_401e_bb21_5879a2d4167f_10051" hidden="1">EDI!$AI$2:$AI$89</definedName>
    <definedName name="VSTS_1c6fc82a_d22e_401e_bb21_5879a2d4167f_10054" hidden="1">EDI!$BB$2:$BB$89</definedName>
    <definedName name="VSTS_1c6fc82a_d22e_401e_bb21_5879a2d4167f_2" hidden="1">EDI!$K$2:$K$89</definedName>
    <definedName name="VSTS_1c6fc82a_d22e_401e_bb21_5879a2d4167f_22" hidden="1">EDI!$BD$2:$BD$89</definedName>
    <definedName name="VSTS_1c6fc82a_d22e_401e_bb21_5879a2d4167f_24" hidden="1">EDI!$J$2:$J$89</definedName>
    <definedName name="VSTS_1c6fc82a_d22e_401e_bb21_5879a2d4167f_25" hidden="1">EDI!$N$2:$N$89</definedName>
    <definedName name="VSTS_1c6fc82a_d22e_401e_bb21_5879a2d4167f_3" hidden="1">EDI!$AD$2:$AD$89</definedName>
    <definedName name="VSTS_1c6fc82a_d22e_401e_bb21_5879a2d4167f_32" hidden="1">EDI!$B$2:$B$89</definedName>
    <definedName name="VSTS_1c6fc82a_d22e_401e_bb21_5879a2d4167f_33" hidden="1">EDI!$M$2:$M$89</definedName>
    <definedName name="VSTS_1c6fc82a_d22e_401e_bb21_5879a2d4167f_52" hidden="1">EDI!$F$2:$F$89</definedName>
    <definedName name="VSTS_1c6fc82a_d22e_401e_bb21_5879a2d4167f_54" hidden="1">EDI!$AT$2:$AT$89</definedName>
    <definedName name="VSTS_1c6fc82a_d22e_401e_bb21_5879a2d4167f_80" hidden="1">EDI!$H$2:$H$89</definedName>
    <definedName name="VSTS_1c6fc82a_d22e_401e_bb21_5879a2d4167f_9" hidden="1">EDI!$L$2:$L$89</definedName>
    <definedName name="VSTS_1c6fc82a_d22e_401e_bb21_5879a2d4167f_90" hidden="1">EDI!$G$2:$G$89</definedName>
    <definedName name="VSTS_1c6fc82a_d22e_401e_bb21_5879a2d4167f_91" hidden="1">EDI!$AJ$2:$AJ$89</definedName>
    <definedName name="VSTS_1c6fc82a_d22e_401e_bb21_5879a2d4167f_92" hidden="1">EDI!$AK$2:$AK$89</definedName>
    <definedName name="VSTS_1c6fc82a_d22e_401e_bb21_5879a2d4167f_n1" hidden="1">EDI!$AC$2:$AC$89</definedName>
    <definedName name="VSTS_1c6fc82a_d22e_401e_bb21_5879a2d4167f_n105" hidden="1">EDI!$AW$2:$AW$89</definedName>
    <definedName name="VSTS_1c6fc82a_d22e_401e_bb21_5879a2d4167f_n12" hidden="1">EDI!$AY$2:$AY$89</definedName>
    <definedName name="VSTS_1c6fc82a_d22e_401e_bb21_5879a2d4167f_n3" hidden="1">EDI!$A$2:$A$89</definedName>
    <definedName name="VSTS_1c6fc82a_d22e_401e_bb21_5879a2d4167f_n33" hidden="1">EDI!$AP$2:$AP$89</definedName>
    <definedName name="VSTS_1c6fc82a_d22e_401e_bb21_5879a2d4167f_n35" hidden="1">EDI!$BA$2:$BA$89</definedName>
    <definedName name="VSTS_1c6fc82a_d22e_401e_bb21_5879a2d4167f_n4" hidden="1">EDI!$C$2:$C$89</definedName>
    <definedName name="VSTS_1c6fc82a_d22e_401e_bb21_5879a2d4167f_n7" hidden="1">EDI!$X$2:$X$89</definedName>
    <definedName name="VSTS_6a9a620a_b46c_403f_a2b8_df64a5c6167e_1" hidden="1">#REF!</definedName>
    <definedName name="VSTS_6a9a620a_b46c_403f_a2b8_df64a5c6167e_10003" hidden="1">#REF!</definedName>
    <definedName name="VSTS_6a9a620a_b46c_403f_a2b8_df64a5c6167e_10004" hidden="1">#REF!</definedName>
    <definedName name="VSTS_6a9a620a_b46c_403f_a2b8_df64a5c6167e_10008" hidden="1">#REF!</definedName>
    <definedName name="VSTS_6a9a620a_b46c_403f_a2b8_df64a5c6167e_10009" hidden="1">#REF!</definedName>
    <definedName name="VSTS_6a9a620a_b46c_403f_a2b8_df64a5c6167e_10013" hidden="1">#REF!</definedName>
    <definedName name="VSTS_6a9a620a_b46c_403f_a2b8_df64a5c6167e_10014" hidden="1">#REF!</definedName>
    <definedName name="VSTS_6a9a620a_b46c_403f_a2b8_df64a5c6167e_10015" hidden="1">#REF!</definedName>
    <definedName name="VSTS_6a9a620a_b46c_403f_a2b8_df64a5c6167e_10019" hidden="1">#REF!</definedName>
    <definedName name="VSTS_6a9a620a_b46c_403f_a2b8_df64a5c6167e_10021" hidden="1">#REF!</definedName>
    <definedName name="VSTS_6a9a620a_b46c_403f_a2b8_df64a5c6167e_10022" hidden="1">#REF!</definedName>
    <definedName name="VSTS_6a9a620a_b46c_403f_a2b8_df64a5c6167e_10023" hidden="1">#REF!</definedName>
    <definedName name="VSTS_6a9a620a_b46c_403f_a2b8_df64a5c6167e_10024" hidden="1">#REF!</definedName>
    <definedName name="VSTS_6a9a620a_b46c_403f_a2b8_df64a5c6167e_10025" hidden="1">#REF!</definedName>
    <definedName name="VSTS_6a9a620a_b46c_403f_a2b8_df64a5c6167e_10026" hidden="1">#REF!</definedName>
    <definedName name="VSTS_6a9a620a_b46c_403f_a2b8_df64a5c6167e_10027" hidden="1">#REF!</definedName>
    <definedName name="VSTS_6a9a620a_b46c_403f_a2b8_df64a5c6167e_10028" hidden="1">#REF!</definedName>
    <definedName name="VSTS_6a9a620a_b46c_403f_a2b8_df64a5c6167e_10029" hidden="1">#REF!</definedName>
    <definedName name="VSTS_6a9a620a_b46c_403f_a2b8_df64a5c6167e_10030" hidden="1">#REF!</definedName>
    <definedName name="VSTS_6a9a620a_b46c_403f_a2b8_df64a5c6167e_10036" hidden="1">#REF!</definedName>
    <definedName name="VSTS_6a9a620a_b46c_403f_a2b8_df64a5c6167e_10037" hidden="1">#REF!</definedName>
    <definedName name="VSTS_6a9a620a_b46c_403f_a2b8_df64a5c6167e_10038" hidden="1">#REF!</definedName>
    <definedName name="VSTS_6a9a620a_b46c_403f_a2b8_df64a5c6167e_10039" hidden="1">#REF!</definedName>
    <definedName name="VSTS_6a9a620a_b46c_403f_a2b8_df64a5c6167e_10040" hidden="1">#REF!</definedName>
    <definedName name="VSTS_6a9a620a_b46c_403f_a2b8_df64a5c6167e_10041" hidden="1">#REF!</definedName>
    <definedName name="VSTS_6a9a620a_b46c_403f_a2b8_df64a5c6167e_10043" hidden="1">#REF!</definedName>
    <definedName name="VSTS_6a9a620a_b46c_403f_a2b8_df64a5c6167e_10045" hidden="1">#REF!</definedName>
    <definedName name="VSTS_6a9a620a_b46c_403f_a2b8_df64a5c6167e_10046" hidden="1">#REF!</definedName>
    <definedName name="VSTS_6a9a620a_b46c_403f_a2b8_df64a5c6167e_10047" hidden="1">#REF!</definedName>
    <definedName name="VSTS_6a9a620a_b46c_403f_a2b8_df64a5c6167e_10048" hidden="1">#REF!</definedName>
    <definedName name="VSTS_6a9a620a_b46c_403f_a2b8_df64a5c6167e_10049" hidden="1">#REF!</definedName>
    <definedName name="VSTS_6a9a620a_b46c_403f_a2b8_df64a5c6167e_10050" hidden="1">#REF!</definedName>
    <definedName name="VSTS_6a9a620a_b46c_403f_a2b8_df64a5c6167e_10051" hidden="1">#REF!</definedName>
    <definedName name="VSTS_6a9a620a_b46c_403f_a2b8_df64a5c6167e_10054" hidden="1">#REF!</definedName>
    <definedName name="VSTS_6a9a620a_b46c_403f_a2b8_df64a5c6167e_2" hidden="1">#REF!</definedName>
    <definedName name="VSTS_6a9a620a_b46c_403f_a2b8_df64a5c6167e_22" hidden="1">#REF!</definedName>
    <definedName name="VSTS_6a9a620a_b46c_403f_a2b8_df64a5c6167e_24" hidden="1">#REF!</definedName>
    <definedName name="VSTS_6a9a620a_b46c_403f_a2b8_df64a5c6167e_25" hidden="1">#REF!</definedName>
    <definedName name="VSTS_6a9a620a_b46c_403f_a2b8_df64a5c6167e_3" hidden="1">#REF!</definedName>
    <definedName name="VSTS_6a9a620a_b46c_403f_a2b8_df64a5c6167e_32" hidden="1">#REF!</definedName>
    <definedName name="VSTS_6a9a620a_b46c_403f_a2b8_df64a5c6167e_33" hidden="1">#REF!</definedName>
    <definedName name="VSTS_6a9a620a_b46c_403f_a2b8_df64a5c6167e_52" hidden="1">#REF!</definedName>
    <definedName name="VSTS_6a9a620a_b46c_403f_a2b8_df64a5c6167e_54" hidden="1">#REF!</definedName>
    <definedName name="VSTS_6a9a620a_b46c_403f_a2b8_df64a5c6167e_80" hidden="1">#REF!</definedName>
    <definedName name="VSTS_6a9a620a_b46c_403f_a2b8_df64a5c6167e_9" hidden="1">#REF!</definedName>
    <definedName name="VSTS_6a9a620a_b46c_403f_a2b8_df64a5c6167e_90" hidden="1">#REF!</definedName>
    <definedName name="VSTS_6a9a620a_b46c_403f_a2b8_df64a5c6167e_91" hidden="1">#REF!</definedName>
    <definedName name="VSTS_6a9a620a_b46c_403f_a2b8_df64a5c6167e_92" hidden="1">#REF!</definedName>
    <definedName name="VSTS_6a9a620a_b46c_403f_a2b8_df64a5c6167e_n1" hidden="1">#REF!</definedName>
    <definedName name="VSTS_6a9a620a_b46c_403f_a2b8_df64a5c6167e_n105" hidden="1">#REF!</definedName>
    <definedName name="VSTS_6a9a620a_b46c_403f_a2b8_df64a5c6167e_n12" hidden="1">#REF!</definedName>
    <definedName name="VSTS_6a9a620a_b46c_403f_a2b8_df64a5c6167e_n3" hidden="1">#REF!</definedName>
    <definedName name="VSTS_6a9a620a_b46c_403f_a2b8_df64a5c6167e_n33" hidden="1">#REF!</definedName>
    <definedName name="VSTS_6a9a620a_b46c_403f_a2b8_df64a5c6167e_n35" hidden="1">#REF!</definedName>
    <definedName name="VSTS_6a9a620a_b46c_403f_a2b8_df64a5c6167e_n4" hidden="1">#REF!</definedName>
    <definedName name="VSTS_6a9a620a_b46c_403f_a2b8_df64a5c6167e_n7" hidden="1">#REF!</definedName>
    <definedName name="VSTS_c467189f_b1e3_4921_ac93_2d6d7014346c_1" hidden="1">Release!$B$2:$B$18</definedName>
    <definedName name="VSTS_c467189f_b1e3_4921_ac93_2d6d7014346c_10003" hidden="1">Release!$AP$2:$AP$18</definedName>
    <definedName name="VSTS_c467189f_b1e3_4921_ac93_2d6d7014346c_10004" hidden="1">Release!$S$2:$S$18</definedName>
    <definedName name="VSTS_c467189f_b1e3_4921_ac93_2d6d7014346c_10008" hidden="1">Release!$R$2:$R$18</definedName>
    <definedName name="VSTS_c467189f_b1e3_4921_ac93_2d6d7014346c_10009" hidden="1">Release!$Q$2:$Q$18</definedName>
    <definedName name="VSTS_c467189f_b1e3_4921_ac93_2d6d7014346c_10013" hidden="1">Release!$N$2:$N$18</definedName>
    <definedName name="VSTS_c467189f_b1e3_4921_ac93_2d6d7014346c_10014" hidden="1">Release!$AK$2:$AK$18</definedName>
    <definedName name="VSTS_c467189f_b1e3_4921_ac93_2d6d7014346c_10015" hidden="1">Release!$G$2:$G$18</definedName>
    <definedName name="VSTS_c467189f_b1e3_4921_ac93_2d6d7014346c_10019" hidden="1">Release!$AU$2:$AU$18</definedName>
    <definedName name="VSTS_c467189f_b1e3_4921_ac93_2d6d7014346c_10021" hidden="1">Release!$AN$2:$AN$18</definedName>
    <definedName name="VSTS_c467189f_b1e3_4921_ac93_2d6d7014346c_10022" hidden="1">Release!$Y$2:$Y$18</definedName>
    <definedName name="VSTS_c467189f_b1e3_4921_ac93_2d6d7014346c_10023" hidden="1">Release!$AA$2:$AA$18</definedName>
    <definedName name="VSTS_c467189f_b1e3_4921_ac93_2d6d7014346c_10024" hidden="1">Release!$X$2:$X$18</definedName>
    <definedName name="VSTS_c467189f_b1e3_4921_ac93_2d6d7014346c_10025" hidden="1">Release!$Z$2:$Z$18</definedName>
    <definedName name="VSTS_c467189f_b1e3_4921_ac93_2d6d7014346c_10026" hidden="1">Release!$AM$2:$AM$18</definedName>
    <definedName name="VSTS_c467189f_b1e3_4921_ac93_2d6d7014346c_10027" hidden="1">Release!$AL$2:$AL$18</definedName>
    <definedName name="VSTS_c467189f_b1e3_4921_ac93_2d6d7014346c_10028" hidden="1">Release!$M$2:$M$18</definedName>
    <definedName name="VSTS_c467189f_b1e3_4921_ac93_2d6d7014346c_10029" hidden="1">Release!$O$2:$O$18</definedName>
    <definedName name="VSTS_c467189f_b1e3_4921_ac93_2d6d7014346c_10030" hidden="1">Release!$P$2:$P$18</definedName>
    <definedName name="VSTS_c467189f_b1e3_4921_ac93_2d6d7014346c_10036" hidden="1">Release!$AR$2:$AR$18</definedName>
    <definedName name="VSTS_c467189f_b1e3_4921_ac93_2d6d7014346c_10037" hidden="1">Release!$V$2:$V$18</definedName>
    <definedName name="VSTS_c467189f_b1e3_4921_ac93_2d6d7014346c_10038" hidden="1">Release!$U$2:$U$18</definedName>
    <definedName name="VSTS_c467189f_b1e3_4921_ac93_2d6d7014346c_10039" hidden="1">Release!$T$2:$T$18</definedName>
    <definedName name="VSTS_c467189f_b1e3_4921_ac93_2d6d7014346c_10040" hidden="1">Release!$BC$2:$BC$18</definedName>
    <definedName name="VSTS_c467189f_b1e3_4921_ac93_2d6d7014346c_10041" hidden="1">Release!$AV$2:$AV$18</definedName>
    <definedName name="VSTS_c467189f_b1e3_4921_ac93_2d6d7014346c_10043" hidden="1">Release!$AZ$2:$AZ$18</definedName>
    <definedName name="VSTS_c467189f_b1e3_4921_ac93_2d6d7014346c_10045" hidden="1">Release!$AS$2:$AS$18</definedName>
    <definedName name="VSTS_c467189f_b1e3_4921_ac93_2d6d7014346c_10046" hidden="1">Release!$AE$2:$AE$18</definedName>
    <definedName name="VSTS_c467189f_b1e3_4921_ac93_2d6d7014346c_10047" hidden="1">Release!$AF$2:$AF$18</definedName>
    <definedName name="VSTS_c467189f_b1e3_4921_ac93_2d6d7014346c_10048" hidden="1">Release!$AD$2:$AD$18</definedName>
    <definedName name="VSTS_c467189f_b1e3_4921_ac93_2d6d7014346c_10049" hidden="1">Release!$AG$2:$AG$18</definedName>
    <definedName name="VSTS_c467189f_b1e3_4921_ac93_2d6d7014346c_10050" hidden="1">Release!$AX$2:$AX$18</definedName>
    <definedName name="VSTS_c467189f_b1e3_4921_ac93_2d6d7014346c_10051" hidden="1">Release!$AH$2:$AH$18</definedName>
    <definedName name="VSTS_c467189f_b1e3_4921_ac93_2d6d7014346c_10054" hidden="1">Release!$BB$2:$BB$18</definedName>
    <definedName name="VSTS_c467189f_b1e3_4921_ac93_2d6d7014346c_2" hidden="1">Release!$F$2:$F$18</definedName>
    <definedName name="VSTS_c467189f_b1e3_4921_ac93_2d6d7014346c_22" hidden="1">Release!$BD$2:$BD$18</definedName>
    <definedName name="VSTS_c467189f_b1e3_4921_ac93_2d6d7014346c_24" hidden="1">Release!$D$2:$D$18</definedName>
    <definedName name="VSTS_c467189f_b1e3_4921_ac93_2d6d7014346c_25" hidden="1">Release!$L$2:$L$18</definedName>
    <definedName name="VSTS_c467189f_b1e3_4921_ac93_2d6d7014346c_3" hidden="1">Release!$AC$2:$AC$18</definedName>
    <definedName name="VSTS_c467189f_b1e3_4921_ac93_2d6d7014346c_32" hidden="1">Release!$J$2:$J$18</definedName>
    <definedName name="VSTS_c467189f_b1e3_4921_ac93_2d6d7014346c_33" hidden="1">Release!$K$2:$K$18</definedName>
    <definedName name="VSTS_c467189f_b1e3_4921_ac93_2d6d7014346c_52" hidden="1">Release!$AQ$2:$AQ$18</definedName>
    <definedName name="VSTS_c467189f_b1e3_4921_ac93_2d6d7014346c_54" hidden="1">Release!$AT$2:$AT$18</definedName>
    <definedName name="VSTS_c467189f_b1e3_4921_ac93_2d6d7014346c_80" hidden="1">Release!$E$2:$E$18</definedName>
    <definedName name="VSTS_c467189f_b1e3_4921_ac93_2d6d7014346c_9" hidden="1">Release!$I$2:$I$18</definedName>
    <definedName name="VSTS_c467189f_b1e3_4921_ac93_2d6d7014346c_90" hidden="1">Release!$C$2:$C$18</definedName>
    <definedName name="VSTS_c467189f_b1e3_4921_ac93_2d6d7014346c_91" hidden="1">Release!$AI$2:$AI$18</definedName>
    <definedName name="VSTS_c467189f_b1e3_4921_ac93_2d6d7014346c_92" hidden="1">Release!$AJ$2:$AJ$18</definedName>
    <definedName name="VSTS_c467189f_b1e3_4921_ac93_2d6d7014346c_n1" hidden="1">Release!$AB$2:$AB$18</definedName>
    <definedName name="VSTS_c467189f_b1e3_4921_ac93_2d6d7014346c_n105" hidden="1">Release!$AW$2:$AW$18</definedName>
    <definedName name="VSTS_c467189f_b1e3_4921_ac93_2d6d7014346c_n12" hidden="1">Release!$AY$2:$AY$18</definedName>
    <definedName name="VSTS_c467189f_b1e3_4921_ac93_2d6d7014346c_n3" hidden="1">Release!$A$2:$A$18</definedName>
    <definedName name="VSTS_c467189f_b1e3_4921_ac93_2d6d7014346c_n33" hidden="1">Release!$AO$2:$AO$18</definedName>
    <definedName name="VSTS_c467189f_b1e3_4921_ac93_2d6d7014346c_n35" hidden="1">Release!$BA$2:$BA$18</definedName>
    <definedName name="VSTS_c467189f_b1e3_4921_ac93_2d6d7014346c_n4" hidden="1">Release!$H$2:$H$18</definedName>
    <definedName name="VSTS_c467189f_b1e3_4921_ac93_2d6d7014346c_n7" hidden="1">Release!$W$2:$W$18</definedName>
    <definedName name="VSTS_cc9c427e_347c_4330_bb74_b03daec39996_1" hidden="1">#REF!</definedName>
    <definedName name="VSTS_cc9c427e_347c_4330_bb74_b03daec39996_10003" hidden="1">#REF!</definedName>
    <definedName name="VSTS_cc9c427e_347c_4330_bb74_b03daec39996_10004" hidden="1">#REF!</definedName>
    <definedName name="VSTS_cc9c427e_347c_4330_bb74_b03daec39996_10008" hidden="1">#REF!</definedName>
    <definedName name="VSTS_cc9c427e_347c_4330_bb74_b03daec39996_10009" hidden="1">#REF!</definedName>
    <definedName name="VSTS_cc9c427e_347c_4330_bb74_b03daec39996_10013" hidden="1">#REF!</definedName>
    <definedName name="VSTS_cc9c427e_347c_4330_bb74_b03daec39996_10014" hidden="1">#REF!</definedName>
    <definedName name="VSTS_cc9c427e_347c_4330_bb74_b03daec39996_10015" hidden="1">#REF!</definedName>
    <definedName name="VSTS_cc9c427e_347c_4330_bb74_b03daec39996_10019" hidden="1">#REF!</definedName>
    <definedName name="VSTS_cc9c427e_347c_4330_bb74_b03daec39996_10021" hidden="1">#REF!</definedName>
    <definedName name="VSTS_cc9c427e_347c_4330_bb74_b03daec39996_10022" hidden="1">#REF!</definedName>
    <definedName name="VSTS_cc9c427e_347c_4330_bb74_b03daec39996_10023" hidden="1">#REF!</definedName>
    <definedName name="VSTS_cc9c427e_347c_4330_bb74_b03daec39996_10024" hidden="1">#REF!</definedName>
    <definedName name="VSTS_cc9c427e_347c_4330_bb74_b03daec39996_10025" hidden="1">#REF!</definedName>
    <definedName name="VSTS_cc9c427e_347c_4330_bb74_b03daec39996_10026" hidden="1">#REF!</definedName>
    <definedName name="VSTS_cc9c427e_347c_4330_bb74_b03daec39996_10027" hidden="1">#REF!</definedName>
    <definedName name="VSTS_cc9c427e_347c_4330_bb74_b03daec39996_10028" hidden="1">#REF!</definedName>
    <definedName name="VSTS_cc9c427e_347c_4330_bb74_b03daec39996_10029" hidden="1">#REF!</definedName>
    <definedName name="VSTS_cc9c427e_347c_4330_bb74_b03daec39996_10030" hidden="1">#REF!</definedName>
    <definedName name="VSTS_cc9c427e_347c_4330_bb74_b03daec39996_10036" hidden="1">#REF!</definedName>
    <definedName name="VSTS_cc9c427e_347c_4330_bb74_b03daec39996_10037" hidden="1">#REF!</definedName>
    <definedName name="VSTS_cc9c427e_347c_4330_bb74_b03daec39996_10038" hidden="1">#REF!</definedName>
    <definedName name="VSTS_cc9c427e_347c_4330_bb74_b03daec39996_10039" hidden="1">#REF!</definedName>
    <definedName name="VSTS_cc9c427e_347c_4330_bb74_b03daec39996_10040" hidden="1">#REF!</definedName>
    <definedName name="VSTS_cc9c427e_347c_4330_bb74_b03daec39996_10041" hidden="1">#REF!</definedName>
    <definedName name="VSTS_cc9c427e_347c_4330_bb74_b03daec39996_10043" hidden="1">#REF!</definedName>
    <definedName name="VSTS_cc9c427e_347c_4330_bb74_b03daec39996_10045" hidden="1">#REF!</definedName>
    <definedName name="VSTS_cc9c427e_347c_4330_bb74_b03daec39996_10046" hidden="1">#REF!</definedName>
    <definedName name="VSTS_cc9c427e_347c_4330_bb74_b03daec39996_10047" hidden="1">#REF!</definedName>
    <definedName name="VSTS_cc9c427e_347c_4330_bb74_b03daec39996_10048" hidden="1">#REF!</definedName>
    <definedName name="VSTS_cc9c427e_347c_4330_bb74_b03daec39996_10049" hidden="1">#REF!</definedName>
    <definedName name="VSTS_cc9c427e_347c_4330_bb74_b03daec39996_10050" hidden="1">#REF!</definedName>
    <definedName name="VSTS_cc9c427e_347c_4330_bb74_b03daec39996_10051" hidden="1">#REF!</definedName>
    <definedName name="VSTS_cc9c427e_347c_4330_bb74_b03daec39996_10054" hidden="1">#REF!</definedName>
    <definedName name="VSTS_cc9c427e_347c_4330_bb74_b03daec39996_10180" hidden="1">#REF!</definedName>
    <definedName name="VSTS_cc9c427e_347c_4330_bb74_b03daec39996_10181" hidden="1">#REF!</definedName>
    <definedName name="VSTS_cc9c427e_347c_4330_bb74_b03daec39996_10184" hidden="1">#REF!</definedName>
    <definedName name="VSTS_cc9c427e_347c_4330_bb74_b03daec39996_2" hidden="1">#REF!</definedName>
    <definedName name="VSTS_cc9c427e_347c_4330_bb74_b03daec39996_22" hidden="1">#REF!</definedName>
    <definedName name="VSTS_cc9c427e_347c_4330_bb74_b03daec39996_24" hidden="1">#REF!</definedName>
    <definedName name="VSTS_cc9c427e_347c_4330_bb74_b03daec39996_25" hidden="1">#REF!</definedName>
    <definedName name="VSTS_cc9c427e_347c_4330_bb74_b03daec39996_3" hidden="1">#REF!</definedName>
    <definedName name="VSTS_cc9c427e_347c_4330_bb74_b03daec39996_32" hidden="1">#REF!</definedName>
    <definedName name="VSTS_cc9c427e_347c_4330_bb74_b03daec39996_33" hidden="1">#REF!</definedName>
    <definedName name="VSTS_cc9c427e_347c_4330_bb74_b03daec39996_52" hidden="1">#REF!</definedName>
    <definedName name="VSTS_cc9c427e_347c_4330_bb74_b03daec39996_54" hidden="1">#REF!</definedName>
    <definedName name="VSTS_cc9c427e_347c_4330_bb74_b03daec39996_80" hidden="1">#REF!</definedName>
    <definedName name="VSTS_cc9c427e_347c_4330_bb74_b03daec39996_90" hidden="1">#REF!</definedName>
    <definedName name="VSTS_cc9c427e_347c_4330_bb74_b03daec39996_91" hidden="1">#REF!</definedName>
    <definedName name="VSTS_cc9c427e_347c_4330_bb74_b03daec39996_92" hidden="1">#REF!</definedName>
    <definedName name="VSTS_cc9c427e_347c_4330_bb74_b03daec39996_n1" hidden="1">#REF!</definedName>
    <definedName name="VSTS_cc9c427e_347c_4330_bb74_b03daec39996_n105" hidden="1">#REF!</definedName>
    <definedName name="VSTS_cc9c427e_347c_4330_bb74_b03daec39996_n12" hidden="1">#REF!</definedName>
    <definedName name="VSTS_cc9c427e_347c_4330_bb74_b03daec39996_n3" hidden="1">#REF!</definedName>
    <definedName name="VSTS_cc9c427e_347c_4330_bb74_b03daec39996_n33" hidden="1">#REF!</definedName>
    <definedName name="VSTS_cc9c427e_347c_4330_bb74_b03daec39996_n35" hidden="1">#REF!</definedName>
    <definedName name="VSTS_cc9c427e_347c_4330_bb74_b03daec39996_n7" hidden="1">#REF!</definedName>
    <definedName name="VSTS_d6760eb0_ea3a_4c33_85d6_f85b26745a24_1" hidden="1">'All Pendent'!$B$2:$B$146</definedName>
    <definedName name="VSTS_d6760eb0_ea3a_4c33_85d6_f85b26745a24_10003" hidden="1">'All Pendent'!$AW$2:$AW$146</definedName>
    <definedName name="VSTS_d6760eb0_ea3a_4c33_85d6_f85b26745a24_10004" hidden="1">'All Pendent'!$AA$2:$AA$146</definedName>
    <definedName name="VSTS_d6760eb0_ea3a_4c33_85d6_f85b26745a24_10008" hidden="1">'All Pendent'!$Z$2:$Z$146</definedName>
    <definedName name="VSTS_d6760eb0_ea3a_4c33_85d6_f85b26745a24_10009" hidden="1">'All Pendent'!$Y$2:$Y$146</definedName>
    <definedName name="VSTS_d6760eb0_ea3a_4c33_85d6_f85b26745a24_10013" hidden="1">'All Pendent'!$R$2:$R$146</definedName>
    <definedName name="VSTS_d6760eb0_ea3a_4c33_85d6_f85b26745a24_10014" hidden="1">'All Pendent'!$AR$2:$AR$146</definedName>
    <definedName name="VSTS_d6760eb0_ea3a_4c33_85d6_f85b26745a24_10015" hidden="1">'All Pendent'!$J$2:$J$146</definedName>
    <definedName name="VSTS_d6760eb0_ea3a_4c33_85d6_f85b26745a24_10019" hidden="1">'All Pendent'!$AZ$2:$AZ$146</definedName>
    <definedName name="VSTS_d6760eb0_ea3a_4c33_85d6_f85b26745a24_10021" hidden="1">'All Pendent'!$AU$2:$AU$146</definedName>
    <definedName name="VSTS_d6760eb0_ea3a_4c33_85d6_f85b26745a24_10022" hidden="1">'All Pendent'!$AG$2:$AG$146</definedName>
    <definedName name="VSTS_d6760eb0_ea3a_4c33_85d6_f85b26745a24_10023" hidden="1">'All Pendent'!$AI$2:$AI$146</definedName>
    <definedName name="VSTS_d6760eb0_ea3a_4c33_85d6_f85b26745a24_10024" hidden="1">'All Pendent'!$AF$2:$AF$146</definedName>
    <definedName name="VSTS_d6760eb0_ea3a_4c33_85d6_f85b26745a24_10025" hidden="1">'All Pendent'!$AH$2:$AH$146</definedName>
    <definedName name="VSTS_d6760eb0_ea3a_4c33_85d6_f85b26745a24_10026" hidden="1">'All Pendent'!$AT$2:$AT$146</definedName>
    <definedName name="VSTS_d6760eb0_ea3a_4c33_85d6_f85b26745a24_10027" hidden="1">'All Pendent'!$AS$2:$AS$146</definedName>
    <definedName name="VSTS_d6760eb0_ea3a_4c33_85d6_f85b26745a24_10028" hidden="1">'All Pendent'!$V$2:$V$146</definedName>
    <definedName name="VSTS_d6760eb0_ea3a_4c33_85d6_f85b26745a24_10029" hidden="1">'All Pendent'!$W$2:$W$146</definedName>
    <definedName name="VSTS_d6760eb0_ea3a_4c33_85d6_f85b26745a24_10030" hidden="1">'All Pendent'!$X$2:$X$146</definedName>
    <definedName name="VSTS_d6760eb0_ea3a_4c33_85d6_f85b26745a24_10036" hidden="1">'All Pendent'!$I$2:$I$146</definedName>
    <definedName name="VSTS_d6760eb0_ea3a_4c33_85d6_f85b26745a24_10037" hidden="1">'All Pendent'!$AD$2:$AD$146</definedName>
    <definedName name="VSTS_d6760eb0_ea3a_4c33_85d6_f85b26745a24_10038" hidden="1">'All Pendent'!$AC$2:$AC$146</definedName>
    <definedName name="VSTS_d6760eb0_ea3a_4c33_85d6_f85b26745a24_10039" hidden="1">'All Pendent'!$AB$2:$AB$146</definedName>
    <definedName name="VSTS_d6760eb0_ea3a_4c33_85d6_f85b26745a24_10040" hidden="1">'All Pendent'!$BH$2:$BH$146</definedName>
    <definedName name="VSTS_d6760eb0_ea3a_4c33_85d6_f85b26745a24_10041" hidden="1">'All Pendent'!$BA$2:$BA$146</definedName>
    <definedName name="VSTS_d6760eb0_ea3a_4c33_85d6_f85b26745a24_10043" hidden="1">'All Pendent'!$BE$2:$BE$146</definedName>
    <definedName name="VSTS_d6760eb0_ea3a_4c33_85d6_f85b26745a24_10045" hidden="1">'All Pendent'!$AX$2:$AX$146</definedName>
    <definedName name="VSTS_d6760eb0_ea3a_4c33_85d6_f85b26745a24_10046" hidden="1">'All Pendent'!$AM$2:$AM$146</definedName>
    <definedName name="VSTS_d6760eb0_ea3a_4c33_85d6_f85b26745a24_10047" hidden="1">'All Pendent'!$AN$2:$AN$146</definedName>
    <definedName name="VSTS_d6760eb0_ea3a_4c33_85d6_f85b26745a24_10048" hidden="1">'All Pendent'!$AL$2:$AL$146</definedName>
    <definedName name="VSTS_d6760eb0_ea3a_4c33_85d6_f85b26745a24_10049" hidden="1">'All Pendent'!$AO$2:$AO$146</definedName>
    <definedName name="VSTS_d6760eb0_ea3a_4c33_85d6_f85b26745a24_10050" hidden="1">'All Pendent'!$BC$2:$BC$146</definedName>
    <definedName name="VSTS_d6760eb0_ea3a_4c33_85d6_f85b26745a24_10051" hidden="1">'All Pendent'!$AP$2:$AP$146</definedName>
    <definedName name="VSTS_d6760eb0_ea3a_4c33_85d6_f85b26745a24_10054" hidden="1">'All Pendent'!$BG$2:$BG$146</definedName>
    <definedName name="VSTS_d6760eb0_ea3a_4c33_85d6_f85b26745a24_10180" hidden="1">'All Pendent'!$D$2:$D$146</definedName>
    <definedName name="VSTS_d6760eb0_ea3a_4c33_85d6_f85b26745a24_10181" hidden="1">'All Pendent'!$E$2:$E$146</definedName>
    <definedName name="VSTS_d6760eb0_ea3a_4c33_85d6_f85b26745a24_10182" hidden="1">'All Pendent'!$H$2:$H$146</definedName>
    <definedName name="VSTS_d6760eb0_ea3a_4c33_85d6_f85b26745a24_10184" hidden="1">'All Pendent'!$G$2:$G$146</definedName>
    <definedName name="VSTS_d6760eb0_ea3a_4c33_85d6_f85b26745a24_10186" hidden="1">'All Pendent'!$F$2:$F$146</definedName>
    <definedName name="VSTS_d6760eb0_ea3a_4c33_85d6_f85b26745a24_2" hidden="1">'All Pendent'!$N$2:$N$146</definedName>
    <definedName name="VSTS_d6760eb0_ea3a_4c33_85d6_f85b26745a24_22" hidden="1">'All Pendent'!$BI$2:$BI$146</definedName>
    <definedName name="VSTS_d6760eb0_ea3a_4c33_85d6_f85b26745a24_24" hidden="1">'All Pendent'!$M$2:$M$146</definedName>
    <definedName name="VSTS_d6760eb0_ea3a_4c33_85d6_f85b26745a24_25" hidden="1">'All Pendent'!$C$2:$C$146</definedName>
    <definedName name="VSTS_d6760eb0_ea3a_4c33_85d6_f85b26745a24_3" hidden="1">'All Pendent'!$AK$2:$AK$146</definedName>
    <definedName name="VSTS_d6760eb0_ea3a_4c33_85d6_f85b26745a24_32" hidden="1">'All Pendent'!$P$2:$P$146</definedName>
    <definedName name="VSTS_d6760eb0_ea3a_4c33_85d6_f85b26745a24_33" hidden="1">'All Pendent'!$T$2:$T$146</definedName>
    <definedName name="VSTS_d6760eb0_ea3a_4c33_85d6_f85b26745a24_52" hidden="1">'All Pendent'!$O$2:$O$146</definedName>
    <definedName name="VSTS_d6760eb0_ea3a_4c33_85d6_f85b26745a24_54" hidden="1">'All Pendent'!$AY$2:$AY$146</definedName>
    <definedName name="VSTS_d6760eb0_ea3a_4c33_85d6_f85b26745a24_80" hidden="1">'All Pendent'!$U$2:$U$146</definedName>
    <definedName name="VSTS_d6760eb0_ea3a_4c33_85d6_f85b26745a24_9" hidden="1">'All Pendent'!$S$2:$S$146</definedName>
    <definedName name="VSTS_d6760eb0_ea3a_4c33_85d6_f85b26745a24_90" hidden="1">'All Pendent'!$K$2:$K$146</definedName>
    <definedName name="VSTS_d6760eb0_ea3a_4c33_85d6_f85b26745a24_91" hidden="1">'All Pendent'!$L$2:$L$146</definedName>
    <definedName name="VSTS_d6760eb0_ea3a_4c33_85d6_f85b26745a24_92" hidden="1">'All Pendent'!$AQ$2:$AQ$146</definedName>
    <definedName name="VSTS_d6760eb0_ea3a_4c33_85d6_f85b26745a24_n1" hidden="1">'All Pendent'!$AJ$2:$AJ$146</definedName>
    <definedName name="VSTS_d6760eb0_ea3a_4c33_85d6_f85b26745a24_n105" hidden="1">'All Pendent'!$BB$2:$BB$146</definedName>
    <definedName name="VSTS_d6760eb0_ea3a_4c33_85d6_f85b26745a24_n12" hidden="1">'All Pendent'!$BD$2:$BD$146</definedName>
    <definedName name="VSTS_d6760eb0_ea3a_4c33_85d6_f85b26745a24_n3" hidden="1">'All Pendent'!$A$2:$A$146</definedName>
    <definedName name="VSTS_d6760eb0_ea3a_4c33_85d6_f85b26745a24_n33" hidden="1">'All Pendent'!$AV$2:$AV$146</definedName>
    <definedName name="VSTS_d6760eb0_ea3a_4c33_85d6_f85b26745a24_n35" hidden="1">'All Pendent'!$BF$2:$BF$146</definedName>
    <definedName name="VSTS_d6760eb0_ea3a_4c33_85d6_f85b26745a24_n4" hidden="1">'All Pendent'!$Q$2:$Q$146</definedName>
    <definedName name="VSTS_d6760eb0_ea3a_4c33_85d6_f85b26745a24_n7" hidden="1">'All Pendent'!$AE$2:$AE$146</definedName>
    <definedName name="VSTS_ValidationRange_002b541283624eb98aa3e17b9f619ab2" hidden="1">VSTS_ValidationWS_1!$DD$1:$DD$18</definedName>
    <definedName name="VSTS_ValidationRange_0216fc0703d54d0d929bd6acf6e5bbf0" hidden="1">VSTS_ValidationWS_1!$OE$1:$OE$18</definedName>
    <definedName name="VSTS_ValidationRange_03d70f67563e4427a84837ce4a5ac7fc" hidden="1">VSTS_ValidationWS_1!$PT$1:$PT$17</definedName>
    <definedName name="VSTS_ValidationRange_05a41bac76e140b39b59eff3950ccdc2" hidden="1">VSTS_ValidationWS_1!$MK$1:$MK$17</definedName>
    <definedName name="VSTS_ValidationRange_060cd53dfb67435a99cc42e11cf23978" hidden="1">VSTS_ValidationWS_1!$JK$1:$JK$18</definedName>
    <definedName name="VSTS_ValidationRange_08436f18c11940febc3e6961bbd1c440" hidden="1">VSTS_ValidationWS_1!$BC$1:$BC$18</definedName>
    <definedName name="VSTS_ValidationRange_08ba6521d77041e4831923a0f1122f04" hidden="1">VSTS_ValidationWS_1!$AI$1:$AI$18</definedName>
    <definedName name="VSTS_ValidationRange_09a2802bf7ba4bc994ef83521166afcf" hidden="1">VSTS_ValidationWS_1!$SK$1:$SK$15</definedName>
    <definedName name="VSTS_ValidationRange_0c8c2906bd9e48728e9bbcc774d94383" hidden="1">VSTS_ValidationWS_1!$FV$1:$FV$18</definedName>
    <definedName name="VSTS_ValidationRange_0ddc27c2467d46229732eaa05b359d81" hidden="1">VSTS_ValidationWS_1!$DG$1:$DG$18</definedName>
    <definedName name="VSTS_ValidationRange_0e2995dcc20f40bea467cb05cd71b560" hidden="1">VSTS_ValidationWS_1!$QN$1:$QN$8</definedName>
    <definedName name="VSTS_ValidationRange_0e911ba3038f402fb253eff31f864b68" hidden="1">VSTS_ValidationWS_1!$PE$1:$PE$18</definedName>
    <definedName name="VSTS_ValidationRange_0f9ad885ef1f4c9e93fa2284352d89d5" hidden="1">VSTS_ValidationWS_1!$BE$1:$BE$3</definedName>
    <definedName name="VSTS_ValidationRange_0fad3eaefbd7403ab15fe99c3de1d6a8" hidden="1">VSTS_ValidationWS_1!$AH$1:$AH$17</definedName>
    <definedName name="VSTS_ValidationRange_0fff7a26df42483da9d969f3488fd6b1" hidden="1">VSTS_ValidationWS_1!$C$1</definedName>
    <definedName name="VSTS_ValidationRange_103cb5683a434e1ba27fa038b9194e47" hidden="1">VSTS_ValidationWS_1!$HY$1:$HY$4</definedName>
    <definedName name="VSTS_ValidationRange_106cbd70f7e9492a80e3191bfcf1baff" hidden="1">VSTS_ValidationWS_1!$CQ$1:$CQ$2</definedName>
    <definedName name="VSTS_ValidationRange_159e02a39b7f445b916540c625bb5cf0" hidden="1">VSTS_ValidationWS_1!$H$1:$H$16</definedName>
    <definedName name="VSTS_ValidationRange_163c46e77db94b848be375958db00b40" hidden="1">VSTS_ValidationWS_1!$GM$1:$GM$8</definedName>
    <definedName name="VSTS_ValidationRange_164bb62a4b3247028835934225355c77" hidden="1">VSTS_ValidationWS_1!$JQ$1:$JQ$4</definedName>
    <definedName name="VSTS_ValidationRange_18adad25d6fd4b41b4d62495d14f0e97" hidden="1">VSTS_ValidationWS_1!$RT$1:$RT$3</definedName>
    <definedName name="VSTS_ValidationRange_19bedacca7024bb4b0dc44520b633333" hidden="1">VSTS_ValidationWS_1!$HQ$1:$HQ$8</definedName>
    <definedName name="VSTS_ValidationRange_1bc07a45be78424bb9334a8024a33e7b" hidden="1">VSTS_ValidationWS_1!$FD$1:$FD$2</definedName>
    <definedName name="VSTS_ValidationRange_1c0a7ef8abdc4594913b36d253ac6615" hidden="1">VSTS_ValidationWS_1!$OW$1:$OW$8</definedName>
    <definedName name="VSTS_ValidationRange_1c31a597ac1e45389945c00eeece1088" hidden="1">VSTS_ValidationWS_1!$NN$1:$NN$19</definedName>
    <definedName name="VSTS_ValidationRange_1dfcd4a68c8b49f4b267778bc7a637fd" hidden="1">VSTS_ValidationWS_1!$SU$1:$SU$17</definedName>
    <definedName name="VSTS_ValidationRange_1e4b7298ec5f48c78a3d9eda0fde598d" hidden="1">VSTS_ValidationWS_1!$OH$1:$OH$3</definedName>
    <definedName name="VSTS_ValidationRange_1ef34e33abf34ae791a9e6e48d806a6e" hidden="1">VSTS_ValidationWS_1!$FH$1:$FH$18</definedName>
    <definedName name="VSTS_ValidationRange_1f563acce53f416a9148378da382c293" hidden="1">VSTS_ValidationWS_1!$GJ$1:$GJ$18</definedName>
    <definedName name="VSTS_ValidationRange_21399667732945fb959a8e1dcd5c2ce9" hidden="1">VSTS_ValidationWS_1!$OC$1:$OC$18</definedName>
    <definedName name="VSTS_ValidationRange_214f29783a0640239b3cfefa024a854b" hidden="1">VSTS_ValidationWS_1!$GT$1:$GT$4</definedName>
    <definedName name="VSTS_ValidationRange_21db418854f54a6dac9870a962acd507" hidden="1">VSTS_ValidationWS_1!$BA$1:$BA$2</definedName>
    <definedName name="VSTS_ValidationRange_23a106f121d24cebb7d2db7ccc9dc623" hidden="1">VSTS_ValidationWS_1!$SB$1:$SB$3</definedName>
    <definedName name="VSTS_ValidationRange_256ca69404f84bdbbe86dd316f444837" hidden="1">VSTS_ValidationWS_1!$IM$1:$IM$3</definedName>
    <definedName name="VSTS_ValidationRange_2590132fca9c4dc0810929fbae49b4ac" hidden="1">VSTS_ValidationWS_1!$GX$1:$GX$18</definedName>
    <definedName name="VSTS_ValidationRange_25adade7fa7544f583661a9b8aeea48f" hidden="1">VSTS_ValidationWS_1!$JM$1:$JM$3</definedName>
    <definedName name="VSTS_ValidationRange_2603c956a1834585a440ef4eda416d0b" hidden="1">VSTS_ValidationWS_1!$PN$1:$PN$18</definedName>
    <definedName name="VSTS_ValidationRange_27f51316384e469c825dcbee612e26d3" hidden="1">VSTS_ValidationWS_1!$SL$1:$SL$15</definedName>
    <definedName name="VSTS_ValidationRange_2c43f550e6d547ea8b6bf62ba179fd9d" hidden="1">VSTS_ValidationWS_1!$CH$1:$CH$8</definedName>
    <definedName name="VSTS_ValidationRange_2c749a5f6885430a985735ea8caba343" hidden="1">VSTS_ValidationWS_1!$RW$1:$RW$21</definedName>
    <definedName name="VSTS_ValidationRange_2ca32639af1a4e929dfaf29f8dc4c124" hidden="1">VSTS_ValidationWS_1!$QG$1:$QG$18</definedName>
    <definedName name="VSTS_ValidationRange_2ce20f07147040c2a405fbf3a160a749" hidden="1">VSTS_ValidationWS_1!$GW$1:$GW$18</definedName>
    <definedName name="VSTS_ValidationRange_2d94ed8af9394ff9977d21b319926dc0" hidden="1">VSTS_ValidationWS_1!$JV$1:$JV$18</definedName>
    <definedName name="VSTS_ValidationRange_2e2a9a1b9f8645efb7beb9ac36ac2cd5" hidden="1">VSTS_ValidationWS_1!$FR$1:$FR$18</definedName>
    <definedName name="VSTS_ValidationRange_302522c8f4194391a4833e54461523a1" hidden="1">VSTS_ValidationWS_1!$KO$1:$KO$18</definedName>
    <definedName name="VSTS_ValidationRange_3328825975b04b41a01d592e2369a9d7" hidden="1">VSTS_ValidationWS_1!$QH$1:$QH$18</definedName>
    <definedName name="VSTS_ValidationRange_33485e2b9bed435c884d65a1ef8fe25f" hidden="1">VSTS_ValidationWS_1!$EO$1:$EO$18</definedName>
    <definedName name="VSTS_ValidationRange_346999926f864da9975b976d6c5b0991" hidden="1">VSTS_ValidationWS_1!$U$1:$U$3</definedName>
    <definedName name="VSTS_ValidationRange_34edaf73f4554c8c91b755ff3dd57507" hidden="1">VSTS_ValidationWS_1!$CV$1:$CV$18</definedName>
    <definedName name="VSTS_ValidationRange_35352f4e71f0473abb7f8874ee84bd05" hidden="1">VSTS_ValidationWS_1!$SS$1:$SS$16</definedName>
    <definedName name="VSTS_ValidationRange_38b356516fc34b0791aef1efa8761588" hidden="1">VSTS_ValidationWS_1!$AE$1:$AE$18</definedName>
    <definedName name="VSTS_ValidationRange_39f4df81c4da42eeadecc16bd8fde09b" hidden="1">VSTS_ValidationWS_1!$AY$1:$AY$4</definedName>
    <definedName name="VSTS_ValidationRange_3a23782404e54a58a3b75bc235386974" hidden="1">VSTS_ValidationWS_1!$AO$1:$AO$18</definedName>
    <definedName name="VSTS_ValidationRange_3abebe29d4e74f8e92f04c87ab9f165b" hidden="1">VSTS_ValidationWS_1!$IJ$1:$IJ$18</definedName>
    <definedName name="VSTS_ValidationRange_3b1a9852db3c4a1e80dca790cd6ad5eb" hidden="1">VSTS_ValidationWS_1!$ML$1:$ML$18</definedName>
    <definedName name="VSTS_ValidationRange_3c5c0375196b48b098846a25e5a39ff4" hidden="1">VSTS_ValidationWS_1!$M$1:$M$2</definedName>
    <definedName name="VSTS_ValidationRange_3fd4e853bd974a88a4e07c96bf6cd9c5" hidden="1">VSTS_ValidationWS_1!$NP$1:$NP$18</definedName>
    <definedName name="VSTS_ValidationRange_40b8227292cd4d2c8c580610e8e71c82" hidden="1">VSTS_ValidationWS_1!$QV$1:$QV$18</definedName>
    <definedName name="VSTS_ValidationRange_4285ea9b436242fe984af7d885f28337" hidden="1">VSTS_ValidationWS_1!$EX$1:$EX$16</definedName>
    <definedName name="VSTS_ValidationRange_432aa571958641559da8e47b31b398e7" hidden="1">VSTS_ValidationWS_1!$IT$1:$IT$18</definedName>
    <definedName name="VSTS_ValidationRange_4463fab4963143d09c324f793aab152a" hidden="1">VSTS_ValidationWS_1!$CZ$1:$CZ$3</definedName>
    <definedName name="VSTS_ValidationRange_44c0f7c7ed6a4ec68a35790e3174adee" hidden="1">VSTS_ValidationWS_1!$EN$1:$EN$4</definedName>
    <definedName name="VSTS_ValidationRange_4de0f063faef42b4abf7ab1aa1f34840" hidden="1">VSTS_ValidationWS_1!$KC$1:$KC$18</definedName>
    <definedName name="VSTS_ValidationRange_4e9767e33f604a0f9ba0a8202d3c894a" hidden="1">VSTS_ValidationWS_1!$FL$1:$FL$18</definedName>
    <definedName name="VSTS_ValidationRange_5019e7737e4d4baca339c0a4e7e012b0" hidden="1">VSTS_ValidationWS_1!$PU$1:$PU$2</definedName>
    <definedName name="VSTS_ValidationRange_521214e612ac45e68591c90995034cbc" hidden="1">VSTS_ValidationWS_1!$SR$1:$SR$2</definedName>
    <definedName name="VSTS_ValidationRange_53d445a6f374491c903e841bc67d8c3f" hidden="1">VSTS_ValidationWS_1!$DP$1:$DP$18</definedName>
    <definedName name="VSTS_ValidationRange_547c8ed2fbca42c6aaa0e3c90751ba1b" hidden="1">VSTS_ValidationWS_1!$FO$1:$FO$18</definedName>
    <definedName name="VSTS_ValidationRange_5496e1997e2841f0a4b686de205a5cec" hidden="1">VSTS_ValidationWS_1!$IK$1:$IK$2</definedName>
    <definedName name="VSTS_ValidationRange_54c6d9f9313f4327b32163244e2c8325" hidden="1">VSTS_ValidationWS_1!$N$1:$N$4</definedName>
    <definedName name="VSTS_ValidationRange_550109ed6b7b4d70991ca2b9d2749ad2" hidden="1">VSTS_ValidationWS_1!$IE$1:$IE$18</definedName>
    <definedName name="VSTS_ValidationRange_55447dd8519948f8be0a0f680c8ef75f" hidden="1">VSTS_ValidationWS_1!$AW$1:$AW$8</definedName>
    <definedName name="VSTS_ValidationRange_56d0279463ae4de6bf04012262829da1" hidden="1">VSTS_ValidationWS_1!$NY$1:$NY$18</definedName>
    <definedName name="VSTS_ValidationRange_56f56406a3f74491bbbeeb5544fa26f2" hidden="1">VSTS_ValidationWS_1!$IN$1:$IN$18</definedName>
    <definedName name="VSTS_ValidationRange_57383a09c4744028bf7d851e46e4c5ac" hidden="1">VSTS_ValidationWS_1!$OB$1:$OB$4</definedName>
    <definedName name="VSTS_ValidationRange_5a67184068e648db8a75aac0299cf1c9" hidden="1">VSTS_ValidationWS_1!$KR$1:$KR$8</definedName>
    <definedName name="VSTS_ValidationRange_5b6aa8c776344496beb8609a703fb21f" hidden="1">VSTS_ValidationWS_1!$L$1:$L$16</definedName>
    <definedName name="VSTS_ValidationRange_5b859357053148de9917cb67e5a7463b" hidden="1">VSTS_ValidationWS_1!$AB$1:$AB$2</definedName>
    <definedName name="VSTS_ValidationRange_5c662b643ea0415fb273c35eea8b529e" hidden="1">VSTS_ValidationWS_1!$I$1:$I$17</definedName>
    <definedName name="VSTS_ValidationRange_5f5c06231e554c95abc712447db20c66" hidden="1">VSTS_ValidationWS_1!$UO$1:$UO$18</definedName>
    <definedName name="VSTS_ValidationRange_5fbb5720466e483e8a4e6c3a92c4de07" hidden="1">VSTS_ValidationWS_1!$ON$1:$ON$13</definedName>
    <definedName name="VSTS_ValidationRange_61d21d3492af4cfe85079922ee5f46e4" hidden="1">VSTS_ValidationWS_1!$PY$1:$PY$8</definedName>
    <definedName name="VSTS_ValidationRange_63b2463771164544a5d49a87b11f8ca0" hidden="1">VSTS_ValidationWS_1!$ST$1:$ST$16</definedName>
    <definedName name="VSTS_ValidationRange_6471742bb49046a7b24b535bc84989dc" hidden="1">VSTS_ValidationWS_1!$FW$1:$FW$18</definedName>
    <definedName name="VSTS_ValidationRange_657b92c3902c4af98aff384be68a8632" hidden="1">VSTS_ValidationWS_1!$QP$1:$QP$4</definedName>
    <definedName name="VSTS_ValidationRange_665aaf19e1954118a33670c40c31653c" hidden="1">VSTS_ValidationWS_1!$GV$1:$GV$3</definedName>
    <definedName name="VSTS_ValidationRange_6764f52bc77d4324bebce5c50671749b" hidden="1">VSTS_ValidationWS_1!$UU$1:$UU$17</definedName>
    <definedName name="VSTS_ValidationRange_67890601d284441fb1170a53cd041e62" hidden="1">VSTS_ValidationWS_1!$D$1</definedName>
    <definedName name="VSTS_ValidationRange_6848b9e252b441d2b2f512719ef0b28a" hidden="1">VSTS_ValidationWS_1!$HB$1:$HB$18</definedName>
    <definedName name="VSTS_ValidationRange_690b5c99f49e451ab24f0a31cb67f740" hidden="1">VSTS_ValidationWS_1!$FX$1:$FX$4</definedName>
    <definedName name="VSTS_ValidationRange_696b36c8fc8a4f8aad0ffa09dec06edd" hidden="1">VSTS_ValidationWS_1!$EA$1:$EA$6</definedName>
    <definedName name="VSTS_ValidationRange_6a7d8843bf0f48499010e8d50ee4d2a2" hidden="1">VSTS_ValidationWS_1!$HL$1:$HL$18</definedName>
    <definedName name="VSTS_ValidationRange_6cd0eb26f089402c90b3463fb5539ad5" hidden="1">VSTS_ValidationWS_1!$SD$1:$SD$19</definedName>
    <definedName name="VSTS_ValidationRange_6d6a1257c3274d5a92182e0f848f6c56" hidden="1">VSTS_ValidationWS_1!$OZ$1:$OZ$4</definedName>
    <definedName name="VSTS_ValidationRange_6e4c62c04170434aab6b1c5919b074c2" hidden="1">VSTS_ValidationWS_1!$RU$1:$RU$2</definedName>
    <definedName name="VSTS_ValidationRange_6ec625b469b247cf91cbff61eaaaadcc" hidden="1">VSTS_ValidationWS_1!$AA$1:$AA$4</definedName>
    <definedName name="VSTS_ValidationRange_6f2d6959f1c940a380e6227d728127c5" hidden="1">VSTS_ValidationWS_1!$KU$1:$KU$6</definedName>
    <definedName name="VSTS_ValidationRange_705df9324a99452b8b3a39ea3ee98d68" hidden="1">VSTS_ValidationWS_1!$GA$1:$GA$18</definedName>
    <definedName name="VSTS_ValidationRange_71ca3e79e8934a7a8386b65b7c04bcea" hidden="1">VSTS_ValidationWS_1!$G$1:$G$6</definedName>
    <definedName name="VSTS_ValidationRange_724d2412dab14ec093d3e045954a098c" hidden="1">VSTS_ValidationWS_1!$FN$1:$FN$4</definedName>
    <definedName name="VSTS_ValidationRange_73c200e8058642e4ac63f728b42546d2" hidden="1">VSTS_ValidationWS_1!$DM$1:$DM$18</definedName>
    <definedName name="VSTS_ValidationRange_7487e37ba8ba439f98bc6c8789858a38" hidden="1">VSTS_ValidationWS_1!$F$1:$F$17</definedName>
    <definedName name="VSTS_ValidationRange_753322c74a654b6d85427d9136566d19" hidden="1">VSTS_ValidationWS_1!$GR$1:$GR$18</definedName>
    <definedName name="VSTS_ValidationRange_75a6605dd74749069ba1d40df63f367d" hidden="1">VSTS_ValidationWS_1!$GQ$1:$GQ$3</definedName>
    <definedName name="VSTS_ValidationRange_77604218412d485397ca0584bd556bcd" hidden="1">VSTS_ValidationWS_1!$RY$1:$RY$20</definedName>
    <definedName name="VSTS_ValidationRange_77a90effa61b435198a992dda3099b7e" hidden="1">VSTS_ValidationWS_1!$AF$1:$AF$18</definedName>
    <definedName name="VSTS_ValidationRange_7843514eecb34ede9ffd04a11b93fddd" hidden="1">VSTS_ValidationWS_1!$HC$1:$HC$18</definedName>
    <definedName name="VSTS_ValidationRange_7967b3ccc46b4520af529018765cba82" hidden="1">VSTS_ValidationWS_1!$FS$1:$FS$3</definedName>
    <definedName name="VSTS_ValidationRange_7abfc6a7c8cd4f2786e11e5a2c7491c2" hidden="1">VSTS_ValidationWS_1!$FZ$1:$FZ$18</definedName>
    <definedName name="VSTS_ValidationRange_7b8c786c6816454180b2006c126d9479" hidden="1">VSTS_ValidationWS_1!$QQ$1:$QQ$18</definedName>
    <definedName name="VSTS_ValidationRange_7bde2985a3354b0fb41a062556ceb005" hidden="1">VSTS_ValidationWS_1!$EV$1:$EV$18</definedName>
    <definedName name="VSTS_ValidationRange_7de4be62776340e7a12808f084634dba" hidden="1">VSTS_ValidationWS_1!$GC$1:$GC$2</definedName>
    <definedName name="VSTS_ValidationRange_807a3b341a7a4d72aac74aedef92c2a0" hidden="1">VSTS_ValidationWS_1!$FP$1:$FP$4</definedName>
    <definedName name="VSTS_ValidationRange_808c36e498094120ae1722d73a282e00" hidden="1">VSTS_ValidationWS_1!$RA$1:$RA$18</definedName>
    <definedName name="VSTS_ValidationRange_817f36f6f5544839b3c0333a880c8d8b" hidden="1">VSTS_ValidationWS_1!$AG$1:$AG$18</definedName>
    <definedName name="VSTS_ValidationRange_826e31d9cde84aacbeda9957a9e38dc6" hidden="1">VSTS_ValidationWS_1!$PR$1:$PR$18</definedName>
    <definedName name="VSTS_ValidationRange_8364149cf1904e799df00e51967c40ad" hidden="1">VSTS_ValidationWS_1!$IC$1:$IC$3</definedName>
    <definedName name="VSTS_ValidationRange_8401a60d28a54ae1874d950e0aaf401c" hidden="1">VSTS_ValidationWS_1!$UP$1:$UP$16</definedName>
    <definedName name="VSTS_ValidationRange_845f81984c2b4db18eac37bfe911801a" hidden="1">VSTS_ValidationWS_1!$PX$1:$PX$18</definedName>
    <definedName name="VSTS_ValidationRange_84b1236b4b3f43d19635b18b8e03fcff" hidden="1">VSTS_ValidationWS_1!$BP$1:$BP$18</definedName>
    <definedName name="VSTS_ValidationRange_856deddbffd54c71bb8cf49b7c9041a2" hidden="1">VSTS_ValidationWS_1!$OI$1:$OI$13</definedName>
    <definedName name="VSTS_ValidationRange_85d32bdc22c3498797aeac1d6e6e406d" hidden="1">VSTS_ValidationWS_1!$SA$1:$SA$3</definedName>
    <definedName name="VSTS_ValidationRange_87118c9785284fbc970395c409df0626" hidden="1">VSTS_ValidationWS_1!$PJ$1:$PJ$17</definedName>
    <definedName name="VSTS_ValidationRange_88cd505515bd4ff6b78a0b843cfa1934" hidden="1">VSTS_ValidationWS_1!$SG$1:$SG$15</definedName>
    <definedName name="VSTS_ValidationRange_88dec72f27664f6bb86a5716705e3e1d" hidden="1">VSTS_ValidationWS_1!$A$1</definedName>
    <definedName name="VSTS_ValidationRange_88f42eeaff79424e9fb3203890131b28" hidden="1">VSTS_ValidationWS_1!$GU$1:$GU$18</definedName>
    <definedName name="VSTS_ValidationRange_89a23877d4234bcdbdf456b498d91132" hidden="1">VSTS_ValidationWS_1!$HO$1:$HO$3</definedName>
    <definedName name="VSTS_ValidationRange_8a99d843ec914117ba1d79101bc86205" hidden="1">VSTS_ValidationWS_1!$US$1:$US$16</definedName>
    <definedName name="VSTS_ValidationRange_8bad4db634454f93bed9a35ba8073afc" hidden="1">VSTS_ValidationWS_1!$JP$1:$JP$8</definedName>
    <definedName name="VSTS_ValidationRange_8d33ecc1bfae4ba2a118cbd427c3d616" hidden="1">VSTS_ValidationWS_1!$CM$1:$CM$4</definedName>
    <definedName name="VSTS_ValidationRange_8df79f4f4dcc4894aec78de9cfd3ed38" hidden="1">VSTS_ValidationWS_1!$QK$1:$QK$2</definedName>
    <definedName name="VSTS_ValidationRange_8f99ff91fc414afb903fdfeb8ca2e006" hidden="1">VSTS_ValidationWS_1!$RJ$1:$RJ$19</definedName>
    <definedName name="VSTS_ValidationRange_8fa5b67c788b4d758b7247f60bf6b8a6" hidden="1">VSTS_ValidationWS_1!$AJ$1:$AJ$17</definedName>
    <definedName name="VSTS_ValidationRange_912e3b6b2503454bbf0b3acc7a4c4eb7" hidden="1">VSTS_ValidationWS_1!$FB$1:$FB$18</definedName>
    <definedName name="VSTS_ValidationRange_93e8fb03cadc4a5397708062dd2ab652" hidden="1">VSTS_ValidationWS_1!$IP$1:$IP$18</definedName>
    <definedName name="VSTS_ValidationRange_94d4fb8d7e174fed8f0caf929a4f40c8" hidden="1">VSTS_ValidationWS_1!$RR$1:$RR$20</definedName>
    <definedName name="VSTS_ValidationRange_95286dcebd454bcdb1582aa63e6e628b" hidden="1">VSTS_ValidationWS_1!$RC$1:$RC$6</definedName>
    <definedName name="VSTS_ValidationRange_96131cf8394d4d5c98379ef0aec82e45" hidden="1">VSTS_ValidationWS_1!$QD$1:$QD$3</definedName>
    <definedName name="VSTS_ValidationRange_9694a70b85314cf9865846b682e6737a" hidden="1">VSTS_ValidationWS_1!$UQ$1:$UQ$17</definedName>
    <definedName name="VSTS_ValidationRange_9b31036ce1fd4c5f9f261e8490782d6d" hidden="1">VSTS_ValidationWS_1!$DX$1:$DX$6</definedName>
    <definedName name="VSTS_ValidationRange_9be3ad0ed6f246b489ad94c659c96481" hidden="1">VSTS_ValidationWS_1!$MY$1:$MY$16</definedName>
    <definedName name="VSTS_ValidationRange_9cb8800b91ea4581b16b36d1c192e81f" hidden="1">VSTS_ValidationWS_1!$QA$1:$QA$4</definedName>
    <definedName name="VSTS_ValidationRange_9d7df55b828845f9a2df100aa6f5398a" hidden="1">VSTS_ValidationWS_1!$FF$1:$FF$18</definedName>
    <definedName name="VSTS_ValidationRange_9da72d0b8f2a4b9c83054dc03bb06834" hidden="1">VSTS_ValidationWS_1!$EZ$1:$EZ$18</definedName>
    <definedName name="VSTS_ValidationRange_a062b0c517c545cc9777a8e9d1d2d801" hidden="1">VSTS_ValidationWS_1!$B$1</definedName>
    <definedName name="VSTS_ValidationRange_a1ad9e5bb0f747e39f733452041014b7" hidden="1">VSTS_ValidationWS_1!$HR$1:$HR$4</definedName>
    <definedName name="VSTS_ValidationRange_a1b16372d89d49ab8c3b1c65c198005e" hidden="1">VSTS_ValidationWS_1!$OR$1:$OR$20</definedName>
    <definedName name="VSTS_ValidationRange_a2f82078821243f89f99f3be25aca621" hidden="1">VSTS_ValidationWS_1!$ES$1:$ES$4</definedName>
    <definedName name="VSTS_ValidationRange_a3ce671dc0b44497857bba334345e98f" hidden="1">VSTS_ValidationWS_1!$GI$1:$GI$8</definedName>
    <definedName name="VSTS_ValidationRange_a419e91700ab4706ab107e00efd80801" hidden="1">VSTS_ValidationWS_1!$QE$1:$QE$18</definedName>
    <definedName name="VSTS_ValidationRange_a4e5864d1b934227879e3f459085dba7" hidden="1">VSTS_ValidationWS_1!$HZ$1:$HZ$18</definedName>
    <definedName name="VSTS_ValidationRange_a5f047fb01dc4d4796effd25c4ae6605" hidden="1">VSTS_ValidationWS_1!$GD$1:$GD$18</definedName>
    <definedName name="VSTS_ValidationRange_aacb9174a7a8471c99f1fc36cd983783" hidden="1">VSTS_ValidationWS_1!$OO$1:$OO$19</definedName>
    <definedName name="VSTS_ValidationRange_ac2ce592d2744f829a9757dfd96d8c17" hidden="1">VSTS_ValidationWS_1!$QZ$1:$QZ$2</definedName>
    <definedName name="VSTS_ValidationRange_ac3ba3745831490ea39e615cb7178a92" hidden="1">VSTS_ValidationWS_1!$BS$1:$BS$6</definedName>
    <definedName name="VSTS_ValidationRange_ad11c16c119e4b88a36692118f5aefd2" hidden="1">VSTS_ValidationWS_1!$QM$1:$QM$18</definedName>
    <definedName name="VSTS_ValidationRange_ad48a426b6a3445ba548a5ec77572e36" hidden="1">VSTS_ValidationWS_1!$O$1:$O$18</definedName>
    <definedName name="VSTS_ValidationRange_adaf8740885a4c748ba5a9c212e03b07" hidden="1">VSTS_ValidationWS_1!$QT$1:$QT$18</definedName>
    <definedName name="VSTS_ValidationRange_adb8cfc0286a48eabe28fe37a14e14bd" hidden="1">VSTS_ValidationWS_1!$AD$1:$AD$3</definedName>
    <definedName name="VSTS_ValidationRange_ae0cf146b69a4b2cbf33467d22c2a3d7" hidden="1">VSTS_ValidationWS_1!$OK$1:$OK$18</definedName>
    <definedName name="VSTS_ValidationRange_af262f44aaa14d34b86af051d6aa549b" hidden="1">VSTS_ValidationWS_1!$OQ$1:$OQ$2</definedName>
    <definedName name="VSTS_ValidationRange_af7944dba1484be78e9c8aa1d488c2dd" hidden="1">VSTS_ValidationWS_1!$OG$1:$OG$18</definedName>
    <definedName name="VSTS_ValidationRange_b02088c33203460ebe00f022811e4d51" hidden="1">VSTS_ValidationWS_1!$SC$1:$SC$3</definedName>
    <definedName name="VSTS_ValidationRange_b0706edc103d4517a00779562fe153e6" hidden="1">VSTS_ValidationWS_1!$GS$1:$GS$4</definedName>
    <definedName name="VSTS_ValidationRange_b1a64ed95fab4565ba74f481c94b0d53" hidden="1">VSTS_ValidationWS_1!$J$1:$J$19</definedName>
    <definedName name="VSTS_ValidationRange_b1b24d1c354f4741947f2d6ad2e2e709" hidden="1">VSTS_ValidationWS_1!$HA$1:$HA$2</definedName>
    <definedName name="VSTS_ValidationRange_b479c1a7b13b4ab883036a52cf2189b7" hidden="1">VSTS_ValidationWS_1!$MT$1:$MT$6</definedName>
    <definedName name="VSTS_ValidationRange_b47bfc599bff44118cb62b07663c1ac0" hidden="1">VSTS_ValidationWS_1!$NU$1:$NU$3</definedName>
    <definedName name="VSTS_ValidationRange_b4ed6e73d4934b78be1fbcf6c23e634a" hidden="1">VSTS_ValidationWS_1!$HE$1:$HE$6</definedName>
    <definedName name="VSTS_ValidationRange_b88adec483ad4967825ab1a142aa9fc5" hidden="1">VSTS_ValidationWS_1!$SP$1:$SP$16</definedName>
    <definedName name="VSTS_ValidationRange_b893e1df7f9a4f9ab1eda172edcec719" hidden="1">VSTS_ValidationWS_1!$IQ$1:$IQ$8</definedName>
    <definedName name="VSTS_ValidationRange_b8be17a39f614ea4889ef2b675755ca2" hidden="1">VSTS_ValidationWS_1!$KL$1:$KL$2</definedName>
    <definedName name="VSTS_ValidationRange_b9650c6f6e73430f8cffa9ed420938b2" hidden="1">VSTS_ValidationWS_1!$S$1:$S$19</definedName>
    <definedName name="VSTS_ValidationRange_b9e89a768b094b9d9b3d0e732a426c67" hidden="1">VSTS_ValidationWS_1!$E$1:$E$17</definedName>
    <definedName name="VSTS_ValidationRange_ba6975264b0a4279a3593af2b53b7a30" hidden="1">VSTS_ValidationWS_1!$DS$1:$DS$8</definedName>
    <definedName name="VSTS_ValidationRange_bc0a0cd9448349bab1bafb1a2d5c706d" hidden="1">VSTS_ValidationWS_1!$HJ$1:$HJ$2</definedName>
    <definedName name="VSTS_ValidationRange_bc4e066325134d4382a51fd5d2a45482" hidden="1">VSTS_ValidationWS_1!$PK$1:$PK$18</definedName>
    <definedName name="VSTS_ValidationRange_bd12a56f3e8a4d7f9b84233d4a8546d8" hidden="1">VSTS_ValidationWS_1!$GL$1:$GL$18</definedName>
    <definedName name="VSTS_ValidationRange_be357a1973b44f62bccf3bdb892b127e" hidden="1">VSTS_ValidationWS_1!$R$1:$R$18</definedName>
    <definedName name="VSTS_ValidationRange_bedb53876ac548979653a47ce42a53df" hidden="1">VSTS_ValidationWS_1!$EK$1:$EK$18</definedName>
    <definedName name="VSTS_ValidationRange_bf57c46b67f44577b15f0a1409a30710" hidden="1">VSTS_ValidationWS_1!$V$1:$V$18</definedName>
    <definedName name="VSTS_ValidationRange_c02053968ab74f079940981bcfcedf22" hidden="1">VSTS_ValidationWS_1!$ET$1:$ET$3</definedName>
    <definedName name="VSTS_ValidationRange_c092c89bd95e42f7be995a9d97c82965" hidden="1">VSTS_ValidationWS_1!$BL$1:$BL$18</definedName>
    <definedName name="VSTS_ValidationRange_c1f8435944754b718c5e3309c8213af2" hidden="1">VSTS_ValidationWS_1!$T$1:$T$16</definedName>
    <definedName name="VSTS_ValidationRange_c3008bc0b7144e1792767f1b563597f2" hidden="1">VSTS_ValidationWS_1!$EW$1:$EW$6</definedName>
    <definedName name="VSTS_ValidationRange_c443cafa85954a77ac2caec14455a72b" hidden="1">VSTS_ValidationWS_1!$K$1:$K$4</definedName>
    <definedName name="VSTS_ValidationRange_c77133a1d8c34ff08a062706a04cb374" hidden="1">VSTS_ValidationWS_1!$QY$1:$QY$18</definedName>
    <definedName name="VSTS_ValidationRange_c799066d5c46435badf9432a52949d93" hidden="1">VSTS_ValidationWS_1!$FU$1:$FU$3</definedName>
    <definedName name="VSTS_ValidationRange_cb52f0c9f5a948fc8d502c1333f76255" hidden="1">VSTS_ValidationWS_1!$Y$1:$Y$18</definedName>
    <definedName name="VSTS_ValidationRange_cc6867fb2994472987405d68378586b1" hidden="1">VSTS_ValidationWS_1!$HN$1:$HN$18</definedName>
    <definedName name="VSTS_ValidationRange_cc9bce1510d04f8db9bdca4c4d8292b0" hidden="1">VSTS_ValidationWS_1!$FI$1:$FI$8</definedName>
    <definedName name="VSTS_ValidationRange_ce9ac3e01cc24f888b5d2e0f2c562f48" hidden="1">VSTS_ValidationWS_1!$HU$1:$HU$18</definedName>
    <definedName name="VSTS_ValidationRange_cedcd1cc225040199a6e215f63a25ac4" hidden="1">VSTS_ValidationWS_1!$GF$1:$GF$18</definedName>
    <definedName name="VSTS_ValidationRange_cf171d68be61420abe8fc0ca56b3208b" hidden="1">VSTS_ValidationWS_1!$Q$1:$Q$18</definedName>
    <definedName name="VSTS_ValidationRange_d0ffe5f9013045b3bf355cf195c69d36" hidden="1">VSTS_ValidationWS_1!$OF$1:$OF$13</definedName>
    <definedName name="VSTS_ValidationRange_d18b740260af4ce282a391d3857d4e12" hidden="1">VSTS_ValidationWS_1!$RX$1:$RX$20</definedName>
    <definedName name="VSTS_ValidationRange_d3d65208caed46a1ad76e017734753ed" hidden="1">VSTS_ValidationWS_1!$GG$1:$GG$2</definedName>
    <definedName name="VSTS_ValidationRange_d614ee8ae47a4f8c8ca3bc6fcf1f29be" hidden="1">VSTS_ValidationWS_1!$OU$1:$OU$18</definedName>
    <definedName name="VSTS_ValidationRange_d9418e81e92d44e187106b9c0e9ba087" hidden="1">VSTS_ValidationWS_1!$RB$1:$RB$8</definedName>
    <definedName name="VSTS_ValidationRange_db85afcfaa6847788cc0bf8626c981ac" hidden="1">VSTS_ValidationWS_1!$QJ$1:$QJ$6</definedName>
    <definedName name="VSTS_ValidationRange_dbb2bbfdd13b447ebbacba7175ce41b7" hidden="1">VSTS_ValidationWS_1!$UT$1:$UT$17</definedName>
    <definedName name="VSTS_ValidationRange_dcfb835747194427ab3c7ff340f0888c" hidden="1">VSTS_ValidationWS_1!$FK$1:$FK$3</definedName>
    <definedName name="VSTS_ValidationRange_dd08987efb8f410aba8a5786acf2bd14" hidden="1">VSTS_ValidationWS_1!$Z$1:$Z$8</definedName>
    <definedName name="VSTS_ValidationRange_dd7646fc05e74286b26827c12274272b" hidden="1">VSTS_ValidationWS_1!$IS$1:$IS$2</definedName>
    <definedName name="VSTS_ValidationRange_dd85ac1c86044473b8afdffc92ea248d" hidden="1">VSTS_ValidationWS_1!$HF$1:$HF$8</definedName>
    <definedName name="VSTS_ValidationRange_dd8d1dd8d16c48889c2e8dd1ceb3052a" hidden="1">VSTS_ValidationWS_1!$GY$1:$GY$18</definedName>
    <definedName name="VSTS_ValidationRange_dec80569f8864e20a0ce8ee3d9183501" hidden="1">VSTS_ValidationWS_1!$AT$1:$AT$18</definedName>
    <definedName name="VSTS_ValidationRange_e0639ca0926a47eb94418a19a160e146" hidden="1">VSTS_ValidationWS_1!$KI$1:$KI$18</definedName>
    <definedName name="VSTS_ValidationRange_e269537bc3e64f99a192b8e009155030" hidden="1">VSTS_ValidationWS_1!$UV$1:$UV$18</definedName>
    <definedName name="VSTS_ValidationRange_e462343c0ed541b99335ac16ef31d3db" hidden="1">VSTS_ValidationWS_1!$P$1:$P$3</definedName>
    <definedName name="VSTS_ValidationRange_e7889060756c4a4a88598188b7b0d424" hidden="1">VSTS_ValidationWS_1!$IH$1:$IH$6</definedName>
    <definedName name="VSTS_ValidationRange_eaa2435f4c08457a98f36d6d7bad1c8d" hidden="1">VSTS_ValidationWS_1!$QW$1:$QW$3</definedName>
    <definedName name="VSTS_ValidationRange_eb67d65c9c2142b59053370746cfe7db" hidden="1">VSTS_ValidationWS_1!$OL$1:$OL$13</definedName>
    <definedName name="VSTS_ValidationRange_ec43c1190819483fb1aeca8e8fa07db5" hidden="1">VSTS_ValidationWS_1!$IG$1:$IG$18</definedName>
    <definedName name="VSTS_ValidationRange_ed575a3cc977455cbaf3228c1f99b286" hidden="1">VSTS_ValidationWS_1!$MU$1:$MU$4</definedName>
    <definedName name="VSTS_ValidationRange_ee3f0c0555f14c419447c2aa8ed126bb" hidden="1">VSTS_ValidationWS_1!$UR$1:$UR$17</definedName>
    <definedName name="VSTS_ValidationRange_f20d4479999c4fdf80104cd66e563a00" hidden="1">VSTS_ValidationWS_1!$KF$1:$KF$3</definedName>
    <definedName name="VSTS_ValidationRange_f27c9a8679c244a499ff7bccab3bf420" hidden="1">VSTS_ValidationWS_1!$QS$1:$QS$3</definedName>
    <definedName name="VSTS_ValidationRange_f31f5a891aa8412dbc070f603347dbcf" hidden="1">VSTS_ValidationWS_1!$CA$1:$CA$18</definedName>
    <definedName name="VSTS_ValidationRange_f3d6b2868f084e34ada6779a95bf70e7" hidden="1">VSTS_ValidationWS_1!$ER$1:$ER$3</definedName>
    <definedName name="VSTS_ValidationRange_f708c17b13f04ac1b48c9f2bd2ef7aad" hidden="1">VSTS_ValidationWS_1!$QX$1:$QX$20</definedName>
    <definedName name="VSTS_ValidationRange_f71b5f3fa8234de7a1424e09705f0d91" hidden="1">VSTS_ValidationWS_1!$BH$1:$BH$18</definedName>
    <definedName name="VSTS_ValidationRange_f841a6e66baa4c4180bf5bea5afb9671" hidden="1">VSTS_ValidationWS_1!$NQ$1:$NQ$18</definedName>
    <definedName name="VSTS_ValidationRange_f86001a4ef5246b2a63cc7464633e6f6" hidden="1">VSTS_ValidationWS_1!$RZ$1:$RZ$20</definedName>
    <definedName name="VSTS_ValidationRange_f8a743c3888a483bbe049e80872c558d" hidden="1">VSTS_ValidationWS_1!$X$1:$X$18</definedName>
    <definedName name="VSTS_ValidationRange_f9204b54b2834d91ac815214034a687d" hidden="1">VSTS_ValidationWS_1!$PH$1:$PH$3</definedName>
    <definedName name="VSTS_ValidationRange_f95db292fa874a178cff34a923a7a5b8" hidden="1">VSTS_ValidationWS_1!$AC$1:$AC$18</definedName>
    <definedName name="VSTS_ValidationRange_f966c31ae0944f06ab1547b6f0be2211" hidden="1">VSTS_ValidationWS_1!$HW$1:$HW$18</definedName>
    <definedName name="VSTS_ValidationRange_f9ca90b4e6dd414c9ac9d2482c2a78c9" hidden="1">VSTS_ValidationWS_1!$PM$1:$PM$17</definedName>
    <definedName name="VSTS_ValidationRange_fa772f814e1249649f217e17f22a1a0f" hidden="1">VSTS_ValidationWS_1!$QB$1:$QB$18</definedName>
    <definedName name="VSTS_ValidationRange_fae45a6d44de4368bdf83300c2d0c109" hidden="1">VSTS_ValidationWS_1!$JT$1:$JT$6</definedName>
    <definedName name="VSTS_ValidationRange_fb4a68d8e45741118a9c899b7dfe67a3" hidden="1">VSTS_ValidationWS_1!$GZ$1:$GZ$18</definedName>
    <definedName name="VSTS_ValidationRange_fc4838856eef4d15b75fb7cdae3a3e2f" hidden="1">VSTS_ValidationWS_1!$W$1:$W$18</definedName>
    <definedName name="VSTS_ValidationRange_fcdf4cabaf084f9690027c4abdb94ffa" hidden="1">VSTS_ValidationWS_1!$QL$1:$QL$18</definedName>
    <definedName name="VSTS_ValidationRange_fd193f68c1374becb1fdedbc724a4db2" hidden="1">VSTS_ValidationWS_1!$OT$1:$OT$18</definedName>
    <definedName name="VSTS_ValidationRange_fe94c387636240c09680a97fed9bb4bc" hidden="1">VSTS_ValidationWS_1!$EB$1:$EB$16</definedName>
    <definedName name="VSTS_ValidationRange_ff084c76d9804d589b683200d0e6425a" hidden="1">VSTS_ValidationWS_1!$SO$1:$SO$15</definedName>
    <definedName name="VSTS_ValidationRange_ff1ce9a551c8495cb5a171ee34c7dafe" hidden="1">VSTS_ValidationWS_1!$DJ$1:$DJ$3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74" i="11" l="1" a="1"/>
  <c r="D174" i="11"/>
  <c r="D175" i="11" a="1"/>
  <c r="D175" i="11"/>
  <c r="D176" i="11" a="1"/>
  <c r="D176" i="11"/>
  <c r="D177" i="11" a="1"/>
  <c r="D177" i="11"/>
  <c r="D178" i="11" a="1"/>
  <c r="D178" i="11"/>
  <c r="D179" i="11" a="1"/>
  <c r="D179" i="11"/>
  <c r="D180" i="11" a="1"/>
  <c r="D180" i="11"/>
  <c r="D181" i="11" a="1"/>
  <c r="D181" i="11"/>
  <c r="D182" i="11" a="1"/>
  <c r="D182" i="11"/>
  <c r="D183" i="11" a="1"/>
  <c r="D183" i="11"/>
  <c r="D184" i="11" a="1"/>
  <c r="D184" i="11"/>
  <c r="D185" i="11" a="1"/>
  <c r="D185" i="11"/>
  <c r="D186" i="11" a="1"/>
  <c r="D186" i="11"/>
  <c r="D187" i="11" a="1"/>
  <c r="D187" i="11"/>
  <c r="D188" i="11" a="1"/>
  <c r="D188" i="11"/>
  <c r="D189" i="11" a="1"/>
  <c r="D189" i="11"/>
  <c r="D190" i="11" a="1"/>
  <c r="D190" i="11"/>
  <c r="D191" i="11" a="1"/>
  <c r="D191" i="11"/>
  <c r="D192" i="11" a="1"/>
  <c r="D192" i="11"/>
  <c r="D193" i="11" a="1"/>
  <c r="D193" i="11"/>
  <c r="D194" i="11" a="1"/>
  <c r="D194" i="11"/>
  <c r="D195" i="11" a="1"/>
  <c r="D195" i="11"/>
  <c r="D196" i="11" a="1"/>
  <c r="D196" i="11"/>
  <c r="D197" i="11" a="1"/>
  <c r="D197" i="11"/>
  <c r="D198" i="11" a="1"/>
  <c r="D198" i="11"/>
  <c r="D199" i="11" a="1"/>
  <c r="D199" i="11"/>
  <c r="D200" i="11" a="1"/>
  <c r="D200" i="11"/>
  <c r="D201" i="11" a="1"/>
  <c r="D201" i="11"/>
  <c r="D202" i="11" a="1"/>
  <c r="D202" i="11"/>
  <c r="D203" i="11" a="1"/>
  <c r="D203" i="11"/>
  <c r="D204" i="11" a="1"/>
  <c r="D204" i="11"/>
  <c r="D205" i="11" a="1"/>
  <c r="D205" i="11"/>
  <c r="D206" i="11" a="1"/>
  <c r="D206" i="11"/>
  <c r="D207" i="11" a="1"/>
  <c r="D207" i="11"/>
  <c r="D208" i="11" a="1"/>
  <c r="D208" i="11"/>
  <c r="D209" i="11" a="1"/>
  <c r="D209" i="11"/>
  <c r="D210" i="11" a="1"/>
  <c r="D210" i="11"/>
  <c r="D211" i="11" a="1"/>
  <c r="D211" i="11"/>
  <c r="D212" i="11" a="1"/>
  <c r="D212" i="11"/>
  <c r="D213" i="11" a="1"/>
  <c r="D213" i="11"/>
  <c r="D214" i="11" a="1"/>
  <c r="D214" i="11"/>
  <c r="D215" i="11" a="1"/>
  <c r="D215" i="11"/>
  <c r="D216" i="11" a="1"/>
  <c r="D216" i="11"/>
  <c r="D217" i="11" a="1"/>
  <c r="D217" i="11"/>
  <c r="D218" i="11" a="1"/>
  <c r="D218" i="11"/>
  <c r="D219" i="11" a="1"/>
  <c r="D219" i="11"/>
  <c r="D220" i="11" a="1"/>
  <c r="D220" i="11"/>
  <c r="D221" i="11" a="1"/>
  <c r="D221" i="11"/>
  <c r="D222" i="11" a="1"/>
  <c r="D222" i="11"/>
  <c r="D223" i="11" a="1"/>
  <c r="D223" i="11"/>
  <c r="D224" i="11" a="1"/>
  <c r="D224" i="11"/>
  <c r="D225" i="11" a="1"/>
  <c r="D225" i="11"/>
  <c r="D226" i="11" a="1"/>
  <c r="D226" i="11"/>
  <c r="D227" i="11" a="1"/>
  <c r="D227" i="11"/>
  <c r="D228" i="11" a="1"/>
  <c r="D228" i="11"/>
  <c r="D229" i="11" a="1"/>
  <c r="D229" i="11"/>
  <c r="D230" i="11" a="1"/>
  <c r="D230" i="11"/>
  <c r="D231" i="11" a="1"/>
  <c r="D231" i="11"/>
  <c r="D232" i="11" a="1"/>
  <c r="D232" i="11"/>
  <c r="D233" i="11" a="1"/>
  <c r="D233" i="11"/>
  <c r="D234" i="11" a="1"/>
  <c r="D234" i="11"/>
  <c r="D235" i="11" a="1"/>
  <c r="D235" i="11"/>
  <c r="D236" i="11" a="1"/>
  <c r="D236" i="11"/>
  <c r="D237" i="11" a="1"/>
  <c r="D237" i="11"/>
  <c r="D238" i="11" a="1"/>
  <c r="D238" i="11"/>
  <c r="D239" i="11" a="1"/>
  <c r="D239" i="11"/>
  <c r="D240" i="11" a="1"/>
  <c r="D240" i="11"/>
  <c r="D241" i="11" a="1"/>
  <c r="D241" i="11"/>
  <c r="D242" i="11" a="1"/>
  <c r="D242" i="11"/>
  <c r="D243" i="11" a="1"/>
  <c r="D243" i="11"/>
  <c r="D244" i="11" a="1"/>
  <c r="D244" i="11"/>
  <c r="D245" i="11" a="1"/>
  <c r="D245" i="11"/>
  <c r="D246" i="11" a="1"/>
  <c r="D246" i="11"/>
  <c r="D247" i="11" a="1"/>
  <c r="D247" i="11"/>
  <c r="D248" i="11" a="1"/>
  <c r="D248" i="11"/>
  <c r="D249" i="11" a="1"/>
  <c r="D249" i="11"/>
  <c r="D250" i="11" a="1"/>
  <c r="D250" i="11"/>
  <c r="D251" i="11" a="1"/>
  <c r="D251" i="11"/>
  <c r="D252" i="11" a="1"/>
  <c r="D252" i="11"/>
  <c r="D253" i="11" a="1"/>
  <c r="D253" i="11"/>
  <c r="D254" i="11" a="1"/>
  <c r="D254" i="11"/>
  <c r="D255" i="11" a="1"/>
  <c r="D255" i="11"/>
  <c r="D256" i="11" a="1"/>
  <c r="D256" i="11"/>
  <c r="D257" i="11" a="1"/>
  <c r="D257" i="11"/>
  <c r="D258" i="11" a="1"/>
  <c r="D258" i="11"/>
  <c r="D259" i="11" a="1"/>
  <c r="D259" i="11"/>
  <c r="D260" i="11" a="1"/>
  <c r="D260" i="11"/>
  <c r="D261" i="11" a="1"/>
  <c r="D261" i="11"/>
  <c r="D262" i="11" a="1"/>
  <c r="D262" i="11"/>
  <c r="D263" i="11" a="1"/>
  <c r="D263" i="11"/>
  <c r="D264" i="11" a="1"/>
  <c r="D264" i="11"/>
  <c r="D265" i="11" a="1"/>
  <c r="D265" i="11"/>
  <c r="D266" i="11" a="1"/>
  <c r="D266" i="11"/>
  <c r="D267" i="11" a="1"/>
  <c r="D267" i="11"/>
  <c r="D268" i="11" a="1"/>
  <c r="D268" i="11"/>
  <c r="D269" i="11" a="1"/>
  <c r="D269" i="11"/>
  <c r="D270" i="11" a="1"/>
  <c r="D270" i="11"/>
  <c r="D271" i="11" a="1"/>
  <c r="D271" i="11"/>
  <c r="D272" i="11" a="1"/>
  <c r="D272" i="11"/>
  <c r="D273" i="11" a="1"/>
  <c r="D273" i="11"/>
  <c r="D274" i="11" a="1"/>
  <c r="D274" i="11"/>
  <c r="D275" i="11" a="1"/>
  <c r="D275" i="11"/>
  <c r="D276" i="11" a="1"/>
  <c r="D276" i="11"/>
  <c r="D277" i="11" a="1"/>
  <c r="D277" i="11"/>
  <c r="D278" i="11" a="1"/>
  <c r="D278" i="11"/>
  <c r="D279" i="11" a="1"/>
  <c r="D279" i="11"/>
  <c r="D280" i="11" a="1"/>
  <c r="D280" i="11"/>
  <c r="D281" i="11" a="1"/>
  <c r="D281" i="11"/>
  <c r="D282" i="11" a="1"/>
  <c r="D282" i="11"/>
  <c r="D283" i="11" a="1"/>
  <c r="D283" i="11"/>
  <c r="D284" i="11" a="1"/>
  <c r="D284" i="11"/>
  <c r="D285" i="11" a="1"/>
  <c r="D285" i="11"/>
  <c r="D286" i="11" a="1"/>
  <c r="D286" i="11"/>
  <c r="D287" i="11" a="1"/>
  <c r="D287" i="11"/>
  <c r="D288" i="11" a="1"/>
  <c r="D288" i="11"/>
  <c r="D289" i="11" a="1"/>
  <c r="D289" i="11"/>
  <c r="D290" i="11" a="1"/>
  <c r="D290" i="11"/>
  <c r="D291" i="11" a="1"/>
  <c r="D291" i="11"/>
  <c r="D292" i="11" a="1"/>
  <c r="D292" i="11"/>
  <c r="D293" i="11" a="1"/>
  <c r="D293" i="11"/>
  <c r="D294" i="11" a="1"/>
  <c r="D294" i="11"/>
  <c r="D295" i="11" a="1"/>
  <c r="D295" i="11"/>
  <c r="D296" i="11" a="1"/>
  <c r="D296" i="11"/>
  <c r="D297" i="11" a="1"/>
  <c r="D297" i="11"/>
  <c r="D298" i="11" a="1"/>
  <c r="D298" i="11"/>
  <c r="D299" i="11" a="1"/>
  <c r="D299" i="11"/>
  <c r="D300" i="11" a="1"/>
  <c r="D300" i="11"/>
  <c r="D301" i="11" a="1"/>
  <c r="D301" i="11"/>
  <c r="D302" i="11" a="1"/>
  <c r="D302" i="11"/>
  <c r="D303" i="11" a="1"/>
  <c r="D303" i="11"/>
  <c r="D304" i="11" a="1"/>
  <c r="D304" i="11"/>
  <c r="D305" i="11" a="1"/>
  <c r="D305" i="11"/>
  <c r="D306" i="11" a="1"/>
  <c r="D306" i="11"/>
  <c r="D307" i="11" a="1"/>
  <c r="D307" i="11"/>
  <c r="D308" i="11" a="1"/>
  <c r="D308" i="11"/>
  <c r="D309" i="11" a="1"/>
  <c r="D309" i="11"/>
  <c r="D310" i="11" a="1"/>
  <c r="D310" i="11"/>
  <c r="D311" i="11" a="1"/>
  <c r="D311" i="11"/>
  <c r="D312" i="11" a="1"/>
  <c r="D312" i="11"/>
  <c r="D313" i="11" a="1"/>
  <c r="D313" i="11"/>
  <c r="D314" i="11" a="1"/>
  <c r="D314" i="11"/>
  <c r="D315" i="11" a="1"/>
  <c r="D315" i="11"/>
  <c r="D316" i="11" a="1"/>
  <c r="D316" i="11"/>
  <c r="D317" i="11" a="1"/>
  <c r="D317" i="11"/>
  <c r="D318" i="11" a="1"/>
  <c r="D318" i="11"/>
  <c r="D319" i="11" a="1"/>
  <c r="D319" i="11"/>
  <c r="D320" i="11" a="1"/>
  <c r="D320" i="11"/>
  <c r="D321" i="11" a="1"/>
  <c r="D321" i="11"/>
  <c r="D322" i="11" a="1"/>
  <c r="D322" i="11"/>
  <c r="D323" i="11" a="1"/>
  <c r="D323" i="11"/>
  <c r="D324" i="11" a="1"/>
  <c r="D324" i="11"/>
  <c r="D325" i="11" a="1"/>
  <c r="D325" i="11"/>
  <c r="D326" i="11" a="1"/>
  <c r="D326" i="11"/>
  <c r="D327" i="11" a="1"/>
  <c r="D327" i="11"/>
  <c r="D328" i="11" a="1"/>
  <c r="D328" i="11"/>
  <c r="D329" i="11" a="1"/>
  <c r="D329" i="11"/>
  <c r="D330" i="11" a="1"/>
  <c r="D330" i="11"/>
  <c r="D331" i="11" a="1"/>
  <c r="D331" i="11"/>
  <c r="D332" i="11" a="1"/>
  <c r="D332" i="11"/>
  <c r="D333" i="11" a="1"/>
  <c r="D333" i="11"/>
  <c r="D334" i="11" a="1"/>
  <c r="D334" i="11"/>
  <c r="D335" i="11" a="1"/>
  <c r="D335" i="11"/>
  <c r="D336" i="11" a="1"/>
  <c r="D336" i="11"/>
  <c r="D337" i="11" a="1"/>
  <c r="D337" i="11"/>
  <c r="D338" i="11" a="1"/>
  <c r="D338" i="11"/>
  <c r="D339" i="11" a="1"/>
  <c r="D339" i="11"/>
  <c r="D340" i="11" a="1"/>
  <c r="D340" i="11"/>
  <c r="D341" i="11" a="1"/>
  <c r="D341" i="11"/>
  <c r="D342" i="11" a="1"/>
  <c r="D342" i="11"/>
  <c r="D343" i="11" a="1"/>
  <c r="D343" i="11"/>
  <c r="D344" i="11" a="1"/>
  <c r="D344" i="11"/>
  <c r="D345" i="11" a="1"/>
  <c r="D345" i="11"/>
  <c r="D346" i="11" a="1"/>
  <c r="D346" i="11"/>
  <c r="D347" i="11" a="1"/>
  <c r="D347" i="11"/>
  <c r="D348" i="11" a="1"/>
  <c r="D348" i="11"/>
  <c r="D349" i="11" a="1"/>
  <c r="D349" i="11"/>
  <c r="D350" i="11" a="1"/>
  <c r="D350" i="11"/>
  <c r="D351" i="11" a="1"/>
  <c r="D351" i="11"/>
  <c r="D352" i="11" a="1"/>
  <c r="D352" i="11"/>
  <c r="D353" i="11" a="1"/>
  <c r="D353" i="11"/>
  <c r="D354" i="11" a="1"/>
  <c r="D354" i="11"/>
  <c r="D355" i="11" a="1"/>
  <c r="D355" i="11"/>
  <c r="D356" i="11" a="1"/>
  <c r="D356" i="11"/>
  <c r="D357" i="11" a="1"/>
  <c r="D357" i="11"/>
  <c r="D358" i="11" a="1"/>
  <c r="D358" i="11"/>
  <c r="D359" i="11" a="1"/>
  <c r="D359" i="11"/>
  <c r="D360" i="11" a="1"/>
  <c r="D360" i="11"/>
  <c r="D361" i="11" a="1"/>
  <c r="D361" i="11"/>
  <c r="D362" i="11" a="1"/>
  <c r="D362" i="11"/>
  <c r="D363" i="11" a="1"/>
  <c r="D363" i="11"/>
  <c r="D364" i="11" a="1"/>
  <c r="D364" i="11"/>
  <c r="D365" i="11" a="1"/>
  <c r="D365" i="11"/>
  <c r="D366" i="11" a="1"/>
  <c r="D366" i="11"/>
  <c r="D367" i="11" a="1"/>
  <c r="D367" i="11"/>
  <c r="D368" i="11" a="1"/>
  <c r="D368" i="11"/>
  <c r="D369" i="11" a="1"/>
  <c r="D369" i="11"/>
  <c r="D370" i="11" a="1"/>
  <c r="D370" i="11"/>
  <c r="D371" i="11" a="1"/>
  <c r="D371" i="11"/>
  <c r="D372" i="11" a="1"/>
  <c r="D372" i="11"/>
  <c r="D373" i="11" a="1"/>
  <c r="D373" i="11"/>
  <c r="D374" i="11" a="1"/>
  <c r="D374" i="11"/>
  <c r="D375" i="11" a="1"/>
  <c r="D375" i="11"/>
  <c r="D376" i="11" a="1"/>
  <c r="D376" i="11"/>
  <c r="D377" i="11" a="1"/>
  <c r="D377" i="11"/>
  <c r="D378" i="11" a="1"/>
  <c r="D378" i="11"/>
  <c r="D379" i="11" a="1"/>
  <c r="D379" i="11"/>
  <c r="D380" i="11" a="1"/>
  <c r="D380" i="11"/>
  <c r="D381" i="11" a="1"/>
  <c r="D381" i="11"/>
  <c r="D382" i="11" a="1"/>
  <c r="D382" i="11"/>
  <c r="D383" i="11" a="1"/>
  <c r="D383" i="11"/>
  <c r="D384" i="11" a="1"/>
  <c r="D384" i="11"/>
  <c r="D385" i="11" a="1"/>
  <c r="D385" i="11"/>
  <c r="D386" i="11" a="1"/>
  <c r="D386" i="11"/>
  <c r="D387" i="11" a="1"/>
  <c r="D387" i="11"/>
  <c r="D388" i="11" a="1"/>
  <c r="D388" i="11"/>
  <c r="D389" i="11" a="1"/>
  <c r="D389" i="11"/>
  <c r="D390" i="11" a="1"/>
  <c r="D390" i="11"/>
  <c r="D391" i="11" a="1"/>
  <c r="D391" i="11"/>
  <c r="D392" i="11" a="1"/>
  <c r="D392" i="11"/>
  <c r="D393" i="11" a="1"/>
  <c r="D393" i="11"/>
  <c r="D394" i="11" a="1"/>
  <c r="D394" i="11"/>
  <c r="D395" i="11" a="1"/>
  <c r="D395" i="11"/>
  <c r="D396" i="11" a="1"/>
  <c r="D396" i="11"/>
  <c r="D397" i="11" a="1"/>
  <c r="D397" i="11"/>
  <c r="D398" i="11" a="1"/>
  <c r="D398" i="11"/>
  <c r="D399" i="11" a="1"/>
  <c r="D399" i="11"/>
  <c r="D400" i="11" a="1"/>
  <c r="D400" i="11"/>
  <c r="D401" i="11" a="1"/>
  <c r="D401" i="11"/>
  <c r="D402" i="11" a="1"/>
  <c r="D402" i="11"/>
  <c r="D403" i="11" a="1"/>
  <c r="D403" i="11"/>
  <c r="D404" i="11" a="1"/>
  <c r="D404" i="11"/>
  <c r="D405" i="11" a="1"/>
  <c r="D405" i="11"/>
  <c r="D406" i="11" a="1"/>
  <c r="D406" i="11"/>
  <c r="D407" i="11" a="1"/>
  <c r="D407" i="11"/>
  <c r="D408" i="11" a="1"/>
  <c r="D408" i="11"/>
  <c r="D409" i="11" a="1"/>
  <c r="D409" i="11"/>
  <c r="D410" i="11" a="1"/>
  <c r="D410" i="11"/>
  <c r="D411" i="11" a="1"/>
  <c r="D411" i="11"/>
  <c r="D412" i="11" a="1"/>
  <c r="D412" i="11"/>
  <c r="D413" i="11" a="1"/>
  <c r="D413" i="11"/>
  <c r="D414" i="11" a="1"/>
  <c r="D414" i="11"/>
  <c r="D415" i="11" a="1"/>
  <c r="D415" i="11"/>
  <c r="D416" i="11" a="1"/>
  <c r="D416" i="11"/>
  <c r="D417" i="11" a="1"/>
  <c r="D417" i="11"/>
  <c r="D418" i="11" a="1"/>
  <c r="D418" i="11"/>
  <c r="D419" i="11" a="1"/>
  <c r="D419" i="11"/>
  <c r="D420" i="11" a="1"/>
  <c r="D420" i="11"/>
  <c r="D421" i="11" a="1"/>
  <c r="D421" i="11"/>
  <c r="D422" i="11" a="1"/>
  <c r="D422" i="11"/>
  <c r="D423" i="11" a="1"/>
  <c r="D423" i="11"/>
  <c r="D424" i="11" a="1"/>
  <c r="D424" i="11"/>
  <c r="D425" i="11" a="1"/>
  <c r="D425" i="11"/>
  <c r="D426" i="11" a="1"/>
  <c r="D426" i="11"/>
  <c r="D427" i="11" a="1"/>
  <c r="D427" i="11"/>
  <c r="D428" i="11" a="1"/>
  <c r="D428" i="11"/>
  <c r="D429" i="11" a="1"/>
  <c r="D429" i="11"/>
  <c r="D430" i="11" a="1"/>
  <c r="D430" i="11"/>
  <c r="D431" i="11" a="1"/>
  <c r="D431" i="11"/>
  <c r="D432" i="11" a="1"/>
  <c r="D432" i="11"/>
  <c r="D433" i="11" a="1"/>
  <c r="D433" i="11"/>
  <c r="D434" i="11" a="1"/>
  <c r="D434" i="11"/>
  <c r="D435" i="11" a="1"/>
  <c r="D435" i="11"/>
  <c r="D436" i="11" a="1"/>
  <c r="D436" i="11"/>
  <c r="D437" i="11" a="1"/>
  <c r="D437" i="11"/>
  <c r="D438" i="11" a="1"/>
  <c r="D438" i="11"/>
  <c r="D439" i="11" a="1"/>
  <c r="D439" i="11"/>
  <c r="D440" i="11" a="1"/>
  <c r="D440" i="11"/>
  <c r="D441" i="11" a="1"/>
  <c r="D441" i="11"/>
  <c r="D442" i="11" a="1"/>
  <c r="D442" i="11"/>
  <c r="D443" i="11" a="1"/>
  <c r="D443" i="11"/>
  <c r="D444" i="11" a="1"/>
  <c r="D444" i="11"/>
  <c r="D445" i="11" a="1"/>
  <c r="D445" i="11"/>
  <c r="D446" i="11" a="1"/>
  <c r="D446" i="11"/>
  <c r="D447" i="11" a="1"/>
  <c r="D447" i="11"/>
  <c r="D448" i="11" a="1"/>
  <c r="D448" i="11"/>
  <c r="D449" i="11" a="1"/>
  <c r="D449" i="11"/>
  <c r="D450" i="11" a="1"/>
  <c r="D450" i="11"/>
  <c r="D451" i="11" a="1"/>
  <c r="D451" i="11"/>
  <c r="D452" i="11" a="1"/>
  <c r="D452" i="11"/>
  <c r="D453" i="11" a="1"/>
  <c r="D453" i="11"/>
  <c r="D454" i="11" a="1"/>
  <c r="D454" i="11"/>
  <c r="D455" i="11" a="1"/>
  <c r="D455" i="11"/>
  <c r="D456" i="11" a="1"/>
  <c r="D456" i="11"/>
  <c r="D457" i="11" a="1"/>
  <c r="D457" i="11"/>
  <c r="D458" i="11" a="1"/>
  <c r="D458" i="11"/>
  <c r="D459" i="11" a="1"/>
  <c r="D459" i="11"/>
  <c r="D460" i="11" a="1"/>
  <c r="D460" i="11"/>
  <c r="D461" i="11" a="1"/>
  <c r="D461" i="11"/>
  <c r="D462" i="11" a="1"/>
  <c r="D462" i="11"/>
  <c r="D463" i="11" a="1"/>
  <c r="D463" i="11"/>
  <c r="D464" i="11" a="1"/>
  <c r="D464" i="11"/>
  <c r="D465" i="11" a="1"/>
  <c r="D465" i="11"/>
  <c r="D466" i="11" a="1"/>
  <c r="D466" i="11"/>
  <c r="D467" i="11" a="1"/>
  <c r="D467" i="11"/>
  <c r="D468" i="11" a="1"/>
  <c r="D468" i="11"/>
  <c r="D469" i="11" a="1"/>
  <c r="D469" i="11"/>
  <c r="D470" i="11" a="1"/>
  <c r="D470" i="11"/>
  <c r="D471" i="11" a="1"/>
  <c r="D471" i="11"/>
  <c r="D472" i="11" a="1"/>
  <c r="D472" i="11"/>
  <c r="D473" i="11" a="1"/>
  <c r="D473" i="11"/>
  <c r="D474" i="11" a="1"/>
  <c r="D474" i="11"/>
  <c r="D475" i="11" a="1"/>
  <c r="D475" i="11"/>
  <c r="D476" i="11" a="1"/>
  <c r="D476" i="11"/>
  <c r="D477" i="11" a="1"/>
  <c r="D477" i="11"/>
  <c r="D478" i="11" a="1"/>
  <c r="D478" i="11"/>
  <c r="D479" i="11" a="1"/>
  <c r="D479" i="11"/>
  <c r="D480" i="11" a="1"/>
  <c r="D480" i="11"/>
  <c r="D481" i="11" a="1"/>
  <c r="D481" i="11"/>
  <c r="D482" i="11" a="1"/>
  <c r="D482" i="11"/>
  <c r="D483" i="11" a="1"/>
  <c r="D483" i="11"/>
  <c r="D484" i="11" a="1"/>
  <c r="D484" i="11"/>
  <c r="D485" i="11" a="1"/>
  <c r="D485" i="11"/>
  <c r="D486" i="11" a="1"/>
  <c r="D486" i="11"/>
  <c r="D487" i="11" a="1"/>
  <c r="D487" i="11"/>
  <c r="D488" i="11" a="1"/>
  <c r="D488" i="11"/>
  <c r="D489" i="11" a="1"/>
  <c r="D489" i="11"/>
  <c r="D490" i="11" a="1"/>
  <c r="D490" i="11"/>
  <c r="D491" i="11" a="1"/>
  <c r="D491" i="11"/>
  <c r="D492" i="11" a="1"/>
  <c r="D492" i="11"/>
  <c r="D493" i="11" a="1"/>
  <c r="D493" i="11"/>
  <c r="D494" i="11" a="1"/>
  <c r="D494" i="11"/>
  <c r="D495" i="11" a="1"/>
  <c r="D495" i="11"/>
  <c r="D496" i="11" a="1"/>
  <c r="D496" i="11"/>
  <c r="D497" i="11" a="1"/>
  <c r="D497" i="11"/>
  <c r="D498" i="11" a="1"/>
  <c r="D498" i="11"/>
  <c r="D499" i="11" a="1"/>
  <c r="D499" i="11"/>
  <c r="D500" i="11" a="1"/>
  <c r="D500" i="11"/>
  <c r="D501" i="11" a="1"/>
  <c r="D501" i="11"/>
  <c r="D502" i="11" a="1"/>
  <c r="D502" i="11"/>
  <c r="D503" i="11" a="1"/>
  <c r="D503" i="11"/>
  <c r="D504" i="11" a="1"/>
  <c r="D504" i="11"/>
  <c r="D505" i="11" a="1"/>
  <c r="D505" i="11"/>
  <c r="D506" i="11" a="1"/>
  <c r="D506" i="11"/>
  <c r="D507" i="11" a="1"/>
  <c r="D507" i="11"/>
  <c r="D508" i="11" a="1"/>
  <c r="D508" i="11"/>
  <c r="D509" i="11" a="1"/>
  <c r="D509" i="11"/>
  <c r="D510" i="11" a="1"/>
  <c r="D510" i="11"/>
  <c r="D511" i="11" a="1"/>
  <c r="D511" i="11"/>
  <c r="D512" i="11" a="1"/>
  <c r="D512" i="11"/>
  <c r="D513" i="11" a="1"/>
  <c r="D513" i="11"/>
  <c r="D514" i="11" a="1"/>
  <c r="D514" i="11"/>
  <c r="D515" i="11" a="1"/>
  <c r="D515" i="11"/>
  <c r="D516" i="11" a="1"/>
  <c r="D516" i="11"/>
  <c r="D517" i="11" a="1"/>
  <c r="D517" i="11"/>
  <c r="D518" i="11" a="1"/>
  <c r="D518" i="11"/>
  <c r="D519" i="11" a="1"/>
  <c r="D519" i="11"/>
  <c r="D520" i="11" a="1"/>
  <c r="D520" i="11"/>
  <c r="D521" i="11" a="1"/>
  <c r="D521" i="11"/>
  <c r="D522" i="11" a="1"/>
  <c r="D522" i="11"/>
  <c r="D523" i="11" a="1"/>
  <c r="D523" i="11"/>
  <c r="D524" i="11" a="1"/>
  <c r="D524" i="11"/>
  <c r="D525" i="11" a="1"/>
  <c r="D525" i="11"/>
  <c r="D526" i="11" a="1"/>
  <c r="D526" i="11"/>
  <c r="D527" i="11" a="1"/>
  <c r="D527" i="11"/>
  <c r="D528" i="11" a="1"/>
  <c r="D528" i="11"/>
  <c r="D529" i="11" a="1"/>
  <c r="D529" i="11"/>
  <c r="D530" i="11" a="1"/>
  <c r="D530" i="11"/>
  <c r="D531" i="11" a="1"/>
  <c r="D531" i="11"/>
  <c r="D532" i="11" a="1"/>
  <c r="D532" i="11"/>
  <c r="D533" i="11" a="1"/>
  <c r="D533" i="11"/>
  <c r="D534" i="11" a="1"/>
  <c r="D534" i="11"/>
  <c r="D535" i="11" a="1"/>
  <c r="D535" i="11"/>
  <c r="D536" i="11" a="1"/>
  <c r="D536" i="11"/>
  <c r="D537" i="11" a="1"/>
  <c r="D537" i="11"/>
  <c r="D538" i="11" a="1"/>
  <c r="D538" i="11"/>
  <c r="D539" i="11" a="1"/>
  <c r="D539" i="11"/>
  <c r="D540" i="11" a="1"/>
  <c r="D540" i="11"/>
  <c r="D541" i="11" a="1"/>
  <c r="D541" i="11"/>
  <c r="D542" i="11" a="1"/>
  <c r="D542" i="11"/>
  <c r="D543" i="11" a="1"/>
  <c r="D543" i="11"/>
  <c r="D544" i="11" a="1"/>
  <c r="D544" i="11"/>
  <c r="D545" i="11" a="1"/>
  <c r="D545" i="11"/>
  <c r="D546" i="11" a="1"/>
  <c r="D546" i="11"/>
  <c r="D547" i="11" a="1"/>
  <c r="D547" i="11"/>
  <c r="D548" i="11" a="1"/>
  <c r="D548" i="11"/>
  <c r="D549" i="11" a="1"/>
  <c r="D549" i="11"/>
  <c r="D550" i="11" a="1"/>
  <c r="D550" i="11"/>
  <c r="D551" i="11" a="1"/>
  <c r="D551" i="11"/>
  <c r="D552" i="11" a="1"/>
  <c r="D552" i="11"/>
  <c r="D553" i="11" a="1"/>
  <c r="D553" i="11"/>
  <c r="D554" i="11" a="1"/>
  <c r="D554" i="11"/>
  <c r="D555" i="11" a="1"/>
  <c r="D555" i="11"/>
  <c r="D556" i="11" a="1"/>
  <c r="D556" i="11"/>
  <c r="D557" i="11" a="1"/>
  <c r="D557" i="11"/>
  <c r="D558" i="11" a="1"/>
  <c r="D558" i="11"/>
  <c r="D559" i="11" a="1"/>
  <c r="D559" i="11"/>
  <c r="D560" i="11" a="1"/>
  <c r="D560" i="11"/>
  <c r="D561" i="11" a="1"/>
  <c r="D561" i="11"/>
  <c r="D562" i="11" a="1"/>
  <c r="D562" i="11"/>
  <c r="D563" i="11" a="1"/>
  <c r="D563" i="11"/>
  <c r="D564" i="11" a="1"/>
  <c r="D564" i="11"/>
  <c r="D565" i="11" a="1"/>
  <c r="D565" i="11"/>
  <c r="D566" i="11" a="1"/>
  <c r="D566" i="11"/>
  <c r="D567" i="11" a="1"/>
  <c r="D567" i="11"/>
  <c r="D568" i="11" a="1"/>
  <c r="D568" i="11"/>
  <c r="D569" i="11" a="1"/>
  <c r="D569" i="11"/>
  <c r="D570" i="11" a="1"/>
  <c r="D570" i="11"/>
  <c r="D571" i="11" a="1"/>
  <c r="D571" i="11"/>
  <c r="D572" i="11" a="1"/>
  <c r="D572" i="11"/>
  <c r="D573" i="11" a="1"/>
  <c r="D573" i="11"/>
  <c r="D574" i="11" a="1"/>
  <c r="D574" i="11"/>
  <c r="D575" i="11" a="1"/>
  <c r="D575" i="11"/>
  <c r="D576" i="11" a="1"/>
  <c r="D576" i="11"/>
  <c r="D577" i="11" a="1"/>
  <c r="D577" i="11"/>
  <c r="D578" i="11" a="1"/>
  <c r="D578" i="11"/>
  <c r="D579" i="11" a="1"/>
  <c r="D579" i="11"/>
  <c r="D580" i="11" a="1"/>
  <c r="D580" i="11"/>
  <c r="D581" i="11" a="1"/>
  <c r="D581" i="11"/>
  <c r="D582" i="11" a="1"/>
  <c r="D582" i="11"/>
  <c r="D583" i="11" a="1"/>
  <c r="D583" i="11"/>
  <c r="D584" i="11" a="1"/>
  <c r="D584" i="11"/>
  <c r="D585" i="11" a="1"/>
  <c r="D585" i="11"/>
  <c r="D586" i="11" a="1"/>
  <c r="D586" i="11"/>
  <c r="D587" i="11" a="1"/>
  <c r="D587" i="11"/>
  <c r="D588" i="11" a="1"/>
  <c r="D588" i="11"/>
  <c r="D589" i="11" a="1"/>
  <c r="D589" i="11"/>
  <c r="D590" i="11" a="1"/>
  <c r="D590" i="11"/>
  <c r="D591" i="11" a="1"/>
  <c r="D591" i="11"/>
  <c r="D592" i="11" a="1"/>
  <c r="D592" i="11"/>
  <c r="D593" i="11" a="1"/>
  <c r="D593" i="11"/>
  <c r="D594" i="11" a="1"/>
  <c r="D594" i="11"/>
  <c r="D595" i="11" a="1"/>
  <c r="D595" i="11"/>
  <c r="D596" i="11" a="1"/>
  <c r="D596" i="11"/>
  <c r="D597" i="11" a="1"/>
  <c r="D597" i="11"/>
  <c r="D598" i="11" a="1"/>
  <c r="D598" i="11"/>
  <c r="D599" i="11" a="1"/>
  <c r="D599" i="11"/>
  <c r="D600" i="11" a="1"/>
  <c r="D600" i="11"/>
  <c r="D601" i="11" a="1"/>
  <c r="D601" i="11"/>
  <c r="D602" i="11" a="1"/>
  <c r="D602" i="11"/>
  <c r="D603" i="11" a="1"/>
  <c r="D603" i="11"/>
  <c r="D604" i="11" a="1"/>
  <c r="D604" i="11"/>
  <c r="D605" i="11" a="1"/>
  <c r="D605" i="11"/>
  <c r="D606" i="11" a="1"/>
  <c r="D606" i="11"/>
  <c r="D607" i="11" a="1"/>
  <c r="D607" i="11"/>
  <c r="D608" i="11" a="1"/>
  <c r="D608" i="11"/>
  <c r="D609" i="11" a="1"/>
  <c r="D609" i="11"/>
  <c r="D610" i="11" a="1"/>
  <c r="D610" i="11"/>
  <c r="D611" i="11" a="1"/>
  <c r="D611" i="11"/>
  <c r="D612" i="11" a="1"/>
  <c r="D612" i="11"/>
  <c r="D613" i="11" a="1"/>
  <c r="D613" i="11"/>
  <c r="D614" i="11" a="1"/>
  <c r="D614" i="11"/>
  <c r="D615" i="11" a="1"/>
  <c r="D615" i="11"/>
  <c r="D616" i="11" a="1"/>
  <c r="D616" i="11"/>
  <c r="D617" i="11" a="1"/>
  <c r="D617" i="11"/>
  <c r="D618" i="11" a="1"/>
  <c r="D618" i="11"/>
  <c r="D619" i="11" a="1"/>
  <c r="D619" i="11"/>
  <c r="D620" i="11" a="1"/>
  <c r="D620" i="11"/>
  <c r="D621" i="11" a="1"/>
  <c r="D621" i="11"/>
  <c r="D622" i="11" a="1"/>
  <c r="D622" i="11"/>
  <c r="D623" i="11" a="1"/>
  <c r="D623" i="11"/>
  <c r="D624" i="11" a="1"/>
  <c r="D624" i="11"/>
  <c r="D625" i="11" a="1"/>
  <c r="D625" i="11"/>
  <c r="D626" i="11" a="1"/>
  <c r="D626" i="11"/>
  <c r="D627" i="11" a="1"/>
  <c r="D627" i="11"/>
  <c r="D628" i="11" a="1"/>
  <c r="D628" i="11"/>
  <c r="D629" i="11" a="1"/>
  <c r="D629" i="11"/>
  <c r="D630" i="11" a="1"/>
  <c r="D630" i="11"/>
  <c r="D631" i="11" a="1"/>
  <c r="D631" i="11"/>
  <c r="D632" i="11" a="1"/>
  <c r="D632" i="11"/>
  <c r="D633" i="11" a="1"/>
  <c r="D633" i="11"/>
  <c r="D634" i="11" a="1"/>
  <c r="D634" i="11"/>
  <c r="D635" i="11" a="1"/>
  <c r="D635" i="11"/>
  <c r="D636" i="11" a="1"/>
  <c r="D636" i="11"/>
  <c r="D637" i="11" a="1"/>
  <c r="D637" i="11"/>
  <c r="D638" i="11" a="1"/>
  <c r="D638" i="11"/>
  <c r="D639" i="11" a="1"/>
  <c r="D639" i="11"/>
  <c r="D640" i="11" a="1"/>
  <c r="D640" i="11"/>
  <c r="D641" i="11" a="1"/>
  <c r="D641" i="11"/>
  <c r="D642" i="11" a="1"/>
  <c r="D642" i="11"/>
  <c r="D643" i="11" a="1"/>
  <c r="D643" i="11"/>
  <c r="D644" i="11" a="1"/>
  <c r="D644" i="11"/>
  <c r="D645" i="11" a="1"/>
  <c r="D645" i="11"/>
  <c r="D646" i="11" a="1"/>
  <c r="D646" i="11"/>
  <c r="D647" i="11" a="1"/>
  <c r="D647" i="11"/>
  <c r="D648" i="11" a="1"/>
  <c r="D648" i="11"/>
  <c r="D649" i="11" a="1"/>
  <c r="D649" i="11"/>
  <c r="D650" i="11" a="1"/>
  <c r="D650" i="11"/>
  <c r="D651" i="11" a="1"/>
  <c r="D651" i="11"/>
  <c r="D652" i="11" a="1"/>
  <c r="D652" i="11"/>
  <c r="D653" i="11" a="1"/>
  <c r="D653" i="11"/>
  <c r="D654" i="11" a="1"/>
  <c r="D654" i="11"/>
  <c r="D655" i="11" a="1"/>
  <c r="D655" i="11"/>
  <c r="D656" i="11" a="1"/>
  <c r="D656" i="11"/>
  <c r="D657" i="11" a="1"/>
  <c r="D657" i="11"/>
  <c r="D658" i="11" a="1"/>
  <c r="D658" i="11"/>
  <c r="D659" i="11" a="1"/>
  <c r="D659" i="11"/>
  <c r="D660" i="11" a="1"/>
  <c r="D660" i="11"/>
  <c r="D661" i="11" a="1"/>
  <c r="D661" i="11"/>
  <c r="D662" i="11" a="1"/>
  <c r="D662" i="11"/>
  <c r="D663" i="11" a="1"/>
  <c r="D663" i="11"/>
  <c r="D664" i="11" a="1"/>
  <c r="D664" i="11"/>
  <c r="D665" i="11" a="1"/>
  <c r="D665" i="11"/>
  <c r="D666" i="11" a="1"/>
  <c r="D666" i="11"/>
  <c r="D667" i="11" a="1"/>
  <c r="D667" i="11"/>
  <c r="D668" i="11" a="1"/>
  <c r="D668" i="11"/>
  <c r="D669" i="11" a="1"/>
  <c r="D669" i="11"/>
  <c r="D670" i="11" a="1"/>
  <c r="D670" i="11"/>
  <c r="D671" i="11" a="1"/>
  <c r="D671" i="11"/>
  <c r="D672" i="11" a="1"/>
  <c r="D672" i="11"/>
  <c r="D673" i="11" a="1"/>
  <c r="D673" i="11"/>
  <c r="D674" i="11" a="1"/>
  <c r="D674" i="11"/>
  <c r="D675" i="11" a="1"/>
  <c r="D675" i="11"/>
  <c r="D676" i="11" a="1"/>
  <c r="D676" i="11"/>
  <c r="D677" i="11" a="1"/>
  <c r="D677" i="11"/>
  <c r="D678" i="11" a="1"/>
  <c r="D678" i="11"/>
  <c r="D679" i="11" a="1"/>
  <c r="D679" i="11"/>
  <c r="D680" i="11" a="1"/>
  <c r="D680" i="11"/>
  <c r="D681" i="11" a="1"/>
  <c r="D681" i="11"/>
  <c r="D682" i="11" a="1"/>
  <c r="D682" i="11"/>
  <c r="D683" i="11" a="1"/>
  <c r="D683" i="11"/>
  <c r="D684" i="11" a="1"/>
  <c r="D684" i="11"/>
  <c r="D685" i="11" a="1"/>
  <c r="D685" i="11"/>
  <c r="D686" i="11" a="1"/>
  <c r="D686" i="11"/>
  <c r="D687" i="11" a="1"/>
  <c r="D687" i="11"/>
  <c r="D688" i="11" a="1"/>
  <c r="D688" i="11"/>
  <c r="D689" i="11" a="1"/>
  <c r="D689" i="11"/>
  <c r="D690" i="11" a="1"/>
  <c r="D690" i="11"/>
  <c r="D691" i="11" a="1"/>
  <c r="D691" i="11"/>
  <c r="D692" i="11" a="1"/>
  <c r="D692" i="11"/>
  <c r="D693" i="11" a="1"/>
  <c r="D693" i="11"/>
  <c r="D694" i="11" a="1"/>
  <c r="D694" i="11"/>
  <c r="D695" i="11" a="1"/>
  <c r="D695" i="11"/>
  <c r="D696" i="11" a="1"/>
  <c r="D696" i="11"/>
  <c r="D697" i="11" a="1"/>
  <c r="D697" i="11"/>
  <c r="D698" i="11" a="1"/>
  <c r="D698" i="11"/>
  <c r="D699" i="11" a="1"/>
  <c r="D699" i="11"/>
  <c r="D700" i="11" a="1"/>
  <c r="D700" i="11"/>
  <c r="D701" i="11" a="1"/>
  <c r="D701" i="11"/>
  <c r="D702" i="11" a="1"/>
  <c r="D702" i="11"/>
  <c r="D703" i="11" a="1"/>
  <c r="D703" i="11"/>
  <c r="D704" i="11" a="1"/>
  <c r="D704" i="11"/>
  <c r="D705" i="11" a="1"/>
  <c r="D705" i="11"/>
  <c r="D706" i="11" a="1"/>
  <c r="D706" i="11"/>
  <c r="D707" i="11" a="1"/>
  <c r="D707" i="11"/>
  <c r="D708" i="11" a="1"/>
  <c r="D708" i="11"/>
  <c r="D709" i="11" a="1"/>
  <c r="D709" i="11"/>
  <c r="D710" i="11" a="1"/>
  <c r="D710" i="11"/>
  <c r="D711" i="11" a="1"/>
  <c r="D711" i="11"/>
  <c r="D712" i="11" a="1"/>
  <c r="D712" i="11"/>
  <c r="D713" i="11" a="1"/>
  <c r="D713" i="11"/>
  <c r="D714" i="11" a="1"/>
  <c r="D714" i="11"/>
  <c r="D715" i="11" a="1"/>
  <c r="D715" i="11"/>
  <c r="D716" i="11" a="1"/>
  <c r="D716" i="11"/>
  <c r="D717" i="11" a="1"/>
  <c r="D717" i="11"/>
  <c r="D718" i="11" a="1"/>
  <c r="D718" i="11"/>
  <c r="D719" i="11" a="1"/>
  <c r="D719" i="11"/>
  <c r="D720" i="11" a="1"/>
  <c r="D720" i="11"/>
  <c r="D721" i="11" a="1"/>
  <c r="D721" i="11"/>
  <c r="D722" i="11" a="1"/>
  <c r="D722" i="11"/>
  <c r="D723" i="11" a="1"/>
  <c r="D723" i="11"/>
  <c r="D724" i="11" a="1"/>
  <c r="D724" i="11"/>
  <c r="D725" i="11" a="1"/>
  <c r="D725" i="11"/>
  <c r="D726" i="11" a="1"/>
  <c r="D726" i="11"/>
  <c r="D727" i="11" a="1"/>
  <c r="D727" i="11"/>
  <c r="D728" i="11" a="1"/>
  <c r="D728" i="11"/>
  <c r="D729" i="11" a="1"/>
  <c r="D729" i="11"/>
  <c r="D730" i="11" a="1"/>
  <c r="D730" i="11"/>
  <c r="D731" i="11" a="1"/>
  <c r="D731" i="11"/>
  <c r="D732" i="11" a="1"/>
  <c r="D732" i="11"/>
  <c r="D733" i="11" a="1"/>
  <c r="D733" i="11"/>
  <c r="D734" i="11" a="1"/>
  <c r="D734" i="11"/>
  <c r="D735" i="11" a="1"/>
  <c r="D735" i="11"/>
  <c r="D736" i="11" a="1"/>
  <c r="D736" i="11"/>
  <c r="D737" i="11" a="1"/>
  <c r="D737" i="11"/>
  <c r="D738" i="11" a="1"/>
  <c r="D738" i="11"/>
  <c r="D739" i="11" a="1"/>
  <c r="D739" i="11"/>
  <c r="D740" i="11" a="1"/>
  <c r="D740" i="11"/>
  <c r="D741" i="11" a="1"/>
  <c r="D741" i="11"/>
  <c r="D742" i="11" a="1"/>
  <c r="D742" i="11"/>
  <c r="D743" i="11" a="1"/>
  <c r="D743" i="11"/>
  <c r="D744" i="11" a="1"/>
  <c r="D744" i="11"/>
  <c r="D745" i="11" a="1"/>
  <c r="D745" i="11"/>
  <c r="D746" i="11" a="1"/>
  <c r="D746" i="11"/>
  <c r="D747" i="11" a="1"/>
  <c r="D747" i="11"/>
  <c r="D748" i="11" a="1"/>
  <c r="D748" i="11"/>
  <c r="D749" i="11" a="1"/>
  <c r="D749" i="11"/>
  <c r="D750" i="11" a="1"/>
  <c r="D750" i="11"/>
  <c r="D751" i="11" a="1"/>
  <c r="D751" i="11"/>
  <c r="D752" i="11" a="1"/>
  <c r="D752" i="11"/>
  <c r="D753" i="11" a="1"/>
  <c r="D753" i="11"/>
  <c r="D754" i="11" a="1"/>
  <c r="D754" i="11"/>
  <c r="D755" i="11" a="1"/>
  <c r="D755" i="11"/>
  <c r="D756" i="11" a="1"/>
  <c r="D756" i="11"/>
  <c r="D757" i="11" a="1"/>
  <c r="D757" i="11"/>
  <c r="D758" i="11" a="1"/>
  <c r="D758" i="11"/>
  <c r="D759" i="11" a="1"/>
  <c r="D759" i="11"/>
  <c r="D760" i="11" a="1"/>
  <c r="D760" i="11"/>
  <c r="D761" i="11" a="1"/>
  <c r="D761" i="11"/>
  <c r="D762" i="11" a="1"/>
  <c r="D762" i="11"/>
  <c r="D763" i="11" a="1"/>
  <c r="D763" i="11"/>
  <c r="D764" i="11" a="1"/>
  <c r="D764" i="11"/>
  <c r="D765" i="11" a="1"/>
  <c r="D765" i="11"/>
  <c r="D766" i="11" a="1"/>
  <c r="D766" i="11"/>
  <c r="D767" i="11" a="1"/>
  <c r="D767" i="11"/>
  <c r="D768" i="11" a="1"/>
  <c r="D768" i="11"/>
  <c r="D769" i="11" a="1"/>
  <c r="D769" i="11"/>
  <c r="D770" i="11" a="1"/>
  <c r="D770" i="11"/>
  <c r="D771" i="11" a="1"/>
  <c r="D771" i="11"/>
  <c r="D772" i="11" a="1"/>
  <c r="D772" i="11"/>
  <c r="D773" i="11" a="1"/>
  <c r="D773" i="11"/>
  <c r="D774" i="11" a="1"/>
  <c r="D774" i="11"/>
  <c r="D775" i="11" a="1"/>
  <c r="D775" i="11"/>
  <c r="D776" i="11" a="1"/>
  <c r="D776" i="11"/>
  <c r="D777" i="11" a="1"/>
  <c r="D777" i="11"/>
  <c r="D778" i="11" a="1"/>
  <c r="D778" i="11"/>
  <c r="D779" i="11" a="1"/>
  <c r="D779" i="11"/>
  <c r="D780" i="11" a="1"/>
  <c r="D780" i="11"/>
  <c r="D781" i="11" a="1"/>
  <c r="D781" i="11"/>
  <c r="D782" i="11" a="1"/>
  <c r="D782" i="11"/>
  <c r="D783" i="11" a="1"/>
  <c r="D783" i="11"/>
  <c r="D784" i="11" a="1"/>
  <c r="D784" i="11"/>
  <c r="D785" i="11" a="1"/>
  <c r="D785" i="11"/>
  <c r="D786" i="11" a="1"/>
  <c r="D786" i="11"/>
  <c r="D787" i="11" a="1"/>
  <c r="D787" i="11"/>
  <c r="D788" i="11" a="1"/>
  <c r="D788" i="11"/>
  <c r="D789" i="11" a="1"/>
  <c r="D789" i="11"/>
  <c r="D790" i="11" a="1"/>
  <c r="D790" i="11"/>
  <c r="D791" i="11" a="1"/>
  <c r="D791" i="11"/>
  <c r="D792" i="11" a="1"/>
  <c r="D792" i="11"/>
  <c r="D793" i="11" a="1"/>
  <c r="D793" i="11"/>
  <c r="D794" i="11" a="1"/>
  <c r="D794" i="11"/>
  <c r="D795" i="11" a="1"/>
  <c r="D795" i="11"/>
  <c r="D796" i="11" a="1"/>
  <c r="D796" i="11"/>
  <c r="D797" i="11" a="1"/>
  <c r="D797" i="11"/>
  <c r="D798" i="11" a="1"/>
  <c r="D798" i="11"/>
  <c r="D799" i="11" a="1"/>
  <c r="D799" i="11"/>
  <c r="D800" i="11" a="1"/>
  <c r="D800" i="11"/>
  <c r="D801" i="11" a="1"/>
  <c r="D801" i="11"/>
  <c r="D802" i="11" a="1"/>
  <c r="D802" i="11"/>
  <c r="D803" i="11" a="1"/>
  <c r="D803" i="11"/>
  <c r="D804" i="11" a="1"/>
  <c r="D804" i="11"/>
  <c r="D805" i="11" a="1"/>
  <c r="D805" i="11"/>
  <c r="D806" i="11" a="1"/>
  <c r="D806" i="11"/>
  <c r="D807" i="11" a="1"/>
  <c r="D807" i="11"/>
  <c r="D808" i="11" a="1"/>
  <c r="D808" i="11"/>
  <c r="D809" i="11" a="1"/>
  <c r="D809" i="11"/>
  <c r="D810" i="11" a="1"/>
  <c r="D810" i="11"/>
  <c r="D811" i="11" a="1"/>
  <c r="D811" i="11"/>
  <c r="D812" i="11" a="1"/>
  <c r="D812" i="11"/>
  <c r="D813" i="11" a="1"/>
  <c r="D813" i="11"/>
  <c r="D814" i="11" a="1"/>
  <c r="D814" i="11"/>
  <c r="D815" i="11" a="1"/>
  <c r="D815" i="11"/>
  <c r="D816" i="11" a="1"/>
  <c r="D816" i="11"/>
  <c r="D817" i="11" a="1"/>
  <c r="D817" i="11"/>
  <c r="D818" i="11" a="1"/>
  <c r="D818" i="11"/>
  <c r="D819" i="11" a="1"/>
  <c r="D819" i="11"/>
  <c r="D820" i="11" a="1"/>
  <c r="D820" i="11"/>
  <c r="D821" i="11" a="1"/>
  <c r="D821" i="11"/>
  <c r="D822" i="11" a="1"/>
  <c r="D822" i="11"/>
  <c r="D823" i="11" a="1"/>
  <c r="D823" i="11"/>
  <c r="D824" i="11" a="1"/>
  <c r="D824" i="11"/>
  <c r="D825" i="11" a="1"/>
  <c r="D825" i="11"/>
  <c r="D826" i="11" a="1"/>
  <c r="D826" i="11"/>
  <c r="D827" i="11" a="1"/>
  <c r="D827" i="11"/>
  <c r="D828" i="11" a="1"/>
  <c r="D828" i="11"/>
  <c r="D829" i="11" a="1"/>
  <c r="D829" i="11"/>
  <c r="D830" i="11" a="1"/>
  <c r="D830" i="11"/>
  <c r="D831" i="11" a="1"/>
  <c r="D831" i="11"/>
  <c r="D832" i="11" a="1"/>
  <c r="D832" i="11"/>
  <c r="D833" i="11" a="1"/>
  <c r="D833" i="11"/>
  <c r="D834" i="11" a="1"/>
  <c r="D834" i="11"/>
  <c r="D835" i="11" a="1"/>
  <c r="D835" i="11"/>
  <c r="D836" i="11" a="1"/>
  <c r="D836" i="11"/>
  <c r="D837" i="11" a="1"/>
  <c r="D837" i="11"/>
  <c r="D838" i="11" a="1"/>
  <c r="D838" i="11"/>
  <c r="D839" i="11" a="1"/>
  <c r="D839" i="11"/>
  <c r="D840" i="11" a="1"/>
  <c r="D840" i="11"/>
  <c r="D841" i="11" a="1"/>
  <c r="D841" i="11"/>
  <c r="D842" i="11" a="1"/>
  <c r="D842" i="11"/>
  <c r="D843" i="11" a="1"/>
  <c r="D843" i="11"/>
  <c r="D844" i="11" a="1"/>
  <c r="D844" i="11"/>
  <c r="D845" i="11" a="1"/>
  <c r="D845" i="11"/>
  <c r="D846" i="11" a="1"/>
  <c r="D846" i="11"/>
  <c r="D847" i="11" a="1"/>
  <c r="D847" i="11"/>
  <c r="D848" i="11" a="1"/>
  <c r="D848" i="11"/>
  <c r="D849" i="11" a="1"/>
  <c r="D849" i="11"/>
  <c r="D850" i="11" a="1"/>
  <c r="D850" i="11"/>
  <c r="D851" i="11" a="1"/>
  <c r="D851" i="11"/>
  <c r="D852" i="11" a="1"/>
  <c r="D852" i="11"/>
  <c r="D853" i="11" a="1"/>
  <c r="D853" i="11"/>
  <c r="D854" i="11" a="1"/>
  <c r="D854" i="11"/>
  <c r="D855" i="11" a="1"/>
  <c r="D855" i="11"/>
  <c r="D856" i="11" a="1"/>
  <c r="D856" i="11"/>
  <c r="D857" i="11" a="1"/>
  <c r="D857" i="11"/>
  <c r="D858" i="11" a="1"/>
  <c r="D858" i="11"/>
  <c r="D859" i="11" a="1"/>
  <c r="D859" i="11"/>
  <c r="D860" i="11" a="1"/>
  <c r="D860" i="11"/>
  <c r="D861" i="11" a="1"/>
  <c r="D861" i="11"/>
  <c r="D862" i="11" a="1"/>
  <c r="D862" i="11"/>
  <c r="D863" i="11" a="1"/>
  <c r="D863" i="11"/>
  <c r="D864" i="11" a="1"/>
  <c r="D864" i="11"/>
  <c r="D865" i="11" a="1"/>
  <c r="D865" i="11"/>
  <c r="D866" i="11" a="1"/>
  <c r="D866" i="11"/>
  <c r="D867" i="11" a="1"/>
  <c r="D867" i="11"/>
  <c r="D868" i="11" a="1"/>
  <c r="D868" i="11"/>
  <c r="D869" i="11" a="1"/>
  <c r="D869" i="11"/>
  <c r="D870" i="11" a="1"/>
  <c r="D870" i="11"/>
  <c r="D871" i="11" a="1"/>
  <c r="D871" i="11"/>
  <c r="D872" i="11" a="1"/>
  <c r="D872" i="11"/>
  <c r="D873" i="11" a="1"/>
  <c r="D873" i="11"/>
  <c r="D874" i="11" a="1"/>
  <c r="D874" i="11"/>
  <c r="D875" i="11" a="1"/>
  <c r="D875" i="11"/>
  <c r="D876" i="11" a="1"/>
  <c r="D876" i="11"/>
  <c r="D877" i="11" a="1"/>
  <c r="D877" i="11"/>
  <c r="D878" i="11" a="1"/>
  <c r="D878" i="11"/>
  <c r="D879" i="11" a="1"/>
  <c r="D879" i="11"/>
  <c r="D880" i="11" a="1"/>
  <c r="D880" i="11"/>
  <c r="D881" i="11" a="1"/>
  <c r="D881" i="11"/>
  <c r="D882" i="11" a="1"/>
  <c r="D882" i="11"/>
  <c r="D883" i="11" a="1"/>
  <c r="D883" i="11"/>
  <c r="D884" i="11" a="1"/>
  <c r="D884" i="11"/>
  <c r="D885" i="11" a="1"/>
  <c r="D885" i="11"/>
  <c r="D886" i="11" a="1"/>
  <c r="D886" i="11"/>
  <c r="D887" i="11" a="1"/>
  <c r="D887" i="11"/>
  <c r="D888" i="11" a="1"/>
  <c r="D888" i="11"/>
  <c r="D889" i="11" a="1"/>
  <c r="D889" i="11"/>
  <c r="D890" i="11" a="1"/>
  <c r="D890" i="11"/>
  <c r="D891" i="11" a="1"/>
  <c r="D891" i="11"/>
  <c r="D892" i="11" a="1"/>
  <c r="D892" i="11"/>
  <c r="D893" i="11" a="1"/>
  <c r="D893" i="11"/>
  <c r="D894" i="11" a="1"/>
  <c r="D894" i="11"/>
  <c r="D895" i="11" a="1"/>
  <c r="D895" i="11"/>
  <c r="D896" i="11" a="1"/>
  <c r="D896" i="11"/>
  <c r="D897" i="11" a="1"/>
  <c r="D897" i="11"/>
  <c r="D898" i="11" a="1"/>
  <c r="D898" i="11"/>
  <c r="D899" i="11" a="1"/>
  <c r="D899" i="11"/>
  <c r="D900" i="11" a="1"/>
  <c r="D900" i="11"/>
  <c r="D901" i="11" a="1"/>
  <c r="D901" i="11"/>
  <c r="D902" i="11" a="1"/>
  <c r="D902" i="11"/>
  <c r="D903" i="11" a="1"/>
  <c r="D903" i="11"/>
  <c r="D904" i="11" a="1"/>
  <c r="D904" i="11"/>
  <c r="D905" i="11" a="1"/>
  <c r="D905" i="11"/>
  <c r="D906" i="11" a="1"/>
  <c r="D906" i="11"/>
  <c r="D907" i="11" a="1"/>
  <c r="D907" i="11"/>
  <c r="D908" i="11" a="1"/>
  <c r="D908" i="11"/>
  <c r="D909" i="11" a="1"/>
  <c r="D909" i="11"/>
  <c r="D910" i="11" a="1"/>
  <c r="D910" i="11"/>
  <c r="D911" i="11" a="1"/>
  <c r="D911" i="11"/>
  <c r="D912" i="11" a="1"/>
  <c r="D912" i="11"/>
  <c r="D913" i="11" a="1"/>
  <c r="D913" i="11"/>
  <c r="D914" i="11" a="1"/>
  <c r="D914" i="11"/>
  <c r="D915" i="11" a="1"/>
  <c r="D915" i="11"/>
  <c r="D916" i="11" a="1"/>
  <c r="D916" i="11"/>
  <c r="D917" i="11" a="1"/>
  <c r="D917" i="11"/>
  <c r="D918" i="11" a="1"/>
  <c r="D918" i="11"/>
  <c r="D919" i="11" a="1"/>
  <c r="D919" i="11"/>
  <c r="D920" i="11" a="1"/>
  <c r="D920" i="11"/>
  <c r="D921" i="11" a="1"/>
  <c r="D921" i="11"/>
  <c r="D922" i="11" a="1"/>
  <c r="D922" i="11"/>
  <c r="D923" i="11" a="1"/>
  <c r="D923" i="11"/>
  <c r="D924" i="11" a="1"/>
  <c r="D924" i="11"/>
  <c r="D925" i="11" a="1"/>
  <c r="D925" i="11"/>
  <c r="D926" i="11" a="1"/>
  <c r="D926" i="11"/>
  <c r="D927" i="11" a="1"/>
  <c r="D927" i="11"/>
  <c r="D928" i="11" a="1"/>
  <c r="D928" i="11"/>
  <c r="D929" i="11" a="1"/>
  <c r="D929" i="11"/>
  <c r="D930" i="11" a="1"/>
  <c r="D930" i="11"/>
  <c r="D931" i="11" a="1"/>
  <c r="D931" i="11"/>
  <c r="D932" i="11" a="1"/>
  <c r="D932" i="11"/>
  <c r="D933" i="11" a="1"/>
  <c r="D933" i="11"/>
  <c r="D934" i="11" a="1"/>
  <c r="D934" i="11"/>
  <c r="D935" i="11" a="1"/>
  <c r="D935" i="11"/>
  <c r="D936" i="11" a="1"/>
  <c r="D936" i="11"/>
  <c r="D937" i="11" a="1"/>
  <c r="D937" i="11"/>
  <c r="D938" i="11" a="1"/>
  <c r="D938" i="11"/>
  <c r="D939" i="11" a="1"/>
  <c r="D939" i="11"/>
  <c r="D940" i="11" a="1"/>
  <c r="D940" i="11"/>
  <c r="D941" i="11" a="1"/>
  <c r="D941" i="11"/>
  <c r="D942" i="11" a="1"/>
  <c r="D942" i="11"/>
  <c r="D943" i="11" a="1"/>
  <c r="D943" i="11"/>
  <c r="D944" i="11" a="1"/>
  <c r="D944" i="11"/>
  <c r="D945" i="11" a="1"/>
  <c r="D945" i="11"/>
  <c r="D946" i="11" a="1"/>
  <c r="D946" i="11"/>
  <c r="D947" i="11" a="1"/>
  <c r="D947" i="11"/>
  <c r="D948" i="11" a="1"/>
  <c r="D948" i="11"/>
  <c r="D949" i="11" a="1"/>
  <c r="D949" i="11"/>
  <c r="D950" i="11" a="1"/>
  <c r="D950" i="11"/>
  <c r="D951" i="11" a="1"/>
  <c r="D951" i="11"/>
  <c r="D952" i="11" a="1"/>
  <c r="D952" i="11"/>
  <c r="D953" i="11" a="1"/>
  <c r="D953" i="11"/>
  <c r="D954" i="11" a="1"/>
  <c r="D954" i="11"/>
  <c r="D955" i="11" a="1"/>
  <c r="D955" i="11"/>
  <c r="D956" i="11" a="1"/>
  <c r="D956" i="11"/>
  <c r="D957" i="11" a="1"/>
  <c r="D957" i="11"/>
  <c r="D958" i="11" a="1"/>
  <c r="D958" i="11"/>
  <c r="D959" i="11" a="1"/>
  <c r="D959" i="11"/>
  <c r="D960" i="11" a="1"/>
  <c r="D960" i="11"/>
  <c r="D961" i="11" a="1"/>
  <c r="D961" i="11"/>
  <c r="D962" i="11" a="1"/>
  <c r="D962" i="11"/>
  <c r="D963" i="11" a="1"/>
  <c r="D963" i="11"/>
  <c r="D964" i="11" a="1"/>
  <c r="D964" i="11"/>
  <c r="D965" i="11" a="1"/>
  <c r="D965" i="11"/>
  <c r="D966" i="11" a="1"/>
  <c r="D966" i="11"/>
  <c r="D967" i="11" a="1"/>
  <c r="D967" i="11"/>
  <c r="D968" i="11" a="1"/>
  <c r="D968" i="11"/>
  <c r="D969" i="11" a="1"/>
  <c r="D969" i="11"/>
  <c r="D970" i="11" a="1"/>
  <c r="D970" i="11"/>
  <c r="D971" i="11" a="1"/>
  <c r="D971" i="11"/>
  <c r="D972" i="11" a="1"/>
  <c r="D972" i="11"/>
  <c r="D973" i="11" a="1"/>
  <c r="D973" i="11"/>
  <c r="D974" i="11" a="1"/>
  <c r="D974" i="11"/>
  <c r="D975" i="11" a="1"/>
  <c r="D975" i="11"/>
  <c r="D976" i="11" a="1"/>
  <c r="D976" i="11"/>
  <c r="D977" i="11" a="1"/>
  <c r="D977" i="11"/>
  <c r="D978" i="11" a="1"/>
  <c r="D978" i="11"/>
  <c r="D979" i="11" a="1"/>
  <c r="D979" i="11"/>
  <c r="D980" i="11" a="1"/>
  <c r="D980" i="11"/>
  <c r="D981" i="11" a="1"/>
  <c r="D981" i="11"/>
  <c r="D982" i="11" a="1"/>
  <c r="D982" i="11"/>
  <c r="D983" i="11" a="1"/>
  <c r="D983" i="11"/>
  <c r="D984" i="11" a="1"/>
  <c r="D984" i="11"/>
  <c r="D985" i="11" a="1"/>
  <c r="D985" i="11"/>
  <c r="D986" i="11" a="1"/>
  <c r="D986" i="11"/>
  <c r="D987" i="11" a="1"/>
  <c r="D987" i="11"/>
  <c r="D988" i="11" a="1"/>
  <c r="D988" i="11"/>
  <c r="D989" i="11" a="1"/>
  <c r="D989" i="11"/>
  <c r="D990" i="11" a="1"/>
  <c r="D990" i="11"/>
  <c r="D991" i="11" a="1"/>
  <c r="D991" i="11"/>
  <c r="D992" i="11" a="1"/>
  <c r="D992" i="11"/>
  <c r="D993" i="11" a="1"/>
  <c r="D993" i="11"/>
  <c r="D994" i="11" a="1"/>
  <c r="D994" i="11"/>
  <c r="D995" i="11" a="1"/>
  <c r="D995" i="11"/>
  <c r="D996" i="11" a="1"/>
  <c r="D996" i="11"/>
  <c r="D997" i="11" a="1"/>
  <c r="D997" i="11"/>
  <c r="D998" i="11" a="1"/>
  <c r="D998" i="11"/>
  <c r="D999" i="11" a="1"/>
  <c r="D999" i="11"/>
  <c r="D1000" i="11" a="1"/>
  <c r="D1000" i="11"/>
  <c r="D1001" i="11" a="1"/>
  <c r="D1001" i="11"/>
  <c r="D1002" i="11" a="1"/>
  <c r="D1002" i="11"/>
  <c r="D1003" i="11" a="1"/>
  <c r="D1003" i="11"/>
  <c r="D1004" i="11" a="1"/>
  <c r="D1004" i="11"/>
  <c r="D1005" i="11" a="1"/>
  <c r="D1005" i="11"/>
  <c r="D1006" i="11" a="1"/>
  <c r="D1006" i="11"/>
  <c r="D1007" i="11" a="1"/>
  <c r="D1007" i="11"/>
  <c r="D1008" i="11" a="1"/>
  <c r="D1008" i="11"/>
  <c r="D1009" i="11" a="1"/>
  <c r="D1009" i="11"/>
  <c r="D1010" i="11" a="1"/>
  <c r="D1010" i="11"/>
  <c r="D1011" i="11" a="1"/>
  <c r="D1011" i="11"/>
  <c r="D1012" i="11" a="1"/>
  <c r="D1012" i="11"/>
  <c r="D1013" i="11" a="1"/>
  <c r="D1013" i="11"/>
  <c r="D1014" i="11" a="1"/>
  <c r="D1014" i="11"/>
  <c r="D1015" i="11" a="1"/>
  <c r="D1015" i="11"/>
  <c r="D1016" i="11" a="1"/>
  <c r="D1016" i="11"/>
  <c r="D1017" i="11" a="1"/>
  <c r="D1017" i="11"/>
  <c r="D1018" i="11" a="1"/>
  <c r="D1018" i="11"/>
  <c r="D1019" i="11" a="1"/>
  <c r="D1019" i="11"/>
  <c r="D1020" i="11" a="1"/>
  <c r="D1020" i="11"/>
  <c r="D1021" i="11" a="1"/>
  <c r="D1021" i="11"/>
  <c r="D1022" i="11" a="1"/>
  <c r="D1022" i="11"/>
  <c r="D1023" i="11" a="1"/>
  <c r="D1023" i="11"/>
  <c r="D1024" i="11" a="1"/>
  <c r="D1024" i="11"/>
  <c r="D1025" i="11" a="1"/>
  <c r="D1025" i="11"/>
  <c r="D1026" i="11" a="1"/>
  <c r="D1026" i="11"/>
  <c r="D1027" i="11" a="1"/>
  <c r="D1027" i="11"/>
  <c r="D1028" i="11" a="1"/>
  <c r="D1028" i="11"/>
  <c r="D1029" i="11" a="1"/>
  <c r="D1029" i="11"/>
  <c r="D1030" i="11" a="1"/>
  <c r="D1030" i="11"/>
  <c r="D1031" i="11" a="1"/>
  <c r="D1031" i="11"/>
  <c r="D1032" i="11" a="1"/>
  <c r="D1032" i="11"/>
  <c r="D1033" i="11" a="1"/>
  <c r="D1033" i="11"/>
  <c r="D1034" i="11" a="1"/>
  <c r="D1034" i="11"/>
  <c r="D1035" i="11" a="1"/>
  <c r="D1035" i="11"/>
  <c r="D1036" i="11" a="1"/>
  <c r="D1036" i="11"/>
  <c r="D1037" i="11" a="1"/>
  <c r="D1037" i="11"/>
  <c r="D1038" i="11" a="1"/>
  <c r="D1038" i="11"/>
  <c r="D1039" i="11" a="1"/>
  <c r="D1039" i="11"/>
  <c r="D1040" i="11" a="1"/>
  <c r="D1040" i="11"/>
  <c r="D1041" i="11" a="1"/>
  <c r="D1041" i="11"/>
  <c r="D1042" i="11" a="1"/>
  <c r="D1042" i="11"/>
  <c r="D1043" i="11" a="1"/>
  <c r="D1043" i="11"/>
  <c r="D1044" i="11" a="1"/>
  <c r="D1044" i="11"/>
  <c r="D1045" i="11" a="1"/>
  <c r="D1045" i="11"/>
  <c r="D1046" i="11" a="1"/>
  <c r="D1046" i="11"/>
  <c r="D1047" i="11" a="1"/>
  <c r="D1047" i="11"/>
  <c r="D1048" i="11" a="1"/>
  <c r="D1048" i="11"/>
  <c r="D1049" i="11" a="1"/>
  <c r="D1049" i="11"/>
  <c r="D1050" i="11" a="1"/>
  <c r="D1050" i="11"/>
  <c r="D1051" i="11" a="1"/>
  <c r="D1051" i="11"/>
  <c r="D1052" i="11" a="1"/>
  <c r="D1052" i="11"/>
  <c r="D1053" i="11" a="1"/>
  <c r="D1053" i="11"/>
  <c r="D1054" i="11" a="1"/>
  <c r="D1054" i="11"/>
  <c r="D1055" i="11" a="1"/>
  <c r="D1055" i="11"/>
  <c r="D1056" i="11" a="1"/>
  <c r="D1056" i="11"/>
  <c r="D1057" i="11" a="1"/>
  <c r="D1057" i="11"/>
  <c r="D1058" i="11" a="1"/>
  <c r="D1058" i="11"/>
  <c r="D1059" i="11" a="1"/>
  <c r="D1059" i="11"/>
  <c r="D1060" i="11" a="1"/>
  <c r="D1060" i="11"/>
  <c r="D1061" i="11" a="1"/>
  <c r="D1061" i="11"/>
  <c r="D1062" i="11" a="1"/>
  <c r="D1062" i="11"/>
  <c r="D1063" i="11" a="1"/>
  <c r="D1063" i="11"/>
  <c r="D1064" i="11" a="1"/>
  <c r="D1064" i="11"/>
  <c r="D1065" i="11" a="1"/>
  <c r="D1065" i="11"/>
  <c r="D1066" i="11" a="1"/>
  <c r="D1066" i="11"/>
  <c r="D1067" i="11" a="1"/>
  <c r="D1067" i="11"/>
  <c r="D1068" i="11" a="1"/>
  <c r="D1068" i="11"/>
  <c r="D1069" i="11" a="1"/>
  <c r="D1069" i="11"/>
  <c r="D1070" i="11" a="1"/>
  <c r="D1070" i="11"/>
  <c r="D1071" i="11" a="1"/>
  <c r="D1071" i="11"/>
  <c r="D1072" i="11" a="1"/>
  <c r="D1072" i="11"/>
  <c r="D1073" i="11" a="1"/>
  <c r="D1073" i="11"/>
  <c r="D1074" i="11" a="1"/>
  <c r="D1074" i="11"/>
  <c r="D1075" i="11" a="1"/>
  <c r="D1075" i="11"/>
  <c r="D1076" i="11" a="1"/>
  <c r="D1076" i="11"/>
  <c r="D1077" i="11" a="1"/>
  <c r="D1077" i="11"/>
  <c r="D1078" i="11" a="1"/>
  <c r="D1078" i="11"/>
  <c r="D1079" i="11" a="1"/>
  <c r="D1079" i="11"/>
  <c r="D1080" i="11" a="1"/>
  <c r="D1080" i="11"/>
  <c r="D1081" i="11" a="1"/>
  <c r="D1081" i="11"/>
  <c r="D1082" i="11" a="1"/>
  <c r="D1082" i="11"/>
  <c r="D1083" i="11" a="1"/>
  <c r="D1083" i="11"/>
  <c r="D1084" i="11" a="1"/>
  <c r="D1084" i="11"/>
  <c r="D1085" i="11" a="1"/>
  <c r="D1085" i="11"/>
  <c r="D1086" i="11" a="1"/>
  <c r="D1086" i="11"/>
  <c r="D1087" i="11" a="1"/>
  <c r="D1087" i="11"/>
  <c r="D1088" i="11" a="1"/>
  <c r="D1088" i="11"/>
  <c r="D1089" i="11" a="1"/>
  <c r="D1089" i="11"/>
  <c r="D1090" i="11" a="1"/>
  <c r="D1090" i="11"/>
  <c r="D1091" i="11" a="1"/>
  <c r="D1091" i="11"/>
  <c r="D1092" i="11" a="1"/>
  <c r="D1092" i="11"/>
  <c r="D1093" i="11" a="1"/>
  <c r="D1093" i="11"/>
  <c r="D1094" i="11" a="1"/>
  <c r="D1094" i="11"/>
  <c r="D1095" i="11" a="1"/>
  <c r="D1095" i="11"/>
  <c r="D1096" i="11" a="1"/>
  <c r="D1096" i="11"/>
  <c r="D1097" i="11" a="1"/>
  <c r="D1097" i="11"/>
  <c r="D1098" i="11" a="1"/>
  <c r="D1098" i="11"/>
  <c r="D1099" i="11" a="1"/>
  <c r="D1099" i="11"/>
  <c r="D1100" i="11" a="1"/>
  <c r="D1100" i="11"/>
  <c r="D1101" i="11" a="1"/>
  <c r="D1101" i="11"/>
  <c r="D1102" i="11" a="1"/>
  <c r="D1102" i="11"/>
  <c r="D1103" i="11" a="1"/>
  <c r="D1103" i="11"/>
  <c r="D1104" i="11" a="1"/>
  <c r="D1104" i="11"/>
  <c r="D1105" i="11" a="1"/>
  <c r="D1105" i="11"/>
  <c r="D1106" i="11" a="1"/>
  <c r="D1106" i="11"/>
  <c r="D1107" i="11" a="1"/>
  <c r="D1107" i="11"/>
  <c r="D1108" i="11" a="1"/>
  <c r="D1108" i="11"/>
  <c r="D1109" i="11" a="1"/>
  <c r="D1109" i="11"/>
  <c r="D1110" i="11" a="1"/>
  <c r="D1110" i="11"/>
  <c r="D1111" i="11" a="1"/>
  <c r="D1111" i="11"/>
  <c r="D1112" i="11" a="1"/>
  <c r="D1112" i="11"/>
  <c r="D1113" i="11" a="1"/>
  <c r="D1113" i="11"/>
  <c r="D1114" i="11" a="1"/>
  <c r="D1114" i="11"/>
  <c r="D1115" i="11" a="1"/>
  <c r="D1115" i="11"/>
  <c r="D1116" i="11" a="1"/>
  <c r="D1116" i="11"/>
  <c r="D1117" i="11" a="1"/>
  <c r="D1117" i="11"/>
  <c r="D1118" i="11" a="1"/>
  <c r="D1118" i="11"/>
  <c r="D1119" i="11" a="1"/>
  <c r="D1119" i="11"/>
  <c r="D1120" i="11" a="1"/>
  <c r="D1120" i="11"/>
  <c r="D1121" i="11" a="1"/>
  <c r="D1121" i="11"/>
  <c r="D1122" i="11" a="1"/>
  <c r="D1122" i="11"/>
  <c r="D1123" i="11" a="1"/>
  <c r="D1123" i="11"/>
  <c r="D1124" i="11" a="1"/>
  <c r="D1124" i="11"/>
  <c r="D1125" i="11" a="1"/>
  <c r="D1125" i="11"/>
  <c r="D1126" i="11" a="1"/>
  <c r="D1126" i="11"/>
  <c r="D1127" i="11" a="1"/>
  <c r="D1127" i="11"/>
  <c r="D1128" i="11" a="1"/>
  <c r="D1128" i="11"/>
  <c r="D1129" i="11" a="1"/>
  <c r="D1129" i="11"/>
  <c r="D1130" i="11" a="1"/>
  <c r="D1130" i="11"/>
  <c r="D1131" i="11" a="1"/>
  <c r="D1131" i="11"/>
  <c r="D1132" i="11" a="1"/>
  <c r="D1132" i="11"/>
  <c r="D1133" i="11" a="1"/>
  <c r="D1133" i="11"/>
  <c r="D1134" i="11" a="1"/>
  <c r="D1134" i="11"/>
  <c r="D1135" i="11" a="1"/>
  <c r="D1135" i="11"/>
  <c r="D1136" i="11" a="1"/>
  <c r="D1136" i="11"/>
  <c r="D1137" i="11" a="1"/>
  <c r="D1137" i="11"/>
  <c r="D1138" i="11" a="1"/>
  <c r="D1138" i="11"/>
  <c r="D1139" i="11" a="1"/>
  <c r="D1139" i="11"/>
  <c r="D1140" i="11" a="1"/>
  <c r="D1140" i="11"/>
  <c r="D1141" i="11" a="1"/>
  <c r="D1141" i="11"/>
  <c r="D1142" i="11" a="1"/>
  <c r="D1142" i="11"/>
  <c r="D1143" i="11" a="1"/>
  <c r="D1143" i="11"/>
  <c r="D1144" i="11" a="1"/>
  <c r="D1144" i="11"/>
  <c r="D1145" i="11" a="1"/>
  <c r="D1145" i="11"/>
  <c r="D1146" i="11" a="1"/>
  <c r="D1146" i="11"/>
  <c r="D1147" i="11" a="1"/>
  <c r="D1147" i="11"/>
  <c r="D1148" i="11" a="1"/>
  <c r="D1148" i="11"/>
  <c r="D1149" i="11" a="1"/>
  <c r="D1149" i="11"/>
  <c r="D1150" i="11" a="1"/>
  <c r="D1150" i="11"/>
  <c r="D1151" i="11" a="1"/>
  <c r="D1151" i="11"/>
  <c r="D1152" i="11" a="1"/>
  <c r="D1152" i="11"/>
  <c r="D1153" i="11" a="1"/>
  <c r="D1153" i="11"/>
  <c r="D1154" i="11" a="1"/>
  <c r="D1154" i="11"/>
  <c r="D1155" i="11" a="1"/>
  <c r="D1155" i="11"/>
  <c r="D1156" i="11" a="1"/>
  <c r="D1156" i="11"/>
  <c r="D1157" i="11" a="1"/>
  <c r="D1157" i="11"/>
  <c r="D1158" i="11" a="1"/>
  <c r="D1158" i="11"/>
  <c r="D1159" i="11" a="1"/>
  <c r="D1159" i="11"/>
  <c r="D1160" i="11" a="1"/>
  <c r="D1160" i="11"/>
  <c r="D1161" i="11" a="1"/>
  <c r="D1161" i="11"/>
  <c r="D1162" i="11" a="1"/>
  <c r="D1162" i="11"/>
  <c r="D1163" i="11" a="1"/>
  <c r="D1163" i="11"/>
  <c r="D1164" i="11" a="1"/>
  <c r="D1164" i="11"/>
  <c r="D1165" i="11" a="1"/>
  <c r="D1165" i="11"/>
  <c r="D1166" i="11" a="1"/>
  <c r="D1166" i="11"/>
  <c r="D1167" i="11" a="1"/>
  <c r="D1167" i="11"/>
  <c r="D1168" i="11" a="1"/>
  <c r="D1168" i="11"/>
  <c r="D1169" i="11" a="1"/>
  <c r="D1169" i="11"/>
  <c r="D1170" i="11" a="1"/>
  <c r="D1170" i="11"/>
  <c r="D1171" i="11" a="1"/>
  <c r="D1171" i="11"/>
  <c r="D1172" i="11" a="1"/>
  <c r="D1172" i="11"/>
  <c r="D1173" i="11" a="1"/>
  <c r="D1173" i="11"/>
  <c r="D1174" i="11" a="1"/>
  <c r="D1174" i="11"/>
  <c r="D1175" i="11" a="1"/>
  <c r="D1175" i="11"/>
  <c r="D1176" i="11" a="1"/>
  <c r="D1176" i="11"/>
  <c r="D1177" i="11" a="1"/>
  <c r="D1177" i="11"/>
  <c r="D1178" i="11" a="1"/>
  <c r="D1178" i="11"/>
  <c r="D1179" i="11" a="1"/>
  <c r="D1179" i="11"/>
  <c r="D1180" i="11" a="1"/>
  <c r="D1180" i="11"/>
  <c r="D1181" i="11" a="1"/>
  <c r="D1181" i="11"/>
  <c r="D1182" i="11" a="1"/>
  <c r="D1182" i="11"/>
  <c r="D1183" i="11" a="1"/>
  <c r="D1183" i="11"/>
  <c r="D1184" i="11" a="1"/>
  <c r="D1184" i="11"/>
  <c r="D1185" i="11" a="1"/>
  <c r="D1185" i="11"/>
  <c r="D1186" i="11" a="1"/>
  <c r="D1186" i="11"/>
  <c r="D1187" i="11" a="1"/>
  <c r="D1187" i="11"/>
  <c r="D1188" i="11" a="1"/>
  <c r="D1188" i="11"/>
  <c r="D1189" i="11" a="1"/>
  <c r="D1189" i="11"/>
  <c r="D1190" i="11" a="1"/>
  <c r="D1190" i="11"/>
  <c r="D1191" i="11" a="1"/>
  <c r="D1191" i="11"/>
  <c r="D1192" i="11" a="1"/>
  <c r="D1192" i="11"/>
  <c r="D1193" i="11" a="1"/>
  <c r="D1193" i="11"/>
  <c r="D1194" i="11" a="1"/>
  <c r="D1194" i="11"/>
  <c r="D1195" i="11" a="1"/>
  <c r="D1195" i="11"/>
  <c r="D1196" i="11" a="1"/>
  <c r="D1196" i="11"/>
  <c r="D1197" i="11" a="1"/>
  <c r="D1197" i="11"/>
  <c r="D1198" i="11" a="1"/>
  <c r="D1198" i="11"/>
  <c r="D1199" i="11" a="1"/>
  <c r="D1199" i="11"/>
  <c r="D1200" i="11" a="1"/>
  <c r="D1200" i="11"/>
  <c r="D1201" i="11" a="1"/>
  <c r="D1201" i="11"/>
  <c r="D1202" i="11" a="1"/>
  <c r="D1202" i="11"/>
  <c r="D1203" i="11" a="1"/>
  <c r="D1203" i="11"/>
  <c r="D1204" i="11" a="1"/>
  <c r="D1204" i="11"/>
  <c r="D1205" i="11" a="1"/>
  <c r="D1205" i="11"/>
  <c r="D1206" i="11" a="1"/>
  <c r="D1206" i="11"/>
  <c r="D1207" i="11" a="1"/>
  <c r="D1207" i="11"/>
  <c r="D1208" i="11" a="1"/>
  <c r="D1208" i="11"/>
  <c r="D1209" i="11" a="1"/>
  <c r="D1209" i="11"/>
  <c r="D1210" i="11" a="1"/>
  <c r="D1210" i="11"/>
  <c r="D1211" i="11" a="1"/>
  <c r="D1211" i="11"/>
  <c r="D1212" i="11" a="1"/>
  <c r="D1212" i="11"/>
  <c r="D1213" i="11" a="1"/>
  <c r="D1213" i="11"/>
  <c r="D1214" i="11" a="1"/>
  <c r="D1214" i="11"/>
  <c r="D1215" i="11" a="1"/>
  <c r="D1215" i="11"/>
  <c r="D1216" i="11" a="1"/>
  <c r="D1216" i="11"/>
  <c r="D1217" i="11" a="1"/>
  <c r="D1217" i="11"/>
  <c r="D1218" i="11" a="1"/>
  <c r="D1218" i="11"/>
  <c r="D1219" i="11" a="1"/>
  <c r="D1219" i="11"/>
  <c r="D1220" i="11" a="1"/>
  <c r="D1220" i="11"/>
  <c r="D1221" i="11" a="1"/>
  <c r="D1221" i="11"/>
  <c r="D1222" i="11" a="1"/>
  <c r="D1222" i="11"/>
  <c r="D1223" i="11" a="1"/>
  <c r="D1223" i="11"/>
  <c r="D1224" i="11" a="1"/>
  <c r="D1224" i="11"/>
  <c r="D1225" i="11" a="1"/>
  <c r="D1225" i="11"/>
  <c r="D1226" i="11" a="1"/>
  <c r="D1226" i="11"/>
  <c r="D1227" i="11" a="1"/>
  <c r="D1227" i="11"/>
  <c r="D1228" i="11" a="1"/>
  <c r="D1228" i="11"/>
  <c r="D1229" i="11" a="1"/>
  <c r="D1229" i="11"/>
  <c r="D1230" i="11" a="1"/>
  <c r="D1230" i="11"/>
  <c r="D1231" i="11" a="1"/>
  <c r="D1231" i="11"/>
  <c r="D1232" i="11" a="1"/>
  <c r="D1232" i="11"/>
  <c r="D1233" i="11" a="1"/>
  <c r="D1233" i="11"/>
  <c r="D1234" i="11" a="1"/>
  <c r="D1234" i="11"/>
  <c r="D1235" i="11" a="1"/>
  <c r="D1235" i="11"/>
  <c r="D1236" i="11" a="1"/>
  <c r="D1236" i="11"/>
  <c r="D1237" i="11" a="1"/>
  <c r="D1237" i="11"/>
  <c r="D1238" i="11" a="1"/>
  <c r="D1238" i="11"/>
  <c r="D1239" i="11" a="1"/>
  <c r="D1239" i="11"/>
  <c r="D1240" i="11" a="1"/>
  <c r="D1240" i="11"/>
  <c r="D1241" i="11" a="1"/>
  <c r="D1241" i="11"/>
  <c r="D1242" i="11" a="1"/>
  <c r="D1242" i="11"/>
  <c r="D1243" i="11" a="1"/>
  <c r="D1243" i="11"/>
  <c r="D1244" i="11" a="1"/>
  <c r="D1244" i="11"/>
  <c r="D1245" i="11" a="1"/>
  <c r="D1245" i="11"/>
  <c r="D1246" i="11" a="1"/>
  <c r="D1246" i="11"/>
  <c r="D1247" i="11" a="1"/>
  <c r="D1247" i="11"/>
  <c r="D1248" i="11" a="1"/>
  <c r="D1248" i="11"/>
  <c r="D1249" i="11" a="1"/>
  <c r="D1249" i="11"/>
  <c r="D1250" i="11" a="1"/>
  <c r="D1250" i="11"/>
  <c r="D1251" i="11" a="1"/>
  <c r="D1251" i="11"/>
  <c r="D1252" i="11" a="1"/>
  <c r="D1252" i="11"/>
  <c r="D1253" i="11" a="1"/>
  <c r="D1253" i="11"/>
  <c r="D1254" i="11" a="1"/>
  <c r="D1254" i="11"/>
  <c r="D1255" i="11" a="1"/>
  <c r="D1255" i="11"/>
  <c r="D1256" i="11" a="1"/>
  <c r="D1256" i="11"/>
  <c r="D1257" i="11" a="1"/>
  <c r="D1257" i="11"/>
  <c r="D1258" i="11" a="1"/>
  <c r="D1258" i="11"/>
  <c r="D1259" i="11" a="1"/>
  <c r="D1259" i="11"/>
  <c r="D1260" i="11" a="1"/>
  <c r="D1260" i="11"/>
  <c r="D1261" i="11" a="1"/>
  <c r="D1261" i="11"/>
  <c r="D1262" i="11" a="1"/>
  <c r="D1262" i="11"/>
  <c r="D1263" i="11" a="1"/>
  <c r="D1263" i="11"/>
  <c r="D1264" i="11" a="1"/>
  <c r="D1264" i="11"/>
  <c r="D1265" i="11" a="1"/>
  <c r="D1265" i="11"/>
  <c r="D1266" i="11" a="1"/>
  <c r="D1266" i="11"/>
  <c r="D1267" i="11" a="1"/>
  <c r="D1267" i="11"/>
  <c r="D1268" i="11" a="1"/>
  <c r="D1268" i="11"/>
  <c r="D1269" i="11" a="1"/>
  <c r="D1269" i="11"/>
  <c r="D1270" i="11" a="1"/>
  <c r="D1270" i="11"/>
  <c r="D1271" i="11" a="1"/>
  <c r="D1271" i="11"/>
  <c r="D1272" i="11" a="1"/>
  <c r="D1272" i="11"/>
  <c r="D1273" i="11" a="1"/>
  <c r="D1273" i="11"/>
  <c r="D1274" i="11" a="1"/>
  <c r="D1274" i="11"/>
  <c r="D1275" i="11" a="1"/>
  <c r="D1275" i="11"/>
  <c r="D1276" i="11" a="1"/>
  <c r="D1276" i="11"/>
  <c r="D1277" i="11" a="1"/>
  <c r="D1277" i="11"/>
  <c r="D1278" i="11" a="1"/>
  <c r="D1278" i="11"/>
  <c r="D1279" i="11" a="1"/>
  <c r="D1279" i="11"/>
  <c r="D1280" i="11" a="1"/>
  <c r="D1280" i="11"/>
  <c r="D1281" i="11" a="1"/>
  <c r="D1281" i="11"/>
  <c r="D1282" i="11" a="1"/>
  <c r="D1282" i="11"/>
  <c r="D1283" i="11" a="1"/>
  <c r="D1283" i="11"/>
  <c r="D1284" i="11" a="1"/>
  <c r="D1284" i="11"/>
  <c r="D1285" i="11" a="1"/>
  <c r="D1285" i="11"/>
  <c r="D1286" i="11" a="1"/>
  <c r="D1286" i="11"/>
  <c r="D1287" i="11" a="1"/>
  <c r="D1287" i="11"/>
  <c r="D1288" i="11" a="1"/>
  <c r="D1288" i="11"/>
  <c r="D1289" i="11" a="1"/>
  <c r="D1289" i="11"/>
  <c r="D1290" i="11" a="1"/>
  <c r="D1290" i="11"/>
  <c r="D1291" i="11" a="1"/>
  <c r="D1291" i="11"/>
  <c r="D1292" i="11" a="1"/>
  <c r="D1292" i="11"/>
  <c r="D1293" i="11" a="1"/>
  <c r="D1293" i="11"/>
  <c r="D1294" i="11" a="1"/>
  <c r="D1294" i="11"/>
  <c r="D1295" i="11" a="1"/>
  <c r="D1295" i="11"/>
  <c r="D1296" i="11" a="1"/>
  <c r="D1296" i="11"/>
  <c r="D1297" i="11" a="1"/>
  <c r="D1297" i="11"/>
  <c r="D1298" i="11" a="1"/>
  <c r="D1298" i="11"/>
  <c r="D1299" i="11" a="1"/>
  <c r="D1299" i="11"/>
  <c r="D1300" i="11" a="1"/>
  <c r="D1300" i="11"/>
  <c r="D1301" i="11" a="1"/>
  <c r="D1301" i="11"/>
  <c r="D1302" i="11" a="1"/>
  <c r="D1302" i="11"/>
  <c r="D1303" i="11" a="1"/>
  <c r="D1303" i="11"/>
  <c r="D1304" i="11" a="1"/>
  <c r="D1304" i="11"/>
  <c r="D1305" i="11" a="1"/>
  <c r="D1305" i="11"/>
  <c r="D1306" i="11" a="1"/>
  <c r="D1306" i="11"/>
  <c r="D1307" i="11" a="1"/>
  <c r="D1307" i="11"/>
  <c r="D1308" i="11" a="1"/>
  <c r="D1308" i="11"/>
  <c r="D1309" i="11" a="1"/>
  <c r="D1309" i="11"/>
  <c r="D1310" i="11" a="1"/>
  <c r="D1310" i="11"/>
  <c r="D1311" i="11" a="1"/>
  <c r="D1311" i="11"/>
  <c r="D1312" i="11" a="1"/>
  <c r="D1312" i="11"/>
  <c r="D1313" i="11" a="1"/>
  <c r="D1313" i="11"/>
  <c r="D1314" i="11" a="1"/>
  <c r="D1314" i="11"/>
  <c r="D1315" i="11" a="1"/>
  <c r="D1315" i="11"/>
  <c r="D1316" i="11" a="1"/>
  <c r="D1316" i="11"/>
  <c r="D1317" i="11" a="1"/>
  <c r="D1317" i="11"/>
  <c r="D1318" i="11" a="1"/>
  <c r="D1318" i="11"/>
  <c r="D1319" i="11" a="1"/>
  <c r="D1319" i="11"/>
  <c r="D1320" i="11" a="1"/>
  <c r="D1320" i="11"/>
  <c r="D1321" i="11" a="1"/>
  <c r="D1321" i="11"/>
  <c r="D1322" i="11" a="1"/>
  <c r="D1322" i="11"/>
  <c r="D1323" i="11" a="1"/>
  <c r="D1323" i="11"/>
  <c r="D1324" i="11" a="1"/>
  <c r="D1324" i="11"/>
  <c r="D1325" i="11" a="1"/>
  <c r="D1325" i="11"/>
  <c r="D1326" i="11" a="1"/>
  <c r="D1326" i="11"/>
  <c r="D1327" i="11" a="1"/>
  <c r="D1327" i="11"/>
  <c r="D1328" i="11" a="1"/>
  <c r="D1328" i="11"/>
  <c r="D1329" i="11" a="1"/>
  <c r="D1329" i="11"/>
  <c r="D1330" i="11" a="1"/>
  <c r="D1330" i="11"/>
  <c r="D1331" i="11" a="1"/>
  <c r="D1331" i="11"/>
  <c r="D1332" i="11" a="1"/>
  <c r="D1332" i="11"/>
  <c r="D1333" i="11" a="1"/>
  <c r="D1333" i="11"/>
  <c r="D1334" i="11" a="1"/>
  <c r="D1334" i="11"/>
  <c r="D1335" i="11" a="1"/>
  <c r="D1335" i="11"/>
  <c r="D1336" i="11" a="1"/>
  <c r="D1336" i="11"/>
  <c r="D1337" i="11" a="1"/>
  <c r="D1337" i="11"/>
  <c r="D1338" i="11" a="1"/>
  <c r="D1338" i="11"/>
  <c r="D1339" i="11" a="1"/>
  <c r="D1339" i="11"/>
  <c r="D1340" i="11" a="1"/>
  <c r="D1340" i="11"/>
  <c r="D1341" i="11" a="1"/>
  <c r="D1341" i="11"/>
  <c r="D1342" i="11" a="1"/>
  <c r="D1342" i="11"/>
  <c r="D1343" i="11" a="1"/>
  <c r="D1343" i="11"/>
  <c r="D1344" i="11" a="1"/>
  <c r="D1344" i="11"/>
  <c r="D1345" i="11" a="1"/>
  <c r="D1345" i="11"/>
  <c r="D1346" i="11" a="1"/>
  <c r="D1346" i="11"/>
  <c r="D1347" i="11" a="1"/>
  <c r="D1347" i="11"/>
  <c r="D1348" i="11" a="1"/>
  <c r="D1348" i="11"/>
  <c r="D1349" i="11" a="1"/>
  <c r="D1349" i="11"/>
  <c r="D1350" i="11" a="1"/>
  <c r="D1350" i="11"/>
  <c r="D1351" i="11" a="1"/>
  <c r="D1351" i="11"/>
  <c r="D1352" i="11" a="1"/>
  <c r="D1352" i="11"/>
  <c r="D1353" i="11" a="1"/>
  <c r="D1353" i="11"/>
  <c r="D1354" i="11" a="1"/>
  <c r="D1354" i="11"/>
  <c r="D1355" i="11" a="1"/>
  <c r="D1355" i="11"/>
  <c r="D1356" i="11" a="1"/>
  <c r="D1356" i="11"/>
  <c r="D1357" i="11" a="1"/>
  <c r="D1357" i="11"/>
  <c r="D1358" i="11" a="1"/>
  <c r="D1358" i="11"/>
  <c r="D1359" i="11" a="1"/>
  <c r="D1359" i="11"/>
  <c r="D1360" i="11" a="1"/>
  <c r="D1360" i="11"/>
  <c r="D1361" i="11" a="1"/>
  <c r="D1361" i="11"/>
  <c r="D1362" i="11" a="1"/>
  <c r="D1362" i="11"/>
  <c r="D1363" i="11" a="1"/>
  <c r="D1363" i="11"/>
  <c r="D1364" i="11" a="1"/>
  <c r="D1364" i="11"/>
  <c r="D1365" i="11" a="1"/>
  <c r="D1365" i="11"/>
  <c r="D1366" i="11" a="1"/>
  <c r="D1366" i="11"/>
  <c r="D1367" i="11" a="1"/>
  <c r="D1367" i="11"/>
  <c r="D1368" i="11" a="1"/>
  <c r="D1368" i="11"/>
  <c r="D1369" i="11" a="1"/>
  <c r="D1369" i="11"/>
  <c r="D1370" i="11" a="1"/>
  <c r="D1370" i="11"/>
  <c r="D1371" i="11" a="1"/>
  <c r="D1371" i="11"/>
  <c r="D1372" i="11" a="1"/>
  <c r="D1372" i="11"/>
  <c r="D1373" i="11" a="1"/>
  <c r="D1373" i="11"/>
  <c r="D1374" i="11" a="1"/>
  <c r="D1374" i="11"/>
  <c r="D1375" i="11" a="1"/>
  <c r="D1375" i="11"/>
  <c r="D1376" i="11" a="1"/>
  <c r="D1376" i="11"/>
  <c r="D1377" i="11" a="1"/>
  <c r="D1377" i="11"/>
  <c r="D1378" i="11" a="1"/>
  <c r="D1378" i="11"/>
  <c r="D1379" i="11" a="1"/>
  <c r="D1379" i="11"/>
  <c r="D1380" i="11" a="1"/>
  <c r="D1380" i="11"/>
  <c r="D1381" i="11" a="1"/>
  <c r="D1381" i="11"/>
  <c r="D1382" i="11" a="1"/>
  <c r="D1382" i="11"/>
  <c r="D1383" i="11" a="1"/>
  <c r="D1383" i="11"/>
  <c r="D1384" i="11" a="1"/>
  <c r="D1384" i="11"/>
  <c r="D1385" i="11" a="1"/>
  <c r="D1385" i="11"/>
  <c r="D1386" i="11" a="1"/>
  <c r="D1386" i="11"/>
  <c r="D1387" i="11" a="1"/>
  <c r="D1387" i="11"/>
  <c r="D1388" i="11" a="1"/>
  <c r="D1388" i="11"/>
  <c r="D1389" i="11" a="1"/>
  <c r="D1389" i="11"/>
  <c r="D1390" i="11" a="1"/>
  <c r="D1390" i="11"/>
  <c r="D1391" i="11" a="1"/>
  <c r="D1391" i="11"/>
  <c r="D1392" i="11" a="1"/>
  <c r="D1392" i="11"/>
  <c r="D1393" i="11" a="1"/>
  <c r="D1393" i="11"/>
  <c r="D1394" i="11" a="1"/>
  <c r="D1394" i="11"/>
  <c r="D1395" i="11" a="1"/>
  <c r="D1395" i="11"/>
  <c r="D1396" i="11" a="1"/>
  <c r="D1396" i="11"/>
  <c r="D1397" i="11" a="1"/>
  <c r="D1397" i="11"/>
  <c r="D1398" i="11" a="1"/>
  <c r="D1398" i="11"/>
  <c r="D1399" i="11" a="1"/>
  <c r="D1399" i="11"/>
  <c r="D1400" i="11" a="1"/>
  <c r="D1400" i="11"/>
  <c r="D1401" i="11" a="1"/>
  <c r="D1401" i="11"/>
  <c r="D1402" i="11" a="1"/>
  <c r="D1402" i="11"/>
  <c r="D1403" i="11" a="1"/>
  <c r="D1403" i="11"/>
  <c r="D1404" i="11" a="1"/>
  <c r="D1404" i="11"/>
  <c r="D1405" i="11" a="1"/>
  <c r="D1405" i="11"/>
  <c r="D1406" i="11" a="1"/>
  <c r="D1406" i="11"/>
  <c r="D1407" i="11" a="1"/>
  <c r="D1407" i="11"/>
  <c r="D1408" i="11" a="1"/>
  <c r="D1408" i="11"/>
  <c r="D1409" i="11" a="1"/>
  <c r="D1409" i="11"/>
  <c r="D1410" i="11" a="1"/>
  <c r="D1410" i="11"/>
  <c r="D1411" i="11" a="1"/>
  <c r="D1411" i="11"/>
  <c r="D1412" i="11" a="1"/>
  <c r="D1412" i="11"/>
  <c r="D1413" i="11" a="1"/>
  <c r="D1413" i="11"/>
  <c r="D1414" i="11" a="1"/>
  <c r="D1414" i="11"/>
  <c r="D1415" i="11" a="1"/>
  <c r="D1415" i="11"/>
  <c r="D1416" i="11" a="1"/>
  <c r="D1416" i="11"/>
  <c r="D1417" i="11" a="1"/>
  <c r="D1417" i="11"/>
  <c r="D1418" i="11" a="1"/>
  <c r="D1418" i="11"/>
  <c r="D1419" i="11" a="1"/>
  <c r="D1419" i="11"/>
  <c r="D1420" i="11" a="1"/>
  <c r="D1420" i="11"/>
  <c r="D1421" i="11" a="1"/>
  <c r="D1421" i="11"/>
  <c r="D1422" i="11" a="1"/>
  <c r="D1422" i="11"/>
  <c r="D1423" i="11" a="1"/>
  <c r="D1423" i="11"/>
  <c r="D1424" i="11" a="1"/>
  <c r="D1424" i="11"/>
  <c r="D1425" i="11" a="1"/>
  <c r="D1425" i="11"/>
  <c r="D1426" i="11" a="1"/>
  <c r="D1426" i="11"/>
  <c r="D1427" i="11" a="1"/>
  <c r="D1427" i="11"/>
  <c r="D1428" i="11" a="1"/>
  <c r="D1428" i="11"/>
  <c r="D1429" i="11" a="1"/>
  <c r="D1429" i="11"/>
  <c r="D1430" i="11" a="1"/>
  <c r="D1430" i="11"/>
  <c r="D1431" i="11" a="1"/>
  <c r="D1431" i="11"/>
  <c r="D1432" i="11" a="1"/>
  <c r="D1432" i="11"/>
  <c r="D1433" i="11" a="1"/>
  <c r="D1433" i="11"/>
  <c r="D1434" i="11" a="1"/>
  <c r="D1434" i="11"/>
  <c r="D1435" i="11" a="1"/>
  <c r="D1435" i="11"/>
  <c r="D1436" i="11" a="1"/>
  <c r="D1436" i="11"/>
  <c r="D1437" i="11" a="1"/>
  <c r="D1437" i="11"/>
  <c r="D1438" i="11" a="1"/>
  <c r="D1438" i="11"/>
  <c r="D1439" i="11" a="1"/>
  <c r="D1439" i="11"/>
  <c r="D1440" i="11" a="1"/>
  <c r="D1440" i="11"/>
  <c r="D1441" i="11" a="1"/>
  <c r="D1441" i="11"/>
  <c r="D1442" i="11" a="1"/>
  <c r="D1442" i="11"/>
  <c r="D1443" i="11" a="1"/>
  <c r="D1443" i="11"/>
  <c r="D1444" i="11" a="1"/>
  <c r="D1444" i="11"/>
  <c r="D1445" i="11" a="1"/>
  <c r="D1445" i="11"/>
  <c r="D1446" i="11" a="1"/>
  <c r="D1446" i="11"/>
  <c r="D1447" i="11" a="1"/>
  <c r="D1447" i="11"/>
  <c r="D1448" i="11" a="1"/>
  <c r="D1448" i="11"/>
  <c r="D1449" i="11" a="1"/>
  <c r="D1449" i="11"/>
  <c r="D1450" i="11" a="1"/>
  <c r="D1450" i="11"/>
  <c r="D1451" i="11" a="1"/>
  <c r="D1451" i="11"/>
  <c r="D1452" i="11" a="1"/>
  <c r="D1452" i="11"/>
  <c r="D1453" i="11" a="1"/>
  <c r="D1453" i="11"/>
  <c r="D1454" i="11" a="1"/>
  <c r="D1454" i="11"/>
  <c r="D1455" i="11" a="1"/>
  <c r="D1455" i="11"/>
  <c r="D1456" i="11" a="1"/>
  <c r="D1456" i="11"/>
  <c r="D1457" i="11" a="1"/>
  <c r="D1457" i="11"/>
  <c r="D1458" i="11" a="1"/>
  <c r="D1458" i="11"/>
  <c r="D1459" i="11" a="1"/>
  <c r="D1459" i="11"/>
  <c r="D1460" i="11" a="1"/>
  <c r="D1460" i="11"/>
  <c r="D1461" i="11" a="1"/>
  <c r="D1461" i="11"/>
  <c r="D1462" i="11" a="1"/>
  <c r="D1462" i="11"/>
  <c r="D1463" i="11" a="1"/>
  <c r="D1463" i="11"/>
  <c r="D1464" i="11" a="1"/>
  <c r="D1464" i="11"/>
  <c r="D1465" i="11" a="1"/>
  <c r="D1465" i="11"/>
  <c r="D1466" i="11" a="1"/>
  <c r="D1466" i="11"/>
  <c r="D1467" i="11" a="1"/>
  <c r="D1467" i="11"/>
  <c r="D1468" i="11" a="1"/>
  <c r="D1468" i="11"/>
  <c r="D1469" i="11" a="1"/>
  <c r="D1469" i="11"/>
  <c r="D1470" i="11" a="1"/>
  <c r="D1470" i="11"/>
  <c r="D1471" i="11" a="1"/>
  <c r="D1471" i="11"/>
  <c r="D1472" i="11" a="1"/>
  <c r="D1472" i="11"/>
  <c r="D1473" i="11" a="1"/>
  <c r="D1473" i="11"/>
  <c r="D1474" i="11" a="1"/>
  <c r="D1474" i="11"/>
  <c r="D1475" i="11" a="1"/>
  <c r="D1475" i="11"/>
  <c r="D1476" i="11" a="1"/>
  <c r="D1476" i="11"/>
  <c r="D1477" i="11" a="1"/>
  <c r="D1477" i="11"/>
  <c r="D1478" i="11" a="1"/>
  <c r="D1478" i="11"/>
  <c r="D1479" i="11" a="1"/>
  <c r="D1479" i="11"/>
  <c r="D1480" i="11" a="1"/>
  <c r="D1480" i="11"/>
  <c r="D1481" i="11" a="1"/>
  <c r="D1481" i="11"/>
  <c r="D1482" i="11" a="1"/>
  <c r="D1482" i="11"/>
  <c r="D1483" i="11" a="1"/>
  <c r="D1483" i="11"/>
  <c r="D1484" i="11" a="1"/>
  <c r="D1484" i="11"/>
  <c r="D1485" i="11" a="1"/>
  <c r="D1485" i="11"/>
  <c r="D1486" i="11" a="1"/>
  <c r="D1486" i="11"/>
  <c r="D1487" i="11" a="1"/>
  <c r="D1487" i="11"/>
  <c r="D1488" i="11" a="1"/>
  <c r="D1488" i="11"/>
  <c r="D1489" i="11" a="1"/>
  <c r="D1489" i="11"/>
  <c r="D1490" i="11" a="1"/>
  <c r="D1490" i="11"/>
  <c r="D1491" i="11" a="1"/>
  <c r="D1491" i="11"/>
  <c r="D1492" i="11" a="1"/>
  <c r="D1492" i="11"/>
  <c r="D1493" i="11" a="1"/>
  <c r="D1493" i="11"/>
  <c r="D1494" i="11" a="1"/>
  <c r="D1494" i="11"/>
  <c r="D1495" i="11" a="1"/>
  <c r="D1495" i="11"/>
  <c r="D1496" i="11" a="1"/>
  <c r="D1496" i="11"/>
  <c r="D1497" i="11" a="1"/>
  <c r="D1497" i="11"/>
  <c r="D1498" i="11" a="1"/>
  <c r="D1498" i="11"/>
  <c r="D1499" i="11" a="1"/>
  <c r="D1499" i="11"/>
  <c r="D1500" i="11" a="1"/>
  <c r="D1500" i="11"/>
  <c r="D1501" i="11" a="1"/>
  <c r="D1501" i="11"/>
  <c r="D1502" i="11" a="1"/>
  <c r="D1502" i="11"/>
  <c r="D1503" i="11" a="1"/>
  <c r="D1503" i="11"/>
  <c r="D1504" i="11" a="1"/>
  <c r="D1504" i="11"/>
  <c r="D1505" i="11" a="1"/>
  <c r="D1505" i="11"/>
  <c r="D1506" i="11" a="1"/>
  <c r="D1506" i="11"/>
  <c r="D1507" i="11" a="1"/>
  <c r="D1507" i="11"/>
  <c r="D1508" i="11" a="1"/>
  <c r="D1508" i="11"/>
  <c r="D1509" i="11" a="1"/>
  <c r="D1509" i="11"/>
  <c r="D1510" i="11" a="1"/>
  <c r="D1510" i="11"/>
  <c r="D1511" i="11" a="1"/>
  <c r="D1511" i="11"/>
  <c r="D1512" i="11" a="1"/>
  <c r="D1512" i="11"/>
  <c r="D1513" i="11" a="1"/>
  <c r="D1513" i="11"/>
  <c r="D1514" i="11" a="1"/>
  <c r="D1514" i="11"/>
  <c r="D1515" i="11" a="1"/>
  <c r="D1515" i="11"/>
  <c r="D1516" i="11" a="1"/>
  <c r="D1516" i="11"/>
  <c r="D1517" i="11" a="1"/>
  <c r="D1517" i="11"/>
  <c r="D1518" i="11" a="1"/>
  <c r="D1518" i="11"/>
  <c r="D1519" i="11" a="1"/>
  <c r="D1519" i="11"/>
  <c r="D1520" i="11" a="1"/>
  <c r="D1520" i="11"/>
  <c r="D1521" i="11" a="1"/>
  <c r="D1521" i="11"/>
  <c r="D1522" i="11" a="1"/>
  <c r="D1522" i="11"/>
  <c r="D1523" i="11" a="1"/>
  <c r="D1523" i="11"/>
  <c r="D1524" i="11" a="1"/>
  <c r="D1524" i="11"/>
  <c r="D1525" i="11" a="1"/>
  <c r="D1525" i="11"/>
  <c r="D1526" i="11" a="1"/>
  <c r="D1526" i="11"/>
  <c r="D1527" i="11" a="1"/>
  <c r="D1527" i="11"/>
  <c r="D1528" i="11" a="1"/>
  <c r="D1528" i="11"/>
  <c r="D1529" i="11" a="1"/>
  <c r="D1529" i="11"/>
  <c r="D1530" i="11" a="1"/>
  <c r="D1530" i="11"/>
  <c r="D1531" i="11" a="1"/>
  <c r="D1531" i="11"/>
  <c r="D1532" i="11" a="1"/>
  <c r="D1532" i="11"/>
  <c r="D1533" i="11" a="1"/>
  <c r="D1533" i="11"/>
  <c r="D1534" i="11" a="1"/>
  <c r="D1534" i="11"/>
  <c r="D1535" i="11" a="1"/>
  <c r="D1535" i="11"/>
  <c r="D1536" i="11" a="1"/>
  <c r="D1536" i="11"/>
  <c r="D1537" i="11" a="1"/>
  <c r="D1537" i="11"/>
  <c r="D1538" i="11" a="1"/>
  <c r="D1538" i="11"/>
  <c r="D1539" i="11" a="1"/>
  <c r="D1539" i="11"/>
  <c r="D1540" i="11" a="1"/>
  <c r="D1540" i="11"/>
  <c r="D1541" i="11" a="1"/>
  <c r="D1541" i="11"/>
  <c r="D1542" i="11" a="1"/>
  <c r="D1542" i="11"/>
  <c r="D1543" i="11" a="1"/>
  <c r="D1543" i="11"/>
  <c r="D1544" i="11" a="1"/>
  <c r="D1544" i="11"/>
  <c r="D1545" i="11" a="1"/>
  <c r="D1545" i="11"/>
  <c r="D1546" i="11" a="1"/>
  <c r="D1546" i="11"/>
  <c r="D1547" i="11" a="1"/>
  <c r="D1547" i="11"/>
  <c r="D1548" i="11" a="1"/>
  <c r="D1548" i="11"/>
  <c r="D1549" i="11" a="1"/>
  <c r="D1549" i="11"/>
  <c r="D1550" i="11" a="1"/>
  <c r="D1550" i="11"/>
  <c r="D1551" i="11" a="1"/>
  <c r="D1551" i="11"/>
  <c r="D1552" i="11" a="1"/>
  <c r="D1552" i="11"/>
  <c r="D1553" i="11" a="1"/>
  <c r="D1553" i="11"/>
  <c r="D1554" i="11" a="1"/>
  <c r="D1554" i="11"/>
  <c r="D1555" i="11" a="1"/>
  <c r="D1555" i="11"/>
  <c r="D1556" i="11" a="1"/>
  <c r="D1556" i="11"/>
  <c r="D1557" i="11" a="1"/>
  <c r="D1557" i="11"/>
  <c r="D1558" i="11" a="1"/>
  <c r="D1558" i="11"/>
  <c r="D1559" i="11" a="1"/>
  <c r="D1559" i="11"/>
  <c r="D1560" i="11" a="1"/>
  <c r="D1560" i="11"/>
  <c r="D1561" i="11" a="1"/>
  <c r="D1561" i="11"/>
  <c r="D1562" i="11" a="1"/>
  <c r="D1562" i="11"/>
  <c r="D1563" i="11" a="1"/>
  <c r="D1563" i="11"/>
  <c r="D1564" i="11" a="1"/>
  <c r="D1564" i="11"/>
  <c r="D1565" i="11" a="1"/>
  <c r="D1565" i="11"/>
  <c r="D1566" i="11" a="1"/>
  <c r="D1566" i="11"/>
  <c r="D1567" i="11" a="1"/>
  <c r="D1567" i="11"/>
  <c r="D1568" i="11" a="1"/>
  <c r="D1568" i="11"/>
  <c r="D1569" i="11" a="1"/>
  <c r="D1569" i="11"/>
  <c r="D1570" i="11" a="1"/>
  <c r="D1570" i="11"/>
  <c r="D1571" i="11" a="1"/>
  <c r="D1571" i="11"/>
  <c r="D1572" i="11" a="1"/>
  <c r="D1572" i="11"/>
  <c r="D1573" i="11" a="1"/>
  <c r="D1573" i="11"/>
  <c r="D1574" i="11" a="1"/>
  <c r="D1574" i="11"/>
  <c r="D1575" i="11" a="1"/>
  <c r="D1575" i="11"/>
  <c r="D1576" i="11" a="1"/>
  <c r="D1576" i="11"/>
  <c r="D1577" i="11" a="1"/>
  <c r="D1577" i="11"/>
  <c r="D1578" i="11" a="1"/>
  <c r="D1578" i="11"/>
  <c r="D1579" i="11" a="1"/>
  <c r="D1579" i="11"/>
  <c r="D1580" i="11" a="1"/>
  <c r="D1580" i="11"/>
  <c r="D1581" i="11" a="1"/>
  <c r="D1581" i="11"/>
  <c r="D1582" i="11" a="1"/>
  <c r="D1582" i="11"/>
  <c r="D1583" i="11" a="1"/>
  <c r="D1583" i="11"/>
  <c r="D1584" i="11" a="1"/>
  <c r="D1584" i="11"/>
  <c r="D1585" i="11" a="1"/>
  <c r="D1585" i="11"/>
  <c r="D1586" i="11" a="1"/>
  <c r="D1586" i="11"/>
  <c r="D1587" i="11" a="1"/>
  <c r="D1587" i="11"/>
  <c r="D1588" i="11" a="1"/>
  <c r="D1588" i="11"/>
  <c r="D1589" i="11" a="1"/>
  <c r="D1589" i="11"/>
  <c r="D1590" i="11" a="1"/>
  <c r="D1590" i="11"/>
  <c r="D1591" i="11" a="1"/>
  <c r="D1591" i="11"/>
  <c r="D1592" i="11" a="1"/>
  <c r="D1592" i="11"/>
  <c r="D1593" i="11" a="1"/>
  <c r="D1593" i="11"/>
  <c r="D1594" i="11" a="1"/>
  <c r="D1594" i="11"/>
  <c r="D1595" i="11" a="1"/>
  <c r="D1595" i="11"/>
  <c r="D1596" i="11" a="1"/>
  <c r="D1596" i="11"/>
  <c r="D1597" i="11" a="1"/>
  <c r="D1597" i="11"/>
  <c r="D1598" i="11" a="1"/>
  <c r="D1598" i="11"/>
  <c r="D1599" i="11" a="1"/>
  <c r="D1599" i="11"/>
  <c r="D1600" i="11" a="1"/>
  <c r="D1600" i="11"/>
  <c r="D1601" i="11" a="1"/>
  <c r="D1601" i="11"/>
  <c r="D1602" i="11" a="1"/>
  <c r="D1602" i="11"/>
  <c r="D1603" i="11" a="1"/>
  <c r="D1603" i="11"/>
  <c r="D1604" i="11" a="1"/>
  <c r="D1604" i="11"/>
  <c r="D1605" i="11" a="1"/>
  <c r="D1605" i="11"/>
  <c r="D1606" i="11" a="1"/>
  <c r="D1606" i="11"/>
  <c r="D1607" i="11" a="1"/>
  <c r="D1607" i="11"/>
  <c r="D1608" i="11" a="1"/>
  <c r="D1608" i="11"/>
  <c r="D1609" i="11" a="1"/>
  <c r="D1609" i="11"/>
  <c r="D1610" i="11" a="1"/>
  <c r="D1610" i="11"/>
  <c r="D1611" i="11" a="1"/>
  <c r="D1611" i="11"/>
  <c r="D1612" i="11" a="1"/>
  <c r="D1612" i="11"/>
  <c r="D1613" i="11" a="1"/>
  <c r="D1613" i="11"/>
  <c r="D1614" i="11" a="1"/>
  <c r="D1614" i="11"/>
  <c r="D1615" i="11" a="1"/>
  <c r="D1615" i="11"/>
  <c r="D1616" i="11" a="1"/>
  <c r="D1616" i="11"/>
  <c r="D1617" i="11" a="1"/>
  <c r="D1617" i="11"/>
  <c r="D1618" i="11" a="1"/>
  <c r="D1618" i="11"/>
  <c r="D1619" i="11" a="1"/>
  <c r="D1619" i="11"/>
  <c r="D1620" i="11" a="1"/>
  <c r="D1620" i="11"/>
  <c r="D1621" i="11" a="1"/>
  <c r="D1621" i="11"/>
  <c r="D1622" i="11" a="1"/>
  <c r="D1622" i="11"/>
  <c r="D1623" i="11" a="1"/>
  <c r="D1623" i="11"/>
  <c r="D1624" i="11" a="1"/>
  <c r="D1624" i="11"/>
  <c r="D1625" i="11" a="1"/>
  <c r="D1625" i="11"/>
  <c r="D1626" i="11" a="1"/>
  <c r="D1626" i="11"/>
  <c r="D1627" i="11" a="1"/>
  <c r="D1627" i="11"/>
  <c r="D1628" i="11" a="1"/>
  <c r="D1628" i="11"/>
  <c r="D1629" i="11" a="1"/>
  <c r="D1629" i="11"/>
  <c r="D1630" i="11" a="1"/>
  <c r="D1630" i="11"/>
  <c r="D1631" i="11" a="1"/>
  <c r="D1631" i="11"/>
  <c r="D1632" i="11" a="1"/>
  <c r="D1632" i="11"/>
  <c r="D1633" i="11" a="1"/>
  <c r="D1633" i="11"/>
  <c r="D1634" i="11" a="1"/>
  <c r="D1634" i="11"/>
  <c r="D1635" i="11" a="1"/>
  <c r="D1635" i="11"/>
  <c r="D1636" i="11" a="1"/>
  <c r="D1636" i="11"/>
  <c r="D1637" i="11" a="1"/>
  <c r="D1637" i="11"/>
  <c r="D1638" i="11" a="1"/>
  <c r="D1638" i="11"/>
  <c r="D1639" i="11" a="1"/>
  <c r="D1639" i="11"/>
  <c r="D1640" i="11" a="1"/>
  <c r="D1640" i="11"/>
  <c r="D1641" i="11" a="1"/>
  <c r="D1641" i="11"/>
  <c r="D1642" i="11" a="1"/>
  <c r="D1642" i="11"/>
  <c r="D1643" i="11" a="1"/>
  <c r="D1643" i="11"/>
  <c r="D1644" i="11" a="1"/>
  <c r="D1644" i="11"/>
  <c r="D1645" i="11" a="1"/>
  <c r="D1645" i="11"/>
  <c r="D1646" i="11" a="1"/>
  <c r="D1646" i="11"/>
  <c r="D1647" i="11" a="1"/>
  <c r="D1647" i="11"/>
  <c r="D1648" i="11" a="1"/>
  <c r="D1648" i="11"/>
  <c r="D1649" i="11" a="1"/>
  <c r="D1649" i="11"/>
  <c r="D1650" i="11" a="1"/>
  <c r="D1650" i="11"/>
  <c r="D1651" i="11" a="1"/>
  <c r="D1651" i="11"/>
  <c r="D1652" i="11" a="1"/>
  <c r="D1652" i="11"/>
  <c r="D1653" i="11" a="1"/>
  <c r="D1653" i="11"/>
  <c r="D1654" i="11" a="1"/>
  <c r="D1654" i="11"/>
  <c r="D1655" i="11" a="1"/>
  <c r="D1655" i="11"/>
  <c r="D1656" i="11" a="1"/>
  <c r="D1656" i="11"/>
  <c r="D1657" i="11" a="1"/>
  <c r="D1657" i="11"/>
  <c r="D1658" i="11" a="1"/>
  <c r="D1658" i="11"/>
  <c r="D1659" i="11" a="1"/>
  <c r="D1659" i="11"/>
  <c r="D1660" i="11" a="1"/>
  <c r="D1660" i="11"/>
  <c r="D1661" i="11" a="1"/>
  <c r="D1661" i="11"/>
  <c r="D1662" i="11" a="1"/>
  <c r="D1662" i="11"/>
  <c r="D1663" i="11" a="1"/>
  <c r="D1663" i="11"/>
  <c r="D1664" i="11" a="1"/>
  <c r="D1664" i="11"/>
  <c r="D1665" i="11" a="1"/>
  <c r="D1665" i="11"/>
  <c r="D1666" i="11" a="1"/>
  <c r="D1666" i="11"/>
  <c r="D1667" i="11" a="1"/>
  <c r="D1667" i="11"/>
  <c r="D1668" i="11" a="1"/>
  <c r="D1668" i="11"/>
  <c r="D1669" i="11" a="1"/>
  <c r="D1669" i="11"/>
  <c r="D1670" i="11" a="1"/>
  <c r="D1670" i="11"/>
  <c r="D1671" i="11" a="1"/>
  <c r="D1671" i="11"/>
  <c r="D1672" i="11" a="1"/>
  <c r="D1672" i="11"/>
  <c r="D1673" i="11" a="1"/>
  <c r="D1673" i="11"/>
  <c r="D1674" i="11" a="1"/>
  <c r="D1674" i="11"/>
  <c r="D1675" i="11" a="1"/>
  <c r="D1675" i="11"/>
  <c r="D1676" i="11" a="1"/>
  <c r="D1676" i="11"/>
  <c r="D1677" i="11" a="1"/>
  <c r="D1677" i="11"/>
  <c r="D1678" i="11" a="1"/>
  <c r="D1678" i="11"/>
  <c r="D1679" i="11" a="1"/>
  <c r="D1679" i="11"/>
  <c r="D1680" i="11" a="1"/>
  <c r="D1680" i="11"/>
  <c r="D1681" i="11" a="1"/>
  <c r="D1681" i="11"/>
  <c r="D1682" i="11" a="1"/>
  <c r="D1682" i="11"/>
  <c r="D1683" i="11" a="1"/>
  <c r="D1683" i="11"/>
  <c r="D1684" i="11" a="1"/>
  <c r="D1684" i="11"/>
  <c r="D1685" i="11" a="1"/>
  <c r="D1685" i="11"/>
  <c r="D1686" i="11" a="1"/>
  <c r="D1686" i="11"/>
  <c r="D1687" i="11" a="1"/>
  <c r="D1687" i="11"/>
  <c r="D1688" i="11" a="1"/>
  <c r="D1688" i="11"/>
  <c r="D1689" i="11" a="1"/>
  <c r="D1689" i="11"/>
  <c r="D1690" i="11" a="1"/>
  <c r="D1690" i="11"/>
  <c r="D1691" i="11" a="1"/>
  <c r="D1691" i="11"/>
  <c r="D1692" i="11" a="1"/>
  <c r="D1692" i="11"/>
  <c r="D1693" i="11" a="1"/>
  <c r="D1693" i="11"/>
  <c r="D1694" i="11" a="1"/>
  <c r="D1694" i="11"/>
  <c r="D1695" i="11" a="1"/>
  <c r="D1695" i="11"/>
  <c r="D1696" i="11" a="1"/>
  <c r="D1696" i="11"/>
  <c r="D1697" i="11" a="1"/>
  <c r="D1697" i="11"/>
  <c r="D1698" i="11" a="1"/>
  <c r="D1698" i="11"/>
  <c r="D1699" i="11" a="1"/>
  <c r="D1699" i="11"/>
  <c r="D1700" i="11" a="1"/>
  <c r="D1700" i="11"/>
  <c r="D1701" i="11" a="1"/>
  <c r="D1701" i="11"/>
  <c r="D1702" i="11" a="1"/>
  <c r="D1702" i="11"/>
  <c r="D1703" i="11" a="1"/>
  <c r="D1703" i="11"/>
  <c r="D1704" i="11" a="1"/>
  <c r="D1704" i="11"/>
  <c r="D1705" i="11" a="1"/>
  <c r="D1705" i="11"/>
  <c r="D1706" i="11" a="1"/>
  <c r="D1706" i="11"/>
  <c r="D1707" i="11" a="1"/>
  <c r="D1707" i="11"/>
  <c r="D1708" i="11" a="1"/>
  <c r="D1708" i="11"/>
  <c r="D1709" i="11" a="1"/>
  <c r="D1709" i="11"/>
  <c r="D1710" i="11" a="1"/>
  <c r="D1710" i="11"/>
  <c r="D1711" i="11" a="1"/>
  <c r="D1711" i="11"/>
  <c r="D1712" i="11" a="1"/>
  <c r="D1712" i="11"/>
  <c r="D1713" i="11" a="1"/>
  <c r="D1713" i="11"/>
  <c r="D1714" i="11" a="1"/>
  <c r="D1714" i="11"/>
  <c r="D1715" i="11" a="1"/>
  <c r="D1715" i="11"/>
  <c r="D1716" i="11" a="1"/>
  <c r="D1716" i="11"/>
  <c r="D1717" i="11" a="1"/>
  <c r="D1717" i="11"/>
  <c r="D1718" i="11" a="1"/>
  <c r="D1718" i="11"/>
  <c r="D1719" i="11" a="1"/>
  <c r="D1719" i="11"/>
  <c r="D1720" i="11" a="1"/>
  <c r="D1720" i="11"/>
  <c r="D1721" i="11" a="1"/>
  <c r="D1721" i="11"/>
  <c r="D1722" i="11" a="1"/>
  <c r="D1722" i="11"/>
  <c r="D1723" i="11" a="1"/>
  <c r="D1723" i="11"/>
  <c r="D1724" i="11" a="1"/>
  <c r="D1724" i="11"/>
  <c r="D1725" i="11" a="1"/>
  <c r="D1725" i="11"/>
  <c r="D1726" i="11" a="1"/>
  <c r="D1726" i="11"/>
  <c r="D1727" i="11" a="1"/>
  <c r="D1727" i="11"/>
  <c r="D1728" i="11" a="1"/>
  <c r="D1728" i="11"/>
  <c r="D1729" i="11" a="1"/>
  <c r="D1729" i="11"/>
  <c r="D1730" i="11" a="1"/>
  <c r="D1730" i="11"/>
  <c r="D1731" i="11" a="1"/>
  <c r="D1731" i="11"/>
  <c r="D1732" i="11" a="1"/>
  <c r="D1732" i="11"/>
  <c r="D1733" i="11" a="1"/>
  <c r="D1733" i="11"/>
  <c r="D1734" i="11" a="1"/>
  <c r="D1734" i="11"/>
  <c r="D1735" i="11" a="1"/>
  <c r="D1735" i="11"/>
  <c r="D1736" i="11" a="1"/>
  <c r="D1736" i="11"/>
  <c r="D1737" i="11" a="1"/>
  <c r="D1737" i="11"/>
  <c r="D1738" i="11" a="1"/>
  <c r="D1738" i="11"/>
  <c r="D1739" i="11" a="1"/>
  <c r="D1739" i="11"/>
  <c r="D1740" i="11" a="1"/>
  <c r="D1740" i="11"/>
  <c r="D1741" i="11" a="1"/>
  <c r="D1741" i="11"/>
  <c r="D1742" i="11" a="1"/>
  <c r="D1742" i="11"/>
  <c r="D1743" i="11" a="1"/>
  <c r="D1743" i="11"/>
  <c r="D1744" i="11" a="1"/>
  <c r="D1744" i="11"/>
  <c r="D1745" i="11" a="1"/>
  <c r="D1745" i="11"/>
  <c r="D1746" i="11" a="1"/>
  <c r="D1746" i="11"/>
  <c r="D1747" i="11" a="1"/>
  <c r="D1747" i="11"/>
  <c r="D1748" i="11" a="1"/>
  <c r="D1748" i="11"/>
  <c r="D1749" i="11" a="1"/>
  <c r="D1749" i="11"/>
  <c r="D1750" i="11" a="1"/>
  <c r="D1750" i="11"/>
  <c r="D1751" i="11" a="1"/>
  <c r="D1751" i="11"/>
  <c r="D1752" i="11" a="1"/>
  <c r="D1752" i="11"/>
  <c r="D1753" i="11" a="1"/>
  <c r="D1753" i="11"/>
  <c r="D1754" i="11" a="1"/>
  <c r="D1754" i="11"/>
  <c r="D1755" i="11" a="1"/>
  <c r="D1755" i="11"/>
  <c r="D1756" i="11" a="1"/>
  <c r="D1756" i="11"/>
  <c r="D1757" i="11" a="1"/>
  <c r="D1757" i="11"/>
  <c r="D1758" i="11" a="1"/>
  <c r="D1758" i="11"/>
  <c r="D1759" i="11" a="1"/>
  <c r="D1759" i="11"/>
  <c r="D1760" i="11" a="1"/>
  <c r="D1760" i="11"/>
  <c r="D1761" i="11" a="1"/>
  <c r="D1761" i="11"/>
  <c r="D1762" i="11" a="1"/>
  <c r="D1762" i="11"/>
  <c r="D1763" i="11" a="1"/>
  <c r="D1763" i="11"/>
  <c r="D1764" i="11" a="1"/>
  <c r="D1764" i="11"/>
  <c r="D1765" i="11" a="1"/>
  <c r="D1765" i="11"/>
  <c r="D1766" i="11" a="1"/>
  <c r="D1766" i="11"/>
  <c r="D1767" i="11" a="1"/>
  <c r="D1767" i="11"/>
  <c r="D1768" i="11" a="1"/>
  <c r="D1768" i="11"/>
  <c r="D1769" i="11" a="1"/>
  <c r="D1769" i="11"/>
  <c r="D1770" i="11" a="1"/>
  <c r="D1770" i="11"/>
  <c r="D1771" i="11" a="1"/>
  <c r="D1771" i="11"/>
  <c r="D1772" i="11" a="1"/>
  <c r="D1772" i="11"/>
  <c r="D1773" i="11" a="1"/>
  <c r="D1773" i="11"/>
  <c r="D1774" i="11" a="1"/>
  <c r="D1774" i="11"/>
  <c r="D1775" i="11" a="1"/>
  <c r="D1775" i="11"/>
  <c r="D1776" i="11" a="1"/>
  <c r="D1776" i="11"/>
  <c r="D1777" i="11" a="1"/>
  <c r="D1777" i="11"/>
  <c r="D1778" i="11" a="1"/>
  <c r="D1778" i="11"/>
  <c r="D1779" i="11" a="1"/>
  <c r="D1779" i="11"/>
  <c r="D1780" i="11" a="1"/>
  <c r="D1780" i="11"/>
  <c r="D1781" i="11" a="1"/>
  <c r="D1781" i="11"/>
  <c r="D1782" i="11" a="1"/>
  <c r="D1782" i="11"/>
  <c r="D1783" i="11" a="1"/>
  <c r="D1783" i="11"/>
  <c r="D1784" i="11" a="1"/>
  <c r="D1784" i="11"/>
  <c r="D1785" i="11" a="1"/>
  <c r="D1785" i="11"/>
  <c r="D1786" i="11" a="1"/>
  <c r="D1786" i="11"/>
  <c r="D1787" i="11" a="1"/>
  <c r="D1787" i="11"/>
  <c r="D1788" i="11" a="1"/>
  <c r="D1788" i="11"/>
  <c r="D1789" i="11" a="1"/>
  <c r="D1789" i="11"/>
  <c r="D1790" i="11" a="1"/>
  <c r="D1790" i="11"/>
  <c r="D1791" i="11" a="1"/>
  <c r="D1791" i="11"/>
  <c r="D1792" i="11" a="1"/>
  <c r="D1792" i="11"/>
  <c r="D1793" i="11" a="1"/>
  <c r="D1793" i="11"/>
  <c r="D1794" i="11" a="1"/>
  <c r="D1794" i="11"/>
  <c r="D1795" i="11" a="1"/>
  <c r="D1795" i="11"/>
  <c r="D1796" i="11" a="1"/>
  <c r="D1796" i="11"/>
  <c r="D1797" i="11" a="1"/>
  <c r="D1797" i="11"/>
  <c r="D1798" i="11" a="1"/>
  <c r="D1798" i="11"/>
  <c r="D1799" i="11" a="1"/>
  <c r="D1799" i="11"/>
  <c r="D1800" i="11" a="1"/>
  <c r="D1800" i="11"/>
  <c r="D1801" i="11" a="1"/>
  <c r="D1801" i="11"/>
  <c r="D1802" i="11" a="1"/>
  <c r="D1802" i="11"/>
  <c r="D1803" i="11" a="1"/>
  <c r="D1803" i="11"/>
  <c r="D1804" i="11" a="1"/>
  <c r="D1804" i="11"/>
  <c r="D1805" i="11" a="1"/>
  <c r="D1805" i="11"/>
  <c r="D1806" i="11" a="1"/>
  <c r="D1806" i="11"/>
  <c r="D1807" i="11" a="1"/>
  <c r="D1807" i="11"/>
  <c r="D1808" i="11" a="1"/>
  <c r="D1808" i="11"/>
  <c r="D1809" i="11" a="1"/>
  <c r="D1809" i="11"/>
  <c r="D1810" i="11" a="1"/>
  <c r="D1810" i="11"/>
  <c r="D1811" i="11" a="1"/>
  <c r="D1811" i="11"/>
  <c r="D1812" i="11" a="1"/>
  <c r="D1812" i="11"/>
  <c r="D1813" i="11" a="1"/>
  <c r="D1813" i="11"/>
  <c r="D1814" i="11" a="1"/>
  <c r="D1814" i="11"/>
  <c r="D1815" i="11" a="1"/>
  <c r="D1815" i="11"/>
  <c r="D1816" i="11" a="1"/>
  <c r="D1816" i="11"/>
  <c r="D1817" i="11" a="1"/>
  <c r="D1817" i="11"/>
  <c r="D1818" i="11" a="1"/>
  <c r="D1818" i="11"/>
  <c r="D1819" i="11" a="1"/>
  <c r="D1819" i="11"/>
  <c r="D1820" i="11" a="1"/>
  <c r="D1820" i="11"/>
  <c r="D1821" i="11" a="1"/>
  <c r="D1821" i="11"/>
  <c r="D1822" i="11" a="1"/>
  <c r="D1822" i="11"/>
  <c r="D1823" i="11" a="1"/>
  <c r="D1823" i="11"/>
  <c r="D1824" i="11" a="1"/>
  <c r="D1824" i="11"/>
  <c r="D1825" i="11" a="1"/>
  <c r="D1825" i="11"/>
  <c r="D1826" i="11" a="1"/>
  <c r="D1826" i="11"/>
  <c r="D1827" i="11" a="1"/>
  <c r="D1827" i="11"/>
  <c r="D1828" i="11" a="1"/>
  <c r="D1828" i="11"/>
  <c r="D1829" i="11" a="1"/>
  <c r="D1829" i="11"/>
  <c r="D1830" i="11" a="1"/>
  <c r="D1830" i="11"/>
  <c r="D1831" i="11" a="1"/>
  <c r="D1831" i="11"/>
  <c r="D1832" i="11" a="1"/>
  <c r="D1832" i="11"/>
  <c r="D1833" i="11" a="1"/>
  <c r="D1833" i="11"/>
  <c r="D1834" i="11" a="1"/>
  <c r="D1834" i="11"/>
  <c r="D1835" i="11" a="1"/>
  <c r="D1835" i="11"/>
  <c r="D1836" i="11" a="1"/>
  <c r="D1836" i="11"/>
  <c r="D1837" i="11" a="1"/>
  <c r="D1837" i="11"/>
  <c r="D1838" i="11" a="1"/>
  <c r="D1838" i="11"/>
  <c r="D1839" i="11" a="1"/>
  <c r="D1839" i="11"/>
  <c r="D1840" i="11" a="1"/>
  <c r="D1840" i="11"/>
  <c r="D1841" i="11" a="1"/>
  <c r="D1841" i="11"/>
  <c r="D1842" i="11" a="1"/>
  <c r="D1842" i="11"/>
  <c r="D1843" i="11" a="1"/>
  <c r="D1843" i="11"/>
  <c r="D1844" i="11" a="1"/>
  <c r="D1844" i="11"/>
  <c r="D1845" i="11" a="1"/>
  <c r="D1845" i="11"/>
  <c r="D1846" i="11" a="1"/>
  <c r="D1846" i="11"/>
  <c r="D1847" i="11" a="1"/>
  <c r="D1847" i="11"/>
  <c r="D1848" i="11" a="1"/>
  <c r="D1848" i="11"/>
  <c r="D1849" i="11" a="1"/>
  <c r="D1849" i="11"/>
  <c r="D1850" i="11" a="1"/>
  <c r="D1850" i="11"/>
  <c r="D1851" i="11" a="1"/>
  <c r="D1851" i="11"/>
  <c r="D1852" i="11" a="1"/>
  <c r="D1852" i="11"/>
  <c r="D1853" i="11" a="1"/>
  <c r="D1853" i="11"/>
  <c r="D1854" i="11" a="1"/>
  <c r="D1854" i="11"/>
  <c r="D1855" i="11" a="1"/>
  <c r="D1855" i="11"/>
  <c r="D1856" i="11" a="1"/>
  <c r="D1856" i="11"/>
  <c r="D1857" i="11" a="1"/>
  <c r="D1857" i="11"/>
  <c r="D1858" i="11" a="1"/>
  <c r="D1858" i="11"/>
  <c r="D1859" i="11" a="1"/>
  <c r="D1859" i="11"/>
  <c r="D1860" i="11" a="1"/>
  <c r="D1860" i="11"/>
  <c r="D1861" i="11" a="1"/>
  <c r="D1861" i="11"/>
  <c r="D1862" i="11" a="1"/>
  <c r="D1862" i="11"/>
  <c r="D1863" i="11" a="1"/>
  <c r="D1863" i="11"/>
  <c r="D1864" i="11" a="1"/>
  <c r="D1864" i="11"/>
  <c r="D1865" i="11" a="1"/>
  <c r="D1865" i="11"/>
  <c r="D1866" i="11" a="1"/>
  <c r="D1866" i="11"/>
  <c r="D1867" i="11" a="1"/>
  <c r="D1867" i="11"/>
  <c r="D1868" i="11" a="1"/>
  <c r="D1868" i="11"/>
  <c r="D1869" i="11" a="1"/>
  <c r="D1869" i="11"/>
  <c r="D1870" i="11" a="1"/>
  <c r="D1870" i="11"/>
  <c r="D1871" i="11" a="1"/>
  <c r="D1871" i="11"/>
  <c r="D1872" i="11" a="1"/>
  <c r="D1872" i="11"/>
  <c r="D1873" i="11" a="1"/>
  <c r="D1873" i="11"/>
  <c r="D1874" i="11" a="1"/>
  <c r="D1874" i="11"/>
  <c r="D1875" i="11" a="1"/>
  <c r="D1875" i="11"/>
  <c r="D1876" i="11" a="1"/>
  <c r="D1876" i="11"/>
  <c r="D1877" i="11" a="1"/>
  <c r="D1877" i="11"/>
  <c r="D1878" i="11" a="1"/>
  <c r="D1878" i="11"/>
  <c r="D1879" i="11" a="1"/>
  <c r="D1879" i="11"/>
  <c r="D1880" i="11" a="1"/>
  <c r="D1880" i="11"/>
  <c r="D1881" i="11" a="1"/>
  <c r="D1881" i="11"/>
  <c r="D1882" i="11" a="1"/>
  <c r="D1882" i="11"/>
  <c r="D1883" i="11" a="1"/>
  <c r="D1883" i="11"/>
  <c r="D1884" i="11" a="1"/>
  <c r="D1884" i="11"/>
  <c r="D1885" i="11" a="1"/>
  <c r="D1885" i="11"/>
  <c r="D1886" i="11" a="1"/>
  <c r="D1886" i="11"/>
  <c r="D1887" i="11" a="1"/>
  <c r="D1887" i="11"/>
  <c r="D1888" i="11" a="1"/>
  <c r="D1888" i="11"/>
  <c r="D1889" i="11" a="1"/>
  <c r="D1889" i="11"/>
  <c r="D1890" i="11" a="1"/>
  <c r="D1890" i="11"/>
  <c r="D1891" i="11" a="1"/>
  <c r="D1891" i="11"/>
  <c r="D1892" i="11" a="1"/>
  <c r="D1892" i="11"/>
  <c r="D1893" i="11" a="1"/>
  <c r="D1893" i="11"/>
  <c r="D1894" i="11" a="1"/>
  <c r="D1894" i="11"/>
  <c r="D1895" i="11" a="1"/>
  <c r="D1895" i="11"/>
  <c r="D1896" i="11" a="1"/>
  <c r="D1896" i="11"/>
  <c r="D1897" i="11" a="1"/>
  <c r="D1897" i="11"/>
  <c r="D1898" i="11" a="1"/>
  <c r="D1898" i="11"/>
  <c r="D1899" i="11" a="1"/>
  <c r="D1899" i="11"/>
  <c r="D1900" i="11" a="1"/>
  <c r="D1900" i="11"/>
  <c r="D1901" i="11" a="1"/>
  <c r="D1901" i="11"/>
  <c r="D1902" i="11" a="1"/>
  <c r="D1902" i="11"/>
  <c r="D1903" i="11" a="1"/>
  <c r="D1903" i="11"/>
  <c r="D1904" i="11" a="1"/>
  <c r="D1904" i="11"/>
  <c r="D1905" i="11" a="1"/>
  <c r="D1905" i="11"/>
  <c r="D1906" i="11" a="1"/>
  <c r="D1906" i="11"/>
  <c r="D1907" i="11" a="1"/>
  <c r="D1907" i="11"/>
  <c r="D1908" i="11" a="1"/>
  <c r="D1908" i="11"/>
  <c r="D1909" i="11" a="1"/>
  <c r="D1909" i="11"/>
  <c r="D1910" i="11" a="1"/>
  <c r="D1910" i="11"/>
  <c r="D1911" i="11" a="1"/>
  <c r="D1911" i="11"/>
  <c r="D1912" i="11" a="1"/>
  <c r="D1912" i="11"/>
  <c r="D1913" i="11" a="1"/>
  <c r="D1913" i="11"/>
  <c r="D1914" i="11" a="1"/>
  <c r="D1914" i="11"/>
  <c r="D1915" i="11" a="1"/>
  <c r="D1915" i="11"/>
  <c r="D1916" i="11" a="1"/>
  <c r="D1916" i="11"/>
  <c r="D1917" i="11" a="1"/>
  <c r="D1917" i="11"/>
  <c r="D1918" i="11" a="1"/>
  <c r="D1918" i="11"/>
  <c r="D1919" i="11" a="1"/>
  <c r="D1919" i="11"/>
  <c r="D1920" i="11" a="1"/>
  <c r="D1920" i="11"/>
  <c r="D1921" i="11" a="1"/>
  <c r="D1921" i="11"/>
  <c r="D1922" i="11" a="1"/>
  <c r="D1922" i="11"/>
  <c r="D1923" i="11" a="1"/>
  <c r="D1923" i="11"/>
  <c r="D1924" i="11" a="1"/>
  <c r="D1924" i="11"/>
  <c r="D1925" i="11" a="1"/>
  <c r="D1925" i="11"/>
  <c r="D1926" i="11" a="1"/>
  <c r="D1926" i="11"/>
  <c r="D1927" i="11" a="1"/>
  <c r="D1927" i="11"/>
  <c r="D1928" i="11" a="1"/>
  <c r="D1928" i="11"/>
  <c r="D1929" i="11" a="1"/>
  <c r="D1929" i="11"/>
  <c r="D1930" i="11" a="1"/>
  <c r="D1930" i="11"/>
  <c r="D1931" i="11" a="1"/>
  <c r="D1931" i="11"/>
  <c r="D1932" i="11" a="1"/>
  <c r="D1932" i="11"/>
  <c r="D1933" i="11" a="1"/>
  <c r="D1933" i="11"/>
  <c r="D1934" i="11" a="1"/>
  <c r="D1934" i="11"/>
  <c r="D1935" i="11" a="1"/>
  <c r="D1935" i="11"/>
  <c r="D1936" i="11" a="1"/>
  <c r="D1936" i="11"/>
  <c r="D1937" i="11" a="1"/>
  <c r="D1937" i="11"/>
  <c r="D1938" i="11" a="1"/>
  <c r="D1938" i="11"/>
  <c r="D1939" i="11" a="1"/>
  <c r="D1939" i="11"/>
  <c r="D1940" i="11" a="1"/>
  <c r="D1940" i="11"/>
  <c r="D1941" i="11" a="1"/>
  <c r="D1941" i="11"/>
  <c r="D1942" i="11" a="1"/>
  <c r="D1942" i="11"/>
  <c r="D1943" i="11" a="1"/>
  <c r="D1943" i="11"/>
  <c r="D1944" i="11" a="1"/>
  <c r="D1944" i="11"/>
  <c r="D1945" i="11" a="1"/>
  <c r="D1945" i="11"/>
  <c r="D1946" i="11" a="1"/>
  <c r="D1946" i="11"/>
  <c r="D1947" i="11" a="1"/>
  <c r="D1947" i="11"/>
  <c r="D1948" i="11" a="1"/>
  <c r="D1948" i="11"/>
  <c r="D1949" i="11" a="1"/>
  <c r="D1949" i="11"/>
  <c r="D1950" i="11" a="1"/>
  <c r="D1950" i="11"/>
  <c r="D1951" i="11" a="1"/>
  <c r="D1951" i="11"/>
  <c r="D1952" i="11" a="1"/>
  <c r="D1952" i="11"/>
  <c r="D1953" i="11" a="1"/>
  <c r="D1953" i="11"/>
  <c r="D1954" i="11" a="1"/>
  <c r="D1954" i="11"/>
  <c r="D1955" i="11" a="1"/>
  <c r="D1955" i="11"/>
  <c r="D1956" i="11" a="1"/>
  <c r="D1956" i="11"/>
  <c r="D1957" i="11" a="1"/>
  <c r="D1957" i="11"/>
  <c r="D1958" i="11" a="1"/>
  <c r="D1958" i="11"/>
  <c r="D1959" i="11" a="1"/>
  <c r="D1959" i="11"/>
  <c r="D1960" i="11" a="1"/>
  <c r="D1960" i="11"/>
  <c r="D1961" i="11" a="1"/>
  <c r="D1961" i="11"/>
  <c r="D1962" i="11" a="1"/>
  <c r="D1962" i="11"/>
  <c r="D1963" i="11" a="1"/>
  <c r="D1963" i="11"/>
  <c r="D1964" i="11" a="1"/>
  <c r="D1964" i="11"/>
  <c r="D1965" i="11" a="1"/>
  <c r="D1965" i="11"/>
  <c r="D1966" i="11" a="1"/>
  <c r="D1966" i="11"/>
  <c r="D1967" i="11" a="1"/>
  <c r="D1967" i="11"/>
  <c r="D1968" i="11" a="1"/>
  <c r="D1968" i="11"/>
  <c r="D1969" i="11" a="1"/>
  <c r="D1969" i="11"/>
  <c r="D1970" i="11" a="1"/>
  <c r="D1970" i="11"/>
  <c r="D1971" i="11" a="1"/>
  <c r="D1971" i="11"/>
  <c r="D1972" i="11" a="1"/>
  <c r="D1972" i="11"/>
  <c r="D1973" i="11" a="1"/>
  <c r="D1973" i="11"/>
  <c r="D1974" i="11" a="1"/>
  <c r="D1974" i="11"/>
  <c r="D1975" i="11" a="1"/>
  <c r="D1975" i="11"/>
  <c r="D1976" i="11" a="1"/>
  <c r="D1976" i="11"/>
  <c r="D1977" i="11" a="1"/>
  <c r="D1977" i="11"/>
  <c r="D1978" i="11" a="1"/>
  <c r="D1978" i="11"/>
  <c r="D1979" i="11" a="1"/>
  <c r="D1979" i="11"/>
  <c r="D1980" i="11" a="1"/>
  <c r="D1980" i="11"/>
  <c r="D1981" i="11" a="1"/>
  <c r="D1981" i="11"/>
  <c r="D1982" i="11" a="1"/>
  <c r="D1982" i="11"/>
  <c r="D1983" i="11" a="1"/>
  <c r="D1983" i="11"/>
  <c r="D1984" i="11" a="1"/>
  <c r="D1984" i="11"/>
  <c r="D1985" i="11" a="1"/>
  <c r="D1985" i="11"/>
  <c r="D1986" i="11" a="1"/>
  <c r="D1986" i="11"/>
  <c r="D1987" i="11" a="1"/>
  <c r="D1987" i="11"/>
  <c r="D1988" i="11" a="1"/>
  <c r="D1988" i="11"/>
  <c r="D1989" i="11" a="1"/>
  <c r="D1989" i="11"/>
  <c r="D1990" i="11" a="1"/>
  <c r="D1990" i="11"/>
  <c r="D1991" i="11" a="1"/>
  <c r="D1991" i="11"/>
  <c r="D1992" i="11" a="1"/>
  <c r="D1992" i="11"/>
  <c r="D1993" i="11" a="1"/>
  <c r="D1993" i="11"/>
  <c r="D1994" i="11" a="1"/>
  <c r="D1994" i="11"/>
  <c r="D1995" i="11" a="1"/>
  <c r="D1995" i="11"/>
  <c r="D1996" i="11" a="1"/>
  <c r="D1996" i="11"/>
  <c r="D1997" i="11" a="1"/>
  <c r="D1997" i="11"/>
  <c r="D1998" i="11" a="1"/>
  <c r="D1998" i="11"/>
  <c r="D1999" i="11" a="1"/>
  <c r="D1999" i="11"/>
  <c r="D2000" i="11" a="1"/>
  <c r="D2000" i="11"/>
  <c r="D2001" i="11" a="1"/>
  <c r="D2001" i="11"/>
  <c r="D2002" i="11" a="1"/>
  <c r="D2002" i="11"/>
  <c r="D2003" i="11" a="1"/>
  <c r="D2003" i="11"/>
  <c r="D2004" i="11" a="1"/>
  <c r="D2004" i="11"/>
  <c r="D2005" i="11" a="1"/>
  <c r="D2005" i="11"/>
  <c r="D2006" i="11" a="1"/>
  <c r="D2006" i="11"/>
  <c r="D2007" i="11" a="1"/>
  <c r="D2007" i="11"/>
  <c r="D2008" i="11" a="1"/>
  <c r="D2008" i="11"/>
  <c r="D2009" i="11" a="1"/>
  <c r="D2009" i="11"/>
  <c r="D2010" i="11" a="1"/>
  <c r="D2010" i="11"/>
  <c r="D2011" i="11" a="1"/>
  <c r="D2011" i="11"/>
  <c r="D2012" i="11" a="1"/>
  <c r="D2012" i="11"/>
  <c r="D2013" i="11" a="1"/>
  <c r="D2013" i="11"/>
  <c r="D2014" i="11" a="1"/>
  <c r="D2014" i="11"/>
  <c r="D2015" i="11" a="1"/>
  <c r="D2015" i="11"/>
  <c r="D2016" i="11" a="1"/>
  <c r="D2016" i="11"/>
  <c r="D2017" i="11" a="1"/>
  <c r="D2017" i="11"/>
  <c r="D2018" i="11" a="1"/>
  <c r="D2018" i="11"/>
  <c r="D2019" i="11" a="1"/>
  <c r="D2019" i="11"/>
  <c r="D2020" i="11" a="1"/>
  <c r="D2020" i="11"/>
  <c r="D2021" i="11" a="1"/>
  <c r="D2021" i="11"/>
  <c r="D2022" i="11" a="1"/>
  <c r="D2022" i="11"/>
  <c r="D2023" i="11" a="1"/>
  <c r="D2023" i="11"/>
  <c r="D2024" i="11" a="1"/>
  <c r="D2024" i="11"/>
  <c r="D2025" i="11" a="1"/>
  <c r="D2025" i="11"/>
  <c r="D2026" i="11" a="1"/>
  <c r="D2026" i="11"/>
  <c r="D2027" i="11" a="1"/>
  <c r="D2027" i="11"/>
  <c r="D2028" i="11" a="1"/>
  <c r="D2028" i="11"/>
  <c r="D2029" i="11" a="1"/>
  <c r="D2029" i="11"/>
  <c r="D2030" i="11" a="1"/>
  <c r="D2030" i="11"/>
  <c r="D2031" i="11" a="1"/>
  <c r="D2031" i="11"/>
  <c r="D2032" i="11" a="1"/>
  <c r="D2032" i="11"/>
  <c r="D2033" i="11" a="1"/>
  <c r="D2033" i="11"/>
  <c r="D2034" i="11" a="1"/>
  <c r="D2034" i="11"/>
  <c r="D2035" i="11" a="1"/>
  <c r="D2035" i="11"/>
  <c r="D2036" i="11" a="1"/>
  <c r="D2036" i="11"/>
  <c r="D2037" i="11" a="1"/>
  <c r="D2037" i="11"/>
  <c r="D2038" i="11" a="1"/>
  <c r="D2038" i="11"/>
  <c r="D2039" i="11" a="1"/>
  <c r="D2039" i="11"/>
  <c r="D2040" i="11" a="1"/>
  <c r="D2040" i="11"/>
  <c r="D2041" i="11" a="1"/>
  <c r="D2041" i="11"/>
  <c r="D2042" i="11" a="1"/>
  <c r="D2042" i="11"/>
  <c r="D2043" i="11" a="1"/>
  <c r="D2043" i="11"/>
  <c r="D2044" i="11" a="1"/>
  <c r="D2044" i="11"/>
  <c r="D2045" i="11" a="1"/>
  <c r="D2045" i="11"/>
  <c r="D2046" i="11" a="1"/>
  <c r="D2046" i="11"/>
  <c r="D2047" i="11" a="1"/>
  <c r="D2047" i="11"/>
  <c r="D2048" i="11" a="1"/>
  <c r="D2048" i="11"/>
  <c r="D2049" i="11" a="1"/>
  <c r="D2049" i="11"/>
  <c r="D2050" i="11" a="1"/>
  <c r="D2050" i="11"/>
  <c r="D2051" i="11" a="1"/>
  <c r="D2051" i="11"/>
  <c r="D2052" i="11" a="1"/>
  <c r="D2052" i="11"/>
  <c r="D2053" i="11" a="1"/>
  <c r="D2053" i="11"/>
  <c r="D2054" i="11" a="1"/>
  <c r="D2054" i="11"/>
  <c r="D2055" i="11" a="1"/>
  <c r="D2055" i="11"/>
  <c r="D2056" i="11" a="1"/>
  <c r="D2056" i="11"/>
  <c r="D2057" i="11" a="1"/>
  <c r="D2057" i="11"/>
  <c r="D2058" i="11" a="1"/>
  <c r="D2058" i="11"/>
  <c r="D2059" i="11" a="1"/>
  <c r="D2059" i="11"/>
  <c r="D2060" i="11" a="1"/>
  <c r="D2060" i="11"/>
  <c r="D2061" i="11" a="1"/>
  <c r="D2061" i="11"/>
  <c r="D2062" i="11" a="1"/>
  <c r="D2062" i="11"/>
  <c r="D2063" i="11" a="1"/>
  <c r="D2063" i="11"/>
  <c r="D2064" i="11" a="1"/>
  <c r="D2064" i="11"/>
  <c r="D2065" i="11" a="1"/>
  <c r="D2065" i="11"/>
  <c r="D2066" i="11" a="1"/>
  <c r="D2066" i="11"/>
  <c r="D2067" i="11" a="1"/>
  <c r="D2067" i="11"/>
  <c r="D2068" i="11" a="1"/>
  <c r="D2068" i="11"/>
  <c r="D2069" i="11" a="1"/>
  <c r="D2069" i="11"/>
  <c r="D2070" i="11" a="1"/>
  <c r="D2070" i="11"/>
  <c r="D2071" i="11" a="1"/>
  <c r="D2071" i="11"/>
  <c r="D2072" i="11" a="1"/>
  <c r="D2072" i="11"/>
  <c r="D2073" i="11" a="1"/>
  <c r="D2073" i="11"/>
  <c r="D2074" i="11" a="1"/>
  <c r="D2074" i="11"/>
  <c r="D2075" i="11" a="1"/>
  <c r="D2075" i="11"/>
  <c r="D2076" i="11" a="1"/>
  <c r="D2076" i="11"/>
  <c r="D2077" i="11" a="1"/>
  <c r="D2077" i="11"/>
  <c r="D2078" i="11" a="1"/>
  <c r="D2078" i="11"/>
  <c r="D2079" i="11" a="1"/>
  <c r="D2079" i="11"/>
  <c r="D2080" i="11" a="1"/>
  <c r="D2080" i="11"/>
  <c r="D2081" i="11" a="1"/>
  <c r="D2081" i="11"/>
  <c r="D2082" i="11" a="1"/>
  <c r="D2082" i="11"/>
  <c r="D2083" i="11" a="1"/>
  <c r="D2083" i="11"/>
  <c r="D2084" i="11" a="1"/>
  <c r="D2084" i="11"/>
  <c r="D2085" i="11" a="1"/>
  <c r="D2085" i="11"/>
  <c r="D2086" i="11" a="1"/>
  <c r="D2086" i="11"/>
  <c r="D2087" i="11" a="1"/>
  <c r="D2087" i="11"/>
  <c r="D2088" i="11" a="1"/>
  <c r="D2088" i="11"/>
  <c r="D2089" i="11" a="1"/>
  <c r="D2089" i="11"/>
  <c r="D2090" i="11" a="1"/>
  <c r="D2090" i="11"/>
  <c r="D2091" i="11" a="1"/>
  <c r="D2091" i="11"/>
  <c r="D2092" i="11" a="1"/>
  <c r="D2092" i="11"/>
  <c r="D2093" i="11" a="1"/>
  <c r="D2093" i="11"/>
  <c r="D2094" i="11" a="1"/>
  <c r="D2094" i="11"/>
  <c r="D2095" i="11" a="1"/>
  <c r="D2095" i="11"/>
  <c r="D2096" i="11" a="1"/>
  <c r="D2096" i="11"/>
  <c r="D2097" i="11" a="1"/>
  <c r="D2097" i="11"/>
  <c r="D2098" i="11" a="1"/>
  <c r="D2098" i="11"/>
  <c r="D2099" i="11" a="1"/>
  <c r="D2099" i="11"/>
  <c r="D2100" i="11" a="1"/>
  <c r="D2100" i="11"/>
  <c r="D2101" i="11" a="1"/>
  <c r="D2101" i="11"/>
  <c r="D2102" i="11" a="1"/>
  <c r="D2102" i="11"/>
  <c r="D2103" i="11" a="1"/>
  <c r="D2103" i="11"/>
  <c r="D2104" i="11" a="1"/>
  <c r="D2104" i="11"/>
  <c r="D2105" i="11" a="1"/>
  <c r="D2105" i="11"/>
  <c r="D2106" i="11" a="1"/>
  <c r="D2106" i="11"/>
  <c r="D2107" i="11" a="1"/>
  <c r="D2107" i="11"/>
  <c r="D2108" i="11" a="1"/>
  <c r="D2108" i="11"/>
  <c r="D2109" i="11" a="1"/>
  <c r="D2109" i="11"/>
  <c r="D2110" i="11" a="1"/>
  <c r="D2110" i="11"/>
  <c r="D2111" i="11" a="1"/>
  <c r="D2111" i="11"/>
  <c r="D2112" i="11" a="1"/>
  <c r="D2112" i="11"/>
  <c r="D2113" i="11" a="1"/>
  <c r="D2113" i="11"/>
  <c r="D2114" i="11" a="1"/>
  <c r="D2114" i="11"/>
  <c r="D2115" i="11" a="1"/>
  <c r="D2115" i="11"/>
  <c r="D2116" i="11" a="1"/>
  <c r="D2116" i="11"/>
  <c r="D2117" i="11" a="1"/>
  <c r="D2117" i="11"/>
  <c r="D2118" i="11" a="1"/>
  <c r="D2118" i="11"/>
  <c r="D2119" i="11" a="1"/>
  <c r="D2119" i="11"/>
  <c r="D2120" i="11" a="1"/>
  <c r="D2120" i="11"/>
  <c r="D2121" i="11" a="1"/>
  <c r="D2121" i="11"/>
  <c r="D2122" i="11" a="1"/>
  <c r="D2122" i="11"/>
  <c r="D2123" i="11" a="1"/>
  <c r="D2123" i="11"/>
  <c r="D2124" i="11" a="1"/>
  <c r="D2124" i="11"/>
  <c r="D2125" i="11" a="1"/>
  <c r="D2125" i="11"/>
  <c r="D2126" i="11" a="1"/>
  <c r="D2126" i="11"/>
  <c r="D2127" i="11" a="1"/>
  <c r="D2127" i="11"/>
  <c r="D2128" i="11" a="1"/>
  <c r="D2128" i="11"/>
  <c r="D2129" i="11" a="1"/>
  <c r="D2129" i="11"/>
  <c r="D2130" i="11" a="1"/>
  <c r="D2130" i="11"/>
  <c r="D2131" i="11" a="1"/>
  <c r="D2131" i="11"/>
  <c r="D2132" i="11" a="1"/>
  <c r="D2132" i="11"/>
  <c r="D2133" i="11" a="1"/>
  <c r="D2133" i="11"/>
  <c r="D2134" i="11" a="1"/>
  <c r="D2134" i="11"/>
  <c r="D2135" i="11" a="1"/>
  <c r="D2135" i="11"/>
  <c r="D2136" i="11" a="1"/>
  <c r="D2136" i="11"/>
  <c r="D2137" i="11" a="1"/>
  <c r="D2137" i="11"/>
  <c r="D2138" i="11" a="1"/>
  <c r="D2138" i="11"/>
  <c r="D2139" i="11" a="1"/>
  <c r="D2139" i="11"/>
  <c r="D2140" i="11" a="1"/>
  <c r="D2140" i="11"/>
  <c r="D2141" i="11" a="1"/>
  <c r="D2141" i="11"/>
  <c r="D2142" i="11" a="1"/>
  <c r="D2142" i="11"/>
  <c r="D2143" i="11" a="1"/>
  <c r="D2143" i="11"/>
  <c r="D2144" i="11" a="1"/>
  <c r="D2144" i="11"/>
  <c r="D2145" i="11" a="1"/>
  <c r="D2145" i="11"/>
  <c r="D2146" i="11" a="1"/>
  <c r="D2146" i="11"/>
  <c r="D2147" i="11" a="1"/>
  <c r="D2147" i="11"/>
  <c r="D2148" i="11" a="1"/>
  <c r="D2148" i="11"/>
  <c r="D2149" i="11" a="1"/>
  <c r="D2149" i="11"/>
  <c r="D2150" i="11" a="1"/>
  <c r="D2150" i="11"/>
  <c r="D2151" i="11" a="1"/>
  <c r="D2151" i="11"/>
  <c r="D2152" i="11" a="1"/>
  <c r="D2152" i="11"/>
  <c r="D2153" i="11" a="1"/>
  <c r="D2153" i="11"/>
  <c r="D2154" i="11" a="1"/>
  <c r="D2154" i="11"/>
  <c r="D2155" i="11" a="1"/>
  <c r="D2155" i="11"/>
  <c r="D2156" i="11" a="1"/>
  <c r="D2156" i="11"/>
  <c r="D2157" i="11" a="1"/>
  <c r="D2157" i="11"/>
  <c r="D2158" i="11" a="1"/>
  <c r="D2158" i="11"/>
  <c r="D2159" i="11" a="1"/>
  <c r="D2159" i="11"/>
  <c r="D2160" i="11" a="1"/>
  <c r="D2160" i="11"/>
  <c r="D2161" i="11" a="1"/>
  <c r="D2161" i="11"/>
  <c r="D2162" i="11" a="1"/>
  <c r="D2162" i="11"/>
  <c r="D2163" i="11" a="1"/>
  <c r="D2163" i="11"/>
  <c r="D2164" i="11" a="1"/>
  <c r="D2164" i="11"/>
  <c r="D2165" i="11" a="1"/>
  <c r="D2165" i="11"/>
  <c r="D2166" i="11" a="1"/>
  <c r="D2166" i="11"/>
  <c r="D2167" i="11" a="1"/>
  <c r="D2167" i="11"/>
  <c r="D2168" i="11" a="1"/>
  <c r="D2168" i="11"/>
  <c r="D2169" i="11" a="1"/>
  <c r="D2169" i="11"/>
  <c r="D2170" i="11" a="1"/>
  <c r="D2170" i="11"/>
  <c r="D2171" i="11" a="1"/>
  <c r="D2171" i="11"/>
  <c r="D2172" i="11" a="1"/>
  <c r="D2172" i="11"/>
  <c r="D2173" i="11" a="1"/>
  <c r="D2173" i="11"/>
  <c r="D2174" i="11" a="1"/>
  <c r="D2174" i="11"/>
  <c r="D2175" i="11" a="1"/>
  <c r="D2175" i="11"/>
  <c r="D2176" i="11" a="1"/>
  <c r="D2176" i="11"/>
  <c r="D2177" i="11" a="1"/>
  <c r="D2177" i="11"/>
  <c r="D2178" i="11" a="1"/>
  <c r="D2178" i="11"/>
  <c r="D2179" i="11" a="1"/>
  <c r="D2179" i="11"/>
  <c r="D2180" i="11" a="1"/>
  <c r="D2180" i="11"/>
  <c r="D2181" i="11" a="1"/>
  <c r="D2181" i="11"/>
  <c r="D2182" i="11" a="1"/>
  <c r="D2182" i="11"/>
  <c r="D2183" i="11" a="1"/>
  <c r="D2183" i="11"/>
  <c r="D2184" i="11" a="1"/>
  <c r="D2184" i="11"/>
  <c r="D2185" i="11" a="1"/>
  <c r="D2185" i="11"/>
  <c r="D2186" i="11" a="1"/>
  <c r="D2186" i="11"/>
  <c r="D2187" i="11" a="1"/>
  <c r="D2187" i="11"/>
  <c r="D2188" i="11" a="1"/>
  <c r="D2188" i="11"/>
  <c r="D2189" i="11" a="1"/>
  <c r="D2189" i="11"/>
  <c r="D2190" i="11" a="1"/>
  <c r="D2190" i="11"/>
  <c r="D2191" i="11" a="1"/>
  <c r="D2191" i="11"/>
  <c r="D2192" i="11" a="1"/>
  <c r="D2192" i="11"/>
  <c r="D2193" i="11" a="1"/>
  <c r="D2193" i="11"/>
  <c r="D2194" i="11" a="1"/>
  <c r="D2194" i="11"/>
  <c r="D2195" i="11" a="1"/>
  <c r="D2195" i="11"/>
  <c r="D2196" i="11" a="1"/>
  <c r="D2196" i="11"/>
  <c r="D2197" i="11" a="1"/>
  <c r="D2197" i="11"/>
  <c r="D2198" i="11" a="1"/>
  <c r="D2198" i="11"/>
  <c r="D2199" i="11" a="1"/>
  <c r="D2199" i="11"/>
  <c r="D2200" i="11" a="1"/>
  <c r="D2200" i="11"/>
  <c r="D2201" i="11" a="1"/>
  <c r="D2201" i="11"/>
  <c r="D2202" i="11" a="1"/>
  <c r="D2202" i="11"/>
  <c r="D2203" i="11" a="1"/>
  <c r="D2203" i="11"/>
  <c r="D2204" i="11" a="1"/>
  <c r="D2204" i="11"/>
  <c r="D2205" i="11" a="1"/>
  <c r="D2205" i="11"/>
  <c r="D2206" i="11" a="1"/>
  <c r="D2206" i="11"/>
  <c r="D2207" i="11" a="1"/>
  <c r="D2207" i="11"/>
  <c r="D2208" i="11" a="1"/>
  <c r="D2208" i="11"/>
  <c r="D2209" i="11" a="1"/>
  <c r="D2209" i="11"/>
  <c r="D2210" i="11" a="1"/>
  <c r="D2210" i="11"/>
  <c r="D2211" i="11" a="1"/>
  <c r="D2211" i="11"/>
  <c r="D2212" i="11" a="1"/>
  <c r="D2212" i="11"/>
  <c r="D2213" i="11" a="1"/>
  <c r="D2213" i="11"/>
  <c r="D2214" i="11" a="1"/>
  <c r="D2214" i="11"/>
  <c r="D2215" i="11" a="1"/>
  <c r="D2215" i="11"/>
  <c r="D2216" i="11" a="1"/>
  <c r="D2216" i="11"/>
  <c r="D2217" i="11" a="1"/>
  <c r="D2217" i="11"/>
  <c r="D2218" i="11" a="1"/>
  <c r="D2218" i="11"/>
  <c r="D2219" i="11" a="1"/>
  <c r="D2219" i="11"/>
  <c r="D2220" i="11" a="1"/>
  <c r="D2220" i="11"/>
  <c r="D2221" i="11" a="1"/>
  <c r="D2221" i="11"/>
  <c r="D2222" i="11" a="1"/>
  <c r="D2222" i="11"/>
  <c r="D2223" i="11" a="1"/>
  <c r="D2223" i="11"/>
  <c r="D2224" i="11" a="1"/>
  <c r="D2224" i="11"/>
  <c r="D2225" i="11" a="1"/>
  <c r="D2225" i="11"/>
  <c r="D2226" i="11" a="1"/>
  <c r="D2226" i="11"/>
  <c r="D2227" i="11" a="1"/>
  <c r="D2227" i="11"/>
  <c r="D2228" i="11" a="1"/>
  <c r="D2228" i="11"/>
  <c r="D2229" i="11" a="1"/>
  <c r="D2229" i="11"/>
  <c r="D2230" i="11" a="1"/>
  <c r="D2230" i="11"/>
  <c r="D2231" i="11" a="1"/>
  <c r="D2231" i="11"/>
  <c r="D2232" i="11" a="1"/>
  <c r="D2232" i="11"/>
  <c r="D2233" i="11" a="1"/>
  <c r="D2233" i="11"/>
  <c r="D2234" i="11" a="1"/>
  <c r="D2234" i="11"/>
  <c r="D2235" i="11" a="1"/>
  <c r="D2235" i="11"/>
  <c r="D2236" i="11" a="1"/>
  <c r="D2236" i="11"/>
  <c r="D2237" i="11" a="1"/>
  <c r="D2237" i="11"/>
  <c r="D2238" i="11" a="1"/>
  <c r="D2238" i="11"/>
  <c r="D2239" i="11" a="1"/>
  <c r="D2239" i="11"/>
  <c r="D2240" i="11" a="1"/>
  <c r="D2240" i="11"/>
  <c r="D2241" i="11" a="1"/>
  <c r="D2241" i="11"/>
  <c r="D2242" i="11" a="1"/>
  <c r="D2242" i="11"/>
  <c r="D2243" i="11" a="1"/>
  <c r="D2243" i="11"/>
  <c r="D2244" i="11" a="1"/>
  <c r="D2244" i="11"/>
  <c r="D2245" i="11" a="1"/>
  <c r="D2245" i="11"/>
  <c r="D2246" i="11" a="1"/>
  <c r="D2246" i="11"/>
  <c r="D2247" i="11" a="1"/>
  <c r="D2247" i="11"/>
  <c r="D2248" i="11" a="1"/>
  <c r="D2248" i="11"/>
  <c r="D2249" i="11" a="1"/>
  <c r="D2249" i="11"/>
  <c r="D2250" i="11" a="1"/>
  <c r="D2250" i="11"/>
  <c r="D2251" i="11" a="1"/>
  <c r="D2251" i="11"/>
  <c r="D2252" i="11" a="1"/>
  <c r="D2252" i="11"/>
  <c r="D2253" i="11" a="1"/>
  <c r="D2253" i="11"/>
  <c r="D2254" i="11" a="1"/>
  <c r="D2254" i="11"/>
  <c r="D2255" i="11" a="1"/>
  <c r="D2255" i="11"/>
  <c r="D2256" i="11" a="1"/>
  <c r="D2256" i="11"/>
  <c r="D2257" i="11" a="1"/>
  <c r="D2257" i="11"/>
  <c r="D2258" i="11" a="1"/>
  <c r="D2258" i="11"/>
  <c r="D2259" i="11" a="1"/>
  <c r="D2259" i="11"/>
  <c r="D2260" i="11" a="1"/>
  <c r="D2260" i="11"/>
  <c r="D2261" i="11" a="1"/>
  <c r="D2261" i="11"/>
  <c r="D2262" i="11" a="1"/>
  <c r="D2262" i="11"/>
  <c r="D2263" i="11" a="1"/>
  <c r="D2263" i="11"/>
  <c r="D2264" i="11" a="1"/>
  <c r="D2264" i="11"/>
  <c r="D2265" i="11" a="1"/>
  <c r="D2265" i="11"/>
  <c r="D2266" i="11" a="1"/>
  <c r="D2266" i="11"/>
  <c r="D2267" i="11" a="1"/>
  <c r="D2267" i="11"/>
  <c r="D2268" i="11" a="1"/>
  <c r="D2268" i="11"/>
  <c r="D2269" i="11" a="1"/>
  <c r="D2269" i="11"/>
  <c r="D2270" i="11" a="1"/>
  <c r="D2270" i="11"/>
  <c r="D2271" i="11" a="1"/>
  <c r="D2271" i="11"/>
  <c r="D2272" i="11" a="1"/>
  <c r="D2272" i="11"/>
  <c r="D2273" i="11" a="1"/>
  <c r="D2273" i="11"/>
  <c r="D2274" i="11" a="1"/>
  <c r="D2274" i="11"/>
  <c r="D2275" i="11" a="1"/>
  <c r="D2275" i="11"/>
  <c r="D2276" i="11" a="1"/>
  <c r="D2276" i="11"/>
  <c r="D2277" i="11" a="1"/>
  <c r="D2277" i="11"/>
  <c r="D2278" i="11" a="1"/>
  <c r="D2278" i="11"/>
  <c r="D2279" i="11" a="1"/>
  <c r="D2279" i="11"/>
  <c r="D2280" i="11" a="1"/>
  <c r="D2280" i="11"/>
  <c r="D2281" i="11" a="1"/>
  <c r="D2281" i="11"/>
  <c r="D2282" i="11" a="1"/>
  <c r="D2282" i="11"/>
  <c r="D2283" i="11" a="1"/>
  <c r="D2283" i="11"/>
  <c r="D2284" i="11" a="1"/>
  <c r="D2284" i="11"/>
  <c r="D2285" i="11" a="1"/>
  <c r="D2285" i="11"/>
  <c r="D2286" i="11" a="1"/>
  <c r="D2286" i="11"/>
  <c r="D2287" i="11" a="1"/>
  <c r="D2287" i="11"/>
  <c r="D2288" i="11" a="1"/>
  <c r="D2288" i="11"/>
  <c r="D2289" i="11" a="1"/>
  <c r="D2289" i="11"/>
  <c r="D2290" i="11" a="1"/>
  <c r="D2290" i="11"/>
  <c r="D2291" i="11" a="1"/>
  <c r="D2291" i="11"/>
  <c r="D2292" i="11" a="1"/>
  <c r="D2292" i="11"/>
  <c r="D2293" i="11" a="1"/>
  <c r="D2293" i="11"/>
  <c r="D2294" i="11" a="1"/>
  <c r="D2294" i="11"/>
  <c r="D2295" i="11" a="1"/>
  <c r="D2295" i="11"/>
  <c r="D2296" i="11" a="1"/>
  <c r="D2296" i="11"/>
  <c r="D2297" i="11" a="1"/>
  <c r="D2297" i="11"/>
  <c r="D2298" i="11" a="1"/>
  <c r="D2298" i="11"/>
  <c r="D2299" i="11" a="1"/>
  <c r="D2299" i="11"/>
  <c r="D2300" i="11" a="1"/>
  <c r="D2300" i="11"/>
  <c r="D2301" i="11" a="1"/>
  <c r="D2301" i="11"/>
  <c r="D2302" i="11" a="1"/>
  <c r="D2302" i="11"/>
  <c r="D2303" i="11" a="1"/>
  <c r="D2303" i="11"/>
  <c r="D2304" i="11" a="1"/>
  <c r="D2304" i="11"/>
  <c r="D2305" i="11" a="1"/>
  <c r="D2305" i="11"/>
  <c r="D2306" i="11" a="1"/>
  <c r="D2306" i="11"/>
  <c r="D2307" i="11" a="1"/>
  <c r="D2307" i="11"/>
  <c r="D2308" i="11" a="1"/>
  <c r="D2308" i="11"/>
  <c r="D2309" i="11" a="1"/>
  <c r="D2309" i="11"/>
  <c r="D2310" i="11" a="1"/>
  <c r="D2310" i="11"/>
  <c r="D2311" i="11" a="1"/>
  <c r="D2311" i="11"/>
  <c r="D2312" i="11" a="1"/>
  <c r="D2312" i="11"/>
  <c r="D2313" i="11" a="1"/>
  <c r="D2313" i="11"/>
  <c r="D2314" i="11" a="1"/>
  <c r="D2314" i="11"/>
  <c r="D2315" i="11" a="1"/>
  <c r="D2315" i="11"/>
  <c r="D2316" i="11" a="1"/>
  <c r="D2316" i="11"/>
  <c r="D2317" i="11" a="1"/>
  <c r="D2317" i="11"/>
  <c r="D2318" i="11" a="1"/>
  <c r="D2318" i="11"/>
  <c r="D2319" i="11" a="1"/>
  <c r="D2319" i="11"/>
  <c r="D2320" i="11" a="1"/>
  <c r="D2320" i="11"/>
  <c r="D2321" i="11" a="1"/>
  <c r="D2321" i="11"/>
  <c r="D2322" i="11" a="1"/>
  <c r="D2322" i="11"/>
  <c r="D2323" i="11" a="1"/>
  <c r="D2323" i="11"/>
  <c r="D2324" i="11" a="1"/>
  <c r="D2324" i="11"/>
  <c r="D2325" i="11" a="1"/>
  <c r="D2325" i="11"/>
  <c r="D2326" i="11" a="1"/>
  <c r="D2326" i="11"/>
  <c r="D2327" i="11" a="1"/>
  <c r="D2327" i="11"/>
  <c r="D2328" i="11" a="1"/>
  <c r="D2328" i="11"/>
  <c r="D2329" i="11" a="1"/>
  <c r="D2329" i="11"/>
  <c r="D2330" i="11" a="1"/>
  <c r="D2330" i="11"/>
  <c r="D2331" i="11" a="1"/>
  <c r="D2331" i="11"/>
  <c r="D2332" i="11" a="1"/>
  <c r="D2332" i="11"/>
  <c r="D2333" i="11" a="1"/>
  <c r="D2333" i="11"/>
  <c r="D2334" i="11" a="1"/>
  <c r="D2334" i="11"/>
  <c r="D2335" i="11" a="1"/>
  <c r="D2335" i="11"/>
  <c r="D2336" i="11" a="1"/>
  <c r="D2336" i="11"/>
  <c r="D2337" i="11" a="1"/>
  <c r="D2337" i="11"/>
  <c r="D2338" i="11" a="1"/>
  <c r="D2338" i="11"/>
  <c r="D2339" i="11" a="1"/>
  <c r="D2339" i="11"/>
  <c r="D2340" i="11" a="1"/>
  <c r="D2340" i="11"/>
  <c r="D2341" i="11" a="1"/>
  <c r="D2341" i="11"/>
  <c r="D2342" i="11" a="1"/>
  <c r="D2342" i="11"/>
  <c r="D2343" i="11" a="1"/>
  <c r="D2343" i="11"/>
  <c r="D2344" i="11" a="1"/>
  <c r="D2344" i="11"/>
  <c r="D2345" i="11" a="1"/>
  <c r="D2345" i="11"/>
  <c r="D2346" i="11" a="1"/>
  <c r="D2346" i="11"/>
  <c r="D2347" i="11" a="1"/>
  <c r="D2347" i="11"/>
  <c r="D2348" i="11" a="1"/>
  <c r="D2348" i="11"/>
  <c r="D2349" i="11" a="1"/>
  <c r="D2349" i="11"/>
  <c r="D2350" i="11" a="1"/>
  <c r="D2350" i="11"/>
  <c r="D2351" i="11" a="1"/>
  <c r="D2351" i="11"/>
  <c r="D2352" i="11" a="1"/>
  <c r="D2352" i="11"/>
  <c r="D2353" i="11" a="1"/>
  <c r="D2353" i="11"/>
  <c r="D2354" i="11" a="1"/>
  <c r="D2354" i="11"/>
  <c r="D2355" i="11" a="1"/>
  <c r="D2355" i="11"/>
  <c r="D2356" i="11" a="1"/>
  <c r="D2356" i="11"/>
  <c r="D2357" i="11" a="1"/>
  <c r="D2357" i="11"/>
  <c r="D2358" i="11" a="1"/>
  <c r="D2358" i="11"/>
  <c r="D2359" i="11" a="1"/>
  <c r="D2359" i="11"/>
  <c r="D2360" i="11" a="1"/>
  <c r="D2360" i="11"/>
  <c r="D2361" i="11" a="1"/>
  <c r="D2361" i="11"/>
  <c r="D2362" i="11" a="1"/>
  <c r="D2362" i="11"/>
  <c r="D2363" i="11" a="1"/>
  <c r="D2363" i="11"/>
  <c r="D2364" i="11" a="1"/>
  <c r="D2364" i="11"/>
  <c r="D2365" i="11" a="1"/>
  <c r="D2365" i="11"/>
  <c r="D2366" i="11" a="1"/>
  <c r="D2366" i="11"/>
  <c r="D2367" i="11" a="1"/>
  <c r="D2367" i="11"/>
  <c r="D2368" i="11" a="1"/>
  <c r="D2368" i="11"/>
  <c r="D2369" i="11" a="1"/>
  <c r="D2369" i="11"/>
  <c r="D2370" i="11" a="1"/>
  <c r="D2370" i="11"/>
  <c r="D2371" i="11" a="1"/>
  <c r="D2371" i="11"/>
  <c r="D2372" i="11" a="1"/>
  <c r="D2372" i="11"/>
  <c r="D2373" i="11" a="1"/>
  <c r="D2373" i="11"/>
  <c r="D2374" i="11" a="1"/>
  <c r="D2374" i="11"/>
  <c r="D2375" i="11" a="1"/>
  <c r="D2375" i="11"/>
  <c r="D2376" i="11" a="1"/>
  <c r="D2376" i="11"/>
  <c r="D2377" i="11" a="1"/>
  <c r="D2377" i="11"/>
  <c r="D2378" i="11" a="1"/>
  <c r="D2378" i="11"/>
  <c r="D2379" i="11" a="1"/>
  <c r="D2379" i="11"/>
  <c r="D2380" i="11" a="1"/>
  <c r="D2380" i="11"/>
  <c r="D2381" i="11" a="1"/>
  <c r="D2381" i="11"/>
  <c r="D2382" i="11" a="1"/>
  <c r="D2382" i="11"/>
  <c r="D2383" i="11" a="1"/>
  <c r="D2383" i="11"/>
  <c r="D2384" i="11" a="1"/>
  <c r="D2384" i="11"/>
  <c r="D2385" i="11" a="1"/>
  <c r="D2385" i="11"/>
  <c r="D2386" i="11" a="1"/>
  <c r="D2386" i="11"/>
  <c r="D2387" i="11" a="1"/>
  <c r="D2387" i="11"/>
  <c r="D2388" i="11" a="1"/>
  <c r="D2388" i="11"/>
  <c r="D2389" i="11" a="1"/>
  <c r="D2389" i="11"/>
  <c r="D2390" i="11" a="1"/>
  <c r="D2390" i="11"/>
  <c r="D2391" i="11" a="1"/>
  <c r="D2391" i="11"/>
  <c r="D2392" i="11" a="1"/>
  <c r="D2392" i="11"/>
  <c r="D2393" i="11" a="1"/>
  <c r="D2393" i="11"/>
  <c r="D2394" i="11" a="1"/>
  <c r="D2394" i="11"/>
  <c r="D2395" i="11" a="1"/>
  <c r="D2395" i="11"/>
  <c r="D2396" i="11" a="1"/>
  <c r="D2396" i="11"/>
  <c r="D2397" i="11" a="1"/>
  <c r="D2397" i="11"/>
  <c r="D2398" i="11" a="1"/>
  <c r="D2398" i="11"/>
  <c r="D2399" i="11" a="1"/>
  <c r="D2399" i="11"/>
  <c r="D2400" i="11" a="1"/>
  <c r="D2400" i="11"/>
  <c r="D2401" i="11" a="1"/>
  <c r="D2401" i="11"/>
  <c r="D2402" i="11" a="1"/>
  <c r="D2402" i="11"/>
  <c r="D2403" i="11" a="1"/>
  <c r="D2403" i="11"/>
  <c r="D2404" i="11" a="1"/>
  <c r="D2404" i="11"/>
  <c r="D2405" i="11" a="1"/>
  <c r="D2405" i="11"/>
  <c r="D2406" i="11" a="1"/>
  <c r="D2406" i="11"/>
  <c r="D2407" i="11" a="1"/>
  <c r="D2407" i="11"/>
  <c r="D2408" i="11" a="1"/>
  <c r="D2408" i="11"/>
  <c r="D2409" i="11" a="1"/>
  <c r="D2409" i="11"/>
  <c r="D2410" i="11" a="1"/>
  <c r="D2410" i="11"/>
  <c r="D2411" i="11" a="1"/>
  <c r="D2411" i="11"/>
  <c r="D2412" i="11" a="1"/>
  <c r="D2412" i="11"/>
  <c r="D2413" i="11" a="1"/>
  <c r="D2413" i="11"/>
  <c r="D2414" i="11" a="1"/>
  <c r="D2414" i="11"/>
  <c r="D2415" i="11" a="1"/>
  <c r="D2415" i="11"/>
  <c r="D2416" i="11" a="1"/>
  <c r="D2416" i="11"/>
  <c r="D2417" i="11" a="1"/>
  <c r="D2417" i="11"/>
  <c r="D2418" i="11" a="1"/>
  <c r="D2418" i="11"/>
  <c r="D2419" i="11" a="1"/>
  <c r="D2419" i="11"/>
  <c r="D2420" i="11" a="1"/>
  <c r="D2420" i="11"/>
  <c r="D2421" i="11" a="1"/>
  <c r="D2421" i="11"/>
  <c r="D2422" i="11" a="1"/>
  <c r="D2422" i="11"/>
  <c r="D2423" i="11" a="1"/>
  <c r="D2423" i="11"/>
  <c r="D2424" i="11" a="1"/>
  <c r="D2424" i="11"/>
  <c r="D2425" i="11" a="1"/>
  <c r="D2425" i="11"/>
  <c r="D2426" i="11" a="1"/>
  <c r="D2426" i="11"/>
  <c r="D2427" i="11" a="1"/>
  <c r="D2427" i="11"/>
  <c r="D2428" i="11" a="1"/>
  <c r="D2428" i="11"/>
  <c r="D2429" i="11" a="1"/>
  <c r="D2429" i="11"/>
  <c r="D2430" i="11" a="1"/>
  <c r="D2430" i="11"/>
  <c r="D2431" i="11" a="1"/>
  <c r="D2431" i="11"/>
  <c r="D2432" i="11" a="1"/>
  <c r="D2432" i="11"/>
  <c r="D2433" i="11" a="1"/>
  <c r="D2433" i="11"/>
  <c r="D2434" i="11" a="1"/>
  <c r="D2434" i="11"/>
  <c r="D2435" i="11" a="1"/>
  <c r="D2435" i="11"/>
  <c r="D2436" i="11" a="1"/>
  <c r="D2436" i="11"/>
  <c r="D2437" i="11" a="1"/>
  <c r="D2437" i="11"/>
  <c r="D2438" i="11" a="1"/>
  <c r="D2438" i="11"/>
  <c r="D2439" i="11" a="1"/>
  <c r="D2439" i="11"/>
  <c r="D2440" i="11" a="1"/>
  <c r="D2440" i="11"/>
  <c r="D2441" i="11" a="1"/>
  <c r="D2441" i="11"/>
  <c r="D2442" i="11" a="1"/>
  <c r="D2442" i="11"/>
  <c r="D2443" i="11" a="1"/>
  <c r="D2443" i="11"/>
  <c r="D2444" i="11" a="1"/>
  <c r="D2444" i="11"/>
  <c r="D2445" i="11" a="1"/>
  <c r="D2445" i="11"/>
  <c r="D2446" i="11" a="1"/>
  <c r="D2446" i="11"/>
  <c r="D2447" i="11" a="1"/>
  <c r="D2447" i="11"/>
  <c r="D2448" i="11" a="1"/>
  <c r="D2448" i="11"/>
  <c r="D2449" i="11" a="1"/>
  <c r="D2449" i="11"/>
  <c r="D2450" i="11" a="1"/>
  <c r="D2450" i="11"/>
  <c r="D2451" i="11" a="1"/>
  <c r="D2451" i="11"/>
  <c r="D2452" i="11" a="1"/>
  <c r="D2452" i="11"/>
  <c r="D2453" i="11" a="1"/>
  <c r="D2453" i="11"/>
  <c r="D2454" i="11" a="1"/>
  <c r="D2454" i="11"/>
  <c r="D2455" i="11" a="1"/>
  <c r="D2455" i="11"/>
  <c r="D2456" i="11" a="1"/>
  <c r="D2456" i="11"/>
  <c r="D2457" i="11" a="1"/>
  <c r="D2457" i="11"/>
  <c r="D2458" i="11" a="1"/>
  <c r="D2458" i="11"/>
  <c r="D2459" i="11" a="1"/>
  <c r="D2459" i="11"/>
  <c r="D2460" i="11" a="1"/>
  <c r="D2460" i="11"/>
  <c r="D2461" i="11" a="1"/>
  <c r="D2461" i="11"/>
  <c r="D2462" i="11" a="1"/>
  <c r="D2462" i="11"/>
  <c r="D2463" i="11" a="1"/>
  <c r="D2463" i="11"/>
  <c r="D2464" i="11" a="1"/>
  <c r="D2464" i="11"/>
  <c r="D2465" i="11" a="1"/>
  <c r="D2465" i="11"/>
  <c r="D2466" i="11" a="1"/>
  <c r="D2466" i="11"/>
  <c r="D2467" i="11" a="1"/>
  <c r="D2467" i="11"/>
  <c r="D2468" i="11" a="1"/>
  <c r="D2468" i="11"/>
  <c r="D2469" i="11" a="1"/>
  <c r="D2469" i="11"/>
  <c r="D2470" i="11" a="1"/>
  <c r="D2470" i="11"/>
  <c r="D2471" i="11" a="1"/>
  <c r="D2471" i="11"/>
  <c r="D2472" i="11" a="1"/>
  <c r="D2472" i="11"/>
  <c r="D2473" i="11" a="1"/>
  <c r="D2473" i="11"/>
  <c r="D2474" i="11" a="1"/>
  <c r="D2474" i="11"/>
  <c r="D2475" i="11" a="1"/>
  <c r="D2475" i="11"/>
  <c r="D2476" i="11" a="1"/>
  <c r="D2476" i="11"/>
  <c r="D2477" i="11" a="1"/>
  <c r="D2477" i="11"/>
  <c r="D2478" i="11" a="1"/>
  <c r="D2478" i="11"/>
  <c r="D2479" i="11" a="1"/>
  <c r="D2479" i="11"/>
  <c r="D2480" i="11" a="1"/>
  <c r="D2480" i="11"/>
  <c r="D2481" i="11" a="1"/>
  <c r="D2481" i="11"/>
  <c r="D2482" i="11" a="1"/>
  <c r="D2482" i="11"/>
  <c r="D2483" i="11" a="1"/>
  <c r="D2483" i="11"/>
  <c r="D2484" i="11" a="1"/>
  <c r="D2484" i="11"/>
  <c r="D2485" i="11" a="1"/>
  <c r="D2485" i="11"/>
  <c r="D2486" i="11" a="1"/>
  <c r="D2486" i="11"/>
  <c r="D2487" i="11" a="1"/>
  <c r="D2487" i="11"/>
  <c r="D2488" i="11" a="1"/>
  <c r="D2488" i="11"/>
  <c r="D2489" i="11" a="1"/>
  <c r="D2489" i="11"/>
  <c r="D2490" i="11" a="1"/>
  <c r="D2490" i="11"/>
  <c r="D2491" i="11" a="1"/>
  <c r="D2491" i="11"/>
  <c r="D2492" i="11" a="1"/>
  <c r="D2492" i="11"/>
  <c r="D2493" i="11" a="1"/>
  <c r="D2493" i="11"/>
  <c r="D2494" i="11" a="1"/>
  <c r="D2494" i="11"/>
  <c r="D2495" i="11" a="1"/>
  <c r="D2495" i="11"/>
  <c r="D2496" i="11" a="1"/>
  <c r="D2496" i="11"/>
  <c r="D2497" i="11" a="1"/>
  <c r="D2497" i="11"/>
  <c r="D2498" i="11" a="1"/>
  <c r="D2498" i="11"/>
  <c r="D2499" i="11" a="1"/>
  <c r="D2499" i="11"/>
  <c r="D2500" i="11" a="1"/>
  <c r="D2500" i="11"/>
  <c r="D2501" i="11" a="1"/>
  <c r="D2501" i="11"/>
  <c r="D2502" i="11" a="1"/>
  <c r="D2502" i="11"/>
  <c r="D2503" i="11" a="1"/>
  <c r="D2503" i="11"/>
  <c r="D2504" i="11" a="1"/>
  <c r="D2504" i="11"/>
  <c r="D2505" i="11" a="1"/>
  <c r="D2505" i="11"/>
  <c r="D2506" i="11" a="1"/>
  <c r="D2506" i="11"/>
  <c r="D2507" i="11" a="1"/>
  <c r="D2507" i="11"/>
  <c r="D2508" i="11" a="1"/>
  <c r="D2508" i="11"/>
  <c r="D2509" i="11" a="1"/>
  <c r="D2509" i="11"/>
  <c r="D2510" i="11" a="1"/>
  <c r="D2510" i="11"/>
  <c r="D2511" i="11" a="1"/>
  <c r="D2511" i="11"/>
  <c r="D2512" i="11" a="1"/>
  <c r="D2512" i="11"/>
  <c r="D2513" i="11" a="1"/>
  <c r="D2513" i="11"/>
  <c r="D2514" i="11" a="1"/>
  <c r="D2514" i="11"/>
  <c r="D2515" i="11" a="1"/>
  <c r="D2515" i="11"/>
  <c r="D2516" i="11" a="1"/>
  <c r="D2516" i="11"/>
  <c r="D2517" i="11" a="1"/>
  <c r="D2517" i="11"/>
  <c r="D2518" i="11" a="1"/>
  <c r="D2518" i="11"/>
  <c r="D2519" i="11" a="1"/>
  <c r="D2519" i="11"/>
  <c r="D2520" i="11" a="1"/>
  <c r="D2520" i="11"/>
  <c r="D2521" i="11" a="1"/>
  <c r="D2521" i="11"/>
  <c r="D2522" i="11" a="1"/>
  <c r="D2522" i="11"/>
  <c r="D2523" i="11" a="1"/>
  <c r="D2523" i="11"/>
  <c r="D2524" i="11" a="1"/>
  <c r="D2524" i="11"/>
  <c r="D2525" i="11" a="1"/>
  <c r="D2525" i="11"/>
  <c r="D2526" i="11" a="1"/>
  <c r="D2526" i="11"/>
  <c r="D2527" i="11" a="1"/>
  <c r="D2527" i="11"/>
  <c r="D2528" i="11" a="1"/>
  <c r="D2528" i="11"/>
  <c r="D2529" i="11" a="1"/>
  <c r="D2529" i="11"/>
  <c r="D2530" i="11" a="1"/>
  <c r="D2530" i="11"/>
  <c r="D2531" i="11" a="1"/>
  <c r="D2531" i="11"/>
  <c r="D2532" i="11" a="1"/>
  <c r="D2532" i="11"/>
  <c r="D2533" i="11" a="1"/>
  <c r="D2533" i="11"/>
  <c r="D2534" i="11" a="1"/>
  <c r="D2534" i="11"/>
  <c r="D2535" i="11" a="1"/>
  <c r="D2535" i="11"/>
  <c r="D2536" i="11" a="1"/>
  <c r="D2536" i="11"/>
  <c r="D2537" i="11" a="1"/>
  <c r="D2537" i="11"/>
  <c r="D2538" i="11" a="1"/>
  <c r="D2538" i="11"/>
  <c r="D2539" i="11" a="1"/>
  <c r="D2539" i="11"/>
  <c r="D2540" i="11" a="1"/>
  <c r="D2540" i="11"/>
  <c r="D2541" i="11" a="1"/>
  <c r="D2541" i="11"/>
  <c r="D2542" i="11" a="1"/>
  <c r="D2542" i="11"/>
  <c r="D2543" i="11" a="1"/>
  <c r="D2543" i="11"/>
  <c r="D2544" i="11" a="1"/>
  <c r="D2544" i="11"/>
  <c r="D2545" i="11" a="1"/>
  <c r="D2545" i="11"/>
  <c r="D2546" i="11" a="1"/>
  <c r="D2546" i="11"/>
  <c r="D2547" i="11" a="1"/>
  <c r="D2547" i="11"/>
  <c r="D2548" i="11" a="1"/>
  <c r="D2548" i="11"/>
  <c r="D2549" i="11" a="1"/>
  <c r="D2549" i="11"/>
  <c r="D2550" i="11" a="1"/>
  <c r="D2550" i="11"/>
  <c r="D2551" i="11" a="1"/>
  <c r="D2551" i="11"/>
  <c r="D2552" i="11" a="1"/>
  <c r="D2552" i="11"/>
  <c r="D2553" i="11" a="1"/>
  <c r="D2553" i="11"/>
  <c r="D2554" i="11" a="1"/>
  <c r="D2554" i="11"/>
  <c r="D2555" i="11" a="1"/>
  <c r="D2555" i="11"/>
  <c r="D2556" i="11" a="1"/>
  <c r="D2556" i="11"/>
  <c r="D2557" i="11" a="1"/>
  <c r="D2557" i="11"/>
  <c r="D2558" i="11" a="1"/>
  <c r="D2558" i="11"/>
  <c r="D2559" i="11" a="1"/>
  <c r="D2559" i="11"/>
  <c r="D2560" i="11" a="1"/>
  <c r="D2560" i="11"/>
  <c r="D2561" i="11" a="1"/>
  <c r="D2561" i="11"/>
  <c r="D2562" i="11" a="1"/>
  <c r="D2562" i="11"/>
  <c r="D2563" i="11" a="1"/>
  <c r="D2563" i="11"/>
  <c r="D2564" i="11" a="1"/>
  <c r="D2564" i="11"/>
  <c r="D2565" i="11" a="1"/>
  <c r="D2565" i="11"/>
  <c r="D2566" i="11" a="1"/>
  <c r="D2566" i="11"/>
  <c r="D2567" i="11" a="1"/>
  <c r="D2567" i="11"/>
  <c r="D2568" i="11" a="1"/>
  <c r="D2568" i="11"/>
  <c r="D2569" i="11" a="1"/>
  <c r="D2569" i="11"/>
  <c r="D2570" i="11" a="1"/>
  <c r="D2570" i="11"/>
  <c r="D2571" i="11" a="1"/>
  <c r="D2571" i="11"/>
  <c r="D2572" i="11" a="1"/>
  <c r="D2572" i="11"/>
  <c r="D2573" i="11" a="1"/>
  <c r="D2573" i="11"/>
  <c r="D2574" i="11" a="1"/>
  <c r="D2574" i="11"/>
  <c r="D2575" i="11" a="1"/>
  <c r="D2575" i="11"/>
  <c r="C174" i="11" a="1"/>
  <c r="C174" i="11"/>
  <c r="C175" i="11" a="1"/>
  <c r="C175" i="11"/>
  <c r="C176" i="11" a="1"/>
  <c r="C176" i="11"/>
  <c r="C177" i="11" a="1"/>
  <c r="C177" i="11"/>
  <c r="C178" i="11" a="1"/>
  <c r="C178" i="11"/>
  <c r="C179" i="11" a="1"/>
  <c r="C179" i="11"/>
  <c r="C180" i="11" a="1"/>
  <c r="C180" i="11"/>
  <c r="C181" i="11" a="1"/>
  <c r="C181" i="11"/>
  <c r="C182" i="11" a="1"/>
  <c r="C182" i="11"/>
  <c r="C183" i="11" a="1"/>
  <c r="C183" i="11"/>
  <c r="C184" i="11" a="1"/>
  <c r="C184" i="11"/>
  <c r="C185" i="11" a="1"/>
  <c r="C185" i="11"/>
  <c r="C186" i="11" a="1"/>
  <c r="C186" i="11"/>
  <c r="C187" i="11" a="1"/>
  <c r="C187" i="11"/>
  <c r="C188" i="11" a="1"/>
  <c r="C188" i="11"/>
  <c r="C189" i="11" a="1"/>
  <c r="C189" i="11"/>
  <c r="C190" i="11" a="1"/>
  <c r="C190" i="11"/>
  <c r="C191" i="11" a="1"/>
  <c r="C191" i="11"/>
  <c r="C192" i="11" a="1"/>
  <c r="C192" i="11"/>
  <c r="C193" i="11" a="1"/>
  <c r="C193" i="11"/>
  <c r="C194" i="11" a="1"/>
  <c r="C194" i="11"/>
  <c r="C195" i="11" a="1"/>
  <c r="C195" i="11"/>
  <c r="C196" i="11" a="1"/>
  <c r="C196" i="11"/>
  <c r="C197" i="11" a="1"/>
  <c r="C197" i="11"/>
  <c r="C198" i="11" a="1"/>
  <c r="C198" i="11"/>
  <c r="C199" i="11" a="1"/>
  <c r="C199" i="11"/>
  <c r="C200" i="11" a="1"/>
  <c r="C200" i="11"/>
  <c r="C201" i="11" a="1"/>
  <c r="C201" i="11"/>
  <c r="C202" i="11" a="1"/>
  <c r="C202" i="11"/>
  <c r="C203" i="11" a="1"/>
  <c r="C203" i="11"/>
  <c r="C204" i="11" a="1"/>
  <c r="C204" i="11"/>
  <c r="C205" i="11" a="1"/>
  <c r="C205" i="11"/>
  <c r="C206" i="11" a="1"/>
  <c r="C206" i="11"/>
  <c r="C207" i="11" a="1"/>
  <c r="C207" i="11"/>
  <c r="C208" i="11" a="1"/>
  <c r="C208" i="11"/>
  <c r="C209" i="11" a="1"/>
  <c r="C209" i="11"/>
  <c r="C210" i="11" a="1"/>
  <c r="C210" i="11"/>
  <c r="C211" i="11" a="1"/>
  <c r="C211" i="11"/>
  <c r="C212" i="11" a="1"/>
  <c r="C212" i="11"/>
  <c r="C213" i="11" a="1"/>
  <c r="C213" i="11"/>
  <c r="C214" i="11" a="1"/>
  <c r="C214" i="11"/>
  <c r="C215" i="11" a="1"/>
  <c r="C215" i="11"/>
  <c r="C216" i="11" a="1"/>
  <c r="C216" i="11"/>
  <c r="C217" i="11" a="1"/>
  <c r="C217" i="11"/>
  <c r="C218" i="11" a="1"/>
  <c r="C218" i="11"/>
  <c r="C219" i="11" a="1"/>
  <c r="C219" i="11"/>
  <c r="C220" i="11" a="1"/>
  <c r="C220" i="11"/>
  <c r="C221" i="11" a="1"/>
  <c r="C221" i="11"/>
  <c r="C222" i="11" a="1"/>
  <c r="C222" i="11"/>
  <c r="C223" i="11" a="1"/>
  <c r="C223" i="11"/>
  <c r="C224" i="11" a="1"/>
  <c r="C224" i="11"/>
  <c r="C225" i="11" a="1"/>
  <c r="C225" i="11"/>
  <c r="C226" i="11" a="1"/>
  <c r="C226" i="11"/>
  <c r="C227" i="11" a="1"/>
  <c r="C227" i="11"/>
  <c r="C228" i="11" a="1"/>
  <c r="C228" i="11"/>
  <c r="C229" i="11" a="1"/>
  <c r="C229" i="11"/>
  <c r="C230" i="11" a="1"/>
  <c r="C230" i="11"/>
  <c r="C231" i="11" a="1"/>
  <c r="C231" i="11"/>
  <c r="C232" i="11" a="1"/>
  <c r="C232" i="11"/>
  <c r="C233" i="11" a="1"/>
  <c r="C233" i="11"/>
  <c r="C234" i="11" a="1"/>
  <c r="C234" i="11"/>
  <c r="C235" i="11" a="1"/>
  <c r="C235" i="11"/>
  <c r="C236" i="11" a="1"/>
  <c r="C236" i="11"/>
  <c r="C237" i="11" a="1"/>
  <c r="C237" i="11"/>
  <c r="C238" i="11" a="1"/>
  <c r="C238" i="11"/>
  <c r="C239" i="11" a="1"/>
  <c r="C239" i="11"/>
  <c r="C240" i="11" a="1"/>
  <c r="C240" i="11"/>
  <c r="C241" i="11" a="1"/>
  <c r="C241" i="11"/>
  <c r="C242" i="11" a="1"/>
  <c r="C242" i="11"/>
  <c r="C243" i="11" a="1"/>
  <c r="C243" i="11"/>
  <c r="C244" i="11" a="1"/>
  <c r="C244" i="11"/>
  <c r="C245" i="11" a="1"/>
  <c r="C245" i="11"/>
  <c r="C246" i="11" a="1"/>
  <c r="C246" i="11"/>
  <c r="C247" i="11" a="1"/>
  <c r="C247" i="11"/>
  <c r="C248" i="11" a="1"/>
  <c r="C248" i="11"/>
  <c r="C249" i="11" a="1"/>
  <c r="C249" i="11"/>
  <c r="C250" i="11" a="1"/>
  <c r="C250" i="11"/>
  <c r="C251" i="11" a="1"/>
  <c r="C251" i="11"/>
  <c r="C252" i="11" a="1"/>
  <c r="C252" i="11"/>
  <c r="C253" i="11" a="1"/>
  <c r="C253" i="11"/>
  <c r="C254" i="11" a="1"/>
  <c r="C254" i="11"/>
  <c r="C255" i="11" a="1"/>
  <c r="C255" i="11"/>
  <c r="C256" i="11" a="1"/>
  <c r="C256" i="11"/>
  <c r="C257" i="11" a="1"/>
  <c r="C257" i="11"/>
  <c r="C258" i="11" a="1"/>
  <c r="C258" i="11"/>
  <c r="C259" i="11" a="1"/>
  <c r="C259" i="11"/>
  <c r="C260" i="11" a="1"/>
  <c r="C260" i="11"/>
  <c r="C261" i="11" a="1"/>
  <c r="C261" i="11"/>
  <c r="C262" i="11" a="1"/>
  <c r="C262" i="11"/>
  <c r="C263" i="11" a="1"/>
  <c r="C263" i="11"/>
  <c r="C264" i="11" a="1"/>
  <c r="C264" i="11"/>
  <c r="C265" i="11" a="1"/>
  <c r="C265" i="11"/>
  <c r="C266" i="11" a="1"/>
  <c r="C266" i="11"/>
  <c r="C267" i="11" a="1"/>
  <c r="C267" i="11"/>
  <c r="C268" i="11" a="1"/>
  <c r="C268" i="11"/>
  <c r="C269" i="11" a="1"/>
  <c r="C269" i="11"/>
  <c r="C270" i="11" a="1"/>
  <c r="C270" i="11"/>
  <c r="C271" i="11" a="1"/>
  <c r="C271" i="11"/>
  <c r="C272" i="11" a="1"/>
  <c r="C272" i="11"/>
  <c r="C273" i="11" a="1"/>
  <c r="C273" i="11"/>
  <c r="C274" i="11" a="1"/>
  <c r="C274" i="11"/>
  <c r="C275" i="11" a="1"/>
  <c r="C275" i="11"/>
  <c r="C276" i="11" a="1"/>
  <c r="C276" i="11"/>
  <c r="C277" i="11" a="1"/>
  <c r="C277" i="11"/>
  <c r="C278" i="11" a="1"/>
  <c r="C278" i="11"/>
  <c r="C279" i="11" a="1"/>
  <c r="C279" i="11"/>
  <c r="C280" i="11" a="1"/>
  <c r="C280" i="11"/>
  <c r="C281" i="11" a="1"/>
  <c r="C281" i="11"/>
  <c r="C282" i="11" a="1"/>
  <c r="C282" i="11"/>
  <c r="C283" i="11" a="1"/>
  <c r="C283" i="11"/>
  <c r="C284" i="11" a="1"/>
  <c r="C284" i="11"/>
  <c r="C285" i="11" a="1"/>
  <c r="C285" i="11"/>
  <c r="C286" i="11" a="1"/>
  <c r="C286" i="11"/>
  <c r="C287" i="11" a="1"/>
  <c r="C287" i="11"/>
  <c r="C288" i="11" a="1"/>
  <c r="C288" i="11"/>
  <c r="C289" i="11" a="1"/>
  <c r="C289" i="11"/>
  <c r="C290" i="11" a="1"/>
  <c r="C290" i="11"/>
  <c r="C291" i="11" a="1"/>
  <c r="C291" i="11"/>
  <c r="C292" i="11" a="1"/>
  <c r="C292" i="11"/>
  <c r="C293" i="11" a="1"/>
  <c r="C293" i="11"/>
  <c r="C294" i="11" a="1"/>
  <c r="C294" i="11"/>
  <c r="C295" i="11" a="1"/>
  <c r="C295" i="11"/>
  <c r="C296" i="11" a="1"/>
  <c r="C296" i="11"/>
  <c r="C297" i="11" a="1"/>
  <c r="C297" i="11"/>
  <c r="C298" i="11" a="1"/>
  <c r="C298" i="11"/>
  <c r="C299" i="11" a="1"/>
  <c r="C299" i="11"/>
  <c r="C300" i="11" a="1"/>
  <c r="C300" i="11"/>
  <c r="C301" i="11" a="1"/>
  <c r="C301" i="11"/>
  <c r="C302" i="11" a="1"/>
  <c r="C302" i="11"/>
  <c r="C303" i="11" a="1"/>
  <c r="C303" i="11"/>
  <c r="C304" i="11" a="1"/>
  <c r="C304" i="11"/>
  <c r="C305" i="11" a="1"/>
  <c r="C305" i="11"/>
  <c r="C306" i="11" a="1"/>
  <c r="C306" i="11"/>
  <c r="C307" i="11" a="1"/>
  <c r="C307" i="11"/>
  <c r="C308" i="11" a="1"/>
  <c r="C308" i="11"/>
  <c r="C309" i="11" a="1"/>
  <c r="C309" i="11"/>
  <c r="C310" i="11" a="1"/>
  <c r="C310" i="11"/>
  <c r="C311" i="11" a="1"/>
  <c r="C311" i="11"/>
  <c r="C312" i="11" a="1"/>
  <c r="C312" i="11"/>
  <c r="C313" i="11" a="1"/>
  <c r="C313" i="11"/>
  <c r="C314" i="11" a="1"/>
  <c r="C314" i="11"/>
  <c r="C315" i="11" a="1"/>
  <c r="C315" i="11"/>
  <c r="C316" i="11" a="1"/>
  <c r="C316" i="11"/>
  <c r="C317" i="11" a="1"/>
  <c r="C317" i="11"/>
  <c r="C318" i="11" a="1"/>
  <c r="C318" i="11"/>
  <c r="C319" i="11" a="1"/>
  <c r="C319" i="11"/>
  <c r="C320" i="11" a="1"/>
  <c r="C320" i="11"/>
  <c r="C321" i="11" a="1"/>
  <c r="C321" i="11"/>
  <c r="C322" i="11" a="1"/>
  <c r="C322" i="11"/>
  <c r="C323" i="11" a="1"/>
  <c r="C323" i="11"/>
  <c r="C324" i="11" a="1"/>
  <c r="C324" i="11"/>
  <c r="C325" i="11" a="1"/>
  <c r="C325" i="11"/>
  <c r="C326" i="11" a="1"/>
  <c r="C326" i="11"/>
  <c r="C327" i="11" a="1"/>
  <c r="C327" i="11"/>
  <c r="C328" i="11" a="1"/>
  <c r="C328" i="11"/>
  <c r="C329" i="11" a="1"/>
  <c r="C329" i="11"/>
  <c r="C330" i="11" a="1"/>
  <c r="C330" i="11"/>
  <c r="C331" i="11" a="1"/>
  <c r="C331" i="11"/>
  <c r="C332" i="11" a="1"/>
  <c r="C332" i="11"/>
  <c r="C333" i="11" a="1"/>
  <c r="C333" i="11"/>
  <c r="C334" i="11" a="1"/>
  <c r="C334" i="11"/>
  <c r="C335" i="11" a="1"/>
  <c r="C335" i="11"/>
  <c r="C336" i="11" a="1"/>
  <c r="C336" i="11"/>
  <c r="C337" i="11" a="1"/>
  <c r="C337" i="11"/>
  <c r="C338" i="11" a="1"/>
  <c r="C338" i="11"/>
  <c r="C339" i="11" a="1"/>
  <c r="C339" i="11"/>
  <c r="C340" i="11" a="1"/>
  <c r="C340" i="11"/>
  <c r="C341" i="11" a="1"/>
  <c r="C341" i="11"/>
  <c r="C342" i="11" a="1"/>
  <c r="C342" i="11"/>
  <c r="C343" i="11" a="1"/>
  <c r="C343" i="11"/>
  <c r="C344" i="11" a="1"/>
  <c r="C344" i="11"/>
  <c r="C345" i="11" a="1"/>
  <c r="C345" i="11"/>
  <c r="C346" i="11" a="1"/>
  <c r="C346" i="11"/>
  <c r="C347" i="11" a="1"/>
  <c r="C347" i="11"/>
  <c r="C348" i="11" a="1"/>
  <c r="C348" i="11"/>
  <c r="C349" i="11" a="1"/>
  <c r="C349" i="11"/>
  <c r="C350" i="11" a="1"/>
  <c r="C350" i="11"/>
  <c r="C351" i="11" a="1"/>
  <c r="C351" i="11"/>
  <c r="C352" i="11" a="1"/>
  <c r="C352" i="11"/>
  <c r="C353" i="11" a="1"/>
  <c r="C353" i="11"/>
  <c r="C354" i="11" a="1"/>
  <c r="C354" i="11"/>
  <c r="C355" i="11" a="1"/>
  <c r="C355" i="11"/>
  <c r="C356" i="11" a="1"/>
  <c r="C356" i="11"/>
  <c r="C357" i="11" a="1"/>
  <c r="C357" i="11"/>
  <c r="C358" i="11" a="1"/>
  <c r="C358" i="11"/>
  <c r="C359" i="11" a="1"/>
  <c r="C359" i="11"/>
  <c r="C360" i="11" a="1"/>
  <c r="C360" i="11"/>
  <c r="C361" i="11" a="1"/>
  <c r="C361" i="11"/>
  <c r="C362" i="11" a="1"/>
  <c r="C362" i="11"/>
  <c r="C363" i="11" a="1"/>
  <c r="C363" i="11"/>
  <c r="C364" i="11" a="1"/>
  <c r="C364" i="11"/>
  <c r="C365" i="11" a="1"/>
  <c r="C365" i="11"/>
  <c r="C366" i="11" a="1"/>
  <c r="C366" i="11"/>
  <c r="C367" i="11" a="1"/>
  <c r="C367" i="11"/>
  <c r="C368" i="11" a="1"/>
  <c r="C368" i="11"/>
  <c r="C369" i="11" a="1"/>
  <c r="C369" i="11"/>
  <c r="C370" i="11" a="1"/>
  <c r="C370" i="11"/>
  <c r="C371" i="11" a="1"/>
  <c r="C371" i="11"/>
  <c r="C372" i="11" a="1"/>
  <c r="C372" i="11"/>
  <c r="C373" i="11" a="1"/>
  <c r="C373" i="11"/>
  <c r="C374" i="11" a="1"/>
  <c r="C374" i="11"/>
  <c r="C375" i="11" a="1"/>
  <c r="C375" i="11"/>
  <c r="C376" i="11" a="1"/>
  <c r="C376" i="11"/>
  <c r="C377" i="11" a="1"/>
  <c r="C377" i="11"/>
  <c r="C378" i="11" a="1"/>
  <c r="C378" i="11"/>
  <c r="C379" i="11" a="1"/>
  <c r="C379" i="11"/>
  <c r="C380" i="11" a="1"/>
  <c r="C380" i="11"/>
  <c r="C381" i="11" a="1"/>
  <c r="C381" i="11"/>
  <c r="C382" i="11" a="1"/>
  <c r="C382" i="11"/>
  <c r="C383" i="11" a="1"/>
  <c r="C383" i="11"/>
  <c r="C384" i="11" a="1"/>
  <c r="C384" i="11"/>
  <c r="C385" i="11" a="1"/>
  <c r="C385" i="11"/>
  <c r="C386" i="11" a="1"/>
  <c r="C386" i="11"/>
  <c r="C387" i="11" a="1"/>
  <c r="C387" i="11"/>
  <c r="C388" i="11" a="1"/>
  <c r="C388" i="11"/>
  <c r="C389" i="11" a="1"/>
  <c r="C389" i="11"/>
  <c r="C390" i="11" a="1"/>
  <c r="C390" i="11"/>
  <c r="C391" i="11" a="1"/>
  <c r="C391" i="11"/>
  <c r="C392" i="11" a="1"/>
  <c r="C392" i="11"/>
  <c r="C393" i="11" a="1"/>
  <c r="C393" i="11"/>
  <c r="C394" i="11" a="1"/>
  <c r="C394" i="11"/>
  <c r="C395" i="11" a="1"/>
  <c r="C395" i="11"/>
  <c r="C396" i="11" a="1"/>
  <c r="C396" i="11"/>
  <c r="C397" i="11" a="1"/>
  <c r="C397" i="11"/>
  <c r="C398" i="11" a="1"/>
  <c r="C398" i="11"/>
  <c r="C399" i="11" a="1"/>
  <c r="C399" i="11"/>
  <c r="C400" i="11" a="1"/>
  <c r="C400" i="11"/>
  <c r="C401" i="11" a="1"/>
  <c r="C401" i="11"/>
  <c r="C402" i="11" a="1"/>
  <c r="C402" i="11"/>
  <c r="C403" i="11" a="1"/>
  <c r="C403" i="11"/>
  <c r="C404" i="11" a="1"/>
  <c r="C404" i="11"/>
  <c r="C405" i="11" a="1"/>
  <c r="C405" i="11"/>
  <c r="C406" i="11" a="1"/>
  <c r="C406" i="11"/>
  <c r="C407" i="11" a="1"/>
  <c r="C407" i="11"/>
  <c r="C408" i="11" a="1"/>
  <c r="C408" i="11"/>
  <c r="C409" i="11" a="1"/>
  <c r="C409" i="11"/>
  <c r="C410" i="11" a="1"/>
  <c r="C410" i="11"/>
  <c r="C411" i="11" a="1"/>
  <c r="C411" i="11"/>
  <c r="C412" i="11" a="1"/>
  <c r="C412" i="11"/>
  <c r="C413" i="11" a="1"/>
  <c r="C413" i="11"/>
  <c r="C414" i="11" a="1"/>
  <c r="C414" i="11"/>
  <c r="C415" i="11" a="1"/>
  <c r="C415" i="11"/>
  <c r="C416" i="11" a="1"/>
  <c r="C416" i="11"/>
  <c r="C417" i="11" a="1"/>
  <c r="C417" i="11"/>
  <c r="C418" i="11" a="1"/>
  <c r="C418" i="11"/>
  <c r="C419" i="11" a="1"/>
  <c r="C419" i="11"/>
  <c r="C420" i="11" a="1"/>
  <c r="C420" i="11"/>
  <c r="C421" i="11" a="1"/>
  <c r="C421" i="11"/>
  <c r="C422" i="11" a="1"/>
  <c r="C422" i="11"/>
  <c r="C423" i="11" a="1"/>
  <c r="C423" i="11"/>
  <c r="C424" i="11" a="1"/>
  <c r="C424" i="11"/>
  <c r="C425" i="11" a="1"/>
  <c r="C425" i="11"/>
  <c r="C426" i="11" a="1"/>
  <c r="C426" i="11"/>
  <c r="C427" i="11" a="1"/>
  <c r="C427" i="11"/>
  <c r="C428" i="11" a="1"/>
  <c r="C428" i="11"/>
  <c r="C429" i="11" a="1"/>
  <c r="C429" i="11"/>
  <c r="C430" i="11" a="1"/>
  <c r="C430" i="11"/>
  <c r="C431" i="11" a="1"/>
  <c r="C431" i="11"/>
  <c r="C432" i="11" a="1"/>
  <c r="C432" i="11"/>
  <c r="C433" i="11" a="1"/>
  <c r="C433" i="11"/>
  <c r="C434" i="11" a="1"/>
  <c r="C434" i="11"/>
  <c r="C435" i="11" a="1"/>
  <c r="C435" i="11"/>
  <c r="C436" i="11" a="1"/>
  <c r="C436" i="11"/>
  <c r="C437" i="11" a="1"/>
  <c r="C437" i="11"/>
  <c r="C438" i="11" a="1"/>
  <c r="C438" i="11"/>
  <c r="C439" i="11" a="1"/>
  <c r="C439" i="11"/>
  <c r="C440" i="11" a="1"/>
  <c r="C440" i="11"/>
  <c r="C441" i="11" a="1"/>
  <c r="C441" i="11"/>
  <c r="C442" i="11" a="1"/>
  <c r="C442" i="11"/>
  <c r="C443" i="11" a="1"/>
  <c r="C443" i="11"/>
  <c r="C444" i="11" a="1"/>
  <c r="C444" i="11"/>
  <c r="C445" i="11" a="1"/>
  <c r="C445" i="11"/>
  <c r="C446" i="11" a="1"/>
  <c r="C446" i="11"/>
  <c r="C447" i="11" a="1"/>
  <c r="C447" i="11"/>
  <c r="C448" i="11" a="1"/>
  <c r="C448" i="11"/>
  <c r="C449" i="11" a="1"/>
  <c r="C449" i="11"/>
  <c r="C450" i="11" a="1"/>
  <c r="C450" i="11"/>
  <c r="C451" i="11" a="1"/>
  <c r="C451" i="11"/>
  <c r="C452" i="11" a="1"/>
  <c r="C452" i="11"/>
  <c r="C453" i="11" a="1"/>
  <c r="C453" i="11"/>
  <c r="C454" i="11" a="1"/>
  <c r="C454" i="11"/>
  <c r="C455" i="11" a="1"/>
  <c r="C455" i="11"/>
  <c r="C456" i="11" a="1"/>
  <c r="C456" i="11"/>
  <c r="C457" i="11" a="1"/>
  <c r="C457" i="11"/>
  <c r="C458" i="11" a="1"/>
  <c r="C458" i="11"/>
  <c r="C459" i="11" a="1"/>
  <c r="C459" i="11"/>
  <c r="C460" i="11" a="1"/>
  <c r="C460" i="11"/>
  <c r="C461" i="11" a="1"/>
  <c r="C461" i="11"/>
  <c r="C462" i="11" a="1"/>
  <c r="C462" i="11"/>
  <c r="C463" i="11" a="1"/>
  <c r="C463" i="11"/>
  <c r="C464" i="11" a="1"/>
  <c r="C464" i="11"/>
  <c r="C465" i="11" a="1"/>
  <c r="C465" i="11"/>
  <c r="C466" i="11" a="1"/>
  <c r="C466" i="11"/>
  <c r="C467" i="11" a="1"/>
  <c r="C467" i="11"/>
  <c r="C468" i="11" a="1"/>
  <c r="C468" i="11"/>
  <c r="C469" i="11" a="1"/>
  <c r="C469" i="11"/>
  <c r="C470" i="11" a="1"/>
  <c r="C470" i="11"/>
  <c r="C471" i="11" a="1"/>
  <c r="C471" i="11"/>
  <c r="C472" i="11" a="1"/>
  <c r="C472" i="11"/>
  <c r="C473" i="11" a="1"/>
  <c r="C473" i="11"/>
  <c r="C474" i="11" a="1"/>
  <c r="C474" i="11"/>
  <c r="C475" i="11" a="1"/>
  <c r="C475" i="11"/>
  <c r="C476" i="11" a="1"/>
  <c r="C476" i="11"/>
  <c r="C477" i="11" a="1"/>
  <c r="C477" i="11"/>
  <c r="C478" i="11" a="1"/>
  <c r="C478" i="11"/>
  <c r="C479" i="11" a="1"/>
  <c r="C479" i="11"/>
  <c r="C480" i="11" a="1"/>
  <c r="C480" i="11"/>
  <c r="C481" i="11" a="1"/>
  <c r="C481" i="11"/>
  <c r="C482" i="11" a="1"/>
  <c r="C482" i="11"/>
  <c r="C483" i="11" a="1"/>
  <c r="C483" i="11"/>
  <c r="C484" i="11" a="1"/>
  <c r="C484" i="11"/>
  <c r="C485" i="11" a="1"/>
  <c r="C485" i="11"/>
  <c r="C486" i="11" a="1"/>
  <c r="C486" i="11"/>
  <c r="C487" i="11" a="1"/>
  <c r="C487" i="11"/>
  <c r="C488" i="11" a="1"/>
  <c r="C488" i="11"/>
  <c r="C489" i="11" a="1"/>
  <c r="C489" i="11"/>
  <c r="C490" i="11" a="1"/>
  <c r="C490" i="11"/>
  <c r="C491" i="11" a="1"/>
  <c r="C491" i="11"/>
  <c r="C492" i="11" a="1"/>
  <c r="C492" i="11"/>
  <c r="C493" i="11" a="1"/>
  <c r="C493" i="11"/>
  <c r="C494" i="11" a="1"/>
  <c r="C494" i="11"/>
  <c r="C495" i="11" a="1"/>
  <c r="C495" i="11"/>
  <c r="C496" i="11" a="1"/>
  <c r="C496" i="11"/>
  <c r="C497" i="11" a="1"/>
  <c r="C497" i="11"/>
  <c r="C498" i="11" a="1"/>
  <c r="C498" i="11"/>
  <c r="C499" i="11" a="1"/>
  <c r="C499" i="11"/>
  <c r="C500" i="11" a="1"/>
  <c r="C500" i="11"/>
  <c r="C501" i="11" a="1"/>
  <c r="C501" i="11"/>
  <c r="C502" i="11" a="1"/>
  <c r="C502" i="11"/>
  <c r="C503" i="11" a="1"/>
  <c r="C503" i="11"/>
  <c r="C504" i="11" a="1"/>
  <c r="C504" i="11"/>
  <c r="C505" i="11" a="1"/>
  <c r="C505" i="11"/>
  <c r="C506" i="11" a="1"/>
  <c r="C506" i="11"/>
  <c r="C507" i="11" a="1"/>
  <c r="C507" i="11"/>
  <c r="C508" i="11" a="1"/>
  <c r="C508" i="11"/>
  <c r="C509" i="11" a="1"/>
  <c r="C509" i="11"/>
  <c r="C510" i="11" a="1"/>
  <c r="C510" i="11"/>
  <c r="C511" i="11" a="1"/>
  <c r="C511" i="11"/>
  <c r="C512" i="11" a="1"/>
  <c r="C512" i="11"/>
  <c r="C513" i="11" a="1"/>
  <c r="C513" i="11"/>
  <c r="C514" i="11" a="1"/>
  <c r="C514" i="11"/>
  <c r="C515" i="11" a="1"/>
  <c r="C515" i="11"/>
  <c r="C516" i="11" a="1"/>
  <c r="C516" i="11"/>
  <c r="C517" i="11" a="1"/>
  <c r="C517" i="11"/>
  <c r="C518" i="11" a="1"/>
  <c r="C518" i="11"/>
  <c r="C519" i="11" a="1"/>
  <c r="C519" i="11"/>
  <c r="C520" i="11" a="1"/>
  <c r="C520" i="11"/>
  <c r="C521" i="11" a="1"/>
  <c r="C521" i="11"/>
  <c r="C522" i="11" a="1"/>
  <c r="C522" i="11"/>
  <c r="C523" i="11" a="1"/>
  <c r="C523" i="11"/>
  <c r="C524" i="11" a="1"/>
  <c r="C524" i="11"/>
  <c r="C525" i="11" a="1"/>
  <c r="C525" i="11"/>
  <c r="C526" i="11" a="1"/>
  <c r="C526" i="11"/>
  <c r="C527" i="11" a="1"/>
  <c r="C527" i="11"/>
  <c r="C528" i="11" a="1"/>
  <c r="C528" i="11"/>
  <c r="C529" i="11" a="1"/>
  <c r="C529" i="11"/>
  <c r="C530" i="11" a="1"/>
  <c r="C530" i="11"/>
  <c r="C531" i="11" a="1"/>
  <c r="C531" i="11"/>
  <c r="C532" i="11" a="1"/>
  <c r="C532" i="11"/>
  <c r="C533" i="11" a="1"/>
  <c r="C533" i="11"/>
  <c r="C534" i="11" a="1"/>
  <c r="C534" i="11"/>
  <c r="C535" i="11" a="1"/>
  <c r="C535" i="11"/>
  <c r="C536" i="11" a="1"/>
  <c r="C536" i="11"/>
  <c r="C537" i="11" a="1"/>
  <c r="C537" i="11"/>
  <c r="C538" i="11" a="1"/>
  <c r="C538" i="11"/>
  <c r="C539" i="11" a="1"/>
  <c r="C539" i="11"/>
  <c r="C540" i="11" a="1"/>
  <c r="C540" i="11"/>
  <c r="C541" i="11" a="1"/>
  <c r="C541" i="11"/>
  <c r="C542" i="11" a="1"/>
  <c r="C542" i="11"/>
  <c r="C543" i="11" a="1"/>
  <c r="C543" i="11"/>
  <c r="C544" i="11" a="1"/>
  <c r="C544" i="11"/>
  <c r="C545" i="11" a="1"/>
  <c r="C545" i="11"/>
  <c r="C546" i="11" a="1"/>
  <c r="C546" i="11"/>
  <c r="C547" i="11" a="1"/>
  <c r="C547" i="11"/>
  <c r="C548" i="11" a="1"/>
  <c r="C548" i="11"/>
  <c r="C549" i="11" a="1"/>
  <c r="C549" i="11"/>
  <c r="C550" i="11" a="1"/>
  <c r="C550" i="11"/>
  <c r="C551" i="11" a="1"/>
  <c r="C551" i="11"/>
  <c r="C552" i="11" a="1"/>
  <c r="C552" i="11"/>
  <c r="C553" i="11" a="1"/>
  <c r="C553" i="11"/>
  <c r="C554" i="11" a="1"/>
  <c r="C554" i="11"/>
  <c r="C555" i="11" a="1"/>
  <c r="C555" i="11"/>
  <c r="C556" i="11" a="1"/>
  <c r="C556" i="11"/>
  <c r="C557" i="11" a="1"/>
  <c r="C557" i="11"/>
  <c r="C558" i="11" a="1"/>
  <c r="C558" i="11"/>
  <c r="C559" i="11" a="1"/>
  <c r="C559" i="11"/>
  <c r="C560" i="11" a="1"/>
  <c r="C560" i="11"/>
  <c r="C561" i="11" a="1"/>
  <c r="C561" i="11"/>
  <c r="C562" i="11" a="1"/>
  <c r="C562" i="11"/>
  <c r="C563" i="11" a="1"/>
  <c r="C563" i="11"/>
  <c r="C564" i="11" a="1"/>
  <c r="C564" i="11"/>
  <c r="C565" i="11" a="1"/>
  <c r="C565" i="11"/>
  <c r="C566" i="11" a="1"/>
  <c r="C566" i="11"/>
  <c r="C567" i="11" a="1"/>
  <c r="C567" i="11"/>
  <c r="C568" i="11" a="1"/>
  <c r="C568" i="11"/>
  <c r="C569" i="11" a="1"/>
  <c r="C569" i="11"/>
  <c r="C570" i="11" a="1"/>
  <c r="C570" i="11"/>
  <c r="C571" i="11" a="1"/>
  <c r="C571" i="11"/>
  <c r="C572" i="11" a="1"/>
  <c r="C572" i="11"/>
  <c r="C573" i="11" a="1"/>
  <c r="C573" i="11"/>
  <c r="C574" i="11" a="1"/>
  <c r="C574" i="11"/>
  <c r="C575" i="11" a="1"/>
  <c r="C575" i="11"/>
  <c r="C576" i="11" a="1"/>
  <c r="C576" i="11"/>
  <c r="C577" i="11" a="1"/>
  <c r="C577" i="11"/>
  <c r="C578" i="11" a="1"/>
  <c r="C578" i="11"/>
  <c r="C579" i="11" a="1"/>
  <c r="C579" i="11"/>
  <c r="C580" i="11" a="1"/>
  <c r="C580" i="11"/>
  <c r="C581" i="11" a="1"/>
  <c r="C581" i="11"/>
  <c r="C582" i="11" a="1"/>
  <c r="C582" i="11"/>
  <c r="C583" i="11" a="1"/>
  <c r="C583" i="11"/>
  <c r="C584" i="11" a="1"/>
  <c r="C584" i="11"/>
  <c r="C585" i="11" a="1"/>
  <c r="C585" i="11"/>
  <c r="C586" i="11" a="1"/>
  <c r="C586" i="11"/>
  <c r="C587" i="11" a="1"/>
  <c r="C587" i="11"/>
  <c r="C588" i="11" a="1"/>
  <c r="C588" i="11"/>
  <c r="C589" i="11" a="1"/>
  <c r="C589" i="11"/>
  <c r="C590" i="11" a="1"/>
  <c r="C590" i="11"/>
  <c r="C591" i="11" a="1"/>
  <c r="C591" i="11"/>
  <c r="C592" i="11" a="1"/>
  <c r="C592" i="11"/>
  <c r="C593" i="11" a="1"/>
  <c r="C593" i="11"/>
  <c r="C594" i="11" a="1"/>
  <c r="C594" i="11"/>
  <c r="C595" i="11" a="1"/>
  <c r="C595" i="11"/>
  <c r="C596" i="11" a="1"/>
  <c r="C596" i="11"/>
  <c r="C597" i="11" a="1"/>
  <c r="C597" i="11"/>
  <c r="C598" i="11" a="1"/>
  <c r="C598" i="11"/>
  <c r="C599" i="11" a="1"/>
  <c r="C599" i="11"/>
  <c r="C600" i="11" a="1"/>
  <c r="C600" i="11"/>
  <c r="C601" i="11" a="1"/>
  <c r="C601" i="11"/>
  <c r="C602" i="11" a="1"/>
  <c r="C602" i="11"/>
  <c r="C603" i="11" a="1"/>
  <c r="C603" i="11"/>
  <c r="C604" i="11" a="1"/>
  <c r="C604" i="11"/>
  <c r="C605" i="11" a="1"/>
  <c r="C605" i="11"/>
  <c r="C606" i="11" a="1"/>
  <c r="C606" i="11"/>
  <c r="C607" i="11" a="1"/>
  <c r="C607" i="11"/>
  <c r="C608" i="11" a="1"/>
  <c r="C608" i="11"/>
  <c r="C609" i="11" a="1"/>
  <c r="C609" i="11"/>
  <c r="C610" i="11" a="1"/>
  <c r="C610" i="11"/>
  <c r="C611" i="11" a="1"/>
  <c r="C611" i="11"/>
  <c r="C612" i="11" a="1"/>
  <c r="C612" i="11"/>
  <c r="C613" i="11" a="1"/>
  <c r="C613" i="11"/>
  <c r="C614" i="11" a="1"/>
  <c r="C614" i="11"/>
  <c r="C615" i="11" a="1"/>
  <c r="C615" i="11"/>
  <c r="C616" i="11" a="1"/>
  <c r="C616" i="11"/>
  <c r="C617" i="11" a="1"/>
  <c r="C617" i="11"/>
  <c r="C618" i="11" a="1"/>
  <c r="C618" i="11"/>
  <c r="C619" i="11" a="1"/>
  <c r="C619" i="11"/>
  <c r="C620" i="11" a="1"/>
  <c r="C620" i="11"/>
  <c r="C621" i="11" a="1"/>
  <c r="C621" i="11"/>
  <c r="C622" i="11" a="1"/>
  <c r="C622" i="11"/>
  <c r="C623" i="11" a="1"/>
  <c r="C623" i="11"/>
  <c r="C624" i="11" a="1"/>
  <c r="C624" i="11"/>
  <c r="C625" i="11" a="1"/>
  <c r="C625" i="11"/>
  <c r="C626" i="11" a="1"/>
  <c r="C626" i="11"/>
  <c r="C627" i="11" a="1"/>
  <c r="C627" i="11"/>
  <c r="C628" i="11" a="1"/>
  <c r="C628" i="11"/>
  <c r="C629" i="11" a="1"/>
  <c r="C629" i="11"/>
  <c r="C630" i="11" a="1"/>
  <c r="C630" i="11"/>
  <c r="C631" i="11" a="1"/>
  <c r="C631" i="11"/>
  <c r="C632" i="11" a="1"/>
  <c r="C632" i="11"/>
  <c r="C633" i="11" a="1"/>
  <c r="C633" i="11"/>
  <c r="C634" i="11" a="1"/>
  <c r="C634" i="11"/>
  <c r="C635" i="11" a="1"/>
  <c r="C635" i="11"/>
  <c r="C636" i="11" a="1"/>
  <c r="C636" i="11"/>
  <c r="C637" i="11" a="1"/>
  <c r="C637" i="11"/>
  <c r="C638" i="11" a="1"/>
  <c r="C638" i="11"/>
  <c r="C639" i="11" a="1"/>
  <c r="C639" i="11"/>
  <c r="C640" i="11" a="1"/>
  <c r="C640" i="11"/>
  <c r="C641" i="11" a="1"/>
  <c r="C641" i="11"/>
  <c r="C642" i="11" a="1"/>
  <c r="C642" i="11"/>
  <c r="C643" i="11" a="1"/>
  <c r="C643" i="11"/>
  <c r="C644" i="11" a="1"/>
  <c r="C644" i="11"/>
  <c r="C645" i="11" a="1"/>
  <c r="C645" i="11"/>
  <c r="C646" i="11" a="1"/>
  <c r="C646" i="11"/>
  <c r="C647" i="11" a="1"/>
  <c r="C647" i="11"/>
  <c r="C648" i="11" a="1"/>
  <c r="C648" i="11"/>
  <c r="C649" i="11" a="1"/>
  <c r="C649" i="11"/>
  <c r="C650" i="11" a="1"/>
  <c r="C650" i="11"/>
  <c r="C651" i="11" a="1"/>
  <c r="C651" i="11"/>
  <c r="C652" i="11" a="1"/>
  <c r="C652" i="11"/>
  <c r="C653" i="11" a="1"/>
  <c r="C653" i="11"/>
  <c r="C654" i="11" a="1"/>
  <c r="C654" i="11"/>
  <c r="C655" i="11" a="1"/>
  <c r="C655" i="11"/>
  <c r="C656" i="11" a="1"/>
  <c r="C656" i="11"/>
  <c r="C657" i="11" a="1"/>
  <c r="C657" i="11"/>
  <c r="C658" i="11" a="1"/>
  <c r="C658" i="11"/>
  <c r="C659" i="11" a="1"/>
  <c r="C659" i="11"/>
  <c r="C660" i="11" a="1"/>
  <c r="C660" i="11"/>
  <c r="C661" i="11" a="1"/>
  <c r="C661" i="11"/>
  <c r="C662" i="11" a="1"/>
  <c r="C662" i="11"/>
  <c r="C663" i="11" a="1"/>
  <c r="C663" i="11"/>
  <c r="C664" i="11" a="1"/>
  <c r="C664" i="11"/>
  <c r="C665" i="11" a="1"/>
  <c r="C665" i="11"/>
  <c r="C666" i="11" a="1"/>
  <c r="C666" i="11"/>
  <c r="C667" i="11" a="1"/>
  <c r="C667" i="11"/>
  <c r="C668" i="11" a="1"/>
  <c r="C668" i="11"/>
  <c r="C669" i="11" a="1"/>
  <c r="C669" i="11"/>
  <c r="C670" i="11" a="1"/>
  <c r="C670" i="11"/>
  <c r="C671" i="11" a="1"/>
  <c r="C671" i="11"/>
  <c r="C672" i="11" a="1"/>
  <c r="C672" i="11"/>
  <c r="C673" i="11" a="1"/>
  <c r="C673" i="11"/>
  <c r="C674" i="11" a="1"/>
  <c r="C674" i="11"/>
  <c r="C675" i="11" a="1"/>
  <c r="C675" i="11"/>
  <c r="C676" i="11" a="1"/>
  <c r="C676" i="11"/>
  <c r="C677" i="11" a="1"/>
  <c r="C677" i="11"/>
  <c r="C678" i="11" a="1"/>
  <c r="C678" i="11"/>
  <c r="C679" i="11" a="1"/>
  <c r="C679" i="11"/>
  <c r="C680" i="11" a="1"/>
  <c r="C680" i="11"/>
  <c r="C681" i="11" a="1"/>
  <c r="C681" i="11"/>
  <c r="C682" i="11" a="1"/>
  <c r="C682" i="11"/>
  <c r="C683" i="11" a="1"/>
  <c r="C683" i="11"/>
  <c r="C684" i="11" a="1"/>
  <c r="C684" i="11"/>
  <c r="C685" i="11" a="1"/>
  <c r="C685" i="11"/>
  <c r="C686" i="11" a="1"/>
  <c r="C686" i="11"/>
  <c r="C687" i="11" a="1"/>
  <c r="C687" i="11"/>
  <c r="C688" i="11" a="1"/>
  <c r="C688" i="11"/>
  <c r="C689" i="11" a="1"/>
  <c r="C689" i="11"/>
  <c r="C690" i="11" a="1"/>
  <c r="C690" i="11"/>
  <c r="C691" i="11" a="1"/>
  <c r="C691" i="11"/>
  <c r="C692" i="11" a="1"/>
  <c r="C692" i="11"/>
  <c r="C693" i="11" a="1"/>
  <c r="C693" i="11"/>
  <c r="C694" i="11" a="1"/>
  <c r="C694" i="11"/>
  <c r="C695" i="11" a="1"/>
  <c r="C695" i="11"/>
  <c r="C696" i="11" a="1"/>
  <c r="C696" i="11"/>
  <c r="C697" i="11" a="1"/>
  <c r="C697" i="11"/>
  <c r="C698" i="11" a="1"/>
  <c r="C698" i="11"/>
  <c r="C699" i="11" a="1"/>
  <c r="C699" i="11"/>
  <c r="C700" i="11" a="1"/>
  <c r="C700" i="11"/>
  <c r="C701" i="11" a="1"/>
  <c r="C701" i="11"/>
  <c r="C702" i="11" a="1"/>
  <c r="C702" i="11"/>
  <c r="C703" i="11" a="1"/>
  <c r="C703" i="11"/>
  <c r="C704" i="11" a="1"/>
  <c r="C704" i="11"/>
  <c r="C705" i="11" a="1"/>
  <c r="C705" i="11"/>
  <c r="C706" i="11" a="1"/>
  <c r="C706" i="11"/>
  <c r="C707" i="11" a="1"/>
  <c r="C707" i="11"/>
  <c r="C708" i="11" a="1"/>
  <c r="C708" i="11"/>
  <c r="C709" i="11" a="1"/>
  <c r="C709" i="11"/>
  <c r="C710" i="11" a="1"/>
  <c r="C710" i="11"/>
  <c r="C711" i="11" a="1"/>
  <c r="C711" i="11"/>
  <c r="C712" i="11" a="1"/>
  <c r="C712" i="11"/>
  <c r="C713" i="11" a="1"/>
  <c r="C713" i="11"/>
  <c r="C714" i="11" a="1"/>
  <c r="C714" i="11"/>
  <c r="C715" i="11" a="1"/>
  <c r="C715" i="11"/>
  <c r="C716" i="11" a="1"/>
  <c r="C716" i="11"/>
  <c r="C717" i="11" a="1"/>
  <c r="C717" i="11"/>
  <c r="C718" i="11" a="1"/>
  <c r="C718" i="11"/>
  <c r="C719" i="11" a="1"/>
  <c r="C719" i="11"/>
  <c r="C720" i="11" a="1"/>
  <c r="C720" i="11"/>
  <c r="C721" i="11" a="1"/>
  <c r="C721" i="11"/>
  <c r="C722" i="11" a="1"/>
  <c r="C722" i="11"/>
  <c r="C723" i="11" a="1"/>
  <c r="C723" i="11"/>
  <c r="C724" i="11" a="1"/>
  <c r="C724" i="11"/>
  <c r="C725" i="11" a="1"/>
  <c r="C725" i="11"/>
  <c r="C726" i="11" a="1"/>
  <c r="C726" i="11"/>
  <c r="C727" i="11" a="1"/>
  <c r="C727" i="11"/>
  <c r="C728" i="11" a="1"/>
  <c r="C728" i="11"/>
  <c r="C729" i="11" a="1"/>
  <c r="C729" i="11"/>
  <c r="C730" i="11" a="1"/>
  <c r="C730" i="11"/>
  <c r="C731" i="11" a="1"/>
  <c r="C731" i="11"/>
  <c r="C732" i="11" a="1"/>
  <c r="C732" i="11"/>
  <c r="C733" i="11" a="1"/>
  <c r="C733" i="11"/>
  <c r="C734" i="11" a="1"/>
  <c r="C734" i="11"/>
  <c r="C735" i="11" a="1"/>
  <c r="C735" i="11"/>
  <c r="C736" i="11" a="1"/>
  <c r="C736" i="11"/>
  <c r="C737" i="11" a="1"/>
  <c r="C737" i="11"/>
  <c r="C738" i="11" a="1"/>
  <c r="C738" i="11"/>
  <c r="C739" i="11" a="1"/>
  <c r="C739" i="11"/>
  <c r="C740" i="11" a="1"/>
  <c r="C740" i="11"/>
  <c r="C741" i="11" a="1"/>
  <c r="C741" i="11"/>
  <c r="C742" i="11" a="1"/>
  <c r="C742" i="11"/>
  <c r="C743" i="11" a="1"/>
  <c r="C743" i="11"/>
  <c r="C744" i="11" a="1"/>
  <c r="C744" i="11"/>
  <c r="C745" i="11" a="1"/>
  <c r="C745" i="11"/>
  <c r="C746" i="11" a="1"/>
  <c r="C746" i="11"/>
  <c r="C747" i="11" a="1"/>
  <c r="C747" i="11"/>
  <c r="C748" i="11" a="1"/>
  <c r="C748" i="11"/>
  <c r="C749" i="11" a="1"/>
  <c r="C749" i="11"/>
  <c r="C750" i="11" a="1"/>
  <c r="C750" i="11"/>
  <c r="C751" i="11" a="1"/>
  <c r="C751" i="11"/>
  <c r="C752" i="11" a="1"/>
  <c r="C752" i="11"/>
  <c r="C753" i="11" a="1"/>
  <c r="C753" i="11"/>
  <c r="C754" i="11" a="1"/>
  <c r="C754" i="11"/>
  <c r="C755" i="11" a="1"/>
  <c r="C755" i="11"/>
  <c r="C756" i="11" a="1"/>
  <c r="C756" i="11"/>
  <c r="C757" i="11" a="1"/>
  <c r="C757" i="11"/>
  <c r="C758" i="11" a="1"/>
  <c r="C758" i="11"/>
  <c r="C759" i="11" a="1"/>
  <c r="C759" i="11"/>
  <c r="C760" i="11" a="1"/>
  <c r="C760" i="11"/>
  <c r="C761" i="11" a="1"/>
  <c r="C761" i="11"/>
  <c r="C762" i="11" a="1"/>
  <c r="C762" i="11"/>
  <c r="C763" i="11" a="1"/>
  <c r="C763" i="11"/>
  <c r="C764" i="11" a="1"/>
  <c r="C764" i="11"/>
  <c r="C765" i="11" a="1"/>
  <c r="C765" i="11"/>
  <c r="C766" i="11" a="1"/>
  <c r="C766" i="11"/>
  <c r="C767" i="11" a="1"/>
  <c r="C767" i="11"/>
  <c r="C768" i="11" a="1"/>
  <c r="C768" i="11"/>
  <c r="C769" i="11" a="1"/>
  <c r="C769" i="11"/>
  <c r="C770" i="11" a="1"/>
  <c r="C770" i="11"/>
  <c r="C771" i="11" a="1"/>
  <c r="C771" i="11"/>
  <c r="C772" i="11" a="1"/>
  <c r="C772" i="11"/>
  <c r="C773" i="11" a="1"/>
  <c r="C773" i="11"/>
  <c r="C774" i="11" a="1"/>
  <c r="C774" i="11"/>
  <c r="C775" i="11" a="1"/>
  <c r="C775" i="11"/>
  <c r="C776" i="11" a="1"/>
  <c r="C776" i="11"/>
  <c r="C777" i="11" a="1"/>
  <c r="C777" i="11"/>
  <c r="C778" i="11" a="1"/>
  <c r="C778" i="11"/>
  <c r="C779" i="11" a="1"/>
  <c r="C779" i="11"/>
  <c r="C780" i="11" a="1"/>
  <c r="C780" i="11"/>
  <c r="C781" i="11" a="1"/>
  <c r="C781" i="11"/>
  <c r="C782" i="11" a="1"/>
  <c r="C782" i="11"/>
  <c r="C783" i="11" a="1"/>
  <c r="C783" i="11"/>
  <c r="C784" i="11" a="1"/>
  <c r="C784" i="11"/>
  <c r="C785" i="11" a="1"/>
  <c r="C785" i="11"/>
  <c r="C786" i="11" a="1"/>
  <c r="C786" i="11"/>
  <c r="C787" i="11" a="1"/>
  <c r="C787" i="11"/>
  <c r="C788" i="11" a="1"/>
  <c r="C788" i="11"/>
  <c r="C789" i="11" a="1"/>
  <c r="C789" i="11"/>
  <c r="C790" i="11" a="1"/>
  <c r="C790" i="11"/>
  <c r="C791" i="11" a="1"/>
  <c r="C791" i="11"/>
  <c r="C792" i="11" a="1"/>
  <c r="C792" i="11"/>
  <c r="C793" i="11" a="1"/>
  <c r="C793" i="11"/>
  <c r="C794" i="11" a="1"/>
  <c r="C794" i="11"/>
  <c r="C795" i="11" a="1"/>
  <c r="C795" i="11"/>
  <c r="C796" i="11" a="1"/>
  <c r="C796" i="11"/>
  <c r="C797" i="11" a="1"/>
  <c r="C797" i="11"/>
  <c r="C798" i="11" a="1"/>
  <c r="C798" i="11"/>
  <c r="C799" i="11" a="1"/>
  <c r="C799" i="11"/>
  <c r="C800" i="11" a="1"/>
  <c r="C800" i="11"/>
  <c r="C801" i="11" a="1"/>
  <c r="C801" i="11"/>
  <c r="C802" i="11" a="1"/>
  <c r="C802" i="11"/>
  <c r="C803" i="11" a="1"/>
  <c r="C803" i="11"/>
  <c r="C804" i="11" a="1"/>
  <c r="C804" i="11"/>
  <c r="C805" i="11" a="1"/>
  <c r="C805" i="11"/>
  <c r="C806" i="11" a="1"/>
  <c r="C806" i="11"/>
  <c r="C807" i="11" a="1"/>
  <c r="C807" i="11"/>
  <c r="C808" i="11" a="1"/>
  <c r="C808" i="11"/>
  <c r="C809" i="11" a="1"/>
  <c r="C809" i="11"/>
  <c r="C810" i="11" a="1"/>
  <c r="C810" i="11"/>
  <c r="C811" i="11" a="1"/>
  <c r="C811" i="11"/>
  <c r="C812" i="11" a="1"/>
  <c r="C812" i="11"/>
  <c r="C813" i="11" a="1"/>
  <c r="C813" i="11"/>
  <c r="C814" i="11" a="1"/>
  <c r="C814" i="11"/>
  <c r="C815" i="11" a="1"/>
  <c r="C815" i="11"/>
  <c r="C816" i="11" a="1"/>
  <c r="C816" i="11"/>
  <c r="C817" i="11" a="1"/>
  <c r="C817" i="11"/>
  <c r="C818" i="11" a="1"/>
  <c r="C818" i="11"/>
  <c r="C819" i="11" a="1"/>
  <c r="C819" i="11"/>
  <c r="C820" i="11" a="1"/>
  <c r="C820" i="11"/>
  <c r="C821" i="11" a="1"/>
  <c r="C821" i="11"/>
  <c r="C822" i="11" a="1"/>
  <c r="C822" i="11"/>
  <c r="C823" i="11" a="1"/>
  <c r="C823" i="11"/>
  <c r="C824" i="11" a="1"/>
  <c r="C824" i="11"/>
  <c r="C825" i="11" a="1"/>
  <c r="C825" i="11"/>
  <c r="C826" i="11" a="1"/>
  <c r="C826" i="11"/>
  <c r="C827" i="11" a="1"/>
  <c r="C827" i="11"/>
  <c r="C828" i="11" a="1"/>
  <c r="C828" i="11"/>
  <c r="C829" i="11" a="1"/>
  <c r="C829" i="11"/>
  <c r="C830" i="11" a="1"/>
  <c r="C830" i="11"/>
  <c r="C831" i="11" a="1"/>
  <c r="C831" i="11"/>
  <c r="C832" i="11" a="1"/>
  <c r="C832" i="11"/>
  <c r="C833" i="11" a="1"/>
  <c r="C833" i="11"/>
  <c r="C834" i="11" a="1"/>
  <c r="C834" i="11"/>
  <c r="C835" i="11" a="1"/>
  <c r="C835" i="11"/>
  <c r="C836" i="11" a="1"/>
  <c r="C836" i="11"/>
  <c r="C837" i="11" a="1"/>
  <c r="C837" i="11"/>
  <c r="C838" i="11" a="1"/>
  <c r="C838" i="11"/>
  <c r="C839" i="11" a="1"/>
  <c r="C839" i="11"/>
  <c r="C840" i="11" a="1"/>
  <c r="C840" i="11"/>
  <c r="C841" i="11" a="1"/>
  <c r="C841" i="11"/>
  <c r="C842" i="11" a="1"/>
  <c r="C842" i="11"/>
  <c r="C843" i="11" a="1"/>
  <c r="C843" i="11"/>
  <c r="C844" i="11" a="1"/>
  <c r="C844" i="11"/>
  <c r="C845" i="11" a="1"/>
  <c r="C845" i="11"/>
  <c r="C846" i="11" a="1"/>
  <c r="C846" i="11"/>
  <c r="C847" i="11" a="1"/>
  <c r="C847" i="11"/>
  <c r="C848" i="11" a="1"/>
  <c r="C848" i="11"/>
  <c r="C849" i="11" a="1"/>
  <c r="C849" i="11"/>
  <c r="C850" i="11" a="1"/>
  <c r="C850" i="11"/>
  <c r="C851" i="11" a="1"/>
  <c r="C851" i="11"/>
  <c r="C852" i="11" a="1"/>
  <c r="C852" i="11"/>
  <c r="C853" i="11" a="1"/>
  <c r="C853" i="11"/>
  <c r="C854" i="11" a="1"/>
  <c r="C854" i="11"/>
  <c r="C855" i="11" a="1"/>
  <c r="C855" i="11"/>
  <c r="C856" i="11" a="1"/>
  <c r="C856" i="11"/>
  <c r="C857" i="11" a="1"/>
  <c r="C857" i="11"/>
  <c r="C858" i="11" a="1"/>
  <c r="C858" i="11"/>
  <c r="C859" i="11" a="1"/>
  <c r="C859" i="11"/>
  <c r="C860" i="11" a="1"/>
  <c r="C860" i="11"/>
  <c r="C861" i="11" a="1"/>
  <c r="C861" i="11"/>
  <c r="C862" i="11" a="1"/>
  <c r="C862" i="11"/>
  <c r="C863" i="11" a="1"/>
  <c r="C863" i="11"/>
  <c r="C864" i="11" a="1"/>
  <c r="C864" i="11"/>
  <c r="C865" i="11" a="1"/>
  <c r="C865" i="11"/>
  <c r="C866" i="11" a="1"/>
  <c r="C866" i="11"/>
  <c r="C867" i="11" a="1"/>
  <c r="C867" i="11"/>
  <c r="C868" i="11" a="1"/>
  <c r="C868" i="11"/>
  <c r="C869" i="11" a="1"/>
  <c r="C869" i="11"/>
  <c r="C870" i="11" a="1"/>
  <c r="C870" i="11"/>
  <c r="C871" i="11" a="1"/>
  <c r="C871" i="11"/>
  <c r="C872" i="11" a="1"/>
  <c r="C872" i="11"/>
  <c r="C873" i="11" a="1"/>
  <c r="C873" i="11"/>
  <c r="C874" i="11" a="1"/>
  <c r="C874" i="11"/>
  <c r="C875" i="11" a="1"/>
  <c r="C875" i="11"/>
  <c r="C876" i="11" a="1"/>
  <c r="C876" i="11"/>
  <c r="C877" i="11" a="1"/>
  <c r="C877" i="11"/>
  <c r="C878" i="11" a="1"/>
  <c r="C878" i="11"/>
  <c r="C879" i="11" a="1"/>
  <c r="C879" i="11"/>
  <c r="C880" i="11" a="1"/>
  <c r="C880" i="11"/>
  <c r="C881" i="11" a="1"/>
  <c r="C881" i="11"/>
  <c r="C882" i="11" a="1"/>
  <c r="C882" i="11"/>
  <c r="C883" i="11" a="1"/>
  <c r="C883" i="11"/>
  <c r="C884" i="11" a="1"/>
  <c r="C884" i="11"/>
  <c r="C885" i="11" a="1"/>
  <c r="C885" i="11"/>
  <c r="C886" i="11" a="1"/>
  <c r="C886" i="11"/>
  <c r="C887" i="11" a="1"/>
  <c r="C887" i="11"/>
  <c r="C888" i="11" a="1"/>
  <c r="C888" i="11"/>
  <c r="C889" i="11" a="1"/>
  <c r="C889" i="11"/>
  <c r="C890" i="11" a="1"/>
  <c r="C890" i="11"/>
  <c r="C891" i="11" a="1"/>
  <c r="C891" i="11"/>
  <c r="C892" i="11" a="1"/>
  <c r="C892" i="11"/>
  <c r="C893" i="11" a="1"/>
  <c r="C893" i="11"/>
  <c r="C894" i="11" a="1"/>
  <c r="C894" i="11"/>
  <c r="C895" i="11" a="1"/>
  <c r="C895" i="11"/>
  <c r="C896" i="11" a="1"/>
  <c r="C896" i="11"/>
  <c r="C897" i="11" a="1"/>
  <c r="C897" i="11"/>
  <c r="C898" i="11" a="1"/>
  <c r="C898" i="11"/>
  <c r="C899" i="11" a="1"/>
  <c r="C899" i="11"/>
  <c r="C900" i="11" a="1"/>
  <c r="C900" i="11"/>
  <c r="C901" i="11" a="1"/>
  <c r="C901" i="11"/>
  <c r="C902" i="11" a="1"/>
  <c r="C902" i="11"/>
  <c r="C903" i="11" a="1"/>
  <c r="C903" i="11"/>
  <c r="C904" i="11" a="1"/>
  <c r="C904" i="11"/>
  <c r="C905" i="11" a="1"/>
  <c r="C905" i="11"/>
  <c r="C906" i="11" a="1"/>
  <c r="C906" i="11"/>
  <c r="C907" i="11" a="1"/>
  <c r="C907" i="11"/>
  <c r="C908" i="11" a="1"/>
  <c r="C908" i="11"/>
  <c r="C909" i="11" a="1"/>
  <c r="C909" i="11"/>
  <c r="C910" i="11" a="1"/>
  <c r="C910" i="11"/>
  <c r="C911" i="11" a="1"/>
  <c r="C911" i="11"/>
  <c r="C912" i="11" a="1"/>
  <c r="C912" i="11"/>
  <c r="C913" i="11" a="1"/>
  <c r="C913" i="11"/>
  <c r="C914" i="11" a="1"/>
  <c r="C914" i="11"/>
  <c r="C915" i="11" a="1"/>
  <c r="C915" i="11"/>
  <c r="C916" i="11" a="1"/>
  <c r="C916" i="11"/>
  <c r="C917" i="11" a="1"/>
  <c r="C917" i="11"/>
  <c r="C918" i="11" a="1"/>
  <c r="C918" i="11"/>
  <c r="C919" i="11" a="1"/>
  <c r="C919" i="11"/>
  <c r="C920" i="11" a="1"/>
  <c r="C920" i="11"/>
  <c r="C921" i="11" a="1"/>
  <c r="C921" i="11"/>
  <c r="C922" i="11" a="1"/>
  <c r="C922" i="11"/>
  <c r="C923" i="11" a="1"/>
  <c r="C923" i="11"/>
  <c r="C924" i="11" a="1"/>
  <c r="C924" i="11"/>
  <c r="C925" i="11" a="1"/>
  <c r="C925" i="11"/>
  <c r="C926" i="11" a="1"/>
  <c r="C926" i="11"/>
  <c r="C927" i="11" a="1"/>
  <c r="C927" i="11"/>
  <c r="C928" i="11" a="1"/>
  <c r="C928" i="11"/>
  <c r="C929" i="11" a="1"/>
  <c r="C929" i="11"/>
  <c r="C930" i="11" a="1"/>
  <c r="C930" i="11"/>
  <c r="C931" i="11" a="1"/>
  <c r="C931" i="11"/>
  <c r="C932" i="11" a="1"/>
  <c r="C932" i="11"/>
  <c r="C933" i="11" a="1"/>
  <c r="C933" i="11"/>
  <c r="C934" i="11" a="1"/>
  <c r="C934" i="11"/>
  <c r="C935" i="11" a="1"/>
  <c r="C935" i="11"/>
  <c r="C936" i="11" a="1"/>
  <c r="C936" i="11"/>
  <c r="C937" i="11" a="1"/>
  <c r="C937" i="11"/>
  <c r="C938" i="11" a="1"/>
  <c r="C938" i="11"/>
  <c r="C939" i="11" a="1"/>
  <c r="C939" i="11"/>
  <c r="C940" i="11" a="1"/>
  <c r="C940" i="11"/>
  <c r="C941" i="11" a="1"/>
  <c r="C941" i="11"/>
  <c r="C942" i="11" a="1"/>
  <c r="C942" i="11"/>
  <c r="C943" i="11" a="1"/>
  <c r="C943" i="11"/>
  <c r="C944" i="11" a="1"/>
  <c r="C944" i="11"/>
  <c r="C945" i="11" a="1"/>
  <c r="C945" i="11"/>
  <c r="C946" i="11" a="1"/>
  <c r="C946" i="11"/>
  <c r="C947" i="11" a="1"/>
  <c r="C947" i="11"/>
  <c r="C948" i="11" a="1"/>
  <c r="C948" i="11"/>
  <c r="C949" i="11" a="1"/>
  <c r="C949" i="11"/>
  <c r="C950" i="11" a="1"/>
  <c r="C950" i="11"/>
  <c r="C951" i="11" a="1"/>
  <c r="C951" i="11"/>
  <c r="C952" i="11" a="1"/>
  <c r="C952" i="11"/>
  <c r="C953" i="11" a="1"/>
  <c r="C953" i="11"/>
  <c r="C954" i="11" a="1"/>
  <c r="C954" i="11"/>
  <c r="C955" i="11" a="1"/>
  <c r="C955" i="11"/>
  <c r="C956" i="11" a="1"/>
  <c r="C956" i="11"/>
  <c r="C957" i="11" a="1"/>
  <c r="C957" i="11"/>
  <c r="C958" i="11" a="1"/>
  <c r="C958" i="11"/>
  <c r="C959" i="11" a="1"/>
  <c r="C959" i="11"/>
  <c r="C960" i="11" a="1"/>
  <c r="C960" i="11"/>
  <c r="C961" i="11" a="1"/>
  <c r="C961" i="11"/>
  <c r="C962" i="11" a="1"/>
  <c r="C962" i="11"/>
  <c r="C963" i="11" a="1"/>
  <c r="C963" i="11"/>
  <c r="C964" i="11" a="1"/>
  <c r="C964" i="11"/>
  <c r="C965" i="11" a="1"/>
  <c r="C965" i="11"/>
  <c r="C966" i="11" a="1"/>
  <c r="C966" i="11"/>
  <c r="C967" i="11" a="1"/>
  <c r="C967" i="11"/>
  <c r="C968" i="11" a="1"/>
  <c r="C968" i="11"/>
  <c r="C969" i="11" a="1"/>
  <c r="C969" i="11"/>
  <c r="C970" i="11" a="1"/>
  <c r="C970" i="11"/>
  <c r="C971" i="11" a="1"/>
  <c r="C971" i="11"/>
  <c r="C972" i="11" a="1"/>
  <c r="C972" i="11"/>
  <c r="C973" i="11" a="1"/>
  <c r="C973" i="11"/>
  <c r="C974" i="11" a="1"/>
  <c r="C974" i="11"/>
  <c r="C975" i="11" a="1"/>
  <c r="C975" i="11"/>
  <c r="C976" i="11" a="1"/>
  <c r="C976" i="11"/>
  <c r="C977" i="11" a="1"/>
  <c r="C977" i="11"/>
  <c r="C978" i="11" a="1"/>
  <c r="C978" i="11"/>
  <c r="C979" i="11" a="1"/>
  <c r="C979" i="11"/>
  <c r="C980" i="11" a="1"/>
  <c r="C980" i="11"/>
  <c r="C981" i="11" a="1"/>
  <c r="C981" i="11"/>
  <c r="C982" i="11" a="1"/>
  <c r="C982" i="11"/>
  <c r="C983" i="11" a="1"/>
  <c r="C983" i="11"/>
  <c r="C984" i="11" a="1"/>
  <c r="C984" i="11"/>
  <c r="C985" i="11" a="1"/>
  <c r="C985" i="11"/>
  <c r="C986" i="11" a="1"/>
  <c r="C986" i="11"/>
  <c r="C987" i="11" a="1"/>
  <c r="C987" i="11"/>
  <c r="C988" i="11" a="1"/>
  <c r="C988" i="11"/>
  <c r="C989" i="11" a="1"/>
  <c r="C989" i="11"/>
  <c r="C990" i="11" a="1"/>
  <c r="C990" i="11"/>
  <c r="C991" i="11" a="1"/>
  <c r="C991" i="11"/>
  <c r="C992" i="11" a="1"/>
  <c r="C992" i="11"/>
  <c r="C993" i="11" a="1"/>
  <c r="C993" i="11"/>
  <c r="C994" i="11" a="1"/>
  <c r="C994" i="11"/>
  <c r="C995" i="11" a="1"/>
  <c r="C995" i="11"/>
  <c r="C996" i="11" a="1"/>
  <c r="C996" i="11"/>
  <c r="C997" i="11" a="1"/>
  <c r="C997" i="11"/>
  <c r="C998" i="11" a="1"/>
  <c r="C998" i="11"/>
  <c r="C999" i="11" a="1"/>
  <c r="C999" i="11"/>
  <c r="C1000" i="11" a="1"/>
  <c r="C1000" i="11"/>
  <c r="C1001" i="11" a="1"/>
  <c r="C1001" i="11"/>
  <c r="C1002" i="11" a="1"/>
  <c r="C1002" i="11"/>
  <c r="C1003" i="11" a="1"/>
  <c r="C1003" i="11"/>
  <c r="C1004" i="11" a="1"/>
  <c r="C1004" i="11"/>
  <c r="C1005" i="11" a="1"/>
  <c r="C1005" i="11"/>
  <c r="C1006" i="11" a="1"/>
  <c r="C1006" i="11"/>
  <c r="C1007" i="11" a="1"/>
  <c r="C1007" i="11"/>
  <c r="C1008" i="11" a="1"/>
  <c r="C1008" i="11"/>
  <c r="C1009" i="11" a="1"/>
  <c r="C1009" i="11"/>
  <c r="C1010" i="11" a="1"/>
  <c r="C1010" i="11"/>
  <c r="C1011" i="11" a="1"/>
  <c r="C1011" i="11"/>
  <c r="C1012" i="11" a="1"/>
  <c r="C1012" i="11"/>
  <c r="C1013" i="11" a="1"/>
  <c r="C1013" i="11"/>
  <c r="C1014" i="11" a="1"/>
  <c r="C1014" i="11"/>
  <c r="C1015" i="11" a="1"/>
  <c r="C1015" i="11"/>
  <c r="C1016" i="11" a="1"/>
  <c r="C1016" i="11"/>
  <c r="C1017" i="11" a="1"/>
  <c r="C1017" i="11"/>
  <c r="C1018" i="11" a="1"/>
  <c r="C1018" i="11"/>
  <c r="C1019" i="11" a="1"/>
  <c r="C1019" i="11"/>
  <c r="C1020" i="11" a="1"/>
  <c r="C1020" i="11"/>
  <c r="C1021" i="11" a="1"/>
  <c r="C1021" i="11"/>
  <c r="C1022" i="11" a="1"/>
  <c r="C1022" i="11"/>
  <c r="C1023" i="11" a="1"/>
  <c r="C1023" i="11"/>
  <c r="C1024" i="11" a="1"/>
  <c r="C1024" i="11"/>
  <c r="C1025" i="11" a="1"/>
  <c r="C1025" i="11"/>
  <c r="C1026" i="11" a="1"/>
  <c r="C1026" i="11"/>
  <c r="C1027" i="11" a="1"/>
  <c r="C1027" i="11"/>
  <c r="C1028" i="11" a="1"/>
  <c r="C1028" i="11"/>
  <c r="C1029" i="11" a="1"/>
  <c r="C1029" i="11"/>
  <c r="C1030" i="11" a="1"/>
  <c r="C1030" i="11"/>
  <c r="C1031" i="11" a="1"/>
  <c r="C1031" i="11"/>
  <c r="C1032" i="11" a="1"/>
  <c r="C1032" i="11"/>
  <c r="C1033" i="11" a="1"/>
  <c r="C1033" i="11"/>
  <c r="C1034" i="11" a="1"/>
  <c r="C1034" i="11"/>
  <c r="C1035" i="11" a="1"/>
  <c r="C1035" i="11"/>
  <c r="C1036" i="11" a="1"/>
  <c r="C1036" i="11"/>
  <c r="C1037" i="11" a="1"/>
  <c r="C1037" i="11"/>
  <c r="C1038" i="11" a="1"/>
  <c r="C1038" i="11"/>
  <c r="C1039" i="11" a="1"/>
  <c r="C1039" i="11"/>
  <c r="C1040" i="11" a="1"/>
  <c r="C1040" i="11"/>
  <c r="C1041" i="11" a="1"/>
  <c r="C1041" i="11"/>
  <c r="C1042" i="11" a="1"/>
  <c r="C1042" i="11"/>
  <c r="C1043" i="11" a="1"/>
  <c r="C1043" i="11"/>
  <c r="C1044" i="11" a="1"/>
  <c r="C1044" i="11"/>
  <c r="C1045" i="11" a="1"/>
  <c r="C1045" i="11"/>
  <c r="C1046" i="11" a="1"/>
  <c r="C1046" i="11"/>
  <c r="C1047" i="11" a="1"/>
  <c r="C1047" i="11"/>
  <c r="C1048" i="11" a="1"/>
  <c r="C1048" i="11"/>
  <c r="C1049" i="11" a="1"/>
  <c r="C1049" i="11"/>
  <c r="C1050" i="11" a="1"/>
  <c r="C1050" i="11"/>
  <c r="C1051" i="11" a="1"/>
  <c r="C1051" i="11"/>
  <c r="C1052" i="11" a="1"/>
  <c r="C1052" i="11"/>
  <c r="C1053" i="11" a="1"/>
  <c r="C1053" i="11"/>
  <c r="C1054" i="11" a="1"/>
  <c r="C1054" i="11"/>
  <c r="C1055" i="11" a="1"/>
  <c r="C1055" i="11"/>
  <c r="C1056" i="11" a="1"/>
  <c r="C1056" i="11"/>
  <c r="C1057" i="11" a="1"/>
  <c r="C1057" i="11"/>
  <c r="C1058" i="11" a="1"/>
  <c r="C1058" i="11"/>
  <c r="C1059" i="11" a="1"/>
  <c r="C1059" i="11"/>
  <c r="C1060" i="11" a="1"/>
  <c r="C1060" i="11"/>
  <c r="C1061" i="11" a="1"/>
  <c r="C1061" i="11"/>
  <c r="C1062" i="11" a="1"/>
  <c r="C1062" i="11"/>
  <c r="C1063" i="11" a="1"/>
  <c r="C1063" i="11"/>
  <c r="C1064" i="11" a="1"/>
  <c r="C1064" i="11"/>
  <c r="C1065" i="11" a="1"/>
  <c r="C1065" i="11"/>
  <c r="C1066" i="11" a="1"/>
  <c r="C1066" i="11"/>
  <c r="C1067" i="11" a="1"/>
  <c r="C1067" i="11"/>
  <c r="C1068" i="11" a="1"/>
  <c r="C1068" i="11"/>
  <c r="C1069" i="11" a="1"/>
  <c r="C1069" i="11"/>
  <c r="C1070" i="11" a="1"/>
  <c r="C1070" i="11"/>
  <c r="C1071" i="11" a="1"/>
  <c r="C1071" i="11"/>
  <c r="C1072" i="11" a="1"/>
  <c r="C1072" i="11"/>
  <c r="C1073" i="11" a="1"/>
  <c r="C1073" i="11"/>
  <c r="C1074" i="11" a="1"/>
  <c r="C1074" i="11"/>
  <c r="C1075" i="11" a="1"/>
  <c r="C1075" i="11"/>
  <c r="C1076" i="11" a="1"/>
  <c r="C1076" i="11"/>
  <c r="C1077" i="11" a="1"/>
  <c r="C1077" i="11"/>
  <c r="C1078" i="11" a="1"/>
  <c r="C1078" i="11"/>
  <c r="C1079" i="11" a="1"/>
  <c r="C1079" i="11"/>
  <c r="C1080" i="11" a="1"/>
  <c r="C1080" i="11"/>
  <c r="C1081" i="11" a="1"/>
  <c r="C1081" i="11"/>
  <c r="C1082" i="11" a="1"/>
  <c r="C1082" i="11"/>
  <c r="C1083" i="11" a="1"/>
  <c r="C1083" i="11"/>
  <c r="C1084" i="11" a="1"/>
  <c r="C1084" i="11"/>
  <c r="C1085" i="11" a="1"/>
  <c r="C1085" i="11"/>
  <c r="C1086" i="11" a="1"/>
  <c r="C1086" i="11"/>
  <c r="C1087" i="11" a="1"/>
  <c r="C1087" i="11"/>
  <c r="C1088" i="11" a="1"/>
  <c r="C1088" i="11"/>
  <c r="C1089" i="11" a="1"/>
  <c r="C1089" i="11"/>
  <c r="C1090" i="11" a="1"/>
  <c r="C1090" i="11"/>
  <c r="C1091" i="11" a="1"/>
  <c r="C1091" i="11"/>
  <c r="C1092" i="11" a="1"/>
  <c r="C1092" i="11"/>
  <c r="C1093" i="11" a="1"/>
  <c r="C1093" i="11"/>
  <c r="C1094" i="11" a="1"/>
  <c r="C1094" i="11"/>
  <c r="C1095" i="11" a="1"/>
  <c r="C1095" i="11"/>
  <c r="C1096" i="11" a="1"/>
  <c r="C1096" i="11"/>
  <c r="C1097" i="11" a="1"/>
  <c r="C1097" i="11"/>
  <c r="C1098" i="11" a="1"/>
  <c r="C1098" i="11"/>
  <c r="C1099" i="11" a="1"/>
  <c r="C1099" i="11"/>
  <c r="C1100" i="11" a="1"/>
  <c r="C1100" i="11"/>
  <c r="C1101" i="11" a="1"/>
  <c r="C1101" i="11"/>
  <c r="C1102" i="11" a="1"/>
  <c r="C1102" i="11"/>
  <c r="C1103" i="11" a="1"/>
  <c r="C1103" i="11"/>
  <c r="C1104" i="11" a="1"/>
  <c r="C1104" i="11"/>
  <c r="C1105" i="11" a="1"/>
  <c r="C1105" i="11"/>
  <c r="C1106" i="11" a="1"/>
  <c r="C1106" i="11"/>
  <c r="C1107" i="11" a="1"/>
  <c r="C1107" i="11"/>
  <c r="C1108" i="11" a="1"/>
  <c r="C1108" i="11"/>
  <c r="C1109" i="11" a="1"/>
  <c r="C1109" i="11"/>
  <c r="C1110" i="11" a="1"/>
  <c r="C1110" i="11"/>
  <c r="C1111" i="11" a="1"/>
  <c r="C1111" i="11"/>
  <c r="C1112" i="11" a="1"/>
  <c r="C1112" i="11"/>
  <c r="C1113" i="11" a="1"/>
  <c r="C1113" i="11"/>
  <c r="C1114" i="11" a="1"/>
  <c r="C1114" i="11"/>
  <c r="C1115" i="11" a="1"/>
  <c r="C1115" i="11"/>
  <c r="C1116" i="11" a="1"/>
  <c r="C1116" i="11"/>
  <c r="C1117" i="11" a="1"/>
  <c r="C1117" i="11"/>
  <c r="C1118" i="11" a="1"/>
  <c r="C1118" i="11"/>
  <c r="C1119" i="11" a="1"/>
  <c r="C1119" i="11"/>
  <c r="C1120" i="11" a="1"/>
  <c r="C1120" i="11"/>
  <c r="C1121" i="11" a="1"/>
  <c r="C1121" i="11"/>
  <c r="C1122" i="11" a="1"/>
  <c r="C1122" i="11"/>
  <c r="C1123" i="11" a="1"/>
  <c r="C1123" i="11"/>
  <c r="C1124" i="11" a="1"/>
  <c r="C1124" i="11"/>
  <c r="C1125" i="11" a="1"/>
  <c r="C1125" i="11"/>
  <c r="C1126" i="11" a="1"/>
  <c r="C1126" i="11"/>
  <c r="C1127" i="11" a="1"/>
  <c r="C1127" i="11"/>
  <c r="C1128" i="11" a="1"/>
  <c r="C1128" i="11"/>
  <c r="C1129" i="11" a="1"/>
  <c r="C1129" i="11"/>
  <c r="C1130" i="11" a="1"/>
  <c r="C1130" i="11"/>
  <c r="C1131" i="11" a="1"/>
  <c r="C1131" i="11"/>
  <c r="C1132" i="11" a="1"/>
  <c r="C1132" i="11"/>
  <c r="C1133" i="11" a="1"/>
  <c r="C1133" i="11"/>
  <c r="C1134" i="11" a="1"/>
  <c r="C1134" i="11"/>
  <c r="C1135" i="11" a="1"/>
  <c r="C1135" i="11"/>
  <c r="C1136" i="11" a="1"/>
  <c r="C1136" i="11"/>
  <c r="C1137" i="11" a="1"/>
  <c r="C1137" i="11"/>
  <c r="C1138" i="11" a="1"/>
  <c r="C1138" i="11"/>
  <c r="C1139" i="11" a="1"/>
  <c r="C1139" i="11"/>
  <c r="C1140" i="11" a="1"/>
  <c r="C1140" i="11"/>
  <c r="C1141" i="11" a="1"/>
  <c r="C1141" i="11"/>
  <c r="C1142" i="11" a="1"/>
  <c r="C1142" i="11"/>
  <c r="C1143" i="11" a="1"/>
  <c r="C1143" i="11"/>
  <c r="C1144" i="11" a="1"/>
  <c r="C1144" i="11"/>
  <c r="C1145" i="11" a="1"/>
  <c r="C1145" i="11"/>
  <c r="C1146" i="11" a="1"/>
  <c r="C1146" i="11"/>
  <c r="C1147" i="11" a="1"/>
  <c r="C1147" i="11"/>
  <c r="C1148" i="11" a="1"/>
  <c r="C1148" i="11"/>
  <c r="C1149" i="11" a="1"/>
  <c r="C1149" i="11"/>
  <c r="C1150" i="11" a="1"/>
  <c r="C1150" i="11"/>
  <c r="C1151" i="11" a="1"/>
  <c r="C1151" i="11"/>
  <c r="C1152" i="11" a="1"/>
  <c r="C1152" i="11"/>
  <c r="C1153" i="11" a="1"/>
  <c r="C1153" i="11"/>
  <c r="C1154" i="11" a="1"/>
  <c r="C1154" i="11"/>
  <c r="C1155" i="11" a="1"/>
  <c r="C1155" i="11"/>
  <c r="C1156" i="11" a="1"/>
  <c r="C1156" i="11"/>
  <c r="C1157" i="11" a="1"/>
  <c r="C1157" i="11"/>
  <c r="C1158" i="11" a="1"/>
  <c r="C1158" i="11"/>
  <c r="C1159" i="11" a="1"/>
  <c r="C1159" i="11"/>
  <c r="C1160" i="11" a="1"/>
  <c r="C1160" i="11"/>
  <c r="C1161" i="11" a="1"/>
  <c r="C1161" i="11"/>
  <c r="C1162" i="11" a="1"/>
  <c r="C1162" i="11"/>
  <c r="C1163" i="11" a="1"/>
  <c r="C1163" i="11"/>
  <c r="C1164" i="11" a="1"/>
  <c r="C1164" i="11"/>
  <c r="C1165" i="11" a="1"/>
  <c r="C1165" i="11"/>
  <c r="C1166" i="11" a="1"/>
  <c r="C1166" i="11"/>
  <c r="C1167" i="11" a="1"/>
  <c r="C1167" i="11"/>
  <c r="C1168" i="11" a="1"/>
  <c r="C1168" i="11"/>
  <c r="C1169" i="11" a="1"/>
  <c r="C1169" i="11"/>
  <c r="C1170" i="11" a="1"/>
  <c r="C1170" i="11"/>
  <c r="C1171" i="11" a="1"/>
  <c r="C1171" i="11"/>
  <c r="C1172" i="11" a="1"/>
  <c r="C1172" i="11"/>
  <c r="C1173" i="11" a="1"/>
  <c r="C1173" i="11"/>
  <c r="C1174" i="11" a="1"/>
  <c r="C1174" i="11"/>
  <c r="C1175" i="11" a="1"/>
  <c r="C1175" i="11"/>
  <c r="C1176" i="11" a="1"/>
  <c r="C1176" i="11"/>
  <c r="C1177" i="11" a="1"/>
  <c r="C1177" i="11"/>
  <c r="C1178" i="11" a="1"/>
  <c r="C1178" i="11"/>
  <c r="C1179" i="11" a="1"/>
  <c r="C1179" i="11"/>
  <c r="C1180" i="11" a="1"/>
  <c r="C1180" i="11"/>
  <c r="C1181" i="11" a="1"/>
  <c r="C1181" i="11"/>
  <c r="C1182" i="11" a="1"/>
  <c r="C1182" i="11"/>
  <c r="C1183" i="11" a="1"/>
  <c r="C1183" i="11"/>
  <c r="C1184" i="11" a="1"/>
  <c r="C1184" i="11"/>
  <c r="C1185" i="11" a="1"/>
  <c r="C1185" i="11"/>
  <c r="C1186" i="11" a="1"/>
  <c r="C1186" i="11"/>
  <c r="C1187" i="11" a="1"/>
  <c r="C1187" i="11"/>
  <c r="C1188" i="11" a="1"/>
  <c r="C1188" i="11"/>
  <c r="C1189" i="11" a="1"/>
  <c r="C1189" i="11"/>
  <c r="C1190" i="11" a="1"/>
  <c r="C1190" i="11"/>
  <c r="C1191" i="11" a="1"/>
  <c r="C1191" i="11"/>
  <c r="C1192" i="11" a="1"/>
  <c r="C1192" i="11"/>
  <c r="C1193" i="11" a="1"/>
  <c r="C1193" i="11"/>
  <c r="C1194" i="11" a="1"/>
  <c r="C1194" i="11"/>
  <c r="C1195" i="11" a="1"/>
  <c r="C1195" i="11"/>
  <c r="C1196" i="11" a="1"/>
  <c r="C1196" i="11"/>
  <c r="C1197" i="11" a="1"/>
  <c r="C1197" i="11"/>
  <c r="C1198" i="11" a="1"/>
  <c r="C1198" i="11"/>
  <c r="C1199" i="11" a="1"/>
  <c r="C1199" i="11"/>
  <c r="C1200" i="11" a="1"/>
  <c r="C1200" i="11"/>
  <c r="C1201" i="11" a="1"/>
  <c r="C1201" i="11"/>
  <c r="C1202" i="11" a="1"/>
  <c r="C1202" i="11"/>
  <c r="C1203" i="11" a="1"/>
  <c r="C1203" i="11"/>
  <c r="C1204" i="11" a="1"/>
  <c r="C1204" i="11"/>
  <c r="C1205" i="11" a="1"/>
  <c r="C1205" i="11"/>
  <c r="C1206" i="11" a="1"/>
  <c r="C1206" i="11"/>
  <c r="C1207" i="11" a="1"/>
  <c r="C1207" i="11"/>
  <c r="C1208" i="11" a="1"/>
  <c r="C1208" i="11"/>
  <c r="C1209" i="11" a="1"/>
  <c r="C1209" i="11"/>
  <c r="C1210" i="11" a="1"/>
  <c r="C1210" i="11"/>
  <c r="C1211" i="11" a="1"/>
  <c r="C1211" i="11"/>
  <c r="C1212" i="11" a="1"/>
  <c r="C1212" i="11"/>
  <c r="C1213" i="11" a="1"/>
  <c r="C1213" i="11"/>
  <c r="C1214" i="11" a="1"/>
  <c r="C1214" i="11"/>
  <c r="C1215" i="11" a="1"/>
  <c r="C1215" i="11"/>
  <c r="C1216" i="11" a="1"/>
  <c r="C1216" i="11"/>
  <c r="C1217" i="11" a="1"/>
  <c r="C1217" i="11"/>
  <c r="C1218" i="11" a="1"/>
  <c r="C1218" i="11"/>
  <c r="C1219" i="11" a="1"/>
  <c r="C1219" i="11"/>
  <c r="C1220" i="11" a="1"/>
  <c r="C1220" i="11"/>
  <c r="C1221" i="11" a="1"/>
  <c r="C1221" i="11"/>
  <c r="C1222" i="11" a="1"/>
  <c r="C1222" i="11"/>
  <c r="C1223" i="11" a="1"/>
  <c r="C1223" i="11"/>
  <c r="C1224" i="11" a="1"/>
  <c r="C1224" i="11"/>
  <c r="C1225" i="11" a="1"/>
  <c r="C1225" i="11"/>
  <c r="C1226" i="11" a="1"/>
  <c r="C1226" i="11"/>
  <c r="C1227" i="11" a="1"/>
  <c r="C1227" i="11"/>
  <c r="C1228" i="11" a="1"/>
  <c r="C1228" i="11"/>
  <c r="C1229" i="11" a="1"/>
  <c r="C1229" i="11"/>
  <c r="C1230" i="11" a="1"/>
  <c r="C1230" i="11"/>
  <c r="C1231" i="11" a="1"/>
  <c r="C1231" i="11"/>
  <c r="C1232" i="11" a="1"/>
  <c r="C1232" i="11"/>
  <c r="C1233" i="11" a="1"/>
  <c r="C1233" i="11"/>
  <c r="C1234" i="11" a="1"/>
  <c r="C1234" i="11"/>
  <c r="C1235" i="11" a="1"/>
  <c r="C1235" i="11"/>
  <c r="C1236" i="11" a="1"/>
  <c r="C1236" i="11"/>
  <c r="C1237" i="11" a="1"/>
  <c r="C1237" i="11"/>
  <c r="C1238" i="11" a="1"/>
  <c r="C1238" i="11"/>
  <c r="C1239" i="11" a="1"/>
  <c r="C1239" i="11"/>
  <c r="C1240" i="11" a="1"/>
  <c r="C1240" i="11"/>
  <c r="C1241" i="11" a="1"/>
  <c r="C1241" i="11"/>
  <c r="C1242" i="11" a="1"/>
  <c r="C1242" i="11"/>
  <c r="C1243" i="11" a="1"/>
  <c r="C1243" i="11"/>
  <c r="C1244" i="11" a="1"/>
  <c r="C1244" i="11"/>
  <c r="C1245" i="11" a="1"/>
  <c r="C1245" i="11"/>
  <c r="C1246" i="11" a="1"/>
  <c r="C1246" i="11"/>
  <c r="C1247" i="11" a="1"/>
  <c r="C1247" i="11"/>
  <c r="C1248" i="11" a="1"/>
  <c r="C1248" i="11"/>
  <c r="C1249" i="11" a="1"/>
  <c r="C1249" i="11"/>
  <c r="C1250" i="11" a="1"/>
  <c r="C1250" i="11"/>
  <c r="C1251" i="11" a="1"/>
  <c r="C1251" i="11"/>
  <c r="C1252" i="11" a="1"/>
  <c r="C1252" i="11"/>
  <c r="C1253" i="11" a="1"/>
  <c r="C1253" i="11"/>
  <c r="C1254" i="11" a="1"/>
  <c r="C1254" i="11"/>
  <c r="C1255" i="11" a="1"/>
  <c r="C1255" i="11"/>
  <c r="C1256" i="11" a="1"/>
  <c r="C1256" i="11"/>
  <c r="C1257" i="11" a="1"/>
  <c r="C1257" i="11"/>
  <c r="C1258" i="11" a="1"/>
  <c r="C1258" i="11"/>
  <c r="C1259" i="11" a="1"/>
  <c r="C1259" i="11"/>
  <c r="C1260" i="11" a="1"/>
  <c r="C1260" i="11"/>
  <c r="C1261" i="11" a="1"/>
  <c r="C1261" i="11"/>
  <c r="C1262" i="11" a="1"/>
  <c r="C1262" i="11"/>
  <c r="C1263" i="11" a="1"/>
  <c r="C1263" i="11"/>
  <c r="C1264" i="11" a="1"/>
  <c r="C1264" i="11"/>
  <c r="C1265" i="11" a="1"/>
  <c r="C1265" i="11"/>
  <c r="C1266" i="11" a="1"/>
  <c r="C1266" i="11"/>
  <c r="C1267" i="11" a="1"/>
  <c r="C1267" i="11"/>
  <c r="C1268" i="11" a="1"/>
  <c r="C1268" i="11"/>
  <c r="C1269" i="11" a="1"/>
  <c r="C1269" i="11"/>
  <c r="C1270" i="11" a="1"/>
  <c r="C1270" i="11"/>
  <c r="C1271" i="11" a="1"/>
  <c r="C1271" i="11"/>
  <c r="C1272" i="11" a="1"/>
  <c r="C1272" i="11"/>
  <c r="C1273" i="11" a="1"/>
  <c r="C1273" i="11"/>
  <c r="C1274" i="11" a="1"/>
  <c r="C1274" i="11"/>
  <c r="C1275" i="11" a="1"/>
  <c r="C1275" i="11"/>
  <c r="C1276" i="11" a="1"/>
  <c r="C1276" i="11"/>
  <c r="C1277" i="11" a="1"/>
  <c r="C1277" i="11"/>
  <c r="C1278" i="11" a="1"/>
  <c r="C1278" i="11"/>
  <c r="C1279" i="11" a="1"/>
  <c r="C1279" i="11"/>
  <c r="C1280" i="11" a="1"/>
  <c r="C1280" i="11"/>
  <c r="C1281" i="11" a="1"/>
  <c r="C1281" i="11"/>
  <c r="C1282" i="11" a="1"/>
  <c r="C1282" i="11"/>
  <c r="C1283" i="11" a="1"/>
  <c r="C1283" i="11"/>
  <c r="C1284" i="11" a="1"/>
  <c r="C1284" i="11"/>
  <c r="C1285" i="11" a="1"/>
  <c r="C1285" i="11"/>
  <c r="C1286" i="11" a="1"/>
  <c r="C1286" i="11"/>
  <c r="C1287" i="11" a="1"/>
  <c r="C1287" i="11"/>
  <c r="C1288" i="11" a="1"/>
  <c r="C1288" i="11"/>
  <c r="C1289" i="11" a="1"/>
  <c r="C1289" i="11"/>
  <c r="C1290" i="11" a="1"/>
  <c r="C1290" i="11"/>
  <c r="C1291" i="11" a="1"/>
  <c r="C1291" i="11"/>
  <c r="C1292" i="11" a="1"/>
  <c r="C1292" i="11"/>
  <c r="C1293" i="11" a="1"/>
  <c r="C1293" i="11"/>
  <c r="C1294" i="11" a="1"/>
  <c r="C1294" i="11"/>
  <c r="C1295" i="11" a="1"/>
  <c r="C1295" i="11"/>
  <c r="C1296" i="11" a="1"/>
  <c r="C1296" i="11"/>
  <c r="C1297" i="11" a="1"/>
  <c r="C1297" i="11"/>
  <c r="C1298" i="11" a="1"/>
  <c r="C1298" i="11"/>
  <c r="C1299" i="11" a="1"/>
  <c r="C1299" i="11"/>
  <c r="C1300" i="11" a="1"/>
  <c r="C1300" i="11"/>
  <c r="C1301" i="11" a="1"/>
  <c r="C1301" i="11"/>
  <c r="C1302" i="11" a="1"/>
  <c r="C1302" i="11"/>
  <c r="C1303" i="11" a="1"/>
  <c r="C1303" i="11"/>
  <c r="C1304" i="11" a="1"/>
  <c r="C1304" i="11"/>
  <c r="C1305" i="11" a="1"/>
  <c r="C1305" i="11"/>
  <c r="C1306" i="11" a="1"/>
  <c r="C1306" i="11"/>
  <c r="C1307" i="11" a="1"/>
  <c r="C1307" i="11"/>
  <c r="C1308" i="11" a="1"/>
  <c r="C1308" i="11"/>
  <c r="C1309" i="11" a="1"/>
  <c r="C1309" i="11"/>
  <c r="C1310" i="11" a="1"/>
  <c r="C1310" i="11"/>
  <c r="C1311" i="11" a="1"/>
  <c r="C1311" i="11"/>
  <c r="C1312" i="11" a="1"/>
  <c r="C1312" i="11"/>
  <c r="C1313" i="11" a="1"/>
  <c r="C1313" i="11"/>
  <c r="C1314" i="11" a="1"/>
  <c r="C1314" i="11"/>
  <c r="C1315" i="11" a="1"/>
  <c r="C1315" i="11"/>
  <c r="C1316" i="11" a="1"/>
  <c r="C1316" i="11"/>
  <c r="C1317" i="11" a="1"/>
  <c r="C1317" i="11"/>
  <c r="C1318" i="11" a="1"/>
  <c r="C1318" i="11"/>
  <c r="C1319" i="11" a="1"/>
  <c r="C1319" i="11"/>
  <c r="C1320" i="11" a="1"/>
  <c r="C1320" i="11"/>
  <c r="C1321" i="11" a="1"/>
  <c r="C1321" i="11"/>
  <c r="C1322" i="11" a="1"/>
  <c r="C1322" i="11"/>
  <c r="C1323" i="11" a="1"/>
  <c r="C1323" i="11"/>
  <c r="C1324" i="11" a="1"/>
  <c r="C1324" i="11"/>
  <c r="C1325" i="11" a="1"/>
  <c r="C1325" i="11"/>
  <c r="C1326" i="11" a="1"/>
  <c r="C1326" i="11"/>
  <c r="C1327" i="11" a="1"/>
  <c r="C1327" i="11"/>
  <c r="C1328" i="11" a="1"/>
  <c r="C1328" i="11"/>
  <c r="C1329" i="11" a="1"/>
  <c r="C1329" i="11"/>
  <c r="C1330" i="11" a="1"/>
  <c r="C1330" i="11"/>
  <c r="C1331" i="11" a="1"/>
  <c r="C1331" i="11"/>
  <c r="C1332" i="11" a="1"/>
  <c r="C1332" i="11"/>
  <c r="C1333" i="11" a="1"/>
  <c r="C1333" i="11"/>
  <c r="C1334" i="11" a="1"/>
  <c r="C1334" i="11"/>
  <c r="C1335" i="11" a="1"/>
  <c r="C1335" i="11"/>
  <c r="C1336" i="11" a="1"/>
  <c r="C1336" i="11"/>
  <c r="C1337" i="11" a="1"/>
  <c r="C1337" i="11"/>
  <c r="C1338" i="11" a="1"/>
  <c r="C1338" i="11"/>
  <c r="C1339" i="11" a="1"/>
  <c r="C1339" i="11"/>
  <c r="C1340" i="11" a="1"/>
  <c r="C1340" i="11"/>
  <c r="C1341" i="11" a="1"/>
  <c r="C1341" i="11"/>
  <c r="C1342" i="11" a="1"/>
  <c r="C1342" i="11"/>
  <c r="C1343" i="11" a="1"/>
  <c r="C1343" i="11"/>
  <c r="C1344" i="11" a="1"/>
  <c r="C1344" i="11"/>
  <c r="C1345" i="11" a="1"/>
  <c r="C1345" i="11"/>
  <c r="C1346" i="11" a="1"/>
  <c r="C1346" i="11"/>
  <c r="C1347" i="11" a="1"/>
  <c r="C1347" i="11"/>
  <c r="C1348" i="11" a="1"/>
  <c r="C1348" i="11"/>
  <c r="C1349" i="11" a="1"/>
  <c r="C1349" i="11"/>
  <c r="C1350" i="11" a="1"/>
  <c r="C1350" i="11"/>
  <c r="C1351" i="11" a="1"/>
  <c r="C1351" i="11"/>
  <c r="C1352" i="11" a="1"/>
  <c r="C1352" i="11"/>
  <c r="C1353" i="11" a="1"/>
  <c r="C1353" i="11"/>
  <c r="C1354" i="11" a="1"/>
  <c r="C1354" i="11"/>
  <c r="C1355" i="11" a="1"/>
  <c r="C1355" i="11"/>
  <c r="C1356" i="11" a="1"/>
  <c r="C1356" i="11"/>
  <c r="C1357" i="11" a="1"/>
  <c r="C1357" i="11"/>
  <c r="C1358" i="11" a="1"/>
  <c r="C1358" i="11"/>
  <c r="C1359" i="11" a="1"/>
  <c r="C1359" i="11"/>
  <c r="C1360" i="11" a="1"/>
  <c r="C1360" i="11"/>
  <c r="C1361" i="11" a="1"/>
  <c r="C1361" i="11"/>
  <c r="C1362" i="11" a="1"/>
  <c r="C1362" i="11"/>
  <c r="C1363" i="11" a="1"/>
  <c r="C1363" i="11"/>
  <c r="C1364" i="11" a="1"/>
  <c r="C1364" i="11"/>
  <c r="C1365" i="11" a="1"/>
  <c r="C1365" i="11"/>
  <c r="C1366" i="11" a="1"/>
  <c r="C1366" i="11"/>
  <c r="C1367" i="11" a="1"/>
  <c r="C1367" i="11"/>
  <c r="C1368" i="11" a="1"/>
  <c r="C1368" i="11"/>
  <c r="C1369" i="11" a="1"/>
  <c r="C1369" i="11"/>
  <c r="C1370" i="11" a="1"/>
  <c r="C1370" i="11"/>
  <c r="C1371" i="11" a="1"/>
  <c r="C1371" i="11"/>
  <c r="C1372" i="11" a="1"/>
  <c r="C1372" i="11"/>
  <c r="C1373" i="11" a="1"/>
  <c r="C1373" i="11"/>
  <c r="C1374" i="11" a="1"/>
  <c r="C1374" i="11"/>
  <c r="C1375" i="11" a="1"/>
  <c r="C1375" i="11"/>
  <c r="C1376" i="11" a="1"/>
  <c r="C1376" i="11"/>
  <c r="C1377" i="11" a="1"/>
  <c r="C1377" i="11"/>
  <c r="C1378" i="11" a="1"/>
  <c r="C1378" i="11"/>
  <c r="C1379" i="11" a="1"/>
  <c r="C1379" i="11"/>
  <c r="C1380" i="11" a="1"/>
  <c r="C1380" i="11"/>
  <c r="C1381" i="11" a="1"/>
  <c r="C1381" i="11"/>
  <c r="C1382" i="11" a="1"/>
  <c r="C1382" i="11"/>
  <c r="C1383" i="11" a="1"/>
  <c r="C1383" i="11"/>
  <c r="C1384" i="11" a="1"/>
  <c r="C1384" i="11"/>
  <c r="C1385" i="11" a="1"/>
  <c r="C1385" i="11"/>
  <c r="C1386" i="11" a="1"/>
  <c r="C1386" i="11"/>
  <c r="C1387" i="11" a="1"/>
  <c r="C1387" i="11"/>
  <c r="C1388" i="11" a="1"/>
  <c r="C1388" i="11"/>
  <c r="C1389" i="11" a="1"/>
  <c r="C1389" i="11"/>
  <c r="C1390" i="11" a="1"/>
  <c r="C1390" i="11"/>
  <c r="C1391" i="11" a="1"/>
  <c r="C1391" i="11"/>
  <c r="C1392" i="11" a="1"/>
  <c r="C1392" i="11"/>
  <c r="C1393" i="11" a="1"/>
  <c r="C1393" i="11"/>
  <c r="C1394" i="11" a="1"/>
  <c r="C1394" i="11"/>
  <c r="C1395" i="11" a="1"/>
  <c r="C1395" i="11"/>
  <c r="C1396" i="11" a="1"/>
  <c r="C1396" i="11"/>
  <c r="C1397" i="11" a="1"/>
  <c r="C1397" i="11"/>
  <c r="C1398" i="11" a="1"/>
  <c r="C1398" i="11"/>
  <c r="C1399" i="11" a="1"/>
  <c r="C1399" i="11"/>
  <c r="C1400" i="11" a="1"/>
  <c r="C1400" i="11"/>
  <c r="C1401" i="11" a="1"/>
  <c r="C1401" i="11"/>
  <c r="C1402" i="11" a="1"/>
  <c r="C1402" i="11"/>
  <c r="C1403" i="11" a="1"/>
  <c r="C1403" i="11"/>
  <c r="C1404" i="11" a="1"/>
  <c r="C1404" i="11"/>
  <c r="C1405" i="11" a="1"/>
  <c r="C1405" i="11"/>
  <c r="C1406" i="11" a="1"/>
  <c r="C1406" i="11"/>
  <c r="C1407" i="11" a="1"/>
  <c r="C1407" i="11"/>
  <c r="C1408" i="11" a="1"/>
  <c r="C1408" i="11"/>
  <c r="C1409" i="11" a="1"/>
  <c r="C1409" i="11"/>
  <c r="C1410" i="11" a="1"/>
  <c r="C1410" i="11"/>
  <c r="C1411" i="11" a="1"/>
  <c r="C1411" i="11"/>
  <c r="C1412" i="11" a="1"/>
  <c r="C1412" i="11"/>
  <c r="C1413" i="11" a="1"/>
  <c r="C1413" i="11"/>
  <c r="C1414" i="11" a="1"/>
  <c r="C1414" i="11"/>
  <c r="C1415" i="11" a="1"/>
  <c r="C1415" i="11"/>
  <c r="C1416" i="11" a="1"/>
  <c r="C1416" i="11"/>
  <c r="C1417" i="11" a="1"/>
  <c r="C1417" i="11"/>
  <c r="C1418" i="11" a="1"/>
  <c r="C1418" i="11"/>
  <c r="C1419" i="11" a="1"/>
  <c r="C1419" i="11"/>
  <c r="C1420" i="11" a="1"/>
  <c r="C1420" i="11"/>
  <c r="C1421" i="11" a="1"/>
  <c r="C1421" i="11"/>
  <c r="C1422" i="11" a="1"/>
  <c r="C1422" i="11"/>
  <c r="C1423" i="11" a="1"/>
  <c r="C1423" i="11"/>
  <c r="C1424" i="11" a="1"/>
  <c r="C1424" i="11"/>
  <c r="C1425" i="11" a="1"/>
  <c r="C1425" i="11"/>
  <c r="C1426" i="11" a="1"/>
  <c r="C1426" i="11"/>
  <c r="C1427" i="11" a="1"/>
  <c r="C1427" i="11"/>
  <c r="C1428" i="11" a="1"/>
  <c r="C1428" i="11"/>
  <c r="C1429" i="11" a="1"/>
  <c r="C1429" i="11"/>
  <c r="C1430" i="11" a="1"/>
  <c r="C1430" i="11"/>
  <c r="C1431" i="11" a="1"/>
  <c r="C1431" i="11"/>
  <c r="C1432" i="11" a="1"/>
  <c r="C1432" i="11"/>
  <c r="C1433" i="11" a="1"/>
  <c r="C1433" i="11"/>
  <c r="C1434" i="11" a="1"/>
  <c r="C1434" i="11"/>
  <c r="C1435" i="11" a="1"/>
  <c r="C1435" i="11"/>
  <c r="C1436" i="11" a="1"/>
  <c r="C1436" i="11"/>
  <c r="C1437" i="11" a="1"/>
  <c r="C1437" i="11"/>
  <c r="C1438" i="11" a="1"/>
  <c r="C1438" i="11"/>
  <c r="C1439" i="11" a="1"/>
  <c r="C1439" i="11"/>
  <c r="C1440" i="11" a="1"/>
  <c r="C1440" i="11"/>
  <c r="C1441" i="11" a="1"/>
  <c r="C1441" i="11"/>
  <c r="C1442" i="11" a="1"/>
  <c r="C1442" i="11"/>
  <c r="C1443" i="11" a="1"/>
  <c r="C1443" i="11"/>
  <c r="C1444" i="11" a="1"/>
  <c r="C1444" i="11"/>
  <c r="C1445" i="11" a="1"/>
  <c r="C1445" i="11"/>
  <c r="C1446" i="11" a="1"/>
  <c r="C1446" i="11"/>
  <c r="C1447" i="11" a="1"/>
  <c r="C1447" i="11"/>
  <c r="C1448" i="11" a="1"/>
  <c r="C1448" i="11"/>
  <c r="C1449" i="11" a="1"/>
  <c r="C1449" i="11"/>
  <c r="C1450" i="11" a="1"/>
  <c r="C1450" i="11"/>
  <c r="C1451" i="11" a="1"/>
  <c r="C1451" i="11"/>
  <c r="C1452" i="11" a="1"/>
  <c r="C1452" i="11"/>
  <c r="C1453" i="11" a="1"/>
  <c r="C1453" i="11"/>
  <c r="C1454" i="11" a="1"/>
  <c r="C1454" i="11"/>
  <c r="C1455" i="11" a="1"/>
  <c r="C1455" i="11"/>
  <c r="C1456" i="11" a="1"/>
  <c r="C1456" i="11"/>
  <c r="C1457" i="11" a="1"/>
  <c r="C1457" i="11"/>
  <c r="C1458" i="11" a="1"/>
  <c r="C1458" i="11"/>
  <c r="C1459" i="11" a="1"/>
  <c r="C1459" i="11"/>
  <c r="C1460" i="11" a="1"/>
  <c r="C1460" i="11"/>
  <c r="C1461" i="11" a="1"/>
  <c r="C1461" i="11"/>
  <c r="C1462" i="11" a="1"/>
  <c r="C1462" i="11"/>
  <c r="C1463" i="11" a="1"/>
  <c r="C1463" i="11"/>
  <c r="C1464" i="11" a="1"/>
  <c r="C1464" i="11"/>
  <c r="C1465" i="11" a="1"/>
  <c r="C1465" i="11"/>
  <c r="C1466" i="11" a="1"/>
  <c r="C1466" i="11"/>
  <c r="C1467" i="11" a="1"/>
  <c r="C1467" i="11"/>
  <c r="C1468" i="11" a="1"/>
  <c r="C1468" i="11"/>
  <c r="C1469" i="11" a="1"/>
  <c r="C1469" i="11"/>
  <c r="C1470" i="11" a="1"/>
  <c r="C1470" i="11"/>
  <c r="C1471" i="11" a="1"/>
  <c r="C1471" i="11"/>
  <c r="C1472" i="11" a="1"/>
  <c r="C1472" i="11"/>
  <c r="C1473" i="11" a="1"/>
  <c r="C1473" i="11"/>
  <c r="C1474" i="11" a="1"/>
  <c r="C1474" i="11"/>
  <c r="C1475" i="11" a="1"/>
  <c r="C1475" i="11"/>
  <c r="C1476" i="11" a="1"/>
  <c r="C1476" i="11"/>
  <c r="C1477" i="11" a="1"/>
  <c r="C1477" i="11"/>
  <c r="C1478" i="11" a="1"/>
  <c r="C1478" i="11"/>
  <c r="C1479" i="11" a="1"/>
  <c r="C1479" i="11"/>
  <c r="C1480" i="11" a="1"/>
  <c r="C1480" i="11"/>
  <c r="C1481" i="11" a="1"/>
  <c r="C1481" i="11"/>
  <c r="C1482" i="11" a="1"/>
  <c r="C1482" i="11"/>
  <c r="C1483" i="11" a="1"/>
  <c r="C1483" i="11"/>
  <c r="C1484" i="11" a="1"/>
  <c r="C1484" i="11"/>
  <c r="C1485" i="11" a="1"/>
  <c r="C1485" i="11"/>
  <c r="C1486" i="11" a="1"/>
  <c r="C1486" i="11"/>
  <c r="C1487" i="11" a="1"/>
  <c r="C1487" i="11"/>
  <c r="C1488" i="11" a="1"/>
  <c r="C1488" i="11"/>
  <c r="C1489" i="11" a="1"/>
  <c r="C1489" i="11"/>
  <c r="C1490" i="11" a="1"/>
  <c r="C1490" i="11"/>
  <c r="C1491" i="11" a="1"/>
  <c r="C1491" i="11"/>
  <c r="C1492" i="11" a="1"/>
  <c r="C1492" i="11"/>
  <c r="C1493" i="11" a="1"/>
  <c r="C1493" i="11"/>
  <c r="C1494" i="11" a="1"/>
  <c r="C1494" i="11"/>
  <c r="C1495" i="11" a="1"/>
  <c r="C1495" i="11"/>
  <c r="C1496" i="11" a="1"/>
  <c r="C1496" i="11"/>
  <c r="C1497" i="11" a="1"/>
  <c r="C1497" i="11"/>
  <c r="C1498" i="11" a="1"/>
  <c r="C1498" i="11"/>
  <c r="C1499" i="11" a="1"/>
  <c r="C1499" i="11"/>
  <c r="C1500" i="11" a="1"/>
  <c r="C1500" i="11"/>
  <c r="C1501" i="11" a="1"/>
  <c r="C1501" i="11"/>
  <c r="C1502" i="11" a="1"/>
  <c r="C1502" i="11"/>
  <c r="C1503" i="11" a="1"/>
  <c r="C1503" i="11"/>
  <c r="C1504" i="11" a="1"/>
  <c r="C1504" i="11"/>
  <c r="C1505" i="11" a="1"/>
  <c r="C1505" i="11"/>
  <c r="C1506" i="11" a="1"/>
  <c r="C1506" i="11"/>
  <c r="C1507" i="11" a="1"/>
  <c r="C1507" i="11"/>
  <c r="C1508" i="11" a="1"/>
  <c r="C1508" i="11"/>
  <c r="C1509" i="11" a="1"/>
  <c r="C1509" i="11"/>
  <c r="C1510" i="11" a="1"/>
  <c r="C1510" i="11"/>
  <c r="C1511" i="11" a="1"/>
  <c r="C1511" i="11"/>
  <c r="C1512" i="11" a="1"/>
  <c r="C1512" i="11"/>
  <c r="C1513" i="11" a="1"/>
  <c r="C1513" i="11"/>
  <c r="C1514" i="11" a="1"/>
  <c r="C1514" i="11"/>
  <c r="C1515" i="11" a="1"/>
  <c r="C1515" i="11"/>
  <c r="C1516" i="11" a="1"/>
  <c r="C1516" i="11"/>
  <c r="C1517" i="11" a="1"/>
  <c r="C1517" i="11"/>
  <c r="C1518" i="11" a="1"/>
  <c r="C1518" i="11"/>
  <c r="C1519" i="11" a="1"/>
  <c r="C1519" i="11"/>
  <c r="C1520" i="11" a="1"/>
  <c r="C1520" i="11"/>
  <c r="C1521" i="11" a="1"/>
  <c r="C1521" i="11"/>
  <c r="C1522" i="11" a="1"/>
  <c r="C1522" i="11"/>
  <c r="C1523" i="11" a="1"/>
  <c r="C1523" i="11"/>
  <c r="C1524" i="11" a="1"/>
  <c r="C1524" i="11"/>
  <c r="C1525" i="11" a="1"/>
  <c r="C1525" i="11"/>
  <c r="C1526" i="11" a="1"/>
  <c r="C1526" i="11"/>
  <c r="C1527" i="11" a="1"/>
  <c r="C1527" i="11"/>
  <c r="C1528" i="11" a="1"/>
  <c r="C1528" i="11"/>
  <c r="C1529" i="11" a="1"/>
  <c r="C1529" i="11"/>
  <c r="C1530" i="11" a="1"/>
  <c r="C1530" i="11"/>
  <c r="C1531" i="11" a="1"/>
  <c r="C1531" i="11"/>
  <c r="C1532" i="11" a="1"/>
  <c r="C1532" i="11"/>
  <c r="C1533" i="11" a="1"/>
  <c r="C1533" i="11"/>
  <c r="C1534" i="11" a="1"/>
  <c r="C1534" i="11"/>
  <c r="C1535" i="11" a="1"/>
  <c r="C1535" i="11"/>
  <c r="C1536" i="11" a="1"/>
  <c r="C1536" i="11"/>
  <c r="C1537" i="11" a="1"/>
  <c r="C1537" i="11"/>
  <c r="C1538" i="11" a="1"/>
  <c r="C1538" i="11"/>
  <c r="C1539" i="11" a="1"/>
  <c r="C1539" i="11"/>
  <c r="C1540" i="11" a="1"/>
  <c r="C1540" i="11"/>
  <c r="C1541" i="11" a="1"/>
  <c r="C1541" i="11"/>
  <c r="C1542" i="11" a="1"/>
  <c r="C1542" i="11"/>
  <c r="C1543" i="11" a="1"/>
  <c r="C1543" i="11"/>
  <c r="C1544" i="11" a="1"/>
  <c r="C1544" i="11"/>
  <c r="C1545" i="11" a="1"/>
  <c r="C1545" i="11"/>
  <c r="C1546" i="11" a="1"/>
  <c r="C1546" i="11"/>
  <c r="C1547" i="11" a="1"/>
  <c r="C1547" i="11"/>
  <c r="C1548" i="11" a="1"/>
  <c r="C1548" i="11"/>
  <c r="C1549" i="11" a="1"/>
  <c r="C1549" i="11"/>
  <c r="C1550" i="11" a="1"/>
  <c r="C1550" i="11"/>
  <c r="C1551" i="11" a="1"/>
  <c r="C1551" i="11"/>
  <c r="C1552" i="11" a="1"/>
  <c r="C1552" i="11"/>
  <c r="C1553" i="11" a="1"/>
  <c r="C1553" i="11"/>
  <c r="C1554" i="11" a="1"/>
  <c r="C1554" i="11"/>
  <c r="C1555" i="11" a="1"/>
  <c r="C1555" i="11"/>
  <c r="C1556" i="11" a="1"/>
  <c r="C1556" i="11"/>
  <c r="C1557" i="11" a="1"/>
  <c r="C1557" i="11"/>
  <c r="C1558" i="11" a="1"/>
  <c r="C1558" i="11"/>
  <c r="C1559" i="11" a="1"/>
  <c r="C1559" i="11"/>
  <c r="C1560" i="11" a="1"/>
  <c r="C1560" i="11"/>
  <c r="C1561" i="11" a="1"/>
  <c r="C1561" i="11"/>
  <c r="C1562" i="11" a="1"/>
  <c r="C1562" i="11"/>
  <c r="C1563" i="11" a="1"/>
  <c r="C1563" i="11"/>
  <c r="C1564" i="11" a="1"/>
  <c r="C1564" i="11"/>
  <c r="C1565" i="11" a="1"/>
  <c r="C1565" i="11"/>
  <c r="C1566" i="11" a="1"/>
  <c r="C1566" i="11"/>
  <c r="C1567" i="11" a="1"/>
  <c r="C1567" i="11"/>
  <c r="C1568" i="11" a="1"/>
  <c r="C1568" i="11"/>
  <c r="C1569" i="11" a="1"/>
  <c r="C1569" i="11"/>
  <c r="C1570" i="11" a="1"/>
  <c r="C1570" i="11"/>
  <c r="C1571" i="11" a="1"/>
  <c r="C1571" i="11"/>
  <c r="C1572" i="11" a="1"/>
  <c r="C1572" i="11"/>
  <c r="C1573" i="11" a="1"/>
  <c r="C1573" i="11"/>
  <c r="C1574" i="11" a="1"/>
  <c r="C1574" i="11"/>
  <c r="C1575" i="11" a="1"/>
  <c r="C1575" i="11"/>
  <c r="C1576" i="11" a="1"/>
  <c r="C1576" i="11"/>
  <c r="C1577" i="11" a="1"/>
  <c r="C1577" i="11"/>
  <c r="C1578" i="11" a="1"/>
  <c r="C1578" i="11"/>
  <c r="C1579" i="11" a="1"/>
  <c r="C1579" i="11"/>
  <c r="C1580" i="11" a="1"/>
  <c r="C1580" i="11"/>
  <c r="C1581" i="11" a="1"/>
  <c r="C1581" i="11"/>
  <c r="C1582" i="11" a="1"/>
  <c r="C1582" i="11"/>
  <c r="C1583" i="11" a="1"/>
  <c r="C1583" i="11"/>
  <c r="C1584" i="11" a="1"/>
  <c r="C1584" i="11"/>
  <c r="C1585" i="11" a="1"/>
  <c r="C1585" i="11"/>
  <c r="C1586" i="11" a="1"/>
  <c r="C1586" i="11"/>
  <c r="C1587" i="11" a="1"/>
  <c r="C1587" i="11"/>
  <c r="C1588" i="11" a="1"/>
  <c r="C1588" i="11"/>
  <c r="C1589" i="11" a="1"/>
  <c r="C1589" i="11"/>
  <c r="C1590" i="11" a="1"/>
  <c r="C1590" i="11"/>
  <c r="C1591" i="11" a="1"/>
  <c r="C1591" i="11"/>
  <c r="C1592" i="11" a="1"/>
  <c r="C1592" i="11"/>
  <c r="C1593" i="11" a="1"/>
  <c r="C1593" i="11"/>
  <c r="C1594" i="11" a="1"/>
  <c r="C1594" i="11"/>
  <c r="C1595" i="11" a="1"/>
  <c r="C1595" i="11"/>
  <c r="C1596" i="11" a="1"/>
  <c r="C1596" i="11"/>
  <c r="C1597" i="11" a="1"/>
  <c r="C1597" i="11"/>
  <c r="C1598" i="11" a="1"/>
  <c r="C1598" i="11"/>
  <c r="C1599" i="11" a="1"/>
  <c r="C1599" i="11"/>
  <c r="C1600" i="11" a="1"/>
  <c r="C1600" i="11"/>
  <c r="C1601" i="11" a="1"/>
  <c r="C1601" i="11"/>
  <c r="C1602" i="11" a="1"/>
  <c r="C1602" i="11"/>
  <c r="C1603" i="11" a="1"/>
  <c r="C1603" i="11"/>
  <c r="C1604" i="11" a="1"/>
  <c r="C1604" i="11"/>
  <c r="C1605" i="11" a="1"/>
  <c r="C1605" i="11"/>
  <c r="C1606" i="11" a="1"/>
  <c r="C1606" i="11"/>
  <c r="C1607" i="11" a="1"/>
  <c r="C1607" i="11"/>
  <c r="C1608" i="11" a="1"/>
  <c r="C1608" i="11"/>
  <c r="C1609" i="11" a="1"/>
  <c r="C1609" i="11"/>
  <c r="C1610" i="11" a="1"/>
  <c r="C1610" i="11"/>
  <c r="C1611" i="11" a="1"/>
  <c r="C1611" i="11"/>
  <c r="C1612" i="11" a="1"/>
  <c r="C1612" i="11"/>
  <c r="C1613" i="11" a="1"/>
  <c r="C1613" i="11"/>
  <c r="C1614" i="11" a="1"/>
  <c r="C1614" i="11"/>
  <c r="C1615" i="11" a="1"/>
  <c r="C1615" i="11"/>
  <c r="C1616" i="11" a="1"/>
  <c r="C1616" i="11"/>
  <c r="C1617" i="11" a="1"/>
  <c r="C1617" i="11"/>
  <c r="C1618" i="11" a="1"/>
  <c r="C1618" i="11"/>
  <c r="C1619" i="11" a="1"/>
  <c r="C1619" i="11"/>
  <c r="C1620" i="11" a="1"/>
  <c r="C1620" i="11"/>
  <c r="C1621" i="11" a="1"/>
  <c r="C1621" i="11"/>
  <c r="C1622" i="11" a="1"/>
  <c r="C1622" i="11"/>
  <c r="C1623" i="11" a="1"/>
  <c r="C1623" i="11"/>
  <c r="C1624" i="11" a="1"/>
  <c r="C1624" i="11"/>
  <c r="C1625" i="11" a="1"/>
  <c r="C1625" i="11"/>
  <c r="C1626" i="11" a="1"/>
  <c r="C1626" i="11"/>
  <c r="C1627" i="11" a="1"/>
  <c r="C1627" i="11"/>
  <c r="C1628" i="11" a="1"/>
  <c r="C1628" i="11"/>
  <c r="C1629" i="11" a="1"/>
  <c r="C1629" i="11"/>
  <c r="C1630" i="11" a="1"/>
  <c r="C1630" i="11"/>
  <c r="C1631" i="11" a="1"/>
  <c r="C1631" i="11"/>
  <c r="C1632" i="11" a="1"/>
  <c r="C1632" i="11"/>
  <c r="C1633" i="11" a="1"/>
  <c r="C1633" i="11"/>
  <c r="C1634" i="11" a="1"/>
  <c r="C1634" i="11"/>
  <c r="C1635" i="11" a="1"/>
  <c r="C1635" i="11"/>
  <c r="C1636" i="11" a="1"/>
  <c r="C1636" i="11"/>
  <c r="C1637" i="11" a="1"/>
  <c r="C1637" i="11"/>
  <c r="C1638" i="11" a="1"/>
  <c r="C1638" i="11"/>
  <c r="C1639" i="11" a="1"/>
  <c r="C1639" i="11"/>
  <c r="C1640" i="11" a="1"/>
  <c r="C1640" i="11"/>
  <c r="C1641" i="11" a="1"/>
  <c r="C1641" i="11"/>
  <c r="C1642" i="11" a="1"/>
  <c r="C1642" i="11"/>
  <c r="C1643" i="11" a="1"/>
  <c r="C1643" i="11"/>
  <c r="C1644" i="11" a="1"/>
  <c r="C1644" i="11"/>
  <c r="C1645" i="11" a="1"/>
  <c r="C1645" i="11"/>
  <c r="C1646" i="11" a="1"/>
  <c r="C1646" i="11"/>
  <c r="C1647" i="11" a="1"/>
  <c r="C1647" i="11"/>
  <c r="C1648" i="11" a="1"/>
  <c r="C1648" i="11"/>
  <c r="C1649" i="11" a="1"/>
  <c r="C1649" i="11"/>
  <c r="C1650" i="11" a="1"/>
  <c r="C1650" i="11"/>
  <c r="C1651" i="11" a="1"/>
  <c r="C1651" i="11"/>
  <c r="C1652" i="11" a="1"/>
  <c r="C1652" i="11"/>
  <c r="C1653" i="11" a="1"/>
  <c r="C1653" i="11"/>
  <c r="C1654" i="11" a="1"/>
  <c r="C1654" i="11"/>
  <c r="C1655" i="11" a="1"/>
  <c r="C1655" i="11"/>
  <c r="C1656" i="11" a="1"/>
  <c r="C1656" i="11"/>
  <c r="C1657" i="11" a="1"/>
  <c r="C1657" i="11"/>
  <c r="C1658" i="11" a="1"/>
  <c r="C1658" i="11"/>
  <c r="C1659" i="11" a="1"/>
  <c r="C1659" i="11"/>
  <c r="C1660" i="11" a="1"/>
  <c r="C1660" i="11"/>
  <c r="C1661" i="11" a="1"/>
  <c r="C1661" i="11"/>
  <c r="C1662" i="11" a="1"/>
  <c r="C1662" i="11"/>
  <c r="C1663" i="11" a="1"/>
  <c r="C1663" i="11"/>
  <c r="C1664" i="11" a="1"/>
  <c r="C1664" i="11"/>
  <c r="C1665" i="11" a="1"/>
  <c r="C1665" i="11"/>
  <c r="C1666" i="11" a="1"/>
  <c r="C1666" i="11"/>
  <c r="C1667" i="11" a="1"/>
  <c r="C1667" i="11"/>
  <c r="C1668" i="11" a="1"/>
  <c r="C1668" i="11"/>
  <c r="C1669" i="11" a="1"/>
  <c r="C1669" i="11"/>
  <c r="C1670" i="11" a="1"/>
  <c r="C1670" i="11"/>
  <c r="C1671" i="11" a="1"/>
  <c r="C1671" i="11"/>
  <c r="C1672" i="11" a="1"/>
  <c r="C1672" i="11"/>
  <c r="C1673" i="11" a="1"/>
  <c r="C1673" i="11"/>
  <c r="C1674" i="11" a="1"/>
  <c r="C1674" i="11"/>
  <c r="C1675" i="11" a="1"/>
  <c r="C1675" i="11"/>
  <c r="C1676" i="11" a="1"/>
  <c r="C1676" i="11"/>
  <c r="C1677" i="11" a="1"/>
  <c r="C1677" i="11"/>
  <c r="C1678" i="11" a="1"/>
  <c r="C1678" i="11"/>
  <c r="C1679" i="11" a="1"/>
  <c r="C1679" i="11"/>
  <c r="C1680" i="11" a="1"/>
  <c r="C1680" i="11"/>
  <c r="C1681" i="11" a="1"/>
  <c r="C1681" i="11"/>
  <c r="C1682" i="11" a="1"/>
  <c r="C1682" i="11"/>
  <c r="C1683" i="11" a="1"/>
  <c r="C1683" i="11"/>
  <c r="C1684" i="11" a="1"/>
  <c r="C1684" i="11"/>
  <c r="C1685" i="11" a="1"/>
  <c r="C1685" i="11"/>
  <c r="C1686" i="11" a="1"/>
  <c r="C1686" i="11"/>
  <c r="C1687" i="11" a="1"/>
  <c r="C1687" i="11"/>
  <c r="C1688" i="11" a="1"/>
  <c r="C1688" i="11"/>
  <c r="C1689" i="11" a="1"/>
  <c r="C1689" i="11"/>
  <c r="C1690" i="11" a="1"/>
  <c r="C1690" i="11"/>
  <c r="C1691" i="11" a="1"/>
  <c r="C1691" i="11"/>
  <c r="C1692" i="11" a="1"/>
  <c r="C1692" i="11"/>
  <c r="C1693" i="11" a="1"/>
  <c r="C1693" i="11"/>
  <c r="C1694" i="11" a="1"/>
  <c r="C1694" i="11"/>
  <c r="C1695" i="11" a="1"/>
  <c r="C1695" i="11"/>
  <c r="C1696" i="11" a="1"/>
  <c r="C1696" i="11"/>
  <c r="C1697" i="11" a="1"/>
  <c r="C1697" i="11"/>
  <c r="C1698" i="11" a="1"/>
  <c r="C1698" i="11"/>
  <c r="C1699" i="11" a="1"/>
  <c r="C1699" i="11"/>
  <c r="C1700" i="11" a="1"/>
  <c r="C1700" i="11"/>
  <c r="C1701" i="11" a="1"/>
  <c r="C1701" i="11"/>
  <c r="C1702" i="11" a="1"/>
  <c r="C1702" i="11"/>
  <c r="C1703" i="11" a="1"/>
  <c r="C1703" i="11"/>
  <c r="C1704" i="11" a="1"/>
  <c r="C1704" i="11"/>
  <c r="C1705" i="11" a="1"/>
  <c r="C1705" i="11"/>
  <c r="C1706" i="11" a="1"/>
  <c r="C1706" i="11"/>
  <c r="C1707" i="11" a="1"/>
  <c r="C1707" i="11"/>
  <c r="C1708" i="11" a="1"/>
  <c r="C1708" i="11"/>
  <c r="C1709" i="11" a="1"/>
  <c r="C1709" i="11"/>
  <c r="C1710" i="11" a="1"/>
  <c r="C1710" i="11"/>
  <c r="C1711" i="11" a="1"/>
  <c r="C1711" i="11"/>
  <c r="C1712" i="11" a="1"/>
  <c r="C1712" i="11"/>
  <c r="C1713" i="11" a="1"/>
  <c r="C1713" i="11"/>
  <c r="C1714" i="11" a="1"/>
  <c r="C1714" i="11"/>
  <c r="C1715" i="11" a="1"/>
  <c r="C1715" i="11"/>
  <c r="C1716" i="11" a="1"/>
  <c r="C1716" i="11"/>
  <c r="C1717" i="11" a="1"/>
  <c r="C1717" i="11"/>
  <c r="C1718" i="11" a="1"/>
  <c r="C1718" i="11"/>
  <c r="C1719" i="11" a="1"/>
  <c r="C1719" i="11"/>
  <c r="C1720" i="11" a="1"/>
  <c r="C1720" i="11"/>
  <c r="C1721" i="11" a="1"/>
  <c r="C1721" i="11"/>
  <c r="C1722" i="11" a="1"/>
  <c r="C1722" i="11"/>
  <c r="C1723" i="11" a="1"/>
  <c r="C1723" i="11"/>
  <c r="C1724" i="11" a="1"/>
  <c r="C1724" i="11"/>
  <c r="C1725" i="11" a="1"/>
  <c r="C1725" i="11"/>
  <c r="C1726" i="11" a="1"/>
  <c r="C1726" i="11"/>
  <c r="C1727" i="11" a="1"/>
  <c r="C1727" i="11"/>
  <c r="C1728" i="11" a="1"/>
  <c r="C1728" i="11"/>
  <c r="C1729" i="11" a="1"/>
  <c r="C1729" i="11"/>
  <c r="C1730" i="11" a="1"/>
  <c r="C1730" i="11"/>
  <c r="C1731" i="11" a="1"/>
  <c r="C1731" i="11"/>
  <c r="C1732" i="11" a="1"/>
  <c r="C1732" i="11"/>
  <c r="C1733" i="11" a="1"/>
  <c r="C1733" i="11"/>
  <c r="C1734" i="11" a="1"/>
  <c r="C1734" i="11"/>
  <c r="C1735" i="11" a="1"/>
  <c r="C1735" i="11"/>
  <c r="C1736" i="11" a="1"/>
  <c r="C1736" i="11"/>
  <c r="C1737" i="11" a="1"/>
  <c r="C1737" i="11"/>
  <c r="C1738" i="11" a="1"/>
  <c r="C1738" i="11"/>
  <c r="C1739" i="11" a="1"/>
  <c r="C1739" i="11"/>
  <c r="C1740" i="11" a="1"/>
  <c r="C1740" i="11"/>
  <c r="C1741" i="11" a="1"/>
  <c r="C1741" i="11"/>
  <c r="C1742" i="11" a="1"/>
  <c r="C1742" i="11"/>
  <c r="C1743" i="11" a="1"/>
  <c r="C1743" i="11"/>
  <c r="C1744" i="11" a="1"/>
  <c r="C1744" i="11"/>
  <c r="C1745" i="11" a="1"/>
  <c r="C1745" i="11"/>
  <c r="C1746" i="11" a="1"/>
  <c r="C1746" i="11"/>
  <c r="C1747" i="11" a="1"/>
  <c r="C1747" i="11"/>
  <c r="C1748" i="11" a="1"/>
  <c r="C1748" i="11"/>
  <c r="C1749" i="11" a="1"/>
  <c r="C1749" i="11"/>
  <c r="C1750" i="11" a="1"/>
  <c r="C1750" i="11"/>
  <c r="C1751" i="11" a="1"/>
  <c r="C1751" i="11"/>
  <c r="C1752" i="11" a="1"/>
  <c r="C1752" i="11"/>
  <c r="C1753" i="11" a="1"/>
  <c r="C1753" i="11"/>
  <c r="C1754" i="11" a="1"/>
  <c r="C1754" i="11"/>
  <c r="C1755" i="11" a="1"/>
  <c r="C1755" i="11"/>
  <c r="C1756" i="11" a="1"/>
  <c r="C1756" i="11"/>
  <c r="C1757" i="11" a="1"/>
  <c r="C1757" i="11"/>
  <c r="C1758" i="11" a="1"/>
  <c r="C1758" i="11"/>
  <c r="C1759" i="11" a="1"/>
  <c r="C1759" i="11"/>
  <c r="C1760" i="11" a="1"/>
  <c r="C1760" i="11"/>
  <c r="C1761" i="11" a="1"/>
  <c r="C1761" i="11"/>
  <c r="C1762" i="11" a="1"/>
  <c r="C1762" i="11"/>
  <c r="C1763" i="11" a="1"/>
  <c r="C1763" i="11"/>
  <c r="C1764" i="11" a="1"/>
  <c r="C1764" i="11"/>
  <c r="C1765" i="11" a="1"/>
  <c r="C1765" i="11"/>
  <c r="C1766" i="11" a="1"/>
  <c r="C1766" i="11"/>
  <c r="C1767" i="11" a="1"/>
  <c r="C1767" i="11"/>
  <c r="C1768" i="11" a="1"/>
  <c r="C1768" i="11"/>
  <c r="C1769" i="11" a="1"/>
  <c r="C1769" i="11"/>
  <c r="C1770" i="11" a="1"/>
  <c r="C1770" i="11"/>
  <c r="C1771" i="11" a="1"/>
  <c r="C1771" i="11"/>
  <c r="C1772" i="11" a="1"/>
  <c r="C1772" i="11"/>
  <c r="C1773" i="11" a="1"/>
  <c r="C1773" i="11"/>
  <c r="C1774" i="11" a="1"/>
  <c r="C1774" i="11"/>
  <c r="C1775" i="11" a="1"/>
  <c r="C1775" i="11"/>
  <c r="C1776" i="11" a="1"/>
  <c r="C1776" i="11"/>
  <c r="C1777" i="11" a="1"/>
  <c r="C1777" i="11"/>
  <c r="C1778" i="11" a="1"/>
  <c r="C1778" i="11"/>
  <c r="C1779" i="11" a="1"/>
  <c r="C1779" i="11"/>
  <c r="C1780" i="11" a="1"/>
  <c r="C1780" i="11"/>
  <c r="C1781" i="11" a="1"/>
  <c r="C1781" i="11"/>
  <c r="C1782" i="11" a="1"/>
  <c r="C1782" i="11"/>
  <c r="C1783" i="11" a="1"/>
  <c r="C1783" i="11"/>
  <c r="C1784" i="11" a="1"/>
  <c r="C1784" i="11"/>
  <c r="C1785" i="11" a="1"/>
  <c r="C1785" i="11"/>
  <c r="C1786" i="11" a="1"/>
  <c r="C1786" i="11"/>
  <c r="C1787" i="11" a="1"/>
  <c r="C1787" i="11"/>
  <c r="C1788" i="11" a="1"/>
  <c r="C1788" i="11"/>
  <c r="C1789" i="11" a="1"/>
  <c r="C1789" i="11"/>
  <c r="C1790" i="11" a="1"/>
  <c r="C1790" i="11"/>
  <c r="C1791" i="11" a="1"/>
  <c r="C1791" i="11"/>
  <c r="C1792" i="11" a="1"/>
  <c r="C1792" i="11"/>
  <c r="C1793" i="11" a="1"/>
  <c r="C1793" i="11"/>
  <c r="C1794" i="11" a="1"/>
  <c r="C1794" i="11"/>
  <c r="C1795" i="11" a="1"/>
  <c r="C1795" i="11"/>
  <c r="C1796" i="11" a="1"/>
  <c r="C1796" i="11"/>
  <c r="C1797" i="11" a="1"/>
  <c r="C1797" i="11"/>
  <c r="C1798" i="11" a="1"/>
  <c r="C1798" i="11"/>
  <c r="C1799" i="11" a="1"/>
  <c r="C1799" i="11"/>
  <c r="C1800" i="11" a="1"/>
  <c r="C1800" i="11"/>
  <c r="C1801" i="11" a="1"/>
  <c r="C1801" i="11"/>
  <c r="C1802" i="11" a="1"/>
  <c r="C1802" i="11"/>
  <c r="C1803" i="11" a="1"/>
  <c r="C1803" i="11"/>
  <c r="C1804" i="11" a="1"/>
  <c r="C1804" i="11"/>
  <c r="C1805" i="11" a="1"/>
  <c r="C1805" i="11"/>
  <c r="C1806" i="11" a="1"/>
  <c r="C1806" i="11"/>
  <c r="C1807" i="11" a="1"/>
  <c r="C1807" i="11"/>
  <c r="C1808" i="11" a="1"/>
  <c r="C1808" i="11"/>
  <c r="C1809" i="11" a="1"/>
  <c r="C1809" i="11"/>
  <c r="C1810" i="11" a="1"/>
  <c r="C1810" i="11"/>
  <c r="C1811" i="11" a="1"/>
  <c r="C1811" i="11"/>
  <c r="C1812" i="11" a="1"/>
  <c r="C1812" i="11"/>
  <c r="C1813" i="11" a="1"/>
  <c r="C1813" i="11"/>
  <c r="C1814" i="11" a="1"/>
  <c r="C1814" i="11"/>
  <c r="C1815" i="11" a="1"/>
  <c r="C1815" i="11"/>
  <c r="C1816" i="11" a="1"/>
  <c r="C1816" i="11"/>
  <c r="C1817" i="11" a="1"/>
  <c r="C1817" i="11"/>
  <c r="C1818" i="11" a="1"/>
  <c r="C1818" i="11"/>
  <c r="C1819" i="11" a="1"/>
  <c r="C1819" i="11"/>
  <c r="C1820" i="11" a="1"/>
  <c r="C1820" i="11"/>
  <c r="C1821" i="11" a="1"/>
  <c r="C1821" i="11"/>
  <c r="C1822" i="11" a="1"/>
  <c r="C1822" i="11"/>
  <c r="C1823" i="11" a="1"/>
  <c r="C1823" i="11"/>
  <c r="C1824" i="11" a="1"/>
  <c r="C1824" i="11"/>
  <c r="C1825" i="11" a="1"/>
  <c r="C1825" i="11"/>
  <c r="C1826" i="11" a="1"/>
  <c r="C1826" i="11"/>
  <c r="C1827" i="11" a="1"/>
  <c r="C1827" i="11"/>
  <c r="C1828" i="11" a="1"/>
  <c r="C1828" i="11"/>
  <c r="C1829" i="11" a="1"/>
  <c r="C1829" i="11"/>
  <c r="C1830" i="11" a="1"/>
  <c r="C1830" i="11"/>
  <c r="C1831" i="11" a="1"/>
  <c r="C1831" i="11"/>
  <c r="C1832" i="11" a="1"/>
  <c r="C1832" i="11"/>
  <c r="C1833" i="11" a="1"/>
  <c r="C1833" i="11"/>
  <c r="C1834" i="11" a="1"/>
  <c r="C1834" i="11"/>
  <c r="C1835" i="11" a="1"/>
  <c r="C1835" i="11"/>
  <c r="C1836" i="11" a="1"/>
  <c r="C1836" i="11"/>
  <c r="C1837" i="11" a="1"/>
  <c r="C1837" i="11"/>
  <c r="C1838" i="11" a="1"/>
  <c r="C1838" i="11"/>
  <c r="C1839" i="11" a="1"/>
  <c r="C1839" i="11"/>
  <c r="C1840" i="11" a="1"/>
  <c r="C1840" i="11"/>
  <c r="C1841" i="11" a="1"/>
  <c r="C1841" i="11"/>
  <c r="C1842" i="11" a="1"/>
  <c r="C1842" i="11"/>
  <c r="C1843" i="11" a="1"/>
  <c r="C1843" i="11"/>
  <c r="C1844" i="11" a="1"/>
  <c r="C1844" i="11"/>
  <c r="C1845" i="11" a="1"/>
  <c r="C1845" i="11"/>
  <c r="C1846" i="11" a="1"/>
  <c r="C1846" i="11"/>
  <c r="C1847" i="11" a="1"/>
  <c r="C1847" i="11"/>
  <c r="C1848" i="11" a="1"/>
  <c r="C1848" i="11"/>
  <c r="C1849" i="11" a="1"/>
  <c r="C1849" i="11"/>
  <c r="C1850" i="11" a="1"/>
  <c r="C1850" i="11"/>
  <c r="C1851" i="11" a="1"/>
  <c r="C1851" i="11"/>
  <c r="C1852" i="11" a="1"/>
  <c r="C1852" i="11"/>
  <c r="C1853" i="11" a="1"/>
  <c r="C1853" i="11"/>
  <c r="C1854" i="11" a="1"/>
  <c r="C1854" i="11"/>
  <c r="C1855" i="11" a="1"/>
  <c r="C1855" i="11"/>
  <c r="C1856" i="11" a="1"/>
  <c r="C1856" i="11"/>
  <c r="C1857" i="11" a="1"/>
  <c r="C1857" i="11"/>
  <c r="C1858" i="11" a="1"/>
  <c r="C1858" i="11"/>
  <c r="C1859" i="11" a="1"/>
  <c r="C1859" i="11"/>
  <c r="C1860" i="11" a="1"/>
  <c r="C1860" i="11"/>
  <c r="C1861" i="11" a="1"/>
  <c r="C1861" i="11"/>
  <c r="C1862" i="11" a="1"/>
  <c r="C1862" i="11"/>
  <c r="C1863" i="11" a="1"/>
  <c r="C1863" i="11"/>
  <c r="C1864" i="11" a="1"/>
  <c r="C1864" i="11"/>
  <c r="C1865" i="11" a="1"/>
  <c r="C1865" i="11"/>
  <c r="C1866" i="11" a="1"/>
  <c r="C1866" i="11"/>
  <c r="C1867" i="11" a="1"/>
  <c r="C1867" i="11"/>
  <c r="C1868" i="11" a="1"/>
  <c r="C1868" i="11"/>
  <c r="C1869" i="11" a="1"/>
  <c r="C1869" i="11"/>
  <c r="C1870" i="11" a="1"/>
  <c r="C1870" i="11"/>
  <c r="C1871" i="11" a="1"/>
  <c r="C1871" i="11"/>
  <c r="C1872" i="11" a="1"/>
  <c r="C1872" i="11"/>
  <c r="C1873" i="11" a="1"/>
  <c r="C1873" i="11"/>
  <c r="C1874" i="11" a="1"/>
  <c r="C1874" i="11"/>
  <c r="C1875" i="11" a="1"/>
  <c r="C1875" i="11"/>
  <c r="C1876" i="11" a="1"/>
  <c r="C1876" i="11"/>
  <c r="C1877" i="11" a="1"/>
  <c r="C1877" i="11"/>
  <c r="C1878" i="11" a="1"/>
  <c r="C1878" i="11"/>
  <c r="C1879" i="11" a="1"/>
  <c r="C1879" i="11"/>
  <c r="C1880" i="11" a="1"/>
  <c r="C1880" i="11"/>
  <c r="C1881" i="11" a="1"/>
  <c r="C1881" i="11"/>
  <c r="C1882" i="11" a="1"/>
  <c r="C1882" i="11"/>
  <c r="C1883" i="11" a="1"/>
  <c r="C1883" i="11"/>
  <c r="C1884" i="11" a="1"/>
  <c r="C1884" i="11"/>
  <c r="C1885" i="11" a="1"/>
  <c r="C1885" i="11"/>
  <c r="C1886" i="11" a="1"/>
  <c r="C1886" i="11"/>
  <c r="C1887" i="11" a="1"/>
  <c r="C1887" i="11"/>
  <c r="C1888" i="11" a="1"/>
  <c r="C1888" i="11"/>
  <c r="C1889" i="11" a="1"/>
  <c r="C1889" i="11"/>
  <c r="C1890" i="11" a="1"/>
  <c r="C1890" i="11"/>
  <c r="C1891" i="11" a="1"/>
  <c r="C1891" i="11"/>
  <c r="C1892" i="11" a="1"/>
  <c r="C1892" i="11"/>
  <c r="C1893" i="11" a="1"/>
  <c r="C1893" i="11"/>
  <c r="C1894" i="11" a="1"/>
  <c r="C1894" i="11"/>
  <c r="C1895" i="11" a="1"/>
  <c r="C1895" i="11"/>
  <c r="C1896" i="11" a="1"/>
  <c r="C1896" i="11"/>
  <c r="C1897" i="11" a="1"/>
  <c r="C1897" i="11"/>
  <c r="C1898" i="11" a="1"/>
  <c r="C1898" i="11"/>
  <c r="C1899" i="11" a="1"/>
  <c r="C1899" i="11"/>
  <c r="C1900" i="11" a="1"/>
  <c r="C1900" i="11"/>
  <c r="C1901" i="11" a="1"/>
  <c r="C1901" i="11"/>
  <c r="C1902" i="11" a="1"/>
  <c r="C1902" i="11"/>
  <c r="C1903" i="11" a="1"/>
  <c r="C1903" i="11"/>
  <c r="C1904" i="11" a="1"/>
  <c r="C1904" i="11"/>
  <c r="C1905" i="11" a="1"/>
  <c r="C1905" i="11"/>
  <c r="C1906" i="11" a="1"/>
  <c r="C1906" i="11"/>
  <c r="C1907" i="11" a="1"/>
  <c r="C1907" i="11"/>
  <c r="C1908" i="11" a="1"/>
  <c r="C1908" i="11"/>
  <c r="C1909" i="11" a="1"/>
  <c r="C1909" i="11"/>
  <c r="C1910" i="11" a="1"/>
  <c r="C1910" i="11"/>
  <c r="C1911" i="11" a="1"/>
  <c r="C1911" i="11"/>
  <c r="C1912" i="11" a="1"/>
  <c r="C1912" i="11"/>
  <c r="C1913" i="11" a="1"/>
  <c r="C1913" i="11"/>
  <c r="C1914" i="11" a="1"/>
  <c r="C1914" i="11"/>
  <c r="C1915" i="11" a="1"/>
  <c r="C1915" i="11"/>
  <c r="C1916" i="11" a="1"/>
  <c r="C1916" i="11"/>
  <c r="C1917" i="11" a="1"/>
  <c r="C1917" i="11"/>
  <c r="C1918" i="11" a="1"/>
  <c r="C1918" i="11"/>
  <c r="C1919" i="11" a="1"/>
  <c r="C1919" i="11"/>
  <c r="C1920" i="11" a="1"/>
  <c r="C1920" i="11"/>
  <c r="C1921" i="11" a="1"/>
  <c r="C1921" i="11"/>
  <c r="C1922" i="11" a="1"/>
  <c r="C1922" i="11"/>
  <c r="C1923" i="11" a="1"/>
  <c r="C1923" i="11"/>
  <c r="C1924" i="11" a="1"/>
  <c r="C1924" i="11"/>
  <c r="C1925" i="11" a="1"/>
  <c r="C1925" i="11"/>
  <c r="C1926" i="11" a="1"/>
  <c r="C1926" i="11"/>
  <c r="C1927" i="11" a="1"/>
  <c r="C1927" i="11"/>
  <c r="C1928" i="11" a="1"/>
  <c r="C1928" i="11"/>
  <c r="C1929" i="11" a="1"/>
  <c r="C1929" i="11"/>
  <c r="C1930" i="11" a="1"/>
  <c r="C1930" i="11"/>
  <c r="C1931" i="11" a="1"/>
  <c r="C1931" i="11"/>
  <c r="C1932" i="11" a="1"/>
  <c r="C1932" i="11"/>
  <c r="C1933" i="11" a="1"/>
  <c r="C1933" i="11"/>
  <c r="C1934" i="11" a="1"/>
  <c r="C1934" i="11"/>
  <c r="C1935" i="11" a="1"/>
  <c r="C1935" i="11"/>
  <c r="C1936" i="11" a="1"/>
  <c r="C1936" i="11"/>
  <c r="C1937" i="11" a="1"/>
  <c r="C1937" i="11"/>
  <c r="C1938" i="11" a="1"/>
  <c r="C1938" i="11"/>
  <c r="C1939" i="11" a="1"/>
  <c r="C1939" i="11"/>
  <c r="C1940" i="11" a="1"/>
  <c r="C1940" i="11"/>
  <c r="C1941" i="11" a="1"/>
  <c r="C1941" i="11"/>
  <c r="C1942" i="11" a="1"/>
  <c r="C1942" i="11"/>
  <c r="C1943" i="11" a="1"/>
  <c r="C1943" i="11"/>
  <c r="C1944" i="11" a="1"/>
  <c r="C1944" i="11"/>
  <c r="C1945" i="11" a="1"/>
  <c r="C1945" i="11"/>
  <c r="C1946" i="11" a="1"/>
  <c r="C1946" i="11"/>
  <c r="C1947" i="11" a="1"/>
  <c r="C1947" i="11"/>
  <c r="C1948" i="11" a="1"/>
  <c r="C1948" i="11"/>
  <c r="C1949" i="11" a="1"/>
  <c r="C1949" i="11"/>
  <c r="C1950" i="11" a="1"/>
  <c r="C1950" i="11"/>
  <c r="C1951" i="11" a="1"/>
  <c r="C1951" i="11"/>
  <c r="C1952" i="11" a="1"/>
  <c r="C1952" i="11"/>
  <c r="C1953" i="11" a="1"/>
  <c r="C1953" i="11"/>
  <c r="C1954" i="11" a="1"/>
  <c r="C1954" i="11"/>
  <c r="C1955" i="11" a="1"/>
  <c r="C1955" i="11"/>
  <c r="C1956" i="11" a="1"/>
  <c r="C1956" i="11"/>
  <c r="C1957" i="11" a="1"/>
  <c r="C1957" i="11"/>
  <c r="C1958" i="11" a="1"/>
  <c r="C1958" i="11"/>
  <c r="C1959" i="11" a="1"/>
  <c r="C1959" i="11"/>
  <c r="C1960" i="11" a="1"/>
  <c r="C1960" i="11"/>
  <c r="C1961" i="11" a="1"/>
  <c r="C1961" i="11"/>
  <c r="C1962" i="11" a="1"/>
  <c r="C1962" i="11"/>
  <c r="C1963" i="11" a="1"/>
  <c r="C1963" i="11"/>
  <c r="C1964" i="11" a="1"/>
  <c r="C1964" i="11"/>
  <c r="C1965" i="11" a="1"/>
  <c r="C1965" i="11"/>
  <c r="C1966" i="11" a="1"/>
  <c r="C1966" i="11"/>
  <c r="C1967" i="11" a="1"/>
  <c r="C1967" i="11"/>
  <c r="C1968" i="11" a="1"/>
  <c r="C1968" i="11"/>
  <c r="C1969" i="11" a="1"/>
  <c r="C1969" i="11"/>
  <c r="C1970" i="11" a="1"/>
  <c r="C1970" i="11"/>
  <c r="C1971" i="11" a="1"/>
  <c r="C1971" i="11"/>
  <c r="C1972" i="11" a="1"/>
  <c r="C1972" i="11"/>
  <c r="C1973" i="11" a="1"/>
  <c r="C1973" i="11"/>
  <c r="C1974" i="11" a="1"/>
  <c r="C1974" i="11"/>
  <c r="C1975" i="11" a="1"/>
  <c r="C1975" i="11"/>
  <c r="C1976" i="11" a="1"/>
  <c r="C1976" i="11"/>
  <c r="C1977" i="11" a="1"/>
  <c r="C1977" i="11"/>
  <c r="C1978" i="11" a="1"/>
  <c r="C1978" i="11"/>
  <c r="C1979" i="11" a="1"/>
  <c r="C1979" i="11"/>
  <c r="C1980" i="11" a="1"/>
  <c r="C1980" i="11"/>
  <c r="C1981" i="11" a="1"/>
  <c r="C1981" i="11"/>
  <c r="C1982" i="11" a="1"/>
  <c r="C1982" i="11"/>
  <c r="C1983" i="11" a="1"/>
  <c r="C1983" i="11"/>
  <c r="C1984" i="11" a="1"/>
  <c r="C1984" i="11"/>
  <c r="C1985" i="11" a="1"/>
  <c r="C1985" i="11"/>
  <c r="C1986" i="11" a="1"/>
  <c r="C1986" i="11"/>
  <c r="C1987" i="11" a="1"/>
  <c r="C1987" i="11"/>
  <c r="C1988" i="11" a="1"/>
  <c r="C1988" i="11"/>
  <c r="C1989" i="11" a="1"/>
  <c r="C1989" i="11"/>
  <c r="C1990" i="11" a="1"/>
  <c r="C1990" i="11"/>
  <c r="C1991" i="11" a="1"/>
  <c r="C1991" i="11"/>
  <c r="C1992" i="11" a="1"/>
  <c r="C1992" i="11"/>
  <c r="C1993" i="11" a="1"/>
  <c r="C1993" i="11"/>
  <c r="C1994" i="11" a="1"/>
  <c r="C1994" i="11"/>
  <c r="C1995" i="11" a="1"/>
  <c r="C1995" i="11"/>
  <c r="C1996" i="11" a="1"/>
  <c r="C1996" i="11"/>
  <c r="C1997" i="11" a="1"/>
  <c r="C1997" i="11"/>
  <c r="C1998" i="11" a="1"/>
  <c r="C1998" i="11"/>
  <c r="C1999" i="11" a="1"/>
  <c r="C1999" i="11"/>
  <c r="C2000" i="11" a="1"/>
  <c r="C2000" i="11"/>
  <c r="C2001" i="11" a="1"/>
  <c r="C2001" i="11"/>
  <c r="C2002" i="11" a="1"/>
  <c r="C2002" i="11"/>
  <c r="C2003" i="11" a="1"/>
  <c r="C2003" i="11"/>
  <c r="C2004" i="11" a="1"/>
  <c r="C2004" i="11"/>
  <c r="C2005" i="11" a="1"/>
  <c r="C2005" i="11"/>
  <c r="C2006" i="11" a="1"/>
  <c r="C2006" i="11"/>
  <c r="C2007" i="11" a="1"/>
  <c r="C2007" i="11"/>
  <c r="C2008" i="11" a="1"/>
  <c r="C2008" i="11"/>
  <c r="C2009" i="11" a="1"/>
  <c r="C2009" i="11"/>
  <c r="C2010" i="11" a="1"/>
  <c r="C2010" i="11"/>
  <c r="C2011" i="11" a="1"/>
  <c r="C2011" i="11"/>
  <c r="C2012" i="11" a="1"/>
  <c r="C2012" i="11"/>
  <c r="C2013" i="11" a="1"/>
  <c r="C2013" i="11"/>
  <c r="C2014" i="11" a="1"/>
  <c r="C2014" i="11"/>
  <c r="C2015" i="11" a="1"/>
  <c r="C2015" i="11"/>
  <c r="C2016" i="11" a="1"/>
  <c r="C2016" i="11"/>
  <c r="C2017" i="11" a="1"/>
  <c r="C2017" i="11"/>
  <c r="C2018" i="11" a="1"/>
  <c r="C2018" i="11"/>
  <c r="C2019" i="11" a="1"/>
  <c r="C2019" i="11"/>
  <c r="C2020" i="11" a="1"/>
  <c r="C2020" i="11"/>
  <c r="C2021" i="11" a="1"/>
  <c r="C2021" i="11"/>
  <c r="C2022" i="11" a="1"/>
  <c r="C2022" i="11"/>
  <c r="C2023" i="11" a="1"/>
  <c r="C2023" i="11"/>
  <c r="C2024" i="11" a="1"/>
  <c r="C2024" i="11"/>
  <c r="C2025" i="11" a="1"/>
  <c r="C2025" i="11"/>
  <c r="C2026" i="11" a="1"/>
  <c r="C2026" i="11"/>
  <c r="C2027" i="11" a="1"/>
  <c r="C2027" i="11"/>
  <c r="C2028" i="11" a="1"/>
  <c r="C2028" i="11"/>
  <c r="C2029" i="11" a="1"/>
  <c r="C2029" i="11"/>
  <c r="C2030" i="11" a="1"/>
  <c r="C2030" i="11"/>
  <c r="C2031" i="11" a="1"/>
  <c r="C2031" i="11"/>
  <c r="C2032" i="11" a="1"/>
  <c r="C2032" i="11"/>
  <c r="C2033" i="11" a="1"/>
  <c r="C2033" i="11"/>
  <c r="C2034" i="11" a="1"/>
  <c r="C2034" i="11"/>
  <c r="C2035" i="11" a="1"/>
  <c r="C2035" i="11"/>
  <c r="C2036" i="11" a="1"/>
  <c r="C2036" i="11"/>
  <c r="C2037" i="11" a="1"/>
  <c r="C2037" i="11"/>
  <c r="C2038" i="11" a="1"/>
  <c r="C2038" i="11"/>
  <c r="C2039" i="11" a="1"/>
  <c r="C2039" i="11"/>
  <c r="C2040" i="11" a="1"/>
  <c r="C2040" i="11"/>
  <c r="C2041" i="11" a="1"/>
  <c r="C2041" i="11"/>
  <c r="C2042" i="11" a="1"/>
  <c r="C2042" i="11"/>
  <c r="C2043" i="11" a="1"/>
  <c r="C2043" i="11"/>
  <c r="C2044" i="11" a="1"/>
  <c r="C2044" i="11"/>
  <c r="C2045" i="11" a="1"/>
  <c r="C2045" i="11"/>
  <c r="C2046" i="11" a="1"/>
  <c r="C2046" i="11"/>
  <c r="C2047" i="11" a="1"/>
  <c r="C2047" i="11"/>
  <c r="C2048" i="11" a="1"/>
  <c r="C2048" i="11"/>
  <c r="C2049" i="11" a="1"/>
  <c r="C2049" i="11"/>
  <c r="C2050" i="11" a="1"/>
  <c r="C2050" i="11"/>
  <c r="C2051" i="11" a="1"/>
  <c r="C2051" i="11"/>
  <c r="C2052" i="11" a="1"/>
  <c r="C2052" i="11"/>
  <c r="C2053" i="11" a="1"/>
  <c r="C2053" i="11"/>
  <c r="C2054" i="11" a="1"/>
  <c r="C2054" i="11"/>
  <c r="C2055" i="11" a="1"/>
  <c r="C2055" i="11"/>
  <c r="C2056" i="11" a="1"/>
  <c r="C2056" i="11"/>
  <c r="C2057" i="11" a="1"/>
  <c r="C2057" i="11"/>
  <c r="C2058" i="11" a="1"/>
  <c r="C2058" i="11"/>
  <c r="C2059" i="11" a="1"/>
  <c r="C2059" i="11"/>
  <c r="C2060" i="11" a="1"/>
  <c r="C2060" i="11"/>
  <c r="C2061" i="11" a="1"/>
  <c r="C2061" i="11"/>
  <c r="C2062" i="11" a="1"/>
  <c r="C2062" i="11"/>
  <c r="C2063" i="11" a="1"/>
  <c r="C2063" i="11"/>
  <c r="C2064" i="11" a="1"/>
  <c r="C2064" i="11"/>
  <c r="C2065" i="11" a="1"/>
  <c r="C2065" i="11"/>
  <c r="C2066" i="11" a="1"/>
  <c r="C2066" i="11"/>
  <c r="C2067" i="11" a="1"/>
  <c r="C2067" i="11"/>
  <c r="C2068" i="11" a="1"/>
  <c r="C2068" i="11"/>
  <c r="C2069" i="11" a="1"/>
  <c r="C2069" i="11"/>
  <c r="C2070" i="11" a="1"/>
  <c r="C2070" i="11"/>
  <c r="C2071" i="11" a="1"/>
  <c r="C2071" i="11"/>
  <c r="C2072" i="11" a="1"/>
  <c r="C2072" i="11"/>
  <c r="C2073" i="11" a="1"/>
  <c r="C2073" i="11"/>
  <c r="C2074" i="11" a="1"/>
  <c r="C2074" i="11"/>
  <c r="C2075" i="11" a="1"/>
  <c r="C2075" i="11"/>
  <c r="C2076" i="11" a="1"/>
  <c r="C2076" i="11"/>
  <c r="C2077" i="11" a="1"/>
  <c r="C2077" i="11"/>
  <c r="C2078" i="11" a="1"/>
  <c r="C2078" i="11"/>
  <c r="C2079" i="11" a="1"/>
  <c r="C2079" i="11"/>
  <c r="C2080" i="11" a="1"/>
  <c r="C2080" i="11"/>
  <c r="C2081" i="11" a="1"/>
  <c r="C2081" i="11"/>
  <c r="C2082" i="11" a="1"/>
  <c r="C2082" i="11"/>
  <c r="C2083" i="11" a="1"/>
  <c r="C2083" i="11"/>
  <c r="C2084" i="11" a="1"/>
  <c r="C2084" i="11"/>
  <c r="C2085" i="11" a="1"/>
  <c r="C2085" i="11"/>
  <c r="C2086" i="11" a="1"/>
  <c r="C2086" i="11"/>
  <c r="C2087" i="11" a="1"/>
  <c r="C2087" i="11"/>
  <c r="C2088" i="11" a="1"/>
  <c r="C2088" i="11"/>
  <c r="C2089" i="11" a="1"/>
  <c r="C2089" i="11"/>
  <c r="C2090" i="11" a="1"/>
  <c r="C2090" i="11"/>
  <c r="C2091" i="11" a="1"/>
  <c r="C2091" i="11"/>
  <c r="C2092" i="11" a="1"/>
  <c r="C2092" i="11"/>
  <c r="C2093" i="11" a="1"/>
  <c r="C2093" i="11"/>
  <c r="C2094" i="11" a="1"/>
  <c r="C2094" i="11"/>
  <c r="C2095" i="11" a="1"/>
  <c r="C2095" i="11"/>
  <c r="C2096" i="11" a="1"/>
  <c r="C2096" i="11"/>
  <c r="C2097" i="11" a="1"/>
  <c r="C2097" i="11"/>
  <c r="C2098" i="11" a="1"/>
  <c r="C2098" i="11"/>
  <c r="C2099" i="11" a="1"/>
  <c r="C2099" i="11"/>
  <c r="C2100" i="11" a="1"/>
  <c r="C2100" i="11"/>
  <c r="C2101" i="11" a="1"/>
  <c r="C2101" i="11"/>
  <c r="C2102" i="11" a="1"/>
  <c r="C2102" i="11"/>
  <c r="C2103" i="11" a="1"/>
  <c r="C2103" i="11"/>
  <c r="C2104" i="11" a="1"/>
  <c r="C2104" i="11"/>
  <c r="C2105" i="11" a="1"/>
  <c r="C2105" i="11"/>
  <c r="C2106" i="11" a="1"/>
  <c r="C2106" i="11"/>
  <c r="C2107" i="11" a="1"/>
  <c r="C2107" i="11"/>
  <c r="C2108" i="11" a="1"/>
  <c r="C2108" i="11"/>
  <c r="C2109" i="11" a="1"/>
  <c r="C2109" i="11"/>
  <c r="C2110" i="11" a="1"/>
  <c r="C2110" i="11"/>
  <c r="C2111" i="11" a="1"/>
  <c r="C2111" i="11"/>
  <c r="C2112" i="11" a="1"/>
  <c r="C2112" i="11"/>
  <c r="C2113" i="11" a="1"/>
  <c r="C2113" i="11"/>
  <c r="C2114" i="11" a="1"/>
  <c r="C2114" i="11"/>
  <c r="C2115" i="11" a="1"/>
  <c r="C2115" i="11"/>
  <c r="C2116" i="11" a="1"/>
  <c r="C2116" i="11"/>
  <c r="C2117" i="11" a="1"/>
  <c r="C2117" i="11"/>
  <c r="C2118" i="11" a="1"/>
  <c r="C2118" i="11"/>
  <c r="C2119" i="11" a="1"/>
  <c r="C2119" i="11"/>
  <c r="C2120" i="11" a="1"/>
  <c r="C2120" i="11"/>
  <c r="C2121" i="11" a="1"/>
  <c r="C2121" i="11"/>
  <c r="C2122" i="11" a="1"/>
  <c r="C2122" i="11"/>
  <c r="C2123" i="11" a="1"/>
  <c r="C2123" i="11"/>
  <c r="C2124" i="11" a="1"/>
  <c r="C2124" i="11"/>
  <c r="C2125" i="11" a="1"/>
  <c r="C2125" i="11"/>
  <c r="C2126" i="11" a="1"/>
  <c r="C2126" i="11"/>
  <c r="C2127" i="11" a="1"/>
  <c r="C2127" i="11"/>
  <c r="C2128" i="11" a="1"/>
  <c r="C2128" i="11"/>
  <c r="C2129" i="11" a="1"/>
  <c r="C2129" i="11"/>
  <c r="C2130" i="11" a="1"/>
  <c r="C2130" i="11"/>
  <c r="C2131" i="11" a="1"/>
  <c r="C2131" i="11"/>
  <c r="C2132" i="11" a="1"/>
  <c r="C2132" i="11"/>
  <c r="C2133" i="11" a="1"/>
  <c r="C2133" i="11"/>
  <c r="C2134" i="11" a="1"/>
  <c r="C2134" i="11"/>
  <c r="C2135" i="11" a="1"/>
  <c r="C2135" i="11"/>
  <c r="C2136" i="11" a="1"/>
  <c r="C2136" i="11"/>
  <c r="C2137" i="11" a="1"/>
  <c r="C2137" i="11"/>
  <c r="C2138" i="11" a="1"/>
  <c r="C2138" i="11"/>
  <c r="C2139" i="11" a="1"/>
  <c r="C2139" i="11"/>
  <c r="C2140" i="11" a="1"/>
  <c r="C2140" i="11"/>
  <c r="C2141" i="11" a="1"/>
  <c r="C2141" i="11"/>
  <c r="C2142" i="11" a="1"/>
  <c r="C2142" i="11"/>
  <c r="C2143" i="11" a="1"/>
  <c r="C2143" i="11"/>
  <c r="C2144" i="11" a="1"/>
  <c r="C2144" i="11"/>
  <c r="C2145" i="11" a="1"/>
  <c r="C2145" i="11"/>
  <c r="C2146" i="11" a="1"/>
  <c r="C2146" i="11"/>
  <c r="C2147" i="11" a="1"/>
  <c r="C2147" i="11"/>
  <c r="C2148" i="11" a="1"/>
  <c r="C2148" i="11"/>
  <c r="C2149" i="11" a="1"/>
  <c r="C2149" i="11"/>
  <c r="C2150" i="11" a="1"/>
  <c r="C2150" i="11"/>
  <c r="C2151" i="11" a="1"/>
  <c r="C2151" i="11"/>
  <c r="C2152" i="11" a="1"/>
  <c r="C2152" i="11"/>
  <c r="C2153" i="11" a="1"/>
  <c r="C2153" i="11"/>
  <c r="C2154" i="11" a="1"/>
  <c r="C2154" i="11"/>
  <c r="C2155" i="11" a="1"/>
  <c r="C2155" i="11"/>
  <c r="C2156" i="11" a="1"/>
  <c r="C2156" i="11"/>
  <c r="C2157" i="11" a="1"/>
  <c r="C2157" i="11"/>
  <c r="C2158" i="11" a="1"/>
  <c r="C2158" i="11"/>
  <c r="C2159" i="11" a="1"/>
  <c r="C2159" i="11"/>
  <c r="C2160" i="11" a="1"/>
  <c r="C2160" i="11"/>
  <c r="C2161" i="11" a="1"/>
  <c r="C2161" i="11"/>
  <c r="C2162" i="11" a="1"/>
  <c r="C2162" i="11"/>
  <c r="C2163" i="11" a="1"/>
  <c r="C2163" i="11"/>
  <c r="C2164" i="11" a="1"/>
  <c r="C2164" i="11"/>
  <c r="C2165" i="11" a="1"/>
  <c r="C2165" i="11"/>
  <c r="C2166" i="11" a="1"/>
  <c r="C2166" i="11"/>
  <c r="C2167" i="11" a="1"/>
  <c r="C2167" i="11"/>
  <c r="C2168" i="11" a="1"/>
  <c r="C2168" i="11"/>
  <c r="C2169" i="11" a="1"/>
  <c r="C2169" i="11"/>
  <c r="C2170" i="11" a="1"/>
  <c r="C2170" i="11"/>
  <c r="C2171" i="11" a="1"/>
  <c r="C2171" i="11"/>
  <c r="C2172" i="11" a="1"/>
  <c r="C2172" i="11"/>
  <c r="C2173" i="11" a="1"/>
  <c r="C2173" i="11"/>
  <c r="C2174" i="11" a="1"/>
  <c r="C2174" i="11"/>
  <c r="C2175" i="11" a="1"/>
  <c r="C2175" i="11"/>
  <c r="C2176" i="11" a="1"/>
  <c r="C2176" i="11"/>
  <c r="C2177" i="11" a="1"/>
  <c r="C2177" i="11"/>
  <c r="C2178" i="11" a="1"/>
  <c r="C2178" i="11"/>
  <c r="C2179" i="11" a="1"/>
  <c r="C2179" i="11"/>
  <c r="C2180" i="11" a="1"/>
  <c r="C2180" i="11"/>
  <c r="C2181" i="11" a="1"/>
  <c r="C2181" i="11"/>
  <c r="C2182" i="11" a="1"/>
  <c r="C2182" i="11"/>
  <c r="C2183" i="11" a="1"/>
  <c r="C2183" i="11"/>
  <c r="C2184" i="11" a="1"/>
  <c r="C2184" i="11"/>
  <c r="C2185" i="11" a="1"/>
  <c r="C2185" i="11"/>
  <c r="C2186" i="11" a="1"/>
  <c r="C2186" i="11"/>
  <c r="C2187" i="11" a="1"/>
  <c r="C2187" i="11"/>
  <c r="C2188" i="11" a="1"/>
  <c r="C2188" i="11"/>
  <c r="C2189" i="11" a="1"/>
  <c r="C2189" i="11"/>
  <c r="C2190" i="11" a="1"/>
  <c r="C2190" i="11"/>
  <c r="C2191" i="11" a="1"/>
  <c r="C2191" i="11"/>
  <c r="C2192" i="11" a="1"/>
  <c r="C2192" i="11"/>
  <c r="C2193" i="11" a="1"/>
  <c r="C2193" i="11"/>
  <c r="C2194" i="11" a="1"/>
  <c r="C2194" i="11"/>
  <c r="C2195" i="11" a="1"/>
  <c r="C2195" i="11"/>
  <c r="C2196" i="11" a="1"/>
  <c r="C2196" i="11"/>
  <c r="C2197" i="11" a="1"/>
  <c r="C2197" i="11"/>
  <c r="C2198" i="11" a="1"/>
  <c r="C2198" i="11"/>
  <c r="C2199" i="11" a="1"/>
  <c r="C2199" i="11"/>
  <c r="C2200" i="11" a="1"/>
  <c r="C2200" i="11"/>
  <c r="C2201" i="11" a="1"/>
  <c r="C2201" i="11"/>
  <c r="C2202" i="11" a="1"/>
  <c r="C2202" i="11"/>
  <c r="C2203" i="11" a="1"/>
  <c r="C2203" i="11"/>
  <c r="C2204" i="11" a="1"/>
  <c r="C2204" i="11"/>
  <c r="C2205" i="11" a="1"/>
  <c r="C2205" i="11"/>
  <c r="C2206" i="11" a="1"/>
  <c r="C2206" i="11"/>
  <c r="C2207" i="11" a="1"/>
  <c r="C2207" i="11"/>
  <c r="C2208" i="11" a="1"/>
  <c r="C2208" i="11"/>
  <c r="C2209" i="11" a="1"/>
  <c r="C2209" i="11"/>
  <c r="C2210" i="11" a="1"/>
  <c r="C2210" i="11"/>
  <c r="C2211" i="11" a="1"/>
  <c r="C2211" i="11"/>
  <c r="C2212" i="11" a="1"/>
  <c r="C2212" i="11"/>
  <c r="C2213" i="11" a="1"/>
  <c r="C2213" i="11"/>
  <c r="C2214" i="11" a="1"/>
  <c r="C2214" i="11"/>
  <c r="C2215" i="11" a="1"/>
  <c r="C2215" i="11"/>
  <c r="C2216" i="11" a="1"/>
  <c r="C2216" i="11"/>
  <c r="C2217" i="11" a="1"/>
  <c r="C2217" i="11"/>
  <c r="C2218" i="11" a="1"/>
  <c r="C2218" i="11"/>
  <c r="C2219" i="11" a="1"/>
  <c r="C2219" i="11"/>
  <c r="C2220" i="11" a="1"/>
  <c r="C2220" i="11"/>
  <c r="C2221" i="11" a="1"/>
  <c r="C2221" i="11"/>
  <c r="C2222" i="11" a="1"/>
  <c r="C2222" i="11"/>
  <c r="C2223" i="11" a="1"/>
  <c r="C2223" i="11"/>
  <c r="C2224" i="11" a="1"/>
  <c r="C2224" i="11"/>
  <c r="C2225" i="11" a="1"/>
  <c r="C2225" i="11"/>
  <c r="C2226" i="11" a="1"/>
  <c r="C2226" i="11"/>
  <c r="C2227" i="11" a="1"/>
  <c r="C2227" i="11"/>
  <c r="C2228" i="11" a="1"/>
  <c r="C2228" i="11"/>
  <c r="C2229" i="11" a="1"/>
  <c r="C2229" i="11"/>
  <c r="C2230" i="11" a="1"/>
  <c r="C2230" i="11"/>
  <c r="C2231" i="11" a="1"/>
  <c r="C2231" i="11"/>
  <c r="C2232" i="11" a="1"/>
  <c r="C2232" i="11"/>
  <c r="C2233" i="11" a="1"/>
  <c r="C2233" i="11"/>
  <c r="C2234" i="11" a="1"/>
  <c r="C2234" i="11"/>
  <c r="C2235" i="11" a="1"/>
  <c r="C2235" i="11"/>
  <c r="C2236" i="11" a="1"/>
  <c r="C2236" i="11"/>
  <c r="C2237" i="11" a="1"/>
  <c r="C2237" i="11"/>
  <c r="C2238" i="11" a="1"/>
  <c r="C2238" i="11"/>
  <c r="C2239" i="11" a="1"/>
  <c r="C2239" i="11"/>
  <c r="C2240" i="11" a="1"/>
  <c r="C2240" i="11"/>
  <c r="C2241" i="11" a="1"/>
  <c r="C2241" i="11"/>
  <c r="C2242" i="11" a="1"/>
  <c r="C2242" i="11"/>
  <c r="C2243" i="11" a="1"/>
  <c r="C2243" i="11"/>
  <c r="C2244" i="11" a="1"/>
  <c r="C2244" i="11"/>
  <c r="C2245" i="11" a="1"/>
  <c r="C2245" i="11"/>
  <c r="C2246" i="11" a="1"/>
  <c r="C2246" i="11"/>
  <c r="C2247" i="11" a="1"/>
  <c r="C2247" i="11"/>
  <c r="C2248" i="11" a="1"/>
  <c r="C2248" i="11"/>
  <c r="C2249" i="11" a="1"/>
  <c r="C2249" i="11"/>
  <c r="C2250" i="11" a="1"/>
  <c r="C2250" i="11"/>
  <c r="C2251" i="11" a="1"/>
  <c r="C2251" i="11"/>
  <c r="C2252" i="11" a="1"/>
  <c r="C2252" i="11"/>
  <c r="C2253" i="11" a="1"/>
  <c r="C2253" i="11"/>
  <c r="C2254" i="11" a="1"/>
  <c r="C2254" i="11"/>
  <c r="C2255" i="11" a="1"/>
  <c r="C2255" i="11"/>
  <c r="C2256" i="11" a="1"/>
  <c r="C2256" i="11"/>
  <c r="C2257" i="11" a="1"/>
  <c r="C2257" i="11"/>
  <c r="C2258" i="11" a="1"/>
  <c r="C2258" i="11"/>
  <c r="C2259" i="11" a="1"/>
  <c r="C2259" i="11"/>
  <c r="C2260" i="11" a="1"/>
  <c r="C2260" i="11"/>
  <c r="C2261" i="11" a="1"/>
  <c r="C2261" i="11"/>
  <c r="C2262" i="11" a="1"/>
  <c r="C2262" i="11"/>
  <c r="C2263" i="11" a="1"/>
  <c r="C2263" i="11"/>
  <c r="C2264" i="11" a="1"/>
  <c r="C2264" i="11"/>
  <c r="C2265" i="11" a="1"/>
  <c r="C2265" i="11"/>
  <c r="C2266" i="11" a="1"/>
  <c r="C2266" i="11"/>
  <c r="C2267" i="11" a="1"/>
  <c r="C2267" i="11"/>
  <c r="C2268" i="11" a="1"/>
  <c r="C2268" i="11"/>
  <c r="C2269" i="11" a="1"/>
  <c r="C2269" i="11"/>
  <c r="C2270" i="11" a="1"/>
  <c r="C2270" i="11"/>
  <c r="C2271" i="11" a="1"/>
  <c r="C2271" i="11"/>
  <c r="C2272" i="11" a="1"/>
  <c r="C2272" i="11"/>
  <c r="C2273" i="11" a="1"/>
  <c r="C2273" i="11"/>
  <c r="C2274" i="11" a="1"/>
  <c r="C2274" i="11"/>
  <c r="C2275" i="11" a="1"/>
  <c r="C2275" i="11"/>
  <c r="C2276" i="11" a="1"/>
  <c r="C2276" i="11"/>
  <c r="C2277" i="11" a="1"/>
  <c r="C2277" i="11"/>
  <c r="C2278" i="11" a="1"/>
  <c r="C2278" i="11"/>
  <c r="C2279" i="11" a="1"/>
  <c r="C2279" i="11"/>
  <c r="C2280" i="11" a="1"/>
  <c r="C2280" i="11"/>
  <c r="C2281" i="11" a="1"/>
  <c r="C2281" i="11"/>
  <c r="C2282" i="11" a="1"/>
  <c r="C2282" i="11"/>
  <c r="C2283" i="11" a="1"/>
  <c r="C2283" i="11"/>
  <c r="C2284" i="11" a="1"/>
  <c r="C2284" i="11"/>
  <c r="C2285" i="11" a="1"/>
  <c r="C2285" i="11"/>
  <c r="C2286" i="11" a="1"/>
  <c r="C2286" i="11"/>
  <c r="C2287" i="11" a="1"/>
  <c r="C2287" i="11"/>
  <c r="C2288" i="11" a="1"/>
  <c r="C2288" i="11"/>
  <c r="C2289" i="11" a="1"/>
  <c r="C2289" i="11"/>
  <c r="C2290" i="11" a="1"/>
  <c r="C2290" i="11"/>
  <c r="C2291" i="11" a="1"/>
  <c r="C2291" i="11"/>
  <c r="C2292" i="11" a="1"/>
  <c r="C2292" i="11"/>
  <c r="C2293" i="11" a="1"/>
  <c r="C2293" i="11"/>
  <c r="C2294" i="11" a="1"/>
  <c r="C2294" i="11"/>
  <c r="C2295" i="11" a="1"/>
  <c r="C2295" i="11"/>
  <c r="C2296" i="11" a="1"/>
  <c r="C2296" i="11"/>
  <c r="C2297" i="11" a="1"/>
  <c r="C2297" i="11"/>
  <c r="C2298" i="11" a="1"/>
  <c r="C2298" i="11"/>
  <c r="C2299" i="11" a="1"/>
  <c r="C2299" i="11"/>
  <c r="C2300" i="11" a="1"/>
  <c r="C2300" i="11"/>
  <c r="C2301" i="11" a="1"/>
  <c r="C2301" i="11"/>
  <c r="C2302" i="11" a="1"/>
  <c r="C2302" i="11"/>
  <c r="C2303" i="11" a="1"/>
  <c r="C2303" i="11"/>
  <c r="C2304" i="11" a="1"/>
  <c r="C2304" i="11"/>
  <c r="C2305" i="11" a="1"/>
  <c r="C2305" i="11"/>
  <c r="C2306" i="11" a="1"/>
  <c r="C2306" i="11"/>
  <c r="C2307" i="11" a="1"/>
  <c r="C2307" i="11"/>
  <c r="C2308" i="11" a="1"/>
  <c r="C2308" i="11"/>
  <c r="C2309" i="11" a="1"/>
  <c r="C2309" i="11"/>
  <c r="C2310" i="11" a="1"/>
  <c r="C2310" i="11"/>
  <c r="C2311" i="11" a="1"/>
  <c r="C2311" i="11"/>
  <c r="C2312" i="11" a="1"/>
  <c r="C2312" i="11"/>
  <c r="C2313" i="11" a="1"/>
  <c r="C2313" i="11"/>
  <c r="C2314" i="11" a="1"/>
  <c r="C2314" i="11"/>
  <c r="C2315" i="11" a="1"/>
  <c r="C2315" i="11"/>
  <c r="C2316" i="11" a="1"/>
  <c r="C2316" i="11"/>
  <c r="C2317" i="11" a="1"/>
  <c r="C2317" i="11"/>
  <c r="C2318" i="11" a="1"/>
  <c r="C2318" i="11"/>
  <c r="C2319" i="11" a="1"/>
  <c r="C2319" i="11"/>
  <c r="C2320" i="11" a="1"/>
  <c r="C2320" i="11"/>
  <c r="C2321" i="11" a="1"/>
  <c r="C2321" i="11"/>
  <c r="C2322" i="11" a="1"/>
  <c r="C2322" i="11"/>
  <c r="C2323" i="11" a="1"/>
  <c r="C2323" i="11"/>
  <c r="C2324" i="11" a="1"/>
  <c r="C2324" i="11"/>
  <c r="C2325" i="11" a="1"/>
  <c r="C2325" i="11"/>
  <c r="C2326" i="11" a="1"/>
  <c r="C2326" i="11"/>
  <c r="C2327" i="11" a="1"/>
  <c r="C2327" i="11"/>
  <c r="C2328" i="11" a="1"/>
  <c r="C2328" i="11"/>
  <c r="C2329" i="11" a="1"/>
  <c r="C2329" i="11"/>
  <c r="C2330" i="11" a="1"/>
  <c r="C2330" i="11"/>
  <c r="C2331" i="11" a="1"/>
  <c r="C2331" i="11"/>
  <c r="C2332" i="11" a="1"/>
  <c r="C2332" i="11"/>
  <c r="C2333" i="11" a="1"/>
  <c r="C2333" i="11"/>
  <c r="C2334" i="11" a="1"/>
  <c r="C2334" i="11"/>
  <c r="C2335" i="11" a="1"/>
  <c r="C2335" i="11"/>
  <c r="C2336" i="11" a="1"/>
  <c r="C2336" i="11"/>
  <c r="C2337" i="11" a="1"/>
  <c r="C2337" i="11"/>
  <c r="C2338" i="11" a="1"/>
  <c r="C2338" i="11"/>
  <c r="C2339" i="11" a="1"/>
  <c r="C2339" i="11"/>
  <c r="C2340" i="11" a="1"/>
  <c r="C2340" i="11"/>
  <c r="C2341" i="11" a="1"/>
  <c r="C2341" i="11"/>
  <c r="C2342" i="11" a="1"/>
  <c r="C2342" i="11"/>
  <c r="C2343" i="11" a="1"/>
  <c r="C2343" i="11"/>
  <c r="C2344" i="11" a="1"/>
  <c r="C2344" i="11"/>
  <c r="C2345" i="11" a="1"/>
  <c r="C2345" i="11"/>
  <c r="C2346" i="11" a="1"/>
  <c r="C2346" i="11"/>
  <c r="C2347" i="11" a="1"/>
  <c r="C2347" i="11"/>
  <c r="C2348" i="11" a="1"/>
  <c r="C2348" i="11"/>
  <c r="C2349" i="11" a="1"/>
  <c r="C2349" i="11"/>
  <c r="C2350" i="11" a="1"/>
  <c r="C2350" i="11"/>
  <c r="C2351" i="11" a="1"/>
  <c r="C2351" i="11"/>
  <c r="C2352" i="11" a="1"/>
  <c r="C2352" i="11"/>
  <c r="C2353" i="11" a="1"/>
  <c r="C2353" i="11"/>
  <c r="C2354" i="11" a="1"/>
  <c r="C2354" i="11"/>
  <c r="C2355" i="11" a="1"/>
  <c r="C2355" i="11"/>
  <c r="C2356" i="11" a="1"/>
  <c r="C2356" i="11"/>
  <c r="C2357" i="11" a="1"/>
  <c r="C2357" i="11"/>
  <c r="C2358" i="11" a="1"/>
  <c r="C2358" i="11"/>
  <c r="C2359" i="11" a="1"/>
  <c r="C2359" i="11"/>
  <c r="C2360" i="11" a="1"/>
  <c r="C2360" i="11"/>
  <c r="C2361" i="11" a="1"/>
  <c r="C2361" i="11"/>
  <c r="C2362" i="11" a="1"/>
  <c r="C2362" i="11"/>
  <c r="C2363" i="11" a="1"/>
  <c r="C2363" i="11"/>
  <c r="C2364" i="11" a="1"/>
  <c r="C2364" i="11"/>
  <c r="C2365" i="11" a="1"/>
  <c r="C2365" i="11"/>
  <c r="C2366" i="11" a="1"/>
  <c r="C2366" i="11"/>
  <c r="C2367" i="11" a="1"/>
  <c r="C2367" i="11"/>
  <c r="C2368" i="11" a="1"/>
  <c r="C2368" i="11"/>
  <c r="C2369" i="11" a="1"/>
  <c r="C2369" i="11"/>
  <c r="C2370" i="11" a="1"/>
  <c r="C2370" i="11"/>
  <c r="C2371" i="11" a="1"/>
  <c r="C2371" i="11"/>
  <c r="C2372" i="11" a="1"/>
  <c r="C2372" i="11"/>
  <c r="C2373" i="11" a="1"/>
  <c r="C2373" i="11"/>
  <c r="C2374" i="11" a="1"/>
  <c r="C2374" i="11"/>
  <c r="C2375" i="11" a="1"/>
  <c r="C2375" i="11"/>
  <c r="C2376" i="11" a="1"/>
  <c r="C2376" i="11"/>
  <c r="C2377" i="11" a="1"/>
  <c r="C2377" i="11"/>
  <c r="C2378" i="11" a="1"/>
  <c r="C2378" i="11"/>
  <c r="C2379" i="11" a="1"/>
  <c r="C2379" i="11"/>
  <c r="C2380" i="11" a="1"/>
  <c r="C2380" i="11"/>
  <c r="C2381" i="11" a="1"/>
  <c r="C2381" i="11"/>
  <c r="C2382" i="11" a="1"/>
  <c r="C2382" i="11"/>
  <c r="C2383" i="11" a="1"/>
  <c r="C2383" i="11"/>
  <c r="C2384" i="11" a="1"/>
  <c r="C2384" i="11"/>
  <c r="C2385" i="11" a="1"/>
  <c r="C2385" i="11"/>
  <c r="C2386" i="11" a="1"/>
  <c r="C2386" i="11"/>
  <c r="C2387" i="11" a="1"/>
  <c r="C2387" i="11"/>
  <c r="C2388" i="11" a="1"/>
  <c r="C2388" i="11"/>
  <c r="C2389" i="11" a="1"/>
  <c r="C2389" i="11"/>
  <c r="C2390" i="11" a="1"/>
  <c r="C2390" i="11"/>
  <c r="C2391" i="11" a="1"/>
  <c r="C2391" i="11"/>
  <c r="C2392" i="11" a="1"/>
  <c r="C2392" i="11"/>
  <c r="C2393" i="11" a="1"/>
  <c r="C2393" i="11"/>
  <c r="C2394" i="11" a="1"/>
  <c r="C2394" i="11"/>
  <c r="C2395" i="11" a="1"/>
  <c r="C2395" i="11"/>
  <c r="C2396" i="11" a="1"/>
  <c r="C2396" i="11"/>
  <c r="C2397" i="11" a="1"/>
  <c r="C2397" i="11"/>
  <c r="C2398" i="11" a="1"/>
  <c r="C2398" i="11"/>
  <c r="C2399" i="11" a="1"/>
  <c r="C2399" i="11"/>
  <c r="C2400" i="11" a="1"/>
  <c r="C2400" i="11"/>
  <c r="C2401" i="11" a="1"/>
  <c r="C2401" i="11"/>
  <c r="C2402" i="11" a="1"/>
  <c r="C2402" i="11"/>
  <c r="C2403" i="11" a="1"/>
  <c r="C2403" i="11"/>
  <c r="C2404" i="11" a="1"/>
  <c r="C2404" i="11"/>
  <c r="C2405" i="11" a="1"/>
  <c r="C2405" i="11"/>
  <c r="C2406" i="11" a="1"/>
  <c r="C2406" i="11"/>
  <c r="C2407" i="11" a="1"/>
  <c r="C2407" i="11"/>
  <c r="C2408" i="11" a="1"/>
  <c r="C2408" i="11"/>
  <c r="C2409" i="11" a="1"/>
  <c r="C2409" i="11"/>
  <c r="C2410" i="11" a="1"/>
  <c r="C2410" i="11"/>
  <c r="C2411" i="11" a="1"/>
  <c r="C2411" i="11"/>
  <c r="C2412" i="11" a="1"/>
  <c r="C2412" i="11"/>
  <c r="C2413" i="11" a="1"/>
  <c r="C2413" i="11"/>
  <c r="C2414" i="11" a="1"/>
  <c r="C2414" i="11"/>
  <c r="C2415" i="11" a="1"/>
  <c r="C2415" i="11"/>
  <c r="C2416" i="11" a="1"/>
  <c r="C2416" i="11"/>
  <c r="C2417" i="11" a="1"/>
  <c r="C2417" i="11"/>
  <c r="C2418" i="11" a="1"/>
  <c r="C2418" i="11"/>
  <c r="C2419" i="11" a="1"/>
  <c r="C2419" i="11"/>
  <c r="C2420" i="11" a="1"/>
  <c r="C2420" i="11"/>
  <c r="C2421" i="11" a="1"/>
  <c r="C2421" i="11"/>
  <c r="C2422" i="11" a="1"/>
  <c r="C2422" i="11"/>
  <c r="C2423" i="11" a="1"/>
  <c r="C2423" i="11"/>
  <c r="C2424" i="11" a="1"/>
  <c r="C2424" i="11"/>
  <c r="C2425" i="11" a="1"/>
  <c r="C2425" i="11"/>
  <c r="C2426" i="11" a="1"/>
  <c r="C2426" i="11"/>
  <c r="C2427" i="11" a="1"/>
  <c r="C2427" i="11"/>
  <c r="C2428" i="11" a="1"/>
  <c r="C2428" i="11"/>
  <c r="C2429" i="11" a="1"/>
  <c r="C2429" i="11"/>
  <c r="C2430" i="11" a="1"/>
  <c r="C2430" i="11"/>
  <c r="C2431" i="11" a="1"/>
  <c r="C2431" i="11"/>
  <c r="C2432" i="11" a="1"/>
  <c r="C2432" i="11"/>
  <c r="C2433" i="11" a="1"/>
  <c r="C2433" i="11"/>
  <c r="C2434" i="11" a="1"/>
  <c r="C2434" i="11"/>
  <c r="C2435" i="11" a="1"/>
  <c r="C2435" i="11"/>
  <c r="C2436" i="11" a="1"/>
  <c r="C2436" i="11"/>
  <c r="C2437" i="11" a="1"/>
  <c r="C2437" i="11"/>
  <c r="C2438" i="11" a="1"/>
  <c r="C2438" i="11"/>
  <c r="C2439" i="11" a="1"/>
  <c r="C2439" i="11"/>
  <c r="C2440" i="11" a="1"/>
  <c r="C2440" i="11"/>
  <c r="C2441" i="11" a="1"/>
  <c r="C2441" i="11"/>
  <c r="C2442" i="11" a="1"/>
  <c r="C2442" i="11"/>
  <c r="C2443" i="11" a="1"/>
  <c r="C2443" i="11"/>
  <c r="C2444" i="11" a="1"/>
  <c r="C2444" i="11"/>
  <c r="C2445" i="11" a="1"/>
  <c r="C2445" i="11"/>
  <c r="C2446" i="11" a="1"/>
  <c r="C2446" i="11"/>
  <c r="C2447" i="11" a="1"/>
  <c r="C2447" i="11"/>
  <c r="C2448" i="11" a="1"/>
  <c r="C2448" i="11"/>
  <c r="C2449" i="11" a="1"/>
  <c r="C2449" i="11"/>
  <c r="C2450" i="11" a="1"/>
  <c r="C2450" i="11"/>
  <c r="C2451" i="11" a="1"/>
  <c r="C2451" i="11"/>
  <c r="C2452" i="11" a="1"/>
  <c r="C2452" i="11"/>
  <c r="C2453" i="11" a="1"/>
  <c r="C2453" i="11"/>
  <c r="C2454" i="11" a="1"/>
  <c r="C2454" i="11"/>
  <c r="C2455" i="11" a="1"/>
  <c r="C2455" i="11"/>
  <c r="C2456" i="11" a="1"/>
  <c r="C2456" i="11"/>
  <c r="C2457" i="11" a="1"/>
  <c r="C2457" i="11"/>
  <c r="C2458" i="11" a="1"/>
  <c r="C2458" i="11"/>
  <c r="C2459" i="11" a="1"/>
  <c r="C2459" i="11"/>
  <c r="C2460" i="11" a="1"/>
  <c r="C2460" i="11"/>
  <c r="C2461" i="11" a="1"/>
  <c r="C2461" i="11"/>
  <c r="C2462" i="11" a="1"/>
  <c r="C2462" i="11"/>
  <c r="C2463" i="11" a="1"/>
  <c r="C2463" i="11"/>
  <c r="C2464" i="11" a="1"/>
  <c r="C2464" i="11"/>
  <c r="C2465" i="11" a="1"/>
  <c r="C2465" i="11"/>
  <c r="C2466" i="11" a="1"/>
  <c r="C2466" i="11"/>
  <c r="C2467" i="11" a="1"/>
  <c r="C2467" i="11"/>
  <c r="C2468" i="11" a="1"/>
  <c r="C2468" i="11"/>
  <c r="C2469" i="11" a="1"/>
  <c r="C2469" i="11"/>
  <c r="C2470" i="11" a="1"/>
  <c r="C2470" i="11"/>
  <c r="C2471" i="11" a="1"/>
  <c r="C2471" i="11"/>
  <c r="C2472" i="11" a="1"/>
  <c r="C2472" i="11"/>
  <c r="C2473" i="11" a="1"/>
  <c r="C2473" i="11"/>
  <c r="C2474" i="11" a="1"/>
  <c r="C2474" i="11"/>
  <c r="C2475" i="11" a="1"/>
  <c r="C2475" i="11"/>
  <c r="C2476" i="11" a="1"/>
  <c r="C2476" i="11"/>
  <c r="C2477" i="11" a="1"/>
  <c r="C2477" i="11"/>
  <c r="C2478" i="11" a="1"/>
  <c r="C2478" i="11"/>
  <c r="C2479" i="11" a="1"/>
  <c r="C2479" i="11"/>
  <c r="C2480" i="11" a="1"/>
  <c r="C2480" i="11"/>
  <c r="C2481" i="11" a="1"/>
  <c r="C2481" i="11"/>
  <c r="C2482" i="11" a="1"/>
  <c r="C2482" i="11"/>
  <c r="C2483" i="11" a="1"/>
  <c r="C2483" i="11"/>
  <c r="C2484" i="11" a="1"/>
  <c r="C2484" i="11"/>
  <c r="C2485" i="11" a="1"/>
  <c r="C2485" i="11"/>
  <c r="C2486" i="11" a="1"/>
  <c r="C2486" i="11"/>
  <c r="C2487" i="11" a="1"/>
  <c r="C2487" i="11"/>
  <c r="C2488" i="11" a="1"/>
  <c r="C2488" i="11"/>
  <c r="C2489" i="11" a="1"/>
  <c r="C2489" i="11"/>
  <c r="C2490" i="11" a="1"/>
  <c r="C2490" i="11"/>
  <c r="C2491" i="11" a="1"/>
  <c r="C2491" i="11"/>
  <c r="C2492" i="11" a="1"/>
  <c r="C2492" i="11"/>
  <c r="C2493" i="11" a="1"/>
  <c r="C2493" i="11"/>
  <c r="C2494" i="11" a="1"/>
  <c r="C2494" i="11"/>
  <c r="C2495" i="11" a="1"/>
  <c r="C2495" i="11"/>
  <c r="C2496" i="11" a="1"/>
  <c r="C2496" i="11"/>
  <c r="C2497" i="11" a="1"/>
  <c r="C2497" i="11"/>
  <c r="C2498" i="11" a="1"/>
  <c r="C2498" i="11"/>
  <c r="C2499" i="11" a="1"/>
  <c r="C2499" i="11"/>
  <c r="C2500" i="11" a="1"/>
  <c r="C2500" i="11"/>
  <c r="C2501" i="11" a="1"/>
  <c r="C2501" i="11"/>
  <c r="C2502" i="11" a="1"/>
  <c r="C2502" i="11"/>
  <c r="C2503" i="11" a="1"/>
  <c r="C2503" i="11"/>
  <c r="C2504" i="11" a="1"/>
  <c r="C2504" i="11"/>
  <c r="C2505" i="11" a="1"/>
  <c r="C2505" i="11"/>
  <c r="C2506" i="11" a="1"/>
  <c r="C2506" i="11"/>
  <c r="C2507" i="11" a="1"/>
  <c r="C2507" i="11"/>
  <c r="C2508" i="11" a="1"/>
  <c r="C2508" i="11"/>
  <c r="C2509" i="11" a="1"/>
  <c r="C2509" i="11"/>
  <c r="C2510" i="11" a="1"/>
  <c r="C2510" i="11"/>
  <c r="C2511" i="11" a="1"/>
  <c r="C2511" i="11"/>
  <c r="C2512" i="11" a="1"/>
  <c r="C2512" i="11"/>
  <c r="C2513" i="11" a="1"/>
  <c r="C2513" i="11"/>
  <c r="C2514" i="11" a="1"/>
  <c r="C2514" i="11"/>
  <c r="C2515" i="11" a="1"/>
  <c r="C2515" i="11"/>
  <c r="C2516" i="11" a="1"/>
  <c r="C2516" i="11"/>
  <c r="C2517" i="11" a="1"/>
  <c r="C2517" i="11"/>
  <c r="C2518" i="11" a="1"/>
  <c r="C2518" i="11"/>
  <c r="C2519" i="11" a="1"/>
  <c r="C2519" i="11"/>
  <c r="C2520" i="11" a="1"/>
  <c r="C2520" i="11"/>
  <c r="C2521" i="11" a="1"/>
  <c r="C2521" i="11"/>
  <c r="C2522" i="11" a="1"/>
  <c r="C2522" i="11"/>
  <c r="C2523" i="11" a="1"/>
  <c r="C2523" i="11"/>
  <c r="C2524" i="11" a="1"/>
  <c r="C2524" i="11"/>
  <c r="C2525" i="11" a="1"/>
  <c r="C2525" i="11"/>
  <c r="C2526" i="11" a="1"/>
  <c r="C2526" i="11"/>
  <c r="C2527" i="11" a="1"/>
  <c r="C2527" i="11"/>
  <c r="C2528" i="11" a="1"/>
  <c r="C2528" i="11"/>
  <c r="C2529" i="11" a="1"/>
  <c r="C2529" i="11"/>
  <c r="C2530" i="11" a="1"/>
  <c r="C2530" i="11"/>
  <c r="C2531" i="11" a="1"/>
  <c r="C2531" i="11"/>
  <c r="C2532" i="11" a="1"/>
  <c r="C2532" i="11"/>
  <c r="C2533" i="11" a="1"/>
  <c r="C2533" i="11"/>
  <c r="C2534" i="11" a="1"/>
  <c r="C2534" i="11"/>
  <c r="C2535" i="11" a="1"/>
  <c r="C2535" i="11"/>
  <c r="C2536" i="11" a="1"/>
  <c r="C2536" i="11"/>
  <c r="C2537" i="11" a="1"/>
  <c r="C2537" i="11"/>
  <c r="C2538" i="11" a="1"/>
  <c r="C2538" i="11"/>
  <c r="C2539" i="11" a="1"/>
  <c r="C2539" i="11"/>
  <c r="C2540" i="11" a="1"/>
  <c r="C2540" i="11"/>
  <c r="C2541" i="11" a="1"/>
  <c r="C2541" i="11"/>
  <c r="C2542" i="11" a="1"/>
  <c r="C2542" i="11"/>
  <c r="C2543" i="11" a="1"/>
  <c r="C2543" i="11"/>
  <c r="C2544" i="11" a="1"/>
  <c r="C2544" i="11"/>
  <c r="C2545" i="11" a="1"/>
  <c r="C2545" i="11"/>
  <c r="C2546" i="11" a="1"/>
  <c r="C2546" i="11"/>
  <c r="C2547" i="11" a="1"/>
  <c r="C2547" i="11"/>
  <c r="C2548" i="11" a="1"/>
  <c r="C2548" i="11"/>
  <c r="C2549" i="11" a="1"/>
  <c r="C2549" i="11"/>
  <c r="C2550" i="11" a="1"/>
  <c r="C2550" i="11"/>
  <c r="C2551" i="11" a="1"/>
  <c r="C2551" i="11"/>
  <c r="C2552" i="11" a="1"/>
  <c r="C2552" i="11"/>
  <c r="C2553" i="11" a="1"/>
  <c r="C2553" i="11"/>
  <c r="C2554" i="11" a="1"/>
  <c r="C2554" i="11"/>
  <c r="C2555" i="11" a="1"/>
  <c r="C2555" i="11"/>
  <c r="C2556" i="11" a="1"/>
  <c r="C2556" i="11"/>
  <c r="C2557" i="11" a="1"/>
  <c r="C2557" i="11"/>
  <c r="C2558" i="11" a="1"/>
  <c r="C2558" i="11"/>
  <c r="C2559" i="11" a="1"/>
  <c r="C2559" i="11"/>
  <c r="C2560" i="11" a="1"/>
  <c r="C2560" i="11"/>
  <c r="C2561" i="11" a="1"/>
  <c r="C2561" i="11"/>
  <c r="C2562" i="11" a="1"/>
  <c r="C2562" i="11"/>
  <c r="C2563" i="11" a="1"/>
  <c r="C2563" i="11"/>
  <c r="C2564" i="11" a="1"/>
  <c r="C2564" i="11"/>
  <c r="C2565" i="11" a="1"/>
  <c r="C2565" i="11"/>
  <c r="C2566" i="11" a="1"/>
  <c r="C2566" i="11"/>
  <c r="C2567" i="11" a="1"/>
  <c r="C2567" i="11"/>
  <c r="C2568" i="11" a="1"/>
  <c r="C2568" i="11"/>
  <c r="C2569" i="11" a="1"/>
  <c r="C2569" i="11"/>
  <c r="C2570" i="11" a="1"/>
  <c r="C2570" i="11"/>
  <c r="C2571" i="11" a="1"/>
  <c r="C2571" i="11"/>
  <c r="C2572" i="11" a="1"/>
  <c r="C2572" i="11"/>
  <c r="C2573" i="11" a="1"/>
  <c r="C2573" i="11"/>
  <c r="C2574" i="11" a="1"/>
  <c r="C2574" i="11"/>
  <c r="C2575" i="11" a="1"/>
  <c r="C2575" i="11"/>
  <c r="B174" i="11" a="1"/>
  <c r="B174" i="11"/>
  <c r="B175" i="11" a="1"/>
  <c r="B175" i="11"/>
  <c r="B176" i="11" a="1"/>
  <c r="B176" i="11"/>
  <c r="B177" i="11" a="1"/>
  <c r="B177" i="11"/>
  <c r="B178" i="11" a="1"/>
  <c r="B178" i="11"/>
  <c r="B179" i="11" a="1"/>
  <c r="B179" i="11"/>
  <c r="B180" i="11" a="1"/>
  <c r="B180" i="11"/>
  <c r="B181" i="11" a="1"/>
  <c r="B181" i="11"/>
  <c r="B182" i="11" a="1"/>
  <c r="B182" i="11"/>
  <c r="B183" i="11" a="1"/>
  <c r="B183" i="11"/>
  <c r="B184" i="11" a="1"/>
  <c r="B184" i="11"/>
  <c r="B185" i="11" a="1"/>
  <c r="B185" i="11"/>
  <c r="B186" i="11" a="1"/>
  <c r="B186" i="11"/>
  <c r="B187" i="11" a="1"/>
  <c r="B187" i="11"/>
  <c r="B188" i="11" a="1"/>
  <c r="B188" i="11"/>
  <c r="B189" i="11" a="1"/>
  <c r="B189" i="11"/>
  <c r="B190" i="11" a="1"/>
  <c r="B190" i="11"/>
  <c r="B191" i="11" a="1"/>
  <c r="B191" i="11"/>
  <c r="B192" i="11" a="1"/>
  <c r="B192" i="11"/>
  <c r="B193" i="11" a="1"/>
  <c r="B193" i="11"/>
  <c r="B194" i="11" a="1"/>
  <c r="B194" i="11"/>
  <c r="B195" i="11" a="1"/>
  <c r="B195" i="11"/>
  <c r="B196" i="11" a="1"/>
  <c r="B196" i="11"/>
  <c r="B197" i="11" a="1"/>
  <c r="B197" i="11"/>
  <c r="B198" i="11" a="1"/>
  <c r="B198" i="11"/>
  <c r="B199" i="11" a="1"/>
  <c r="B199" i="11"/>
  <c r="B200" i="11" a="1"/>
  <c r="B200" i="11"/>
  <c r="B201" i="11" a="1"/>
  <c r="B201" i="11"/>
  <c r="B202" i="11" a="1"/>
  <c r="B202" i="11"/>
  <c r="B203" i="11" a="1"/>
  <c r="B203" i="11"/>
  <c r="B204" i="11" a="1"/>
  <c r="B204" i="11"/>
  <c r="B205" i="11" a="1"/>
  <c r="B205" i="11"/>
  <c r="B206" i="11" a="1"/>
  <c r="B206" i="11"/>
  <c r="B207" i="11" a="1"/>
  <c r="B207" i="11"/>
  <c r="B208" i="11" a="1"/>
  <c r="B208" i="11"/>
  <c r="B209" i="11" a="1"/>
  <c r="B209" i="11"/>
  <c r="B210" i="11" a="1"/>
  <c r="B210" i="11"/>
  <c r="B211" i="11" a="1"/>
  <c r="B211" i="11"/>
  <c r="B212" i="11" a="1"/>
  <c r="B212" i="11"/>
  <c r="B213" i="11" a="1"/>
  <c r="B213" i="11"/>
  <c r="B214" i="11" a="1"/>
  <c r="B214" i="11"/>
  <c r="B215" i="11" a="1"/>
  <c r="B215" i="11"/>
  <c r="B216" i="11" a="1"/>
  <c r="B216" i="11"/>
  <c r="B217" i="11" a="1"/>
  <c r="B217" i="11"/>
  <c r="B218" i="11" a="1"/>
  <c r="B218" i="11"/>
  <c r="B219" i="11" a="1"/>
  <c r="B219" i="11"/>
  <c r="B220" i="11" a="1"/>
  <c r="B220" i="11"/>
  <c r="B221" i="11" a="1"/>
  <c r="B221" i="11"/>
  <c r="B222" i="11" a="1"/>
  <c r="B222" i="11"/>
  <c r="B223" i="11" a="1"/>
  <c r="B223" i="11"/>
  <c r="B224" i="11" a="1"/>
  <c r="B224" i="11"/>
  <c r="B225" i="11" a="1"/>
  <c r="B225" i="11"/>
  <c r="B226" i="11" a="1"/>
  <c r="B226" i="11"/>
  <c r="B227" i="11" a="1"/>
  <c r="B227" i="11"/>
  <c r="B228" i="11" a="1"/>
  <c r="B228" i="11"/>
  <c r="B229" i="11" a="1"/>
  <c r="B229" i="11"/>
  <c r="B230" i="11" a="1"/>
  <c r="B230" i="11"/>
  <c r="B231" i="11" a="1"/>
  <c r="B231" i="11"/>
  <c r="B232" i="11" a="1"/>
  <c r="B232" i="11"/>
  <c r="B233" i="11" a="1"/>
  <c r="B233" i="11"/>
  <c r="B234" i="11" a="1"/>
  <c r="B234" i="11"/>
  <c r="B235" i="11" a="1"/>
  <c r="B235" i="11"/>
  <c r="B236" i="11" a="1"/>
  <c r="B236" i="11"/>
  <c r="B237" i="11" a="1"/>
  <c r="B237" i="11"/>
  <c r="B238" i="11" a="1"/>
  <c r="B238" i="11"/>
  <c r="B239" i="11" a="1"/>
  <c r="B239" i="11"/>
  <c r="B240" i="11" a="1"/>
  <c r="B240" i="11"/>
  <c r="B241" i="11" a="1"/>
  <c r="B241" i="11"/>
  <c r="B242" i="11" a="1"/>
  <c r="B242" i="11"/>
  <c r="B243" i="11" a="1"/>
  <c r="B243" i="11"/>
  <c r="B244" i="11" a="1"/>
  <c r="B244" i="11"/>
  <c r="B245" i="11" a="1"/>
  <c r="B245" i="11"/>
  <c r="B246" i="11" a="1"/>
  <c r="B246" i="11"/>
  <c r="B247" i="11" a="1"/>
  <c r="B247" i="11"/>
  <c r="B248" i="11" a="1"/>
  <c r="B248" i="11"/>
  <c r="B249" i="11" a="1"/>
  <c r="B249" i="11"/>
  <c r="B250" i="11" a="1"/>
  <c r="B250" i="11"/>
  <c r="B251" i="11" a="1"/>
  <c r="B251" i="11"/>
  <c r="B252" i="11" a="1"/>
  <c r="B252" i="11"/>
  <c r="B253" i="11" a="1"/>
  <c r="B253" i="11"/>
  <c r="B254" i="11" a="1"/>
  <c r="B254" i="11"/>
  <c r="B255" i="11" a="1"/>
  <c r="B255" i="11"/>
  <c r="B256" i="11" a="1"/>
  <c r="B256" i="11"/>
  <c r="B257" i="11" a="1"/>
  <c r="B257" i="11"/>
  <c r="B258" i="11" a="1"/>
  <c r="B258" i="11"/>
  <c r="B259" i="11" a="1"/>
  <c r="B259" i="11"/>
  <c r="B260" i="11" a="1"/>
  <c r="B260" i="11"/>
  <c r="B261" i="11" a="1"/>
  <c r="B261" i="11"/>
  <c r="B262" i="11" a="1"/>
  <c r="B262" i="11"/>
  <c r="B263" i="11" a="1"/>
  <c r="B263" i="11"/>
  <c r="B264" i="11" a="1"/>
  <c r="B264" i="11"/>
  <c r="B265" i="11" a="1"/>
  <c r="B265" i="11"/>
  <c r="B266" i="11" a="1"/>
  <c r="B266" i="11"/>
  <c r="B267" i="11" a="1"/>
  <c r="B267" i="11"/>
  <c r="B268" i="11" a="1"/>
  <c r="B268" i="11"/>
  <c r="B269" i="11" a="1"/>
  <c r="B269" i="11"/>
  <c r="B270" i="11" a="1"/>
  <c r="B270" i="11"/>
  <c r="B271" i="11" a="1"/>
  <c r="B271" i="11"/>
  <c r="B272" i="11" a="1"/>
  <c r="B272" i="11"/>
  <c r="B273" i="11" a="1"/>
  <c r="B273" i="11"/>
  <c r="B274" i="11" a="1"/>
  <c r="B274" i="11"/>
  <c r="B275" i="11" a="1"/>
  <c r="B275" i="11"/>
  <c r="B276" i="11" a="1"/>
  <c r="B276" i="11"/>
  <c r="B277" i="11" a="1"/>
  <c r="B277" i="11"/>
  <c r="B278" i="11" a="1"/>
  <c r="B278" i="11"/>
  <c r="B279" i="11" a="1"/>
  <c r="B279" i="11"/>
  <c r="B280" i="11" a="1"/>
  <c r="B280" i="11"/>
  <c r="B281" i="11" a="1"/>
  <c r="B281" i="11"/>
  <c r="B282" i="11" a="1"/>
  <c r="B282" i="11"/>
  <c r="B283" i="11" a="1"/>
  <c r="B283" i="11"/>
  <c r="B284" i="11" a="1"/>
  <c r="B284" i="11"/>
  <c r="B285" i="11" a="1"/>
  <c r="B285" i="11"/>
  <c r="B286" i="11" a="1"/>
  <c r="B286" i="11"/>
  <c r="B287" i="11" a="1"/>
  <c r="B287" i="11"/>
  <c r="B288" i="11" a="1"/>
  <c r="B288" i="11"/>
  <c r="B289" i="11" a="1"/>
  <c r="B289" i="11"/>
  <c r="B290" i="11" a="1"/>
  <c r="B290" i="11"/>
  <c r="B291" i="11" a="1"/>
  <c r="B291" i="11"/>
  <c r="B292" i="11" a="1"/>
  <c r="B292" i="11"/>
  <c r="B293" i="11" a="1"/>
  <c r="B293" i="11"/>
  <c r="B294" i="11" a="1"/>
  <c r="B294" i="11"/>
  <c r="B295" i="11" a="1"/>
  <c r="B295" i="11"/>
  <c r="B296" i="11" a="1"/>
  <c r="B296" i="11"/>
  <c r="B297" i="11" a="1"/>
  <c r="B297" i="11"/>
  <c r="B298" i="11" a="1"/>
  <c r="B298" i="11"/>
  <c r="B299" i="11" a="1"/>
  <c r="B299" i="11"/>
  <c r="B300" i="11" a="1"/>
  <c r="B300" i="11"/>
  <c r="B301" i="11" a="1"/>
  <c r="B301" i="11"/>
  <c r="B302" i="11" a="1"/>
  <c r="B302" i="11"/>
  <c r="B303" i="11" a="1"/>
  <c r="B303" i="11"/>
  <c r="B304" i="11" a="1"/>
  <c r="B304" i="11"/>
  <c r="B305" i="11" a="1"/>
  <c r="B305" i="11"/>
  <c r="B306" i="11" a="1"/>
  <c r="B306" i="11"/>
  <c r="B307" i="11" a="1"/>
  <c r="B307" i="11"/>
  <c r="B308" i="11" a="1"/>
  <c r="B308" i="11"/>
  <c r="B309" i="11" a="1"/>
  <c r="B309" i="11"/>
  <c r="B310" i="11" a="1"/>
  <c r="B310" i="11"/>
  <c r="B311" i="11" a="1"/>
  <c r="B311" i="11"/>
  <c r="B312" i="11" a="1"/>
  <c r="B312" i="11"/>
  <c r="B313" i="11" a="1"/>
  <c r="B313" i="11"/>
  <c r="B314" i="11" a="1"/>
  <c r="B314" i="11"/>
  <c r="B315" i="11" a="1"/>
  <c r="B315" i="11"/>
  <c r="B316" i="11" a="1"/>
  <c r="B316" i="11"/>
  <c r="B317" i="11" a="1"/>
  <c r="B317" i="11"/>
  <c r="B318" i="11" a="1"/>
  <c r="B318" i="11"/>
  <c r="B319" i="11" a="1"/>
  <c r="B319" i="11"/>
  <c r="B320" i="11" a="1"/>
  <c r="B320" i="11"/>
  <c r="B321" i="11" a="1"/>
  <c r="B321" i="11"/>
  <c r="B322" i="11" a="1"/>
  <c r="B322" i="11"/>
  <c r="B323" i="11" a="1"/>
  <c r="B323" i="11"/>
  <c r="B324" i="11" a="1"/>
  <c r="B324" i="11"/>
  <c r="B325" i="11" a="1"/>
  <c r="B325" i="11"/>
  <c r="B326" i="11" a="1"/>
  <c r="B326" i="11"/>
  <c r="B327" i="11" a="1"/>
  <c r="B327" i="11"/>
  <c r="B328" i="11" a="1"/>
  <c r="B328" i="11"/>
  <c r="B329" i="11" a="1"/>
  <c r="B329" i="11"/>
  <c r="B330" i="11" a="1"/>
  <c r="B330" i="11"/>
  <c r="B331" i="11" a="1"/>
  <c r="B331" i="11"/>
  <c r="B332" i="11" a="1"/>
  <c r="B332" i="11"/>
  <c r="B333" i="11" a="1"/>
  <c r="B333" i="11"/>
  <c r="B334" i="11" a="1"/>
  <c r="B334" i="11"/>
  <c r="B335" i="11" a="1"/>
  <c r="B335" i="11"/>
  <c r="B336" i="11" a="1"/>
  <c r="B336" i="11"/>
  <c r="B337" i="11" a="1"/>
  <c r="B337" i="11"/>
  <c r="B338" i="11" a="1"/>
  <c r="B338" i="11"/>
  <c r="B339" i="11" a="1"/>
  <c r="B339" i="11"/>
  <c r="B340" i="11" a="1"/>
  <c r="B340" i="11"/>
  <c r="B341" i="11" a="1"/>
  <c r="B341" i="11"/>
  <c r="B342" i="11" a="1"/>
  <c r="B342" i="11"/>
  <c r="B343" i="11" a="1"/>
  <c r="B343" i="11"/>
  <c r="B344" i="11" a="1"/>
  <c r="B344" i="11"/>
  <c r="B345" i="11" a="1"/>
  <c r="B345" i="11"/>
  <c r="B346" i="11" a="1"/>
  <c r="B346" i="11"/>
  <c r="B347" i="11" a="1"/>
  <c r="B347" i="11"/>
  <c r="B348" i="11" a="1"/>
  <c r="B348" i="11"/>
  <c r="B349" i="11" a="1"/>
  <c r="B349" i="11"/>
  <c r="B350" i="11" a="1"/>
  <c r="B350" i="11"/>
  <c r="B351" i="11" a="1"/>
  <c r="B351" i="11"/>
  <c r="B352" i="11" a="1"/>
  <c r="B352" i="11"/>
  <c r="B353" i="11" a="1"/>
  <c r="B353" i="11"/>
  <c r="B354" i="11" a="1"/>
  <c r="B354" i="11"/>
  <c r="B355" i="11" a="1"/>
  <c r="B355" i="11"/>
  <c r="B356" i="11" a="1"/>
  <c r="B356" i="11"/>
  <c r="B357" i="11" a="1"/>
  <c r="B357" i="11"/>
  <c r="B358" i="11" a="1"/>
  <c r="B358" i="11"/>
  <c r="B359" i="11" a="1"/>
  <c r="B359" i="11"/>
  <c r="B360" i="11" a="1"/>
  <c r="B360" i="11"/>
  <c r="B361" i="11" a="1"/>
  <c r="B361" i="11"/>
  <c r="B362" i="11" a="1"/>
  <c r="B362" i="11"/>
  <c r="B363" i="11" a="1"/>
  <c r="B363" i="11"/>
  <c r="B364" i="11" a="1"/>
  <c r="B364" i="11"/>
  <c r="B365" i="11" a="1"/>
  <c r="B365" i="11"/>
  <c r="B366" i="11" a="1"/>
  <c r="B366" i="11"/>
  <c r="B367" i="11" a="1"/>
  <c r="B367" i="11"/>
  <c r="B368" i="11" a="1"/>
  <c r="B368" i="11"/>
  <c r="B369" i="11" a="1"/>
  <c r="B369" i="11"/>
  <c r="B370" i="11" a="1"/>
  <c r="B370" i="11"/>
  <c r="B371" i="11" a="1"/>
  <c r="B371" i="11"/>
  <c r="B372" i="11" a="1"/>
  <c r="B372" i="11"/>
  <c r="B373" i="11" a="1"/>
  <c r="B373" i="11"/>
  <c r="B374" i="11" a="1"/>
  <c r="B374" i="11"/>
  <c r="B375" i="11" a="1"/>
  <c r="B375" i="11"/>
  <c r="B376" i="11" a="1"/>
  <c r="B376" i="11"/>
  <c r="B377" i="11" a="1"/>
  <c r="B377" i="11"/>
  <c r="B378" i="11" a="1"/>
  <c r="B378" i="11"/>
  <c r="B379" i="11" a="1"/>
  <c r="B379" i="11"/>
  <c r="B380" i="11" a="1"/>
  <c r="B380" i="11"/>
  <c r="B381" i="11" a="1"/>
  <c r="B381" i="11"/>
  <c r="B382" i="11" a="1"/>
  <c r="B382" i="11"/>
  <c r="B383" i="11" a="1"/>
  <c r="B383" i="11"/>
  <c r="B384" i="11" a="1"/>
  <c r="B384" i="11"/>
  <c r="B385" i="11" a="1"/>
  <c r="B385" i="11"/>
  <c r="B386" i="11" a="1"/>
  <c r="B386" i="11"/>
  <c r="B387" i="11" a="1"/>
  <c r="B387" i="11"/>
  <c r="B388" i="11" a="1"/>
  <c r="B388" i="11"/>
  <c r="B389" i="11" a="1"/>
  <c r="B389" i="11"/>
  <c r="B390" i="11" a="1"/>
  <c r="B390" i="11"/>
  <c r="B391" i="11" a="1"/>
  <c r="B391" i="11"/>
  <c r="B392" i="11" a="1"/>
  <c r="B392" i="11"/>
  <c r="B393" i="11" a="1"/>
  <c r="B393" i="11"/>
  <c r="B394" i="11" a="1"/>
  <c r="B394" i="11"/>
  <c r="B395" i="11" a="1"/>
  <c r="B395" i="11"/>
  <c r="B396" i="11" a="1"/>
  <c r="B396" i="11"/>
  <c r="B397" i="11" a="1"/>
  <c r="B397" i="11"/>
  <c r="B398" i="11" a="1"/>
  <c r="B398" i="11"/>
  <c r="B399" i="11" a="1"/>
  <c r="B399" i="11"/>
  <c r="B400" i="11" a="1"/>
  <c r="B400" i="11"/>
  <c r="B401" i="11" a="1"/>
  <c r="B401" i="11"/>
  <c r="B402" i="11" a="1"/>
  <c r="B402" i="11"/>
  <c r="B403" i="11" a="1"/>
  <c r="B403" i="11"/>
  <c r="B404" i="11" a="1"/>
  <c r="B404" i="11"/>
  <c r="B405" i="11" a="1"/>
  <c r="B405" i="11"/>
  <c r="B406" i="11" a="1"/>
  <c r="B406" i="11"/>
  <c r="B407" i="11" a="1"/>
  <c r="B407" i="11"/>
  <c r="B408" i="11" a="1"/>
  <c r="B408" i="11"/>
  <c r="B409" i="11" a="1"/>
  <c r="B409" i="11"/>
  <c r="B410" i="11" a="1"/>
  <c r="B410" i="11"/>
  <c r="B411" i="11" a="1"/>
  <c r="B411" i="11"/>
  <c r="B412" i="11" a="1"/>
  <c r="B412" i="11"/>
  <c r="B413" i="11" a="1"/>
  <c r="B413" i="11"/>
  <c r="B414" i="11" a="1"/>
  <c r="B414" i="11"/>
  <c r="B415" i="11" a="1"/>
  <c r="B415" i="11"/>
  <c r="B416" i="11" a="1"/>
  <c r="B416" i="11"/>
  <c r="B417" i="11" a="1"/>
  <c r="B417" i="11"/>
  <c r="B418" i="11" a="1"/>
  <c r="B418" i="11"/>
  <c r="B419" i="11" a="1"/>
  <c r="B419" i="11"/>
  <c r="B420" i="11" a="1"/>
  <c r="B420" i="11"/>
  <c r="B421" i="11" a="1"/>
  <c r="B421" i="11"/>
  <c r="B422" i="11" a="1"/>
  <c r="B422" i="11"/>
  <c r="B423" i="11" a="1"/>
  <c r="B423" i="11"/>
  <c r="B424" i="11" a="1"/>
  <c r="B424" i="11"/>
  <c r="B425" i="11" a="1"/>
  <c r="B425" i="11"/>
  <c r="B426" i="11" a="1"/>
  <c r="B426" i="11"/>
  <c r="B427" i="11" a="1"/>
  <c r="B427" i="11"/>
  <c r="B428" i="11" a="1"/>
  <c r="B428" i="11"/>
  <c r="B429" i="11" a="1"/>
  <c r="B429" i="11"/>
  <c r="B430" i="11" a="1"/>
  <c r="B430" i="11"/>
  <c r="B431" i="11" a="1"/>
  <c r="B431" i="11"/>
  <c r="B432" i="11" a="1"/>
  <c r="B432" i="11"/>
  <c r="B433" i="11" a="1"/>
  <c r="B433" i="11"/>
  <c r="B434" i="11" a="1"/>
  <c r="B434" i="11"/>
  <c r="B435" i="11" a="1"/>
  <c r="B435" i="11"/>
  <c r="B436" i="11" a="1"/>
  <c r="B436" i="11"/>
  <c r="B437" i="11" a="1"/>
  <c r="B437" i="11"/>
  <c r="B438" i="11" a="1"/>
  <c r="B438" i="11"/>
  <c r="B439" i="11" a="1"/>
  <c r="B439" i="11"/>
  <c r="B440" i="11" a="1"/>
  <c r="B440" i="11"/>
  <c r="B441" i="11" a="1"/>
  <c r="B441" i="11"/>
  <c r="B442" i="11" a="1"/>
  <c r="B442" i="11"/>
  <c r="B443" i="11" a="1"/>
  <c r="B443" i="11"/>
  <c r="B444" i="11" a="1"/>
  <c r="B444" i="11"/>
  <c r="B445" i="11" a="1"/>
  <c r="B445" i="11"/>
  <c r="B446" i="11" a="1"/>
  <c r="B446" i="11"/>
  <c r="B447" i="11" a="1"/>
  <c r="B447" i="11"/>
  <c r="B448" i="11" a="1"/>
  <c r="B448" i="11"/>
  <c r="B449" i="11" a="1"/>
  <c r="B449" i="11"/>
  <c r="B450" i="11" a="1"/>
  <c r="B450" i="11"/>
  <c r="B451" i="11" a="1"/>
  <c r="B451" i="11"/>
  <c r="B452" i="11" a="1"/>
  <c r="B452" i="11"/>
  <c r="B453" i="11" a="1"/>
  <c r="B453" i="11"/>
  <c r="B454" i="11" a="1"/>
  <c r="B454" i="11"/>
  <c r="B455" i="11" a="1"/>
  <c r="B455" i="11"/>
  <c r="B456" i="11" a="1"/>
  <c r="B456" i="11"/>
  <c r="B457" i="11" a="1"/>
  <c r="B457" i="11"/>
  <c r="B458" i="11" a="1"/>
  <c r="B458" i="11"/>
  <c r="B459" i="11" a="1"/>
  <c r="B459" i="11"/>
  <c r="B460" i="11" a="1"/>
  <c r="B460" i="11"/>
  <c r="B461" i="11" a="1"/>
  <c r="B461" i="11"/>
  <c r="B462" i="11" a="1"/>
  <c r="B462" i="11"/>
  <c r="B463" i="11" a="1"/>
  <c r="B463" i="11"/>
  <c r="B464" i="11" a="1"/>
  <c r="B464" i="11"/>
  <c r="B465" i="11" a="1"/>
  <c r="B465" i="11"/>
  <c r="B466" i="11" a="1"/>
  <c r="B466" i="11"/>
  <c r="B467" i="11" a="1"/>
  <c r="B467" i="11"/>
  <c r="B468" i="11" a="1"/>
  <c r="B468" i="11"/>
  <c r="B469" i="11" a="1"/>
  <c r="B469" i="11"/>
  <c r="B470" i="11" a="1"/>
  <c r="B470" i="11"/>
  <c r="B471" i="11" a="1"/>
  <c r="B471" i="11"/>
  <c r="B472" i="11" a="1"/>
  <c r="B472" i="11"/>
  <c r="B473" i="11" a="1"/>
  <c r="B473" i="11"/>
  <c r="B474" i="11" a="1"/>
  <c r="B474" i="11"/>
  <c r="B475" i="11" a="1"/>
  <c r="B475" i="11"/>
  <c r="B476" i="11" a="1"/>
  <c r="B476" i="11"/>
  <c r="B477" i="11" a="1"/>
  <c r="B477" i="11"/>
  <c r="B478" i="11" a="1"/>
  <c r="B478" i="11"/>
  <c r="B479" i="11" a="1"/>
  <c r="B479" i="11"/>
  <c r="B480" i="11" a="1"/>
  <c r="B480" i="11"/>
  <c r="B481" i="11" a="1"/>
  <c r="B481" i="11"/>
  <c r="B482" i="11" a="1"/>
  <c r="B482" i="11"/>
  <c r="B483" i="11" a="1"/>
  <c r="B483" i="11"/>
  <c r="B484" i="11" a="1"/>
  <c r="B484" i="11"/>
  <c r="B485" i="11" a="1"/>
  <c r="B485" i="11"/>
  <c r="B486" i="11" a="1"/>
  <c r="B486" i="11"/>
  <c r="B487" i="11" a="1"/>
  <c r="B487" i="11"/>
  <c r="B488" i="11" a="1"/>
  <c r="B488" i="11"/>
  <c r="B489" i="11" a="1"/>
  <c r="B489" i="11"/>
  <c r="B490" i="11" a="1"/>
  <c r="B490" i="11"/>
  <c r="B491" i="11" a="1"/>
  <c r="B491" i="11"/>
  <c r="B492" i="11" a="1"/>
  <c r="B492" i="11"/>
  <c r="B493" i="11" a="1"/>
  <c r="B493" i="11"/>
  <c r="B494" i="11" a="1"/>
  <c r="B494" i="11"/>
  <c r="B495" i="11" a="1"/>
  <c r="B495" i="11"/>
  <c r="B496" i="11" a="1"/>
  <c r="B496" i="11"/>
  <c r="B497" i="11" a="1"/>
  <c r="B497" i="11"/>
  <c r="B498" i="11" a="1"/>
  <c r="B498" i="11"/>
  <c r="B499" i="11" a="1"/>
  <c r="B499" i="11"/>
  <c r="B500" i="11" a="1"/>
  <c r="B500" i="11"/>
  <c r="B501" i="11" a="1"/>
  <c r="B501" i="11"/>
  <c r="B502" i="11" a="1"/>
  <c r="B502" i="11"/>
  <c r="B503" i="11" a="1"/>
  <c r="B503" i="11"/>
  <c r="B504" i="11" a="1"/>
  <c r="B504" i="11"/>
  <c r="B505" i="11" a="1"/>
  <c r="B505" i="11"/>
  <c r="B506" i="11" a="1"/>
  <c r="B506" i="11"/>
  <c r="B507" i="11" a="1"/>
  <c r="B507" i="11"/>
  <c r="B508" i="11" a="1"/>
  <c r="B508" i="11"/>
  <c r="B509" i="11" a="1"/>
  <c r="B509" i="11"/>
  <c r="B510" i="11" a="1"/>
  <c r="B510" i="11"/>
  <c r="B511" i="11" a="1"/>
  <c r="B511" i="11"/>
  <c r="B512" i="11" a="1"/>
  <c r="B512" i="11"/>
  <c r="B513" i="11" a="1"/>
  <c r="B513" i="11"/>
  <c r="B514" i="11" a="1"/>
  <c r="B514" i="11"/>
  <c r="B515" i="11" a="1"/>
  <c r="B515" i="11"/>
  <c r="B516" i="11" a="1"/>
  <c r="B516" i="11"/>
  <c r="B517" i="11" a="1"/>
  <c r="B517" i="11"/>
  <c r="B518" i="11" a="1"/>
  <c r="B518" i="11"/>
  <c r="B519" i="11" a="1"/>
  <c r="B519" i="11"/>
  <c r="B520" i="11" a="1"/>
  <c r="B520" i="11"/>
  <c r="B521" i="11" a="1"/>
  <c r="B521" i="11"/>
  <c r="B522" i="11" a="1"/>
  <c r="B522" i="11"/>
  <c r="B523" i="11" a="1"/>
  <c r="B523" i="11"/>
  <c r="B524" i="11" a="1"/>
  <c r="B524" i="11"/>
  <c r="B525" i="11" a="1"/>
  <c r="B525" i="11"/>
  <c r="B526" i="11" a="1"/>
  <c r="B526" i="11"/>
  <c r="B527" i="11" a="1"/>
  <c r="B527" i="11"/>
  <c r="B528" i="11" a="1"/>
  <c r="B528" i="11"/>
  <c r="B529" i="11" a="1"/>
  <c r="B529" i="11"/>
  <c r="B530" i="11" a="1"/>
  <c r="B530" i="11"/>
  <c r="B531" i="11" a="1"/>
  <c r="B531" i="11"/>
  <c r="B532" i="11" a="1"/>
  <c r="B532" i="11"/>
  <c r="B533" i="11" a="1"/>
  <c r="B533" i="11"/>
  <c r="B534" i="11" a="1"/>
  <c r="B534" i="11"/>
  <c r="B535" i="11" a="1"/>
  <c r="B535" i="11"/>
  <c r="B536" i="11" a="1"/>
  <c r="B536" i="11"/>
  <c r="B537" i="11" a="1"/>
  <c r="B537" i="11"/>
  <c r="B538" i="11" a="1"/>
  <c r="B538" i="11"/>
  <c r="B539" i="11" a="1"/>
  <c r="B539" i="11"/>
  <c r="B540" i="11" a="1"/>
  <c r="B540" i="11"/>
  <c r="B541" i="11" a="1"/>
  <c r="B541" i="11"/>
  <c r="B542" i="11" a="1"/>
  <c r="B542" i="11"/>
  <c r="B543" i="11" a="1"/>
  <c r="B543" i="11"/>
  <c r="B544" i="11" a="1"/>
  <c r="B544" i="11"/>
  <c r="B545" i="11" a="1"/>
  <c r="B545" i="11"/>
  <c r="B546" i="11" a="1"/>
  <c r="B546" i="11"/>
  <c r="B547" i="11" a="1"/>
  <c r="B547" i="11"/>
  <c r="B548" i="11" a="1"/>
  <c r="B548" i="11"/>
  <c r="B549" i="11" a="1"/>
  <c r="B549" i="11"/>
  <c r="B550" i="11" a="1"/>
  <c r="B550" i="11"/>
  <c r="B551" i="11" a="1"/>
  <c r="B551" i="11"/>
  <c r="B552" i="11" a="1"/>
  <c r="B552" i="11"/>
  <c r="B553" i="11" a="1"/>
  <c r="B553" i="11"/>
  <c r="B554" i="11" a="1"/>
  <c r="B554" i="11"/>
  <c r="B555" i="11" a="1"/>
  <c r="B555" i="11"/>
  <c r="B556" i="11" a="1"/>
  <c r="B556" i="11"/>
  <c r="B557" i="11" a="1"/>
  <c r="B557" i="11"/>
  <c r="B558" i="11" a="1"/>
  <c r="B558" i="11"/>
  <c r="B559" i="11" a="1"/>
  <c r="B559" i="11"/>
  <c r="B560" i="11" a="1"/>
  <c r="B560" i="11"/>
  <c r="B561" i="11" a="1"/>
  <c r="B561" i="11"/>
  <c r="B562" i="11" a="1"/>
  <c r="B562" i="11"/>
  <c r="B563" i="11" a="1"/>
  <c r="B563" i="11"/>
  <c r="B564" i="11" a="1"/>
  <c r="B564" i="11"/>
  <c r="B565" i="11" a="1"/>
  <c r="B565" i="11"/>
  <c r="B566" i="11" a="1"/>
  <c r="B566" i="11"/>
  <c r="B567" i="11" a="1"/>
  <c r="B567" i="11"/>
  <c r="B568" i="11" a="1"/>
  <c r="B568" i="11"/>
  <c r="B569" i="11" a="1"/>
  <c r="B569" i="11"/>
  <c r="B570" i="11" a="1"/>
  <c r="B570" i="11"/>
  <c r="B571" i="11" a="1"/>
  <c r="B571" i="11"/>
  <c r="B572" i="11" a="1"/>
  <c r="B572" i="11"/>
  <c r="B573" i="11" a="1"/>
  <c r="B573" i="11"/>
  <c r="B574" i="11" a="1"/>
  <c r="B574" i="11"/>
  <c r="B575" i="11" a="1"/>
  <c r="B575" i="11"/>
  <c r="B576" i="11" a="1"/>
  <c r="B576" i="11"/>
  <c r="B577" i="11" a="1"/>
  <c r="B577" i="11"/>
  <c r="B578" i="11" a="1"/>
  <c r="B578" i="11"/>
  <c r="B579" i="11" a="1"/>
  <c r="B579" i="11"/>
  <c r="B580" i="11" a="1"/>
  <c r="B580" i="11"/>
  <c r="B581" i="11" a="1"/>
  <c r="B581" i="11"/>
  <c r="B582" i="11" a="1"/>
  <c r="B582" i="11"/>
  <c r="B583" i="11" a="1"/>
  <c r="B583" i="11"/>
  <c r="B584" i="11" a="1"/>
  <c r="B584" i="11"/>
  <c r="B585" i="11" a="1"/>
  <c r="B585" i="11"/>
  <c r="B586" i="11" a="1"/>
  <c r="B586" i="11"/>
  <c r="B587" i="11" a="1"/>
  <c r="B587" i="11"/>
  <c r="B588" i="11" a="1"/>
  <c r="B588" i="11"/>
  <c r="B589" i="11" a="1"/>
  <c r="B589" i="11"/>
  <c r="B590" i="11" a="1"/>
  <c r="B590" i="11"/>
  <c r="B591" i="11" a="1"/>
  <c r="B591" i="11"/>
  <c r="B592" i="11" a="1"/>
  <c r="B592" i="11"/>
  <c r="B593" i="11" a="1"/>
  <c r="B593" i="11"/>
  <c r="B594" i="11" a="1"/>
  <c r="B594" i="11"/>
  <c r="B595" i="11" a="1"/>
  <c r="B595" i="11"/>
  <c r="B596" i="11" a="1"/>
  <c r="B596" i="11"/>
  <c r="B597" i="11" a="1"/>
  <c r="B597" i="11"/>
  <c r="B598" i="11" a="1"/>
  <c r="B598" i="11"/>
  <c r="B599" i="11" a="1"/>
  <c r="B599" i="11"/>
  <c r="B600" i="11" a="1"/>
  <c r="B600" i="11"/>
  <c r="B601" i="11" a="1"/>
  <c r="B601" i="11"/>
  <c r="B602" i="11" a="1"/>
  <c r="B602" i="11"/>
  <c r="B603" i="11" a="1"/>
  <c r="B603" i="11"/>
  <c r="B604" i="11" a="1"/>
  <c r="B604" i="11"/>
  <c r="B605" i="11" a="1"/>
  <c r="B605" i="11"/>
  <c r="B606" i="11" a="1"/>
  <c r="B606" i="11"/>
  <c r="B607" i="11" a="1"/>
  <c r="B607" i="11"/>
  <c r="B608" i="11" a="1"/>
  <c r="B608" i="11"/>
  <c r="B609" i="11" a="1"/>
  <c r="B609" i="11"/>
  <c r="B610" i="11" a="1"/>
  <c r="B610" i="11"/>
  <c r="B611" i="11" a="1"/>
  <c r="B611" i="11"/>
  <c r="B612" i="11" a="1"/>
  <c r="B612" i="11"/>
  <c r="B613" i="11" a="1"/>
  <c r="B613" i="11"/>
  <c r="B614" i="11" a="1"/>
  <c r="B614" i="11"/>
  <c r="B615" i="11" a="1"/>
  <c r="B615" i="11"/>
  <c r="B616" i="11" a="1"/>
  <c r="B616" i="11"/>
  <c r="B617" i="11" a="1"/>
  <c r="B617" i="11"/>
  <c r="B618" i="11" a="1"/>
  <c r="B618" i="11"/>
  <c r="B619" i="11" a="1"/>
  <c r="B619" i="11"/>
  <c r="B620" i="11" a="1"/>
  <c r="B620" i="11"/>
  <c r="B621" i="11" a="1"/>
  <c r="B621" i="11"/>
  <c r="B622" i="11" a="1"/>
  <c r="B622" i="11"/>
  <c r="B623" i="11" a="1"/>
  <c r="B623" i="11"/>
  <c r="B624" i="11" a="1"/>
  <c r="B624" i="11"/>
  <c r="B625" i="11" a="1"/>
  <c r="B625" i="11"/>
  <c r="B626" i="11" a="1"/>
  <c r="B626" i="11"/>
  <c r="B627" i="11" a="1"/>
  <c r="B627" i="11"/>
  <c r="B628" i="11" a="1"/>
  <c r="B628" i="11"/>
  <c r="B629" i="11" a="1"/>
  <c r="B629" i="11"/>
  <c r="B630" i="11" a="1"/>
  <c r="B630" i="11"/>
  <c r="B631" i="11" a="1"/>
  <c r="B631" i="11"/>
  <c r="B632" i="11" a="1"/>
  <c r="B632" i="11"/>
  <c r="B633" i="11" a="1"/>
  <c r="B633" i="11"/>
  <c r="B634" i="11" a="1"/>
  <c r="B634" i="11"/>
  <c r="B635" i="11" a="1"/>
  <c r="B635" i="11"/>
  <c r="B636" i="11" a="1"/>
  <c r="B636" i="11"/>
  <c r="B637" i="11" a="1"/>
  <c r="B637" i="11"/>
  <c r="B638" i="11" a="1"/>
  <c r="B638" i="11"/>
  <c r="B639" i="11" a="1"/>
  <c r="B639" i="11"/>
  <c r="B640" i="11" a="1"/>
  <c r="B640" i="11"/>
  <c r="B641" i="11" a="1"/>
  <c r="B641" i="11"/>
  <c r="B642" i="11" a="1"/>
  <c r="B642" i="11"/>
  <c r="B643" i="11" a="1"/>
  <c r="B643" i="11"/>
  <c r="B644" i="11" a="1"/>
  <c r="B644" i="11"/>
  <c r="B645" i="11" a="1"/>
  <c r="B645" i="11"/>
  <c r="B646" i="11" a="1"/>
  <c r="B646" i="11"/>
  <c r="B647" i="11" a="1"/>
  <c r="B647" i="11"/>
  <c r="B648" i="11" a="1"/>
  <c r="B648" i="11"/>
  <c r="B649" i="11" a="1"/>
  <c r="B649" i="11"/>
  <c r="B650" i="11" a="1"/>
  <c r="B650" i="11"/>
  <c r="B651" i="11" a="1"/>
  <c r="B651" i="11"/>
  <c r="B652" i="11" a="1"/>
  <c r="B652" i="11"/>
  <c r="B653" i="11" a="1"/>
  <c r="B653" i="11"/>
  <c r="B654" i="11" a="1"/>
  <c r="B654" i="11"/>
  <c r="B655" i="11" a="1"/>
  <c r="B655" i="11"/>
  <c r="B656" i="11" a="1"/>
  <c r="B656" i="11"/>
  <c r="B657" i="11" a="1"/>
  <c r="B657" i="11"/>
  <c r="B658" i="11" a="1"/>
  <c r="B658" i="11"/>
  <c r="B659" i="11" a="1"/>
  <c r="B659" i="11"/>
  <c r="B660" i="11" a="1"/>
  <c r="B660" i="11"/>
  <c r="B661" i="11" a="1"/>
  <c r="B661" i="11"/>
  <c r="B662" i="11" a="1"/>
  <c r="B662" i="11"/>
  <c r="B663" i="11" a="1"/>
  <c r="B663" i="11"/>
  <c r="B664" i="11" a="1"/>
  <c r="B664" i="11"/>
  <c r="B665" i="11" a="1"/>
  <c r="B665" i="11"/>
  <c r="B666" i="11" a="1"/>
  <c r="B666" i="11"/>
  <c r="B667" i="11" a="1"/>
  <c r="B667" i="11"/>
  <c r="B668" i="11" a="1"/>
  <c r="B668" i="11"/>
  <c r="B669" i="11" a="1"/>
  <c r="B669" i="11"/>
  <c r="B670" i="11" a="1"/>
  <c r="B670" i="11"/>
  <c r="B671" i="11" a="1"/>
  <c r="B671" i="11"/>
  <c r="B672" i="11" a="1"/>
  <c r="B672" i="11"/>
  <c r="B673" i="11" a="1"/>
  <c r="B673" i="11"/>
  <c r="B674" i="11" a="1"/>
  <c r="B674" i="11"/>
  <c r="B675" i="11" a="1"/>
  <c r="B675" i="11"/>
  <c r="B676" i="11" a="1"/>
  <c r="B676" i="11"/>
  <c r="B677" i="11" a="1"/>
  <c r="B677" i="11"/>
  <c r="B678" i="11" a="1"/>
  <c r="B678" i="11"/>
  <c r="B679" i="11" a="1"/>
  <c r="B679" i="11"/>
  <c r="B680" i="11" a="1"/>
  <c r="B680" i="11"/>
  <c r="B681" i="11" a="1"/>
  <c r="B681" i="11"/>
  <c r="B682" i="11" a="1"/>
  <c r="B682" i="11"/>
  <c r="B683" i="11" a="1"/>
  <c r="B683" i="11"/>
  <c r="B684" i="11" a="1"/>
  <c r="B684" i="11"/>
  <c r="B685" i="11" a="1"/>
  <c r="B685" i="11"/>
  <c r="B686" i="11" a="1"/>
  <c r="B686" i="11"/>
  <c r="B687" i="11" a="1"/>
  <c r="B687" i="11"/>
  <c r="B688" i="11" a="1"/>
  <c r="B688" i="11"/>
  <c r="B689" i="11" a="1"/>
  <c r="B689" i="11"/>
  <c r="B690" i="11" a="1"/>
  <c r="B690" i="11"/>
  <c r="B691" i="11" a="1"/>
  <c r="B691" i="11"/>
  <c r="B692" i="11" a="1"/>
  <c r="B692" i="11"/>
  <c r="B693" i="11" a="1"/>
  <c r="B693" i="11"/>
  <c r="B694" i="11" a="1"/>
  <c r="B694" i="11"/>
  <c r="B695" i="11" a="1"/>
  <c r="B695" i="11"/>
  <c r="B696" i="11" a="1"/>
  <c r="B696" i="11"/>
  <c r="B697" i="11" a="1"/>
  <c r="B697" i="11"/>
  <c r="B698" i="11" a="1"/>
  <c r="B698" i="11"/>
  <c r="B699" i="11" a="1"/>
  <c r="B699" i="11"/>
  <c r="B700" i="11" a="1"/>
  <c r="B700" i="11"/>
  <c r="B701" i="11" a="1"/>
  <c r="B701" i="11"/>
  <c r="B702" i="11" a="1"/>
  <c r="B702" i="11"/>
  <c r="B703" i="11" a="1"/>
  <c r="B703" i="11"/>
  <c r="B704" i="11" a="1"/>
  <c r="B704" i="11"/>
  <c r="B705" i="11" a="1"/>
  <c r="B705" i="11"/>
  <c r="B706" i="11" a="1"/>
  <c r="B706" i="11"/>
  <c r="B707" i="11" a="1"/>
  <c r="B707" i="11"/>
  <c r="B708" i="11" a="1"/>
  <c r="B708" i="11"/>
  <c r="B709" i="11" a="1"/>
  <c r="B709" i="11"/>
  <c r="B710" i="11" a="1"/>
  <c r="B710" i="11"/>
  <c r="B711" i="11" a="1"/>
  <c r="B711" i="11"/>
  <c r="B712" i="11" a="1"/>
  <c r="B712" i="11"/>
  <c r="B713" i="11" a="1"/>
  <c r="B713" i="11"/>
  <c r="B714" i="11" a="1"/>
  <c r="B714" i="11"/>
  <c r="B715" i="11" a="1"/>
  <c r="B715" i="11"/>
  <c r="B716" i="11" a="1"/>
  <c r="B716" i="11"/>
  <c r="B717" i="11" a="1"/>
  <c r="B717" i="11"/>
  <c r="B718" i="11" a="1"/>
  <c r="B718" i="11"/>
  <c r="B719" i="11" a="1"/>
  <c r="B719" i="11"/>
  <c r="B720" i="11" a="1"/>
  <c r="B720" i="11"/>
  <c r="B721" i="11" a="1"/>
  <c r="B721" i="11"/>
  <c r="B722" i="11" a="1"/>
  <c r="B722" i="11"/>
  <c r="B723" i="11" a="1"/>
  <c r="B723" i="11"/>
  <c r="B724" i="11" a="1"/>
  <c r="B724" i="11"/>
  <c r="B725" i="11" a="1"/>
  <c r="B725" i="11"/>
  <c r="B726" i="11" a="1"/>
  <c r="B726" i="11"/>
  <c r="B727" i="11" a="1"/>
  <c r="B727" i="11"/>
  <c r="B728" i="11" a="1"/>
  <c r="B728" i="11"/>
  <c r="B729" i="11" a="1"/>
  <c r="B729" i="11"/>
  <c r="B730" i="11" a="1"/>
  <c r="B730" i="11"/>
  <c r="B731" i="11" a="1"/>
  <c r="B731" i="11"/>
  <c r="B732" i="11" a="1"/>
  <c r="B732" i="11"/>
  <c r="B733" i="11" a="1"/>
  <c r="B733" i="11"/>
  <c r="B734" i="11" a="1"/>
  <c r="B734" i="11"/>
  <c r="B735" i="11" a="1"/>
  <c r="B735" i="11"/>
  <c r="B736" i="11" a="1"/>
  <c r="B736" i="11"/>
  <c r="B737" i="11" a="1"/>
  <c r="B737" i="11"/>
  <c r="B738" i="11" a="1"/>
  <c r="B738" i="11"/>
  <c r="B739" i="11" a="1"/>
  <c r="B739" i="11"/>
  <c r="B740" i="11" a="1"/>
  <c r="B740" i="11"/>
  <c r="B741" i="11" a="1"/>
  <c r="B741" i="11"/>
  <c r="B742" i="11" a="1"/>
  <c r="B742" i="11"/>
  <c r="B743" i="11" a="1"/>
  <c r="B743" i="11"/>
  <c r="B744" i="11" a="1"/>
  <c r="B744" i="11"/>
  <c r="B745" i="11" a="1"/>
  <c r="B745" i="11"/>
  <c r="B746" i="11" a="1"/>
  <c r="B746" i="11"/>
  <c r="B747" i="11" a="1"/>
  <c r="B747" i="11"/>
  <c r="B748" i="11" a="1"/>
  <c r="B748" i="11"/>
  <c r="B749" i="11" a="1"/>
  <c r="B749" i="11"/>
  <c r="B750" i="11" a="1"/>
  <c r="B750" i="11"/>
  <c r="B751" i="11" a="1"/>
  <c r="B751" i="11"/>
  <c r="B752" i="11" a="1"/>
  <c r="B752" i="11"/>
  <c r="B753" i="11" a="1"/>
  <c r="B753" i="11"/>
  <c r="B754" i="11" a="1"/>
  <c r="B754" i="11"/>
  <c r="B755" i="11" a="1"/>
  <c r="B755" i="11"/>
  <c r="B756" i="11" a="1"/>
  <c r="B756" i="11"/>
  <c r="B757" i="11" a="1"/>
  <c r="B757" i="11"/>
  <c r="B758" i="11" a="1"/>
  <c r="B758" i="11"/>
  <c r="B759" i="11" a="1"/>
  <c r="B759" i="11"/>
  <c r="B760" i="11" a="1"/>
  <c r="B760" i="11"/>
  <c r="B761" i="11" a="1"/>
  <c r="B761" i="11"/>
  <c r="B762" i="11" a="1"/>
  <c r="B762" i="11"/>
  <c r="B763" i="11" a="1"/>
  <c r="B763" i="11"/>
  <c r="B764" i="11" a="1"/>
  <c r="B764" i="11"/>
  <c r="B765" i="11" a="1"/>
  <c r="B765" i="11"/>
  <c r="B766" i="11" a="1"/>
  <c r="B766" i="11"/>
  <c r="B767" i="11" a="1"/>
  <c r="B767" i="11"/>
  <c r="B768" i="11" a="1"/>
  <c r="B768" i="11"/>
  <c r="B769" i="11" a="1"/>
  <c r="B769" i="11"/>
  <c r="B770" i="11" a="1"/>
  <c r="B770" i="11"/>
  <c r="B771" i="11" a="1"/>
  <c r="B771" i="11"/>
  <c r="B772" i="11" a="1"/>
  <c r="B772" i="11"/>
  <c r="B773" i="11" a="1"/>
  <c r="B773" i="11"/>
  <c r="B774" i="11" a="1"/>
  <c r="B774" i="11"/>
  <c r="B775" i="11" a="1"/>
  <c r="B775" i="11"/>
  <c r="B776" i="11" a="1"/>
  <c r="B776" i="11"/>
  <c r="B777" i="11" a="1"/>
  <c r="B777" i="11"/>
  <c r="B778" i="11" a="1"/>
  <c r="B778" i="11"/>
  <c r="B779" i="11" a="1"/>
  <c r="B779" i="11"/>
  <c r="B780" i="11" a="1"/>
  <c r="B780" i="11"/>
  <c r="B781" i="11" a="1"/>
  <c r="B781" i="11"/>
  <c r="B782" i="11" a="1"/>
  <c r="B782" i="11"/>
  <c r="B783" i="11" a="1"/>
  <c r="B783" i="11"/>
  <c r="B784" i="11" a="1"/>
  <c r="B784" i="11"/>
  <c r="B785" i="11" a="1"/>
  <c r="B785" i="11"/>
  <c r="B786" i="11" a="1"/>
  <c r="B786" i="11"/>
  <c r="B787" i="11" a="1"/>
  <c r="B787" i="11"/>
  <c r="B788" i="11" a="1"/>
  <c r="B788" i="11"/>
  <c r="B789" i="11" a="1"/>
  <c r="B789" i="11"/>
  <c r="B790" i="11" a="1"/>
  <c r="B790" i="11"/>
  <c r="B791" i="11" a="1"/>
  <c r="B791" i="11"/>
  <c r="B792" i="11" a="1"/>
  <c r="B792" i="11"/>
  <c r="B793" i="11" a="1"/>
  <c r="B793" i="11"/>
  <c r="B794" i="11" a="1"/>
  <c r="B794" i="11"/>
  <c r="B795" i="11" a="1"/>
  <c r="B795" i="11"/>
  <c r="B796" i="11" a="1"/>
  <c r="B796" i="11"/>
  <c r="B797" i="11" a="1"/>
  <c r="B797" i="11"/>
  <c r="B798" i="11" a="1"/>
  <c r="B798" i="11"/>
  <c r="B799" i="11" a="1"/>
  <c r="B799" i="11"/>
  <c r="B800" i="11" a="1"/>
  <c r="B800" i="11"/>
  <c r="B801" i="11" a="1"/>
  <c r="B801" i="11"/>
  <c r="B802" i="11" a="1"/>
  <c r="B802" i="11"/>
  <c r="B803" i="11" a="1"/>
  <c r="B803" i="11"/>
  <c r="B804" i="11" a="1"/>
  <c r="B804" i="11"/>
  <c r="B805" i="11" a="1"/>
  <c r="B805" i="11"/>
  <c r="B806" i="11" a="1"/>
  <c r="B806" i="11"/>
  <c r="B807" i="11" a="1"/>
  <c r="B807" i="11"/>
  <c r="B808" i="11" a="1"/>
  <c r="B808" i="11"/>
  <c r="B809" i="11" a="1"/>
  <c r="B809" i="11"/>
  <c r="B810" i="11" a="1"/>
  <c r="B810" i="11"/>
  <c r="B811" i="11" a="1"/>
  <c r="B811" i="11"/>
  <c r="B812" i="11" a="1"/>
  <c r="B812" i="11"/>
  <c r="B813" i="11" a="1"/>
  <c r="B813" i="11"/>
  <c r="B814" i="11" a="1"/>
  <c r="B814" i="11"/>
  <c r="B815" i="11" a="1"/>
  <c r="B815" i="11"/>
  <c r="B816" i="11" a="1"/>
  <c r="B816" i="11"/>
  <c r="B817" i="11" a="1"/>
  <c r="B817" i="11"/>
  <c r="B818" i="11" a="1"/>
  <c r="B818" i="11"/>
  <c r="B819" i="11" a="1"/>
  <c r="B819" i="11"/>
  <c r="B820" i="11" a="1"/>
  <c r="B820" i="11"/>
  <c r="B821" i="11" a="1"/>
  <c r="B821" i="11"/>
  <c r="B822" i="11" a="1"/>
  <c r="B822" i="11"/>
  <c r="B823" i="11" a="1"/>
  <c r="B823" i="11"/>
  <c r="B824" i="11" a="1"/>
  <c r="B824" i="11"/>
  <c r="B825" i="11" a="1"/>
  <c r="B825" i="11"/>
  <c r="B826" i="11" a="1"/>
  <c r="B826" i="11"/>
  <c r="B827" i="11" a="1"/>
  <c r="B827" i="11"/>
  <c r="B828" i="11" a="1"/>
  <c r="B828" i="11"/>
  <c r="B829" i="11" a="1"/>
  <c r="B829" i="11"/>
  <c r="B830" i="11" a="1"/>
  <c r="B830" i="11"/>
  <c r="B831" i="11" a="1"/>
  <c r="B831" i="11"/>
  <c r="B832" i="11" a="1"/>
  <c r="B832" i="11"/>
  <c r="B833" i="11" a="1"/>
  <c r="B833" i="11"/>
  <c r="B834" i="11" a="1"/>
  <c r="B834" i="11"/>
  <c r="B835" i="11" a="1"/>
  <c r="B835" i="11"/>
  <c r="B836" i="11" a="1"/>
  <c r="B836" i="11"/>
  <c r="B837" i="11" a="1"/>
  <c r="B837" i="11"/>
  <c r="B838" i="11" a="1"/>
  <c r="B838" i="11"/>
  <c r="B839" i="11" a="1"/>
  <c r="B839" i="11"/>
  <c r="B840" i="11" a="1"/>
  <c r="B840" i="11"/>
  <c r="B841" i="11" a="1"/>
  <c r="B841" i="11"/>
  <c r="B842" i="11" a="1"/>
  <c r="B842" i="11"/>
  <c r="B843" i="11" a="1"/>
  <c r="B843" i="11"/>
  <c r="B844" i="11" a="1"/>
  <c r="B844" i="11"/>
  <c r="B845" i="11" a="1"/>
  <c r="B845" i="11"/>
  <c r="B846" i="11" a="1"/>
  <c r="B846" i="11"/>
  <c r="B847" i="11" a="1"/>
  <c r="B847" i="11"/>
  <c r="B848" i="11" a="1"/>
  <c r="B848" i="11"/>
  <c r="B849" i="11" a="1"/>
  <c r="B849" i="11"/>
  <c r="B850" i="11" a="1"/>
  <c r="B850" i="11"/>
  <c r="B851" i="11" a="1"/>
  <c r="B851" i="11"/>
  <c r="B852" i="11" a="1"/>
  <c r="B852" i="11"/>
  <c r="B853" i="11" a="1"/>
  <c r="B853" i="11"/>
  <c r="B854" i="11" a="1"/>
  <c r="B854" i="11"/>
  <c r="B855" i="11" a="1"/>
  <c r="B855" i="11"/>
  <c r="B856" i="11" a="1"/>
  <c r="B856" i="11"/>
  <c r="B857" i="11" a="1"/>
  <c r="B857" i="11"/>
  <c r="B858" i="11" a="1"/>
  <c r="B858" i="11"/>
  <c r="B859" i="11" a="1"/>
  <c r="B859" i="11"/>
  <c r="B860" i="11" a="1"/>
  <c r="B860" i="11"/>
  <c r="B861" i="11" a="1"/>
  <c r="B861" i="11"/>
  <c r="B862" i="11" a="1"/>
  <c r="B862" i="11"/>
  <c r="B863" i="11" a="1"/>
  <c r="B863" i="11"/>
  <c r="B864" i="11" a="1"/>
  <c r="B864" i="11"/>
  <c r="B865" i="11" a="1"/>
  <c r="B865" i="11"/>
  <c r="B866" i="11" a="1"/>
  <c r="B866" i="11"/>
  <c r="B867" i="11" a="1"/>
  <c r="B867" i="11"/>
  <c r="B868" i="11" a="1"/>
  <c r="B868" i="11"/>
  <c r="B869" i="11" a="1"/>
  <c r="B869" i="11"/>
  <c r="B870" i="11" a="1"/>
  <c r="B870" i="11"/>
  <c r="B871" i="11" a="1"/>
  <c r="B871" i="11"/>
  <c r="B872" i="11" a="1"/>
  <c r="B872" i="11"/>
  <c r="B873" i="11" a="1"/>
  <c r="B873" i="11"/>
  <c r="B874" i="11" a="1"/>
  <c r="B874" i="11"/>
  <c r="B875" i="11" a="1"/>
  <c r="B875" i="11"/>
  <c r="B876" i="11" a="1"/>
  <c r="B876" i="11"/>
  <c r="B877" i="11" a="1"/>
  <c r="B877" i="11"/>
  <c r="B878" i="11" a="1"/>
  <c r="B878" i="11"/>
  <c r="B879" i="11" a="1"/>
  <c r="B879" i="11"/>
  <c r="B880" i="11" a="1"/>
  <c r="B880" i="11"/>
  <c r="B881" i="11" a="1"/>
  <c r="B881" i="11"/>
  <c r="B882" i="11" a="1"/>
  <c r="B882" i="11"/>
  <c r="B883" i="11" a="1"/>
  <c r="B883" i="11"/>
  <c r="B884" i="11" a="1"/>
  <c r="B884" i="11"/>
  <c r="B885" i="11" a="1"/>
  <c r="B885" i="11"/>
  <c r="B886" i="11" a="1"/>
  <c r="B886" i="11"/>
  <c r="B887" i="11" a="1"/>
  <c r="B887" i="11"/>
  <c r="B888" i="11" a="1"/>
  <c r="B888" i="11"/>
  <c r="B889" i="11" a="1"/>
  <c r="B889" i="11"/>
  <c r="B890" i="11" a="1"/>
  <c r="B890" i="11"/>
  <c r="B891" i="11" a="1"/>
  <c r="B891" i="11"/>
  <c r="B892" i="11" a="1"/>
  <c r="B892" i="11"/>
  <c r="B893" i="11" a="1"/>
  <c r="B893" i="11"/>
  <c r="B894" i="11" a="1"/>
  <c r="B894" i="11"/>
  <c r="B895" i="11" a="1"/>
  <c r="B895" i="11"/>
  <c r="B896" i="11" a="1"/>
  <c r="B896" i="11"/>
  <c r="B897" i="11" a="1"/>
  <c r="B897" i="11"/>
  <c r="B898" i="11" a="1"/>
  <c r="B898" i="11"/>
  <c r="B899" i="11" a="1"/>
  <c r="B899" i="11"/>
  <c r="B900" i="11" a="1"/>
  <c r="B900" i="11"/>
  <c r="B901" i="11" a="1"/>
  <c r="B901" i="11"/>
  <c r="B902" i="11" a="1"/>
  <c r="B902" i="11"/>
  <c r="B903" i="11" a="1"/>
  <c r="B903" i="11"/>
  <c r="B904" i="11" a="1"/>
  <c r="B904" i="11"/>
  <c r="B905" i="11" a="1"/>
  <c r="B905" i="11"/>
  <c r="B906" i="11" a="1"/>
  <c r="B906" i="11"/>
  <c r="B907" i="11" a="1"/>
  <c r="B907" i="11"/>
  <c r="B908" i="11" a="1"/>
  <c r="B908" i="11"/>
  <c r="B909" i="11" a="1"/>
  <c r="B909" i="11"/>
  <c r="B910" i="11" a="1"/>
  <c r="B910" i="11"/>
  <c r="B911" i="11" a="1"/>
  <c r="B911" i="11"/>
  <c r="B912" i="11" a="1"/>
  <c r="B912" i="11"/>
  <c r="B913" i="11" a="1"/>
  <c r="B913" i="11"/>
  <c r="B914" i="11" a="1"/>
  <c r="B914" i="11"/>
  <c r="B915" i="11" a="1"/>
  <c r="B915" i="11"/>
  <c r="B916" i="11" a="1"/>
  <c r="B916" i="11"/>
  <c r="B917" i="11" a="1"/>
  <c r="B917" i="11"/>
  <c r="B918" i="11" a="1"/>
  <c r="B918" i="11"/>
  <c r="B919" i="11" a="1"/>
  <c r="B919" i="11"/>
  <c r="B920" i="11" a="1"/>
  <c r="B920" i="11"/>
  <c r="B921" i="11" a="1"/>
  <c r="B921" i="11"/>
  <c r="B922" i="11" a="1"/>
  <c r="B922" i="11"/>
  <c r="B923" i="11" a="1"/>
  <c r="B923" i="11"/>
  <c r="B924" i="11" a="1"/>
  <c r="B924" i="11"/>
  <c r="B925" i="11" a="1"/>
  <c r="B925" i="11"/>
  <c r="B926" i="11" a="1"/>
  <c r="B926" i="11"/>
  <c r="B927" i="11" a="1"/>
  <c r="B927" i="11"/>
  <c r="B928" i="11" a="1"/>
  <c r="B928" i="11"/>
  <c r="B929" i="11" a="1"/>
  <c r="B929" i="11"/>
  <c r="B930" i="11" a="1"/>
  <c r="B930" i="11"/>
  <c r="B931" i="11" a="1"/>
  <c r="B931" i="11"/>
  <c r="B932" i="11" a="1"/>
  <c r="B932" i="11"/>
  <c r="B933" i="11" a="1"/>
  <c r="B933" i="11"/>
  <c r="B934" i="11" a="1"/>
  <c r="B934" i="11"/>
  <c r="B935" i="11" a="1"/>
  <c r="B935" i="11"/>
  <c r="B936" i="11" a="1"/>
  <c r="B936" i="11"/>
  <c r="B937" i="11" a="1"/>
  <c r="B937" i="11"/>
  <c r="B938" i="11" a="1"/>
  <c r="B938" i="11"/>
  <c r="B939" i="11" a="1"/>
  <c r="B939" i="11"/>
  <c r="B940" i="11" a="1"/>
  <c r="B940" i="11"/>
  <c r="B941" i="11" a="1"/>
  <c r="B941" i="11"/>
  <c r="B942" i="11" a="1"/>
  <c r="B942" i="11"/>
  <c r="B943" i="11" a="1"/>
  <c r="B943" i="11"/>
  <c r="B944" i="11" a="1"/>
  <c r="B944" i="11"/>
  <c r="B945" i="11" a="1"/>
  <c r="B945" i="11"/>
  <c r="B946" i="11" a="1"/>
  <c r="B946" i="11"/>
  <c r="B947" i="11" a="1"/>
  <c r="B947" i="11"/>
  <c r="B948" i="11" a="1"/>
  <c r="B948" i="11"/>
  <c r="B949" i="11" a="1"/>
  <c r="B949" i="11"/>
  <c r="B950" i="11" a="1"/>
  <c r="B950" i="11"/>
  <c r="B951" i="11" a="1"/>
  <c r="B951" i="11"/>
  <c r="B952" i="11" a="1"/>
  <c r="B952" i="11"/>
  <c r="B953" i="11" a="1"/>
  <c r="B953" i="11"/>
  <c r="B954" i="11" a="1"/>
  <c r="B954" i="11"/>
  <c r="B955" i="11" a="1"/>
  <c r="B955" i="11"/>
  <c r="B956" i="11" a="1"/>
  <c r="B956" i="11"/>
  <c r="B957" i="11" a="1"/>
  <c r="B957" i="11"/>
  <c r="B958" i="11" a="1"/>
  <c r="B958" i="11"/>
  <c r="B959" i="11" a="1"/>
  <c r="B959" i="11"/>
  <c r="B960" i="11" a="1"/>
  <c r="B960" i="11"/>
  <c r="B961" i="11" a="1"/>
  <c r="B961" i="11"/>
  <c r="B962" i="11" a="1"/>
  <c r="B962" i="11"/>
  <c r="B963" i="11" a="1"/>
  <c r="B963" i="11"/>
  <c r="B964" i="11" a="1"/>
  <c r="B964" i="11"/>
  <c r="B965" i="11" a="1"/>
  <c r="B965" i="11"/>
  <c r="B966" i="11" a="1"/>
  <c r="B966" i="11"/>
  <c r="B967" i="11" a="1"/>
  <c r="B967" i="11"/>
  <c r="B968" i="11" a="1"/>
  <c r="B968" i="11"/>
  <c r="B969" i="11" a="1"/>
  <c r="B969" i="11"/>
  <c r="B970" i="11" a="1"/>
  <c r="B970" i="11"/>
  <c r="B971" i="11" a="1"/>
  <c r="B971" i="11"/>
  <c r="B972" i="11" a="1"/>
  <c r="B972" i="11"/>
  <c r="B973" i="11" a="1"/>
  <c r="B973" i="11"/>
  <c r="B974" i="11" a="1"/>
  <c r="B974" i="11"/>
  <c r="B975" i="11" a="1"/>
  <c r="B975" i="11"/>
  <c r="B976" i="11" a="1"/>
  <c r="B976" i="11"/>
  <c r="B977" i="11" a="1"/>
  <c r="B977" i="11"/>
  <c r="B978" i="11" a="1"/>
  <c r="B978" i="11"/>
  <c r="B979" i="11" a="1"/>
  <c r="B979" i="11"/>
  <c r="B980" i="11" a="1"/>
  <c r="B980" i="11"/>
  <c r="B981" i="11" a="1"/>
  <c r="B981" i="11"/>
  <c r="B982" i="11" a="1"/>
  <c r="B982" i="11"/>
  <c r="B983" i="11" a="1"/>
  <c r="B983" i="11"/>
  <c r="B984" i="11" a="1"/>
  <c r="B984" i="11"/>
  <c r="B985" i="11" a="1"/>
  <c r="B985" i="11"/>
  <c r="B986" i="11" a="1"/>
  <c r="B986" i="11"/>
  <c r="B987" i="11" a="1"/>
  <c r="B987" i="11"/>
  <c r="B988" i="11" a="1"/>
  <c r="B988" i="11"/>
  <c r="B989" i="11" a="1"/>
  <c r="B989" i="11"/>
  <c r="B990" i="11" a="1"/>
  <c r="B990" i="11"/>
  <c r="B991" i="11" a="1"/>
  <c r="B991" i="11"/>
  <c r="B992" i="11" a="1"/>
  <c r="B992" i="11"/>
  <c r="B993" i="11" a="1"/>
  <c r="B993" i="11"/>
  <c r="B994" i="11" a="1"/>
  <c r="B994" i="11"/>
  <c r="B995" i="11" a="1"/>
  <c r="B995" i="11"/>
  <c r="B996" i="11" a="1"/>
  <c r="B996" i="11"/>
  <c r="B997" i="11" a="1"/>
  <c r="B997" i="11"/>
  <c r="B998" i="11" a="1"/>
  <c r="B998" i="11"/>
  <c r="B999" i="11" a="1"/>
  <c r="B999" i="11"/>
  <c r="B1000" i="11" a="1"/>
  <c r="B1000" i="11"/>
  <c r="B1001" i="11" a="1"/>
  <c r="B1001" i="11"/>
  <c r="B1002" i="11" a="1"/>
  <c r="B1002" i="11"/>
  <c r="B1003" i="11" a="1"/>
  <c r="B1003" i="11"/>
  <c r="B1004" i="11" a="1"/>
  <c r="B1004" i="11"/>
  <c r="B1005" i="11" a="1"/>
  <c r="B1005" i="11"/>
  <c r="B1006" i="11" a="1"/>
  <c r="B1006" i="11"/>
  <c r="B1007" i="11" a="1"/>
  <c r="B1007" i="11"/>
  <c r="B1008" i="11" a="1"/>
  <c r="B1008" i="11"/>
  <c r="B1009" i="11" a="1"/>
  <c r="B1009" i="11"/>
  <c r="B1010" i="11" a="1"/>
  <c r="B1010" i="11"/>
  <c r="B1011" i="11" a="1"/>
  <c r="B1011" i="11"/>
  <c r="B1012" i="11" a="1"/>
  <c r="B1012" i="11"/>
  <c r="B1013" i="11" a="1"/>
  <c r="B1013" i="11"/>
  <c r="B1014" i="11" a="1"/>
  <c r="B1014" i="11"/>
  <c r="B1015" i="11" a="1"/>
  <c r="B1015" i="11"/>
  <c r="B1016" i="11" a="1"/>
  <c r="B1016" i="11"/>
  <c r="B1017" i="11" a="1"/>
  <c r="B1017" i="11"/>
  <c r="B1018" i="11" a="1"/>
  <c r="B1018" i="11"/>
  <c r="B1019" i="11" a="1"/>
  <c r="B1019" i="11"/>
  <c r="B1020" i="11" a="1"/>
  <c r="B1020" i="11"/>
  <c r="B1021" i="11" a="1"/>
  <c r="B1021" i="11"/>
  <c r="B1022" i="11" a="1"/>
  <c r="B1022" i="11"/>
  <c r="B1023" i="11" a="1"/>
  <c r="B1023" i="11"/>
  <c r="B1024" i="11" a="1"/>
  <c r="B1024" i="11"/>
  <c r="B1025" i="11" a="1"/>
  <c r="B1025" i="11"/>
  <c r="B1026" i="11" a="1"/>
  <c r="B1026" i="11"/>
  <c r="B1027" i="11" a="1"/>
  <c r="B1027" i="11"/>
  <c r="B1028" i="11" a="1"/>
  <c r="B1028" i="11"/>
  <c r="B1029" i="11" a="1"/>
  <c r="B1029" i="11"/>
  <c r="B1030" i="11" a="1"/>
  <c r="B1030" i="11"/>
  <c r="B1031" i="11" a="1"/>
  <c r="B1031" i="11"/>
  <c r="B1032" i="11" a="1"/>
  <c r="B1032" i="11"/>
  <c r="B1033" i="11" a="1"/>
  <c r="B1033" i="11"/>
  <c r="B1034" i="11" a="1"/>
  <c r="B1034" i="11"/>
  <c r="B1035" i="11" a="1"/>
  <c r="B1035" i="11"/>
  <c r="B1036" i="11" a="1"/>
  <c r="B1036" i="11"/>
  <c r="B1037" i="11" a="1"/>
  <c r="B1037" i="11"/>
  <c r="B1038" i="11" a="1"/>
  <c r="B1038" i="11"/>
  <c r="B1039" i="11" a="1"/>
  <c r="B1039" i="11"/>
  <c r="B1040" i="11" a="1"/>
  <c r="B1040" i="11"/>
  <c r="B1041" i="11" a="1"/>
  <c r="B1041" i="11"/>
  <c r="B1042" i="11" a="1"/>
  <c r="B1042" i="11"/>
  <c r="B1043" i="11" a="1"/>
  <c r="B1043" i="11"/>
  <c r="B1044" i="11" a="1"/>
  <c r="B1044" i="11"/>
  <c r="B1045" i="11" a="1"/>
  <c r="B1045" i="11"/>
  <c r="B1046" i="11" a="1"/>
  <c r="B1046" i="11"/>
  <c r="B1047" i="11" a="1"/>
  <c r="B1047" i="11"/>
  <c r="B1048" i="11" a="1"/>
  <c r="B1048" i="11"/>
  <c r="B1049" i="11" a="1"/>
  <c r="B1049" i="11"/>
  <c r="B1050" i="11" a="1"/>
  <c r="B1050" i="11"/>
  <c r="B1051" i="11" a="1"/>
  <c r="B1051" i="11"/>
  <c r="B1052" i="11" a="1"/>
  <c r="B1052" i="11"/>
  <c r="B1053" i="11" a="1"/>
  <c r="B1053" i="11"/>
  <c r="B1054" i="11" a="1"/>
  <c r="B1054" i="11"/>
  <c r="B1055" i="11" a="1"/>
  <c r="B1055" i="11"/>
  <c r="B1056" i="11" a="1"/>
  <c r="B1056" i="11"/>
  <c r="B1057" i="11" a="1"/>
  <c r="B1057" i="11"/>
  <c r="B1058" i="11" a="1"/>
  <c r="B1058" i="11"/>
  <c r="B1059" i="11" a="1"/>
  <c r="B1059" i="11"/>
  <c r="B1060" i="11" a="1"/>
  <c r="B1060" i="11"/>
  <c r="B1061" i="11" a="1"/>
  <c r="B1061" i="11"/>
  <c r="B1062" i="11" a="1"/>
  <c r="B1062" i="11"/>
  <c r="B1063" i="11" a="1"/>
  <c r="B1063" i="11"/>
  <c r="B1064" i="11" a="1"/>
  <c r="B1064" i="11"/>
  <c r="B1065" i="11" a="1"/>
  <c r="B1065" i="11"/>
  <c r="B1066" i="11" a="1"/>
  <c r="B1066" i="11"/>
  <c r="B1067" i="11" a="1"/>
  <c r="B1067" i="11"/>
  <c r="B1068" i="11" a="1"/>
  <c r="B1068" i="11"/>
  <c r="B1069" i="11" a="1"/>
  <c r="B1069" i="11"/>
  <c r="B1070" i="11" a="1"/>
  <c r="B1070" i="11"/>
  <c r="B1071" i="11" a="1"/>
  <c r="B1071" i="11"/>
  <c r="B1072" i="11" a="1"/>
  <c r="B1072" i="11"/>
  <c r="B1073" i="11" a="1"/>
  <c r="B1073" i="11"/>
  <c r="B1074" i="11" a="1"/>
  <c r="B1074" i="11"/>
  <c r="B1075" i="11" a="1"/>
  <c r="B1075" i="11"/>
  <c r="B1076" i="11" a="1"/>
  <c r="B1076" i="11"/>
  <c r="B1077" i="11" a="1"/>
  <c r="B1077" i="11"/>
  <c r="B1078" i="11" a="1"/>
  <c r="B1078" i="11"/>
  <c r="B1079" i="11" a="1"/>
  <c r="B1079" i="11"/>
  <c r="B1080" i="11" a="1"/>
  <c r="B1080" i="11"/>
  <c r="B1081" i="11" a="1"/>
  <c r="B1081" i="11"/>
  <c r="B1082" i="11" a="1"/>
  <c r="B1082" i="11"/>
  <c r="B1083" i="11" a="1"/>
  <c r="B1083" i="11"/>
  <c r="B1084" i="11" a="1"/>
  <c r="B1084" i="11"/>
  <c r="B1085" i="11" a="1"/>
  <c r="B1085" i="11"/>
  <c r="B1086" i="11" a="1"/>
  <c r="B1086" i="11"/>
  <c r="B1087" i="11" a="1"/>
  <c r="B1087" i="11"/>
  <c r="B1088" i="11" a="1"/>
  <c r="B1088" i="11"/>
  <c r="B1089" i="11" a="1"/>
  <c r="B1089" i="11"/>
  <c r="B1090" i="11" a="1"/>
  <c r="B1090" i="11"/>
  <c r="B1091" i="11" a="1"/>
  <c r="B1091" i="11"/>
  <c r="B1092" i="11" a="1"/>
  <c r="B1092" i="11"/>
  <c r="B1093" i="11" a="1"/>
  <c r="B1093" i="11"/>
  <c r="B1094" i="11" a="1"/>
  <c r="B1094" i="11"/>
  <c r="B1095" i="11" a="1"/>
  <c r="B1095" i="11"/>
  <c r="B1096" i="11" a="1"/>
  <c r="B1096" i="11"/>
  <c r="B1097" i="11" a="1"/>
  <c r="B1097" i="11"/>
  <c r="B1098" i="11" a="1"/>
  <c r="B1098" i="11"/>
  <c r="B1099" i="11" a="1"/>
  <c r="B1099" i="11"/>
  <c r="B1100" i="11" a="1"/>
  <c r="B1100" i="11"/>
  <c r="B1101" i="11" a="1"/>
  <c r="B1101" i="11"/>
  <c r="B1102" i="11" a="1"/>
  <c r="B1102" i="11"/>
  <c r="B1103" i="11" a="1"/>
  <c r="B1103" i="11"/>
  <c r="B1104" i="11" a="1"/>
  <c r="B1104" i="11"/>
  <c r="B1105" i="11" a="1"/>
  <c r="B1105" i="11"/>
  <c r="B1106" i="11" a="1"/>
  <c r="B1106" i="11"/>
  <c r="B1107" i="11" a="1"/>
  <c r="B1107" i="11"/>
  <c r="B1108" i="11" a="1"/>
  <c r="B1108" i="11"/>
  <c r="B1109" i="11" a="1"/>
  <c r="B1109" i="11"/>
  <c r="B1110" i="11" a="1"/>
  <c r="B1110" i="11"/>
  <c r="B1111" i="11" a="1"/>
  <c r="B1111" i="11"/>
  <c r="B1112" i="11" a="1"/>
  <c r="B1112" i="11"/>
  <c r="B1113" i="11" a="1"/>
  <c r="B1113" i="11"/>
  <c r="B1114" i="11" a="1"/>
  <c r="B1114" i="11"/>
  <c r="B1115" i="11" a="1"/>
  <c r="B1115" i="11"/>
  <c r="B1116" i="11" a="1"/>
  <c r="B1116" i="11"/>
  <c r="B1117" i="11" a="1"/>
  <c r="B1117" i="11"/>
  <c r="B1118" i="11" a="1"/>
  <c r="B1118" i="11"/>
  <c r="B1119" i="11" a="1"/>
  <c r="B1119" i="11"/>
  <c r="B1120" i="11" a="1"/>
  <c r="B1120" i="11"/>
  <c r="B1121" i="11" a="1"/>
  <c r="B1121" i="11"/>
  <c r="B1122" i="11" a="1"/>
  <c r="B1122" i="11"/>
  <c r="B1123" i="11" a="1"/>
  <c r="B1123" i="11"/>
  <c r="B1124" i="11" a="1"/>
  <c r="B1124" i="11"/>
  <c r="B1125" i="11" a="1"/>
  <c r="B1125" i="11"/>
  <c r="B1126" i="11" a="1"/>
  <c r="B1126" i="11"/>
  <c r="B1127" i="11" a="1"/>
  <c r="B1127" i="11"/>
  <c r="B1128" i="11" a="1"/>
  <c r="B1128" i="11"/>
  <c r="B1129" i="11" a="1"/>
  <c r="B1129" i="11"/>
  <c r="B1130" i="11" a="1"/>
  <c r="B1130" i="11"/>
  <c r="B1131" i="11" a="1"/>
  <c r="B1131" i="11"/>
  <c r="B1132" i="11" a="1"/>
  <c r="B1132" i="11"/>
  <c r="B1133" i="11" a="1"/>
  <c r="B1133" i="11"/>
  <c r="B1134" i="11" a="1"/>
  <c r="B1134" i="11"/>
  <c r="B1135" i="11" a="1"/>
  <c r="B1135" i="11"/>
  <c r="B1136" i="11" a="1"/>
  <c r="B1136" i="11"/>
  <c r="B1137" i="11" a="1"/>
  <c r="B1137" i="11"/>
  <c r="B1138" i="11" a="1"/>
  <c r="B1138" i="11"/>
  <c r="B1139" i="11" a="1"/>
  <c r="B1139" i="11"/>
  <c r="B1140" i="11" a="1"/>
  <c r="B1140" i="11"/>
  <c r="B1141" i="11" a="1"/>
  <c r="B1141" i="11"/>
  <c r="B1142" i="11" a="1"/>
  <c r="B1142" i="11"/>
  <c r="B1143" i="11" a="1"/>
  <c r="B1143" i="11"/>
  <c r="B1144" i="11" a="1"/>
  <c r="B1144" i="11"/>
  <c r="B1145" i="11" a="1"/>
  <c r="B1145" i="11"/>
  <c r="B1146" i="11" a="1"/>
  <c r="B1146" i="11"/>
  <c r="B1147" i="11" a="1"/>
  <c r="B1147" i="11"/>
  <c r="B1148" i="11" a="1"/>
  <c r="B1148" i="11"/>
  <c r="B1149" i="11" a="1"/>
  <c r="B1149" i="11"/>
  <c r="B1150" i="11" a="1"/>
  <c r="B1150" i="11"/>
  <c r="B1151" i="11" a="1"/>
  <c r="B1151" i="11"/>
  <c r="B1152" i="11" a="1"/>
  <c r="B1152" i="11"/>
  <c r="B1153" i="11" a="1"/>
  <c r="B1153" i="11"/>
  <c r="B1154" i="11" a="1"/>
  <c r="B1154" i="11"/>
  <c r="B1155" i="11" a="1"/>
  <c r="B1155" i="11"/>
  <c r="B1156" i="11" a="1"/>
  <c r="B1156" i="11"/>
  <c r="B1157" i="11" a="1"/>
  <c r="B1157" i="11"/>
  <c r="B1158" i="11" a="1"/>
  <c r="B1158" i="11"/>
  <c r="B1159" i="11" a="1"/>
  <c r="B1159" i="11"/>
  <c r="B1160" i="11" a="1"/>
  <c r="B1160" i="11"/>
  <c r="B1161" i="11" a="1"/>
  <c r="B1161" i="11"/>
  <c r="B1162" i="11" a="1"/>
  <c r="B1162" i="11"/>
  <c r="B1163" i="11" a="1"/>
  <c r="B1163" i="11"/>
  <c r="B1164" i="11" a="1"/>
  <c r="B1164" i="11"/>
  <c r="B1165" i="11" a="1"/>
  <c r="B1165" i="11"/>
  <c r="B1166" i="11" a="1"/>
  <c r="B1166" i="11"/>
  <c r="B1167" i="11" a="1"/>
  <c r="B1167" i="11"/>
  <c r="B1168" i="11" a="1"/>
  <c r="B1168" i="11"/>
  <c r="B1169" i="11" a="1"/>
  <c r="B1169" i="11"/>
  <c r="B1170" i="11" a="1"/>
  <c r="B1170" i="11"/>
  <c r="B1171" i="11" a="1"/>
  <c r="B1171" i="11"/>
  <c r="B1172" i="11" a="1"/>
  <c r="B1172" i="11"/>
  <c r="B1173" i="11" a="1"/>
  <c r="B1173" i="11"/>
  <c r="B1174" i="11" a="1"/>
  <c r="B1174" i="11"/>
  <c r="B1175" i="11" a="1"/>
  <c r="B1175" i="11"/>
  <c r="B1176" i="11" a="1"/>
  <c r="B1176" i="11"/>
  <c r="B1177" i="11" a="1"/>
  <c r="B1177" i="11"/>
  <c r="B1178" i="11" a="1"/>
  <c r="B1178" i="11"/>
  <c r="B1179" i="11" a="1"/>
  <c r="B1179" i="11"/>
  <c r="B1180" i="11" a="1"/>
  <c r="B1180" i="11"/>
  <c r="B1181" i="11" a="1"/>
  <c r="B1181" i="11"/>
  <c r="B1182" i="11" a="1"/>
  <c r="B1182" i="11"/>
  <c r="B1183" i="11" a="1"/>
  <c r="B1183" i="11"/>
  <c r="B1184" i="11" a="1"/>
  <c r="B1184" i="11"/>
  <c r="B1185" i="11" a="1"/>
  <c r="B1185" i="11"/>
  <c r="B1186" i="11" a="1"/>
  <c r="B1186" i="11"/>
  <c r="B1187" i="11" a="1"/>
  <c r="B1187" i="11"/>
  <c r="B1188" i="11" a="1"/>
  <c r="B1188" i="11"/>
  <c r="B1189" i="11" a="1"/>
  <c r="B1189" i="11"/>
  <c r="B1190" i="11" a="1"/>
  <c r="B1190" i="11"/>
  <c r="B1191" i="11" a="1"/>
  <c r="B1191" i="11"/>
  <c r="B1192" i="11" a="1"/>
  <c r="B1192" i="11"/>
  <c r="B1193" i="11" a="1"/>
  <c r="B1193" i="11"/>
  <c r="B1194" i="11" a="1"/>
  <c r="B1194" i="11"/>
  <c r="B1195" i="11" a="1"/>
  <c r="B1195" i="11"/>
  <c r="B1196" i="11" a="1"/>
  <c r="B1196" i="11"/>
  <c r="B1197" i="11" a="1"/>
  <c r="B1197" i="11"/>
  <c r="B1198" i="11" a="1"/>
  <c r="B1198" i="11"/>
  <c r="B1199" i="11" a="1"/>
  <c r="B1199" i="11"/>
  <c r="B1200" i="11" a="1"/>
  <c r="B1200" i="11"/>
  <c r="B1201" i="11" a="1"/>
  <c r="B1201" i="11"/>
  <c r="B1202" i="11" a="1"/>
  <c r="B1202" i="11"/>
  <c r="B1203" i="11" a="1"/>
  <c r="B1203" i="11"/>
  <c r="B1204" i="11" a="1"/>
  <c r="B1204" i="11"/>
  <c r="B1205" i="11" a="1"/>
  <c r="B1205" i="11"/>
  <c r="B1206" i="11" a="1"/>
  <c r="B1206" i="11"/>
  <c r="B1207" i="11" a="1"/>
  <c r="B1207" i="11"/>
  <c r="B1208" i="11" a="1"/>
  <c r="B1208" i="11"/>
  <c r="B1209" i="11" a="1"/>
  <c r="B1209" i="11"/>
  <c r="B1210" i="11" a="1"/>
  <c r="B1210" i="11"/>
  <c r="B1211" i="11" a="1"/>
  <c r="B1211" i="11"/>
  <c r="B1212" i="11" a="1"/>
  <c r="B1212" i="11"/>
  <c r="B1213" i="11" a="1"/>
  <c r="B1213" i="11"/>
  <c r="B1214" i="11" a="1"/>
  <c r="B1214" i="11"/>
  <c r="B1215" i="11" a="1"/>
  <c r="B1215" i="11"/>
  <c r="B1216" i="11" a="1"/>
  <c r="B1216" i="11"/>
  <c r="B1217" i="11" a="1"/>
  <c r="B1217" i="11"/>
  <c r="B1218" i="11" a="1"/>
  <c r="B1218" i="11"/>
  <c r="B1219" i="11" a="1"/>
  <c r="B1219" i="11"/>
  <c r="B1220" i="11" a="1"/>
  <c r="B1220" i="11"/>
  <c r="B1221" i="11" a="1"/>
  <c r="B1221" i="11"/>
  <c r="B1222" i="11" a="1"/>
  <c r="B1222" i="11"/>
  <c r="B1223" i="11" a="1"/>
  <c r="B1223" i="11"/>
  <c r="B1224" i="11" a="1"/>
  <c r="B1224" i="11"/>
  <c r="B1225" i="11" a="1"/>
  <c r="B1225" i="11"/>
  <c r="B1226" i="11" a="1"/>
  <c r="B1226" i="11"/>
  <c r="B1227" i="11" a="1"/>
  <c r="B1227" i="11"/>
  <c r="B1228" i="11" a="1"/>
  <c r="B1228" i="11"/>
  <c r="B1229" i="11" a="1"/>
  <c r="B1229" i="11"/>
  <c r="B1230" i="11" a="1"/>
  <c r="B1230" i="11"/>
  <c r="B1231" i="11" a="1"/>
  <c r="B1231" i="11"/>
  <c r="B1232" i="11" a="1"/>
  <c r="B1232" i="11"/>
  <c r="B1233" i="11" a="1"/>
  <c r="B1233" i="11"/>
  <c r="B1234" i="11" a="1"/>
  <c r="B1234" i="11"/>
  <c r="B1235" i="11" a="1"/>
  <c r="B1235" i="11"/>
  <c r="B1236" i="11" a="1"/>
  <c r="B1236" i="11"/>
  <c r="B1237" i="11" a="1"/>
  <c r="B1237" i="11"/>
  <c r="B1238" i="11" a="1"/>
  <c r="B1238" i="11"/>
  <c r="B1239" i="11" a="1"/>
  <c r="B1239" i="11"/>
  <c r="B1240" i="11" a="1"/>
  <c r="B1240" i="11"/>
  <c r="B1241" i="11" a="1"/>
  <c r="B1241" i="11"/>
  <c r="B1242" i="11" a="1"/>
  <c r="B1242" i="11"/>
  <c r="B1243" i="11" a="1"/>
  <c r="B1243" i="11"/>
  <c r="B1244" i="11" a="1"/>
  <c r="B1244" i="11"/>
  <c r="B1245" i="11" a="1"/>
  <c r="B1245" i="11"/>
  <c r="B1246" i="11" a="1"/>
  <c r="B1246" i="11"/>
  <c r="B1247" i="11" a="1"/>
  <c r="B1247" i="11"/>
  <c r="B1248" i="11" a="1"/>
  <c r="B1248" i="11"/>
  <c r="B1249" i="11" a="1"/>
  <c r="B1249" i="11"/>
  <c r="B1250" i="11" a="1"/>
  <c r="B1250" i="11"/>
  <c r="B1251" i="11" a="1"/>
  <c r="B1251" i="11"/>
  <c r="B1252" i="11" a="1"/>
  <c r="B1252" i="11"/>
  <c r="B1253" i="11" a="1"/>
  <c r="B1253" i="11"/>
  <c r="B1254" i="11" a="1"/>
  <c r="B1254" i="11"/>
  <c r="B1255" i="11" a="1"/>
  <c r="B1255" i="11"/>
  <c r="B1256" i="11" a="1"/>
  <c r="B1256" i="11"/>
  <c r="B1257" i="11" a="1"/>
  <c r="B1257" i="11"/>
  <c r="B1258" i="11" a="1"/>
  <c r="B1258" i="11"/>
  <c r="B1259" i="11" a="1"/>
  <c r="B1259" i="11"/>
  <c r="B1260" i="11" a="1"/>
  <c r="B1260" i="11"/>
  <c r="B1261" i="11" a="1"/>
  <c r="B1261" i="11"/>
  <c r="B1262" i="11" a="1"/>
  <c r="B1262" i="11"/>
  <c r="B1263" i="11" a="1"/>
  <c r="B1263" i="11"/>
  <c r="B1264" i="11" a="1"/>
  <c r="B1264" i="11"/>
  <c r="B1265" i="11" a="1"/>
  <c r="B1265" i="11"/>
  <c r="B1266" i="11" a="1"/>
  <c r="B1266" i="11"/>
  <c r="B1267" i="11" a="1"/>
  <c r="B1267" i="11"/>
  <c r="B1268" i="11" a="1"/>
  <c r="B1268" i="11"/>
  <c r="B1269" i="11" a="1"/>
  <c r="B1269" i="11"/>
  <c r="B1270" i="11" a="1"/>
  <c r="B1270" i="11"/>
  <c r="B1271" i="11" a="1"/>
  <c r="B1271" i="11"/>
  <c r="B1272" i="11" a="1"/>
  <c r="B1272" i="11"/>
  <c r="B1273" i="11" a="1"/>
  <c r="B1273" i="11"/>
  <c r="B1274" i="11" a="1"/>
  <c r="B1274" i="11"/>
  <c r="B1275" i="11" a="1"/>
  <c r="B1275" i="11"/>
  <c r="B1276" i="11" a="1"/>
  <c r="B1276" i="11"/>
  <c r="B1277" i="11" a="1"/>
  <c r="B1277" i="11"/>
  <c r="B1278" i="11" a="1"/>
  <c r="B1278" i="11"/>
  <c r="B1279" i="11" a="1"/>
  <c r="B1279" i="11"/>
  <c r="B1280" i="11" a="1"/>
  <c r="B1280" i="11"/>
  <c r="B1281" i="11" a="1"/>
  <c r="B1281" i="11"/>
  <c r="B1282" i="11" a="1"/>
  <c r="B1282" i="11"/>
  <c r="B1283" i="11" a="1"/>
  <c r="B1283" i="11"/>
  <c r="B1284" i="11" a="1"/>
  <c r="B1284" i="11"/>
  <c r="B1285" i="11" a="1"/>
  <c r="B1285" i="11"/>
  <c r="B1286" i="11" a="1"/>
  <c r="B1286" i="11"/>
  <c r="B1287" i="11" a="1"/>
  <c r="B1287" i="11"/>
  <c r="B1288" i="11" a="1"/>
  <c r="B1288" i="11"/>
  <c r="B1289" i="11" a="1"/>
  <c r="B1289" i="11"/>
  <c r="B1290" i="11" a="1"/>
  <c r="B1290" i="11"/>
  <c r="B1291" i="11" a="1"/>
  <c r="B1291" i="11"/>
  <c r="B1292" i="11" a="1"/>
  <c r="B1292" i="11"/>
  <c r="B1293" i="11" a="1"/>
  <c r="B1293" i="11"/>
  <c r="B1294" i="11" a="1"/>
  <c r="B1294" i="11"/>
  <c r="B1295" i="11" a="1"/>
  <c r="B1295" i="11"/>
  <c r="B1296" i="11" a="1"/>
  <c r="B1296" i="11"/>
  <c r="B1297" i="11" a="1"/>
  <c r="B1297" i="11"/>
  <c r="B1298" i="11" a="1"/>
  <c r="B1298" i="11"/>
  <c r="B1299" i="11" a="1"/>
  <c r="B1299" i="11"/>
  <c r="B1300" i="11" a="1"/>
  <c r="B1300" i="11"/>
  <c r="B1301" i="11" a="1"/>
  <c r="B1301" i="11"/>
  <c r="B1302" i="11" a="1"/>
  <c r="B1302" i="11"/>
  <c r="B1303" i="11" a="1"/>
  <c r="B1303" i="11"/>
  <c r="B1304" i="11" a="1"/>
  <c r="B1304" i="11"/>
  <c r="B1305" i="11" a="1"/>
  <c r="B1305" i="11"/>
  <c r="B1306" i="11" a="1"/>
  <c r="B1306" i="11"/>
  <c r="B1307" i="11" a="1"/>
  <c r="B1307" i="11"/>
  <c r="B1308" i="11" a="1"/>
  <c r="B1308" i="11"/>
  <c r="B1309" i="11" a="1"/>
  <c r="B1309" i="11"/>
  <c r="B1310" i="11" a="1"/>
  <c r="B1310" i="11"/>
  <c r="B1311" i="11" a="1"/>
  <c r="B1311" i="11"/>
  <c r="B1312" i="11" a="1"/>
  <c r="B1312" i="11"/>
  <c r="B1313" i="11" a="1"/>
  <c r="B1313" i="11"/>
  <c r="B1314" i="11" a="1"/>
  <c r="B1314" i="11"/>
  <c r="B1315" i="11" a="1"/>
  <c r="B1315" i="11"/>
  <c r="B1316" i="11" a="1"/>
  <c r="B1316" i="11"/>
  <c r="B1317" i="11" a="1"/>
  <c r="B1317" i="11"/>
  <c r="B1318" i="11" a="1"/>
  <c r="B1318" i="11"/>
  <c r="B1319" i="11" a="1"/>
  <c r="B1319" i="11"/>
  <c r="B1320" i="11" a="1"/>
  <c r="B1320" i="11"/>
  <c r="B1321" i="11" a="1"/>
  <c r="B1321" i="11"/>
  <c r="B1322" i="11" a="1"/>
  <c r="B1322" i="11"/>
  <c r="B1323" i="11" a="1"/>
  <c r="B1323" i="11"/>
  <c r="B1324" i="11" a="1"/>
  <c r="B1324" i="11"/>
  <c r="B1325" i="11" a="1"/>
  <c r="B1325" i="11"/>
  <c r="B1326" i="11" a="1"/>
  <c r="B1326" i="11"/>
  <c r="B1327" i="11" a="1"/>
  <c r="B1327" i="11"/>
  <c r="B1328" i="11" a="1"/>
  <c r="B1328" i="11"/>
  <c r="B1329" i="11" a="1"/>
  <c r="B1329" i="11"/>
  <c r="B1330" i="11" a="1"/>
  <c r="B1330" i="11"/>
  <c r="B1331" i="11" a="1"/>
  <c r="B1331" i="11"/>
  <c r="B1332" i="11" a="1"/>
  <c r="B1332" i="11"/>
  <c r="B1333" i="11" a="1"/>
  <c r="B1333" i="11"/>
  <c r="B1334" i="11" a="1"/>
  <c r="B1334" i="11"/>
  <c r="B1335" i="11" a="1"/>
  <c r="B1335" i="11"/>
  <c r="B1336" i="11" a="1"/>
  <c r="B1336" i="11"/>
  <c r="B1337" i="11" a="1"/>
  <c r="B1337" i="11"/>
  <c r="B1338" i="11" a="1"/>
  <c r="B1338" i="11"/>
  <c r="B1339" i="11" a="1"/>
  <c r="B1339" i="11"/>
  <c r="B1340" i="11" a="1"/>
  <c r="B1340" i="11"/>
  <c r="B1341" i="11" a="1"/>
  <c r="B1341" i="11"/>
  <c r="B1342" i="11" a="1"/>
  <c r="B1342" i="11"/>
  <c r="B1343" i="11" a="1"/>
  <c r="B1343" i="11"/>
  <c r="B1344" i="11" a="1"/>
  <c r="B1344" i="11"/>
  <c r="B1345" i="11" a="1"/>
  <c r="B1345" i="11"/>
  <c r="B1346" i="11" a="1"/>
  <c r="B1346" i="11"/>
  <c r="B1347" i="11" a="1"/>
  <c r="B1347" i="11"/>
  <c r="B1348" i="11" a="1"/>
  <c r="B1348" i="11"/>
  <c r="B1349" i="11" a="1"/>
  <c r="B1349" i="11"/>
  <c r="B1350" i="11" a="1"/>
  <c r="B1350" i="11"/>
  <c r="B1351" i="11" a="1"/>
  <c r="B1351" i="11"/>
  <c r="B1352" i="11" a="1"/>
  <c r="B1352" i="11"/>
  <c r="B1353" i="11" a="1"/>
  <c r="B1353" i="11"/>
  <c r="B1354" i="11" a="1"/>
  <c r="B1354" i="11"/>
  <c r="B1355" i="11" a="1"/>
  <c r="B1355" i="11"/>
  <c r="B1356" i="11" a="1"/>
  <c r="B1356" i="11"/>
  <c r="B1357" i="11" a="1"/>
  <c r="B1357" i="11"/>
  <c r="B1358" i="11" a="1"/>
  <c r="B1358" i="11"/>
  <c r="B1359" i="11" a="1"/>
  <c r="B1359" i="11"/>
  <c r="B1360" i="11" a="1"/>
  <c r="B1360" i="11"/>
  <c r="B1361" i="11" a="1"/>
  <c r="B1361" i="11"/>
  <c r="B1362" i="11" a="1"/>
  <c r="B1362" i="11"/>
  <c r="B1363" i="11" a="1"/>
  <c r="B1363" i="11"/>
  <c r="B1364" i="11" a="1"/>
  <c r="B1364" i="11"/>
  <c r="B1365" i="11" a="1"/>
  <c r="B1365" i="11"/>
  <c r="B1366" i="11" a="1"/>
  <c r="B1366" i="11"/>
  <c r="B1367" i="11" a="1"/>
  <c r="B1367" i="11"/>
  <c r="B1368" i="11" a="1"/>
  <c r="B1368" i="11"/>
  <c r="B1369" i="11" a="1"/>
  <c r="B1369" i="11"/>
  <c r="B1370" i="11" a="1"/>
  <c r="B1370" i="11"/>
  <c r="B1371" i="11" a="1"/>
  <c r="B1371" i="11"/>
  <c r="B1372" i="11" a="1"/>
  <c r="B1372" i="11"/>
  <c r="B1373" i="11" a="1"/>
  <c r="B1373" i="11"/>
  <c r="B1374" i="11" a="1"/>
  <c r="B1374" i="11"/>
  <c r="B1375" i="11" a="1"/>
  <c r="B1375" i="11"/>
  <c r="B1376" i="11" a="1"/>
  <c r="B1376" i="11"/>
  <c r="B1377" i="11" a="1"/>
  <c r="B1377" i="11"/>
  <c r="B1378" i="11" a="1"/>
  <c r="B1378" i="11"/>
  <c r="B1379" i="11" a="1"/>
  <c r="B1379" i="11"/>
  <c r="B1380" i="11" a="1"/>
  <c r="B1380" i="11"/>
  <c r="B1381" i="11" a="1"/>
  <c r="B1381" i="11"/>
  <c r="B1382" i="11" a="1"/>
  <c r="B1382" i="11"/>
  <c r="B1383" i="11" a="1"/>
  <c r="B1383" i="11"/>
  <c r="B1384" i="11" a="1"/>
  <c r="B1384" i="11"/>
  <c r="B1385" i="11" a="1"/>
  <c r="B1385" i="11"/>
  <c r="B1386" i="11" a="1"/>
  <c r="B1386" i="11"/>
  <c r="B1387" i="11" a="1"/>
  <c r="B1387" i="11"/>
  <c r="B1388" i="11" a="1"/>
  <c r="B1388" i="11"/>
  <c r="B1389" i="11" a="1"/>
  <c r="B1389" i="11"/>
  <c r="B1390" i="11" a="1"/>
  <c r="B1390" i="11"/>
  <c r="B1391" i="11" a="1"/>
  <c r="B1391" i="11"/>
  <c r="B1392" i="11" a="1"/>
  <c r="B1392" i="11"/>
  <c r="B1393" i="11" a="1"/>
  <c r="B1393" i="11"/>
  <c r="B1394" i="11" a="1"/>
  <c r="B1394" i="11"/>
  <c r="B1395" i="11" a="1"/>
  <c r="B1395" i="11"/>
  <c r="B1396" i="11" a="1"/>
  <c r="B1396" i="11"/>
  <c r="B1397" i="11" a="1"/>
  <c r="B1397" i="11"/>
  <c r="B1398" i="11" a="1"/>
  <c r="B1398" i="11"/>
  <c r="B1399" i="11" a="1"/>
  <c r="B1399" i="11"/>
  <c r="B1400" i="11" a="1"/>
  <c r="B1400" i="11"/>
  <c r="B1401" i="11" a="1"/>
  <c r="B1401" i="11"/>
  <c r="B1402" i="11" a="1"/>
  <c r="B1402" i="11"/>
  <c r="B1403" i="11" a="1"/>
  <c r="B1403" i="11"/>
  <c r="B1404" i="11" a="1"/>
  <c r="B1404" i="11"/>
  <c r="B1405" i="11" a="1"/>
  <c r="B1405" i="11"/>
  <c r="B1406" i="11" a="1"/>
  <c r="B1406" i="11"/>
  <c r="B1407" i="11" a="1"/>
  <c r="B1407" i="11"/>
  <c r="B1408" i="11" a="1"/>
  <c r="B1408" i="11"/>
  <c r="B1409" i="11" a="1"/>
  <c r="B1409" i="11"/>
  <c r="B1410" i="11" a="1"/>
  <c r="B1410" i="11"/>
  <c r="B1411" i="11" a="1"/>
  <c r="B1411" i="11"/>
  <c r="B1412" i="11" a="1"/>
  <c r="B1412" i="11"/>
  <c r="B1413" i="11" a="1"/>
  <c r="B1413" i="11"/>
  <c r="B1414" i="11" a="1"/>
  <c r="B1414" i="11"/>
  <c r="B1415" i="11" a="1"/>
  <c r="B1415" i="11"/>
  <c r="B1416" i="11" a="1"/>
  <c r="B1416" i="11"/>
  <c r="B1417" i="11" a="1"/>
  <c r="B1417" i="11"/>
  <c r="B1418" i="11" a="1"/>
  <c r="B1418" i="11"/>
  <c r="B1419" i="11" a="1"/>
  <c r="B1419" i="11"/>
  <c r="B1420" i="11" a="1"/>
  <c r="B1420" i="11"/>
  <c r="B1421" i="11" a="1"/>
  <c r="B1421" i="11"/>
  <c r="B1422" i="11" a="1"/>
  <c r="B1422" i="11"/>
  <c r="B1423" i="11" a="1"/>
  <c r="B1423" i="11"/>
  <c r="B1424" i="11" a="1"/>
  <c r="B1424" i="11"/>
  <c r="B1425" i="11" a="1"/>
  <c r="B1425" i="11"/>
  <c r="B1426" i="11" a="1"/>
  <c r="B1426" i="11"/>
  <c r="B1427" i="11" a="1"/>
  <c r="B1427" i="11"/>
  <c r="B1428" i="11" a="1"/>
  <c r="B1428" i="11"/>
  <c r="B1429" i="11" a="1"/>
  <c r="B1429" i="11"/>
  <c r="B1430" i="11" a="1"/>
  <c r="B1430" i="11"/>
  <c r="B1431" i="11" a="1"/>
  <c r="B1431" i="11"/>
  <c r="B1432" i="11" a="1"/>
  <c r="B1432" i="11"/>
  <c r="B1433" i="11" a="1"/>
  <c r="B1433" i="11"/>
  <c r="B1434" i="11" a="1"/>
  <c r="B1434" i="11"/>
  <c r="B1435" i="11" a="1"/>
  <c r="B1435" i="11"/>
  <c r="B1436" i="11" a="1"/>
  <c r="B1436" i="11"/>
  <c r="B1437" i="11" a="1"/>
  <c r="B1437" i="11"/>
  <c r="B1438" i="11" a="1"/>
  <c r="B1438" i="11"/>
  <c r="B1439" i="11" a="1"/>
  <c r="B1439" i="11"/>
  <c r="B1440" i="11" a="1"/>
  <c r="B1440" i="11"/>
  <c r="B1441" i="11" a="1"/>
  <c r="B1441" i="11"/>
  <c r="B1442" i="11" a="1"/>
  <c r="B1442" i="11"/>
  <c r="B1443" i="11" a="1"/>
  <c r="B1443" i="11"/>
  <c r="B1444" i="11" a="1"/>
  <c r="B1444" i="11"/>
  <c r="B1445" i="11" a="1"/>
  <c r="B1445" i="11"/>
  <c r="B1446" i="11" a="1"/>
  <c r="B1446" i="11"/>
  <c r="B1447" i="11" a="1"/>
  <c r="B1447" i="11"/>
  <c r="B1448" i="11" a="1"/>
  <c r="B1448" i="11"/>
  <c r="B1449" i="11" a="1"/>
  <c r="B1449" i="11"/>
  <c r="B1450" i="11" a="1"/>
  <c r="B1450" i="11"/>
  <c r="B1451" i="11" a="1"/>
  <c r="B1451" i="11"/>
  <c r="B1452" i="11" a="1"/>
  <c r="B1452" i="11"/>
  <c r="B1453" i="11" a="1"/>
  <c r="B1453" i="11"/>
  <c r="B1454" i="11" a="1"/>
  <c r="B1454" i="11"/>
  <c r="B1455" i="11" a="1"/>
  <c r="B1455" i="11"/>
  <c r="B1456" i="11" a="1"/>
  <c r="B1456" i="11"/>
  <c r="B1457" i="11" a="1"/>
  <c r="B1457" i="11"/>
  <c r="B1458" i="11" a="1"/>
  <c r="B1458" i="11"/>
  <c r="B1459" i="11" a="1"/>
  <c r="B1459" i="11"/>
  <c r="B1460" i="11" a="1"/>
  <c r="B1460" i="11"/>
  <c r="B1461" i="11" a="1"/>
  <c r="B1461" i="11"/>
  <c r="B1462" i="11" a="1"/>
  <c r="B1462" i="11"/>
  <c r="B1463" i="11" a="1"/>
  <c r="B1463" i="11"/>
  <c r="B1464" i="11" a="1"/>
  <c r="B1464" i="11"/>
  <c r="B1465" i="11" a="1"/>
  <c r="B1465" i="11"/>
  <c r="B1466" i="11" a="1"/>
  <c r="B1466" i="11"/>
  <c r="B1467" i="11" a="1"/>
  <c r="B1467" i="11"/>
  <c r="B1468" i="11" a="1"/>
  <c r="B1468" i="11"/>
  <c r="B1469" i="11" a="1"/>
  <c r="B1469" i="11"/>
  <c r="B1470" i="11" a="1"/>
  <c r="B1470" i="11"/>
  <c r="B1471" i="11" a="1"/>
  <c r="B1471" i="11"/>
  <c r="B1472" i="11" a="1"/>
  <c r="B1472" i="11"/>
  <c r="B1473" i="11" a="1"/>
  <c r="B1473" i="11"/>
  <c r="B1474" i="11" a="1"/>
  <c r="B1474" i="11"/>
  <c r="B1475" i="11" a="1"/>
  <c r="B1475" i="11"/>
  <c r="B1476" i="11" a="1"/>
  <c r="B1476" i="11"/>
  <c r="B1477" i="11" a="1"/>
  <c r="B1477" i="11"/>
  <c r="B1478" i="11" a="1"/>
  <c r="B1478" i="11"/>
  <c r="B1479" i="11" a="1"/>
  <c r="B1479" i="11"/>
  <c r="B1480" i="11" a="1"/>
  <c r="B1480" i="11"/>
  <c r="B1481" i="11" a="1"/>
  <c r="B1481" i="11"/>
  <c r="B1482" i="11" a="1"/>
  <c r="B1482" i="11"/>
  <c r="B1483" i="11" a="1"/>
  <c r="B1483" i="11"/>
  <c r="B1484" i="11" a="1"/>
  <c r="B1484" i="11"/>
  <c r="B1485" i="11" a="1"/>
  <c r="B1485" i="11"/>
  <c r="B1486" i="11" a="1"/>
  <c r="B1486" i="11"/>
  <c r="B1487" i="11" a="1"/>
  <c r="B1487" i="11"/>
  <c r="B1488" i="11" a="1"/>
  <c r="B1488" i="11"/>
  <c r="B1489" i="11" a="1"/>
  <c r="B1489" i="11"/>
  <c r="B1490" i="11" a="1"/>
  <c r="B1490" i="11"/>
  <c r="B1491" i="11" a="1"/>
  <c r="B1491" i="11"/>
  <c r="B1492" i="11" a="1"/>
  <c r="B1492" i="11"/>
  <c r="B1493" i="11" a="1"/>
  <c r="B1493" i="11"/>
  <c r="B1494" i="11" a="1"/>
  <c r="B1494" i="11"/>
  <c r="B1495" i="11" a="1"/>
  <c r="B1495" i="11"/>
  <c r="B1496" i="11" a="1"/>
  <c r="B1496" i="11"/>
  <c r="B1497" i="11" a="1"/>
  <c r="B1497" i="11"/>
  <c r="B1498" i="11" a="1"/>
  <c r="B1498" i="11"/>
  <c r="B1499" i="11" a="1"/>
  <c r="B1499" i="11"/>
  <c r="B1500" i="11" a="1"/>
  <c r="B1500" i="11"/>
  <c r="B1501" i="11" a="1"/>
  <c r="B1501" i="11"/>
  <c r="B1502" i="11" a="1"/>
  <c r="B1502" i="11"/>
  <c r="B1503" i="11" a="1"/>
  <c r="B1503" i="11"/>
  <c r="B1504" i="11" a="1"/>
  <c r="B1504" i="11"/>
  <c r="B1505" i="11" a="1"/>
  <c r="B1505" i="11"/>
  <c r="B1506" i="11" a="1"/>
  <c r="B1506" i="11"/>
  <c r="B1507" i="11" a="1"/>
  <c r="B1507" i="11"/>
  <c r="B1508" i="11" a="1"/>
  <c r="B1508" i="11"/>
  <c r="B1509" i="11" a="1"/>
  <c r="B1509" i="11"/>
  <c r="B1510" i="11" a="1"/>
  <c r="B1510" i="11"/>
  <c r="B1511" i="11" a="1"/>
  <c r="B1511" i="11"/>
  <c r="B1512" i="11" a="1"/>
  <c r="B1512" i="11"/>
  <c r="B1513" i="11" a="1"/>
  <c r="B1513" i="11"/>
  <c r="B1514" i="11" a="1"/>
  <c r="B1514" i="11"/>
  <c r="B1515" i="11" a="1"/>
  <c r="B1515" i="11"/>
  <c r="B1516" i="11" a="1"/>
  <c r="B1516" i="11"/>
  <c r="B1517" i="11" a="1"/>
  <c r="B1517" i="11"/>
  <c r="B1518" i="11" a="1"/>
  <c r="B1518" i="11"/>
  <c r="B1519" i="11" a="1"/>
  <c r="B1519" i="11"/>
  <c r="B1520" i="11" a="1"/>
  <c r="B1520" i="11"/>
  <c r="B1521" i="11" a="1"/>
  <c r="B1521" i="11"/>
  <c r="B1522" i="11" a="1"/>
  <c r="B1522" i="11"/>
  <c r="B1523" i="11" a="1"/>
  <c r="B1523" i="11"/>
  <c r="B1524" i="11" a="1"/>
  <c r="B1524" i="11"/>
  <c r="B1525" i="11" a="1"/>
  <c r="B1525" i="11"/>
  <c r="B1526" i="11" a="1"/>
  <c r="B1526" i="11"/>
  <c r="B1527" i="11" a="1"/>
  <c r="B1527" i="11"/>
  <c r="B1528" i="11" a="1"/>
  <c r="B1528" i="11"/>
  <c r="B1529" i="11" a="1"/>
  <c r="B1529" i="11"/>
  <c r="B1530" i="11" a="1"/>
  <c r="B1530" i="11"/>
  <c r="B1531" i="11" a="1"/>
  <c r="B1531" i="11"/>
  <c r="B1532" i="11" a="1"/>
  <c r="B1532" i="11"/>
  <c r="B1533" i="11" a="1"/>
  <c r="B1533" i="11"/>
  <c r="B1534" i="11" a="1"/>
  <c r="B1534" i="11"/>
  <c r="B1535" i="11" a="1"/>
  <c r="B1535" i="11"/>
  <c r="B1536" i="11" a="1"/>
  <c r="B1536" i="11"/>
  <c r="B1537" i="11" a="1"/>
  <c r="B1537" i="11"/>
  <c r="B1538" i="11" a="1"/>
  <c r="B1538" i="11"/>
  <c r="B1539" i="11" a="1"/>
  <c r="B1539" i="11"/>
  <c r="B1540" i="11" a="1"/>
  <c r="B1540" i="11"/>
  <c r="B1541" i="11" a="1"/>
  <c r="B1541" i="11"/>
  <c r="B1542" i="11" a="1"/>
  <c r="B1542" i="11"/>
  <c r="B1543" i="11" a="1"/>
  <c r="B1543" i="11"/>
  <c r="B1544" i="11" a="1"/>
  <c r="B1544" i="11"/>
  <c r="B1545" i="11" a="1"/>
  <c r="B1545" i="11"/>
  <c r="B1546" i="11" a="1"/>
  <c r="B1546" i="11"/>
  <c r="B1547" i="11" a="1"/>
  <c r="B1547" i="11"/>
  <c r="B1548" i="11" a="1"/>
  <c r="B1548" i="11"/>
  <c r="B1549" i="11" a="1"/>
  <c r="B1549" i="11"/>
  <c r="B1550" i="11" a="1"/>
  <c r="B1550" i="11"/>
  <c r="B1551" i="11" a="1"/>
  <c r="B1551" i="11"/>
  <c r="B1552" i="11" a="1"/>
  <c r="B1552" i="11"/>
  <c r="B1553" i="11" a="1"/>
  <c r="B1553" i="11"/>
  <c r="B1554" i="11" a="1"/>
  <c r="B1554" i="11"/>
  <c r="B1555" i="11" a="1"/>
  <c r="B1555" i="11"/>
  <c r="B1556" i="11" a="1"/>
  <c r="B1556" i="11"/>
  <c r="B1557" i="11" a="1"/>
  <c r="B1557" i="11"/>
  <c r="B1558" i="11" a="1"/>
  <c r="B1558" i="11"/>
  <c r="B1559" i="11" a="1"/>
  <c r="B1559" i="11"/>
  <c r="B1560" i="11" a="1"/>
  <c r="B1560" i="11"/>
  <c r="B1561" i="11" a="1"/>
  <c r="B1561" i="11"/>
  <c r="B1562" i="11" a="1"/>
  <c r="B1562" i="11"/>
  <c r="B1563" i="11" a="1"/>
  <c r="B1563" i="11"/>
  <c r="B1564" i="11" a="1"/>
  <c r="B1564" i="11"/>
  <c r="B1565" i="11" a="1"/>
  <c r="B1565" i="11"/>
  <c r="B1566" i="11" a="1"/>
  <c r="B1566" i="11"/>
  <c r="B1567" i="11" a="1"/>
  <c r="B1567" i="11"/>
  <c r="B1568" i="11" a="1"/>
  <c r="B1568" i="11"/>
  <c r="B1569" i="11" a="1"/>
  <c r="B1569" i="11"/>
  <c r="B1570" i="11" a="1"/>
  <c r="B1570" i="11"/>
  <c r="B1571" i="11" a="1"/>
  <c r="B1571" i="11"/>
  <c r="B1572" i="11" a="1"/>
  <c r="B1572" i="11"/>
  <c r="B1573" i="11" a="1"/>
  <c r="B1573" i="11"/>
  <c r="B1574" i="11" a="1"/>
  <c r="B1574" i="11"/>
  <c r="B1575" i="11" a="1"/>
  <c r="B1575" i="11"/>
  <c r="B1576" i="11" a="1"/>
  <c r="B1576" i="11"/>
  <c r="B1577" i="11" a="1"/>
  <c r="B1577" i="11"/>
  <c r="B1578" i="11" a="1"/>
  <c r="B1578" i="11"/>
  <c r="B1579" i="11" a="1"/>
  <c r="B1579" i="11"/>
  <c r="B1580" i="11" a="1"/>
  <c r="B1580" i="11"/>
  <c r="B1581" i="11" a="1"/>
  <c r="B1581" i="11"/>
  <c r="B1582" i="11" a="1"/>
  <c r="B1582" i="11"/>
  <c r="B1583" i="11" a="1"/>
  <c r="B1583" i="11"/>
  <c r="B1584" i="11" a="1"/>
  <c r="B1584" i="11"/>
  <c r="B1585" i="11" a="1"/>
  <c r="B1585" i="11"/>
  <c r="B1586" i="11" a="1"/>
  <c r="B1586" i="11"/>
  <c r="B1587" i="11" a="1"/>
  <c r="B1587" i="11"/>
  <c r="B1588" i="11" a="1"/>
  <c r="B1588" i="11"/>
  <c r="B1589" i="11" a="1"/>
  <c r="B1589" i="11"/>
  <c r="B1590" i="11" a="1"/>
  <c r="B1590" i="11"/>
  <c r="B1591" i="11" a="1"/>
  <c r="B1591" i="11"/>
  <c r="B1592" i="11" a="1"/>
  <c r="B1592" i="11"/>
  <c r="B1593" i="11" a="1"/>
  <c r="B1593" i="11"/>
  <c r="B1594" i="11" a="1"/>
  <c r="B1594" i="11"/>
  <c r="B1595" i="11" a="1"/>
  <c r="B1595" i="11"/>
  <c r="B1596" i="11" a="1"/>
  <c r="B1596" i="11"/>
  <c r="B1597" i="11" a="1"/>
  <c r="B1597" i="11"/>
  <c r="B1598" i="11" a="1"/>
  <c r="B1598" i="11"/>
  <c r="B1599" i="11" a="1"/>
  <c r="B1599" i="11"/>
  <c r="B1600" i="11" a="1"/>
  <c r="B1600" i="11"/>
  <c r="B1601" i="11" a="1"/>
  <c r="B1601" i="11"/>
  <c r="B1602" i="11" a="1"/>
  <c r="B1602" i="11"/>
  <c r="B1603" i="11" a="1"/>
  <c r="B1603" i="11"/>
  <c r="B1604" i="11" a="1"/>
  <c r="B1604" i="11"/>
  <c r="B1605" i="11" a="1"/>
  <c r="B1605" i="11"/>
  <c r="B1606" i="11" a="1"/>
  <c r="B1606" i="11"/>
  <c r="B1607" i="11" a="1"/>
  <c r="B1607" i="11"/>
  <c r="B1608" i="11" a="1"/>
  <c r="B1608" i="11"/>
  <c r="B1609" i="11" a="1"/>
  <c r="B1609" i="11"/>
  <c r="B1610" i="11" a="1"/>
  <c r="B1610" i="11"/>
  <c r="B1611" i="11" a="1"/>
  <c r="B1611" i="11"/>
  <c r="B1612" i="11" a="1"/>
  <c r="B1612" i="11"/>
  <c r="B1613" i="11" a="1"/>
  <c r="B1613" i="11"/>
  <c r="B1614" i="11" a="1"/>
  <c r="B1614" i="11"/>
  <c r="B1615" i="11" a="1"/>
  <c r="B1615" i="11"/>
  <c r="B1616" i="11" a="1"/>
  <c r="B1616" i="11"/>
  <c r="B1617" i="11" a="1"/>
  <c r="B1617" i="11"/>
  <c r="B1618" i="11" a="1"/>
  <c r="B1618" i="11"/>
  <c r="B1619" i="11" a="1"/>
  <c r="B1619" i="11"/>
  <c r="B1620" i="11" a="1"/>
  <c r="B1620" i="11"/>
  <c r="B1621" i="11" a="1"/>
  <c r="B1621" i="11"/>
  <c r="B1622" i="11" a="1"/>
  <c r="B1622" i="11"/>
  <c r="B1623" i="11" a="1"/>
  <c r="B1623" i="11"/>
  <c r="B1624" i="11" a="1"/>
  <c r="B1624" i="11"/>
  <c r="B1625" i="11" a="1"/>
  <c r="B1625" i="11"/>
  <c r="B1626" i="11" a="1"/>
  <c r="B1626" i="11"/>
  <c r="B1627" i="11" a="1"/>
  <c r="B1627" i="11"/>
  <c r="B1628" i="11" a="1"/>
  <c r="B1628" i="11"/>
  <c r="B1629" i="11" a="1"/>
  <c r="B1629" i="11"/>
  <c r="B1630" i="11" a="1"/>
  <c r="B1630" i="11"/>
  <c r="B1631" i="11" a="1"/>
  <c r="B1631" i="11"/>
  <c r="B1632" i="11" a="1"/>
  <c r="B1632" i="11"/>
  <c r="B1633" i="11" a="1"/>
  <c r="B1633" i="11"/>
  <c r="B1634" i="11" a="1"/>
  <c r="B1634" i="11"/>
  <c r="B1635" i="11" a="1"/>
  <c r="B1635" i="11"/>
  <c r="B1636" i="11" a="1"/>
  <c r="B1636" i="11"/>
  <c r="B1637" i="11" a="1"/>
  <c r="B1637" i="11"/>
  <c r="B1638" i="11" a="1"/>
  <c r="B1638" i="11"/>
  <c r="B1639" i="11" a="1"/>
  <c r="B1639" i="11"/>
  <c r="B1640" i="11" a="1"/>
  <c r="B1640" i="11"/>
  <c r="B1641" i="11" a="1"/>
  <c r="B1641" i="11"/>
  <c r="B1642" i="11" a="1"/>
  <c r="B1642" i="11"/>
  <c r="B1643" i="11" a="1"/>
  <c r="B1643" i="11"/>
  <c r="B1644" i="11" a="1"/>
  <c r="B1644" i="11"/>
  <c r="B1645" i="11" a="1"/>
  <c r="B1645" i="11"/>
  <c r="B1646" i="11" a="1"/>
  <c r="B1646" i="11"/>
  <c r="B1647" i="11" a="1"/>
  <c r="B1647" i="11"/>
  <c r="B1648" i="11" a="1"/>
  <c r="B1648" i="11"/>
  <c r="B1649" i="11" a="1"/>
  <c r="B1649" i="11"/>
  <c r="B1650" i="11" a="1"/>
  <c r="B1650" i="11"/>
  <c r="B1651" i="11" a="1"/>
  <c r="B1651" i="11"/>
  <c r="B1652" i="11" a="1"/>
  <c r="B1652" i="11"/>
  <c r="B1653" i="11" a="1"/>
  <c r="B1653" i="11"/>
  <c r="B1654" i="11" a="1"/>
  <c r="B1654" i="11"/>
  <c r="B1655" i="11" a="1"/>
  <c r="B1655" i="11"/>
  <c r="B1656" i="11" a="1"/>
  <c r="B1656" i="11"/>
  <c r="B1657" i="11" a="1"/>
  <c r="B1657" i="11"/>
  <c r="B1658" i="11" a="1"/>
  <c r="B1658" i="11"/>
  <c r="B1659" i="11" a="1"/>
  <c r="B1659" i="11"/>
  <c r="B1660" i="11" a="1"/>
  <c r="B1660" i="11"/>
  <c r="B1661" i="11" a="1"/>
  <c r="B1661" i="11"/>
  <c r="B1662" i="11" a="1"/>
  <c r="B1662" i="11"/>
  <c r="B1663" i="11" a="1"/>
  <c r="B1663" i="11"/>
  <c r="B1664" i="11" a="1"/>
  <c r="B1664" i="11"/>
  <c r="B1665" i="11" a="1"/>
  <c r="B1665" i="11"/>
  <c r="B1666" i="11" a="1"/>
  <c r="B1666" i="11"/>
  <c r="B1667" i="11" a="1"/>
  <c r="B1667" i="11"/>
  <c r="B1668" i="11" a="1"/>
  <c r="B1668" i="11"/>
  <c r="B1669" i="11" a="1"/>
  <c r="B1669" i="11"/>
  <c r="B1670" i="11" a="1"/>
  <c r="B1670" i="11"/>
  <c r="B1671" i="11" a="1"/>
  <c r="B1671" i="11"/>
  <c r="B1672" i="11" a="1"/>
  <c r="B1672" i="11"/>
  <c r="B1673" i="11" a="1"/>
  <c r="B1673" i="11"/>
  <c r="B1674" i="11" a="1"/>
  <c r="B1674" i="11"/>
  <c r="B1675" i="11" a="1"/>
  <c r="B1675" i="11"/>
  <c r="B1676" i="11" a="1"/>
  <c r="B1676" i="11"/>
  <c r="B1677" i="11" a="1"/>
  <c r="B1677" i="11"/>
  <c r="B1678" i="11" a="1"/>
  <c r="B1678" i="11"/>
  <c r="B1679" i="11" a="1"/>
  <c r="B1679" i="11"/>
  <c r="B1680" i="11" a="1"/>
  <c r="B1680" i="11"/>
  <c r="B1681" i="11" a="1"/>
  <c r="B1681" i="11"/>
  <c r="B1682" i="11" a="1"/>
  <c r="B1682" i="11"/>
  <c r="B1683" i="11" a="1"/>
  <c r="B1683" i="11"/>
  <c r="B1684" i="11" a="1"/>
  <c r="B1684" i="11"/>
  <c r="B1685" i="11" a="1"/>
  <c r="B1685" i="11"/>
  <c r="B1686" i="11" a="1"/>
  <c r="B1686" i="11"/>
  <c r="B1687" i="11" a="1"/>
  <c r="B1687" i="11"/>
  <c r="B1688" i="11" a="1"/>
  <c r="B1688" i="11"/>
  <c r="B1689" i="11" a="1"/>
  <c r="B1689" i="11"/>
  <c r="B1690" i="11" a="1"/>
  <c r="B1690" i="11"/>
  <c r="B1691" i="11" a="1"/>
  <c r="B1691" i="11"/>
  <c r="B1692" i="11" a="1"/>
  <c r="B1692" i="11"/>
  <c r="B1693" i="11" a="1"/>
  <c r="B1693" i="11"/>
  <c r="B1694" i="11" a="1"/>
  <c r="B1694" i="11"/>
  <c r="B1695" i="11" a="1"/>
  <c r="B1695" i="11"/>
  <c r="B1696" i="11" a="1"/>
  <c r="B1696" i="11"/>
  <c r="B1697" i="11" a="1"/>
  <c r="B1697" i="11"/>
  <c r="B1698" i="11" a="1"/>
  <c r="B1698" i="11"/>
  <c r="B1699" i="11" a="1"/>
  <c r="B1699" i="11"/>
  <c r="B1700" i="11" a="1"/>
  <c r="B1700" i="11"/>
  <c r="B1701" i="11" a="1"/>
  <c r="B1701" i="11"/>
  <c r="B1702" i="11" a="1"/>
  <c r="B1702" i="11"/>
  <c r="B1703" i="11" a="1"/>
  <c r="B1703" i="11"/>
  <c r="B1704" i="11" a="1"/>
  <c r="B1704" i="11"/>
  <c r="B1705" i="11" a="1"/>
  <c r="B1705" i="11"/>
  <c r="B1706" i="11" a="1"/>
  <c r="B1706" i="11"/>
  <c r="B1707" i="11" a="1"/>
  <c r="B1707" i="11"/>
  <c r="B1708" i="11" a="1"/>
  <c r="B1708" i="11"/>
  <c r="B1709" i="11" a="1"/>
  <c r="B1709" i="11"/>
  <c r="B1710" i="11" a="1"/>
  <c r="B1710" i="11"/>
  <c r="B1711" i="11" a="1"/>
  <c r="B1711" i="11"/>
  <c r="B1712" i="11" a="1"/>
  <c r="B1712" i="11"/>
  <c r="B1713" i="11" a="1"/>
  <c r="B1713" i="11"/>
  <c r="B1714" i="11" a="1"/>
  <c r="B1714" i="11"/>
  <c r="B1715" i="11" a="1"/>
  <c r="B1715" i="11"/>
  <c r="B1716" i="11" a="1"/>
  <c r="B1716" i="11"/>
  <c r="B1717" i="11" a="1"/>
  <c r="B1717" i="11"/>
  <c r="B1718" i="11" a="1"/>
  <c r="B1718" i="11"/>
  <c r="B1719" i="11" a="1"/>
  <c r="B1719" i="11"/>
  <c r="B1720" i="11" a="1"/>
  <c r="B1720" i="11"/>
  <c r="B1721" i="11" a="1"/>
  <c r="B1721" i="11"/>
  <c r="B1722" i="11" a="1"/>
  <c r="B1722" i="11"/>
  <c r="B1723" i="11" a="1"/>
  <c r="B1723" i="11"/>
  <c r="B1724" i="11" a="1"/>
  <c r="B1724" i="11"/>
  <c r="B1725" i="11" a="1"/>
  <c r="B1725" i="11"/>
  <c r="B1726" i="11" a="1"/>
  <c r="B1726" i="11"/>
  <c r="B1727" i="11" a="1"/>
  <c r="B1727" i="11"/>
  <c r="B1728" i="11" a="1"/>
  <c r="B1728" i="11"/>
  <c r="B1729" i="11" a="1"/>
  <c r="B1729" i="11"/>
  <c r="B1730" i="11" a="1"/>
  <c r="B1730" i="11"/>
  <c r="B1731" i="11" a="1"/>
  <c r="B1731" i="11"/>
  <c r="B1732" i="11" a="1"/>
  <c r="B1732" i="11"/>
  <c r="B1733" i="11" a="1"/>
  <c r="B1733" i="11"/>
  <c r="B1734" i="11" a="1"/>
  <c r="B1734" i="11"/>
  <c r="B1735" i="11" a="1"/>
  <c r="B1735" i="11"/>
  <c r="B1736" i="11" a="1"/>
  <c r="B1736" i="11"/>
  <c r="B1737" i="11" a="1"/>
  <c r="B1737" i="11"/>
  <c r="B1738" i="11" a="1"/>
  <c r="B1738" i="11"/>
  <c r="B1739" i="11" a="1"/>
  <c r="B1739" i="11"/>
  <c r="B1740" i="11" a="1"/>
  <c r="B1740" i="11"/>
  <c r="B1741" i="11" a="1"/>
  <c r="B1741" i="11"/>
  <c r="B1742" i="11" a="1"/>
  <c r="B1742" i="11"/>
  <c r="B1743" i="11" a="1"/>
  <c r="B1743" i="11"/>
  <c r="B1744" i="11" a="1"/>
  <c r="B1744" i="11"/>
  <c r="B1745" i="11" a="1"/>
  <c r="B1745" i="11"/>
  <c r="B1746" i="11" a="1"/>
  <c r="B1746" i="11"/>
  <c r="B1747" i="11" a="1"/>
  <c r="B1747" i="11"/>
  <c r="B1748" i="11" a="1"/>
  <c r="B1748" i="11"/>
  <c r="B1749" i="11" a="1"/>
  <c r="B1749" i="11"/>
  <c r="B1750" i="11" a="1"/>
  <c r="B1750" i="11"/>
  <c r="B1751" i="11" a="1"/>
  <c r="B1751" i="11"/>
  <c r="B1752" i="11" a="1"/>
  <c r="B1752" i="11"/>
  <c r="B1753" i="11" a="1"/>
  <c r="B1753" i="11"/>
  <c r="B1754" i="11" a="1"/>
  <c r="B1754" i="11"/>
  <c r="B1755" i="11" a="1"/>
  <c r="B1755" i="11"/>
  <c r="B1756" i="11" a="1"/>
  <c r="B1756" i="11"/>
  <c r="B1757" i="11" a="1"/>
  <c r="B1757" i="11"/>
  <c r="B1758" i="11" a="1"/>
  <c r="B1758" i="11"/>
  <c r="B1759" i="11" a="1"/>
  <c r="B1759" i="11"/>
  <c r="B1760" i="11" a="1"/>
  <c r="B1760" i="11"/>
  <c r="B1761" i="11" a="1"/>
  <c r="B1761" i="11"/>
  <c r="B1762" i="11" a="1"/>
  <c r="B1762" i="11"/>
  <c r="B1763" i="11" a="1"/>
  <c r="B1763" i="11"/>
  <c r="B1764" i="11" a="1"/>
  <c r="B1764" i="11"/>
  <c r="B1765" i="11" a="1"/>
  <c r="B1765" i="11"/>
  <c r="B1766" i="11" a="1"/>
  <c r="B1766" i="11"/>
  <c r="B1767" i="11" a="1"/>
  <c r="B1767" i="11"/>
  <c r="B1768" i="11" a="1"/>
  <c r="B1768" i="11"/>
  <c r="B1769" i="11" a="1"/>
  <c r="B1769" i="11"/>
  <c r="B1770" i="11" a="1"/>
  <c r="B1770" i="11"/>
  <c r="B1771" i="11" a="1"/>
  <c r="B1771" i="11"/>
  <c r="B1772" i="11" a="1"/>
  <c r="B1772" i="11"/>
  <c r="B1773" i="11" a="1"/>
  <c r="B1773" i="11"/>
  <c r="B1774" i="11" a="1"/>
  <c r="B1774" i="11"/>
  <c r="B1775" i="11" a="1"/>
  <c r="B1775" i="11"/>
  <c r="B1776" i="11" a="1"/>
  <c r="B1776" i="11"/>
  <c r="B1777" i="11" a="1"/>
  <c r="B1777" i="11"/>
  <c r="B1778" i="11" a="1"/>
  <c r="B1778" i="11"/>
  <c r="B1779" i="11" a="1"/>
  <c r="B1779" i="11"/>
  <c r="B1780" i="11" a="1"/>
  <c r="B1780" i="11"/>
  <c r="B1781" i="11" a="1"/>
  <c r="B1781" i="11"/>
  <c r="B1782" i="11" a="1"/>
  <c r="B1782" i="11"/>
  <c r="B1783" i="11" a="1"/>
  <c r="B1783" i="11"/>
  <c r="B1784" i="11" a="1"/>
  <c r="B1784" i="11"/>
  <c r="B1785" i="11" a="1"/>
  <c r="B1785" i="11"/>
  <c r="B1786" i="11" a="1"/>
  <c r="B1786" i="11"/>
  <c r="B1787" i="11" a="1"/>
  <c r="B1787" i="11"/>
  <c r="B1788" i="11" a="1"/>
  <c r="B1788" i="11"/>
  <c r="B1789" i="11" a="1"/>
  <c r="B1789" i="11"/>
  <c r="B1790" i="11" a="1"/>
  <c r="B1790" i="11"/>
  <c r="B1791" i="11" a="1"/>
  <c r="B1791" i="11"/>
  <c r="B1792" i="11" a="1"/>
  <c r="B1792" i="11"/>
  <c r="B1793" i="11" a="1"/>
  <c r="B1793" i="11"/>
  <c r="B1794" i="11" a="1"/>
  <c r="B1794" i="11"/>
  <c r="B1795" i="11" a="1"/>
  <c r="B1795" i="11"/>
  <c r="B1796" i="11" a="1"/>
  <c r="B1796" i="11"/>
  <c r="B1797" i="11" a="1"/>
  <c r="B1797" i="11"/>
  <c r="B1798" i="11" a="1"/>
  <c r="B1798" i="11"/>
  <c r="B1799" i="11" a="1"/>
  <c r="B1799" i="11"/>
  <c r="B1800" i="11" a="1"/>
  <c r="B1800" i="11"/>
  <c r="B1801" i="11" a="1"/>
  <c r="B1801" i="11"/>
  <c r="B1802" i="11" a="1"/>
  <c r="B1802" i="11"/>
  <c r="B1803" i="11" a="1"/>
  <c r="B1803" i="11"/>
  <c r="B1804" i="11" a="1"/>
  <c r="B1804" i="11"/>
  <c r="B1805" i="11" a="1"/>
  <c r="B1805" i="11"/>
  <c r="B1806" i="11" a="1"/>
  <c r="B1806" i="11"/>
  <c r="B1807" i="11" a="1"/>
  <c r="B1807" i="11"/>
  <c r="B1808" i="11" a="1"/>
  <c r="B1808" i="11"/>
  <c r="B1809" i="11" a="1"/>
  <c r="B1809" i="11"/>
  <c r="B1810" i="11" a="1"/>
  <c r="B1810" i="11"/>
  <c r="B1811" i="11" a="1"/>
  <c r="B1811" i="11"/>
  <c r="B1812" i="11" a="1"/>
  <c r="B1812" i="11"/>
  <c r="B1813" i="11" a="1"/>
  <c r="B1813" i="11"/>
  <c r="B1814" i="11" a="1"/>
  <c r="B1814" i="11"/>
  <c r="B1815" i="11" a="1"/>
  <c r="B1815" i="11"/>
  <c r="B1816" i="11" a="1"/>
  <c r="B1816" i="11"/>
  <c r="B1817" i="11" a="1"/>
  <c r="B1817" i="11"/>
  <c r="B1818" i="11" a="1"/>
  <c r="B1818" i="11"/>
  <c r="B1819" i="11" a="1"/>
  <c r="B1819" i="11"/>
  <c r="B1820" i="11" a="1"/>
  <c r="B1820" i="11"/>
  <c r="B1821" i="11" a="1"/>
  <c r="B1821" i="11"/>
  <c r="B1822" i="11" a="1"/>
  <c r="B1822" i="11"/>
  <c r="B1823" i="11" a="1"/>
  <c r="B1823" i="11"/>
  <c r="B1824" i="11" a="1"/>
  <c r="B1824" i="11"/>
  <c r="B1825" i="11" a="1"/>
  <c r="B1825" i="11"/>
  <c r="B1826" i="11" a="1"/>
  <c r="B1826" i="11"/>
  <c r="B1827" i="11" a="1"/>
  <c r="B1827" i="11"/>
  <c r="B1828" i="11" a="1"/>
  <c r="B1828" i="11"/>
  <c r="B1829" i="11" a="1"/>
  <c r="B1829" i="11"/>
  <c r="B1830" i="11" a="1"/>
  <c r="B1830" i="11"/>
  <c r="B1831" i="11" a="1"/>
  <c r="B1831" i="11"/>
  <c r="B1832" i="11" a="1"/>
  <c r="B1832" i="11"/>
  <c r="B1833" i="11" a="1"/>
  <c r="B1833" i="11"/>
  <c r="B1834" i="11" a="1"/>
  <c r="B1834" i="11"/>
  <c r="B1835" i="11" a="1"/>
  <c r="B1835" i="11"/>
  <c r="B1836" i="11" a="1"/>
  <c r="B1836" i="11"/>
  <c r="B1837" i="11" a="1"/>
  <c r="B1837" i="11"/>
  <c r="B1838" i="11" a="1"/>
  <c r="B1838" i="11"/>
  <c r="B1839" i="11" a="1"/>
  <c r="B1839" i="11"/>
  <c r="B1840" i="11" a="1"/>
  <c r="B1840" i="11"/>
  <c r="B1841" i="11" a="1"/>
  <c r="B1841" i="11"/>
  <c r="B1842" i="11" a="1"/>
  <c r="B1842" i="11"/>
  <c r="B1843" i="11" a="1"/>
  <c r="B1843" i="11"/>
  <c r="B1844" i="11" a="1"/>
  <c r="B1844" i="11"/>
  <c r="B1845" i="11" a="1"/>
  <c r="B1845" i="11"/>
  <c r="B1846" i="11" a="1"/>
  <c r="B1846" i="11"/>
  <c r="B1847" i="11" a="1"/>
  <c r="B1847" i="11"/>
  <c r="B1848" i="11" a="1"/>
  <c r="B1848" i="11"/>
  <c r="B1849" i="11" a="1"/>
  <c r="B1849" i="11"/>
  <c r="B1850" i="11" a="1"/>
  <c r="B1850" i="11"/>
  <c r="B1851" i="11" a="1"/>
  <c r="B1851" i="11"/>
  <c r="B1852" i="11" a="1"/>
  <c r="B1852" i="11"/>
  <c r="B1853" i="11" a="1"/>
  <c r="B1853" i="11"/>
  <c r="B1854" i="11" a="1"/>
  <c r="B1854" i="11"/>
  <c r="B1855" i="11" a="1"/>
  <c r="B1855" i="11"/>
  <c r="B1856" i="11" a="1"/>
  <c r="B1856" i="11"/>
  <c r="B1857" i="11" a="1"/>
  <c r="B1857" i="11"/>
  <c r="B1858" i="11" a="1"/>
  <c r="B1858" i="11"/>
  <c r="B1859" i="11" a="1"/>
  <c r="B1859" i="11"/>
  <c r="B1860" i="11" a="1"/>
  <c r="B1860" i="11"/>
  <c r="B1861" i="11" a="1"/>
  <c r="B1861" i="11"/>
  <c r="B1862" i="11" a="1"/>
  <c r="B1862" i="11"/>
  <c r="B1863" i="11" a="1"/>
  <c r="B1863" i="11"/>
  <c r="B1864" i="11" a="1"/>
  <c r="B1864" i="11"/>
  <c r="B1865" i="11" a="1"/>
  <c r="B1865" i="11"/>
  <c r="B1866" i="11" a="1"/>
  <c r="B1866" i="11"/>
  <c r="B1867" i="11" a="1"/>
  <c r="B1867" i="11"/>
  <c r="B1868" i="11" a="1"/>
  <c r="B1868" i="11"/>
  <c r="B1869" i="11" a="1"/>
  <c r="B1869" i="11"/>
  <c r="B1870" i="11" a="1"/>
  <c r="B1870" i="11"/>
  <c r="B1871" i="11" a="1"/>
  <c r="B1871" i="11"/>
  <c r="B1872" i="11" a="1"/>
  <c r="B1872" i="11"/>
  <c r="B1873" i="11" a="1"/>
  <c r="B1873" i="11"/>
  <c r="B1874" i="11" a="1"/>
  <c r="B1874" i="11"/>
  <c r="B1875" i="11" a="1"/>
  <c r="B1875" i="11"/>
  <c r="B1876" i="11" a="1"/>
  <c r="B1876" i="11"/>
  <c r="B1877" i="11" a="1"/>
  <c r="B1877" i="11"/>
  <c r="B1878" i="11" a="1"/>
  <c r="B1878" i="11"/>
  <c r="B1879" i="11" a="1"/>
  <c r="B1879" i="11"/>
  <c r="B1880" i="11" a="1"/>
  <c r="B1880" i="11"/>
  <c r="B1881" i="11" a="1"/>
  <c r="B1881" i="11"/>
  <c r="B1882" i="11" a="1"/>
  <c r="B1882" i="11"/>
  <c r="B1883" i="11" a="1"/>
  <c r="B1883" i="11"/>
  <c r="B1884" i="11" a="1"/>
  <c r="B1884" i="11"/>
  <c r="B1885" i="11" a="1"/>
  <c r="B1885" i="11"/>
  <c r="B1886" i="11" a="1"/>
  <c r="B1886" i="11"/>
  <c r="B1887" i="11" a="1"/>
  <c r="B1887" i="11"/>
  <c r="B1888" i="11" a="1"/>
  <c r="B1888" i="11"/>
  <c r="B1889" i="11" a="1"/>
  <c r="B1889" i="11"/>
  <c r="B1890" i="11" a="1"/>
  <c r="B1890" i="11"/>
  <c r="B1891" i="11" a="1"/>
  <c r="B1891" i="11"/>
  <c r="B1892" i="11" a="1"/>
  <c r="B1892" i="11"/>
  <c r="B1893" i="11" a="1"/>
  <c r="B1893" i="11"/>
  <c r="B1894" i="11" a="1"/>
  <c r="B1894" i="11"/>
  <c r="B1895" i="11" a="1"/>
  <c r="B1895" i="11"/>
  <c r="B1896" i="11" a="1"/>
  <c r="B1896" i="11"/>
  <c r="B1897" i="11" a="1"/>
  <c r="B1897" i="11"/>
  <c r="B1898" i="11" a="1"/>
  <c r="B1898" i="11"/>
  <c r="B1899" i="11" a="1"/>
  <c r="B1899" i="11"/>
  <c r="B1900" i="11" a="1"/>
  <c r="B1900" i="11"/>
  <c r="B1901" i="11" a="1"/>
  <c r="B1901" i="11"/>
  <c r="B1902" i="11" a="1"/>
  <c r="B1902" i="11"/>
  <c r="B1903" i="11" a="1"/>
  <c r="B1903" i="11"/>
  <c r="B1904" i="11" a="1"/>
  <c r="B1904" i="11"/>
  <c r="B1905" i="11" a="1"/>
  <c r="B1905" i="11"/>
  <c r="B1906" i="11" a="1"/>
  <c r="B1906" i="11"/>
  <c r="B1907" i="11" a="1"/>
  <c r="B1907" i="11"/>
  <c r="B1908" i="11" a="1"/>
  <c r="B1908" i="11"/>
  <c r="B1909" i="11" a="1"/>
  <c r="B1909" i="11"/>
  <c r="B1910" i="11" a="1"/>
  <c r="B1910" i="11"/>
  <c r="B1911" i="11" a="1"/>
  <c r="B1911" i="11"/>
  <c r="B1912" i="11" a="1"/>
  <c r="B1912" i="11"/>
  <c r="B1913" i="11" a="1"/>
  <c r="B1913" i="11"/>
  <c r="B1914" i="11" a="1"/>
  <c r="B1914" i="11"/>
  <c r="B1915" i="11" a="1"/>
  <c r="B1915" i="11"/>
  <c r="B1916" i="11" a="1"/>
  <c r="B1916" i="11"/>
  <c r="B1917" i="11" a="1"/>
  <c r="B1917" i="11"/>
  <c r="B1918" i="11" a="1"/>
  <c r="B1918" i="11"/>
  <c r="B1919" i="11" a="1"/>
  <c r="B1919" i="11"/>
  <c r="B1920" i="11" a="1"/>
  <c r="B1920" i="11"/>
  <c r="B1921" i="11" a="1"/>
  <c r="B1921" i="11"/>
  <c r="B1922" i="11" a="1"/>
  <c r="B1922" i="11"/>
  <c r="B1923" i="11" a="1"/>
  <c r="B1923" i="11"/>
  <c r="B1924" i="11" a="1"/>
  <c r="B1924" i="11"/>
  <c r="B1925" i="11" a="1"/>
  <c r="B1925" i="11"/>
  <c r="B1926" i="11" a="1"/>
  <c r="B1926" i="11"/>
  <c r="B1927" i="11" a="1"/>
  <c r="B1927" i="11"/>
  <c r="B1928" i="11" a="1"/>
  <c r="B1928" i="11"/>
  <c r="B1929" i="11" a="1"/>
  <c r="B1929" i="11"/>
  <c r="B1930" i="11" a="1"/>
  <c r="B1930" i="11"/>
  <c r="B1931" i="11" a="1"/>
  <c r="B1931" i="11"/>
  <c r="B1932" i="11" a="1"/>
  <c r="B1932" i="11"/>
  <c r="B1933" i="11" a="1"/>
  <c r="B1933" i="11"/>
  <c r="B1934" i="11" a="1"/>
  <c r="B1934" i="11"/>
  <c r="B1935" i="11" a="1"/>
  <c r="B1935" i="11"/>
  <c r="B1936" i="11" a="1"/>
  <c r="B1936" i="11"/>
  <c r="B1937" i="11" a="1"/>
  <c r="B1937" i="11"/>
  <c r="B1938" i="11" a="1"/>
  <c r="B1938" i="11"/>
  <c r="B1939" i="11" a="1"/>
  <c r="B1939" i="11"/>
  <c r="B1940" i="11" a="1"/>
  <c r="B1940" i="11"/>
  <c r="B1941" i="11" a="1"/>
  <c r="B1941" i="11"/>
  <c r="B1942" i="11" a="1"/>
  <c r="B1942" i="11"/>
  <c r="B1943" i="11" a="1"/>
  <c r="B1943" i="11"/>
  <c r="B1944" i="11" a="1"/>
  <c r="B1944" i="11"/>
  <c r="B1945" i="11" a="1"/>
  <c r="B1945" i="11"/>
  <c r="B1946" i="11" a="1"/>
  <c r="B1946" i="11"/>
  <c r="B1947" i="11" a="1"/>
  <c r="B1947" i="11"/>
  <c r="B1948" i="11" a="1"/>
  <c r="B1948" i="11"/>
  <c r="B1949" i="11" a="1"/>
  <c r="B1949" i="11"/>
  <c r="B1950" i="11" a="1"/>
  <c r="B1950" i="11"/>
  <c r="B1951" i="11" a="1"/>
  <c r="B1951" i="11"/>
  <c r="B1952" i="11" a="1"/>
  <c r="B1952" i="11"/>
  <c r="B1953" i="11" a="1"/>
  <c r="B1953" i="11"/>
  <c r="B1954" i="11" a="1"/>
  <c r="B1954" i="11"/>
  <c r="B1955" i="11" a="1"/>
  <c r="B1955" i="11"/>
  <c r="B1956" i="11" a="1"/>
  <c r="B1956" i="11"/>
  <c r="B1957" i="11" a="1"/>
  <c r="B1957" i="11"/>
  <c r="B1958" i="11" a="1"/>
  <c r="B1958" i="11"/>
  <c r="B1959" i="11" a="1"/>
  <c r="B1959" i="11"/>
  <c r="B1960" i="11" a="1"/>
  <c r="B1960" i="11"/>
  <c r="B1961" i="11" a="1"/>
  <c r="B1961" i="11"/>
  <c r="B1962" i="11" a="1"/>
  <c r="B1962" i="11"/>
  <c r="B1963" i="11" a="1"/>
  <c r="B1963" i="11"/>
  <c r="B1964" i="11" a="1"/>
  <c r="B1964" i="11"/>
  <c r="B1965" i="11" a="1"/>
  <c r="B1965" i="11"/>
  <c r="B1966" i="11" a="1"/>
  <c r="B1966" i="11"/>
  <c r="B1967" i="11" a="1"/>
  <c r="B1967" i="11"/>
  <c r="B1968" i="11" a="1"/>
  <c r="B1968" i="11"/>
  <c r="B1969" i="11" a="1"/>
  <c r="B1969" i="11"/>
  <c r="B1970" i="11" a="1"/>
  <c r="B1970" i="11"/>
  <c r="B1971" i="11" a="1"/>
  <c r="B1971" i="11"/>
  <c r="B1972" i="11" a="1"/>
  <c r="B1972" i="11"/>
  <c r="B1973" i="11" a="1"/>
  <c r="B1973" i="11"/>
  <c r="B1974" i="11" a="1"/>
  <c r="B1974" i="11"/>
  <c r="B1975" i="11" a="1"/>
  <c r="B1975" i="11"/>
  <c r="B1976" i="11" a="1"/>
  <c r="B1976" i="11"/>
  <c r="B1977" i="11" a="1"/>
  <c r="B1977" i="11"/>
  <c r="B1978" i="11" a="1"/>
  <c r="B1978" i="11"/>
  <c r="B1979" i="11" a="1"/>
  <c r="B1979" i="11"/>
  <c r="B1980" i="11" a="1"/>
  <c r="B1980" i="11"/>
  <c r="B1981" i="11" a="1"/>
  <c r="B1981" i="11"/>
  <c r="B1982" i="11" a="1"/>
  <c r="B1982" i="11"/>
  <c r="B1983" i="11" a="1"/>
  <c r="B1983" i="11"/>
  <c r="B1984" i="11" a="1"/>
  <c r="B1984" i="11"/>
  <c r="B1985" i="11" a="1"/>
  <c r="B1985" i="11"/>
  <c r="B1986" i="11" a="1"/>
  <c r="B1986" i="11"/>
  <c r="B1987" i="11" a="1"/>
  <c r="B1987" i="11"/>
  <c r="B1988" i="11" a="1"/>
  <c r="B1988" i="11"/>
  <c r="B1989" i="11" a="1"/>
  <c r="B1989" i="11"/>
  <c r="B1990" i="11" a="1"/>
  <c r="B1990" i="11"/>
  <c r="B1991" i="11" a="1"/>
  <c r="B1991" i="11"/>
  <c r="B1992" i="11" a="1"/>
  <c r="B1992" i="11"/>
  <c r="B1993" i="11" a="1"/>
  <c r="B1993" i="11"/>
  <c r="B1994" i="11" a="1"/>
  <c r="B1994" i="11"/>
  <c r="B1995" i="11" a="1"/>
  <c r="B1995" i="11"/>
  <c r="B1996" i="11" a="1"/>
  <c r="B1996" i="11"/>
  <c r="B1997" i="11" a="1"/>
  <c r="B1997" i="11"/>
  <c r="B1998" i="11" a="1"/>
  <c r="B1998" i="11"/>
  <c r="B1999" i="11" a="1"/>
  <c r="B1999" i="11"/>
  <c r="B2000" i="11" a="1"/>
  <c r="B2000" i="11"/>
  <c r="B2001" i="11" a="1"/>
  <c r="B2001" i="11"/>
  <c r="B2002" i="11" a="1"/>
  <c r="B2002" i="11"/>
  <c r="B2003" i="11" a="1"/>
  <c r="B2003" i="11"/>
  <c r="B2004" i="11" a="1"/>
  <c r="B2004" i="11"/>
  <c r="B2005" i="11" a="1"/>
  <c r="B2005" i="11"/>
  <c r="B2006" i="11" a="1"/>
  <c r="B2006" i="11"/>
  <c r="B2007" i="11" a="1"/>
  <c r="B2007" i="11"/>
  <c r="B2008" i="11" a="1"/>
  <c r="B2008" i="11"/>
  <c r="B2009" i="11" a="1"/>
  <c r="B2009" i="11"/>
  <c r="B2010" i="11" a="1"/>
  <c r="B2010" i="11"/>
  <c r="B2011" i="11" a="1"/>
  <c r="B2011" i="11"/>
  <c r="B2012" i="11" a="1"/>
  <c r="B2012" i="11"/>
  <c r="B2013" i="11" a="1"/>
  <c r="B2013" i="11"/>
  <c r="B2014" i="11" a="1"/>
  <c r="B2014" i="11"/>
  <c r="B2015" i="11" a="1"/>
  <c r="B2015" i="11"/>
  <c r="B2016" i="11" a="1"/>
  <c r="B2016" i="11"/>
  <c r="B2017" i="11" a="1"/>
  <c r="B2017" i="11"/>
  <c r="B2018" i="11" a="1"/>
  <c r="B2018" i="11"/>
  <c r="B2019" i="11" a="1"/>
  <c r="B2019" i="11"/>
  <c r="B2020" i="11" a="1"/>
  <c r="B2020" i="11"/>
  <c r="B2021" i="11" a="1"/>
  <c r="B2021" i="11"/>
  <c r="B2022" i="11" a="1"/>
  <c r="B2022" i="11"/>
  <c r="B2023" i="11" a="1"/>
  <c r="B2023" i="11"/>
  <c r="B2024" i="11" a="1"/>
  <c r="B2024" i="11"/>
  <c r="B2025" i="11" a="1"/>
  <c r="B2025" i="11"/>
  <c r="B2026" i="11" a="1"/>
  <c r="B2026" i="11"/>
  <c r="B2027" i="11" a="1"/>
  <c r="B2027" i="11"/>
  <c r="B2028" i="11" a="1"/>
  <c r="B2028" i="11"/>
  <c r="B2029" i="11" a="1"/>
  <c r="B2029" i="11"/>
  <c r="B2030" i="11" a="1"/>
  <c r="B2030" i="11"/>
  <c r="B2031" i="11" a="1"/>
  <c r="B2031" i="11"/>
  <c r="B2032" i="11" a="1"/>
  <c r="B2032" i="11"/>
  <c r="B2033" i="11" a="1"/>
  <c r="B2033" i="11"/>
  <c r="B2034" i="11" a="1"/>
  <c r="B2034" i="11"/>
  <c r="B2035" i="11" a="1"/>
  <c r="B2035" i="11"/>
  <c r="B2036" i="11" a="1"/>
  <c r="B2036" i="11"/>
  <c r="B2037" i="11" a="1"/>
  <c r="B2037" i="11"/>
  <c r="B2038" i="11" a="1"/>
  <c r="B2038" i="11"/>
  <c r="B2039" i="11" a="1"/>
  <c r="B2039" i="11"/>
  <c r="B2040" i="11" a="1"/>
  <c r="B2040" i="11"/>
  <c r="B2041" i="11" a="1"/>
  <c r="B2041" i="11"/>
  <c r="B2042" i="11" a="1"/>
  <c r="B2042" i="11"/>
  <c r="B2043" i="11" a="1"/>
  <c r="B2043" i="11"/>
  <c r="B2044" i="11" a="1"/>
  <c r="B2044" i="11"/>
  <c r="B2045" i="11" a="1"/>
  <c r="B2045" i="11"/>
  <c r="B2046" i="11" a="1"/>
  <c r="B2046" i="11"/>
  <c r="B2047" i="11" a="1"/>
  <c r="B2047" i="11"/>
  <c r="B2048" i="11" a="1"/>
  <c r="B2048" i="11"/>
  <c r="B2049" i="11" a="1"/>
  <c r="B2049" i="11"/>
  <c r="B2050" i="11" a="1"/>
  <c r="B2050" i="11"/>
  <c r="B2051" i="11" a="1"/>
  <c r="B2051" i="11"/>
  <c r="B2052" i="11" a="1"/>
  <c r="B2052" i="11"/>
  <c r="B2053" i="11" a="1"/>
  <c r="B2053" i="11"/>
  <c r="B2054" i="11" a="1"/>
  <c r="B2054" i="11"/>
  <c r="B2055" i="11" a="1"/>
  <c r="B2055" i="11"/>
  <c r="B2056" i="11" a="1"/>
  <c r="B2056" i="11"/>
  <c r="B2057" i="11" a="1"/>
  <c r="B2057" i="11"/>
  <c r="B2058" i="11" a="1"/>
  <c r="B2058" i="11"/>
  <c r="B2059" i="11" a="1"/>
  <c r="B2059" i="11"/>
  <c r="B2060" i="11" a="1"/>
  <c r="B2060" i="11"/>
  <c r="B2061" i="11" a="1"/>
  <c r="B2061" i="11"/>
  <c r="B2062" i="11" a="1"/>
  <c r="B2062" i="11"/>
  <c r="B2063" i="11" a="1"/>
  <c r="B2063" i="11"/>
  <c r="B2064" i="11" a="1"/>
  <c r="B2064" i="11"/>
  <c r="B2065" i="11" a="1"/>
  <c r="B2065" i="11"/>
  <c r="B2066" i="11" a="1"/>
  <c r="B2066" i="11"/>
  <c r="B2067" i="11" a="1"/>
  <c r="B2067" i="11"/>
  <c r="B2068" i="11" a="1"/>
  <c r="B2068" i="11"/>
  <c r="B2069" i="11" a="1"/>
  <c r="B2069" i="11"/>
  <c r="B2070" i="11" a="1"/>
  <c r="B2070" i="11"/>
  <c r="B2071" i="11" a="1"/>
  <c r="B2071" i="11"/>
  <c r="B2072" i="11" a="1"/>
  <c r="B2072" i="11"/>
  <c r="B2073" i="11" a="1"/>
  <c r="B2073" i="11"/>
  <c r="B2074" i="11" a="1"/>
  <c r="B2074" i="11"/>
  <c r="B2075" i="11" a="1"/>
  <c r="B2075" i="11"/>
  <c r="B2076" i="11" a="1"/>
  <c r="B2076" i="11"/>
  <c r="B2077" i="11" a="1"/>
  <c r="B2077" i="11"/>
  <c r="B2078" i="11" a="1"/>
  <c r="B2078" i="11"/>
  <c r="B2079" i="11" a="1"/>
  <c r="B2079" i="11"/>
  <c r="B2080" i="11" a="1"/>
  <c r="B2080" i="11"/>
  <c r="B2081" i="11" a="1"/>
  <c r="B2081" i="11"/>
  <c r="B2082" i="11" a="1"/>
  <c r="B2082" i="11"/>
  <c r="B2083" i="11" a="1"/>
  <c r="B2083" i="11"/>
  <c r="B2084" i="11" a="1"/>
  <c r="B2084" i="11"/>
  <c r="B2085" i="11" a="1"/>
  <c r="B2085" i="11"/>
  <c r="B2086" i="11" a="1"/>
  <c r="B2086" i="11"/>
  <c r="B2087" i="11" a="1"/>
  <c r="B2087" i="11"/>
  <c r="B2088" i="11" a="1"/>
  <c r="B2088" i="11"/>
  <c r="B2089" i="11" a="1"/>
  <c r="B2089" i="11"/>
  <c r="B2090" i="11" a="1"/>
  <c r="B2090" i="11"/>
  <c r="B2091" i="11" a="1"/>
  <c r="B2091" i="11"/>
  <c r="B2092" i="11" a="1"/>
  <c r="B2092" i="11"/>
  <c r="B2093" i="11" a="1"/>
  <c r="B2093" i="11"/>
  <c r="B2094" i="11" a="1"/>
  <c r="B2094" i="11"/>
  <c r="B2095" i="11" a="1"/>
  <c r="B2095" i="11"/>
  <c r="B2096" i="11" a="1"/>
  <c r="B2096" i="11"/>
  <c r="B2097" i="11" a="1"/>
  <c r="B2097" i="11"/>
  <c r="B2098" i="11" a="1"/>
  <c r="B2098" i="11"/>
  <c r="B2099" i="11" a="1"/>
  <c r="B2099" i="11"/>
  <c r="B2100" i="11" a="1"/>
  <c r="B2100" i="11"/>
  <c r="B2101" i="11" a="1"/>
  <c r="B2101" i="11"/>
  <c r="B2102" i="11" a="1"/>
  <c r="B2102" i="11"/>
  <c r="B2103" i="11" a="1"/>
  <c r="B2103" i="11"/>
  <c r="B2104" i="11" a="1"/>
  <c r="B2104" i="11"/>
  <c r="B2105" i="11" a="1"/>
  <c r="B2105" i="11"/>
  <c r="B2106" i="11" a="1"/>
  <c r="B2106" i="11"/>
  <c r="B2107" i="11" a="1"/>
  <c r="B2107" i="11"/>
  <c r="B2108" i="11" a="1"/>
  <c r="B2108" i="11"/>
  <c r="B2109" i="11" a="1"/>
  <c r="B2109" i="11"/>
  <c r="B2110" i="11" a="1"/>
  <c r="B2110" i="11"/>
  <c r="B2111" i="11" a="1"/>
  <c r="B2111" i="11"/>
  <c r="B2112" i="11" a="1"/>
  <c r="B2112" i="11"/>
  <c r="B2113" i="11" a="1"/>
  <c r="B2113" i="11"/>
  <c r="B2114" i="11" a="1"/>
  <c r="B2114" i="11"/>
  <c r="B2115" i="11" a="1"/>
  <c r="B2115" i="11"/>
  <c r="B2116" i="11" a="1"/>
  <c r="B2116" i="11"/>
  <c r="B2117" i="11" a="1"/>
  <c r="B2117" i="11"/>
  <c r="B2118" i="11" a="1"/>
  <c r="B2118" i="11"/>
  <c r="B2119" i="11" a="1"/>
  <c r="B2119" i="11"/>
  <c r="B2120" i="11" a="1"/>
  <c r="B2120" i="11"/>
  <c r="B2121" i="11" a="1"/>
  <c r="B2121" i="11"/>
  <c r="B2122" i="11" a="1"/>
  <c r="B2122" i="11"/>
  <c r="B2123" i="11" a="1"/>
  <c r="B2123" i="11"/>
  <c r="B2124" i="11" a="1"/>
  <c r="B2124" i="11"/>
  <c r="B2125" i="11" a="1"/>
  <c r="B2125" i="11"/>
  <c r="B2126" i="11" a="1"/>
  <c r="B2126" i="11"/>
  <c r="B2127" i="11" a="1"/>
  <c r="B2127" i="11"/>
  <c r="B2128" i="11" a="1"/>
  <c r="B2128" i="11"/>
  <c r="B2129" i="11" a="1"/>
  <c r="B2129" i="11"/>
  <c r="B2130" i="11" a="1"/>
  <c r="B2130" i="11"/>
  <c r="B2131" i="11" a="1"/>
  <c r="B2131" i="11"/>
  <c r="B2132" i="11" a="1"/>
  <c r="B2132" i="11"/>
  <c r="B2133" i="11" a="1"/>
  <c r="B2133" i="11"/>
  <c r="B2134" i="11" a="1"/>
  <c r="B2134" i="11"/>
  <c r="B2135" i="11" a="1"/>
  <c r="B2135" i="11"/>
  <c r="B2136" i="11" a="1"/>
  <c r="B2136" i="11"/>
  <c r="B2137" i="11" a="1"/>
  <c r="B2137" i="11"/>
  <c r="B2138" i="11" a="1"/>
  <c r="B2138" i="11"/>
  <c r="B2139" i="11" a="1"/>
  <c r="B2139" i="11"/>
  <c r="B2140" i="11" a="1"/>
  <c r="B2140" i="11"/>
  <c r="B2141" i="11" a="1"/>
  <c r="B2141" i="11"/>
  <c r="B2142" i="11" a="1"/>
  <c r="B2142" i="11"/>
  <c r="B2143" i="11" a="1"/>
  <c r="B2143" i="11"/>
  <c r="B2144" i="11" a="1"/>
  <c r="B2144" i="11"/>
  <c r="B2145" i="11" a="1"/>
  <c r="B2145" i="11"/>
  <c r="B2146" i="11" a="1"/>
  <c r="B2146" i="11"/>
  <c r="B2147" i="11" a="1"/>
  <c r="B2147" i="11"/>
  <c r="B2148" i="11" a="1"/>
  <c r="B2148" i="11"/>
  <c r="B2149" i="11" a="1"/>
  <c r="B2149" i="11"/>
  <c r="B2150" i="11" a="1"/>
  <c r="B2150" i="11"/>
  <c r="B2151" i="11" a="1"/>
  <c r="B2151" i="11"/>
  <c r="B2152" i="11" a="1"/>
  <c r="B2152" i="11"/>
  <c r="B2153" i="11" a="1"/>
  <c r="B2153" i="11"/>
  <c r="B2154" i="11" a="1"/>
  <c r="B2154" i="11"/>
  <c r="B2155" i="11" a="1"/>
  <c r="B2155" i="11"/>
  <c r="B2156" i="11" a="1"/>
  <c r="B2156" i="11"/>
  <c r="B2157" i="11" a="1"/>
  <c r="B2157" i="11"/>
  <c r="B2158" i="11" a="1"/>
  <c r="B2158" i="11"/>
  <c r="B2159" i="11" a="1"/>
  <c r="B2159" i="11"/>
  <c r="B2160" i="11" a="1"/>
  <c r="B2160" i="11"/>
  <c r="B2161" i="11" a="1"/>
  <c r="B2161" i="11"/>
  <c r="B2162" i="11" a="1"/>
  <c r="B2162" i="11"/>
  <c r="B2163" i="11" a="1"/>
  <c r="B2163" i="11"/>
  <c r="B2164" i="11" a="1"/>
  <c r="B2164" i="11"/>
  <c r="B2165" i="11" a="1"/>
  <c r="B2165" i="11"/>
  <c r="B2166" i="11" a="1"/>
  <c r="B2166" i="11"/>
  <c r="B2167" i="11" a="1"/>
  <c r="B2167" i="11"/>
  <c r="B2168" i="11" a="1"/>
  <c r="B2168" i="11"/>
  <c r="B2169" i="11" a="1"/>
  <c r="B2169" i="11"/>
  <c r="B2170" i="11" a="1"/>
  <c r="B2170" i="11"/>
  <c r="B2171" i="11" a="1"/>
  <c r="B2171" i="11"/>
  <c r="B2172" i="11" a="1"/>
  <c r="B2172" i="11"/>
  <c r="B2173" i="11" a="1"/>
  <c r="B2173" i="11"/>
  <c r="B2174" i="11" a="1"/>
  <c r="B2174" i="11"/>
  <c r="B2175" i="11" a="1"/>
  <c r="B2175" i="11"/>
  <c r="B2176" i="11" a="1"/>
  <c r="B2176" i="11"/>
  <c r="B2177" i="11" a="1"/>
  <c r="B2177" i="11"/>
  <c r="B2178" i="11" a="1"/>
  <c r="B2178" i="11"/>
  <c r="B2179" i="11" a="1"/>
  <c r="B2179" i="11"/>
  <c r="B2180" i="11" a="1"/>
  <c r="B2180" i="11"/>
  <c r="B2181" i="11" a="1"/>
  <c r="B2181" i="11"/>
  <c r="B2182" i="11" a="1"/>
  <c r="B2182" i="11"/>
  <c r="B2183" i="11" a="1"/>
  <c r="B2183" i="11"/>
  <c r="B2184" i="11" a="1"/>
  <c r="B2184" i="11"/>
  <c r="B2185" i="11" a="1"/>
  <c r="B2185" i="11"/>
  <c r="B2186" i="11" a="1"/>
  <c r="B2186" i="11"/>
  <c r="B2187" i="11" a="1"/>
  <c r="B2187" i="11"/>
  <c r="B2188" i="11" a="1"/>
  <c r="B2188" i="11"/>
  <c r="B2189" i="11" a="1"/>
  <c r="B2189" i="11"/>
  <c r="B2190" i="11" a="1"/>
  <c r="B2190" i="11"/>
  <c r="B2191" i="11" a="1"/>
  <c r="B2191" i="11"/>
  <c r="B2192" i="11" a="1"/>
  <c r="B2192" i="11"/>
  <c r="B2193" i="11" a="1"/>
  <c r="B2193" i="11"/>
  <c r="B2194" i="11" a="1"/>
  <c r="B2194" i="11"/>
  <c r="B2195" i="11" a="1"/>
  <c r="B2195" i="11"/>
  <c r="B2196" i="11" a="1"/>
  <c r="B2196" i="11"/>
  <c r="B2197" i="11" a="1"/>
  <c r="B2197" i="11"/>
  <c r="B2198" i="11" a="1"/>
  <c r="B2198" i="11"/>
  <c r="B2199" i="11" a="1"/>
  <c r="B2199" i="11"/>
  <c r="B2200" i="11" a="1"/>
  <c r="B2200" i="11"/>
  <c r="B2201" i="11" a="1"/>
  <c r="B2201" i="11"/>
  <c r="B2202" i="11" a="1"/>
  <c r="B2202" i="11"/>
  <c r="B2203" i="11" a="1"/>
  <c r="B2203" i="11"/>
  <c r="B2204" i="11" a="1"/>
  <c r="B2204" i="11"/>
  <c r="B2205" i="11" a="1"/>
  <c r="B2205" i="11"/>
  <c r="B2206" i="11" a="1"/>
  <c r="B2206" i="11"/>
  <c r="B2207" i="11" a="1"/>
  <c r="B2207" i="11"/>
  <c r="B2208" i="11" a="1"/>
  <c r="B2208" i="11"/>
  <c r="B2209" i="11" a="1"/>
  <c r="B2209" i="11"/>
  <c r="B2210" i="11" a="1"/>
  <c r="B2210" i="11"/>
  <c r="B2211" i="11" a="1"/>
  <c r="B2211" i="11"/>
  <c r="B2212" i="11" a="1"/>
  <c r="B2212" i="11"/>
  <c r="B2213" i="11" a="1"/>
  <c r="B2213" i="11"/>
  <c r="B2214" i="11" a="1"/>
  <c r="B2214" i="11"/>
  <c r="B2215" i="11" a="1"/>
  <c r="B2215" i="11"/>
  <c r="B2216" i="11" a="1"/>
  <c r="B2216" i="11"/>
  <c r="B2217" i="11" a="1"/>
  <c r="B2217" i="11"/>
  <c r="B2218" i="11" a="1"/>
  <c r="B2218" i="11"/>
  <c r="B2219" i="11" a="1"/>
  <c r="B2219" i="11"/>
  <c r="B2220" i="11" a="1"/>
  <c r="B2220" i="11"/>
  <c r="B2221" i="11" a="1"/>
  <c r="B2221" i="11"/>
  <c r="B2222" i="11" a="1"/>
  <c r="B2222" i="11"/>
  <c r="B2223" i="11" a="1"/>
  <c r="B2223" i="11"/>
  <c r="B2224" i="11" a="1"/>
  <c r="B2224" i="11"/>
  <c r="B2225" i="11" a="1"/>
  <c r="B2225" i="11"/>
  <c r="B2226" i="11" a="1"/>
  <c r="B2226" i="11"/>
  <c r="B2227" i="11" a="1"/>
  <c r="B2227" i="11"/>
  <c r="B2228" i="11" a="1"/>
  <c r="B2228" i="11"/>
  <c r="B2229" i="11" a="1"/>
  <c r="B2229" i="11"/>
  <c r="B2230" i="11" a="1"/>
  <c r="B2230" i="11"/>
  <c r="B2231" i="11" a="1"/>
  <c r="B2231" i="11"/>
  <c r="B2232" i="11" a="1"/>
  <c r="B2232" i="11"/>
  <c r="B2233" i="11" a="1"/>
  <c r="B2233" i="11"/>
  <c r="B2234" i="11" a="1"/>
  <c r="B2234" i="11"/>
  <c r="B2235" i="11" a="1"/>
  <c r="B2235" i="11"/>
  <c r="B2236" i="11" a="1"/>
  <c r="B2236" i="11"/>
  <c r="B2237" i="11" a="1"/>
  <c r="B2237" i="11"/>
  <c r="B2238" i="11" a="1"/>
  <c r="B2238" i="11"/>
  <c r="B2239" i="11" a="1"/>
  <c r="B2239" i="11"/>
  <c r="B2240" i="11" a="1"/>
  <c r="B2240" i="11"/>
  <c r="B2241" i="11" a="1"/>
  <c r="B2241" i="11"/>
  <c r="B2242" i="11" a="1"/>
  <c r="B2242" i="11"/>
  <c r="B2243" i="11" a="1"/>
  <c r="B2243" i="11"/>
  <c r="B2244" i="11" a="1"/>
  <c r="B2244" i="11"/>
  <c r="B2245" i="11" a="1"/>
  <c r="B2245" i="11"/>
  <c r="B2246" i="11" a="1"/>
  <c r="B2246" i="11"/>
  <c r="B2247" i="11" a="1"/>
  <c r="B2247" i="11"/>
  <c r="B2248" i="11" a="1"/>
  <c r="B2248" i="11"/>
  <c r="B2249" i="11" a="1"/>
  <c r="B2249" i="11"/>
  <c r="B2250" i="11" a="1"/>
  <c r="B2250" i="11"/>
  <c r="B2251" i="11" a="1"/>
  <c r="B2251" i="11"/>
  <c r="B2252" i="11" a="1"/>
  <c r="B2252" i="11"/>
  <c r="B2253" i="11" a="1"/>
  <c r="B2253" i="11"/>
  <c r="B2254" i="11" a="1"/>
  <c r="B2254" i="11"/>
  <c r="B2255" i="11" a="1"/>
  <c r="B2255" i="11"/>
  <c r="B2256" i="11" a="1"/>
  <c r="B2256" i="11"/>
  <c r="B2257" i="11" a="1"/>
  <c r="B2257" i="11"/>
  <c r="B2258" i="11" a="1"/>
  <c r="B2258" i="11"/>
  <c r="B2259" i="11" a="1"/>
  <c r="B2259" i="11"/>
  <c r="B2260" i="11" a="1"/>
  <c r="B2260" i="11"/>
  <c r="B2261" i="11" a="1"/>
  <c r="B2261" i="11"/>
  <c r="B2262" i="11" a="1"/>
  <c r="B2262" i="11"/>
  <c r="B2263" i="11" a="1"/>
  <c r="B2263" i="11"/>
  <c r="B2264" i="11" a="1"/>
  <c r="B2264" i="11"/>
  <c r="B2265" i="11" a="1"/>
  <c r="B2265" i="11"/>
  <c r="B2266" i="11" a="1"/>
  <c r="B2266" i="11"/>
  <c r="B2267" i="11" a="1"/>
  <c r="B2267" i="11"/>
  <c r="B2268" i="11" a="1"/>
  <c r="B2268" i="11"/>
  <c r="B2269" i="11" a="1"/>
  <c r="B2269" i="11"/>
  <c r="B2270" i="11" a="1"/>
  <c r="B2270" i="11"/>
  <c r="B2271" i="11" a="1"/>
  <c r="B2271" i="11"/>
  <c r="B2272" i="11" a="1"/>
  <c r="B2272" i="11"/>
  <c r="B2273" i="11" a="1"/>
  <c r="B2273" i="11"/>
  <c r="B2274" i="11" a="1"/>
  <c r="B2274" i="11"/>
  <c r="B2275" i="11" a="1"/>
  <c r="B2275" i="11"/>
  <c r="B2276" i="11" a="1"/>
  <c r="B2276" i="11"/>
  <c r="B2277" i="11" a="1"/>
  <c r="B2277" i="11"/>
  <c r="B2278" i="11" a="1"/>
  <c r="B2278" i="11"/>
  <c r="B2279" i="11" a="1"/>
  <c r="B2279" i="11"/>
  <c r="B2280" i="11" a="1"/>
  <c r="B2280" i="11"/>
  <c r="B2281" i="11" a="1"/>
  <c r="B2281" i="11"/>
  <c r="B2282" i="11" a="1"/>
  <c r="B2282" i="11"/>
  <c r="B2283" i="11" a="1"/>
  <c r="B2283" i="11"/>
  <c r="B2284" i="11" a="1"/>
  <c r="B2284" i="11"/>
  <c r="B2285" i="11" a="1"/>
  <c r="B2285" i="11"/>
  <c r="B2286" i="11" a="1"/>
  <c r="B2286" i="11"/>
  <c r="B2287" i="11" a="1"/>
  <c r="B2287" i="11"/>
  <c r="B2288" i="11" a="1"/>
  <c r="B2288" i="11"/>
  <c r="B2289" i="11" a="1"/>
  <c r="B2289" i="11"/>
  <c r="B2290" i="11" a="1"/>
  <c r="B2290" i="11"/>
  <c r="B2291" i="11" a="1"/>
  <c r="B2291" i="11"/>
  <c r="B2292" i="11" a="1"/>
  <c r="B2292" i="11"/>
  <c r="B2293" i="11" a="1"/>
  <c r="B2293" i="11"/>
  <c r="B2294" i="11" a="1"/>
  <c r="B2294" i="11"/>
  <c r="B2295" i="11" a="1"/>
  <c r="B2295" i="11"/>
  <c r="B2296" i="11" a="1"/>
  <c r="B2296" i="11"/>
  <c r="B2297" i="11" a="1"/>
  <c r="B2297" i="11"/>
  <c r="B2298" i="11" a="1"/>
  <c r="B2298" i="11"/>
  <c r="B2299" i="11" a="1"/>
  <c r="B2299" i="11"/>
  <c r="B2300" i="11" a="1"/>
  <c r="B2300" i="11"/>
  <c r="B2301" i="11" a="1"/>
  <c r="B2301" i="11"/>
  <c r="B2302" i="11" a="1"/>
  <c r="B2302" i="11"/>
  <c r="B2303" i="11" a="1"/>
  <c r="B2303" i="11"/>
  <c r="B2304" i="11" a="1"/>
  <c r="B2304" i="11"/>
  <c r="B2305" i="11" a="1"/>
  <c r="B2305" i="11"/>
  <c r="B2306" i="11" a="1"/>
  <c r="B2306" i="11"/>
  <c r="B2307" i="11" a="1"/>
  <c r="B2307" i="11"/>
  <c r="B2308" i="11" a="1"/>
  <c r="B2308" i="11"/>
  <c r="B2309" i="11" a="1"/>
  <c r="B2309" i="11"/>
  <c r="B2310" i="11" a="1"/>
  <c r="B2310" i="11"/>
  <c r="B2311" i="11" a="1"/>
  <c r="B2311" i="11"/>
  <c r="B2312" i="11" a="1"/>
  <c r="B2312" i="11"/>
  <c r="B2313" i="11" a="1"/>
  <c r="B2313" i="11"/>
  <c r="B2314" i="11" a="1"/>
  <c r="B2314" i="11"/>
  <c r="B2315" i="11" a="1"/>
  <c r="B2315" i="11"/>
  <c r="B2316" i="11" a="1"/>
  <c r="B2316" i="11"/>
  <c r="B2317" i="11" a="1"/>
  <c r="B2317" i="11"/>
  <c r="B2318" i="11" a="1"/>
  <c r="B2318" i="11"/>
  <c r="B2319" i="11" a="1"/>
  <c r="B2319" i="11"/>
  <c r="B2320" i="11" a="1"/>
  <c r="B2320" i="11"/>
  <c r="B2321" i="11" a="1"/>
  <c r="B2321" i="11"/>
  <c r="B2322" i="11" a="1"/>
  <c r="B2322" i="11"/>
  <c r="B2323" i="11" a="1"/>
  <c r="B2323" i="11"/>
  <c r="B2324" i="11" a="1"/>
  <c r="B2324" i="11"/>
  <c r="B2325" i="11" a="1"/>
  <c r="B2325" i="11"/>
  <c r="B2326" i="11" a="1"/>
  <c r="B2326" i="11"/>
  <c r="B2327" i="11" a="1"/>
  <c r="B2327" i="11"/>
  <c r="B2328" i="11" a="1"/>
  <c r="B2328" i="11"/>
  <c r="B2329" i="11" a="1"/>
  <c r="B2329" i="11"/>
  <c r="B2330" i="11" a="1"/>
  <c r="B2330" i="11"/>
  <c r="B2331" i="11" a="1"/>
  <c r="B2331" i="11"/>
  <c r="B2332" i="11" a="1"/>
  <c r="B2332" i="11"/>
  <c r="B2333" i="11" a="1"/>
  <c r="B2333" i="11"/>
  <c r="B2334" i="11" a="1"/>
  <c r="B2334" i="11"/>
  <c r="B2335" i="11" a="1"/>
  <c r="B2335" i="11"/>
  <c r="B2336" i="11" a="1"/>
  <c r="B2336" i="11"/>
  <c r="B2337" i="11" a="1"/>
  <c r="B2337" i="11"/>
  <c r="B2338" i="11" a="1"/>
  <c r="B2338" i="11"/>
  <c r="B2339" i="11" a="1"/>
  <c r="B2339" i="11"/>
  <c r="B2340" i="11" a="1"/>
  <c r="B2340" i="11"/>
  <c r="B2341" i="11" a="1"/>
  <c r="B2341" i="11"/>
  <c r="B2342" i="11" a="1"/>
  <c r="B2342" i="11"/>
  <c r="B2343" i="11" a="1"/>
  <c r="B2343" i="11"/>
  <c r="B2344" i="11" a="1"/>
  <c r="B2344" i="11"/>
  <c r="B2345" i="11" a="1"/>
  <c r="B2345" i="11"/>
  <c r="B2346" i="11" a="1"/>
  <c r="B2346" i="11"/>
  <c r="B2347" i="11" a="1"/>
  <c r="B2347" i="11"/>
  <c r="B2348" i="11" a="1"/>
  <c r="B2348" i="11"/>
  <c r="B2349" i="11" a="1"/>
  <c r="B2349" i="11"/>
  <c r="B2350" i="11" a="1"/>
  <c r="B2350" i="11"/>
  <c r="B2351" i="11" a="1"/>
  <c r="B2351" i="11"/>
  <c r="B2352" i="11" a="1"/>
  <c r="B2352" i="11"/>
  <c r="B2353" i="11" a="1"/>
  <c r="B2353" i="11"/>
  <c r="B2354" i="11" a="1"/>
  <c r="B2354" i="11"/>
  <c r="B2355" i="11" a="1"/>
  <c r="B2355" i="11"/>
  <c r="B2356" i="11" a="1"/>
  <c r="B2356" i="11"/>
  <c r="B2357" i="11" a="1"/>
  <c r="B2357" i="11"/>
  <c r="B2358" i="11" a="1"/>
  <c r="B2358" i="11"/>
  <c r="B2359" i="11" a="1"/>
  <c r="B2359" i="11"/>
  <c r="B2360" i="11" a="1"/>
  <c r="B2360" i="11"/>
  <c r="B2361" i="11" a="1"/>
  <c r="B2361" i="11"/>
  <c r="B2362" i="11" a="1"/>
  <c r="B2362" i="11"/>
  <c r="B2363" i="11" a="1"/>
  <c r="B2363" i="11"/>
  <c r="B2364" i="11" a="1"/>
  <c r="B2364" i="11"/>
  <c r="B2365" i="11" a="1"/>
  <c r="B2365" i="11"/>
  <c r="B2366" i="11" a="1"/>
  <c r="B2366" i="11"/>
  <c r="B2367" i="11" a="1"/>
  <c r="B2367" i="11"/>
  <c r="B2368" i="11" a="1"/>
  <c r="B2368" i="11"/>
  <c r="B2369" i="11" a="1"/>
  <c r="B2369" i="11"/>
  <c r="B2370" i="11" a="1"/>
  <c r="B2370" i="11"/>
  <c r="B2371" i="11" a="1"/>
  <c r="B2371" i="11"/>
  <c r="B2372" i="11" a="1"/>
  <c r="B2372" i="11"/>
  <c r="B2373" i="11" a="1"/>
  <c r="B2373" i="11"/>
  <c r="B2374" i="11" a="1"/>
  <c r="B2374" i="11"/>
  <c r="B2375" i="11" a="1"/>
  <c r="B2375" i="11"/>
  <c r="B2376" i="11" a="1"/>
  <c r="B2376" i="11"/>
  <c r="B2377" i="11" a="1"/>
  <c r="B2377" i="11"/>
  <c r="B2378" i="11" a="1"/>
  <c r="B2378" i="11"/>
  <c r="B2379" i="11" a="1"/>
  <c r="B2379" i="11"/>
  <c r="B2380" i="11" a="1"/>
  <c r="B2380" i="11"/>
  <c r="B2381" i="11" a="1"/>
  <c r="B2381" i="11"/>
  <c r="B2382" i="11" a="1"/>
  <c r="B2382" i="11"/>
  <c r="B2383" i="11" a="1"/>
  <c r="B2383" i="11"/>
  <c r="B2384" i="11" a="1"/>
  <c r="B2384" i="11"/>
  <c r="B2385" i="11" a="1"/>
  <c r="B2385" i="11"/>
  <c r="B2386" i="11" a="1"/>
  <c r="B2386" i="11"/>
  <c r="B2387" i="11" a="1"/>
  <c r="B2387" i="11"/>
  <c r="B2388" i="11" a="1"/>
  <c r="B2388" i="11"/>
  <c r="B2389" i="11" a="1"/>
  <c r="B2389" i="11"/>
  <c r="B2390" i="11" a="1"/>
  <c r="B2390" i="11"/>
  <c r="B2391" i="11" a="1"/>
  <c r="B2391" i="11"/>
  <c r="B2392" i="11" a="1"/>
  <c r="B2392" i="11"/>
  <c r="B2393" i="11" a="1"/>
  <c r="B2393" i="11"/>
  <c r="B2394" i="11" a="1"/>
  <c r="B2394" i="11"/>
  <c r="B2395" i="11" a="1"/>
  <c r="B2395" i="11"/>
  <c r="B2396" i="11" a="1"/>
  <c r="B2396" i="11"/>
  <c r="B2397" i="11" a="1"/>
  <c r="B2397" i="11"/>
  <c r="B2398" i="11" a="1"/>
  <c r="B2398" i="11"/>
  <c r="B2399" i="11" a="1"/>
  <c r="B2399" i="11"/>
  <c r="B2400" i="11" a="1"/>
  <c r="B2400" i="11"/>
  <c r="B2401" i="11" a="1"/>
  <c r="B2401" i="11"/>
  <c r="B2402" i="11" a="1"/>
  <c r="B2402" i="11"/>
  <c r="B2403" i="11" a="1"/>
  <c r="B2403" i="11"/>
  <c r="B2404" i="11" a="1"/>
  <c r="B2404" i="11"/>
  <c r="B2405" i="11" a="1"/>
  <c r="B2405" i="11"/>
  <c r="B2406" i="11" a="1"/>
  <c r="B2406" i="11"/>
  <c r="B2407" i="11" a="1"/>
  <c r="B2407" i="11"/>
  <c r="B2408" i="11" a="1"/>
  <c r="B2408" i="11"/>
  <c r="B2409" i="11" a="1"/>
  <c r="B2409" i="11"/>
  <c r="B2410" i="11" a="1"/>
  <c r="B2410" i="11"/>
  <c r="B2411" i="11" a="1"/>
  <c r="B2411" i="11"/>
  <c r="B2412" i="11" a="1"/>
  <c r="B2412" i="11"/>
  <c r="B2413" i="11" a="1"/>
  <c r="B2413" i="11"/>
  <c r="B2414" i="11" a="1"/>
  <c r="B2414" i="11"/>
  <c r="B2415" i="11" a="1"/>
  <c r="B2415" i="11"/>
  <c r="B2416" i="11" a="1"/>
  <c r="B2416" i="11"/>
  <c r="B2417" i="11" a="1"/>
  <c r="B2417" i="11"/>
  <c r="B2418" i="11" a="1"/>
  <c r="B2418" i="11"/>
  <c r="B2419" i="11" a="1"/>
  <c r="B2419" i="11"/>
  <c r="B2420" i="11" a="1"/>
  <c r="B2420" i="11"/>
  <c r="B2421" i="11" a="1"/>
  <c r="B2421" i="11"/>
  <c r="B2422" i="11" a="1"/>
  <c r="B2422" i="11"/>
  <c r="B2423" i="11" a="1"/>
  <c r="B2423" i="11"/>
  <c r="B2424" i="11" a="1"/>
  <c r="B2424" i="11"/>
  <c r="B2425" i="11" a="1"/>
  <c r="B2425" i="11"/>
  <c r="B2426" i="11" a="1"/>
  <c r="B2426" i="11"/>
  <c r="B2427" i="11" a="1"/>
  <c r="B2427" i="11"/>
  <c r="B2428" i="11" a="1"/>
  <c r="B2428" i="11"/>
  <c r="B2429" i="11" a="1"/>
  <c r="B2429" i="11"/>
  <c r="B2430" i="11" a="1"/>
  <c r="B2430" i="11"/>
  <c r="B2431" i="11" a="1"/>
  <c r="B2431" i="11"/>
  <c r="B2432" i="11" a="1"/>
  <c r="B2432" i="11"/>
  <c r="B2433" i="11" a="1"/>
  <c r="B2433" i="11"/>
  <c r="B2434" i="11" a="1"/>
  <c r="B2434" i="11"/>
  <c r="B2435" i="11" a="1"/>
  <c r="B2435" i="11"/>
  <c r="B2436" i="11" a="1"/>
  <c r="B2436" i="11"/>
  <c r="B2437" i="11" a="1"/>
  <c r="B2437" i="11"/>
  <c r="B2438" i="11" a="1"/>
  <c r="B2438" i="11"/>
  <c r="B2439" i="11" a="1"/>
  <c r="B2439" i="11"/>
  <c r="B2440" i="11" a="1"/>
  <c r="B2440" i="11"/>
  <c r="B2441" i="11" a="1"/>
  <c r="B2441" i="11"/>
  <c r="B2442" i="11" a="1"/>
  <c r="B2442" i="11"/>
  <c r="B2443" i="11" a="1"/>
  <c r="B2443" i="11"/>
  <c r="B2444" i="11" a="1"/>
  <c r="B2444" i="11"/>
  <c r="B2445" i="11" a="1"/>
  <c r="B2445" i="11"/>
  <c r="B2446" i="11" a="1"/>
  <c r="B2446" i="11"/>
  <c r="B2447" i="11" a="1"/>
  <c r="B2447" i="11"/>
  <c r="B2448" i="11" a="1"/>
  <c r="B2448" i="11"/>
  <c r="B2449" i="11" a="1"/>
  <c r="B2449" i="11"/>
  <c r="B2450" i="11" a="1"/>
  <c r="B2450" i="11"/>
  <c r="B2451" i="11" a="1"/>
  <c r="B2451" i="11"/>
  <c r="B2452" i="11" a="1"/>
  <c r="B2452" i="11"/>
  <c r="B2453" i="11" a="1"/>
  <c r="B2453" i="11"/>
  <c r="B2454" i="11" a="1"/>
  <c r="B2454" i="11"/>
  <c r="B2455" i="11" a="1"/>
  <c r="B2455" i="11"/>
  <c r="B2456" i="11" a="1"/>
  <c r="B2456" i="11"/>
  <c r="B2457" i="11" a="1"/>
  <c r="B2457" i="11"/>
  <c r="B2458" i="11" a="1"/>
  <c r="B2458" i="11"/>
  <c r="B2459" i="11" a="1"/>
  <c r="B2459" i="11"/>
  <c r="B2460" i="11" a="1"/>
  <c r="B2460" i="11"/>
  <c r="B2461" i="11" a="1"/>
  <c r="B2461" i="11"/>
  <c r="B2462" i="11" a="1"/>
  <c r="B2462" i="11"/>
  <c r="B2463" i="11" a="1"/>
  <c r="B2463" i="11"/>
  <c r="B2464" i="11" a="1"/>
  <c r="B2464" i="11"/>
  <c r="B2465" i="11" a="1"/>
  <c r="B2465" i="11"/>
  <c r="B2466" i="11" a="1"/>
  <c r="B2466" i="11"/>
  <c r="B2467" i="11" a="1"/>
  <c r="B2467" i="11"/>
  <c r="B2468" i="11" a="1"/>
  <c r="B2468" i="11"/>
  <c r="B2469" i="11" a="1"/>
  <c r="B2469" i="11"/>
  <c r="B2470" i="11" a="1"/>
  <c r="B2470" i="11"/>
  <c r="B2471" i="11" a="1"/>
  <c r="B2471" i="11"/>
  <c r="B2472" i="11" a="1"/>
  <c r="B2472" i="11"/>
  <c r="B2473" i="11" a="1"/>
  <c r="B2473" i="11"/>
  <c r="B2474" i="11" a="1"/>
  <c r="B2474" i="11"/>
  <c r="B2475" i="11" a="1"/>
  <c r="B2475" i="11"/>
  <c r="B2476" i="11" a="1"/>
  <c r="B2476" i="11"/>
  <c r="B2477" i="11" a="1"/>
  <c r="B2477" i="11"/>
  <c r="B2478" i="11" a="1"/>
  <c r="B2478" i="11"/>
  <c r="B2479" i="11" a="1"/>
  <c r="B2479" i="11"/>
  <c r="B2480" i="11" a="1"/>
  <c r="B2480" i="11"/>
  <c r="B2481" i="11" a="1"/>
  <c r="B2481" i="11"/>
  <c r="B2482" i="11" a="1"/>
  <c r="B2482" i="11"/>
  <c r="B2483" i="11" a="1"/>
  <c r="B2483" i="11"/>
  <c r="B2484" i="11" a="1"/>
  <c r="B2484" i="11"/>
  <c r="B2485" i="11" a="1"/>
  <c r="B2485" i="11"/>
  <c r="B2486" i="11" a="1"/>
  <c r="B2486" i="11"/>
  <c r="B2487" i="11" a="1"/>
  <c r="B2487" i="11"/>
  <c r="B2488" i="11" a="1"/>
  <c r="B2488" i="11"/>
  <c r="B2489" i="11" a="1"/>
  <c r="B2489" i="11"/>
  <c r="B2490" i="11" a="1"/>
  <c r="B2490" i="11"/>
  <c r="B2491" i="11" a="1"/>
  <c r="B2491" i="11"/>
  <c r="B2492" i="11" a="1"/>
  <c r="B2492" i="11"/>
  <c r="B2493" i="11" a="1"/>
  <c r="B2493" i="11"/>
  <c r="B2494" i="11" a="1"/>
  <c r="B2494" i="11"/>
  <c r="B2495" i="11" a="1"/>
  <c r="B2495" i="11"/>
  <c r="B2496" i="11" a="1"/>
  <c r="B2496" i="11"/>
  <c r="B2497" i="11" a="1"/>
  <c r="B2497" i="11"/>
  <c r="B2498" i="11" a="1"/>
  <c r="B2498" i="11"/>
  <c r="B2499" i="11" a="1"/>
  <c r="B2499" i="11"/>
  <c r="B2500" i="11" a="1"/>
  <c r="B2500" i="11"/>
  <c r="B2501" i="11" a="1"/>
  <c r="B2501" i="11"/>
  <c r="B2502" i="11" a="1"/>
  <c r="B2502" i="11"/>
  <c r="B2503" i="11" a="1"/>
  <c r="B2503" i="11"/>
  <c r="B2504" i="11" a="1"/>
  <c r="B2504" i="11"/>
  <c r="B2505" i="11" a="1"/>
  <c r="B2505" i="11"/>
  <c r="B2506" i="11" a="1"/>
  <c r="B2506" i="11"/>
  <c r="B2507" i="11" a="1"/>
  <c r="B2507" i="11"/>
  <c r="B2508" i="11" a="1"/>
  <c r="B2508" i="11"/>
  <c r="B2509" i="11" a="1"/>
  <c r="B2509" i="11"/>
  <c r="B2510" i="11" a="1"/>
  <c r="B2510" i="11"/>
  <c r="B2511" i="11" a="1"/>
  <c r="B2511" i="11"/>
  <c r="B2512" i="11" a="1"/>
  <c r="B2512" i="11"/>
  <c r="B2513" i="11" a="1"/>
  <c r="B2513" i="11"/>
  <c r="B2514" i="11" a="1"/>
  <c r="B2514" i="11"/>
  <c r="B2515" i="11" a="1"/>
  <c r="B2515" i="11"/>
  <c r="B2516" i="11" a="1"/>
  <c r="B2516" i="11"/>
  <c r="B2517" i="11" a="1"/>
  <c r="B2517" i="11"/>
  <c r="B2518" i="11" a="1"/>
  <c r="B2518" i="11"/>
  <c r="B2519" i="11" a="1"/>
  <c r="B2519" i="11"/>
  <c r="B2520" i="11" a="1"/>
  <c r="B2520" i="11"/>
  <c r="B2521" i="11" a="1"/>
  <c r="B2521" i="11"/>
  <c r="B2522" i="11" a="1"/>
  <c r="B2522" i="11"/>
  <c r="B2523" i="11" a="1"/>
  <c r="B2523" i="11"/>
  <c r="B2524" i="11" a="1"/>
  <c r="B2524" i="11"/>
  <c r="B2525" i="11" a="1"/>
  <c r="B2525" i="11"/>
  <c r="B2526" i="11" a="1"/>
  <c r="B2526" i="11"/>
  <c r="B2527" i="11" a="1"/>
  <c r="B2527" i="11"/>
  <c r="B2528" i="11" a="1"/>
  <c r="B2528" i="11"/>
  <c r="B2529" i="11" a="1"/>
  <c r="B2529" i="11"/>
  <c r="B2530" i="11" a="1"/>
  <c r="B2530" i="11"/>
  <c r="B2531" i="11" a="1"/>
  <c r="B2531" i="11"/>
  <c r="B2532" i="11" a="1"/>
  <c r="B2532" i="11"/>
  <c r="B2533" i="11" a="1"/>
  <c r="B2533" i="11"/>
  <c r="B2534" i="11" a="1"/>
  <c r="B2534" i="11"/>
  <c r="B2535" i="11" a="1"/>
  <c r="B2535" i="11"/>
  <c r="B2536" i="11" a="1"/>
  <c r="B2536" i="11"/>
  <c r="B2537" i="11" a="1"/>
  <c r="B2537" i="11"/>
  <c r="B2538" i="11" a="1"/>
  <c r="B2538" i="11"/>
  <c r="B2539" i="11" a="1"/>
  <c r="B2539" i="11"/>
  <c r="B2540" i="11" a="1"/>
  <c r="B2540" i="11"/>
  <c r="B2541" i="11" a="1"/>
  <c r="B2541" i="11"/>
  <c r="B2542" i="11" a="1"/>
  <c r="B2542" i="11"/>
  <c r="B2543" i="11" a="1"/>
  <c r="B2543" i="11"/>
  <c r="B2544" i="11" a="1"/>
  <c r="B2544" i="11"/>
  <c r="B2545" i="11" a="1"/>
  <c r="B2545" i="11"/>
  <c r="B2546" i="11" a="1"/>
  <c r="B2546" i="11"/>
  <c r="B2547" i="11" a="1"/>
  <c r="B2547" i="11"/>
  <c r="B2548" i="11" a="1"/>
  <c r="B2548" i="11"/>
  <c r="B2549" i="11" a="1"/>
  <c r="B2549" i="11"/>
  <c r="B2550" i="11" a="1"/>
  <c r="B2550" i="11"/>
  <c r="B2551" i="11" a="1"/>
  <c r="B2551" i="11"/>
  <c r="B2552" i="11" a="1"/>
  <c r="B2552" i="11"/>
  <c r="B2553" i="11" a="1"/>
  <c r="B2553" i="11"/>
  <c r="B2554" i="11" a="1"/>
  <c r="B2554" i="11"/>
  <c r="B2555" i="11" a="1"/>
  <c r="B2555" i="11"/>
  <c r="B2556" i="11" a="1"/>
  <c r="B2556" i="11"/>
  <c r="B2557" i="11" a="1"/>
  <c r="B2557" i="11"/>
  <c r="B2558" i="11" a="1"/>
  <c r="B2558" i="11"/>
  <c r="B2559" i="11" a="1"/>
  <c r="B2559" i="11"/>
  <c r="B2560" i="11" a="1"/>
  <c r="B2560" i="11"/>
  <c r="B2561" i="11" a="1"/>
  <c r="B2561" i="11"/>
  <c r="B2562" i="11" a="1"/>
  <c r="B2562" i="11"/>
  <c r="B2563" i="11" a="1"/>
  <c r="B2563" i="11"/>
  <c r="B2564" i="11" a="1"/>
  <c r="B2564" i="11"/>
  <c r="B2565" i="11" a="1"/>
  <c r="B2565" i="11"/>
  <c r="B2566" i="11" a="1"/>
  <c r="B2566" i="11"/>
  <c r="B2567" i="11" a="1"/>
  <c r="B2567" i="11"/>
  <c r="B2568" i="11" a="1"/>
  <c r="B2568" i="11"/>
  <c r="B2569" i="11" a="1"/>
  <c r="B2569" i="11"/>
  <c r="B2570" i="11" a="1"/>
  <c r="B2570" i="11"/>
  <c r="B2571" i="11" a="1"/>
  <c r="B2571" i="11"/>
  <c r="B2572" i="11" a="1"/>
  <c r="B2572" i="11"/>
  <c r="B2573" i="11" a="1"/>
  <c r="B2573" i="11"/>
  <c r="B2574" i="11" a="1"/>
  <c r="B2574" i="11"/>
  <c r="B2575" i="11" a="1"/>
  <c r="B2575" i="11"/>
  <c r="A174" i="11" a="1"/>
  <c r="A174" i="11"/>
  <c r="A175" i="11" a="1"/>
  <c r="A175" i="11"/>
  <c r="A176" i="11" a="1"/>
  <c r="A176" i="11"/>
  <c r="A177" i="11" a="1"/>
  <c r="A177" i="11"/>
  <c r="A178" i="11" a="1"/>
  <c r="A178" i="11"/>
  <c r="A179" i="11" a="1"/>
  <c r="A179" i="11"/>
  <c r="A180" i="11" a="1"/>
  <c r="A180" i="11"/>
  <c r="A181" i="11" a="1"/>
  <c r="A181" i="11"/>
  <c r="A182" i="11" a="1"/>
  <c r="A182" i="11"/>
  <c r="A183" i="11" a="1"/>
  <c r="A183" i="11"/>
  <c r="A184" i="11" a="1"/>
  <c r="A184" i="11"/>
  <c r="A185" i="11" a="1"/>
  <c r="A185" i="11"/>
  <c r="A186" i="11" a="1"/>
  <c r="A186" i="11"/>
  <c r="A187" i="11" a="1"/>
  <c r="A187" i="11"/>
  <c r="A188" i="11" a="1"/>
  <c r="A188" i="11"/>
  <c r="A189" i="11" a="1"/>
  <c r="A189" i="11"/>
  <c r="A190" i="11" a="1"/>
  <c r="A190" i="11"/>
  <c r="A191" i="11" a="1"/>
  <c r="A191" i="11"/>
  <c r="A192" i="11" a="1"/>
  <c r="A192" i="11"/>
  <c r="A193" i="11" a="1"/>
  <c r="A193" i="11"/>
  <c r="A194" i="11" a="1"/>
  <c r="A194" i="11"/>
  <c r="A195" i="11" a="1"/>
  <c r="A195" i="11"/>
  <c r="A196" i="11" a="1"/>
  <c r="A196" i="11"/>
  <c r="A197" i="11" a="1"/>
  <c r="A197" i="11"/>
  <c r="A198" i="11" a="1"/>
  <c r="A198" i="11"/>
  <c r="A199" i="11" a="1"/>
  <c r="A199" i="11"/>
  <c r="A200" i="11" a="1"/>
  <c r="A200" i="11"/>
  <c r="A201" i="11" a="1"/>
  <c r="A201" i="11"/>
  <c r="A202" i="11" a="1"/>
  <c r="A202" i="11"/>
  <c r="A203" i="11" a="1"/>
  <c r="A203" i="11"/>
  <c r="A204" i="11" a="1"/>
  <c r="A204" i="11"/>
  <c r="A205" i="11" a="1"/>
  <c r="A205" i="11"/>
  <c r="A206" i="11" a="1"/>
  <c r="A206" i="11"/>
  <c r="A207" i="11" a="1"/>
  <c r="A207" i="11"/>
  <c r="A208" i="11" a="1"/>
  <c r="A208" i="11"/>
  <c r="A209" i="11" a="1"/>
  <c r="A209" i="11"/>
  <c r="A210" i="11" a="1"/>
  <c r="A210" i="11"/>
  <c r="A211" i="11" a="1"/>
  <c r="A211" i="11"/>
  <c r="A212" i="11" a="1"/>
  <c r="A212" i="11"/>
  <c r="A213" i="11" a="1"/>
  <c r="A213" i="11"/>
  <c r="A214" i="11" a="1"/>
  <c r="A214" i="11"/>
  <c r="A215" i="11" a="1"/>
  <c r="A215" i="11"/>
  <c r="A216" i="11" a="1"/>
  <c r="A216" i="11"/>
  <c r="A217" i="11" a="1"/>
  <c r="A217" i="11"/>
  <c r="A218" i="11" a="1"/>
  <c r="A218" i="11"/>
  <c r="A219" i="11" a="1"/>
  <c r="A219" i="11"/>
  <c r="A220" i="11" a="1"/>
  <c r="A220" i="11"/>
  <c r="A221" i="11" a="1"/>
  <c r="A221" i="11"/>
  <c r="A222" i="11" a="1"/>
  <c r="A222" i="11"/>
  <c r="A223" i="11" a="1"/>
  <c r="A223" i="11"/>
  <c r="A224" i="11" a="1"/>
  <c r="A224" i="11"/>
  <c r="A225" i="11" a="1"/>
  <c r="A225" i="11"/>
  <c r="A226" i="11" a="1"/>
  <c r="A226" i="11"/>
  <c r="A227" i="11" a="1"/>
  <c r="A227" i="11"/>
  <c r="A228" i="11" a="1"/>
  <c r="A228" i="11"/>
  <c r="A229" i="11" a="1"/>
  <c r="A229" i="11"/>
  <c r="A230" i="11" a="1"/>
  <c r="A230" i="11"/>
  <c r="A231" i="11" a="1"/>
  <c r="A231" i="11"/>
  <c r="A232" i="11" a="1"/>
  <c r="A232" i="11"/>
  <c r="A233" i="11" a="1"/>
  <c r="A233" i="11"/>
  <c r="A234" i="11" a="1"/>
  <c r="A234" i="11"/>
  <c r="A235" i="11" a="1"/>
  <c r="A235" i="11"/>
  <c r="A236" i="11" a="1"/>
  <c r="A236" i="11"/>
  <c r="A237" i="11" a="1"/>
  <c r="A237" i="11"/>
  <c r="A238" i="11" a="1"/>
  <c r="A238" i="11"/>
  <c r="A239" i="11" a="1"/>
  <c r="A239" i="11"/>
  <c r="A240" i="11" a="1"/>
  <c r="A240" i="11"/>
  <c r="A241" i="11" a="1"/>
  <c r="A241" i="11"/>
  <c r="A242" i="11" a="1"/>
  <c r="A242" i="11"/>
  <c r="A243" i="11" a="1"/>
  <c r="A243" i="11"/>
  <c r="A244" i="11" a="1"/>
  <c r="A244" i="11"/>
  <c r="A245" i="11" a="1"/>
  <c r="A245" i="11"/>
  <c r="A246" i="11" a="1"/>
  <c r="A246" i="11"/>
  <c r="A247" i="11" a="1"/>
  <c r="A247" i="11"/>
  <c r="A248" i="11" a="1"/>
  <c r="A248" i="11"/>
  <c r="A249" i="11" a="1"/>
  <c r="A249" i="11"/>
  <c r="A250" i="11" a="1"/>
  <c r="A250" i="11"/>
  <c r="A251" i="11" a="1"/>
  <c r="A251" i="11"/>
  <c r="A252" i="11" a="1"/>
  <c r="A252" i="11"/>
  <c r="A253" i="11" a="1"/>
  <c r="A253" i="11"/>
  <c r="A254" i="11" a="1"/>
  <c r="A254" i="11"/>
  <c r="A255" i="11" a="1"/>
  <c r="A255" i="11"/>
  <c r="A256" i="11" a="1"/>
  <c r="A256" i="11"/>
  <c r="A257" i="11" a="1"/>
  <c r="A257" i="11"/>
  <c r="A258" i="11" a="1"/>
  <c r="A258" i="11"/>
  <c r="A259" i="11" a="1"/>
  <c r="A259" i="11"/>
  <c r="A260" i="11" a="1"/>
  <c r="A260" i="11"/>
  <c r="A261" i="11" a="1"/>
  <c r="A261" i="11"/>
  <c r="A262" i="11" a="1"/>
  <c r="A262" i="11"/>
  <c r="A263" i="11" a="1"/>
  <c r="A263" i="11"/>
  <c r="A264" i="11" a="1"/>
  <c r="A264" i="11"/>
  <c r="A265" i="11" a="1"/>
  <c r="A265" i="11"/>
  <c r="A266" i="11" a="1"/>
  <c r="A266" i="11"/>
  <c r="A267" i="11" a="1"/>
  <c r="A267" i="11"/>
  <c r="A268" i="11" a="1"/>
  <c r="A268" i="11"/>
  <c r="A269" i="11" a="1"/>
  <c r="A269" i="11"/>
  <c r="A270" i="11" a="1"/>
  <c r="A270" i="11"/>
  <c r="A271" i="11" a="1"/>
  <c r="A271" i="11"/>
  <c r="A272" i="11" a="1"/>
  <c r="A272" i="11"/>
  <c r="A273" i="11" a="1"/>
  <c r="A273" i="11"/>
  <c r="A274" i="11" a="1"/>
  <c r="A274" i="11"/>
  <c r="A275" i="11" a="1"/>
  <c r="A275" i="11"/>
  <c r="A276" i="11" a="1"/>
  <c r="A276" i="11"/>
  <c r="A277" i="11" a="1"/>
  <c r="A277" i="11"/>
  <c r="A278" i="11" a="1"/>
  <c r="A278" i="11"/>
  <c r="A279" i="11" a="1"/>
  <c r="A279" i="11"/>
  <c r="A280" i="11" a="1"/>
  <c r="A280" i="11"/>
  <c r="A281" i="11" a="1"/>
  <c r="A281" i="11"/>
  <c r="A282" i="11" a="1"/>
  <c r="A282" i="11"/>
  <c r="A283" i="11" a="1"/>
  <c r="A283" i="11"/>
  <c r="A284" i="11" a="1"/>
  <c r="A284" i="11"/>
  <c r="A285" i="11" a="1"/>
  <c r="A285" i="11"/>
  <c r="A286" i="11" a="1"/>
  <c r="A286" i="11"/>
  <c r="A287" i="11" a="1"/>
  <c r="A287" i="11"/>
  <c r="A288" i="11" a="1"/>
  <c r="A288" i="11"/>
  <c r="A289" i="11" a="1"/>
  <c r="A289" i="11"/>
  <c r="A290" i="11" a="1"/>
  <c r="A290" i="11"/>
  <c r="A291" i="11" a="1"/>
  <c r="A291" i="11"/>
  <c r="A292" i="11" a="1"/>
  <c r="A292" i="11"/>
  <c r="A293" i="11" a="1"/>
  <c r="A293" i="11"/>
  <c r="A294" i="11" a="1"/>
  <c r="A294" i="11"/>
  <c r="A295" i="11" a="1"/>
  <c r="A295" i="11"/>
  <c r="A296" i="11" a="1"/>
  <c r="A296" i="11"/>
  <c r="A297" i="11" a="1"/>
  <c r="A297" i="11"/>
  <c r="A298" i="11" a="1"/>
  <c r="A298" i="11"/>
  <c r="A299" i="11" a="1"/>
  <c r="A299" i="11"/>
  <c r="A300" i="11" a="1"/>
  <c r="A300" i="11"/>
  <c r="A301" i="11" a="1"/>
  <c r="A301" i="11"/>
  <c r="A302" i="11" a="1"/>
  <c r="A302" i="11"/>
  <c r="A303" i="11" a="1"/>
  <c r="A303" i="11"/>
  <c r="A304" i="11" a="1"/>
  <c r="A304" i="11"/>
  <c r="A305" i="11" a="1"/>
  <c r="A305" i="11"/>
  <c r="A306" i="11" a="1"/>
  <c r="A306" i="11"/>
  <c r="A307" i="11" a="1"/>
  <c r="A307" i="11"/>
  <c r="A308" i="11" a="1"/>
  <c r="A308" i="11"/>
  <c r="A309" i="11" a="1"/>
  <c r="A309" i="11"/>
  <c r="A310" i="11" a="1"/>
  <c r="A310" i="11"/>
  <c r="A311" i="11" a="1"/>
  <c r="A311" i="11"/>
  <c r="A312" i="11" a="1"/>
  <c r="A312" i="11"/>
  <c r="A313" i="11" a="1"/>
  <c r="A313" i="11"/>
  <c r="A314" i="11" a="1"/>
  <c r="A314" i="11"/>
  <c r="A315" i="11" a="1"/>
  <c r="A315" i="11"/>
  <c r="A316" i="11" a="1"/>
  <c r="A316" i="11"/>
  <c r="A317" i="11" a="1"/>
  <c r="A317" i="11"/>
  <c r="A318" i="11" a="1"/>
  <c r="A318" i="11"/>
  <c r="A319" i="11" a="1"/>
  <c r="A319" i="11"/>
  <c r="A320" i="11" a="1"/>
  <c r="A320" i="11"/>
  <c r="A321" i="11" a="1"/>
  <c r="A321" i="11"/>
  <c r="A322" i="11" a="1"/>
  <c r="A322" i="11"/>
  <c r="A323" i="11" a="1"/>
  <c r="A323" i="11"/>
  <c r="A324" i="11" a="1"/>
  <c r="A324" i="11"/>
  <c r="A325" i="11" a="1"/>
  <c r="A325" i="11"/>
  <c r="A326" i="11" a="1"/>
  <c r="A326" i="11"/>
  <c r="A327" i="11" a="1"/>
  <c r="A327" i="11"/>
  <c r="A328" i="11" a="1"/>
  <c r="A328" i="11"/>
  <c r="A329" i="11" a="1"/>
  <c r="A329" i="11"/>
  <c r="A330" i="11" a="1"/>
  <c r="A330" i="11"/>
  <c r="A331" i="11" a="1"/>
  <c r="A331" i="11"/>
  <c r="A332" i="11" a="1"/>
  <c r="A332" i="11"/>
  <c r="A333" i="11" a="1"/>
  <c r="A333" i="11"/>
  <c r="A334" i="11" a="1"/>
  <c r="A334" i="11"/>
  <c r="A335" i="11" a="1"/>
  <c r="A335" i="11"/>
  <c r="A336" i="11" a="1"/>
  <c r="A336" i="11"/>
  <c r="A337" i="11" a="1"/>
  <c r="A337" i="11"/>
  <c r="A338" i="11" a="1"/>
  <c r="A338" i="11"/>
  <c r="A339" i="11" a="1"/>
  <c r="A339" i="11"/>
  <c r="A340" i="11" a="1"/>
  <c r="A340" i="11"/>
  <c r="A341" i="11" a="1"/>
  <c r="A341" i="11"/>
  <c r="A342" i="11" a="1"/>
  <c r="A342" i="11"/>
  <c r="A343" i="11" a="1"/>
  <c r="A343" i="11"/>
  <c r="A344" i="11" a="1"/>
  <c r="A344" i="11"/>
  <c r="A345" i="11" a="1"/>
  <c r="A345" i="11"/>
  <c r="A346" i="11" a="1"/>
  <c r="A346" i="11"/>
  <c r="A347" i="11" a="1"/>
  <c r="A347" i="11"/>
  <c r="A348" i="11" a="1"/>
  <c r="A348" i="11"/>
  <c r="A349" i="11" a="1"/>
  <c r="A349" i="11"/>
  <c r="A350" i="11" a="1"/>
  <c r="A350" i="11"/>
  <c r="A351" i="11" a="1"/>
  <c r="A351" i="11"/>
  <c r="A352" i="11" a="1"/>
  <c r="A352" i="11"/>
  <c r="A353" i="11" a="1"/>
  <c r="A353" i="11"/>
  <c r="A354" i="11" a="1"/>
  <c r="A354" i="11"/>
  <c r="A355" i="11" a="1"/>
  <c r="A355" i="11"/>
  <c r="A356" i="11" a="1"/>
  <c r="A356" i="11"/>
  <c r="A357" i="11" a="1"/>
  <c r="A357" i="11"/>
  <c r="A358" i="11" a="1"/>
  <c r="A358" i="11"/>
  <c r="A359" i="11" a="1"/>
  <c r="A359" i="11"/>
  <c r="A360" i="11" a="1"/>
  <c r="A360" i="11"/>
  <c r="A361" i="11" a="1"/>
  <c r="A361" i="11"/>
  <c r="A362" i="11" a="1"/>
  <c r="A362" i="11"/>
  <c r="A363" i="11" a="1"/>
  <c r="A363" i="11"/>
  <c r="A364" i="11" a="1"/>
  <c r="A364" i="11"/>
  <c r="A365" i="11" a="1"/>
  <c r="A365" i="11"/>
  <c r="A366" i="11" a="1"/>
  <c r="A366" i="11"/>
  <c r="A367" i="11" a="1"/>
  <c r="A367" i="11"/>
  <c r="A368" i="11" a="1"/>
  <c r="A368" i="11"/>
  <c r="A369" i="11" a="1"/>
  <c r="A369" i="11"/>
  <c r="A370" i="11" a="1"/>
  <c r="A370" i="11"/>
  <c r="A371" i="11" a="1"/>
  <c r="A371" i="11"/>
  <c r="A372" i="11" a="1"/>
  <c r="A372" i="11"/>
  <c r="A373" i="11" a="1"/>
  <c r="A373" i="11"/>
  <c r="A374" i="11" a="1"/>
  <c r="A374" i="11"/>
  <c r="A375" i="11" a="1"/>
  <c r="A375" i="11"/>
  <c r="A376" i="11" a="1"/>
  <c r="A376" i="11"/>
  <c r="A377" i="11" a="1"/>
  <c r="A377" i="11"/>
  <c r="A378" i="11" a="1"/>
  <c r="A378" i="11"/>
  <c r="A379" i="11" a="1"/>
  <c r="A379" i="11"/>
  <c r="A380" i="11" a="1"/>
  <c r="A380" i="11"/>
  <c r="A381" i="11" a="1"/>
  <c r="A381" i="11"/>
  <c r="A382" i="11" a="1"/>
  <c r="A382" i="11"/>
  <c r="A383" i="11" a="1"/>
  <c r="A383" i="11"/>
  <c r="A384" i="11" a="1"/>
  <c r="A384" i="11"/>
  <c r="A385" i="11" a="1"/>
  <c r="A385" i="11"/>
  <c r="A386" i="11" a="1"/>
  <c r="A386" i="11"/>
  <c r="A387" i="11" a="1"/>
  <c r="A387" i="11"/>
  <c r="A388" i="11" a="1"/>
  <c r="A388" i="11"/>
  <c r="A389" i="11" a="1"/>
  <c r="A389" i="11"/>
  <c r="A390" i="11" a="1"/>
  <c r="A390" i="11"/>
  <c r="A391" i="11" a="1"/>
  <c r="A391" i="11"/>
  <c r="A392" i="11" a="1"/>
  <c r="A392" i="11"/>
  <c r="A393" i="11" a="1"/>
  <c r="A393" i="11"/>
  <c r="A394" i="11" a="1"/>
  <c r="A394" i="11"/>
  <c r="A395" i="11" a="1"/>
  <c r="A395" i="11"/>
  <c r="A396" i="11" a="1"/>
  <c r="A396" i="11"/>
  <c r="A397" i="11" a="1"/>
  <c r="A397" i="11"/>
  <c r="A398" i="11" a="1"/>
  <c r="A398" i="11"/>
  <c r="A399" i="11" a="1"/>
  <c r="A399" i="11"/>
  <c r="A400" i="11" a="1"/>
  <c r="A400" i="11"/>
  <c r="A401" i="11" a="1"/>
  <c r="A401" i="11"/>
  <c r="A402" i="11" a="1"/>
  <c r="A402" i="11"/>
  <c r="A403" i="11" a="1"/>
  <c r="A403" i="11"/>
  <c r="A404" i="11" a="1"/>
  <c r="A404" i="11"/>
  <c r="A405" i="11" a="1"/>
  <c r="A405" i="11"/>
  <c r="A406" i="11" a="1"/>
  <c r="A406" i="11"/>
  <c r="A407" i="11" a="1"/>
  <c r="A407" i="11"/>
  <c r="A408" i="11" a="1"/>
  <c r="A408" i="11"/>
  <c r="A409" i="11" a="1"/>
  <c r="A409" i="11"/>
  <c r="A410" i="11" a="1"/>
  <c r="A410" i="11"/>
  <c r="A411" i="11" a="1"/>
  <c r="A411" i="11"/>
  <c r="A412" i="11" a="1"/>
  <c r="A412" i="11"/>
  <c r="A413" i="11" a="1"/>
  <c r="A413" i="11"/>
  <c r="A414" i="11" a="1"/>
  <c r="A414" i="11"/>
  <c r="A415" i="11" a="1"/>
  <c r="A415" i="11"/>
  <c r="A416" i="11" a="1"/>
  <c r="A416" i="11"/>
  <c r="A417" i="11" a="1"/>
  <c r="A417" i="11"/>
  <c r="A418" i="11" a="1"/>
  <c r="A418" i="11"/>
  <c r="A419" i="11" a="1"/>
  <c r="A419" i="11"/>
  <c r="A420" i="11" a="1"/>
  <c r="A420" i="11"/>
  <c r="A421" i="11" a="1"/>
  <c r="A421" i="11"/>
  <c r="A422" i="11" a="1"/>
  <c r="A422" i="11"/>
  <c r="A423" i="11" a="1"/>
  <c r="A423" i="11"/>
  <c r="A424" i="11" a="1"/>
  <c r="A424" i="11"/>
  <c r="A425" i="11" a="1"/>
  <c r="A425" i="11"/>
  <c r="A426" i="11" a="1"/>
  <c r="A426" i="11"/>
  <c r="A427" i="11" a="1"/>
  <c r="A427" i="11"/>
  <c r="A428" i="11" a="1"/>
  <c r="A428" i="11"/>
  <c r="A429" i="11" a="1"/>
  <c r="A429" i="11"/>
  <c r="A430" i="11" a="1"/>
  <c r="A430" i="11"/>
  <c r="A431" i="11" a="1"/>
  <c r="A431" i="11"/>
  <c r="A432" i="11" a="1"/>
  <c r="A432" i="11"/>
  <c r="A433" i="11" a="1"/>
  <c r="A433" i="11"/>
  <c r="A434" i="11" a="1"/>
  <c r="A434" i="11"/>
  <c r="A435" i="11" a="1"/>
  <c r="A435" i="11"/>
  <c r="A436" i="11" a="1"/>
  <c r="A436" i="11"/>
  <c r="A437" i="11" a="1"/>
  <c r="A437" i="11"/>
  <c r="A438" i="11" a="1"/>
  <c r="A438" i="11"/>
  <c r="A439" i="11" a="1"/>
  <c r="A439" i="11"/>
  <c r="A440" i="11" a="1"/>
  <c r="A440" i="11"/>
  <c r="A441" i="11" a="1"/>
  <c r="A441" i="11"/>
  <c r="A442" i="11" a="1"/>
  <c r="A442" i="11"/>
  <c r="A443" i="11" a="1"/>
  <c r="A443" i="11"/>
  <c r="A444" i="11" a="1"/>
  <c r="A444" i="11"/>
  <c r="A445" i="11" a="1"/>
  <c r="A445" i="11"/>
  <c r="A446" i="11" a="1"/>
  <c r="A446" i="11"/>
  <c r="A447" i="11" a="1"/>
  <c r="A447" i="11"/>
  <c r="A448" i="11" a="1"/>
  <c r="A448" i="11"/>
  <c r="A449" i="11" a="1"/>
  <c r="A449" i="11"/>
  <c r="A450" i="11" a="1"/>
  <c r="A450" i="11"/>
  <c r="A451" i="11" a="1"/>
  <c r="A451" i="11"/>
  <c r="A452" i="11" a="1"/>
  <c r="A452" i="11"/>
  <c r="A453" i="11" a="1"/>
  <c r="A453" i="11"/>
  <c r="A454" i="11" a="1"/>
  <c r="A454" i="11"/>
  <c r="A455" i="11" a="1"/>
  <c r="A455" i="11"/>
  <c r="A456" i="11" a="1"/>
  <c r="A456" i="11"/>
  <c r="A457" i="11" a="1"/>
  <c r="A457" i="11"/>
  <c r="A458" i="11" a="1"/>
  <c r="A458" i="11"/>
  <c r="A459" i="11" a="1"/>
  <c r="A459" i="11"/>
  <c r="A460" i="11" a="1"/>
  <c r="A460" i="11"/>
  <c r="A461" i="11" a="1"/>
  <c r="A461" i="11"/>
  <c r="A462" i="11" a="1"/>
  <c r="A462" i="11"/>
  <c r="A463" i="11" a="1"/>
  <c r="A463" i="11"/>
  <c r="A464" i="11" a="1"/>
  <c r="A464" i="11"/>
  <c r="A465" i="11" a="1"/>
  <c r="A465" i="11"/>
  <c r="A466" i="11" a="1"/>
  <c r="A466" i="11"/>
  <c r="A467" i="11" a="1"/>
  <c r="A467" i="11"/>
  <c r="A468" i="11" a="1"/>
  <c r="A468" i="11"/>
  <c r="A469" i="11" a="1"/>
  <c r="A469" i="11"/>
  <c r="A470" i="11" a="1"/>
  <c r="A470" i="11"/>
  <c r="A471" i="11" a="1"/>
  <c r="A471" i="11"/>
  <c r="A472" i="11" a="1"/>
  <c r="A472" i="11"/>
  <c r="A473" i="11" a="1"/>
  <c r="A473" i="11"/>
  <c r="A474" i="11" a="1"/>
  <c r="A474" i="11"/>
  <c r="A475" i="11" a="1"/>
  <c r="A475" i="11"/>
  <c r="A476" i="11" a="1"/>
  <c r="A476" i="11"/>
  <c r="A477" i="11" a="1"/>
  <c r="A477" i="11"/>
  <c r="A478" i="11" a="1"/>
  <c r="A478" i="11"/>
  <c r="A479" i="11" a="1"/>
  <c r="A479" i="11"/>
  <c r="A480" i="11" a="1"/>
  <c r="A480" i="11"/>
  <c r="A481" i="11" a="1"/>
  <c r="A481" i="11"/>
  <c r="A482" i="11" a="1"/>
  <c r="A482" i="11"/>
  <c r="A483" i="11" a="1"/>
  <c r="A483" i="11"/>
  <c r="A484" i="11" a="1"/>
  <c r="A484" i="11"/>
  <c r="A485" i="11" a="1"/>
  <c r="A485" i="11"/>
  <c r="A486" i="11" a="1"/>
  <c r="A486" i="11"/>
  <c r="A487" i="11" a="1"/>
  <c r="A487" i="11"/>
  <c r="A488" i="11" a="1"/>
  <c r="A488" i="11"/>
  <c r="A489" i="11" a="1"/>
  <c r="A489" i="11"/>
  <c r="A490" i="11" a="1"/>
  <c r="A490" i="11"/>
  <c r="A491" i="11" a="1"/>
  <c r="A491" i="11"/>
  <c r="A492" i="11" a="1"/>
  <c r="A492" i="11"/>
  <c r="A493" i="11" a="1"/>
  <c r="A493" i="11"/>
  <c r="A494" i="11" a="1"/>
  <c r="A494" i="11"/>
  <c r="A495" i="11" a="1"/>
  <c r="A495" i="11"/>
  <c r="A496" i="11" a="1"/>
  <c r="A496" i="11"/>
  <c r="A497" i="11" a="1"/>
  <c r="A497" i="11"/>
  <c r="A498" i="11" a="1"/>
  <c r="A498" i="11"/>
  <c r="A499" i="11" a="1"/>
  <c r="A499" i="11"/>
  <c r="A500" i="11" a="1"/>
  <c r="A500" i="11"/>
  <c r="A501" i="11" a="1"/>
  <c r="A501" i="11"/>
  <c r="A502" i="11" a="1"/>
  <c r="A502" i="11"/>
  <c r="A503" i="11" a="1"/>
  <c r="A503" i="11"/>
  <c r="A504" i="11" a="1"/>
  <c r="A504" i="11"/>
  <c r="A505" i="11" a="1"/>
  <c r="A505" i="11"/>
  <c r="A506" i="11" a="1"/>
  <c r="A506" i="11"/>
  <c r="A507" i="11" a="1"/>
  <c r="A507" i="11"/>
  <c r="A508" i="11" a="1"/>
  <c r="A508" i="11"/>
  <c r="A509" i="11" a="1"/>
  <c r="A509" i="11"/>
  <c r="A510" i="11" a="1"/>
  <c r="A510" i="11"/>
  <c r="A511" i="11" a="1"/>
  <c r="A511" i="11"/>
  <c r="A512" i="11" a="1"/>
  <c r="A512" i="11"/>
  <c r="A513" i="11" a="1"/>
  <c r="A513" i="11"/>
  <c r="A514" i="11" a="1"/>
  <c r="A514" i="11"/>
  <c r="A515" i="11" a="1"/>
  <c r="A515" i="11"/>
  <c r="A516" i="11" a="1"/>
  <c r="A516" i="11"/>
  <c r="A517" i="11" a="1"/>
  <c r="A517" i="11"/>
  <c r="A518" i="11" a="1"/>
  <c r="A518" i="11"/>
  <c r="A519" i="11" a="1"/>
  <c r="A519" i="11"/>
  <c r="A520" i="11" a="1"/>
  <c r="A520" i="11"/>
  <c r="A521" i="11" a="1"/>
  <c r="A521" i="11"/>
  <c r="A522" i="11" a="1"/>
  <c r="A522" i="11"/>
  <c r="A523" i="11" a="1"/>
  <c r="A523" i="11"/>
  <c r="A524" i="11" a="1"/>
  <c r="A524" i="11"/>
  <c r="A525" i="11" a="1"/>
  <c r="A525" i="11"/>
  <c r="A526" i="11" a="1"/>
  <c r="A526" i="11"/>
  <c r="A527" i="11" a="1"/>
  <c r="A527" i="11"/>
  <c r="A528" i="11" a="1"/>
  <c r="A528" i="11"/>
  <c r="A529" i="11" a="1"/>
  <c r="A529" i="11"/>
  <c r="A530" i="11" a="1"/>
  <c r="A530" i="11"/>
  <c r="A531" i="11" a="1"/>
  <c r="A531" i="11"/>
  <c r="A532" i="11" a="1"/>
  <c r="A532" i="11"/>
  <c r="A533" i="11" a="1"/>
  <c r="A533" i="11"/>
  <c r="A534" i="11" a="1"/>
  <c r="A534" i="11"/>
  <c r="A535" i="11" a="1"/>
  <c r="A535" i="11"/>
  <c r="A536" i="11" a="1"/>
  <c r="A536" i="11"/>
  <c r="A537" i="11" a="1"/>
  <c r="A537" i="11"/>
  <c r="A538" i="11" a="1"/>
  <c r="A538" i="11"/>
  <c r="A539" i="11" a="1"/>
  <c r="A539" i="11"/>
  <c r="A540" i="11" a="1"/>
  <c r="A540" i="11"/>
  <c r="A541" i="11" a="1"/>
  <c r="A541" i="11"/>
  <c r="A542" i="11" a="1"/>
  <c r="A542" i="11"/>
  <c r="A543" i="11" a="1"/>
  <c r="A543" i="11"/>
  <c r="A544" i="11" a="1"/>
  <c r="A544" i="11"/>
  <c r="A545" i="11" a="1"/>
  <c r="A545" i="11"/>
  <c r="A546" i="11" a="1"/>
  <c r="A546" i="11"/>
  <c r="A547" i="11" a="1"/>
  <c r="A547" i="11"/>
  <c r="A548" i="11" a="1"/>
  <c r="A548" i="11"/>
  <c r="A549" i="11" a="1"/>
  <c r="A549" i="11"/>
  <c r="A550" i="11" a="1"/>
  <c r="A550" i="11"/>
  <c r="A551" i="11" a="1"/>
  <c r="A551" i="11"/>
  <c r="A552" i="11" a="1"/>
  <c r="A552" i="11"/>
  <c r="A553" i="11" a="1"/>
  <c r="A553" i="11"/>
  <c r="A554" i="11" a="1"/>
  <c r="A554" i="11"/>
  <c r="A555" i="11" a="1"/>
  <c r="A555" i="11"/>
  <c r="A556" i="11" a="1"/>
  <c r="A556" i="11"/>
  <c r="A557" i="11" a="1"/>
  <c r="A557" i="11"/>
  <c r="A558" i="11" a="1"/>
  <c r="A558" i="11"/>
  <c r="A559" i="11" a="1"/>
  <c r="A559" i="11"/>
  <c r="A560" i="11" a="1"/>
  <c r="A560" i="11"/>
  <c r="A561" i="11" a="1"/>
  <c r="A561" i="11"/>
  <c r="A562" i="11" a="1"/>
  <c r="A562" i="11"/>
  <c r="A563" i="11" a="1"/>
  <c r="A563" i="11"/>
  <c r="A564" i="11" a="1"/>
  <c r="A564" i="11"/>
  <c r="A565" i="11" a="1"/>
  <c r="A565" i="11"/>
  <c r="A566" i="11" a="1"/>
  <c r="A566" i="11"/>
  <c r="A567" i="11" a="1"/>
  <c r="A567" i="11"/>
  <c r="A568" i="11" a="1"/>
  <c r="A568" i="11"/>
  <c r="A569" i="11" a="1"/>
  <c r="A569" i="11"/>
  <c r="A570" i="11" a="1"/>
  <c r="A570" i="11"/>
  <c r="A571" i="11" a="1"/>
  <c r="A571" i="11"/>
  <c r="A572" i="11" a="1"/>
  <c r="A572" i="11"/>
  <c r="A573" i="11" a="1"/>
  <c r="A573" i="11"/>
  <c r="A574" i="11" a="1"/>
  <c r="A574" i="11"/>
  <c r="A575" i="11" a="1"/>
  <c r="A575" i="11"/>
  <c r="A576" i="11" a="1"/>
  <c r="A576" i="11"/>
  <c r="A577" i="11" a="1"/>
  <c r="A577" i="11"/>
  <c r="A578" i="11" a="1"/>
  <c r="A578" i="11"/>
  <c r="A579" i="11" a="1"/>
  <c r="A579" i="11"/>
  <c r="A580" i="11" a="1"/>
  <c r="A580" i="11"/>
  <c r="A581" i="11" a="1"/>
  <c r="A581" i="11"/>
  <c r="A582" i="11" a="1"/>
  <c r="A582" i="11"/>
  <c r="A583" i="11" a="1"/>
  <c r="A583" i="11"/>
  <c r="A584" i="11" a="1"/>
  <c r="A584" i="11"/>
  <c r="A585" i="11" a="1"/>
  <c r="A585" i="11"/>
  <c r="A586" i="11" a="1"/>
  <c r="A586" i="11"/>
  <c r="A587" i="11" a="1"/>
  <c r="A587" i="11"/>
  <c r="A588" i="11" a="1"/>
  <c r="A588" i="11"/>
  <c r="A589" i="11" a="1"/>
  <c r="A589" i="11"/>
  <c r="A590" i="11" a="1"/>
  <c r="A590" i="11"/>
  <c r="A591" i="11" a="1"/>
  <c r="A591" i="11"/>
  <c r="A592" i="11" a="1"/>
  <c r="A592" i="11"/>
  <c r="A593" i="11" a="1"/>
  <c r="A593" i="11"/>
  <c r="A594" i="11" a="1"/>
  <c r="A594" i="11"/>
  <c r="A595" i="11" a="1"/>
  <c r="A595" i="11"/>
  <c r="A596" i="11" a="1"/>
  <c r="A596" i="11"/>
  <c r="A597" i="11" a="1"/>
  <c r="A597" i="11"/>
  <c r="A598" i="11" a="1"/>
  <c r="A598" i="11"/>
  <c r="A599" i="11" a="1"/>
  <c r="A599" i="11"/>
  <c r="A600" i="11" a="1"/>
  <c r="A600" i="11"/>
  <c r="A601" i="11" a="1"/>
  <c r="A601" i="11"/>
  <c r="A602" i="11" a="1"/>
  <c r="A602" i="11"/>
  <c r="A603" i="11" a="1"/>
  <c r="A603" i="11"/>
  <c r="A604" i="11" a="1"/>
  <c r="A604" i="11"/>
  <c r="A605" i="11" a="1"/>
  <c r="A605" i="11"/>
  <c r="A606" i="11" a="1"/>
  <c r="A606" i="11"/>
  <c r="A607" i="11" a="1"/>
  <c r="A607" i="11"/>
  <c r="A608" i="11" a="1"/>
  <c r="A608" i="11"/>
  <c r="A609" i="11" a="1"/>
  <c r="A609" i="11"/>
  <c r="A610" i="11" a="1"/>
  <c r="A610" i="11"/>
  <c r="A611" i="11" a="1"/>
  <c r="A611" i="11"/>
  <c r="A612" i="11" a="1"/>
  <c r="A612" i="11"/>
  <c r="A613" i="11" a="1"/>
  <c r="A613" i="11"/>
  <c r="A614" i="11" a="1"/>
  <c r="A614" i="11"/>
  <c r="A615" i="11" a="1"/>
  <c r="A615" i="11"/>
  <c r="A616" i="11" a="1"/>
  <c r="A616" i="11"/>
  <c r="A617" i="11" a="1"/>
  <c r="A617" i="11"/>
  <c r="A618" i="11" a="1"/>
  <c r="A618" i="11"/>
  <c r="A619" i="11" a="1"/>
  <c r="A619" i="11"/>
  <c r="A620" i="11" a="1"/>
  <c r="A620" i="11"/>
  <c r="A621" i="11" a="1"/>
  <c r="A621" i="11"/>
  <c r="A622" i="11" a="1"/>
  <c r="A622" i="11"/>
  <c r="A623" i="11" a="1"/>
  <c r="A623" i="11"/>
  <c r="A624" i="11" a="1"/>
  <c r="A624" i="11"/>
  <c r="A625" i="11" a="1"/>
  <c r="A625" i="11"/>
  <c r="A626" i="11" a="1"/>
  <c r="A626" i="11"/>
  <c r="A627" i="11" a="1"/>
  <c r="A627" i="11"/>
  <c r="A628" i="11" a="1"/>
  <c r="A628" i="11"/>
  <c r="A629" i="11" a="1"/>
  <c r="A629" i="11"/>
  <c r="A630" i="11" a="1"/>
  <c r="A630" i="11"/>
  <c r="A631" i="11" a="1"/>
  <c r="A631" i="11"/>
  <c r="A632" i="11" a="1"/>
  <c r="A632" i="11"/>
  <c r="A633" i="11" a="1"/>
  <c r="A633" i="11"/>
  <c r="A634" i="11" a="1"/>
  <c r="A634" i="11"/>
  <c r="A635" i="11" a="1"/>
  <c r="A635" i="11"/>
  <c r="A636" i="11" a="1"/>
  <c r="A636" i="11"/>
  <c r="A637" i="11" a="1"/>
  <c r="A637" i="11"/>
  <c r="A638" i="11" a="1"/>
  <c r="A638" i="11"/>
  <c r="A639" i="11" a="1"/>
  <c r="A639" i="11"/>
  <c r="A640" i="11" a="1"/>
  <c r="A640" i="11"/>
  <c r="A641" i="11" a="1"/>
  <c r="A641" i="11"/>
  <c r="A642" i="11" a="1"/>
  <c r="A642" i="11"/>
  <c r="A643" i="11" a="1"/>
  <c r="A643" i="11"/>
  <c r="A644" i="11" a="1"/>
  <c r="A644" i="11"/>
  <c r="A645" i="11" a="1"/>
  <c r="A645" i="11"/>
  <c r="A646" i="11" a="1"/>
  <c r="A646" i="11"/>
  <c r="A647" i="11" a="1"/>
  <c r="A647" i="11"/>
  <c r="A648" i="11" a="1"/>
  <c r="A648" i="11"/>
  <c r="A649" i="11" a="1"/>
  <c r="A649" i="11"/>
  <c r="A650" i="11" a="1"/>
  <c r="A650" i="11"/>
  <c r="A651" i="11" a="1"/>
  <c r="A651" i="11"/>
  <c r="A652" i="11" a="1"/>
  <c r="A652" i="11"/>
  <c r="A653" i="11" a="1"/>
  <c r="A653" i="11"/>
  <c r="A654" i="11" a="1"/>
  <c r="A654" i="11"/>
  <c r="A655" i="11" a="1"/>
  <c r="A655" i="11"/>
  <c r="A656" i="11" a="1"/>
  <c r="A656" i="11"/>
  <c r="A657" i="11" a="1"/>
  <c r="A657" i="11"/>
  <c r="A658" i="11" a="1"/>
  <c r="A658" i="11"/>
  <c r="A659" i="11" a="1"/>
  <c r="A659" i="11"/>
  <c r="A660" i="11" a="1"/>
  <c r="A660" i="11"/>
  <c r="A661" i="11" a="1"/>
  <c r="A661" i="11"/>
  <c r="A662" i="11" a="1"/>
  <c r="A662" i="11"/>
  <c r="A663" i="11" a="1"/>
  <c r="A663" i="11"/>
  <c r="A664" i="11" a="1"/>
  <c r="A664" i="11"/>
  <c r="A665" i="11" a="1"/>
  <c r="A665" i="11"/>
  <c r="A666" i="11" a="1"/>
  <c r="A666" i="11"/>
  <c r="A667" i="11" a="1"/>
  <c r="A667" i="11"/>
  <c r="A668" i="11" a="1"/>
  <c r="A668" i="11"/>
  <c r="A669" i="11" a="1"/>
  <c r="A669" i="11"/>
  <c r="A670" i="11" a="1"/>
  <c r="A670" i="11"/>
  <c r="A671" i="11" a="1"/>
  <c r="A671" i="11"/>
  <c r="A672" i="11" a="1"/>
  <c r="A672" i="11"/>
  <c r="A673" i="11" a="1"/>
  <c r="A673" i="11"/>
  <c r="A674" i="11" a="1"/>
  <c r="A674" i="11"/>
  <c r="A675" i="11" a="1"/>
  <c r="A675" i="11"/>
  <c r="A676" i="11" a="1"/>
  <c r="A676" i="11"/>
  <c r="A677" i="11" a="1"/>
  <c r="A677" i="11"/>
  <c r="A678" i="11" a="1"/>
  <c r="A678" i="11"/>
  <c r="A679" i="11" a="1"/>
  <c r="A679" i="11"/>
  <c r="A680" i="11" a="1"/>
  <c r="A680" i="11"/>
  <c r="A681" i="11" a="1"/>
  <c r="A681" i="11"/>
  <c r="A682" i="11" a="1"/>
  <c r="A682" i="11"/>
  <c r="A683" i="11" a="1"/>
  <c r="A683" i="11"/>
  <c r="A684" i="11" a="1"/>
  <c r="A684" i="11"/>
  <c r="A685" i="11" a="1"/>
  <c r="A685" i="11"/>
  <c r="A686" i="11" a="1"/>
  <c r="A686" i="11"/>
  <c r="A687" i="11" a="1"/>
  <c r="A687" i="11"/>
  <c r="A688" i="11" a="1"/>
  <c r="A688" i="11"/>
  <c r="A689" i="11" a="1"/>
  <c r="A689" i="11"/>
  <c r="A690" i="11" a="1"/>
  <c r="A690" i="11"/>
  <c r="A691" i="11" a="1"/>
  <c r="A691" i="11"/>
  <c r="A692" i="11" a="1"/>
  <c r="A692" i="11"/>
  <c r="A693" i="11" a="1"/>
  <c r="A693" i="11"/>
  <c r="A694" i="11" a="1"/>
  <c r="A694" i="11"/>
  <c r="A695" i="11" a="1"/>
  <c r="A695" i="11"/>
  <c r="A696" i="11" a="1"/>
  <c r="A696" i="11"/>
  <c r="A697" i="11" a="1"/>
  <c r="A697" i="11"/>
  <c r="A698" i="11" a="1"/>
  <c r="A698" i="11"/>
  <c r="A699" i="11" a="1"/>
  <c r="A699" i="11"/>
  <c r="A700" i="11" a="1"/>
  <c r="A700" i="11"/>
  <c r="A701" i="11" a="1"/>
  <c r="A701" i="11"/>
  <c r="A702" i="11" a="1"/>
  <c r="A702" i="11"/>
  <c r="A703" i="11" a="1"/>
  <c r="A703" i="11"/>
  <c r="A704" i="11" a="1"/>
  <c r="A704" i="11"/>
  <c r="A705" i="11" a="1"/>
  <c r="A705" i="11"/>
  <c r="A706" i="11" a="1"/>
  <c r="A706" i="11"/>
  <c r="A707" i="11" a="1"/>
  <c r="A707" i="11"/>
  <c r="A708" i="11" a="1"/>
  <c r="A708" i="11"/>
  <c r="A709" i="11" a="1"/>
  <c r="A709" i="11"/>
  <c r="A710" i="11" a="1"/>
  <c r="A710" i="11"/>
  <c r="A711" i="11" a="1"/>
  <c r="A711" i="11"/>
  <c r="A712" i="11" a="1"/>
  <c r="A712" i="11"/>
  <c r="A713" i="11" a="1"/>
  <c r="A713" i="11"/>
  <c r="A714" i="11" a="1"/>
  <c r="A714" i="11"/>
  <c r="A715" i="11" a="1"/>
  <c r="A715" i="11"/>
  <c r="A716" i="11" a="1"/>
  <c r="A716" i="11"/>
  <c r="A717" i="11" a="1"/>
  <c r="A717" i="11"/>
  <c r="A718" i="11" a="1"/>
  <c r="A718" i="11"/>
  <c r="A719" i="11" a="1"/>
  <c r="A719" i="11"/>
  <c r="A720" i="11" a="1"/>
  <c r="A720" i="11"/>
  <c r="A721" i="11" a="1"/>
  <c r="A721" i="11"/>
  <c r="A722" i="11" a="1"/>
  <c r="A722" i="11"/>
  <c r="A723" i="11" a="1"/>
  <c r="A723" i="11"/>
  <c r="A724" i="11" a="1"/>
  <c r="A724" i="11"/>
  <c r="A725" i="11" a="1"/>
  <c r="A725" i="11"/>
  <c r="A726" i="11" a="1"/>
  <c r="A726" i="11"/>
  <c r="A727" i="11" a="1"/>
  <c r="A727" i="11"/>
  <c r="A728" i="11" a="1"/>
  <c r="A728" i="11"/>
  <c r="A729" i="11" a="1"/>
  <c r="A729" i="11"/>
  <c r="A730" i="11" a="1"/>
  <c r="A730" i="11"/>
  <c r="A731" i="11" a="1"/>
  <c r="A731" i="11"/>
  <c r="A732" i="11" a="1"/>
  <c r="A732" i="11"/>
  <c r="A733" i="11" a="1"/>
  <c r="A733" i="11"/>
  <c r="A734" i="11" a="1"/>
  <c r="A734" i="11"/>
  <c r="A735" i="11" a="1"/>
  <c r="A735" i="11"/>
  <c r="A736" i="11" a="1"/>
  <c r="A736" i="11"/>
  <c r="A737" i="11" a="1"/>
  <c r="A737" i="11"/>
  <c r="A738" i="11" a="1"/>
  <c r="A738" i="11"/>
  <c r="A739" i="11" a="1"/>
  <c r="A739" i="11"/>
  <c r="A740" i="11" a="1"/>
  <c r="A740" i="11"/>
  <c r="A741" i="11" a="1"/>
  <c r="A741" i="11"/>
  <c r="A742" i="11" a="1"/>
  <c r="A742" i="11"/>
  <c r="A743" i="11" a="1"/>
  <c r="A743" i="11"/>
  <c r="A744" i="11" a="1"/>
  <c r="A744" i="11"/>
  <c r="A745" i="11" a="1"/>
  <c r="A745" i="11"/>
  <c r="A746" i="11" a="1"/>
  <c r="A746" i="11"/>
  <c r="A747" i="11" a="1"/>
  <c r="A747" i="11"/>
  <c r="A748" i="11" a="1"/>
  <c r="A748" i="11"/>
  <c r="A749" i="11" a="1"/>
  <c r="A749" i="11"/>
  <c r="A750" i="11" a="1"/>
  <c r="A750" i="11"/>
  <c r="A751" i="11" a="1"/>
  <c r="A751" i="11"/>
  <c r="A752" i="11" a="1"/>
  <c r="A752" i="11"/>
  <c r="A753" i="11" a="1"/>
  <c r="A753" i="11"/>
  <c r="A754" i="11" a="1"/>
  <c r="A754" i="11"/>
  <c r="A755" i="11" a="1"/>
  <c r="A755" i="11"/>
  <c r="A756" i="11" a="1"/>
  <c r="A756" i="11"/>
  <c r="A757" i="11" a="1"/>
  <c r="A757" i="11"/>
  <c r="A758" i="11" a="1"/>
  <c r="A758" i="11"/>
  <c r="A759" i="11" a="1"/>
  <c r="A759" i="11"/>
  <c r="A760" i="11" a="1"/>
  <c r="A760" i="11"/>
  <c r="A761" i="11" a="1"/>
  <c r="A761" i="11"/>
  <c r="A762" i="11" a="1"/>
  <c r="A762" i="11"/>
  <c r="A763" i="11" a="1"/>
  <c r="A763" i="11"/>
  <c r="A764" i="11" a="1"/>
  <c r="A764" i="11"/>
  <c r="A765" i="11" a="1"/>
  <c r="A765" i="11"/>
  <c r="A766" i="11" a="1"/>
  <c r="A766" i="11"/>
  <c r="A767" i="11" a="1"/>
  <c r="A767" i="11"/>
  <c r="A768" i="11" a="1"/>
  <c r="A768" i="11"/>
  <c r="A769" i="11" a="1"/>
  <c r="A769" i="11"/>
  <c r="A770" i="11" a="1"/>
  <c r="A770" i="11"/>
  <c r="A771" i="11" a="1"/>
  <c r="A771" i="11"/>
  <c r="A772" i="11" a="1"/>
  <c r="A772" i="11"/>
  <c r="A773" i="11" a="1"/>
  <c r="A773" i="11"/>
  <c r="A774" i="11" a="1"/>
  <c r="A774" i="11"/>
  <c r="A775" i="11" a="1"/>
  <c r="A775" i="11"/>
  <c r="A776" i="11" a="1"/>
  <c r="A776" i="11"/>
  <c r="A777" i="11" a="1"/>
  <c r="A777" i="11"/>
  <c r="A778" i="11" a="1"/>
  <c r="A778" i="11"/>
  <c r="A779" i="11" a="1"/>
  <c r="A779" i="11"/>
  <c r="A780" i="11" a="1"/>
  <c r="A780" i="11"/>
  <c r="A781" i="11" a="1"/>
  <c r="A781" i="11"/>
  <c r="A782" i="11" a="1"/>
  <c r="A782" i="11"/>
  <c r="A783" i="11" a="1"/>
  <c r="A783" i="11"/>
  <c r="A784" i="11" a="1"/>
  <c r="A784" i="11"/>
  <c r="A785" i="11" a="1"/>
  <c r="A785" i="11"/>
  <c r="A786" i="11" a="1"/>
  <c r="A786" i="11"/>
  <c r="A787" i="11" a="1"/>
  <c r="A787" i="11"/>
  <c r="A788" i="11" a="1"/>
  <c r="A788" i="11"/>
  <c r="A789" i="11" a="1"/>
  <c r="A789" i="11"/>
  <c r="A790" i="11" a="1"/>
  <c r="A790" i="11"/>
  <c r="A791" i="11" a="1"/>
  <c r="A791" i="11"/>
  <c r="A792" i="11" a="1"/>
  <c r="A792" i="11"/>
  <c r="A793" i="11" a="1"/>
  <c r="A793" i="11"/>
  <c r="A794" i="11" a="1"/>
  <c r="A794" i="11"/>
  <c r="A795" i="11" a="1"/>
  <c r="A795" i="11"/>
  <c r="A796" i="11" a="1"/>
  <c r="A796" i="11"/>
  <c r="A797" i="11" a="1"/>
  <c r="A797" i="11"/>
  <c r="A798" i="11" a="1"/>
  <c r="A798" i="11"/>
  <c r="A799" i="11" a="1"/>
  <c r="A799" i="11"/>
  <c r="A800" i="11" a="1"/>
  <c r="A800" i="11"/>
  <c r="A801" i="11" a="1"/>
  <c r="A801" i="11"/>
  <c r="A802" i="11" a="1"/>
  <c r="A802" i="11"/>
  <c r="A803" i="11" a="1"/>
  <c r="A803" i="11"/>
  <c r="A804" i="11" a="1"/>
  <c r="A804" i="11"/>
  <c r="A805" i="11" a="1"/>
  <c r="A805" i="11"/>
  <c r="A806" i="11" a="1"/>
  <c r="A806" i="11"/>
  <c r="A807" i="11" a="1"/>
  <c r="A807" i="11"/>
  <c r="A808" i="11" a="1"/>
  <c r="A808" i="11"/>
  <c r="A809" i="11" a="1"/>
  <c r="A809" i="11"/>
  <c r="A810" i="11" a="1"/>
  <c r="A810" i="11"/>
  <c r="A811" i="11" a="1"/>
  <c r="A811" i="11"/>
  <c r="A812" i="11" a="1"/>
  <c r="A812" i="11"/>
  <c r="A813" i="11" a="1"/>
  <c r="A813" i="11"/>
  <c r="A814" i="11" a="1"/>
  <c r="A814" i="11"/>
  <c r="A815" i="11" a="1"/>
  <c r="A815" i="11"/>
  <c r="A816" i="11" a="1"/>
  <c r="A816" i="11"/>
  <c r="A817" i="11" a="1"/>
  <c r="A817" i="11"/>
  <c r="A818" i="11" a="1"/>
  <c r="A818" i="11"/>
  <c r="A819" i="11" a="1"/>
  <c r="A819" i="11"/>
  <c r="A820" i="11" a="1"/>
  <c r="A820" i="11"/>
  <c r="A821" i="11" a="1"/>
  <c r="A821" i="11"/>
  <c r="A822" i="11" a="1"/>
  <c r="A822" i="11"/>
  <c r="A823" i="11" a="1"/>
  <c r="A823" i="11"/>
  <c r="A824" i="11" a="1"/>
  <c r="A824" i="11"/>
  <c r="A825" i="11" a="1"/>
  <c r="A825" i="11"/>
  <c r="A826" i="11" a="1"/>
  <c r="A826" i="11"/>
  <c r="A827" i="11" a="1"/>
  <c r="A827" i="11"/>
  <c r="A828" i="11" a="1"/>
  <c r="A828" i="11"/>
  <c r="A829" i="11" a="1"/>
  <c r="A829" i="11"/>
  <c r="A830" i="11" a="1"/>
  <c r="A830" i="11"/>
  <c r="A831" i="11" a="1"/>
  <c r="A831" i="11"/>
  <c r="A832" i="11" a="1"/>
  <c r="A832" i="11"/>
  <c r="A833" i="11" a="1"/>
  <c r="A833" i="11"/>
  <c r="A834" i="11" a="1"/>
  <c r="A834" i="11"/>
  <c r="A835" i="11" a="1"/>
  <c r="A835" i="11"/>
  <c r="A836" i="11" a="1"/>
  <c r="A836" i="11"/>
  <c r="A837" i="11" a="1"/>
  <c r="A837" i="11"/>
  <c r="A838" i="11" a="1"/>
  <c r="A838" i="11"/>
  <c r="A839" i="11" a="1"/>
  <c r="A839" i="11"/>
  <c r="A840" i="11" a="1"/>
  <c r="A840" i="11"/>
  <c r="A841" i="11" a="1"/>
  <c r="A841" i="11"/>
  <c r="A842" i="11" a="1"/>
  <c r="A842" i="11"/>
  <c r="A843" i="11" a="1"/>
  <c r="A843" i="11"/>
  <c r="A844" i="11" a="1"/>
  <c r="A844" i="11"/>
  <c r="A845" i="11" a="1"/>
  <c r="A845" i="11"/>
  <c r="A846" i="11" a="1"/>
  <c r="A846" i="11"/>
  <c r="A847" i="11" a="1"/>
  <c r="A847" i="11"/>
  <c r="A848" i="11" a="1"/>
  <c r="A848" i="11"/>
  <c r="A849" i="11" a="1"/>
  <c r="A849" i="11"/>
  <c r="A850" i="11" a="1"/>
  <c r="A850" i="11"/>
  <c r="A851" i="11" a="1"/>
  <c r="A851" i="11"/>
  <c r="A852" i="11" a="1"/>
  <c r="A852" i="11"/>
  <c r="A853" i="11" a="1"/>
  <c r="A853" i="11"/>
  <c r="A854" i="11" a="1"/>
  <c r="A854" i="11"/>
  <c r="A855" i="11" a="1"/>
  <c r="A855" i="11"/>
  <c r="A856" i="11" a="1"/>
  <c r="A856" i="11"/>
  <c r="A857" i="11" a="1"/>
  <c r="A857" i="11"/>
  <c r="A858" i="11" a="1"/>
  <c r="A858" i="11"/>
  <c r="A859" i="11" a="1"/>
  <c r="A859" i="11"/>
  <c r="A860" i="11" a="1"/>
  <c r="A860" i="11"/>
  <c r="A861" i="11" a="1"/>
  <c r="A861" i="11"/>
  <c r="A862" i="11" a="1"/>
  <c r="A862" i="11"/>
  <c r="A863" i="11" a="1"/>
  <c r="A863" i="11"/>
  <c r="A864" i="11" a="1"/>
  <c r="A864" i="11"/>
  <c r="A865" i="11" a="1"/>
  <c r="A865" i="11"/>
  <c r="A866" i="11" a="1"/>
  <c r="A866" i="11"/>
  <c r="A867" i="11" a="1"/>
  <c r="A867" i="11"/>
  <c r="A868" i="11" a="1"/>
  <c r="A868" i="11"/>
  <c r="A869" i="11" a="1"/>
  <c r="A869" i="11"/>
  <c r="A870" i="11" a="1"/>
  <c r="A870" i="11"/>
  <c r="A871" i="11" a="1"/>
  <c r="A871" i="11"/>
  <c r="A872" i="11" a="1"/>
  <c r="A872" i="11"/>
  <c r="A873" i="11" a="1"/>
  <c r="A873" i="11"/>
  <c r="A874" i="11" a="1"/>
  <c r="A874" i="11"/>
  <c r="A875" i="11" a="1"/>
  <c r="A875" i="11"/>
  <c r="A876" i="11" a="1"/>
  <c r="A876" i="11"/>
  <c r="A877" i="11" a="1"/>
  <c r="A877" i="11"/>
  <c r="A878" i="11" a="1"/>
  <c r="A878" i="11"/>
  <c r="A879" i="11" a="1"/>
  <c r="A879" i="11"/>
  <c r="A880" i="11" a="1"/>
  <c r="A880" i="11"/>
  <c r="A881" i="11" a="1"/>
  <c r="A881" i="11"/>
  <c r="A882" i="11" a="1"/>
  <c r="A882" i="11"/>
  <c r="A883" i="11" a="1"/>
  <c r="A883" i="11"/>
  <c r="A884" i="11" a="1"/>
  <c r="A884" i="11"/>
  <c r="A885" i="11" a="1"/>
  <c r="A885" i="11"/>
  <c r="A886" i="11" a="1"/>
  <c r="A886" i="11"/>
  <c r="A887" i="11" a="1"/>
  <c r="A887" i="11"/>
  <c r="A888" i="11" a="1"/>
  <c r="A888" i="11"/>
  <c r="A889" i="11" a="1"/>
  <c r="A889" i="11"/>
  <c r="A890" i="11" a="1"/>
  <c r="A890" i="11"/>
  <c r="A891" i="11" a="1"/>
  <c r="A891" i="11"/>
  <c r="A892" i="11" a="1"/>
  <c r="A892" i="11"/>
  <c r="A893" i="11" a="1"/>
  <c r="A893" i="11"/>
  <c r="A894" i="11" a="1"/>
  <c r="A894" i="11"/>
  <c r="A895" i="11" a="1"/>
  <c r="A895" i="11"/>
  <c r="A896" i="11" a="1"/>
  <c r="A896" i="11"/>
  <c r="A897" i="11" a="1"/>
  <c r="A897" i="11"/>
  <c r="A898" i="11" a="1"/>
  <c r="A898" i="11"/>
  <c r="A899" i="11" a="1"/>
  <c r="A899" i="11"/>
  <c r="A900" i="11" a="1"/>
  <c r="A900" i="11"/>
  <c r="A901" i="11" a="1"/>
  <c r="A901" i="11"/>
  <c r="A902" i="11" a="1"/>
  <c r="A902" i="11"/>
  <c r="A903" i="11" a="1"/>
  <c r="A903" i="11"/>
  <c r="A904" i="11" a="1"/>
  <c r="A904" i="11"/>
  <c r="A905" i="11" a="1"/>
  <c r="A905" i="11"/>
  <c r="A906" i="11" a="1"/>
  <c r="A906" i="11"/>
  <c r="A907" i="11" a="1"/>
  <c r="A907" i="11"/>
  <c r="A908" i="11" a="1"/>
  <c r="A908" i="11"/>
  <c r="A909" i="11" a="1"/>
  <c r="A909" i="11"/>
  <c r="A910" i="11" a="1"/>
  <c r="A910" i="11"/>
  <c r="A911" i="11" a="1"/>
  <c r="A911" i="11"/>
  <c r="A912" i="11" a="1"/>
  <c r="A912" i="11"/>
  <c r="A913" i="11" a="1"/>
  <c r="A913" i="11"/>
  <c r="A914" i="11" a="1"/>
  <c r="A914" i="11"/>
  <c r="A915" i="11" a="1"/>
  <c r="A915" i="11"/>
  <c r="A916" i="11" a="1"/>
  <c r="A916" i="11"/>
  <c r="A917" i="11" a="1"/>
  <c r="A917" i="11"/>
  <c r="A918" i="11" a="1"/>
  <c r="A918" i="11"/>
  <c r="A919" i="11" a="1"/>
  <c r="A919" i="11"/>
  <c r="A920" i="11" a="1"/>
  <c r="A920" i="11"/>
  <c r="A921" i="11" a="1"/>
  <c r="A921" i="11"/>
  <c r="A922" i="11" a="1"/>
  <c r="A922" i="11"/>
  <c r="A923" i="11" a="1"/>
  <c r="A923" i="11"/>
  <c r="A924" i="11" a="1"/>
  <c r="A924" i="11"/>
  <c r="A925" i="11" a="1"/>
  <c r="A925" i="11"/>
  <c r="A926" i="11" a="1"/>
  <c r="A926" i="11"/>
  <c r="A927" i="11" a="1"/>
  <c r="A927" i="11"/>
  <c r="A928" i="11" a="1"/>
  <c r="A928" i="11"/>
  <c r="A929" i="11" a="1"/>
  <c r="A929" i="11"/>
  <c r="A930" i="11" a="1"/>
  <c r="A930" i="11"/>
  <c r="A931" i="11" a="1"/>
  <c r="A931" i="11"/>
  <c r="A932" i="11" a="1"/>
  <c r="A932" i="11"/>
  <c r="A933" i="11" a="1"/>
  <c r="A933" i="11"/>
  <c r="A934" i="11" a="1"/>
  <c r="A934" i="11"/>
  <c r="A935" i="11" a="1"/>
  <c r="A935" i="11"/>
  <c r="A936" i="11" a="1"/>
  <c r="A936" i="11"/>
  <c r="A937" i="11" a="1"/>
  <c r="A937" i="11"/>
  <c r="A938" i="11" a="1"/>
  <c r="A938" i="11"/>
  <c r="A939" i="11" a="1"/>
  <c r="A939" i="11"/>
  <c r="A940" i="11" a="1"/>
  <c r="A940" i="11"/>
  <c r="A941" i="11" a="1"/>
  <c r="A941" i="11"/>
  <c r="A942" i="11" a="1"/>
  <c r="A942" i="11"/>
  <c r="A943" i="11" a="1"/>
  <c r="A943" i="11"/>
  <c r="A944" i="11" a="1"/>
  <c r="A944" i="11"/>
  <c r="A945" i="11" a="1"/>
  <c r="A945" i="11"/>
  <c r="A946" i="11" a="1"/>
  <c r="A946" i="11"/>
  <c r="A947" i="11" a="1"/>
  <c r="A947" i="11"/>
  <c r="A948" i="11" a="1"/>
  <c r="A948" i="11"/>
  <c r="A949" i="11" a="1"/>
  <c r="A949" i="11"/>
  <c r="A950" i="11" a="1"/>
  <c r="A950" i="11"/>
  <c r="A951" i="11" a="1"/>
  <c r="A951" i="11"/>
  <c r="A952" i="11" a="1"/>
  <c r="A952" i="11"/>
  <c r="A953" i="11" a="1"/>
  <c r="A953" i="11"/>
  <c r="A954" i="11" a="1"/>
  <c r="A954" i="11"/>
  <c r="A955" i="11" a="1"/>
  <c r="A955" i="11"/>
  <c r="A956" i="11" a="1"/>
  <c r="A956" i="11"/>
  <c r="A957" i="11" a="1"/>
  <c r="A957" i="11"/>
  <c r="A958" i="11" a="1"/>
  <c r="A958" i="11"/>
  <c r="A959" i="11" a="1"/>
  <c r="A959" i="11"/>
  <c r="A960" i="11" a="1"/>
  <c r="A960" i="11"/>
  <c r="A961" i="11" a="1"/>
  <c r="A961" i="11"/>
  <c r="A962" i="11" a="1"/>
  <c r="A962" i="11"/>
  <c r="A963" i="11" a="1"/>
  <c r="A963" i="11"/>
  <c r="A964" i="11" a="1"/>
  <c r="A964" i="11"/>
  <c r="A965" i="11" a="1"/>
  <c r="A965" i="11"/>
  <c r="A966" i="11" a="1"/>
  <c r="A966" i="11"/>
  <c r="A967" i="11" a="1"/>
  <c r="A967" i="11"/>
  <c r="A968" i="11" a="1"/>
  <c r="A968" i="11"/>
  <c r="A969" i="11" a="1"/>
  <c r="A969" i="11"/>
  <c r="A970" i="11" a="1"/>
  <c r="A970" i="11"/>
  <c r="A971" i="11" a="1"/>
  <c r="A971" i="11"/>
  <c r="A972" i="11" a="1"/>
  <c r="A972" i="11"/>
  <c r="A973" i="11" a="1"/>
  <c r="A973" i="11"/>
  <c r="A974" i="11" a="1"/>
  <c r="A974" i="11"/>
  <c r="A975" i="11" a="1"/>
  <c r="A975" i="11"/>
  <c r="A976" i="11" a="1"/>
  <c r="A976" i="11"/>
  <c r="A977" i="11" a="1"/>
  <c r="A977" i="11"/>
  <c r="A978" i="11" a="1"/>
  <c r="A978" i="11"/>
  <c r="A979" i="11" a="1"/>
  <c r="A979" i="11"/>
  <c r="A980" i="11" a="1"/>
  <c r="A980" i="11"/>
  <c r="A981" i="11" a="1"/>
  <c r="A981" i="11"/>
  <c r="A982" i="11" a="1"/>
  <c r="A982" i="11"/>
  <c r="A983" i="11" a="1"/>
  <c r="A983" i="11"/>
  <c r="A984" i="11" a="1"/>
  <c r="A984" i="11"/>
  <c r="A985" i="11" a="1"/>
  <c r="A985" i="11"/>
  <c r="A986" i="11" a="1"/>
  <c r="A986" i="11"/>
  <c r="A987" i="11" a="1"/>
  <c r="A987" i="11"/>
  <c r="A988" i="11" a="1"/>
  <c r="A988" i="11"/>
  <c r="A989" i="11" a="1"/>
  <c r="A989" i="11"/>
  <c r="A990" i="11" a="1"/>
  <c r="A990" i="11"/>
  <c r="A991" i="11" a="1"/>
  <c r="A991" i="11"/>
  <c r="A992" i="11" a="1"/>
  <c r="A992" i="11"/>
  <c r="A993" i="11" a="1"/>
  <c r="A993" i="11"/>
  <c r="A994" i="11" a="1"/>
  <c r="A994" i="11"/>
  <c r="A995" i="11" a="1"/>
  <c r="A995" i="11"/>
  <c r="A996" i="11" a="1"/>
  <c r="A996" i="11"/>
  <c r="A997" i="11" a="1"/>
  <c r="A997" i="11"/>
  <c r="A998" i="11" a="1"/>
  <c r="A998" i="11"/>
  <c r="A999" i="11" a="1"/>
  <c r="A999" i="11"/>
  <c r="A1000" i="11" a="1"/>
  <c r="A1000" i="11"/>
  <c r="A1001" i="11" a="1"/>
  <c r="A1001" i="11"/>
  <c r="A1002" i="11" a="1"/>
  <c r="A1002" i="11"/>
  <c r="A1003" i="11" a="1"/>
  <c r="A1003" i="11"/>
  <c r="A1004" i="11" a="1"/>
  <c r="A1004" i="11"/>
  <c r="A1005" i="11" a="1"/>
  <c r="A1005" i="11"/>
  <c r="A1006" i="11" a="1"/>
  <c r="A1006" i="11"/>
  <c r="A1007" i="11" a="1"/>
  <c r="A1007" i="11"/>
  <c r="A1008" i="11" a="1"/>
  <c r="A1008" i="11"/>
  <c r="A1009" i="11" a="1"/>
  <c r="A1009" i="11"/>
  <c r="A1010" i="11" a="1"/>
  <c r="A1010" i="11"/>
  <c r="A1011" i="11" a="1"/>
  <c r="A1011" i="11"/>
  <c r="A1012" i="11" a="1"/>
  <c r="A1012" i="11"/>
  <c r="A1013" i="11" a="1"/>
  <c r="A1013" i="11"/>
  <c r="A1014" i="11" a="1"/>
  <c r="A1014" i="11"/>
  <c r="A1015" i="11" a="1"/>
  <c r="A1015" i="11"/>
  <c r="A1016" i="11" a="1"/>
  <c r="A1016" i="11"/>
  <c r="A1017" i="11" a="1"/>
  <c r="A1017" i="11"/>
  <c r="A1018" i="11" a="1"/>
  <c r="A1018" i="11"/>
  <c r="A1019" i="11" a="1"/>
  <c r="A1019" i="11"/>
  <c r="A1020" i="11" a="1"/>
  <c r="A1020" i="11"/>
  <c r="A1021" i="11" a="1"/>
  <c r="A1021" i="11"/>
  <c r="A1022" i="11" a="1"/>
  <c r="A1022" i="11"/>
  <c r="A1023" i="11" a="1"/>
  <c r="A1023" i="11"/>
  <c r="A1024" i="11" a="1"/>
  <c r="A1024" i="11"/>
  <c r="A1025" i="11" a="1"/>
  <c r="A1025" i="11"/>
  <c r="A1026" i="11" a="1"/>
  <c r="A1026" i="11"/>
  <c r="A1027" i="11" a="1"/>
  <c r="A1027" i="11"/>
  <c r="A1028" i="11" a="1"/>
  <c r="A1028" i="11"/>
  <c r="A1029" i="11" a="1"/>
  <c r="A1029" i="11"/>
  <c r="A1030" i="11" a="1"/>
  <c r="A1030" i="11"/>
  <c r="A1031" i="11" a="1"/>
  <c r="A1031" i="11"/>
  <c r="A1032" i="11" a="1"/>
  <c r="A1032" i="11"/>
  <c r="A1033" i="11" a="1"/>
  <c r="A1033" i="11"/>
  <c r="A1034" i="11" a="1"/>
  <c r="A1034" i="11"/>
  <c r="A1035" i="11" a="1"/>
  <c r="A1035" i="11"/>
  <c r="A1036" i="11" a="1"/>
  <c r="A1036" i="11"/>
  <c r="A1037" i="11" a="1"/>
  <c r="A1037" i="11"/>
  <c r="A1038" i="11" a="1"/>
  <c r="A1038" i="11"/>
  <c r="A1039" i="11" a="1"/>
  <c r="A1039" i="11"/>
  <c r="A1040" i="11" a="1"/>
  <c r="A1040" i="11"/>
  <c r="A1041" i="11" a="1"/>
  <c r="A1041" i="11"/>
  <c r="A1042" i="11" a="1"/>
  <c r="A1042" i="11"/>
  <c r="A1043" i="11" a="1"/>
  <c r="A1043" i="11"/>
  <c r="A1044" i="11" a="1"/>
  <c r="A1044" i="11"/>
  <c r="A1045" i="11" a="1"/>
  <c r="A1045" i="11"/>
  <c r="A1046" i="11" a="1"/>
  <c r="A1046" i="11"/>
  <c r="A1047" i="11" a="1"/>
  <c r="A1047" i="11"/>
  <c r="A1048" i="11" a="1"/>
  <c r="A1048" i="11"/>
  <c r="A1049" i="11" a="1"/>
  <c r="A1049" i="11"/>
  <c r="A1050" i="11" a="1"/>
  <c r="A1050" i="11"/>
  <c r="A1051" i="11" a="1"/>
  <c r="A1051" i="11"/>
  <c r="A1052" i="11" a="1"/>
  <c r="A1052" i="11"/>
  <c r="A1053" i="11" a="1"/>
  <c r="A1053" i="11"/>
  <c r="A1054" i="11" a="1"/>
  <c r="A1054" i="11"/>
  <c r="A1055" i="11" a="1"/>
  <c r="A1055" i="11"/>
  <c r="A1056" i="11" a="1"/>
  <c r="A1056" i="11"/>
  <c r="A1057" i="11" a="1"/>
  <c r="A1057" i="11"/>
  <c r="A1058" i="11" a="1"/>
  <c r="A1058" i="11"/>
  <c r="A1059" i="11" a="1"/>
  <c r="A1059" i="11"/>
  <c r="A1060" i="11" a="1"/>
  <c r="A1060" i="11"/>
  <c r="A1061" i="11" a="1"/>
  <c r="A1061" i="11"/>
  <c r="A1062" i="11" a="1"/>
  <c r="A1062" i="11"/>
  <c r="A1063" i="11" a="1"/>
  <c r="A1063" i="11"/>
  <c r="A1064" i="11" a="1"/>
  <c r="A1064" i="11"/>
  <c r="A1065" i="11" a="1"/>
  <c r="A1065" i="11"/>
  <c r="A1066" i="11" a="1"/>
  <c r="A1066" i="11"/>
  <c r="A1067" i="11" a="1"/>
  <c r="A1067" i="11"/>
  <c r="A1068" i="11" a="1"/>
  <c r="A1068" i="11"/>
  <c r="A1069" i="11" a="1"/>
  <c r="A1069" i="11"/>
  <c r="A1070" i="11" a="1"/>
  <c r="A1070" i="11"/>
  <c r="A1071" i="11" a="1"/>
  <c r="A1071" i="11"/>
  <c r="A1072" i="11" a="1"/>
  <c r="A1072" i="11"/>
  <c r="A1073" i="11" a="1"/>
  <c r="A1073" i="11"/>
  <c r="A1074" i="11" a="1"/>
  <c r="A1074" i="11"/>
  <c r="A1075" i="11" a="1"/>
  <c r="A1075" i="11"/>
  <c r="A1076" i="11" a="1"/>
  <c r="A1076" i="11"/>
  <c r="A1077" i="11" a="1"/>
  <c r="A1077" i="11"/>
  <c r="A1078" i="11" a="1"/>
  <c r="A1078" i="11"/>
  <c r="A1079" i="11" a="1"/>
  <c r="A1079" i="11"/>
  <c r="A1080" i="11" a="1"/>
  <c r="A1080" i="11"/>
  <c r="A1081" i="11" a="1"/>
  <c r="A1081" i="11"/>
  <c r="A1082" i="11" a="1"/>
  <c r="A1082" i="11"/>
  <c r="A1083" i="11" a="1"/>
  <c r="A1083" i="11"/>
  <c r="A1084" i="11" a="1"/>
  <c r="A1084" i="11"/>
  <c r="A1085" i="11" a="1"/>
  <c r="A1085" i="11"/>
  <c r="A1086" i="11" a="1"/>
  <c r="A1086" i="11"/>
  <c r="A1087" i="11" a="1"/>
  <c r="A1087" i="11"/>
  <c r="A1088" i="11" a="1"/>
  <c r="A1088" i="11"/>
  <c r="A1089" i="11" a="1"/>
  <c r="A1089" i="11"/>
  <c r="A1090" i="11" a="1"/>
  <c r="A1090" i="11"/>
  <c r="A1091" i="11" a="1"/>
  <c r="A1091" i="11"/>
  <c r="A1092" i="11" a="1"/>
  <c r="A1092" i="11"/>
  <c r="A1093" i="11" a="1"/>
  <c r="A1093" i="11"/>
  <c r="A1094" i="11" a="1"/>
  <c r="A1094" i="11"/>
  <c r="A1095" i="11" a="1"/>
  <c r="A1095" i="11"/>
  <c r="A1096" i="11" a="1"/>
  <c r="A1096" i="11"/>
  <c r="A1097" i="11" a="1"/>
  <c r="A1097" i="11"/>
  <c r="A1098" i="11" a="1"/>
  <c r="A1098" i="11"/>
  <c r="A1099" i="11" a="1"/>
  <c r="A1099" i="11"/>
  <c r="A1100" i="11" a="1"/>
  <c r="A1100" i="11"/>
  <c r="A1101" i="11" a="1"/>
  <c r="A1101" i="11"/>
  <c r="A1102" i="11" a="1"/>
  <c r="A1102" i="11"/>
  <c r="A1103" i="11" a="1"/>
  <c r="A1103" i="11"/>
  <c r="A1104" i="11" a="1"/>
  <c r="A1104" i="11"/>
  <c r="A1105" i="11" a="1"/>
  <c r="A1105" i="11"/>
  <c r="A1106" i="11" a="1"/>
  <c r="A1106" i="11"/>
  <c r="A1107" i="11" a="1"/>
  <c r="A1107" i="11"/>
  <c r="A1108" i="11" a="1"/>
  <c r="A1108" i="11"/>
  <c r="A1109" i="11" a="1"/>
  <c r="A1109" i="11"/>
  <c r="A1110" i="11" a="1"/>
  <c r="A1110" i="11"/>
  <c r="A1111" i="11" a="1"/>
  <c r="A1111" i="11"/>
  <c r="A1112" i="11" a="1"/>
  <c r="A1112" i="11"/>
  <c r="A1113" i="11" a="1"/>
  <c r="A1113" i="11"/>
  <c r="A1114" i="11" a="1"/>
  <c r="A1114" i="11"/>
  <c r="A1115" i="11" a="1"/>
  <c r="A1115" i="11"/>
  <c r="A1116" i="11" a="1"/>
  <c r="A1116" i="11"/>
  <c r="A1117" i="11" a="1"/>
  <c r="A1117" i="11"/>
  <c r="A1118" i="11" a="1"/>
  <c r="A1118" i="11"/>
  <c r="A1119" i="11" a="1"/>
  <c r="A1119" i="11"/>
  <c r="A1120" i="11" a="1"/>
  <c r="A1120" i="11"/>
  <c r="A1121" i="11" a="1"/>
  <c r="A1121" i="11"/>
  <c r="A1122" i="11" a="1"/>
  <c r="A1122" i="11"/>
  <c r="A1123" i="11" a="1"/>
  <c r="A1123" i="11"/>
  <c r="A1124" i="11" a="1"/>
  <c r="A1124" i="11"/>
  <c r="A1125" i="11" a="1"/>
  <c r="A1125" i="11"/>
  <c r="A1126" i="11" a="1"/>
  <c r="A1126" i="11"/>
  <c r="A1127" i="11" a="1"/>
  <c r="A1127" i="11"/>
  <c r="A1128" i="11" a="1"/>
  <c r="A1128" i="11"/>
  <c r="A1129" i="11" a="1"/>
  <c r="A1129" i="11"/>
  <c r="A1130" i="11" a="1"/>
  <c r="A1130" i="11"/>
  <c r="A1131" i="11" a="1"/>
  <c r="A1131" i="11"/>
  <c r="A1132" i="11" a="1"/>
  <c r="A1132" i="11"/>
  <c r="A1133" i="11" a="1"/>
  <c r="A1133" i="11"/>
  <c r="A1134" i="11" a="1"/>
  <c r="A1134" i="11"/>
  <c r="A1135" i="11" a="1"/>
  <c r="A1135" i="11"/>
  <c r="A1136" i="11" a="1"/>
  <c r="A1136" i="11"/>
  <c r="A1137" i="11" a="1"/>
  <c r="A1137" i="11"/>
  <c r="A1138" i="11" a="1"/>
  <c r="A1138" i="11"/>
  <c r="A1139" i="11" a="1"/>
  <c r="A1139" i="11"/>
  <c r="A1140" i="11" a="1"/>
  <c r="A1140" i="11"/>
  <c r="A1141" i="11" a="1"/>
  <c r="A1141" i="11"/>
  <c r="A1142" i="11" a="1"/>
  <c r="A1142" i="11"/>
  <c r="A1143" i="11" a="1"/>
  <c r="A1143" i="11"/>
  <c r="A1144" i="11" a="1"/>
  <c r="A1144" i="11"/>
  <c r="A1145" i="11" a="1"/>
  <c r="A1145" i="11"/>
  <c r="A1146" i="11" a="1"/>
  <c r="A1146" i="11"/>
  <c r="A1147" i="11" a="1"/>
  <c r="A1147" i="11"/>
  <c r="A1148" i="11" a="1"/>
  <c r="A1148" i="11"/>
  <c r="A1149" i="11" a="1"/>
  <c r="A1149" i="11"/>
  <c r="A1150" i="11" a="1"/>
  <c r="A1150" i="11"/>
  <c r="A1151" i="11" a="1"/>
  <c r="A1151" i="11"/>
  <c r="A1152" i="11" a="1"/>
  <c r="A1152" i="11"/>
  <c r="A1153" i="11" a="1"/>
  <c r="A1153" i="11"/>
  <c r="A1154" i="11" a="1"/>
  <c r="A1154" i="11"/>
  <c r="A1155" i="11" a="1"/>
  <c r="A1155" i="11"/>
  <c r="A1156" i="11" a="1"/>
  <c r="A1156" i="11"/>
  <c r="A1157" i="11" a="1"/>
  <c r="A1157" i="11"/>
  <c r="A1158" i="11" a="1"/>
  <c r="A1158" i="11"/>
  <c r="A1159" i="11" a="1"/>
  <c r="A1159" i="11"/>
  <c r="A1160" i="11" a="1"/>
  <c r="A1160" i="11"/>
  <c r="A1161" i="11" a="1"/>
  <c r="A1161" i="11"/>
  <c r="A1162" i="11" a="1"/>
  <c r="A1162" i="11"/>
  <c r="A1163" i="11" a="1"/>
  <c r="A1163" i="11"/>
  <c r="A1164" i="11" a="1"/>
  <c r="A1164" i="11"/>
  <c r="A1165" i="11" a="1"/>
  <c r="A1165" i="11"/>
  <c r="A1166" i="11" a="1"/>
  <c r="A1166" i="11"/>
  <c r="A1167" i="11" a="1"/>
  <c r="A1167" i="11"/>
  <c r="A1168" i="11" a="1"/>
  <c r="A1168" i="11"/>
  <c r="A1169" i="11" a="1"/>
  <c r="A1169" i="11"/>
  <c r="A1170" i="11" a="1"/>
  <c r="A1170" i="11"/>
  <c r="A1171" i="11" a="1"/>
  <c r="A1171" i="11"/>
  <c r="A1172" i="11" a="1"/>
  <c r="A1172" i="11"/>
  <c r="A1173" i="11" a="1"/>
  <c r="A1173" i="11"/>
  <c r="A1174" i="11" a="1"/>
  <c r="A1174" i="11"/>
  <c r="A1175" i="11" a="1"/>
  <c r="A1175" i="11"/>
  <c r="A1176" i="11" a="1"/>
  <c r="A1176" i="11"/>
  <c r="A1177" i="11" a="1"/>
  <c r="A1177" i="11"/>
  <c r="A1178" i="11" a="1"/>
  <c r="A1178" i="11"/>
  <c r="A1179" i="11" a="1"/>
  <c r="A1179" i="11"/>
  <c r="A1180" i="11" a="1"/>
  <c r="A1180" i="11"/>
  <c r="A1181" i="11" a="1"/>
  <c r="A1181" i="11"/>
  <c r="A1182" i="11" a="1"/>
  <c r="A1182" i="11"/>
  <c r="A1183" i="11" a="1"/>
  <c r="A1183" i="11"/>
  <c r="A1184" i="11" a="1"/>
  <c r="A1184" i="11"/>
  <c r="A1185" i="11" a="1"/>
  <c r="A1185" i="11"/>
  <c r="A1186" i="11" a="1"/>
  <c r="A1186" i="11"/>
  <c r="A1187" i="11" a="1"/>
  <c r="A1187" i="11"/>
  <c r="A1188" i="11" a="1"/>
  <c r="A1188" i="11"/>
  <c r="A1189" i="11" a="1"/>
  <c r="A1189" i="11"/>
  <c r="A1190" i="11" a="1"/>
  <c r="A1190" i="11"/>
  <c r="A1191" i="11" a="1"/>
  <c r="A1191" i="11"/>
  <c r="A1192" i="11" a="1"/>
  <c r="A1192" i="11"/>
  <c r="A1193" i="11" a="1"/>
  <c r="A1193" i="11"/>
  <c r="A1194" i="11" a="1"/>
  <c r="A1194" i="11"/>
  <c r="A1195" i="11" a="1"/>
  <c r="A1195" i="11"/>
  <c r="A1196" i="11" a="1"/>
  <c r="A1196" i="11"/>
  <c r="A1197" i="11" a="1"/>
  <c r="A1197" i="11"/>
  <c r="A1198" i="11" a="1"/>
  <c r="A1198" i="11"/>
  <c r="A1199" i="11" a="1"/>
  <c r="A1199" i="11"/>
  <c r="A1200" i="11" a="1"/>
  <c r="A1200" i="11"/>
  <c r="A1201" i="11" a="1"/>
  <c r="A1201" i="11"/>
  <c r="A1202" i="11" a="1"/>
  <c r="A1202" i="11"/>
  <c r="A1203" i="11" a="1"/>
  <c r="A1203" i="11"/>
  <c r="A1204" i="11" a="1"/>
  <c r="A1204" i="11"/>
  <c r="A1205" i="11" a="1"/>
  <c r="A1205" i="11"/>
  <c r="A1206" i="11" a="1"/>
  <c r="A1206" i="11"/>
  <c r="A1207" i="11" a="1"/>
  <c r="A1207" i="11"/>
  <c r="A1208" i="11" a="1"/>
  <c r="A1208" i="11"/>
  <c r="A1209" i="11" a="1"/>
  <c r="A1209" i="11"/>
  <c r="A1210" i="11" a="1"/>
  <c r="A1210" i="11"/>
  <c r="A1211" i="11" a="1"/>
  <c r="A1211" i="11"/>
  <c r="A1212" i="11" a="1"/>
  <c r="A1212" i="11"/>
  <c r="A1213" i="11" a="1"/>
  <c r="A1213" i="11"/>
  <c r="A1214" i="11" a="1"/>
  <c r="A1214" i="11"/>
  <c r="A1215" i="11" a="1"/>
  <c r="A1215" i="11"/>
  <c r="A1216" i="11" a="1"/>
  <c r="A1216" i="11"/>
  <c r="A1217" i="11" a="1"/>
  <c r="A1217" i="11"/>
  <c r="A1218" i="11" a="1"/>
  <c r="A1218" i="11"/>
  <c r="A1219" i="11" a="1"/>
  <c r="A1219" i="11"/>
  <c r="A1220" i="11" a="1"/>
  <c r="A1220" i="11"/>
  <c r="A1221" i="11" a="1"/>
  <c r="A1221" i="11"/>
  <c r="A1222" i="11" a="1"/>
  <c r="A1222" i="11"/>
  <c r="A1223" i="11" a="1"/>
  <c r="A1223" i="11"/>
  <c r="A1224" i="11" a="1"/>
  <c r="A1224" i="11"/>
  <c r="A1225" i="11" a="1"/>
  <c r="A1225" i="11"/>
  <c r="A1226" i="11" a="1"/>
  <c r="A1226" i="11"/>
  <c r="A1227" i="11" a="1"/>
  <c r="A1227" i="11"/>
  <c r="A1228" i="11" a="1"/>
  <c r="A1228" i="11"/>
  <c r="A1229" i="11" a="1"/>
  <c r="A1229" i="11"/>
  <c r="A1230" i="11" a="1"/>
  <c r="A1230" i="11"/>
  <c r="A1231" i="11" a="1"/>
  <c r="A1231" i="11"/>
  <c r="A1232" i="11" a="1"/>
  <c r="A1232" i="11"/>
  <c r="A1233" i="11" a="1"/>
  <c r="A1233" i="11"/>
  <c r="A1234" i="11" a="1"/>
  <c r="A1234" i="11"/>
  <c r="A1235" i="11" a="1"/>
  <c r="A1235" i="11"/>
  <c r="A1236" i="11" a="1"/>
  <c r="A1236" i="11"/>
  <c r="A1237" i="11" a="1"/>
  <c r="A1237" i="11"/>
  <c r="A1238" i="11" a="1"/>
  <c r="A1238" i="11"/>
  <c r="A1239" i="11" a="1"/>
  <c r="A1239" i="11"/>
  <c r="A1240" i="11" a="1"/>
  <c r="A1240" i="11"/>
  <c r="A1241" i="11" a="1"/>
  <c r="A1241" i="11"/>
  <c r="A1242" i="11" a="1"/>
  <c r="A1242" i="11"/>
  <c r="A1243" i="11" a="1"/>
  <c r="A1243" i="11"/>
  <c r="A1244" i="11" a="1"/>
  <c r="A1244" i="11"/>
  <c r="A1245" i="11" a="1"/>
  <c r="A1245" i="11"/>
  <c r="A1246" i="11" a="1"/>
  <c r="A1246" i="11"/>
  <c r="A1247" i="11" a="1"/>
  <c r="A1247" i="11"/>
  <c r="A1248" i="11" a="1"/>
  <c r="A1248" i="11"/>
  <c r="A1249" i="11" a="1"/>
  <c r="A1249" i="11"/>
  <c r="A1250" i="11" a="1"/>
  <c r="A1250" i="11"/>
  <c r="A1251" i="11" a="1"/>
  <c r="A1251" i="11"/>
  <c r="A1252" i="11" a="1"/>
  <c r="A1252" i="11"/>
  <c r="A1253" i="11" a="1"/>
  <c r="A1253" i="11"/>
  <c r="A1254" i="11" a="1"/>
  <c r="A1254" i="11"/>
  <c r="A1255" i="11" a="1"/>
  <c r="A1255" i="11"/>
  <c r="A1256" i="11" a="1"/>
  <c r="A1256" i="11"/>
  <c r="A1257" i="11" a="1"/>
  <c r="A1257" i="11"/>
  <c r="A1258" i="11" a="1"/>
  <c r="A1258" i="11"/>
  <c r="A1259" i="11" a="1"/>
  <c r="A1259" i="11"/>
  <c r="A1260" i="11" a="1"/>
  <c r="A1260" i="11"/>
  <c r="A1261" i="11" a="1"/>
  <c r="A1261" i="11"/>
  <c r="A1262" i="11" a="1"/>
  <c r="A1262" i="11"/>
  <c r="A1263" i="11" a="1"/>
  <c r="A1263" i="11"/>
  <c r="A1264" i="11" a="1"/>
  <c r="A1264" i="11"/>
  <c r="A1265" i="11" a="1"/>
  <c r="A1265" i="11"/>
  <c r="A1266" i="11" a="1"/>
  <c r="A1266" i="11"/>
  <c r="A1267" i="11" a="1"/>
  <c r="A1267" i="11"/>
  <c r="A1268" i="11" a="1"/>
  <c r="A1268" i="11"/>
  <c r="A1269" i="11" a="1"/>
  <c r="A1269" i="11"/>
  <c r="A1270" i="11" a="1"/>
  <c r="A1270" i="11"/>
  <c r="A1271" i="11" a="1"/>
  <c r="A1271" i="11"/>
  <c r="A1272" i="11" a="1"/>
  <c r="A1272" i="11"/>
  <c r="A1273" i="11" a="1"/>
  <c r="A1273" i="11"/>
  <c r="A1274" i="11" a="1"/>
  <c r="A1274" i="11"/>
  <c r="A1275" i="11" a="1"/>
  <c r="A1275" i="11"/>
  <c r="A1276" i="11" a="1"/>
  <c r="A1276" i="11"/>
  <c r="A1277" i="11" a="1"/>
  <c r="A1277" i="11"/>
  <c r="A1278" i="11" a="1"/>
  <c r="A1278" i="11"/>
  <c r="A1279" i="11" a="1"/>
  <c r="A1279" i="11"/>
  <c r="A1280" i="11" a="1"/>
  <c r="A1280" i="11"/>
  <c r="A1281" i="11" a="1"/>
  <c r="A1281" i="11"/>
  <c r="A1282" i="11" a="1"/>
  <c r="A1282" i="11"/>
  <c r="A1283" i="11" a="1"/>
  <c r="A1283" i="11"/>
  <c r="A1284" i="11" a="1"/>
  <c r="A1284" i="11"/>
  <c r="A1285" i="11" a="1"/>
  <c r="A1285" i="11"/>
  <c r="A1286" i="11" a="1"/>
  <c r="A1286" i="11"/>
  <c r="A1287" i="11" a="1"/>
  <c r="A1287" i="11"/>
  <c r="A1288" i="11" a="1"/>
  <c r="A1288" i="11"/>
  <c r="A1289" i="11" a="1"/>
  <c r="A1289" i="11"/>
  <c r="A1290" i="11" a="1"/>
  <c r="A1290" i="11"/>
  <c r="A1291" i="11" a="1"/>
  <c r="A1291" i="11"/>
  <c r="A1292" i="11" a="1"/>
  <c r="A1292" i="11"/>
  <c r="A1293" i="11" a="1"/>
  <c r="A1293" i="11"/>
  <c r="A1294" i="11" a="1"/>
  <c r="A1294" i="11"/>
  <c r="A1295" i="11" a="1"/>
  <c r="A1295" i="11"/>
  <c r="A1296" i="11" a="1"/>
  <c r="A1296" i="11"/>
  <c r="A1297" i="11" a="1"/>
  <c r="A1297" i="11"/>
  <c r="A1298" i="11" a="1"/>
  <c r="A1298" i="11"/>
  <c r="A1299" i="11" a="1"/>
  <c r="A1299" i="11"/>
  <c r="A1300" i="11" a="1"/>
  <c r="A1300" i="11"/>
  <c r="A1301" i="11" a="1"/>
  <c r="A1301" i="11"/>
  <c r="A1302" i="11" a="1"/>
  <c r="A1302" i="11"/>
  <c r="A1303" i="11" a="1"/>
  <c r="A1303" i="11"/>
  <c r="A1304" i="11" a="1"/>
  <c r="A1304" i="11"/>
  <c r="A1305" i="11" a="1"/>
  <c r="A1305" i="11"/>
  <c r="A1306" i="11" a="1"/>
  <c r="A1306" i="11"/>
  <c r="A1307" i="11" a="1"/>
  <c r="A1307" i="11"/>
  <c r="A1308" i="11" a="1"/>
  <c r="A1308" i="11"/>
  <c r="A1309" i="11" a="1"/>
  <c r="A1309" i="11"/>
  <c r="A1310" i="11" a="1"/>
  <c r="A1310" i="11"/>
  <c r="A1311" i="11" a="1"/>
  <c r="A1311" i="11"/>
  <c r="A1312" i="11" a="1"/>
  <c r="A1312" i="11"/>
  <c r="A1313" i="11" a="1"/>
  <c r="A1313" i="11"/>
  <c r="A1314" i="11" a="1"/>
  <c r="A1314" i="11"/>
  <c r="A1315" i="11" a="1"/>
  <c r="A1315" i="11"/>
  <c r="A1316" i="11" a="1"/>
  <c r="A1316" i="11"/>
  <c r="A1317" i="11" a="1"/>
  <c r="A1317" i="11"/>
  <c r="A1318" i="11" a="1"/>
  <c r="A1318" i="11"/>
  <c r="A1319" i="11" a="1"/>
  <c r="A1319" i="11"/>
  <c r="A1320" i="11" a="1"/>
  <c r="A1320" i="11"/>
  <c r="A1321" i="11" a="1"/>
  <c r="A1321" i="11"/>
  <c r="A1322" i="11" a="1"/>
  <c r="A1322" i="11"/>
  <c r="A1323" i="11" a="1"/>
  <c r="A1323" i="11"/>
  <c r="A1324" i="11" a="1"/>
  <c r="A1324" i="11"/>
  <c r="A1325" i="11" a="1"/>
  <c r="A1325" i="11"/>
  <c r="A1326" i="11" a="1"/>
  <c r="A1326" i="11"/>
  <c r="A1327" i="11" a="1"/>
  <c r="A1327" i="11"/>
  <c r="A1328" i="11" a="1"/>
  <c r="A1328" i="11"/>
  <c r="A1329" i="11" a="1"/>
  <c r="A1329" i="11"/>
  <c r="A1330" i="11" a="1"/>
  <c r="A1330" i="11"/>
  <c r="A1331" i="11" a="1"/>
  <c r="A1331" i="11"/>
  <c r="A1332" i="11" a="1"/>
  <c r="A1332" i="11"/>
  <c r="A1333" i="11" a="1"/>
  <c r="A1333" i="11"/>
  <c r="A1334" i="11" a="1"/>
  <c r="A1334" i="11"/>
  <c r="A1335" i="11" a="1"/>
  <c r="A1335" i="11"/>
  <c r="A1336" i="11" a="1"/>
  <c r="A1336" i="11"/>
  <c r="A1337" i="11" a="1"/>
  <c r="A1337" i="11"/>
  <c r="A1338" i="11" a="1"/>
  <c r="A1338" i="11"/>
  <c r="A1339" i="11" a="1"/>
  <c r="A1339" i="11"/>
  <c r="A1340" i="11" a="1"/>
  <c r="A1340" i="11"/>
  <c r="A1341" i="11" a="1"/>
  <c r="A1341" i="11"/>
  <c r="A1342" i="11" a="1"/>
  <c r="A1342" i="11"/>
  <c r="A1343" i="11" a="1"/>
  <c r="A1343" i="11"/>
  <c r="A1344" i="11" a="1"/>
  <c r="A1344" i="11"/>
  <c r="A1345" i="11" a="1"/>
  <c r="A1345" i="11"/>
  <c r="A1346" i="11" a="1"/>
  <c r="A1346" i="11"/>
  <c r="A1347" i="11" a="1"/>
  <c r="A1347" i="11"/>
  <c r="A1348" i="11" a="1"/>
  <c r="A1348" i="11"/>
  <c r="A1349" i="11" a="1"/>
  <c r="A1349" i="11"/>
  <c r="A1350" i="11" a="1"/>
  <c r="A1350" i="11"/>
  <c r="A1351" i="11" a="1"/>
  <c r="A1351" i="11"/>
  <c r="A1352" i="11" a="1"/>
  <c r="A1352" i="11"/>
  <c r="A1353" i="11" a="1"/>
  <c r="A1353" i="11"/>
  <c r="A1354" i="11" a="1"/>
  <c r="A1354" i="11"/>
  <c r="A1355" i="11" a="1"/>
  <c r="A1355" i="11"/>
  <c r="A1356" i="11" a="1"/>
  <c r="A1356" i="11"/>
  <c r="A1357" i="11" a="1"/>
  <c r="A1357" i="11"/>
  <c r="A1358" i="11" a="1"/>
  <c r="A1358" i="11"/>
  <c r="A1359" i="11" a="1"/>
  <c r="A1359" i="11"/>
  <c r="A1360" i="11" a="1"/>
  <c r="A1360" i="11"/>
  <c r="A1361" i="11" a="1"/>
  <c r="A1361" i="11"/>
  <c r="A1362" i="11" a="1"/>
  <c r="A1362" i="11"/>
  <c r="A1363" i="11" a="1"/>
  <c r="A1363" i="11"/>
  <c r="A1364" i="11" a="1"/>
  <c r="A1364" i="11"/>
  <c r="A1365" i="11" a="1"/>
  <c r="A1365" i="11"/>
  <c r="A1366" i="11" a="1"/>
  <c r="A1366" i="11"/>
  <c r="A1367" i="11" a="1"/>
  <c r="A1367" i="11"/>
  <c r="A1368" i="11" a="1"/>
  <c r="A1368" i="11"/>
  <c r="A1369" i="11" a="1"/>
  <c r="A1369" i="11"/>
  <c r="A1370" i="11" a="1"/>
  <c r="A1370" i="11"/>
  <c r="A1371" i="11" a="1"/>
  <c r="A1371" i="11"/>
  <c r="A1372" i="11" a="1"/>
  <c r="A1372" i="11"/>
  <c r="A1373" i="11" a="1"/>
  <c r="A1373" i="11"/>
  <c r="A1374" i="11" a="1"/>
  <c r="A1374" i="11"/>
  <c r="A1375" i="11" a="1"/>
  <c r="A1375" i="11"/>
  <c r="A1376" i="11" a="1"/>
  <c r="A1376" i="11"/>
  <c r="A1377" i="11" a="1"/>
  <c r="A1377" i="11"/>
  <c r="A1378" i="11" a="1"/>
  <c r="A1378" i="11"/>
  <c r="A1379" i="11" a="1"/>
  <c r="A1379" i="11"/>
  <c r="A1380" i="11" a="1"/>
  <c r="A1380" i="11"/>
  <c r="A1381" i="11" a="1"/>
  <c r="A1381" i="11"/>
  <c r="A1382" i="11" a="1"/>
  <c r="A1382" i="11"/>
  <c r="A1383" i="11" a="1"/>
  <c r="A1383" i="11"/>
  <c r="A1384" i="11" a="1"/>
  <c r="A1384" i="11"/>
  <c r="A1385" i="11" a="1"/>
  <c r="A1385" i="11"/>
  <c r="A1386" i="11" a="1"/>
  <c r="A1386" i="11"/>
  <c r="A1387" i="11" a="1"/>
  <c r="A1387" i="11"/>
  <c r="A1388" i="11" a="1"/>
  <c r="A1388" i="11"/>
  <c r="A1389" i="11" a="1"/>
  <c r="A1389" i="11"/>
  <c r="A1390" i="11" a="1"/>
  <c r="A1390" i="11"/>
  <c r="A1391" i="11" a="1"/>
  <c r="A1391" i="11"/>
  <c r="A1392" i="11" a="1"/>
  <c r="A1392" i="11"/>
  <c r="A1393" i="11" a="1"/>
  <c r="A1393" i="11"/>
  <c r="A1394" i="11" a="1"/>
  <c r="A1394" i="11"/>
  <c r="A1395" i="11" a="1"/>
  <c r="A1395" i="11"/>
  <c r="A1396" i="11" a="1"/>
  <c r="A1396" i="11"/>
  <c r="A1397" i="11" a="1"/>
  <c r="A1397" i="11"/>
  <c r="A1398" i="11" a="1"/>
  <c r="A1398" i="11"/>
  <c r="A1399" i="11" a="1"/>
  <c r="A1399" i="11"/>
  <c r="A1400" i="11" a="1"/>
  <c r="A1400" i="11"/>
  <c r="A1401" i="11" a="1"/>
  <c r="A1401" i="11"/>
  <c r="A1402" i="11" a="1"/>
  <c r="A1402" i="11"/>
  <c r="A1403" i="11" a="1"/>
  <c r="A1403" i="11"/>
  <c r="A1404" i="11" a="1"/>
  <c r="A1404" i="11"/>
  <c r="A1405" i="11" a="1"/>
  <c r="A1405" i="11"/>
  <c r="A1406" i="11" a="1"/>
  <c r="A1406" i="11"/>
  <c r="A1407" i="11" a="1"/>
  <c r="A1407" i="11"/>
  <c r="A1408" i="11" a="1"/>
  <c r="A1408" i="11"/>
  <c r="A1409" i="11" a="1"/>
  <c r="A1409" i="11"/>
  <c r="A1410" i="11" a="1"/>
  <c r="A1410" i="11"/>
  <c r="A1411" i="11" a="1"/>
  <c r="A1411" i="11"/>
  <c r="A1412" i="11" a="1"/>
  <c r="A1412" i="11"/>
  <c r="A1413" i="11" a="1"/>
  <c r="A1413" i="11"/>
  <c r="A1414" i="11" a="1"/>
  <c r="A1414" i="11"/>
  <c r="A1415" i="11" a="1"/>
  <c r="A1415" i="11"/>
  <c r="A1416" i="11" a="1"/>
  <c r="A1416" i="11"/>
  <c r="A1417" i="11" a="1"/>
  <c r="A1417" i="11"/>
  <c r="A1418" i="11" a="1"/>
  <c r="A1418" i="11"/>
  <c r="A1419" i="11" a="1"/>
  <c r="A1419" i="11"/>
  <c r="A1420" i="11" a="1"/>
  <c r="A1420" i="11"/>
  <c r="A1421" i="11" a="1"/>
  <c r="A1421" i="11"/>
  <c r="A1422" i="11" a="1"/>
  <c r="A1422" i="11"/>
  <c r="A1423" i="11" a="1"/>
  <c r="A1423" i="11"/>
  <c r="A1424" i="11" a="1"/>
  <c r="A1424" i="11"/>
  <c r="A1425" i="11" a="1"/>
  <c r="A1425" i="11"/>
  <c r="A1426" i="11" a="1"/>
  <c r="A1426" i="11"/>
  <c r="A1427" i="11" a="1"/>
  <c r="A1427" i="11"/>
  <c r="A1428" i="11" a="1"/>
  <c r="A1428" i="11"/>
  <c r="A1429" i="11" a="1"/>
  <c r="A1429" i="11"/>
  <c r="A1430" i="11" a="1"/>
  <c r="A1430" i="11"/>
  <c r="A1431" i="11" a="1"/>
  <c r="A1431" i="11"/>
  <c r="A1432" i="11" a="1"/>
  <c r="A1432" i="11"/>
  <c r="A1433" i="11" a="1"/>
  <c r="A1433" i="11"/>
  <c r="A1434" i="11" a="1"/>
  <c r="A1434" i="11"/>
  <c r="A1435" i="11" a="1"/>
  <c r="A1435" i="11"/>
  <c r="A1436" i="11" a="1"/>
  <c r="A1436" i="11"/>
  <c r="A1437" i="11" a="1"/>
  <c r="A1437" i="11"/>
  <c r="A1438" i="11" a="1"/>
  <c r="A1438" i="11"/>
  <c r="A1439" i="11" a="1"/>
  <c r="A1439" i="11"/>
  <c r="A1440" i="11" a="1"/>
  <c r="A1440" i="11"/>
  <c r="A1441" i="11" a="1"/>
  <c r="A1441" i="11"/>
  <c r="A1442" i="11" a="1"/>
  <c r="A1442" i="11"/>
  <c r="A1443" i="11" a="1"/>
  <c r="A1443" i="11"/>
  <c r="A1444" i="11" a="1"/>
  <c r="A1444" i="11"/>
  <c r="A1445" i="11" a="1"/>
  <c r="A1445" i="11"/>
  <c r="A1446" i="11" a="1"/>
  <c r="A1446" i="11"/>
  <c r="A1447" i="11" a="1"/>
  <c r="A1447" i="11"/>
  <c r="A1448" i="11" a="1"/>
  <c r="A1448" i="11"/>
  <c r="A1449" i="11" a="1"/>
  <c r="A1449" i="11"/>
  <c r="A1450" i="11" a="1"/>
  <c r="A1450" i="11"/>
  <c r="A1451" i="11" a="1"/>
  <c r="A1451" i="11"/>
  <c r="A1452" i="11" a="1"/>
  <c r="A1452" i="11"/>
  <c r="A1453" i="11" a="1"/>
  <c r="A1453" i="11"/>
  <c r="A1454" i="11" a="1"/>
  <c r="A1454" i="11"/>
  <c r="A1455" i="11" a="1"/>
  <c r="A1455" i="11"/>
  <c r="A1456" i="11" a="1"/>
  <c r="A1456" i="11"/>
  <c r="A1457" i="11" a="1"/>
  <c r="A1457" i="11"/>
  <c r="A1458" i="11" a="1"/>
  <c r="A1458" i="11"/>
  <c r="A1459" i="11" a="1"/>
  <c r="A1459" i="11"/>
  <c r="A1460" i="11" a="1"/>
  <c r="A1460" i="11"/>
  <c r="A1461" i="11" a="1"/>
  <c r="A1461" i="11"/>
  <c r="A1462" i="11" a="1"/>
  <c r="A1462" i="11"/>
  <c r="A1463" i="11" a="1"/>
  <c r="A1463" i="11"/>
  <c r="A1464" i="11" a="1"/>
  <c r="A1464" i="11"/>
  <c r="A1465" i="11" a="1"/>
  <c r="A1465" i="11"/>
  <c r="A1466" i="11" a="1"/>
  <c r="A1466" i="11"/>
  <c r="A1467" i="11" a="1"/>
  <c r="A1467" i="11"/>
  <c r="A1468" i="11" a="1"/>
  <c r="A1468" i="11"/>
  <c r="A1469" i="11" a="1"/>
  <c r="A1469" i="11"/>
  <c r="A1470" i="11" a="1"/>
  <c r="A1470" i="11"/>
  <c r="A1471" i="11" a="1"/>
  <c r="A1471" i="11"/>
  <c r="A1472" i="11" a="1"/>
  <c r="A1472" i="11"/>
  <c r="A1473" i="11" a="1"/>
  <c r="A1473" i="11"/>
  <c r="A1474" i="11" a="1"/>
  <c r="A1474" i="11"/>
  <c r="A1475" i="11" a="1"/>
  <c r="A1475" i="11"/>
  <c r="A1476" i="11" a="1"/>
  <c r="A1476" i="11"/>
  <c r="A1477" i="11" a="1"/>
  <c r="A1477" i="11"/>
  <c r="A1478" i="11" a="1"/>
  <c r="A1478" i="11"/>
  <c r="A1479" i="11" a="1"/>
  <c r="A1479" i="11"/>
  <c r="A1480" i="11" a="1"/>
  <c r="A1480" i="11"/>
  <c r="A1481" i="11" a="1"/>
  <c r="A1481" i="11"/>
  <c r="A1482" i="11" a="1"/>
  <c r="A1482" i="11"/>
  <c r="A1483" i="11" a="1"/>
  <c r="A1483" i="11"/>
  <c r="A1484" i="11" a="1"/>
  <c r="A1484" i="11"/>
  <c r="A1485" i="11" a="1"/>
  <c r="A1485" i="11"/>
  <c r="A1486" i="11" a="1"/>
  <c r="A1486" i="11"/>
  <c r="A1487" i="11" a="1"/>
  <c r="A1487" i="11"/>
  <c r="A1488" i="11" a="1"/>
  <c r="A1488" i="11"/>
  <c r="A1489" i="11" a="1"/>
  <c r="A1489" i="11"/>
  <c r="A1490" i="11" a="1"/>
  <c r="A1490" i="11"/>
  <c r="A1491" i="11" a="1"/>
  <c r="A1491" i="11"/>
  <c r="A1492" i="11" a="1"/>
  <c r="A1492" i="11"/>
  <c r="A1493" i="11" a="1"/>
  <c r="A1493" i="11"/>
  <c r="A1494" i="11" a="1"/>
  <c r="A1494" i="11"/>
  <c r="A1495" i="11" a="1"/>
  <c r="A1495" i="11"/>
  <c r="A1496" i="11" a="1"/>
  <c r="A1496" i="11"/>
  <c r="A1497" i="11" a="1"/>
  <c r="A1497" i="11"/>
  <c r="A1498" i="11" a="1"/>
  <c r="A1498" i="11"/>
  <c r="A1499" i="11" a="1"/>
  <c r="A1499" i="11"/>
  <c r="A1500" i="11" a="1"/>
  <c r="A1500" i="11"/>
  <c r="A1501" i="11" a="1"/>
  <c r="A1501" i="11"/>
  <c r="A1502" i="11" a="1"/>
  <c r="A1502" i="11"/>
  <c r="A1503" i="11" a="1"/>
  <c r="A1503" i="11"/>
  <c r="A1504" i="11" a="1"/>
  <c r="A1504" i="11"/>
  <c r="A1505" i="11" a="1"/>
  <c r="A1505" i="11"/>
  <c r="A1506" i="11" a="1"/>
  <c r="A1506" i="11"/>
  <c r="A1507" i="11" a="1"/>
  <c r="A1507" i="11"/>
  <c r="A1508" i="11" a="1"/>
  <c r="A1508" i="11"/>
  <c r="A1509" i="11" a="1"/>
  <c r="A1509" i="11"/>
  <c r="A1510" i="11" a="1"/>
  <c r="A1510" i="11"/>
  <c r="A1511" i="11" a="1"/>
  <c r="A1511" i="11"/>
  <c r="A1512" i="11" a="1"/>
  <c r="A1512" i="11"/>
  <c r="A1513" i="11" a="1"/>
  <c r="A1513" i="11"/>
  <c r="A1514" i="11" a="1"/>
  <c r="A1514" i="11"/>
  <c r="A1515" i="11" a="1"/>
  <c r="A1515" i="11"/>
  <c r="A1516" i="11" a="1"/>
  <c r="A1516" i="11"/>
  <c r="A1517" i="11" a="1"/>
  <c r="A1517" i="11"/>
  <c r="A1518" i="11" a="1"/>
  <c r="A1518" i="11"/>
  <c r="A1519" i="11" a="1"/>
  <c r="A1519" i="11"/>
  <c r="A1520" i="11" a="1"/>
  <c r="A1520" i="11"/>
  <c r="A1521" i="11" a="1"/>
  <c r="A1521" i="11"/>
  <c r="A1522" i="11" a="1"/>
  <c r="A1522" i="11"/>
  <c r="A1523" i="11" a="1"/>
  <c r="A1523" i="11"/>
  <c r="A1524" i="11" a="1"/>
  <c r="A1524" i="11"/>
  <c r="A1525" i="11" a="1"/>
  <c r="A1525" i="11"/>
  <c r="A1526" i="11" a="1"/>
  <c r="A1526" i="11"/>
  <c r="A1527" i="11" a="1"/>
  <c r="A1527" i="11"/>
  <c r="A1528" i="11" a="1"/>
  <c r="A1528" i="11"/>
  <c r="A1529" i="11" a="1"/>
  <c r="A1529" i="11"/>
  <c r="A1530" i="11" a="1"/>
  <c r="A1530" i="11"/>
  <c r="A1531" i="11" a="1"/>
  <c r="A1531" i="11"/>
  <c r="A1532" i="11" a="1"/>
  <c r="A1532" i="11"/>
  <c r="A1533" i="11" a="1"/>
  <c r="A1533" i="11"/>
  <c r="A1534" i="11" a="1"/>
  <c r="A1534" i="11"/>
  <c r="A1535" i="11" a="1"/>
  <c r="A1535" i="11"/>
  <c r="A1536" i="11" a="1"/>
  <c r="A1536" i="11"/>
  <c r="A1537" i="11" a="1"/>
  <c r="A1537" i="11"/>
  <c r="A1538" i="11" a="1"/>
  <c r="A1538" i="11"/>
  <c r="A1539" i="11" a="1"/>
  <c r="A1539" i="11"/>
  <c r="A1540" i="11" a="1"/>
  <c r="A1540" i="11"/>
  <c r="A1541" i="11" a="1"/>
  <c r="A1541" i="11"/>
  <c r="A1542" i="11" a="1"/>
  <c r="A1542" i="11"/>
  <c r="A1543" i="11" a="1"/>
  <c r="A1543" i="11"/>
  <c r="A1544" i="11" a="1"/>
  <c r="A1544" i="11"/>
  <c r="A1545" i="11" a="1"/>
  <c r="A1545" i="11"/>
  <c r="A1546" i="11" a="1"/>
  <c r="A1546" i="11"/>
  <c r="A1547" i="11" a="1"/>
  <c r="A1547" i="11"/>
  <c r="A1548" i="11" a="1"/>
  <c r="A1548" i="11"/>
  <c r="A1549" i="11" a="1"/>
  <c r="A1549" i="11"/>
  <c r="A1550" i="11" a="1"/>
  <c r="A1550" i="11"/>
  <c r="A1551" i="11" a="1"/>
  <c r="A1551" i="11"/>
  <c r="A1552" i="11" a="1"/>
  <c r="A1552" i="11"/>
  <c r="A1553" i="11" a="1"/>
  <c r="A1553" i="11"/>
  <c r="A1554" i="11" a="1"/>
  <c r="A1554" i="11"/>
  <c r="A1555" i="11" a="1"/>
  <c r="A1555" i="11"/>
  <c r="A1556" i="11" a="1"/>
  <c r="A1556" i="11"/>
  <c r="A1557" i="11" a="1"/>
  <c r="A1557" i="11"/>
  <c r="A1558" i="11" a="1"/>
  <c r="A1558" i="11"/>
  <c r="A1559" i="11" a="1"/>
  <c r="A1559" i="11"/>
  <c r="A1560" i="11" a="1"/>
  <c r="A1560" i="11"/>
  <c r="A1561" i="11" a="1"/>
  <c r="A1561" i="11"/>
  <c r="A1562" i="11" a="1"/>
  <c r="A1562" i="11"/>
  <c r="A1563" i="11" a="1"/>
  <c r="A1563" i="11"/>
  <c r="A1564" i="11" a="1"/>
  <c r="A1564" i="11"/>
  <c r="A1565" i="11" a="1"/>
  <c r="A1565" i="11"/>
  <c r="A1566" i="11" a="1"/>
  <c r="A1566" i="11"/>
  <c r="A1567" i="11" a="1"/>
  <c r="A1567" i="11"/>
  <c r="A1568" i="11" a="1"/>
  <c r="A1568" i="11"/>
  <c r="A1569" i="11" a="1"/>
  <c r="A1569" i="11"/>
  <c r="A1570" i="11" a="1"/>
  <c r="A1570" i="11"/>
  <c r="A1571" i="11" a="1"/>
  <c r="A1571" i="11"/>
  <c r="A1572" i="11" a="1"/>
  <c r="A1572" i="11"/>
  <c r="A1573" i="11" a="1"/>
  <c r="A1573" i="11"/>
  <c r="A1574" i="11" a="1"/>
  <c r="A1574" i="11"/>
  <c r="A1575" i="11" a="1"/>
  <c r="A1575" i="11"/>
  <c r="A1576" i="11" a="1"/>
  <c r="A1576" i="11"/>
  <c r="A1577" i="11" a="1"/>
  <c r="A1577" i="11"/>
  <c r="A1578" i="11" a="1"/>
  <c r="A1578" i="11"/>
  <c r="A1579" i="11" a="1"/>
  <c r="A1579" i="11"/>
  <c r="A1580" i="11" a="1"/>
  <c r="A1580" i="11"/>
  <c r="A1581" i="11" a="1"/>
  <c r="A1581" i="11"/>
  <c r="A1582" i="11" a="1"/>
  <c r="A1582" i="11"/>
  <c r="A1583" i="11" a="1"/>
  <c r="A1583" i="11"/>
  <c r="A1584" i="11" a="1"/>
  <c r="A1584" i="11"/>
  <c r="A1585" i="11" a="1"/>
  <c r="A1585" i="11"/>
  <c r="A1586" i="11" a="1"/>
  <c r="A1586" i="11"/>
  <c r="A1587" i="11" a="1"/>
  <c r="A1587" i="11"/>
  <c r="A1588" i="11" a="1"/>
  <c r="A1588" i="11"/>
  <c r="A1589" i="11" a="1"/>
  <c r="A1589" i="11"/>
  <c r="A1590" i="11" a="1"/>
  <c r="A1590" i="11"/>
  <c r="A1591" i="11" a="1"/>
  <c r="A1591" i="11"/>
  <c r="A1592" i="11" a="1"/>
  <c r="A1592" i="11"/>
  <c r="A1593" i="11" a="1"/>
  <c r="A1593" i="11"/>
  <c r="A1594" i="11" a="1"/>
  <c r="A1594" i="11"/>
  <c r="A1595" i="11" a="1"/>
  <c r="A1595" i="11"/>
  <c r="A1596" i="11" a="1"/>
  <c r="A1596" i="11"/>
  <c r="A1597" i="11" a="1"/>
  <c r="A1597" i="11"/>
  <c r="A1598" i="11" a="1"/>
  <c r="A1598" i="11"/>
  <c r="A1599" i="11" a="1"/>
  <c r="A1599" i="11"/>
  <c r="A1600" i="11" a="1"/>
  <c r="A1600" i="11"/>
  <c r="A1601" i="11" a="1"/>
  <c r="A1601" i="11"/>
  <c r="A1602" i="11" a="1"/>
  <c r="A1602" i="11"/>
  <c r="A1603" i="11" a="1"/>
  <c r="A1603" i="11"/>
  <c r="A1604" i="11" a="1"/>
  <c r="A1604" i="11"/>
  <c r="A1605" i="11" a="1"/>
  <c r="A1605" i="11"/>
  <c r="A1606" i="11" a="1"/>
  <c r="A1606" i="11"/>
  <c r="A1607" i="11" a="1"/>
  <c r="A1607" i="11"/>
  <c r="A1608" i="11" a="1"/>
  <c r="A1608" i="11"/>
  <c r="A1609" i="11" a="1"/>
  <c r="A1609" i="11"/>
  <c r="A1610" i="11" a="1"/>
  <c r="A1610" i="11"/>
  <c r="A1611" i="11" a="1"/>
  <c r="A1611" i="11"/>
  <c r="A1612" i="11" a="1"/>
  <c r="A1612" i="11"/>
  <c r="A1613" i="11" a="1"/>
  <c r="A1613" i="11"/>
  <c r="A1614" i="11" a="1"/>
  <c r="A1614" i="11"/>
  <c r="A1615" i="11" a="1"/>
  <c r="A1615" i="11"/>
  <c r="A1616" i="11" a="1"/>
  <c r="A1616" i="11"/>
  <c r="A1617" i="11" a="1"/>
  <c r="A1617" i="11"/>
  <c r="A1618" i="11" a="1"/>
  <c r="A1618" i="11"/>
  <c r="A1619" i="11" a="1"/>
  <c r="A1619" i="11"/>
  <c r="A1620" i="11" a="1"/>
  <c r="A1620" i="11"/>
  <c r="A1621" i="11" a="1"/>
  <c r="A1621" i="11"/>
  <c r="A1622" i="11" a="1"/>
  <c r="A1622" i="11"/>
  <c r="A1623" i="11" a="1"/>
  <c r="A1623" i="11"/>
  <c r="A1624" i="11" a="1"/>
  <c r="A1624" i="11"/>
  <c r="A1625" i="11" a="1"/>
  <c r="A1625" i="11"/>
  <c r="A1626" i="11" a="1"/>
  <c r="A1626" i="11"/>
  <c r="A1627" i="11" a="1"/>
  <c r="A1627" i="11"/>
  <c r="A1628" i="11" a="1"/>
  <c r="A1628" i="11"/>
  <c r="A1629" i="11" a="1"/>
  <c r="A1629" i="11"/>
  <c r="A1630" i="11" a="1"/>
  <c r="A1630" i="11"/>
  <c r="A1631" i="11" a="1"/>
  <c r="A1631" i="11"/>
  <c r="A1632" i="11" a="1"/>
  <c r="A1632" i="11"/>
  <c r="A1633" i="11" a="1"/>
  <c r="A1633" i="11"/>
  <c r="A1634" i="11" a="1"/>
  <c r="A1634" i="11"/>
  <c r="A1635" i="11" a="1"/>
  <c r="A1635" i="11"/>
  <c r="A1636" i="11" a="1"/>
  <c r="A1636" i="11"/>
  <c r="A1637" i="11" a="1"/>
  <c r="A1637" i="11"/>
  <c r="A1638" i="11" a="1"/>
  <c r="A1638" i="11"/>
  <c r="A1639" i="11" a="1"/>
  <c r="A1639" i="11"/>
  <c r="A1640" i="11" a="1"/>
  <c r="A1640" i="11"/>
  <c r="A1641" i="11" a="1"/>
  <c r="A1641" i="11"/>
  <c r="A1642" i="11" a="1"/>
  <c r="A1642" i="11"/>
  <c r="A1643" i="11" a="1"/>
  <c r="A1643" i="11"/>
  <c r="A1644" i="11" a="1"/>
  <c r="A1644" i="11"/>
  <c r="A1645" i="11" a="1"/>
  <c r="A1645" i="11"/>
  <c r="A1646" i="11" a="1"/>
  <c r="A1646" i="11"/>
  <c r="A1647" i="11" a="1"/>
  <c r="A1647" i="11"/>
  <c r="A1648" i="11" a="1"/>
  <c r="A1648" i="11"/>
  <c r="A1649" i="11" a="1"/>
  <c r="A1649" i="11"/>
  <c r="A1650" i="11" a="1"/>
  <c r="A1650" i="11"/>
  <c r="A1651" i="11" a="1"/>
  <c r="A1651" i="11"/>
  <c r="A1652" i="11" a="1"/>
  <c r="A1652" i="11"/>
  <c r="A1653" i="11" a="1"/>
  <c r="A1653" i="11"/>
  <c r="A1654" i="11" a="1"/>
  <c r="A1654" i="11"/>
  <c r="A1655" i="11" a="1"/>
  <c r="A1655" i="11"/>
  <c r="A1656" i="11" a="1"/>
  <c r="A1656" i="11"/>
  <c r="A1657" i="11" a="1"/>
  <c r="A1657" i="11"/>
  <c r="A1658" i="11" a="1"/>
  <c r="A1658" i="11"/>
  <c r="A1659" i="11" a="1"/>
  <c r="A1659" i="11"/>
  <c r="A1660" i="11" a="1"/>
  <c r="A1660" i="11"/>
  <c r="A1661" i="11" a="1"/>
  <c r="A1661" i="11"/>
  <c r="A1662" i="11" a="1"/>
  <c r="A1662" i="11"/>
  <c r="A1663" i="11" a="1"/>
  <c r="A1663" i="11"/>
  <c r="A1664" i="11" a="1"/>
  <c r="A1664" i="11"/>
  <c r="A1665" i="11" a="1"/>
  <c r="A1665" i="11"/>
  <c r="A1666" i="11" a="1"/>
  <c r="A1666" i="11"/>
  <c r="A1667" i="11" a="1"/>
  <c r="A1667" i="11"/>
  <c r="A1668" i="11" a="1"/>
  <c r="A1668" i="11"/>
  <c r="A1669" i="11" a="1"/>
  <c r="A1669" i="11"/>
  <c r="A1670" i="11" a="1"/>
  <c r="A1670" i="11"/>
  <c r="A1671" i="11" a="1"/>
  <c r="A1671" i="11"/>
  <c r="A1672" i="11" a="1"/>
  <c r="A1672" i="11"/>
  <c r="A1673" i="11" a="1"/>
  <c r="A1673" i="11"/>
  <c r="A1674" i="11" a="1"/>
  <c r="A1674" i="11"/>
  <c r="A1675" i="11" a="1"/>
  <c r="A1675" i="11"/>
  <c r="A1676" i="11" a="1"/>
  <c r="A1676" i="11"/>
  <c r="A1677" i="11" a="1"/>
  <c r="A1677" i="11"/>
  <c r="A1678" i="11" a="1"/>
  <c r="A1678" i="11"/>
  <c r="A1679" i="11" a="1"/>
  <c r="A1679" i="11"/>
  <c r="A1680" i="11" a="1"/>
  <c r="A1680" i="11"/>
  <c r="A1681" i="11" a="1"/>
  <c r="A1681" i="11"/>
  <c r="A1682" i="11" a="1"/>
  <c r="A1682" i="11"/>
  <c r="A1683" i="11" a="1"/>
  <c r="A1683" i="11"/>
  <c r="A1684" i="11" a="1"/>
  <c r="A1684" i="11"/>
  <c r="A1685" i="11" a="1"/>
  <c r="A1685" i="11"/>
  <c r="A1686" i="11" a="1"/>
  <c r="A1686" i="11"/>
  <c r="A1687" i="11" a="1"/>
  <c r="A1687" i="11"/>
  <c r="A1688" i="11" a="1"/>
  <c r="A1688" i="11"/>
  <c r="A1689" i="11" a="1"/>
  <c r="A1689" i="11"/>
  <c r="A1690" i="11" a="1"/>
  <c r="A1690" i="11"/>
  <c r="A1691" i="11" a="1"/>
  <c r="A1691" i="11"/>
  <c r="A1692" i="11" a="1"/>
  <c r="A1692" i="11"/>
  <c r="A1693" i="11" a="1"/>
  <c r="A1693" i="11"/>
  <c r="A1694" i="11" a="1"/>
  <c r="A1694" i="11"/>
  <c r="A1695" i="11" a="1"/>
  <c r="A1695" i="11"/>
  <c r="A1696" i="11" a="1"/>
  <c r="A1696" i="11"/>
  <c r="A1697" i="11" a="1"/>
  <c r="A1697" i="11"/>
  <c r="A1698" i="11" a="1"/>
  <c r="A1698" i="11"/>
  <c r="A1699" i="11" a="1"/>
  <c r="A1699" i="11"/>
  <c r="A1700" i="11" a="1"/>
  <c r="A1700" i="11"/>
  <c r="A1701" i="11" a="1"/>
  <c r="A1701" i="11"/>
  <c r="A1702" i="11" a="1"/>
  <c r="A1702" i="11"/>
  <c r="A1703" i="11" a="1"/>
  <c r="A1703" i="11"/>
  <c r="A1704" i="11" a="1"/>
  <c r="A1704" i="11"/>
  <c r="A1705" i="11" a="1"/>
  <c r="A1705" i="11"/>
  <c r="A1706" i="11" a="1"/>
  <c r="A1706" i="11"/>
  <c r="A1707" i="11" a="1"/>
  <c r="A1707" i="11"/>
  <c r="A1708" i="11" a="1"/>
  <c r="A1708" i="11"/>
  <c r="A1709" i="11" a="1"/>
  <c r="A1709" i="11"/>
  <c r="A1710" i="11" a="1"/>
  <c r="A1710" i="11"/>
  <c r="A1711" i="11" a="1"/>
  <c r="A1711" i="11"/>
  <c r="A1712" i="11" a="1"/>
  <c r="A1712" i="11"/>
  <c r="A1713" i="11" a="1"/>
  <c r="A1713" i="11"/>
  <c r="A1714" i="11" a="1"/>
  <c r="A1714" i="11"/>
  <c r="A1715" i="11" a="1"/>
  <c r="A1715" i="11"/>
  <c r="A1716" i="11" a="1"/>
  <c r="A1716" i="11"/>
  <c r="A1717" i="11" a="1"/>
  <c r="A1717" i="11"/>
  <c r="A1718" i="11" a="1"/>
  <c r="A1718" i="11"/>
  <c r="A1719" i="11" a="1"/>
  <c r="A1719" i="11"/>
  <c r="A1720" i="11" a="1"/>
  <c r="A1720" i="11"/>
  <c r="A1721" i="11" a="1"/>
  <c r="A1721" i="11"/>
  <c r="A1722" i="11" a="1"/>
  <c r="A1722" i="11"/>
  <c r="A1723" i="11" a="1"/>
  <c r="A1723" i="11"/>
  <c r="A1724" i="11" a="1"/>
  <c r="A1724" i="11"/>
  <c r="A1725" i="11" a="1"/>
  <c r="A1725" i="11"/>
  <c r="A1726" i="11" a="1"/>
  <c r="A1726" i="11"/>
  <c r="A1727" i="11" a="1"/>
  <c r="A1727" i="11"/>
  <c r="A1728" i="11" a="1"/>
  <c r="A1728" i="11"/>
  <c r="A1729" i="11" a="1"/>
  <c r="A1729" i="11"/>
  <c r="A1730" i="11" a="1"/>
  <c r="A1730" i="11"/>
  <c r="A1731" i="11" a="1"/>
  <c r="A1731" i="11"/>
  <c r="A1732" i="11" a="1"/>
  <c r="A1732" i="11"/>
  <c r="A1733" i="11" a="1"/>
  <c r="A1733" i="11"/>
  <c r="A1734" i="11" a="1"/>
  <c r="A1734" i="11"/>
  <c r="A1735" i="11" a="1"/>
  <c r="A1735" i="11"/>
  <c r="A1736" i="11" a="1"/>
  <c r="A1736" i="11"/>
  <c r="A1737" i="11" a="1"/>
  <c r="A1737" i="11"/>
  <c r="A1738" i="11" a="1"/>
  <c r="A1738" i="11"/>
  <c r="A1739" i="11" a="1"/>
  <c r="A1739" i="11"/>
  <c r="A1740" i="11" a="1"/>
  <c r="A1740" i="11"/>
  <c r="A1741" i="11" a="1"/>
  <c r="A1741" i="11"/>
  <c r="A1742" i="11" a="1"/>
  <c r="A1742" i="11"/>
  <c r="A1743" i="11" a="1"/>
  <c r="A1743" i="11"/>
  <c r="A1744" i="11" a="1"/>
  <c r="A1744" i="11"/>
  <c r="A1745" i="11" a="1"/>
  <c r="A1745" i="11"/>
  <c r="A1746" i="11" a="1"/>
  <c r="A1746" i="11"/>
  <c r="A1747" i="11" a="1"/>
  <c r="A1747" i="11"/>
  <c r="A1748" i="11" a="1"/>
  <c r="A1748" i="11"/>
  <c r="A1749" i="11" a="1"/>
  <c r="A1749" i="11"/>
  <c r="A1750" i="11" a="1"/>
  <c r="A1750" i="11"/>
  <c r="A1751" i="11" a="1"/>
  <c r="A1751" i="11"/>
  <c r="A1752" i="11" a="1"/>
  <c r="A1752" i="11"/>
  <c r="A1753" i="11" a="1"/>
  <c r="A1753" i="11"/>
  <c r="A1754" i="11" a="1"/>
  <c r="A1754" i="11"/>
  <c r="A1755" i="11" a="1"/>
  <c r="A1755" i="11"/>
  <c r="A1756" i="11" a="1"/>
  <c r="A1756" i="11"/>
  <c r="A1757" i="11" a="1"/>
  <c r="A1757" i="11"/>
  <c r="A1758" i="11" a="1"/>
  <c r="A1758" i="11"/>
  <c r="A1759" i="11" a="1"/>
  <c r="A1759" i="11"/>
  <c r="A1760" i="11" a="1"/>
  <c r="A1760" i="11"/>
  <c r="A1761" i="11" a="1"/>
  <c r="A1761" i="11"/>
  <c r="A1762" i="11" a="1"/>
  <c r="A1762" i="11"/>
  <c r="A1763" i="11" a="1"/>
  <c r="A1763" i="11"/>
  <c r="A1764" i="11" a="1"/>
  <c r="A1764" i="11"/>
  <c r="A1765" i="11" a="1"/>
  <c r="A1765" i="11"/>
  <c r="A1766" i="11" a="1"/>
  <c r="A1766" i="11"/>
  <c r="A1767" i="11" a="1"/>
  <c r="A1767" i="11"/>
  <c r="A1768" i="11" a="1"/>
  <c r="A1768" i="11"/>
  <c r="A1769" i="11" a="1"/>
  <c r="A1769" i="11"/>
  <c r="A1770" i="11" a="1"/>
  <c r="A1770" i="11"/>
  <c r="A1771" i="11" a="1"/>
  <c r="A1771" i="11"/>
  <c r="A1772" i="11" a="1"/>
  <c r="A1772" i="11"/>
  <c r="A1773" i="11" a="1"/>
  <c r="A1773" i="11"/>
  <c r="A1774" i="11" a="1"/>
  <c r="A1774" i="11"/>
  <c r="A1775" i="11" a="1"/>
  <c r="A1775" i="11"/>
  <c r="A1776" i="11" a="1"/>
  <c r="A1776" i="11"/>
  <c r="A1777" i="11" a="1"/>
  <c r="A1777" i="11"/>
  <c r="A1778" i="11" a="1"/>
  <c r="A1778" i="11"/>
  <c r="A1779" i="11" a="1"/>
  <c r="A1779" i="11"/>
  <c r="A1780" i="11" a="1"/>
  <c r="A1780" i="11"/>
  <c r="A1781" i="11" a="1"/>
  <c r="A1781" i="11"/>
  <c r="A1782" i="11" a="1"/>
  <c r="A1782" i="11"/>
  <c r="A1783" i="11" a="1"/>
  <c r="A1783" i="11"/>
  <c r="A1784" i="11" a="1"/>
  <c r="A1784" i="11"/>
  <c r="A1785" i="11" a="1"/>
  <c r="A1785" i="11"/>
  <c r="A1786" i="11" a="1"/>
  <c r="A1786" i="11"/>
  <c r="A1787" i="11" a="1"/>
  <c r="A1787" i="11"/>
  <c r="A1788" i="11" a="1"/>
  <c r="A1788" i="11"/>
  <c r="A1789" i="11" a="1"/>
  <c r="A1789" i="11"/>
  <c r="A1790" i="11" a="1"/>
  <c r="A1790" i="11"/>
  <c r="A1791" i="11" a="1"/>
  <c r="A1791" i="11"/>
  <c r="A1792" i="11" a="1"/>
  <c r="A1792" i="11"/>
  <c r="A1793" i="11" a="1"/>
  <c r="A1793" i="11"/>
  <c r="A1794" i="11" a="1"/>
  <c r="A1794" i="11"/>
  <c r="A1795" i="11" a="1"/>
  <c r="A1795" i="11"/>
  <c r="A1796" i="11" a="1"/>
  <c r="A1796" i="11"/>
  <c r="A1797" i="11" a="1"/>
  <c r="A1797" i="11"/>
  <c r="A1798" i="11" a="1"/>
  <c r="A1798" i="11"/>
  <c r="A1799" i="11" a="1"/>
  <c r="A1799" i="11"/>
  <c r="A1800" i="11" a="1"/>
  <c r="A1800" i="11"/>
  <c r="A1801" i="11" a="1"/>
  <c r="A1801" i="11"/>
  <c r="A1802" i="11" a="1"/>
  <c r="A1802" i="11"/>
  <c r="A1803" i="11" a="1"/>
  <c r="A1803" i="11"/>
  <c r="A1804" i="11" a="1"/>
  <c r="A1804" i="11"/>
  <c r="A1805" i="11" a="1"/>
  <c r="A1805" i="11"/>
  <c r="A1806" i="11" a="1"/>
  <c r="A1806" i="11"/>
  <c r="A1807" i="11" a="1"/>
  <c r="A1807" i="11"/>
  <c r="A1808" i="11" a="1"/>
  <c r="A1808" i="11"/>
  <c r="A1809" i="11" a="1"/>
  <c r="A1809" i="11"/>
  <c r="A1810" i="11" a="1"/>
  <c r="A1810" i="11"/>
  <c r="A1811" i="11" a="1"/>
  <c r="A1811" i="11"/>
  <c r="A1812" i="11" a="1"/>
  <c r="A1812" i="11"/>
  <c r="A1813" i="11" a="1"/>
  <c r="A1813" i="11"/>
  <c r="A1814" i="11" a="1"/>
  <c r="A1814" i="11"/>
  <c r="A1815" i="11" a="1"/>
  <c r="A1815" i="11"/>
  <c r="A1816" i="11" a="1"/>
  <c r="A1816" i="11"/>
  <c r="A1817" i="11" a="1"/>
  <c r="A1817" i="11"/>
  <c r="A1818" i="11" a="1"/>
  <c r="A1818" i="11"/>
  <c r="A1819" i="11" a="1"/>
  <c r="A1819" i="11"/>
  <c r="A1820" i="11" a="1"/>
  <c r="A1820" i="11"/>
  <c r="A1821" i="11" a="1"/>
  <c r="A1821" i="11"/>
  <c r="A1822" i="11" a="1"/>
  <c r="A1822" i="11"/>
  <c r="A1823" i="11" a="1"/>
  <c r="A1823" i="11"/>
  <c r="A1824" i="11" a="1"/>
  <c r="A1824" i="11"/>
  <c r="A1825" i="11" a="1"/>
  <c r="A1825" i="11"/>
  <c r="A1826" i="11" a="1"/>
  <c r="A1826" i="11"/>
  <c r="A1827" i="11" a="1"/>
  <c r="A1827" i="11"/>
  <c r="A1828" i="11" a="1"/>
  <c r="A1828" i="11"/>
  <c r="A1829" i="11" a="1"/>
  <c r="A1829" i="11"/>
  <c r="A1830" i="11" a="1"/>
  <c r="A1830" i="11"/>
  <c r="A1831" i="11" a="1"/>
  <c r="A1831" i="11"/>
  <c r="A1832" i="11" a="1"/>
  <c r="A1832" i="11"/>
  <c r="A1833" i="11" a="1"/>
  <c r="A1833" i="11"/>
  <c r="A1834" i="11" a="1"/>
  <c r="A1834" i="11"/>
  <c r="A1835" i="11" a="1"/>
  <c r="A1835" i="11"/>
  <c r="A1836" i="11" a="1"/>
  <c r="A1836" i="11"/>
  <c r="A1837" i="11" a="1"/>
  <c r="A1837" i="11"/>
  <c r="A1838" i="11" a="1"/>
  <c r="A1838" i="11"/>
  <c r="A1839" i="11" a="1"/>
  <c r="A1839" i="11"/>
  <c r="A1840" i="11" a="1"/>
  <c r="A1840" i="11"/>
  <c r="A1841" i="11" a="1"/>
  <c r="A1841" i="11"/>
  <c r="A1842" i="11" a="1"/>
  <c r="A1842" i="11"/>
  <c r="A1843" i="11" a="1"/>
  <c r="A1843" i="11"/>
  <c r="A1844" i="11" a="1"/>
  <c r="A1844" i="11"/>
  <c r="A1845" i="11" a="1"/>
  <c r="A1845" i="11"/>
  <c r="A1846" i="11" a="1"/>
  <c r="A1846" i="11"/>
  <c r="A1847" i="11" a="1"/>
  <c r="A1847" i="11"/>
  <c r="A1848" i="11" a="1"/>
  <c r="A1848" i="11"/>
  <c r="A1849" i="11" a="1"/>
  <c r="A1849" i="11"/>
  <c r="A1850" i="11" a="1"/>
  <c r="A1850" i="11"/>
  <c r="A1851" i="11" a="1"/>
  <c r="A1851" i="11"/>
  <c r="A1852" i="11" a="1"/>
  <c r="A1852" i="11"/>
  <c r="A1853" i="11" a="1"/>
  <c r="A1853" i="11"/>
  <c r="A1854" i="11" a="1"/>
  <c r="A1854" i="11"/>
  <c r="A1855" i="11" a="1"/>
  <c r="A1855" i="11"/>
  <c r="A1856" i="11" a="1"/>
  <c r="A1856" i="11"/>
  <c r="A1857" i="11" a="1"/>
  <c r="A1857" i="11"/>
  <c r="A1858" i="11" a="1"/>
  <c r="A1858" i="11"/>
  <c r="A1859" i="11" a="1"/>
  <c r="A1859" i="11"/>
  <c r="A1860" i="11" a="1"/>
  <c r="A1860" i="11"/>
  <c r="A1861" i="11" a="1"/>
  <c r="A1861" i="11"/>
  <c r="A1862" i="11" a="1"/>
  <c r="A1862" i="11"/>
  <c r="A1863" i="11" a="1"/>
  <c r="A1863" i="11"/>
  <c r="A1864" i="11" a="1"/>
  <c r="A1864" i="11"/>
  <c r="A1865" i="11" a="1"/>
  <c r="A1865" i="11"/>
  <c r="A1866" i="11" a="1"/>
  <c r="A1866" i="11"/>
  <c r="A1867" i="11" a="1"/>
  <c r="A1867" i="11"/>
  <c r="A1868" i="11" a="1"/>
  <c r="A1868" i="11"/>
  <c r="A1869" i="11" a="1"/>
  <c r="A1869" i="11"/>
  <c r="A1870" i="11" a="1"/>
  <c r="A1870" i="11"/>
  <c r="A1871" i="11" a="1"/>
  <c r="A1871" i="11"/>
  <c r="A1872" i="11" a="1"/>
  <c r="A1872" i="11"/>
  <c r="A1873" i="11" a="1"/>
  <c r="A1873" i="11"/>
  <c r="A1874" i="11" a="1"/>
  <c r="A1874" i="11"/>
  <c r="A1875" i="11" a="1"/>
  <c r="A1875" i="11"/>
  <c r="A1876" i="11" a="1"/>
  <c r="A1876" i="11"/>
  <c r="A1877" i="11" a="1"/>
  <c r="A1877" i="11"/>
  <c r="A1878" i="11" a="1"/>
  <c r="A1878" i="11"/>
  <c r="A1879" i="11" a="1"/>
  <c r="A1879" i="11"/>
  <c r="A1880" i="11" a="1"/>
  <c r="A1880" i="11"/>
  <c r="A1881" i="11" a="1"/>
  <c r="A1881" i="11"/>
  <c r="A1882" i="11" a="1"/>
  <c r="A1882" i="11"/>
  <c r="A1883" i="11" a="1"/>
  <c r="A1883" i="11"/>
  <c r="A1884" i="11" a="1"/>
  <c r="A1884" i="11"/>
  <c r="A1885" i="11" a="1"/>
  <c r="A1885" i="11"/>
  <c r="A1886" i="11" a="1"/>
  <c r="A1886" i="11"/>
  <c r="A1887" i="11" a="1"/>
  <c r="A1887" i="11"/>
  <c r="A1888" i="11" a="1"/>
  <c r="A1888" i="11"/>
  <c r="A1889" i="11" a="1"/>
  <c r="A1889" i="11"/>
  <c r="A1890" i="11" a="1"/>
  <c r="A1890" i="11"/>
  <c r="A1891" i="11" a="1"/>
  <c r="A1891" i="11"/>
  <c r="A1892" i="11" a="1"/>
  <c r="A1892" i="11"/>
  <c r="A1893" i="11" a="1"/>
  <c r="A1893" i="11"/>
  <c r="A1894" i="11" a="1"/>
  <c r="A1894" i="11"/>
  <c r="A1895" i="11" a="1"/>
  <c r="A1895" i="11"/>
  <c r="A1896" i="11" a="1"/>
  <c r="A1896" i="11"/>
  <c r="A1897" i="11" a="1"/>
  <c r="A1897" i="11"/>
  <c r="A1898" i="11" a="1"/>
  <c r="A1898" i="11"/>
  <c r="A1899" i="11" a="1"/>
  <c r="A1899" i="11"/>
  <c r="A1900" i="11" a="1"/>
  <c r="A1900" i="11"/>
  <c r="A1901" i="11" a="1"/>
  <c r="A1901" i="11"/>
  <c r="A1902" i="11" a="1"/>
  <c r="A1902" i="11"/>
  <c r="A1903" i="11" a="1"/>
  <c r="A1903" i="11"/>
  <c r="A1904" i="11" a="1"/>
  <c r="A1904" i="11"/>
  <c r="A1905" i="11" a="1"/>
  <c r="A1905" i="11"/>
  <c r="A1906" i="11" a="1"/>
  <c r="A1906" i="11"/>
  <c r="A1907" i="11" a="1"/>
  <c r="A1907" i="11"/>
  <c r="A1908" i="11" a="1"/>
  <c r="A1908" i="11"/>
  <c r="A1909" i="11" a="1"/>
  <c r="A1909" i="11"/>
  <c r="A1910" i="11" a="1"/>
  <c r="A1910" i="11"/>
  <c r="A1911" i="11" a="1"/>
  <c r="A1911" i="11"/>
  <c r="A1912" i="11" a="1"/>
  <c r="A1912" i="11"/>
  <c r="A1913" i="11" a="1"/>
  <c r="A1913" i="11"/>
  <c r="A1914" i="11" a="1"/>
  <c r="A1914" i="11"/>
  <c r="A1915" i="11" a="1"/>
  <c r="A1915" i="11"/>
  <c r="A1916" i="11" a="1"/>
  <c r="A1916" i="11"/>
  <c r="A1917" i="11" a="1"/>
  <c r="A1917" i="11"/>
  <c r="A1918" i="11" a="1"/>
  <c r="A1918" i="11"/>
  <c r="A1919" i="11" a="1"/>
  <c r="A1919" i="11"/>
  <c r="A1920" i="11" a="1"/>
  <c r="A1920" i="11"/>
  <c r="A1921" i="11" a="1"/>
  <c r="A1921" i="11"/>
  <c r="A1922" i="11" a="1"/>
  <c r="A1922" i="11"/>
  <c r="A1923" i="11" a="1"/>
  <c r="A1923" i="11"/>
  <c r="A1924" i="11" a="1"/>
  <c r="A1924" i="11"/>
  <c r="A1925" i="11" a="1"/>
  <c r="A1925" i="11"/>
  <c r="A1926" i="11" a="1"/>
  <c r="A1926" i="11"/>
  <c r="A1927" i="11" a="1"/>
  <c r="A1927" i="11"/>
  <c r="A1928" i="11" a="1"/>
  <c r="A1928" i="11"/>
  <c r="A1929" i="11" a="1"/>
  <c r="A1929" i="11"/>
  <c r="A1930" i="11" a="1"/>
  <c r="A1930" i="11"/>
  <c r="A1931" i="11" a="1"/>
  <c r="A1931" i="11"/>
  <c r="A1932" i="11" a="1"/>
  <c r="A1932" i="11"/>
  <c r="A1933" i="11" a="1"/>
  <c r="A1933" i="11"/>
  <c r="A1934" i="11" a="1"/>
  <c r="A1934" i="11"/>
  <c r="A1935" i="11" a="1"/>
  <c r="A1935" i="11"/>
  <c r="A1936" i="11" a="1"/>
  <c r="A1936" i="11"/>
  <c r="A1937" i="11" a="1"/>
  <c r="A1937" i="11"/>
  <c r="A1938" i="11" a="1"/>
  <c r="A1938" i="11"/>
  <c r="A1939" i="11" a="1"/>
  <c r="A1939" i="11"/>
  <c r="A1940" i="11" a="1"/>
  <c r="A1940" i="11"/>
  <c r="A1941" i="11" a="1"/>
  <c r="A1941" i="11"/>
  <c r="A1942" i="11" a="1"/>
  <c r="A1942" i="11"/>
  <c r="A1943" i="11" a="1"/>
  <c r="A1943" i="11"/>
  <c r="A1944" i="11" a="1"/>
  <c r="A1944" i="11"/>
  <c r="A1945" i="11" a="1"/>
  <c r="A1945" i="11"/>
  <c r="A1946" i="11" a="1"/>
  <c r="A1946" i="11"/>
  <c r="A1947" i="11" a="1"/>
  <c r="A1947" i="11"/>
  <c r="A1948" i="11" a="1"/>
  <c r="A1948" i="11"/>
  <c r="A1949" i="11" a="1"/>
  <c r="A1949" i="11"/>
  <c r="A1950" i="11" a="1"/>
  <c r="A1950" i="11"/>
  <c r="A1951" i="11" a="1"/>
  <c r="A1951" i="11"/>
  <c r="A1952" i="11" a="1"/>
  <c r="A1952" i="11"/>
  <c r="A1953" i="11" a="1"/>
  <c r="A1953" i="11"/>
  <c r="A1954" i="11" a="1"/>
  <c r="A1954" i="11"/>
  <c r="A1955" i="11" a="1"/>
  <c r="A1955" i="11"/>
  <c r="A1956" i="11" a="1"/>
  <c r="A1956" i="11"/>
  <c r="A1957" i="11" a="1"/>
  <c r="A1957" i="11"/>
  <c r="A1958" i="11" a="1"/>
  <c r="A1958" i="11"/>
  <c r="A1959" i="11" a="1"/>
  <c r="A1959" i="11"/>
  <c r="A1960" i="11" a="1"/>
  <c r="A1960" i="11"/>
  <c r="A1961" i="11" a="1"/>
  <c r="A1961" i="11"/>
  <c r="A1962" i="11" a="1"/>
  <c r="A1962" i="11"/>
  <c r="A1963" i="11" a="1"/>
  <c r="A1963" i="11"/>
  <c r="A1964" i="11" a="1"/>
  <c r="A1964" i="11"/>
  <c r="A1965" i="11" a="1"/>
  <c r="A1965" i="11"/>
  <c r="A1966" i="11" a="1"/>
  <c r="A1966" i="11"/>
  <c r="A1967" i="11" a="1"/>
  <c r="A1967" i="11"/>
  <c r="A1968" i="11" a="1"/>
  <c r="A1968" i="11"/>
  <c r="A1969" i="11" a="1"/>
  <c r="A1969" i="11"/>
  <c r="A1970" i="11" a="1"/>
  <c r="A1970" i="11"/>
  <c r="A1971" i="11" a="1"/>
  <c r="A1971" i="11"/>
  <c r="A1972" i="11" a="1"/>
  <c r="A1972" i="11"/>
  <c r="A1973" i="11" a="1"/>
  <c r="A1973" i="11"/>
  <c r="A1974" i="11" a="1"/>
  <c r="A1974" i="11"/>
  <c r="A1975" i="11" a="1"/>
  <c r="A1975" i="11"/>
  <c r="A1976" i="11" a="1"/>
  <c r="A1976" i="11"/>
  <c r="A1977" i="11" a="1"/>
  <c r="A1977" i="11"/>
  <c r="A1978" i="11" a="1"/>
  <c r="A1978" i="11"/>
  <c r="A1979" i="11" a="1"/>
  <c r="A1979" i="11"/>
  <c r="A1980" i="11" a="1"/>
  <c r="A1980" i="11"/>
  <c r="A1981" i="11" a="1"/>
  <c r="A1981" i="11"/>
  <c r="A1982" i="11" a="1"/>
  <c r="A1982" i="11"/>
  <c r="A1983" i="11" a="1"/>
  <c r="A1983" i="11"/>
  <c r="A1984" i="11" a="1"/>
  <c r="A1984" i="11"/>
  <c r="A1985" i="11" a="1"/>
  <c r="A1985" i="11"/>
  <c r="A1986" i="11" a="1"/>
  <c r="A1986" i="11"/>
  <c r="A1987" i="11" a="1"/>
  <c r="A1987" i="11"/>
  <c r="A1988" i="11" a="1"/>
  <c r="A1988" i="11"/>
  <c r="A1989" i="11" a="1"/>
  <c r="A1989" i="11"/>
  <c r="A1990" i="11" a="1"/>
  <c r="A1990" i="11"/>
  <c r="A1991" i="11" a="1"/>
  <c r="A1991" i="11"/>
  <c r="A1992" i="11" a="1"/>
  <c r="A1992" i="11"/>
  <c r="A1993" i="11" a="1"/>
  <c r="A1993" i="11"/>
  <c r="A1994" i="11" a="1"/>
  <c r="A1994" i="11"/>
  <c r="A1995" i="11" a="1"/>
  <c r="A1995" i="11"/>
  <c r="A1996" i="11" a="1"/>
  <c r="A1996" i="11"/>
  <c r="A1997" i="11" a="1"/>
  <c r="A1997" i="11"/>
  <c r="A1998" i="11" a="1"/>
  <c r="A1998" i="11"/>
  <c r="A1999" i="11" a="1"/>
  <c r="A1999" i="11"/>
  <c r="A2000" i="11" a="1"/>
  <c r="A2000" i="11"/>
  <c r="A2001" i="11" a="1"/>
  <c r="A2001" i="11"/>
  <c r="A2002" i="11" a="1"/>
  <c r="A2002" i="11"/>
  <c r="A2003" i="11" a="1"/>
  <c r="A2003" i="11"/>
  <c r="A2004" i="11" a="1"/>
  <c r="A2004" i="11"/>
  <c r="A2005" i="11" a="1"/>
  <c r="A2005" i="11"/>
  <c r="A2006" i="11" a="1"/>
  <c r="A2006" i="11"/>
  <c r="A2007" i="11" a="1"/>
  <c r="A2007" i="11"/>
  <c r="A2008" i="11" a="1"/>
  <c r="A2008" i="11"/>
  <c r="A2009" i="11" a="1"/>
  <c r="A2009" i="11"/>
  <c r="A2010" i="11" a="1"/>
  <c r="A2010" i="11"/>
  <c r="A2011" i="11" a="1"/>
  <c r="A2011" i="11"/>
  <c r="A2012" i="11" a="1"/>
  <c r="A2012" i="11"/>
  <c r="A2013" i="11" a="1"/>
  <c r="A2013" i="11"/>
  <c r="A2014" i="11" a="1"/>
  <c r="A2014" i="11"/>
  <c r="A2015" i="11" a="1"/>
  <c r="A2015" i="11"/>
  <c r="A2016" i="11" a="1"/>
  <c r="A2016" i="11"/>
  <c r="A2017" i="11" a="1"/>
  <c r="A2017" i="11"/>
  <c r="A2018" i="11" a="1"/>
  <c r="A2018" i="11"/>
  <c r="A2019" i="11" a="1"/>
  <c r="A2019" i="11"/>
  <c r="A2020" i="11" a="1"/>
  <c r="A2020" i="11"/>
  <c r="A2021" i="11" a="1"/>
  <c r="A2021" i="11"/>
  <c r="A2022" i="11" a="1"/>
  <c r="A2022" i="11"/>
  <c r="A2023" i="11" a="1"/>
  <c r="A2023" i="11"/>
  <c r="A2024" i="11" a="1"/>
  <c r="A2024" i="11"/>
  <c r="A2025" i="11" a="1"/>
  <c r="A2025" i="11"/>
  <c r="A2026" i="11" a="1"/>
  <c r="A2026" i="11"/>
  <c r="A2027" i="11" a="1"/>
  <c r="A2027" i="11"/>
  <c r="A2028" i="11" a="1"/>
  <c r="A2028" i="11"/>
  <c r="A2029" i="11" a="1"/>
  <c r="A2029" i="11"/>
  <c r="A2030" i="11" a="1"/>
  <c r="A2030" i="11"/>
  <c r="A2031" i="11" a="1"/>
  <c r="A2031" i="11"/>
  <c r="A2032" i="11" a="1"/>
  <c r="A2032" i="11"/>
  <c r="A2033" i="11" a="1"/>
  <c r="A2033" i="11"/>
  <c r="A2034" i="11" a="1"/>
  <c r="A2034" i="11"/>
  <c r="A2035" i="11" a="1"/>
  <c r="A2035" i="11"/>
  <c r="A2036" i="11" a="1"/>
  <c r="A2036" i="11"/>
  <c r="A2037" i="11" a="1"/>
  <c r="A2037" i="11"/>
  <c r="A2038" i="11" a="1"/>
  <c r="A2038" i="11"/>
  <c r="A2039" i="11" a="1"/>
  <c r="A2039" i="11"/>
  <c r="A2040" i="11" a="1"/>
  <c r="A2040" i="11"/>
  <c r="A2041" i="11" a="1"/>
  <c r="A2041" i="11"/>
  <c r="A2042" i="11" a="1"/>
  <c r="A2042" i="11"/>
  <c r="A2043" i="11" a="1"/>
  <c r="A2043" i="11"/>
  <c r="A2044" i="11" a="1"/>
  <c r="A2044" i="11"/>
  <c r="A2045" i="11" a="1"/>
  <c r="A2045" i="11"/>
  <c r="A2046" i="11" a="1"/>
  <c r="A2046" i="11"/>
  <c r="A2047" i="11" a="1"/>
  <c r="A2047" i="11"/>
  <c r="A2048" i="11" a="1"/>
  <c r="A2048" i="11"/>
  <c r="A2049" i="11" a="1"/>
  <c r="A2049" i="11"/>
  <c r="A2050" i="11" a="1"/>
  <c r="A2050" i="11"/>
  <c r="A2051" i="11" a="1"/>
  <c r="A2051" i="11"/>
  <c r="A2052" i="11" a="1"/>
  <c r="A2052" i="11"/>
  <c r="A2053" i="11" a="1"/>
  <c r="A2053" i="11"/>
  <c r="A2054" i="11" a="1"/>
  <c r="A2054" i="11"/>
  <c r="A2055" i="11" a="1"/>
  <c r="A2055" i="11"/>
  <c r="A2056" i="11" a="1"/>
  <c r="A2056" i="11"/>
  <c r="A2057" i="11" a="1"/>
  <c r="A2057" i="11"/>
  <c r="A2058" i="11" a="1"/>
  <c r="A2058" i="11"/>
  <c r="A2059" i="11" a="1"/>
  <c r="A2059" i="11"/>
  <c r="A2060" i="11" a="1"/>
  <c r="A2060" i="11"/>
  <c r="A2061" i="11" a="1"/>
  <c r="A2061" i="11"/>
  <c r="A2062" i="11" a="1"/>
  <c r="A2062" i="11"/>
  <c r="A2063" i="11" a="1"/>
  <c r="A2063" i="11"/>
  <c r="A2064" i="11" a="1"/>
  <c r="A2064" i="11"/>
  <c r="A2065" i="11" a="1"/>
  <c r="A2065" i="11"/>
  <c r="A2066" i="11" a="1"/>
  <c r="A2066" i="11"/>
  <c r="A2067" i="11" a="1"/>
  <c r="A2067" i="11"/>
  <c r="A2068" i="11" a="1"/>
  <c r="A2068" i="11"/>
  <c r="A2069" i="11" a="1"/>
  <c r="A2069" i="11"/>
  <c r="A2070" i="11" a="1"/>
  <c r="A2070" i="11"/>
  <c r="A2071" i="11" a="1"/>
  <c r="A2071" i="11"/>
  <c r="A2072" i="11" a="1"/>
  <c r="A2072" i="11"/>
  <c r="A2073" i="11" a="1"/>
  <c r="A2073" i="11"/>
  <c r="A2074" i="11" a="1"/>
  <c r="A2074" i="11"/>
  <c r="A2075" i="11" a="1"/>
  <c r="A2075" i="11"/>
  <c r="A2076" i="11" a="1"/>
  <c r="A2076" i="11"/>
  <c r="A2077" i="11" a="1"/>
  <c r="A2077" i="11"/>
  <c r="A2078" i="11" a="1"/>
  <c r="A2078" i="11"/>
  <c r="A2079" i="11" a="1"/>
  <c r="A2079" i="11"/>
  <c r="A2080" i="11" a="1"/>
  <c r="A2080" i="11"/>
  <c r="A2081" i="11" a="1"/>
  <c r="A2081" i="11"/>
  <c r="A2082" i="11" a="1"/>
  <c r="A2082" i="11"/>
  <c r="A2083" i="11" a="1"/>
  <c r="A2083" i="11"/>
  <c r="A2084" i="11" a="1"/>
  <c r="A2084" i="11"/>
  <c r="A2085" i="11" a="1"/>
  <c r="A2085" i="11"/>
  <c r="A2086" i="11" a="1"/>
  <c r="A2086" i="11"/>
  <c r="A2087" i="11" a="1"/>
  <c r="A2087" i="11"/>
  <c r="A2088" i="11" a="1"/>
  <c r="A2088" i="11"/>
  <c r="A2089" i="11" a="1"/>
  <c r="A2089" i="11"/>
  <c r="A2090" i="11" a="1"/>
  <c r="A2090" i="11"/>
  <c r="A2091" i="11" a="1"/>
  <c r="A2091" i="11"/>
  <c r="A2092" i="11" a="1"/>
  <c r="A2092" i="11"/>
  <c r="A2093" i="11" a="1"/>
  <c r="A2093" i="11"/>
  <c r="A2094" i="11" a="1"/>
  <c r="A2094" i="11"/>
  <c r="A2095" i="11" a="1"/>
  <c r="A2095" i="11"/>
  <c r="A2096" i="11" a="1"/>
  <c r="A2096" i="11"/>
  <c r="A2097" i="11" a="1"/>
  <c r="A2097" i="11"/>
  <c r="A2098" i="11" a="1"/>
  <c r="A2098" i="11"/>
  <c r="A2099" i="11" a="1"/>
  <c r="A2099" i="11"/>
  <c r="A2100" i="11" a="1"/>
  <c r="A2100" i="11"/>
  <c r="A2101" i="11" a="1"/>
  <c r="A2101" i="11"/>
  <c r="A2102" i="11" a="1"/>
  <c r="A2102" i="11"/>
  <c r="A2103" i="11" a="1"/>
  <c r="A2103" i="11"/>
  <c r="A2104" i="11" a="1"/>
  <c r="A2104" i="11"/>
  <c r="A2105" i="11" a="1"/>
  <c r="A2105" i="11"/>
  <c r="A2106" i="11" a="1"/>
  <c r="A2106" i="11"/>
  <c r="A2107" i="11" a="1"/>
  <c r="A2107" i="11"/>
  <c r="A2108" i="11" a="1"/>
  <c r="A2108" i="11"/>
  <c r="A2109" i="11" a="1"/>
  <c r="A2109" i="11"/>
  <c r="A2110" i="11" a="1"/>
  <c r="A2110" i="11"/>
  <c r="A2111" i="11" a="1"/>
  <c r="A2111" i="11"/>
  <c r="A2112" i="11" a="1"/>
  <c r="A2112" i="11"/>
  <c r="A2113" i="11" a="1"/>
  <c r="A2113" i="11"/>
  <c r="A2114" i="11" a="1"/>
  <c r="A2114" i="11"/>
  <c r="A2115" i="11" a="1"/>
  <c r="A2115" i="11"/>
  <c r="A2116" i="11" a="1"/>
  <c r="A2116" i="11"/>
  <c r="A2117" i="11" a="1"/>
  <c r="A2117" i="11"/>
  <c r="A2118" i="11" a="1"/>
  <c r="A2118" i="11"/>
  <c r="A2119" i="11" a="1"/>
  <c r="A2119" i="11"/>
  <c r="A2120" i="11" a="1"/>
  <c r="A2120" i="11"/>
  <c r="A2121" i="11" a="1"/>
  <c r="A2121" i="11"/>
  <c r="A2122" i="11" a="1"/>
  <c r="A2122" i="11"/>
  <c r="A2123" i="11" a="1"/>
  <c r="A2123" i="11"/>
  <c r="A2124" i="11" a="1"/>
  <c r="A2124" i="11"/>
  <c r="A2125" i="11" a="1"/>
  <c r="A2125" i="11"/>
  <c r="A2126" i="11" a="1"/>
  <c r="A2126" i="11"/>
  <c r="A2127" i="11" a="1"/>
  <c r="A2127" i="11"/>
  <c r="A2128" i="11" a="1"/>
  <c r="A2128" i="11"/>
  <c r="A2129" i="11" a="1"/>
  <c r="A2129" i="11"/>
  <c r="A2130" i="11" a="1"/>
  <c r="A2130" i="11"/>
  <c r="A2131" i="11" a="1"/>
  <c r="A2131" i="11"/>
  <c r="A2132" i="11" a="1"/>
  <c r="A2132" i="11"/>
  <c r="A2133" i="11" a="1"/>
  <c r="A2133" i="11"/>
  <c r="A2134" i="11" a="1"/>
  <c r="A2134" i="11"/>
  <c r="A2135" i="11" a="1"/>
  <c r="A2135" i="11"/>
  <c r="A2136" i="11" a="1"/>
  <c r="A2136" i="11"/>
  <c r="A2137" i="11" a="1"/>
  <c r="A2137" i="11"/>
  <c r="A2138" i="11" a="1"/>
  <c r="A2138" i="11"/>
  <c r="A2139" i="11" a="1"/>
  <c r="A2139" i="11"/>
  <c r="A2140" i="11" a="1"/>
  <c r="A2140" i="11"/>
  <c r="A2141" i="11" a="1"/>
  <c r="A2141" i="11"/>
  <c r="A2142" i="11" a="1"/>
  <c r="A2142" i="11"/>
  <c r="A2143" i="11" a="1"/>
  <c r="A2143" i="11"/>
  <c r="A2144" i="11" a="1"/>
  <c r="A2144" i="11"/>
  <c r="A2145" i="11" a="1"/>
  <c r="A2145" i="11"/>
  <c r="A2146" i="11" a="1"/>
  <c r="A2146" i="11"/>
  <c r="A2147" i="11" a="1"/>
  <c r="A2147" i="11"/>
  <c r="A2148" i="11" a="1"/>
  <c r="A2148" i="11"/>
  <c r="A2149" i="11" a="1"/>
  <c r="A2149" i="11"/>
  <c r="A2150" i="11" a="1"/>
  <c r="A2150" i="11"/>
  <c r="A2151" i="11" a="1"/>
  <c r="A2151" i="11"/>
  <c r="A2152" i="11" a="1"/>
  <c r="A2152" i="11"/>
  <c r="A2153" i="11" a="1"/>
  <c r="A2153" i="11"/>
  <c r="A2154" i="11" a="1"/>
  <c r="A2154" i="11"/>
  <c r="A2155" i="11" a="1"/>
  <c r="A2155" i="11"/>
  <c r="A2156" i="11" a="1"/>
  <c r="A2156" i="11"/>
  <c r="A2157" i="11" a="1"/>
  <c r="A2157" i="11"/>
  <c r="A2158" i="11" a="1"/>
  <c r="A2158" i="11"/>
  <c r="A2159" i="11" a="1"/>
  <c r="A2159" i="11"/>
  <c r="A2160" i="11" a="1"/>
  <c r="A2160" i="11"/>
  <c r="A2161" i="11" a="1"/>
  <c r="A2161" i="11"/>
  <c r="A2162" i="11" a="1"/>
  <c r="A2162" i="11"/>
  <c r="A2163" i="11" a="1"/>
  <c r="A2163" i="11"/>
  <c r="A2164" i="11" a="1"/>
  <c r="A2164" i="11"/>
  <c r="A2165" i="11" a="1"/>
  <c r="A2165" i="11"/>
  <c r="A2166" i="11" a="1"/>
  <c r="A2166" i="11"/>
  <c r="A2167" i="11" a="1"/>
  <c r="A2167" i="11"/>
  <c r="A2168" i="11" a="1"/>
  <c r="A2168" i="11"/>
  <c r="A2169" i="11" a="1"/>
  <c r="A2169" i="11"/>
  <c r="A2170" i="11" a="1"/>
  <c r="A2170" i="11"/>
  <c r="A2171" i="11" a="1"/>
  <c r="A2171" i="11"/>
  <c r="A2172" i="11" a="1"/>
  <c r="A2172" i="11"/>
  <c r="A2173" i="11" a="1"/>
  <c r="A2173" i="11"/>
  <c r="A2174" i="11" a="1"/>
  <c r="A2174" i="11"/>
  <c r="A2175" i="11" a="1"/>
  <c r="A2175" i="11"/>
  <c r="A2176" i="11" a="1"/>
  <c r="A2176" i="11"/>
  <c r="A2177" i="11" a="1"/>
  <c r="A2177" i="11"/>
  <c r="A2178" i="11" a="1"/>
  <c r="A2178" i="11"/>
  <c r="A2179" i="11" a="1"/>
  <c r="A2179" i="11"/>
  <c r="A2180" i="11" a="1"/>
  <c r="A2180" i="11"/>
  <c r="A2181" i="11" a="1"/>
  <c r="A2181" i="11"/>
  <c r="A2182" i="11" a="1"/>
  <c r="A2182" i="11"/>
  <c r="A2183" i="11" a="1"/>
  <c r="A2183" i="11"/>
  <c r="A2184" i="11" a="1"/>
  <c r="A2184" i="11"/>
  <c r="A2185" i="11" a="1"/>
  <c r="A2185" i="11"/>
  <c r="A2186" i="11" a="1"/>
  <c r="A2186" i="11"/>
  <c r="A2187" i="11" a="1"/>
  <c r="A2187" i="11"/>
  <c r="A2188" i="11" a="1"/>
  <c r="A2188" i="11"/>
  <c r="A2189" i="11" a="1"/>
  <c r="A2189" i="11"/>
  <c r="A2190" i="11" a="1"/>
  <c r="A2190" i="11"/>
  <c r="A2191" i="11" a="1"/>
  <c r="A2191" i="11"/>
  <c r="A2192" i="11" a="1"/>
  <c r="A2192" i="11"/>
  <c r="A2193" i="11" a="1"/>
  <c r="A2193" i="11"/>
  <c r="A2194" i="11" a="1"/>
  <c r="A2194" i="11"/>
  <c r="A2195" i="11" a="1"/>
  <c r="A2195" i="11"/>
  <c r="A2196" i="11" a="1"/>
  <c r="A2196" i="11"/>
  <c r="A2197" i="11" a="1"/>
  <c r="A2197" i="11"/>
  <c r="A2198" i="11" a="1"/>
  <c r="A2198" i="11"/>
  <c r="A2199" i="11" a="1"/>
  <c r="A2199" i="11"/>
  <c r="A2200" i="11" a="1"/>
  <c r="A2200" i="11"/>
  <c r="A2201" i="11" a="1"/>
  <c r="A2201" i="11"/>
  <c r="A2202" i="11" a="1"/>
  <c r="A2202" i="11"/>
  <c r="A2203" i="11" a="1"/>
  <c r="A2203" i="11"/>
  <c r="A2204" i="11" a="1"/>
  <c r="A2204" i="11"/>
  <c r="A2205" i="11" a="1"/>
  <c r="A2205" i="11"/>
  <c r="A2206" i="11" a="1"/>
  <c r="A2206" i="11"/>
  <c r="A2207" i="11" a="1"/>
  <c r="A2207" i="11"/>
  <c r="A2208" i="11" a="1"/>
  <c r="A2208" i="11"/>
  <c r="A2209" i="11" a="1"/>
  <c r="A2209" i="11"/>
  <c r="A2210" i="11" a="1"/>
  <c r="A2210" i="11"/>
  <c r="A2211" i="11" a="1"/>
  <c r="A2211" i="11"/>
  <c r="A2212" i="11" a="1"/>
  <c r="A2212" i="11"/>
  <c r="A2213" i="11" a="1"/>
  <c r="A2213" i="11"/>
  <c r="A2214" i="11" a="1"/>
  <c r="A2214" i="11"/>
  <c r="A2215" i="11" a="1"/>
  <c r="A2215" i="11"/>
  <c r="A2216" i="11" a="1"/>
  <c r="A2216" i="11"/>
  <c r="A2217" i="11" a="1"/>
  <c r="A2217" i="11"/>
  <c r="A2218" i="11" a="1"/>
  <c r="A2218" i="11"/>
  <c r="A2219" i="11" a="1"/>
  <c r="A2219" i="11"/>
  <c r="A2220" i="11" a="1"/>
  <c r="A2220" i="11"/>
  <c r="A2221" i="11" a="1"/>
  <c r="A2221" i="11"/>
  <c r="A2222" i="11" a="1"/>
  <c r="A2222" i="11"/>
  <c r="A2223" i="11" a="1"/>
  <c r="A2223" i="11"/>
  <c r="A2224" i="11" a="1"/>
  <c r="A2224" i="11"/>
  <c r="A2225" i="11" a="1"/>
  <c r="A2225" i="11"/>
  <c r="A2226" i="11" a="1"/>
  <c r="A2226" i="11"/>
  <c r="A2227" i="11" a="1"/>
  <c r="A2227" i="11"/>
  <c r="A2228" i="11" a="1"/>
  <c r="A2228" i="11"/>
  <c r="A2229" i="11" a="1"/>
  <c r="A2229" i="11"/>
  <c r="A2230" i="11" a="1"/>
  <c r="A2230" i="11"/>
  <c r="A2231" i="11" a="1"/>
  <c r="A2231" i="11"/>
  <c r="A2232" i="11" a="1"/>
  <c r="A2232" i="11"/>
  <c r="A2233" i="11" a="1"/>
  <c r="A2233" i="11"/>
  <c r="A2234" i="11" a="1"/>
  <c r="A2234" i="11"/>
  <c r="A2235" i="11" a="1"/>
  <c r="A2235" i="11"/>
  <c r="A2236" i="11" a="1"/>
  <c r="A2236" i="11"/>
  <c r="A2237" i="11" a="1"/>
  <c r="A2237" i="11"/>
  <c r="A2238" i="11" a="1"/>
  <c r="A2238" i="11"/>
  <c r="A2239" i="11" a="1"/>
  <c r="A2239" i="11"/>
  <c r="A2240" i="11" a="1"/>
  <c r="A2240" i="11"/>
  <c r="A2241" i="11" a="1"/>
  <c r="A2241" i="11"/>
  <c r="A2242" i="11" a="1"/>
  <c r="A2242" i="11"/>
  <c r="A2243" i="11" a="1"/>
  <c r="A2243" i="11"/>
  <c r="A2244" i="11" a="1"/>
  <c r="A2244" i="11"/>
  <c r="A2245" i="11" a="1"/>
  <c r="A2245" i="11"/>
  <c r="A2246" i="11" a="1"/>
  <c r="A2246" i="11"/>
  <c r="A2247" i="11" a="1"/>
  <c r="A2247" i="11"/>
  <c r="A2248" i="11" a="1"/>
  <c r="A2248" i="11"/>
  <c r="A2249" i="11" a="1"/>
  <c r="A2249" i="11"/>
  <c r="A2250" i="11" a="1"/>
  <c r="A2250" i="11"/>
  <c r="A2251" i="11" a="1"/>
  <c r="A2251" i="11"/>
  <c r="A2252" i="11" a="1"/>
  <c r="A2252" i="11"/>
  <c r="A2253" i="11" a="1"/>
  <c r="A2253" i="11"/>
  <c r="A2254" i="11" a="1"/>
  <c r="A2254" i="11"/>
  <c r="A2255" i="11" a="1"/>
  <c r="A2255" i="11"/>
  <c r="A2256" i="11" a="1"/>
  <c r="A2256" i="11"/>
  <c r="A2257" i="11" a="1"/>
  <c r="A2257" i="11"/>
  <c r="A2258" i="11" a="1"/>
  <c r="A2258" i="11"/>
  <c r="A2259" i="11" a="1"/>
  <c r="A2259" i="11"/>
  <c r="A2260" i="11" a="1"/>
  <c r="A2260" i="11"/>
  <c r="A2261" i="11" a="1"/>
  <c r="A2261" i="11"/>
  <c r="A2262" i="11" a="1"/>
  <c r="A2262" i="11"/>
  <c r="A2263" i="11" a="1"/>
  <c r="A2263" i="11"/>
  <c r="A2264" i="11" a="1"/>
  <c r="A2264" i="11"/>
  <c r="A2265" i="11" a="1"/>
  <c r="A2265" i="11"/>
  <c r="A2266" i="11" a="1"/>
  <c r="A2266" i="11"/>
  <c r="A2267" i="11" a="1"/>
  <c r="A2267" i="11"/>
  <c r="A2268" i="11" a="1"/>
  <c r="A2268" i="11"/>
  <c r="A2269" i="11" a="1"/>
  <c r="A2269" i="11"/>
  <c r="A2270" i="11" a="1"/>
  <c r="A2270" i="11"/>
  <c r="A2271" i="11" a="1"/>
  <c r="A2271" i="11"/>
  <c r="A2272" i="11" a="1"/>
  <c r="A2272" i="11"/>
  <c r="A2273" i="11" a="1"/>
  <c r="A2273" i="11"/>
  <c r="A2274" i="11" a="1"/>
  <c r="A2274" i="11"/>
  <c r="A2275" i="11" a="1"/>
  <c r="A2275" i="11"/>
  <c r="A2276" i="11" a="1"/>
  <c r="A2276" i="11"/>
  <c r="A2277" i="11" a="1"/>
  <c r="A2277" i="11"/>
  <c r="A2278" i="11" a="1"/>
  <c r="A2278" i="11"/>
  <c r="A2279" i="11" a="1"/>
  <c r="A2279" i="11"/>
  <c r="A2280" i="11" a="1"/>
  <c r="A2280" i="11"/>
  <c r="A2281" i="11" a="1"/>
  <c r="A2281" i="11"/>
  <c r="A2282" i="11" a="1"/>
  <c r="A2282" i="11"/>
  <c r="A2283" i="11" a="1"/>
  <c r="A2283" i="11"/>
  <c r="A2284" i="11" a="1"/>
  <c r="A2284" i="11"/>
  <c r="A2285" i="11" a="1"/>
  <c r="A2285" i="11"/>
  <c r="A2286" i="11" a="1"/>
  <c r="A2286" i="11"/>
  <c r="A2287" i="11" a="1"/>
  <c r="A2287" i="11"/>
  <c r="A2288" i="11" a="1"/>
  <c r="A2288" i="11"/>
  <c r="A2289" i="11" a="1"/>
  <c r="A2289" i="11"/>
  <c r="A2290" i="11" a="1"/>
  <c r="A2290" i="11"/>
  <c r="A2291" i="11" a="1"/>
  <c r="A2291" i="11"/>
  <c r="A2292" i="11" a="1"/>
  <c r="A2292" i="11"/>
  <c r="A2293" i="11" a="1"/>
  <c r="A2293" i="11"/>
  <c r="A2294" i="11" a="1"/>
  <c r="A2294" i="11"/>
  <c r="A2295" i="11" a="1"/>
  <c r="A2295" i="11"/>
  <c r="A2296" i="11" a="1"/>
  <c r="A2296" i="11"/>
  <c r="A2297" i="11" a="1"/>
  <c r="A2297" i="11"/>
  <c r="A2298" i="11" a="1"/>
  <c r="A2298" i="11"/>
  <c r="A2299" i="11" a="1"/>
  <c r="A2299" i="11"/>
  <c r="A2300" i="11" a="1"/>
  <c r="A2300" i="11"/>
  <c r="A2301" i="11" a="1"/>
  <c r="A2301" i="11"/>
  <c r="A2302" i="11" a="1"/>
  <c r="A2302" i="11"/>
  <c r="A2303" i="11" a="1"/>
  <c r="A2303" i="11"/>
  <c r="A2304" i="11" a="1"/>
  <c r="A2304" i="11"/>
  <c r="A2305" i="11" a="1"/>
  <c r="A2305" i="11"/>
  <c r="A2306" i="11" a="1"/>
  <c r="A2306" i="11"/>
  <c r="A2307" i="11" a="1"/>
  <c r="A2307" i="11"/>
  <c r="A2308" i="11" a="1"/>
  <c r="A2308" i="11"/>
  <c r="A2309" i="11" a="1"/>
  <c r="A2309" i="11"/>
  <c r="A2310" i="11" a="1"/>
  <c r="A2310" i="11"/>
  <c r="A2311" i="11" a="1"/>
  <c r="A2311" i="11"/>
  <c r="A2312" i="11" a="1"/>
  <c r="A2312" i="11"/>
  <c r="A2313" i="11" a="1"/>
  <c r="A2313" i="11"/>
  <c r="A2314" i="11" a="1"/>
  <c r="A2314" i="11"/>
  <c r="A2315" i="11" a="1"/>
  <c r="A2315" i="11"/>
  <c r="A2316" i="11" a="1"/>
  <c r="A2316" i="11"/>
  <c r="A2317" i="11" a="1"/>
  <c r="A2317" i="11"/>
  <c r="A2318" i="11" a="1"/>
  <c r="A2318" i="11"/>
  <c r="A2319" i="11" a="1"/>
  <c r="A2319" i="11"/>
  <c r="A2320" i="11" a="1"/>
  <c r="A2320" i="11"/>
  <c r="A2321" i="11" a="1"/>
  <c r="A2321" i="11"/>
  <c r="A2322" i="11" a="1"/>
  <c r="A2322" i="11"/>
  <c r="A2323" i="11" a="1"/>
  <c r="A2323" i="11"/>
  <c r="A2324" i="11" a="1"/>
  <c r="A2324" i="11"/>
  <c r="A2325" i="11" a="1"/>
  <c r="A2325" i="11"/>
  <c r="A2326" i="11" a="1"/>
  <c r="A2326" i="11"/>
  <c r="A2327" i="11" a="1"/>
  <c r="A2327" i="11"/>
  <c r="A2328" i="11" a="1"/>
  <c r="A2328" i="11"/>
  <c r="A2329" i="11" a="1"/>
  <c r="A2329" i="11"/>
  <c r="A2330" i="11" a="1"/>
  <c r="A2330" i="11"/>
  <c r="A2331" i="11" a="1"/>
  <c r="A2331" i="11"/>
  <c r="A2332" i="11" a="1"/>
  <c r="A2332" i="11"/>
  <c r="A2333" i="11" a="1"/>
  <c r="A2333" i="11"/>
  <c r="A2334" i="11" a="1"/>
  <c r="A2334" i="11"/>
  <c r="A2335" i="11" a="1"/>
  <c r="A2335" i="11"/>
  <c r="A2336" i="11" a="1"/>
  <c r="A2336" i="11"/>
  <c r="A2337" i="11" a="1"/>
  <c r="A2337" i="11"/>
  <c r="A2338" i="11" a="1"/>
  <c r="A2338" i="11"/>
  <c r="A2339" i="11" a="1"/>
  <c r="A2339" i="11"/>
  <c r="A2340" i="11" a="1"/>
  <c r="A2340" i="11"/>
  <c r="A2341" i="11" a="1"/>
  <c r="A2341" i="11"/>
  <c r="A2342" i="11" a="1"/>
  <c r="A2342" i="11"/>
  <c r="A2343" i="11" a="1"/>
  <c r="A2343" i="11"/>
  <c r="A2344" i="11" a="1"/>
  <c r="A2344" i="11"/>
  <c r="A2345" i="11" a="1"/>
  <c r="A2345" i="11"/>
  <c r="A2346" i="11" a="1"/>
  <c r="A2346" i="11"/>
  <c r="A2347" i="11" a="1"/>
  <c r="A2347" i="11"/>
  <c r="A2348" i="11" a="1"/>
  <c r="A2348" i="11"/>
  <c r="A2349" i="11" a="1"/>
  <c r="A2349" i="11"/>
  <c r="A2350" i="11" a="1"/>
  <c r="A2350" i="11"/>
  <c r="A2351" i="11" a="1"/>
  <c r="A2351" i="11"/>
  <c r="A2352" i="11" a="1"/>
  <c r="A2352" i="11"/>
  <c r="A2353" i="11" a="1"/>
  <c r="A2353" i="11"/>
  <c r="A2354" i="11" a="1"/>
  <c r="A2354" i="11"/>
  <c r="A2355" i="11" a="1"/>
  <c r="A2355" i="11"/>
  <c r="A2356" i="11" a="1"/>
  <c r="A2356" i="11"/>
  <c r="A2357" i="11" a="1"/>
  <c r="A2357" i="11"/>
  <c r="A2358" i="11" a="1"/>
  <c r="A2358" i="11"/>
  <c r="A2359" i="11" a="1"/>
  <c r="A2359" i="11"/>
  <c r="A2360" i="11" a="1"/>
  <c r="A2360" i="11"/>
  <c r="A2361" i="11" a="1"/>
  <c r="A2361" i="11"/>
  <c r="A2362" i="11" a="1"/>
  <c r="A2362" i="11"/>
  <c r="A2363" i="11" a="1"/>
  <c r="A2363" i="11"/>
  <c r="A2364" i="11" a="1"/>
  <c r="A2364" i="11"/>
  <c r="A2365" i="11" a="1"/>
  <c r="A2365" i="11"/>
  <c r="A2366" i="11" a="1"/>
  <c r="A2366" i="11"/>
  <c r="A2367" i="11" a="1"/>
  <c r="A2367" i="11"/>
  <c r="A2368" i="11" a="1"/>
  <c r="A2368" i="11"/>
  <c r="A2369" i="11" a="1"/>
  <c r="A2369" i="11"/>
  <c r="A2370" i="11" a="1"/>
  <c r="A2370" i="11"/>
  <c r="A2371" i="11" a="1"/>
  <c r="A2371" i="11"/>
  <c r="A2372" i="11" a="1"/>
  <c r="A2372" i="11"/>
  <c r="A2373" i="11" a="1"/>
  <c r="A2373" i="11"/>
  <c r="A2374" i="11" a="1"/>
  <c r="A2374" i="11"/>
  <c r="A2375" i="11" a="1"/>
  <c r="A2375" i="11"/>
  <c r="A2376" i="11" a="1"/>
  <c r="A2376" i="11"/>
  <c r="A2377" i="11" a="1"/>
  <c r="A2377" i="11"/>
  <c r="A2378" i="11" a="1"/>
  <c r="A2378" i="11"/>
  <c r="A2379" i="11" a="1"/>
  <c r="A2379" i="11"/>
  <c r="A2380" i="11" a="1"/>
  <c r="A2380" i="11"/>
  <c r="A2381" i="11" a="1"/>
  <c r="A2381" i="11"/>
  <c r="A2382" i="11" a="1"/>
  <c r="A2382" i="11"/>
  <c r="A2383" i="11" a="1"/>
  <c r="A2383" i="11"/>
  <c r="A2384" i="11" a="1"/>
  <c r="A2384" i="11"/>
  <c r="A2385" i="11" a="1"/>
  <c r="A2385" i="11"/>
  <c r="A2386" i="11" a="1"/>
  <c r="A2386" i="11"/>
  <c r="A2387" i="11" a="1"/>
  <c r="A2387" i="11"/>
  <c r="A2388" i="11" a="1"/>
  <c r="A2388" i="11"/>
  <c r="A2389" i="11" a="1"/>
  <c r="A2389" i="11"/>
  <c r="A2390" i="11" a="1"/>
  <c r="A2390" i="11"/>
  <c r="A2391" i="11" a="1"/>
  <c r="A2391" i="11"/>
  <c r="A2392" i="11" a="1"/>
  <c r="A2392" i="11"/>
  <c r="A2393" i="11" a="1"/>
  <c r="A2393" i="11"/>
  <c r="A2394" i="11" a="1"/>
  <c r="A2394" i="11"/>
  <c r="A2395" i="11" a="1"/>
  <c r="A2395" i="11"/>
  <c r="A2396" i="11" a="1"/>
  <c r="A2396" i="11"/>
  <c r="A2397" i="11" a="1"/>
  <c r="A2397" i="11"/>
  <c r="A2398" i="11" a="1"/>
  <c r="A2398" i="11"/>
  <c r="A2399" i="11" a="1"/>
  <c r="A2399" i="11"/>
  <c r="A2400" i="11" a="1"/>
  <c r="A2400" i="11"/>
  <c r="A2401" i="11" a="1"/>
  <c r="A2401" i="11"/>
  <c r="A2402" i="11" a="1"/>
  <c r="A2402" i="11"/>
  <c r="A2403" i="11" a="1"/>
  <c r="A2403" i="11"/>
  <c r="A2404" i="11" a="1"/>
  <c r="A2404" i="11"/>
  <c r="A2405" i="11" a="1"/>
  <c r="A2405" i="11"/>
  <c r="A2406" i="11" a="1"/>
  <c r="A2406" i="11"/>
  <c r="A2407" i="11" a="1"/>
  <c r="A2407" i="11"/>
  <c r="A2408" i="11" a="1"/>
  <c r="A2408" i="11"/>
  <c r="A2409" i="11" a="1"/>
  <c r="A2409" i="11"/>
  <c r="A2410" i="11" a="1"/>
  <c r="A2410" i="11"/>
  <c r="A2411" i="11" a="1"/>
  <c r="A2411" i="11"/>
  <c r="A2412" i="11" a="1"/>
  <c r="A2412" i="11"/>
  <c r="A2413" i="11" a="1"/>
  <c r="A2413" i="11"/>
  <c r="A2414" i="11" a="1"/>
  <c r="A2414" i="11"/>
  <c r="A2415" i="11" a="1"/>
  <c r="A2415" i="11"/>
  <c r="A2416" i="11" a="1"/>
  <c r="A2416" i="11"/>
  <c r="A2417" i="11" a="1"/>
  <c r="A2417" i="11"/>
  <c r="A2418" i="11" a="1"/>
  <c r="A2418" i="11"/>
  <c r="A2419" i="11" a="1"/>
  <c r="A2419" i="11"/>
  <c r="A2420" i="11" a="1"/>
  <c r="A2420" i="11"/>
  <c r="A2421" i="11" a="1"/>
  <c r="A2421" i="11"/>
  <c r="A2422" i="11" a="1"/>
  <c r="A2422" i="11"/>
  <c r="A2423" i="11" a="1"/>
  <c r="A2423" i="11"/>
  <c r="A2424" i="11" a="1"/>
  <c r="A2424" i="11"/>
  <c r="A2425" i="11" a="1"/>
  <c r="A2425" i="11"/>
  <c r="A2426" i="11" a="1"/>
  <c r="A2426" i="11"/>
  <c r="A2427" i="11" a="1"/>
  <c r="A2427" i="11"/>
  <c r="A2428" i="11" a="1"/>
  <c r="A2428" i="11"/>
  <c r="A2429" i="11" a="1"/>
  <c r="A2429" i="11"/>
  <c r="A2430" i="11" a="1"/>
  <c r="A2430" i="11"/>
  <c r="A2431" i="11" a="1"/>
  <c r="A2431" i="11"/>
  <c r="A2432" i="11" a="1"/>
  <c r="A2432" i="11"/>
  <c r="A2433" i="11" a="1"/>
  <c r="A2433" i="11"/>
  <c r="A2434" i="11" a="1"/>
  <c r="A2434" i="11"/>
  <c r="A2435" i="11" a="1"/>
  <c r="A2435" i="11"/>
  <c r="A2436" i="11" a="1"/>
  <c r="A2436" i="11"/>
  <c r="A2437" i="11" a="1"/>
  <c r="A2437" i="11"/>
  <c r="A2438" i="11" a="1"/>
  <c r="A2438" i="11"/>
  <c r="A2439" i="11" a="1"/>
  <c r="A2439" i="11"/>
  <c r="A2440" i="11" a="1"/>
  <c r="A2440" i="11"/>
  <c r="A2441" i="11" a="1"/>
  <c r="A2441" i="11"/>
  <c r="A2442" i="11" a="1"/>
  <c r="A2442" i="11"/>
  <c r="A2443" i="11" a="1"/>
  <c r="A2443" i="11"/>
  <c r="A2444" i="11" a="1"/>
  <c r="A2444" i="11"/>
  <c r="A2445" i="11" a="1"/>
  <c r="A2445" i="11"/>
  <c r="A2446" i="11" a="1"/>
  <c r="A2446" i="11"/>
  <c r="A2447" i="11" a="1"/>
  <c r="A2447" i="11"/>
  <c r="A2448" i="11" a="1"/>
  <c r="A2448" i="11"/>
  <c r="A2449" i="11" a="1"/>
  <c r="A2449" i="11"/>
  <c r="A2450" i="11" a="1"/>
  <c r="A2450" i="11"/>
  <c r="A2451" i="11" a="1"/>
  <c r="A2451" i="11"/>
  <c r="A2452" i="11" a="1"/>
  <c r="A2452" i="11"/>
  <c r="A2453" i="11" a="1"/>
  <c r="A2453" i="11"/>
  <c r="A2454" i="11" a="1"/>
  <c r="A2454" i="11"/>
  <c r="A2455" i="11" a="1"/>
  <c r="A2455" i="11"/>
  <c r="A2456" i="11" a="1"/>
  <c r="A2456" i="11"/>
  <c r="A2457" i="11" a="1"/>
  <c r="A2457" i="11"/>
  <c r="A2458" i="11" a="1"/>
  <c r="A2458" i="11"/>
  <c r="A2459" i="11" a="1"/>
  <c r="A2459" i="11"/>
  <c r="A2460" i="11" a="1"/>
  <c r="A2460" i="11"/>
  <c r="A2461" i="11" a="1"/>
  <c r="A2461" i="11"/>
  <c r="A2462" i="11" a="1"/>
  <c r="A2462" i="11"/>
  <c r="A2463" i="11" a="1"/>
  <c r="A2463" i="11"/>
  <c r="A2464" i="11" a="1"/>
  <c r="A2464" i="11"/>
  <c r="A2465" i="11" a="1"/>
  <c r="A2465" i="11"/>
  <c r="A2466" i="11" a="1"/>
  <c r="A2466" i="11"/>
  <c r="A2467" i="11" a="1"/>
  <c r="A2467" i="11"/>
  <c r="A2468" i="11" a="1"/>
  <c r="A2468" i="11"/>
  <c r="A2469" i="11" a="1"/>
  <c r="A2469" i="11"/>
  <c r="A2470" i="11" a="1"/>
  <c r="A2470" i="11"/>
  <c r="A2471" i="11" a="1"/>
  <c r="A2471" i="11"/>
  <c r="A2472" i="11" a="1"/>
  <c r="A2472" i="11"/>
  <c r="A2473" i="11" a="1"/>
  <c r="A2473" i="11"/>
  <c r="A2474" i="11" a="1"/>
  <c r="A2474" i="11"/>
  <c r="A2475" i="11" a="1"/>
  <c r="A2475" i="11"/>
  <c r="A2476" i="11" a="1"/>
  <c r="A2476" i="11"/>
  <c r="A2477" i="11" a="1"/>
  <c r="A2477" i="11"/>
  <c r="A2478" i="11" a="1"/>
  <c r="A2478" i="11"/>
  <c r="A2479" i="11" a="1"/>
  <c r="A2479" i="11"/>
  <c r="A2480" i="11" a="1"/>
  <c r="A2480" i="11"/>
  <c r="A2481" i="11" a="1"/>
  <c r="A2481" i="11"/>
  <c r="A2482" i="11" a="1"/>
  <c r="A2482" i="11"/>
  <c r="A2483" i="11" a="1"/>
  <c r="A2483" i="11"/>
  <c r="A2484" i="11" a="1"/>
  <c r="A2484" i="11"/>
  <c r="A2485" i="11" a="1"/>
  <c r="A2485" i="11"/>
  <c r="A2486" i="11" a="1"/>
  <c r="A2486" i="11"/>
  <c r="A2487" i="11" a="1"/>
  <c r="A2487" i="11"/>
  <c r="A2488" i="11" a="1"/>
  <c r="A2488" i="11"/>
  <c r="A2489" i="11" a="1"/>
  <c r="A2489" i="11"/>
  <c r="A2490" i="11" a="1"/>
  <c r="A2490" i="11"/>
  <c r="A2491" i="11" a="1"/>
  <c r="A2491" i="11"/>
  <c r="A2492" i="11" a="1"/>
  <c r="A2492" i="11"/>
  <c r="A2493" i="11" a="1"/>
  <c r="A2493" i="11"/>
  <c r="A2494" i="11" a="1"/>
  <c r="A2494" i="11"/>
  <c r="A2495" i="11" a="1"/>
  <c r="A2495" i="11"/>
  <c r="A2496" i="11" a="1"/>
  <c r="A2496" i="11"/>
  <c r="A2497" i="11" a="1"/>
  <c r="A2497" i="11"/>
  <c r="A2498" i="11" a="1"/>
  <c r="A2498" i="11"/>
  <c r="A2499" i="11" a="1"/>
  <c r="A2499" i="11"/>
  <c r="A2500" i="11" a="1"/>
  <c r="A2500" i="11"/>
  <c r="A2501" i="11" a="1"/>
  <c r="A2501" i="11"/>
  <c r="A2502" i="11" a="1"/>
  <c r="A2502" i="11"/>
  <c r="A2503" i="11" a="1"/>
  <c r="A2503" i="11"/>
  <c r="A2504" i="11" a="1"/>
  <c r="A2504" i="11"/>
  <c r="A2505" i="11" a="1"/>
  <c r="A2505" i="11"/>
  <c r="A2506" i="11" a="1"/>
  <c r="A2506" i="11"/>
  <c r="A2507" i="11" a="1"/>
  <c r="A2507" i="11"/>
  <c r="A2508" i="11" a="1"/>
  <c r="A2508" i="11"/>
  <c r="A2509" i="11" a="1"/>
  <c r="A2509" i="11"/>
  <c r="A2510" i="11" a="1"/>
  <c r="A2510" i="11"/>
  <c r="A2511" i="11" a="1"/>
  <c r="A2511" i="11"/>
  <c r="A2512" i="11" a="1"/>
  <c r="A2512" i="11"/>
  <c r="A2513" i="11" a="1"/>
  <c r="A2513" i="11"/>
  <c r="A2514" i="11" a="1"/>
  <c r="A2514" i="11"/>
  <c r="A2515" i="11" a="1"/>
  <c r="A2515" i="11"/>
  <c r="A2516" i="11" a="1"/>
  <c r="A2516" i="11"/>
  <c r="A2517" i="11" a="1"/>
  <c r="A2517" i="11"/>
  <c r="A2518" i="11" a="1"/>
  <c r="A2518" i="11"/>
  <c r="A2519" i="11" a="1"/>
  <c r="A2519" i="11"/>
  <c r="A2520" i="11" a="1"/>
  <c r="A2520" i="11"/>
  <c r="A2521" i="11" a="1"/>
  <c r="A2521" i="11"/>
  <c r="A2522" i="11" a="1"/>
  <c r="A2522" i="11"/>
  <c r="A2523" i="11" a="1"/>
  <c r="A2523" i="11"/>
  <c r="A2524" i="11" a="1"/>
  <c r="A2524" i="11"/>
  <c r="A2525" i="11" a="1"/>
  <c r="A2525" i="11"/>
  <c r="A2526" i="11" a="1"/>
  <c r="A2526" i="11"/>
  <c r="A2527" i="11" a="1"/>
  <c r="A2527" i="11"/>
  <c r="A2528" i="11" a="1"/>
  <c r="A2528" i="11"/>
  <c r="A2529" i="11" a="1"/>
  <c r="A2529" i="11"/>
  <c r="A2530" i="11" a="1"/>
  <c r="A2530" i="11"/>
  <c r="A2531" i="11" a="1"/>
  <c r="A2531" i="11"/>
  <c r="A2532" i="11" a="1"/>
  <c r="A2532" i="11"/>
  <c r="A2533" i="11" a="1"/>
  <c r="A2533" i="11"/>
  <c r="A2534" i="11" a="1"/>
  <c r="A2534" i="11"/>
  <c r="A2535" i="11" a="1"/>
  <c r="A2535" i="11"/>
  <c r="A2536" i="11" a="1"/>
  <c r="A2536" i="11"/>
  <c r="A2537" i="11" a="1"/>
  <c r="A2537" i="11"/>
  <c r="A2538" i="11" a="1"/>
  <c r="A2538" i="11"/>
  <c r="A2539" i="11" a="1"/>
  <c r="A2539" i="11"/>
  <c r="A2540" i="11" a="1"/>
  <c r="A2540" i="11"/>
  <c r="A2541" i="11" a="1"/>
  <c r="A2541" i="11"/>
  <c r="A2542" i="11" a="1"/>
  <c r="A2542" i="11"/>
  <c r="A2543" i="11" a="1"/>
  <c r="A2543" i="11"/>
  <c r="A2544" i="11" a="1"/>
  <c r="A2544" i="11"/>
  <c r="A2545" i="11" a="1"/>
  <c r="A2545" i="11"/>
  <c r="A2546" i="11" a="1"/>
  <c r="A2546" i="11"/>
  <c r="A2547" i="11" a="1"/>
  <c r="A2547" i="11"/>
  <c r="A2548" i="11" a="1"/>
  <c r="A2548" i="11"/>
  <c r="A2549" i="11" a="1"/>
  <c r="A2549" i="11"/>
  <c r="A2550" i="11" a="1"/>
  <c r="A2550" i="11"/>
  <c r="A2551" i="11" a="1"/>
  <c r="A2551" i="11"/>
  <c r="A2552" i="11" a="1"/>
  <c r="A2552" i="11"/>
  <c r="A2553" i="11" a="1"/>
  <c r="A2553" i="11"/>
  <c r="A2554" i="11" a="1"/>
  <c r="A2554" i="11"/>
  <c r="A2555" i="11" a="1"/>
  <c r="A2555" i="11"/>
  <c r="A2556" i="11" a="1"/>
  <c r="A2556" i="11"/>
  <c r="A2557" i="11" a="1"/>
  <c r="A2557" i="11"/>
  <c r="A2558" i="11" a="1"/>
  <c r="A2558" i="11"/>
  <c r="A2559" i="11" a="1"/>
  <c r="A2559" i="11"/>
  <c r="A2560" i="11" a="1"/>
  <c r="A2560" i="11"/>
  <c r="A2561" i="11" a="1"/>
  <c r="A2561" i="11"/>
  <c r="A2562" i="11" a="1"/>
  <c r="A2562" i="11"/>
  <c r="A2563" i="11" a="1"/>
  <c r="A2563" i="11"/>
  <c r="A2564" i="11" a="1"/>
  <c r="A2564" i="11"/>
  <c r="A2565" i="11" a="1"/>
  <c r="A2565" i="11"/>
  <c r="A2566" i="11" a="1"/>
  <c r="A2566" i="11"/>
  <c r="A2567" i="11" a="1"/>
  <c r="A2567" i="11"/>
  <c r="A2568" i="11" a="1"/>
  <c r="A2568" i="11"/>
  <c r="A2569" i="11" a="1"/>
  <c r="A2569" i="11"/>
  <c r="A2570" i="11" a="1"/>
  <c r="A2570" i="11"/>
  <c r="A2571" i="11" a="1"/>
  <c r="A2571" i="11"/>
  <c r="A2572" i="11" a="1"/>
  <c r="A2572" i="11"/>
  <c r="A2573" i="11" a="1"/>
  <c r="A2573" i="11"/>
  <c r="A2574" i="11" a="1"/>
  <c r="A2574" i="11"/>
  <c r="A2575" i="11" a="1"/>
  <c r="A2575" i="11"/>
  <c r="E870" i="11" a="1"/>
  <c r="E870" i="11"/>
  <c r="E871" i="11" a="1"/>
  <c r="E871" i="11"/>
  <c r="E872" i="11" a="1"/>
  <c r="E872" i="11"/>
  <c r="E873" i="11" a="1"/>
  <c r="E873" i="11"/>
  <c r="E874" i="11" a="1"/>
  <c r="E874" i="11"/>
  <c r="E875" i="11" a="1"/>
  <c r="E875" i="11"/>
  <c r="E876" i="11" a="1"/>
  <c r="E876" i="11"/>
  <c r="E877" i="11" a="1"/>
  <c r="E877" i="11"/>
  <c r="E878" i="11" a="1"/>
  <c r="E878" i="11"/>
  <c r="E879" i="11" a="1"/>
  <c r="E879" i="11"/>
  <c r="E880" i="11" a="1"/>
  <c r="E880" i="11"/>
  <c r="E881" i="11" a="1"/>
  <c r="E881" i="11"/>
  <c r="E882" i="11" a="1"/>
  <c r="E882" i="11"/>
  <c r="E883" i="11" a="1"/>
  <c r="E883" i="11"/>
  <c r="E884" i="11" a="1"/>
  <c r="E884" i="11"/>
  <c r="E885" i="11" a="1"/>
  <c r="E885" i="11"/>
  <c r="E886" i="11" a="1"/>
  <c r="E886" i="11"/>
  <c r="E887" i="11" a="1"/>
  <c r="E887" i="11"/>
  <c r="E888" i="11" a="1"/>
  <c r="E888" i="11"/>
  <c r="E889" i="11" a="1"/>
  <c r="E889" i="11"/>
  <c r="E890" i="11" a="1"/>
  <c r="E890" i="11"/>
  <c r="E891" i="11" a="1"/>
  <c r="E891" i="11"/>
  <c r="E892" i="11" a="1"/>
  <c r="E892" i="11"/>
  <c r="E893" i="11" a="1"/>
  <c r="E893" i="11"/>
  <c r="E894" i="11" a="1"/>
  <c r="E894" i="11"/>
  <c r="E895" i="11" a="1"/>
  <c r="E895" i="11"/>
  <c r="E896" i="11" a="1"/>
  <c r="E896" i="11"/>
  <c r="E897" i="11" a="1"/>
  <c r="E897" i="11"/>
  <c r="E898" i="11" a="1"/>
  <c r="E898" i="11"/>
  <c r="E899" i="11" a="1"/>
  <c r="E899" i="11"/>
  <c r="E900" i="11" a="1"/>
  <c r="E900" i="11"/>
  <c r="E901" i="11" a="1"/>
  <c r="E901" i="11"/>
  <c r="E902" i="11" a="1"/>
  <c r="E902" i="11"/>
  <c r="E903" i="11" a="1"/>
  <c r="E903" i="11"/>
  <c r="E904" i="11" a="1"/>
  <c r="E904" i="11"/>
  <c r="E905" i="11" a="1"/>
  <c r="E905" i="11"/>
  <c r="E906" i="11" a="1"/>
  <c r="E906" i="11"/>
  <c r="E907" i="11" a="1"/>
  <c r="E907" i="11"/>
  <c r="E908" i="11" a="1"/>
  <c r="E908" i="11"/>
  <c r="E909" i="11" a="1"/>
  <c r="E909" i="11"/>
  <c r="E910" i="11" a="1"/>
  <c r="E910" i="11"/>
  <c r="E911" i="11" a="1"/>
  <c r="E911" i="11"/>
  <c r="E912" i="11" a="1"/>
  <c r="E912" i="11"/>
  <c r="E913" i="11" a="1"/>
  <c r="E913" i="11"/>
  <c r="E914" i="11" a="1"/>
  <c r="E914" i="11"/>
  <c r="E915" i="11" a="1"/>
  <c r="E915" i="11"/>
  <c r="E916" i="11" a="1"/>
  <c r="E916" i="11"/>
  <c r="E917" i="11" a="1"/>
  <c r="E917" i="11"/>
  <c r="E918" i="11" a="1"/>
  <c r="E918" i="11"/>
  <c r="E919" i="11" a="1"/>
  <c r="E919" i="11"/>
  <c r="E920" i="11" a="1"/>
  <c r="E920" i="11"/>
  <c r="E921" i="11" a="1"/>
  <c r="E921" i="11"/>
  <c r="E922" i="11" a="1"/>
  <c r="E922" i="11"/>
  <c r="E923" i="11" a="1"/>
  <c r="E923" i="11"/>
  <c r="E924" i="11" a="1"/>
  <c r="E924" i="11"/>
  <c r="E925" i="11" a="1"/>
  <c r="E925" i="11"/>
  <c r="E926" i="11" a="1"/>
  <c r="E926" i="11"/>
  <c r="E927" i="11" a="1"/>
  <c r="E927" i="11"/>
  <c r="E928" i="11" a="1"/>
  <c r="E928" i="11"/>
  <c r="E929" i="11" a="1"/>
  <c r="E929" i="11"/>
  <c r="E930" i="11" a="1"/>
  <c r="E930" i="11"/>
  <c r="E931" i="11" a="1"/>
  <c r="E931" i="11"/>
  <c r="E932" i="11" a="1"/>
  <c r="E932" i="11"/>
  <c r="E933" i="11" a="1"/>
  <c r="E933" i="11"/>
  <c r="E934" i="11" a="1"/>
  <c r="E934" i="11"/>
  <c r="E935" i="11" a="1"/>
  <c r="E935" i="11"/>
  <c r="E936" i="11" a="1"/>
  <c r="E936" i="11"/>
  <c r="E937" i="11" a="1"/>
  <c r="E937" i="11"/>
  <c r="E938" i="11" a="1"/>
  <c r="E938" i="11"/>
  <c r="E939" i="11" a="1"/>
  <c r="E939" i="11"/>
  <c r="E940" i="11" a="1"/>
  <c r="E940" i="11"/>
  <c r="E941" i="11" a="1"/>
  <c r="E941" i="11"/>
  <c r="E942" i="11" a="1"/>
  <c r="E942" i="11"/>
  <c r="E943" i="11" a="1"/>
  <c r="E943" i="11"/>
  <c r="E944" i="11" a="1"/>
  <c r="E944" i="11"/>
  <c r="E945" i="11" a="1"/>
  <c r="E945" i="11"/>
  <c r="E946" i="11" a="1"/>
  <c r="E946" i="11"/>
  <c r="E947" i="11" a="1"/>
  <c r="E947" i="11"/>
  <c r="E948" i="11" a="1"/>
  <c r="E948" i="11"/>
  <c r="E949" i="11" a="1"/>
  <c r="E949" i="11"/>
  <c r="E950" i="11" a="1"/>
  <c r="E950" i="11"/>
  <c r="E951" i="11" a="1"/>
  <c r="E951" i="11"/>
  <c r="E952" i="11" a="1"/>
  <c r="E952" i="11"/>
  <c r="E953" i="11" a="1"/>
  <c r="E953" i="11"/>
  <c r="E954" i="11" a="1"/>
  <c r="E954" i="11"/>
  <c r="E955" i="11" a="1"/>
  <c r="E955" i="11"/>
  <c r="E956" i="11" a="1"/>
  <c r="E956" i="11"/>
  <c r="E957" i="11" a="1"/>
  <c r="E957" i="11"/>
  <c r="E958" i="11" a="1"/>
  <c r="E958" i="11"/>
  <c r="E959" i="11" a="1"/>
  <c r="E959" i="11"/>
  <c r="E960" i="11" a="1"/>
  <c r="E960" i="11"/>
  <c r="E961" i="11" a="1"/>
  <c r="E961" i="11"/>
  <c r="E962" i="11" a="1"/>
  <c r="E962" i="11"/>
  <c r="E963" i="11" a="1"/>
  <c r="E963" i="11"/>
  <c r="E964" i="11" a="1"/>
  <c r="E964" i="11"/>
  <c r="E965" i="11" a="1"/>
  <c r="E965" i="11"/>
  <c r="E966" i="11" a="1"/>
  <c r="E966" i="11"/>
  <c r="E967" i="11" a="1"/>
  <c r="E967" i="11"/>
  <c r="E968" i="11" a="1"/>
  <c r="E968" i="11"/>
  <c r="E969" i="11" a="1"/>
  <c r="E969" i="11"/>
  <c r="E970" i="11" a="1"/>
  <c r="E970" i="11"/>
  <c r="E971" i="11" a="1"/>
  <c r="E971" i="11"/>
  <c r="E972" i="11" a="1"/>
  <c r="E972" i="11"/>
  <c r="E973" i="11" a="1"/>
  <c r="E973" i="11"/>
  <c r="E974" i="11" a="1"/>
  <c r="E974" i="11"/>
  <c r="E975" i="11" a="1"/>
  <c r="E975" i="11"/>
  <c r="E976" i="11" a="1"/>
  <c r="E976" i="11"/>
  <c r="E977" i="11" a="1"/>
  <c r="E977" i="11"/>
  <c r="E978" i="11" a="1"/>
  <c r="E978" i="11"/>
  <c r="E979" i="11" a="1"/>
  <c r="E979" i="11"/>
  <c r="E980" i="11" a="1"/>
  <c r="E980" i="11"/>
  <c r="E981" i="11" a="1"/>
  <c r="E981" i="11"/>
  <c r="E982" i="11" a="1"/>
  <c r="E982" i="11"/>
  <c r="E983" i="11" a="1"/>
  <c r="E983" i="11"/>
  <c r="E984" i="11" a="1"/>
  <c r="E984" i="11"/>
  <c r="E985" i="11" a="1"/>
  <c r="E985" i="11"/>
  <c r="E986" i="11" a="1"/>
  <c r="E986" i="11"/>
  <c r="E987" i="11" a="1"/>
  <c r="E987" i="11"/>
  <c r="E988" i="11" a="1"/>
  <c r="E988" i="11"/>
  <c r="E989" i="11" a="1"/>
  <c r="E989" i="11"/>
  <c r="E990" i="11" a="1"/>
  <c r="E990" i="11"/>
  <c r="E991" i="11" a="1"/>
  <c r="E991" i="11"/>
  <c r="E992" i="11" a="1"/>
  <c r="E992" i="11"/>
  <c r="E993" i="11" a="1"/>
  <c r="E993" i="11"/>
  <c r="E994" i="11" a="1"/>
  <c r="E994" i="11"/>
  <c r="E995" i="11" a="1"/>
  <c r="E995" i="11"/>
  <c r="E996" i="11" a="1"/>
  <c r="E996" i="11"/>
  <c r="E997" i="11" a="1"/>
  <c r="E997" i="11"/>
  <c r="E998" i="11" a="1"/>
  <c r="E998" i="11"/>
  <c r="E999" i="11" a="1"/>
  <c r="E999" i="11"/>
  <c r="E1000" i="11" a="1"/>
  <c r="E1000" i="11"/>
  <c r="E1001" i="11" a="1"/>
  <c r="E1001" i="11"/>
  <c r="E1002" i="11" a="1"/>
  <c r="E1002" i="11"/>
  <c r="E1003" i="11" a="1"/>
  <c r="E1003" i="11"/>
  <c r="E1004" i="11" a="1"/>
  <c r="E1004" i="11"/>
  <c r="E1005" i="11" a="1"/>
  <c r="E1005" i="11"/>
  <c r="E1006" i="11" a="1"/>
  <c r="E1006" i="11"/>
  <c r="E1007" i="11" a="1"/>
  <c r="E1007" i="11"/>
  <c r="E1008" i="11" a="1"/>
  <c r="E1008" i="11"/>
  <c r="E1009" i="11" a="1"/>
  <c r="E1009" i="11"/>
  <c r="E1010" i="11" a="1"/>
  <c r="E1010" i="11"/>
  <c r="E1011" i="11" a="1"/>
  <c r="E1011" i="11"/>
  <c r="E1012" i="11" a="1"/>
  <c r="E1012" i="11"/>
  <c r="E1013" i="11" a="1"/>
  <c r="E1013" i="11"/>
  <c r="E1014" i="11" a="1"/>
  <c r="E1014" i="11"/>
  <c r="E1015" i="11" a="1"/>
  <c r="E1015" i="11"/>
  <c r="E1016" i="11" a="1"/>
  <c r="E1016" i="11"/>
  <c r="E1017" i="11" a="1"/>
  <c r="E1017" i="11"/>
  <c r="E1018" i="11" a="1"/>
  <c r="E1018" i="11"/>
  <c r="E1019" i="11" a="1"/>
  <c r="E1019" i="11"/>
  <c r="E1020" i="11" a="1"/>
  <c r="E1020" i="11"/>
  <c r="E1021" i="11" a="1"/>
  <c r="E1021" i="11"/>
  <c r="E1022" i="11" a="1"/>
  <c r="E1022" i="11"/>
  <c r="E1023" i="11" a="1"/>
  <c r="E1023" i="11"/>
  <c r="E1024" i="11" a="1"/>
  <c r="E1024" i="11"/>
  <c r="E1025" i="11" a="1"/>
  <c r="E1025" i="11"/>
  <c r="E1026" i="11" a="1"/>
  <c r="E1026" i="11"/>
  <c r="E1027" i="11" a="1"/>
  <c r="E1027" i="11"/>
  <c r="E1028" i="11" a="1"/>
  <c r="E1028" i="11"/>
  <c r="E1029" i="11" a="1"/>
  <c r="E1029" i="11"/>
  <c r="E1030" i="11" a="1"/>
  <c r="E1030" i="11"/>
  <c r="E1031" i="11" a="1"/>
  <c r="E1031" i="11"/>
  <c r="E1032" i="11" a="1"/>
  <c r="E1032" i="11"/>
  <c r="E1033" i="11" a="1"/>
  <c r="E1033" i="11"/>
  <c r="E1034" i="11" a="1"/>
  <c r="E1034" i="11"/>
  <c r="E1035" i="11" a="1"/>
  <c r="E1035" i="11"/>
  <c r="E1036" i="11" a="1"/>
  <c r="E1036" i="11"/>
  <c r="E1037" i="11" a="1"/>
  <c r="E1037" i="11"/>
  <c r="E1038" i="11" a="1"/>
  <c r="E1038" i="11"/>
  <c r="E1039" i="11" a="1"/>
  <c r="E1039" i="11"/>
  <c r="E1040" i="11" a="1"/>
  <c r="E1040" i="11"/>
  <c r="E1041" i="11" a="1"/>
  <c r="E1041" i="11"/>
  <c r="E1042" i="11" a="1"/>
  <c r="E1042" i="11"/>
  <c r="E1043" i="11" a="1"/>
  <c r="E1043" i="11"/>
  <c r="E1044" i="11" a="1"/>
  <c r="E1044" i="11"/>
  <c r="E1045" i="11" a="1"/>
  <c r="E1045" i="11"/>
  <c r="E1046" i="11" a="1"/>
  <c r="E1046" i="11"/>
  <c r="E1047" i="11" a="1"/>
  <c r="E1047" i="11"/>
  <c r="E1048" i="11" a="1"/>
  <c r="E1048" i="11"/>
  <c r="E1049" i="11" a="1"/>
  <c r="E1049" i="11"/>
  <c r="E1050" i="11" a="1"/>
  <c r="E1050" i="11"/>
  <c r="E1051" i="11" a="1"/>
  <c r="E1051" i="11"/>
  <c r="E1052" i="11" a="1"/>
  <c r="E1052" i="11"/>
  <c r="E1053" i="11" a="1"/>
  <c r="E1053" i="11"/>
  <c r="E1054" i="11" a="1"/>
  <c r="E1054" i="11"/>
  <c r="E1055" i="11" a="1"/>
  <c r="E1055" i="11"/>
  <c r="E1056" i="11" a="1"/>
  <c r="E1056" i="11"/>
  <c r="E1057" i="11" a="1"/>
  <c r="E1057" i="11"/>
  <c r="E1058" i="11" a="1"/>
  <c r="E1058" i="11"/>
  <c r="E1059" i="11" a="1"/>
  <c r="E1059" i="11"/>
  <c r="E1060" i="11" a="1"/>
  <c r="E1060" i="11"/>
  <c r="E1061" i="11" a="1"/>
  <c r="E1061" i="11"/>
  <c r="E1062" i="11" a="1"/>
  <c r="E1062" i="11"/>
  <c r="E1063" i="11" a="1"/>
  <c r="E1063" i="11"/>
  <c r="E1064" i="11" a="1"/>
  <c r="E1064" i="11"/>
  <c r="E1065" i="11" a="1"/>
  <c r="E1065" i="11"/>
  <c r="E1066" i="11" a="1"/>
  <c r="E1066" i="11"/>
  <c r="E1067" i="11" a="1"/>
  <c r="E1067" i="11"/>
  <c r="E1068" i="11" a="1"/>
  <c r="E1068" i="11"/>
  <c r="E1069" i="11" a="1"/>
  <c r="E1069" i="11"/>
  <c r="E1070" i="11" a="1"/>
  <c r="E1070" i="11"/>
  <c r="E1071" i="11" a="1"/>
  <c r="E1071" i="11"/>
  <c r="E1072" i="11" a="1"/>
  <c r="E1072" i="11"/>
  <c r="E1073" i="11" a="1"/>
  <c r="E1073" i="11"/>
  <c r="E1074" i="11" a="1"/>
  <c r="E1074" i="11"/>
  <c r="E1075" i="11" a="1"/>
  <c r="E1075" i="11"/>
  <c r="E1076" i="11" a="1"/>
  <c r="E1076" i="11"/>
  <c r="E1077" i="11" a="1"/>
  <c r="E1077" i="11"/>
  <c r="E1078" i="11" a="1"/>
  <c r="E1078" i="11"/>
  <c r="E1079" i="11" a="1"/>
  <c r="E1079" i="11"/>
  <c r="E1080" i="11" a="1"/>
  <c r="E1080" i="11"/>
  <c r="E1081" i="11" a="1"/>
  <c r="E1081" i="11"/>
  <c r="E1082" i="11" a="1"/>
  <c r="E1082" i="11"/>
  <c r="E1083" i="11" a="1"/>
  <c r="E1083" i="11"/>
  <c r="E1084" i="11" a="1"/>
  <c r="E1084" i="11"/>
  <c r="E1085" i="11" a="1"/>
  <c r="E1085" i="11"/>
  <c r="E1086" i="11" a="1"/>
  <c r="E1086" i="11"/>
  <c r="E1087" i="11" a="1"/>
  <c r="E1087" i="11"/>
  <c r="E1088" i="11" a="1"/>
  <c r="E1088" i="11"/>
  <c r="E1089" i="11" a="1"/>
  <c r="E1089" i="11"/>
  <c r="E1090" i="11" a="1"/>
  <c r="E1090" i="11"/>
  <c r="E1091" i="11" a="1"/>
  <c r="E1091" i="11"/>
  <c r="E1092" i="11" a="1"/>
  <c r="E1092" i="11"/>
  <c r="E1093" i="11" a="1"/>
  <c r="E1093" i="11"/>
  <c r="E1094" i="11" a="1"/>
  <c r="E1094" i="11"/>
  <c r="E1095" i="11" a="1"/>
  <c r="E1095" i="11"/>
  <c r="E1096" i="11" a="1"/>
  <c r="E1096" i="11"/>
  <c r="E1097" i="11" a="1"/>
  <c r="E1097" i="11"/>
  <c r="E1098" i="11" a="1"/>
  <c r="E1098" i="11"/>
  <c r="E1099" i="11" a="1"/>
  <c r="E1099" i="11"/>
  <c r="E1100" i="11" a="1"/>
  <c r="E1100" i="11"/>
  <c r="E1101" i="11" a="1"/>
  <c r="E1101" i="11"/>
  <c r="E1102" i="11" a="1"/>
  <c r="E1102" i="11"/>
  <c r="E1103" i="11" a="1"/>
  <c r="E1103" i="11"/>
  <c r="E1104" i="11" a="1"/>
  <c r="E1104" i="11"/>
  <c r="E1105" i="11" a="1"/>
  <c r="E1105" i="11"/>
  <c r="E1106" i="11" a="1"/>
  <c r="E1106" i="11"/>
  <c r="E1107" i="11" a="1"/>
  <c r="E1107" i="11"/>
  <c r="E1108" i="11" a="1"/>
  <c r="E1108" i="11"/>
  <c r="E1109" i="11" a="1"/>
  <c r="E1109" i="11"/>
  <c r="E1110" i="11" a="1"/>
  <c r="E1110" i="11"/>
  <c r="E1111" i="11" a="1"/>
  <c r="E1111" i="11"/>
  <c r="E1112" i="11" a="1"/>
  <c r="E1112" i="11"/>
  <c r="E1113" i="11" a="1"/>
  <c r="E1113" i="11"/>
  <c r="E1114" i="11" a="1"/>
  <c r="E1114" i="11"/>
  <c r="E1115" i="11" a="1"/>
  <c r="E1115" i="11"/>
  <c r="E1116" i="11" a="1"/>
  <c r="E1116" i="11"/>
  <c r="E1117" i="11" a="1"/>
  <c r="E1117" i="11"/>
  <c r="E1118" i="11" a="1"/>
  <c r="E1118" i="11"/>
  <c r="E1119" i="11" a="1"/>
  <c r="E1119" i="11"/>
  <c r="E1120" i="11" a="1"/>
  <c r="E1120" i="11"/>
  <c r="E1121" i="11" a="1"/>
  <c r="E1121" i="11"/>
  <c r="E1122" i="11" a="1"/>
  <c r="E1122" i="11"/>
  <c r="E1123" i="11" a="1"/>
  <c r="E1123" i="11"/>
  <c r="E1124" i="11" a="1"/>
  <c r="E1124" i="11"/>
  <c r="E1125" i="11" a="1"/>
  <c r="E1125" i="11"/>
  <c r="E1126" i="11" a="1"/>
  <c r="E1126" i="11"/>
  <c r="E1127" i="11" a="1"/>
  <c r="E1127" i="11"/>
  <c r="E1128" i="11" a="1"/>
  <c r="E1128" i="11"/>
  <c r="E1129" i="11" a="1"/>
  <c r="E1129" i="11"/>
  <c r="E1130" i="11" a="1"/>
  <c r="E1130" i="11"/>
  <c r="E1131" i="11" a="1"/>
  <c r="E1131" i="11"/>
  <c r="E1132" i="11" a="1"/>
  <c r="E1132" i="11"/>
  <c r="E1133" i="11" a="1"/>
  <c r="E1133" i="11"/>
  <c r="E1134" i="11" a="1"/>
  <c r="E1134" i="11"/>
  <c r="E1135" i="11" a="1"/>
  <c r="E1135" i="11"/>
  <c r="E1136" i="11" a="1"/>
  <c r="E1136" i="11"/>
  <c r="E1137" i="11" a="1"/>
  <c r="E1137" i="11"/>
  <c r="E1138" i="11" a="1"/>
  <c r="E1138" i="11"/>
  <c r="E1139" i="11" a="1"/>
  <c r="E1139" i="11"/>
  <c r="E1140" i="11" a="1"/>
  <c r="E1140" i="11"/>
  <c r="E1141" i="11" a="1"/>
  <c r="E1141" i="11"/>
  <c r="E1142" i="11" a="1"/>
  <c r="E1142" i="11"/>
  <c r="E1143" i="11" a="1"/>
  <c r="E1143" i="11"/>
  <c r="E1144" i="11" a="1"/>
  <c r="E1144" i="11"/>
  <c r="E1145" i="11" a="1"/>
  <c r="E1145" i="11"/>
  <c r="E1146" i="11" a="1"/>
  <c r="E1146" i="11"/>
  <c r="E1147" i="11" a="1"/>
  <c r="E1147" i="11"/>
  <c r="E1148" i="11" a="1"/>
  <c r="E1148" i="11"/>
  <c r="E1149" i="11" a="1"/>
  <c r="E1149" i="11"/>
  <c r="E1150" i="11" a="1"/>
  <c r="E1150" i="11"/>
  <c r="E1151" i="11" a="1"/>
  <c r="E1151" i="11"/>
  <c r="E1152" i="11" a="1"/>
  <c r="E1152" i="11"/>
  <c r="E1153" i="11" a="1"/>
  <c r="E1153" i="11"/>
  <c r="E1154" i="11" a="1"/>
  <c r="E1154" i="11"/>
  <c r="E1155" i="11" a="1"/>
  <c r="E1155" i="11"/>
  <c r="E1156" i="11" a="1"/>
  <c r="E1156" i="11"/>
  <c r="E1157" i="11" a="1"/>
  <c r="E1157" i="11"/>
  <c r="E1158" i="11" a="1"/>
  <c r="E1158" i="11"/>
  <c r="E1159" i="11" a="1"/>
  <c r="E1159" i="11"/>
  <c r="E1160" i="11" a="1"/>
  <c r="E1160" i="11"/>
  <c r="E1161" i="11" a="1"/>
  <c r="E1161" i="11"/>
  <c r="E1162" i="11" a="1"/>
  <c r="E1162" i="11"/>
  <c r="E1163" i="11" a="1"/>
  <c r="E1163" i="11"/>
  <c r="E1164" i="11" a="1"/>
  <c r="E1164" i="11"/>
  <c r="E1165" i="11" a="1"/>
  <c r="E1165" i="11"/>
  <c r="E1166" i="11" a="1"/>
  <c r="E1166" i="11"/>
  <c r="E1167" i="11" a="1"/>
  <c r="E1167" i="11"/>
  <c r="E1168" i="11" a="1"/>
  <c r="E1168" i="11"/>
  <c r="E1169" i="11" a="1"/>
  <c r="E1169" i="11"/>
  <c r="E1170" i="11" a="1"/>
  <c r="E1170" i="11"/>
  <c r="E1171" i="11" a="1"/>
  <c r="E1171" i="11"/>
  <c r="E1172" i="11" a="1"/>
  <c r="E1172" i="11"/>
  <c r="E1173" i="11" a="1"/>
  <c r="E1173" i="11"/>
  <c r="E1174" i="11" a="1"/>
  <c r="E1174" i="11"/>
  <c r="E1175" i="11" a="1"/>
  <c r="E1175" i="11"/>
  <c r="E1176" i="11" a="1"/>
  <c r="E1176" i="11"/>
  <c r="E1177" i="11" a="1"/>
  <c r="E1177" i="11"/>
  <c r="E1178" i="11" a="1"/>
  <c r="E1178" i="11"/>
  <c r="E1179" i="11" a="1"/>
  <c r="E1179" i="11"/>
  <c r="E1180" i="11" a="1"/>
  <c r="E1180" i="11"/>
  <c r="E1181" i="11" a="1"/>
  <c r="E1181" i="11"/>
  <c r="E1182" i="11" a="1"/>
  <c r="E1182" i="11"/>
  <c r="E1183" i="11" a="1"/>
  <c r="E1183" i="11"/>
  <c r="E1184" i="11" a="1"/>
  <c r="E1184" i="11"/>
  <c r="E1185" i="11" a="1"/>
  <c r="E1185" i="11"/>
  <c r="E1186" i="11" a="1"/>
  <c r="E1186" i="11"/>
  <c r="E1187" i="11" a="1"/>
  <c r="E1187" i="11"/>
  <c r="E1188" i="11" a="1"/>
  <c r="E1188" i="11"/>
  <c r="E1189" i="11" a="1"/>
  <c r="E1189" i="11"/>
  <c r="E1190" i="11" a="1"/>
  <c r="E1190" i="11"/>
  <c r="E1191" i="11" a="1"/>
  <c r="E1191" i="11"/>
  <c r="E1192" i="11" a="1"/>
  <c r="E1192" i="11"/>
  <c r="E1193" i="11" a="1"/>
  <c r="E1193" i="11"/>
  <c r="E1194" i="11" a="1"/>
  <c r="E1194" i="11"/>
  <c r="E1195" i="11" a="1"/>
  <c r="E1195" i="11"/>
  <c r="E1196" i="11" a="1"/>
  <c r="E1196" i="11"/>
  <c r="E1197" i="11" a="1"/>
  <c r="E1197" i="11"/>
  <c r="E1198" i="11" a="1"/>
  <c r="E1198" i="11"/>
  <c r="E1199" i="11" a="1"/>
  <c r="E1199" i="11"/>
  <c r="E1200" i="11" a="1"/>
  <c r="E1200" i="11"/>
  <c r="E1201" i="11" a="1"/>
  <c r="E1201" i="11"/>
  <c r="E1202" i="11" a="1"/>
  <c r="E1202" i="11"/>
  <c r="E1203" i="11" a="1"/>
  <c r="E1203" i="11"/>
  <c r="E1204" i="11" a="1"/>
  <c r="E1204" i="11"/>
  <c r="E1205" i="11" a="1"/>
  <c r="E1205" i="11"/>
  <c r="E1206" i="11" a="1"/>
  <c r="E1206" i="11"/>
  <c r="E1207" i="11" a="1"/>
  <c r="E1207" i="11"/>
  <c r="E1208" i="11" a="1"/>
  <c r="E1208" i="11"/>
  <c r="E1209" i="11" a="1"/>
  <c r="E1209" i="11"/>
  <c r="E1210" i="11" a="1"/>
  <c r="E1210" i="11"/>
  <c r="E1211" i="11" a="1"/>
  <c r="E1211" i="11"/>
  <c r="E1212" i="11" a="1"/>
  <c r="E1212" i="11"/>
  <c r="E1213" i="11" a="1"/>
  <c r="E1213" i="11"/>
  <c r="E1214" i="11" a="1"/>
  <c r="E1214" i="11"/>
  <c r="E1215" i="11" a="1"/>
  <c r="E1215" i="11"/>
  <c r="E1216" i="11" a="1"/>
  <c r="E1216" i="11"/>
  <c r="E1217" i="11" a="1"/>
  <c r="E1217" i="11"/>
  <c r="E1218" i="11" a="1"/>
  <c r="E1218" i="11"/>
  <c r="E1219" i="11" a="1"/>
  <c r="E1219" i="11"/>
  <c r="E1220" i="11" a="1"/>
  <c r="E1220" i="11"/>
  <c r="E1221" i="11" a="1"/>
  <c r="E1221" i="11"/>
  <c r="E1222" i="11" a="1"/>
  <c r="E1222" i="11"/>
  <c r="E1223" i="11" a="1"/>
  <c r="E1223" i="11"/>
  <c r="E1224" i="11" a="1"/>
  <c r="E1224" i="11"/>
  <c r="E1225" i="11" a="1"/>
  <c r="E1225" i="11"/>
  <c r="E1226" i="11" a="1"/>
  <c r="E1226" i="11"/>
  <c r="E1227" i="11" a="1"/>
  <c r="E1227" i="11"/>
  <c r="E1228" i="11" a="1"/>
  <c r="E1228" i="11"/>
  <c r="E1229" i="11" a="1"/>
  <c r="E1229" i="11"/>
  <c r="E1230" i="11" a="1"/>
  <c r="E1230" i="11"/>
  <c r="E1231" i="11" a="1"/>
  <c r="E1231" i="11"/>
  <c r="E1232" i="11" a="1"/>
  <c r="E1232" i="11"/>
  <c r="E1233" i="11" a="1"/>
  <c r="E1233" i="11"/>
  <c r="E1234" i="11" a="1"/>
  <c r="E1234" i="11"/>
  <c r="E1235" i="11" a="1"/>
  <c r="E1235" i="11"/>
  <c r="E1236" i="11" a="1"/>
  <c r="E1236" i="11"/>
  <c r="E1237" i="11" a="1"/>
  <c r="E1237" i="11"/>
  <c r="E1238" i="11" a="1"/>
  <c r="E1238" i="11"/>
  <c r="E1239" i="11" a="1"/>
  <c r="E1239" i="11"/>
  <c r="E1240" i="11" a="1"/>
  <c r="E1240" i="11"/>
  <c r="E1241" i="11" a="1"/>
  <c r="E1241" i="11"/>
  <c r="E1242" i="11" a="1"/>
  <c r="E1242" i="11"/>
  <c r="E1243" i="11" a="1"/>
  <c r="E1243" i="11"/>
  <c r="E1244" i="11" a="1"/>
  <c r="E1244" i="11"/>
  <c r="E1245" i="11" a="1"/>
  <c r="E1245" i="11"/>
  <c r="E1246" i="11" a="1"/>
  <c r="E1246" i="11"/>
  <c r="E1247" i="11" a="1"/>
  <c r="E1247" i="11"/>
  <c r="E1248" i="11" a="1"/>
  <c r="E1248" i="11"/>
  <c r="E1249" i="11" a="1"/>
  <c r="E1249" i="11"/>
  <c r="E1250" i="11" a="1"/>
  <c r="E1250" i="11"/>
  <c r="E1251" i="11" a="1"/>
  <c r="E1251" i="11"/>
  <c r="E1252" i="11" a="1"/>
  <c r="E1252" i="11"/>
  <c r="E1253" i="11" a="1"/>
  <c r="E1253" i="11"/>
  <c r="E1254" i="11" a="1"/>
  <c r="E1254" i="11"/>
  <c r="E1255" i="11" a="1"/>
  <c r="E1255" i="11"/>
  <c r="E1256" i="11" a="1"/>
  <c r="E1256" i="11"/>
  <c r="E1257" i="11" a="1"/>
  <c r="E1257" i="11"/>
  <c r="E1258" i="11" a="1"/>
  <c r="E1258" i="11"/>
  <c r="E1259" i="11" a="1"/>
  <c r="E1259" i="11"/>
  <c r="E1260" i="11" a="1"/>
  <c r="E1260" i="11"/>
  <c r="E1261" i="11" a="1"/>
  <c r="E1261" i="11"/>
  <c r="E1262" i="11" a="1"/>
  <c r="E1262" i="11"/>
  <c r="E1263" i="11" a="1"/>
  <c r="E1263" i="11"/>
  <c r="E1264" i="11" a="1"/>
  <c r="E1264" i="11"/>
  <c r="E1265" i="11" a="1"/>
  <c r="E1265" i="11"/>
  <c r="E1266" i="11" a="1"/>
  <c r="E1266" i="11"/>
  <c r="E1267" i="11" a="1"/>
  <c r="E1267" i="11"/>
  <c r="E1268" i="11" a="1"/>
  <c r="E1268" i="11"/>
  <c r="E1269" i="11" a="1"/>
  <c r="E1269" i="11"/>
  <c r="E1270" i="11" a="1"/>
  <c r="E1270" i="11"/>
  <c r="E1271" i="11" a="1"/>
  <c r="E1271" i="11"/>
  <c r="E1272" i="11" a="1"/>
  <c r="E1272" i="11"/>
  <c r="E1273" i="11" a="1"/>
  <c r="E1273" i="11"/>
  <c r="E1274" i="11" a="1"/>
  <c r="E1274" i="11"/>
  <c r="E1275" i="11" a="1"/>
  <c r="E1275" i="11"/>
  <c r="E1276" i="11" a="1"/>
  <c r="E1276" i="11"/>
  <c r="E1277" i="11" a="1"/>
  <c r="E1277" i="11"/>
  <c r="E1278" i="11" a="1"/>
  <c r="E1278" i="11"/>
  <c r="E1279" i="11" a="1"/>
  <c r="E1279" i="11"/>
  <c r="E1280" i="11" a="1"/>
  <c r="E1280" i="11"/>
  <c r="E1281" i="11" a="1"/>
  <c r="E1281" i="11"/>
  <c r="E1282" i="11" a="1"/>
  <c r="E1282" i="11"/>
  <c r="E1283" i="11" a="1"/>
  <c r="E1283" i="11"/>
  <c r="E1284" i="11" a="1"/>
  <c r="E1284" i="11"/>
  <c r="E1285" i="11" a="1"/>
  <c r="E1285" i="11"/>
  <c r="E1286" i="11" a="1"/>
  <c r="E1286" i="11"/>
  <c r="E1287" i="11" a="1"/>
  <c r="E1287" i="11"/>
  <c r="E1288" i="11" a="1"/>
  <c r="E1288" i="11"/>
  <c r="E1289" i="11" a="1"/>
  <c r="E1289" i="11"/>
  <c r="E1290" i="11" a="1"/>
  <c r="E1290" i="11"/>
  <c r="E1291" i="11" a="1"/>
  <c r="E1291" i="11"/>
  <c r="E1292" i="11" a="1"/>
  <c r="E1292" i="11"/>
  <c r="E1293" i="11" a="1"/>
  <c r="E1293" i="11"/>
  <c r="E1294" i="11" a="1"/>
  <c r="E1294" i="11"/>
  <c r="E1295" i="11" a="1"/>
  <c r="E1295" i="11"/>
  <c r="E1296" i="11" a="1"/>
  <c r="E1296" i="11"/>
  <c r="E1297" i="11" a="1"/>
  <c r="E1297" i="11"/>
  <c r="E1298" i="11" a="1"/>
  <c r="E1298" i="11"/>
  <c r="E1299" i="11" a="1"/>
  <c r="E1299" i="11"/>
  <c r="E1300" i="11" a="1"/>
  <c r="E1300" i="11"/>
  <c r="E1301" i="11" a="1"/>
  <c r="E1301" i="11"/>
  <c r="E1302" i="11" a="1"/>
  <c r="E1302" i="11"/>
  <c r="E1303" i="11" a="1"/>
  <c r="E1303" i="11"/>
  <c r="E1304" i="11" a="1"/>
  <c r="E1304" i="11"/>
  <c r="E1305" i="11" a="1"/>
  <c r="E1305" i="11"/>
  <c r="E1306" i="11" a="1"/>
  <c r="E1306" i="11"/>
  <c r="E1307" i="11" a="1"/>
  <c r="E1307" i="11"/>
  <c r="E1308" i="11" a="1"/>
  <c r="E1308" i="11"/>
  <c r="E1309" i="11" a="1"/>
  <c r="E1309" i="11"/>
  <c r="E1310" i="11" a="1"/>
  <c r="E1310" i="11"/>
  <c r="E1311" i="11" a="1"/>
  <c r="E1311" i="11"/>
  <c r="E1312" i="11" a="1"/>
  <c r="E1312" i="11"/>
  <c r="E1313" i="11" a="1"/>
  <c r="E1313" i="11"/>
  <c r="E1314" i="11" a="1"/>
  <c r="E1314" i="11"/>
  <c r="E1315" i="11" a="1"/>
  <c r="E1315" i="11"/>
  <c r="E1316" i="11" a="1"/>
  <c r="E1316" i="11"/>
  <c r="E1317" i="11" a="1"/>
  <c r="E1317" i="11"/>
  <c r="E1318" i="11" a="1"/>
  <c r="E1318" i="11"/>
  <c r="E1319" i="11" a="1"/>
  <c r="E1319" i="11"/>
  <c r="E1320" i="11" a="1"/>
  <c r="E1320" i="11"/>
  <c r="E1321" i="11" a="1"/>
  <c r="E1321" i="11"/>
  <c r="E1322" i="11" a="1"/>
  <c r="E1322" i="11"/>
  <c r="E1323" i="11" a="1"/>
  <c r="E1323" i="11"/>
  <c r="E1324" i="11" a="1"/>
  <c r="E1324" i="11"/>
  <c r="E1325" i="11" a="1"/>
  <c r="E1325" i="11"/>
  <c r="E1326" i="11" a="1"/>
  <c r="E1326" i="11"/>
  <c r="E1327" i="11" a="1"/>
  <c r="E1327" i="11"/>
  <c r="E1328" i="11" a="1"/>
  <c r="E1328" i="11"/>
  <c r="E1329" i="11" a="1"/>
  <c r="E1329" i="11"/>
  <c r="E1330" i="11" a="1"/>
  <c r="E1330" i="11"/>
  <c r="E1331" i="11" a="1"/>
  <c r="E1331" i="11"/>
  <c r="E1332" i="11" a="1"/>
  <c r="E1332" i="11"/>
  <c r="E1333" i="11" a="1"/>
  <c r="E1333" i="11"/>
  <c r="E1334" i="11" a="1"/>
  <c r="E1334" i="11"/>
  <c r="E1335" i="11" a="1"/>
  <c r="E1335" i="11"/>
  <c r="E1336" i="11" a="1"/>
  <c r="E1336" i="11"/>
  <c r="E1337" i="11" a="1"/>
  <c r="E1337" i="11"/>
  <c r="E1338" i="11" a="1"/>
  <c r="E1338" i="11"/>
  <c r="E1339" i="11" a="1"/>
  <c r="E1339" i="11"/>
  <c r="E1340" i="11" a="1"/>
  <c r="E1340" i="11"/>
  <c r="E1341" i="11" a="1"/>
  <c r="E1341" i="11"/>
  <c r="E1342" i="11" a="1"/>
  <c r="E1342" i="11"/>
  <c r="E1343" i="11" a="1"/>
  <c r="E1343" i="11"/>
  <c r="E1344" i="11" a="1"/>
  <c r="E1344" i="11"/>
  <c r="E1345" i="11" a="1"/>
  <c r="E1345" i="11"/>
  <c r="E1346" i="11" a="1"/>
  <c r="E1346" i="11"/>
  <c r="E1347" i="11" a="1"/>
  <c r="E1347" i="11"/>
  <c r="E1348" i="11" a="1"/>
  <c r="E1348" i="11"/>
  <c r="E1349" i="11" a="1"/>
  <c r="E1349" i="11"/>
  <c r="E1350" i="11" a="1"/>
  <c r="E1350" i="11"/>
  <c r="E1351" i="11" a="1"/>
  <c r="E1351" i="11"/>
  <c r="E1352" i="11" a="1"/>
  <c r="E1352" i="11"/>
  <c r="E1353" i="11" a="1"/>
  <c r="E1353" i="11"/>
  <c r="E1354" i="11" a="1"/>
  <c r="E1354" i="11"/>
  <c r="E1355" i="11" a="1"/>
  <c r="E1355" i="11"/>
  <c r="E1356" i="11" a="1"/>
  <c r="E1356" i="11"/>
  <c r="E1357" i="11" a="1"/>
  <c r="E1357" i="11"/>
  <c r="E1358" i="11" a="1"/>
  <c r="E1358" i="11"/>
  <c r="E1359" i="11" a="1"/>
  <c r="E1359" i="11"/>
  <c r="E1360" i="11" a="1"/>
  <c r="E1360" i="11"/>
  <c r="E1361" i="11" a="1"/>
  <c r="E1361" i="11"/>
  <c r="E1362" i="11" a="1"/>
  <c r="E1362" i="11"/>
  <c r="E1363" i="11" a="1"/>
  <c r="E1363" i="11"/>
  <c r="E1364" i="11" a="1"/>
  <c r="E1364" i="11"/>
  <c r="E1365" i="11" a="1"/>
  <c r="E1365" i="11"/>
  <c r="E1366" i="11" a="1"/>
  <c r="E1366" i="11"/>
  <c r="E1367" i="11" a="1"/>
  <c r="E1367" i="11"/>
  <c r="E1368" i="11" a="1"/>
  <c r="E1368" i="11"/>
  <c r="E1369" i="11" a="1"/>
  <c r="E1369" i="11"/>
  <c r="E1370" i="11" a="1"/>
  <c r="E1370" i="11"/>
  <c r="E1371" i="11" a="1"/>
  <c r="E1371" i="11"/>
  <c r="E1372" i="11" a="1"/>
  <c r="E1372" i="11"/>
  <c r="E1373" i="11" a="1"/>
  <c r="E1373" i="11"/>
  <c r="E1374" i="11" a="1"/>
  <c r="E1374" i="11"/>
  <c r="E1375" i="11" a="1"/>
  <c r="E1375" i="11"/>
  <c r="E1376" i="11" a="1"/>
  <c r="E1376" i="11"/>
  <c r="E1377" i="11" a="1"/>
  <c r="E1377" i="11"/>
  <c r="E1378" i="11" a="1"/>
  <c r="E1378" i="11"/>
  <c r="E1379" i="11" a="1"/>
  <c r="E1379" i="11"/>
  <c r="E1380" i="11" a="1"/>
  <c r="E1380" i="11"/>
  <c r="E1381" i="11" a="1"/>
  <c r="E1381" i="11"/>
  <c r="E1382" i="11" a="1"/>
  <c r="E1382" i="11"/>
  <c r="E1383" i="11" a="1"/>
  <c r="E1383" i="11"/>
  <c r="E1384" i="11" a="1"/>
  <c r="E1384" i="11"/>
  <c r="E1385" i="11" a="1"/>
  <c r="E1385" i="11"/>
  <c r="E1386" i="11" a="1"/>
  <c r="E1386" i="11"/>
  <c r="E1387" i="11" a="1"/>
  <c r="E1387" i="11"/>
  <c r="E1388" i="11" a="1"/>
  <c r="E1388" i="11"/>
  <c r="E1389" i="11" a="1"/>
  <c r="E1389" i="11"/>
  <c r="E1390" i="11" a="1"/>
  <c r="E1390" i="11"/>
  <c r="E1391" i="11" a="1"/>
  <c r="E1391" i="11"/>
  <c r="E1392" i="11" a="1"/>
  <c r="E1392" i="11"/>
  <c r="E1393" i="11" a="1"/>
  <c r="E1393" i="11"/>
  <c r="E1394" i="11" a="1"/>
  <c r="E1394" i="11"/>
  <c r="E1395" i="11" a="1"/>
  <c r="E1395" i="11"/>
  <c r="E1396" i="11" a="1"/>
  <c r="E1396" i="11"/>
  <c r="E1397" i="11" a="1"/>
  <c r="E1397" i="11"/>
  <c r="E1398" i="11" a="1"/>
  <c r="E1398" i="11"/>
  <c r="E1399" i="11" a="1"/>
  <c r="E1399" i="11"/>
  <c r="E1400" i="11" a="1"/>
  <c r="E1400" i="11"/>
  <c r="E1401" i="11" a="1"/>
  <c r="E1401" i="11"/>
  <c r="E1402" i="11" a="1"/>
  <c r="E1402" i="11"/>
  <c r="E1403" i="11" a="1"/>
  <c r="E1403" i="11"/>
  <c r="E1404" i="11" a="1"/>
  <c r="E1404" i="11"/>
  <c r="E1405" i="11" a="1"/>
  <c r="E1405" i="11"/>
  <c r="E1406" i="11" a="1"/>
  <c r="E1406" i="11"/>
  <c r="E1407" i="11" a="1"/>
  <c r="E1407" i="11"/>
  <c r="E1408" i="11" a="1"/>
  <c r="E1408" i="11"/>
  <c r="E1409" i="11" a="1"/>
  <c r="E1409" i="11"/>
  <c r="E1410" i="11" a="1"/>
  <c r="E1410" i="11"/>
  <c r="E1411" i="11" a="1"/>
  <c r="E1411" i="11"/>
  <c r="E1412" i="11" a="1"/>
  <c r="E1412" i="11"/>
  <c r="E1413" i="11" a="1"/>
  <c r="E1413" i="11"/>
  <c r="E1414" i="11" a="1"/>
  <c r="E1414" i="11"/>
  <c r="E1415" i="11" a="1"/>
  <c r="E1415" i="11"/>
  <c r="E1416" i="11" a="1"/>
  <c r="E1416" i="11"/>
  <c r="E1417" i="11" a="1"/>
  <c r="E1417" i="11"/>
  <c r="E1418" i="11" a="1"/>
  <c r="E1418" i="11"/>
  <c r="E1419" i="11" a="1"/>
  <c r="E1419" i="11"/>
  <c r="E1420" i="11" a="1"/>
  <c r="E1420" i="11"/>
  <c r="E1421" i="11" a="1"/>
  <c r="E1421" i="11"/>
  <c r="E1422" i="11" a="1"/>
  <c r="E1422" i="11"/>
  <c r="E1423" i="11" a="1"/>
  <c r="E1423" i="11"/>
  <c r="E1424" i="11" a="1"/>
  <c r="E1424" i="11"/>
  <c r="E1425" i="11" a="1"/>
  <c r="E1425" i="11"/>
  <c r="E1426" i="11" a="1"/>
  <c r="E1426" i="11"/>
  <c r="E1427" i="11" a="1"/>
  <c r="E1427" i="11"/>
  <c r="E1428" i="11" a="1"/>
  <c r="E1428" i="11"/>
  <c r="E1429" i="11" a="1"/>
  <c r="E1429" i="11"/>
  <c r="E1430" i="11" a="1"/>
  <c r="E1430" i="11"/>
  <c r="E1431" i="11" a="1"/>
  <c r="E1431" i="11"/>
  <c r="E1432" i="11" a="1"/>
  <c r="E1432" i="11"/>
  <c r="E1433" i="11" a="1"/>
  <c r="E1433" i="11"/>
  <c r="E1434" i="11" a="1"/>
  <c r="E1434" i="11"/>
  <c r="E1435" i="11" a="1"/>
  <c r="E1435" i="11"/>
  <c r="E1436" i="11" a="1"/>
  <c r="E1436" i="11"/>
  <c r="E1437" i="11" a="1"/>
  <c r="E1437" i="11"/>
  <c r="E1438" i="11" a="1"/>
  <c r="E1438" i="11"/>
  <c r="E1439" i="11" a="1"/>
  <c r="E1439" i="11"/>
  <c r="E1440" i="11" a="1"/>
  <c r="E1440" i="11"/>
  <c r="E1441" i="11" a="1"/>
  <c r="E1441" i="11"/>
  <c r="E1442" i="11" a="1"/>
  <c r="E1442" i="11"/>
  <c r="E1443" i="11" a="1"/>
  <c r="E1443" i="11"/>
  <c r="E1444" i="11" a="1"/>
  <c r="E1444" i="11"/>
  <c r="E1445" i="11" a="1"/>
  <c r="E1445" i="11"/>
  <c r="E1446" i="11" a="1"/>
  <c r="E1446" i="11"/>
  <c r="E1447" i="11" a="1"/>
  <c r="E1447" i="11"/>
  <c r="E1448" i="11" a="1"/>
  <c r="E1448" i="11"/>
  <c r="E1449" i="11" a="1"/>
  <c r="E1449" i="11"/>
  <c r="E1450" i="11" a="1"/>
  <c r="E1450" i="11"/>
  <c r="E1451" i="11" a="1"/>
  <c r="E1451" i="11"/>
  <c r="E1452" i="11" a="1"/>
  <c r="E1452" i="11"/>
  <c r="E1453" i="11" a="1"/>
  <c r="E1453" i="11"/>
  <c r="E1454" i="11" a="1"/>
  <c r="E1454" i="11"/>
  <c r="E1455" i="11" a="1"/>
  <c r="E1455" i="11"/>
  <c r="E1456" i="11" a="1"/>
  <c r="E1456" i="11"/>
  <c r="E1457" i="11" a="1"/>
  <c r="E1457" i="11"/>
  <c r="E1458" i="11" a="1"/>
  <c r="E1458" i="11"/>
  <c r="E1459" i="11" a="1"/>
  <c r="E1459" i="11"/>
  <c r="E1460" i="11" a="1"/>
  <c r="E1460" i="11"/>
  <c r="E1461" i="11" a="1"/>
  <c r="E1461" i="11"/>
  <c r="E1462" i="11" a="1"/>
  <c r="E1462" i="11"/>
  <c r="E1463" i="11" a="1"/>
  <c r="E1463" i="11"/>
  <c r="E1464" i="11" a="1"/>
  <c r="E1464" i="11"/>
  <c r="E1465" i="11" a="1"/>
  <c r="E1465" i="11"/>
  <c r="E1466" i="11" a="1"/>
  <c r="E1466" i="11"/>
  <c r="E1467" i="11" a="1"/>
  <c r="E1467" i="11"/>
  <c r="E1468" i="11" a="1"/>
  <c r="E1468" i="11"/>
  <c r="E1469" i="11" a="1"/>
  <c r="E1469" i="11"/>
  <c r="E1470" i="11" a="1"/>
  <c r="E1470" i="11"/>
  <c r="E1471" i="11" a="1"/>
  <c r="E1471" i="11"/>
  <c r="E1472" i="11" a="1"/>
  <c r="E1472" i="11"/>
  <c r="E1473" i="11" a="1"/>
  <c r="E1473" i="11"/>
  <c r="E1474" i="11" a="1"/>
  <c r="E1474" i="11"/>
  <c r="E1475" i="11" a="1"/>
  <c r="E1475" i="11"/>
  <c r="E1476" i="11" a="1"/>
  <c r="E1476" i="11"/>
  <c r="E1477" i="11" a="1"/>
  <c r="E1477" i="11"/>
  <c r="E1478" i="11" a="1"/>
  <c r="E1478" i="11"/>
  <c r="E1479" i="11" a="1"/>
  <c r="E1479" i="11"/>
  <c r="E1480" i="11" a="1"/>
  <c r="E1480" i="11"/>
  <c r="E1481" i="11" a="1"/>
  <c r="E1481" i="11"/>
  <c r="E1482" i="11" a="1"/>
  <c r="E1482" i="11"/>
  <c r="E1483" i="11" a="1"/>
  <c r="E1483" i="11"/>
  <c r="E1484" i="11" a="1"/>
  <c r="E1484" i="11"/>
  <c r="E1485" i="11" a="1"/>
  <c r="E1485" i="11"/>
  <c r="E1486" i="11" a="1"/>
  <c r="E1486" i="11"/>
  <c r="E1487" i="11" a="1"/>
  <c r="E1487" i="11"/>
  <c r="E1488" i="11" a="1"/>
  <c r="E1488" i="11"/>
  <c r="E1489" i="11" a="1"/>
  <c r="E1489" i="11"/>
  <c r="E1490" i="11" a="1"/>
  <c r="E1490" i="11"/>
  <c r="E1491" i="11" a="1"/>
  <c r="E1491" i="11"/>
  <c r="E1492" i="11" a="1"/>
  <c r="E1492" i="11"/>
  <c r="E1493" i="11" a="1"/>
  <c r="E1493" i="11"/>
  <c r="E1494" i="11" a="1"/>
  <c r="E1494" i="11"/>
  <c r="E1495" i="11" a="1"/>
  <c r="E1495" i="11"/>
  <c r="E1496" i="11" a="1"/>
  <c r="E1496" i="11"/>
  <c r="E1497" i="11" a="1"/>
  <c r="E1497" i="11"/>
  <c r="E1498" i="11" a="1"/>
  <c r="E1498" i="11"/>
  <c r="E1499" i="11" a="1"/>
  <c r="E1499" i="11"/>
  <c r="E1500" i="11" a="1"/>
  <c r="E1500" i="11"/>
  <c r="E1501" i="11" a="1"/>
  <c r="E1501" i="11"/>
  <c r="E1502" i="11" a="1"/>
  <c r="E1502" i="11"/>
  <c r="E1503" i="11" a="1"/>
  <c r="E1503" i="11"/>
  <c r="E1504" i="11" a="1"/>
  <c r="E1504" i="11"/>
  <c r="E1505" i="11" a="1"/>
  <c r="E1505" i="11"/>
  <c r="E1506" i="11" a="1"/>
  <c r="E1506" i="11"/>
  <c r="E1507" i="11" a="1"/>
  <c r="E1507" i="11"/>
  <c r="E1508" i="11" a="1"/>
  <c r="E1508" i="11"/>
  <c r="E1509" i="11" a="1"/>
  <c r="E1509" i="11"/>
  <c r="E1510" i="11" a="1"/>
  <c r="E1510" i="11"/>
  <c r="E1511" i="11" a="1"/>
  <c r="E1511" i="11"/>
  <c r="E1512" i="11" a="1"/>
  <c r="E1512" i="11"/>
  <c r="E1513" i="11" a="1"/>
  <c r="E1513" i="11"/>
  <c r="E1514" i="11" a="1"/>
  <c r="E1514" i="11"/>
  <c r="E1515" i="11" a="1"/>
  <c r="E1515" i="11"/>
  <c r="E1516" i="11" a="1"/>
  <c r="E1516" i="11"/>
  <c r="E1517" i="11" a="1"/>
  <c r="E1517" i="11"/>
  <c r="E1518" i="11" a="1"/>
  <c r="E1518" i="11"/>
  <c r="E1519" i="11" a="1"/>
  <c r="E1519" i="11"/>
  <c r="E1520" i="11" a="1"/>
  <c r="E1520" i="11"/>
  <c r="E1521" i="11" a="1"/>
  <c r="E1521" i="11"/>
  <c r="E1522" i="11" a="1"/>
  <c r="E1522" i="11"/>
  <c r="E1523" i="11" a="1"/>
  <c r="E1523" i="11"/>
  <c r="E1524" i="11" a="1"/>
  <c r="E1524" i="11"/>
  <c r="E1525" i="11" a="1"/>
  <c r="E1525" i="11"/>
  <c r="E1526" i="11" a="1"/>
  <c r="E1526" i="11"/>
  <c r="E1527" i="11" a="1"/>
  <c r="E1527" i="11"/>
  <c r="E1528" i="11" a="1"/>
  <c r="E1528" i="11"/>
  <c r="E1529" i="11" a="1"/>
  <c r="E1529" i="11"/>
  <c r="E1530" i="11" a="1"/>
  <c r="E1530" i="11"/>
  <c r="E1531" i="11" a="1"/>
  <c r="E1531" i="11"/>
  <c r="E1532" i="11" a="1"/>
  <c r="E1532" i="11"/>
  <c r="E1533" i="11" a="1"/>
  <c r="E1533" i="11"/>
  <c r="E1534" i="11" a="1"/>
  <c r="E1534" i="11"/>
  <c r="E1535" i="11" a="1"/>
  <c r="E1535" i="11"/>
  <c r="E1536" i="11" a="1"/>
  <c r="E1536" i="11"/>
  <c r="E1537" i="11" a="1"/>
  <c r="E1537" i="11"/>
  <c r="E1538" i="11" a="1"/>
  <c r="E1538" i="11"/>
  <c r="E1539" i="11" a="1"/>
  <c r="E1539" i="11"/>
  <c r="E1540" i="11" a="1"/>
  <c r="E1540" i="11"/>
  <c r="E1541" i="11" a="1"/>
  <c r="E1541" i="11"/>
  <c r="E1542" i="11" a="1"/>
  <c r="E1542" i="11"/>
  <c r="E1543" i="11" a="1"/>
  <c r="E1543" i="11"/>
  <c r="E1544" i="11" a="1"/>
  <c r="E1544" i="11"/>
  <c r="E1545" i="11" a="1"/>
  <c r="E1545" i="11"/>
  <c r="E1546" i="11" a="1"/>
  <c r="E1546" i="11"/>
  <c r="E1547" i="11" a="1"/>
  <c r="E1547" i="11"/>
  <c r="E1548" i="11" a="1"/>
  <c r="E1548" i="11"/>
  <c r="E1549" i="11" a="1"/>
  <c r="E1549" i="11"/>
  <c r="E1550" i="11" a="1"/>
  <c r="E1550" i="11"/>
  <c r="E1551" i="11" a="1"/>
  <c r="E1551" i="11"/>
  <c r="E1552" i="11" a="1"/>
  <c r="E1552" i="11"/>
  <c r="E1553" i="11" a="1"/>
  <c r="E1553" i="11"/>
  <c r="E1554" i="11" a="1"/>
  <c r="E1554" i="11"/>
  <c r="E1555" i="11" a="1"/>
  <c r="E1555" i="11"/>
  <c r="E1556" i="11" a="1"/>
  <c r="E1556" i="11"/>
  <c r="E1557" i="11" a="1"/>
  <c r="E1557" i="11"/>
  <c r="E1558" i="11" a="1"/>
  <c r="E1558" i="11"/>
  <c r="E1559" i="11" a="1"/>
  <c r="E1559" i="11"/>
  <c r="E1560" i="11" a="1"/>
  <c r="E1560" i="11"/>
  <c r="E1561" i="11" a="1"/>
  <c r="E1561" i="11"/>
  <c r="E1562" i="11" a="1"/>
  <c r="E1562" i="11"/>
  <c r="E1563" i="11" a="1"/>
  <c r="E1563" i="11"/>
  <c r="E1564" i="11" a="1"/>
  <c r="E1564" i="11"/>
  <c r="E1565" i="11" a="1"/>
  <c r="E1565" i="11"/>
  <c r="E1566" i="11" a="1"/>
  <c r="E1566" i="11"/>
  <c r="E1567" i="11" a="1"/>
  <c r="E1567" i="11"/>
  <c r="E1568" i="11" a="1"/>
  <c r="E1568" i="11"/>
  <c r="E1569" i="11" a="1"/>
  <c r="E1569" i="11"/>
  <c r="E1570" i="11" a="1"/>
  <c r="E1570" i="11"/>
  <c r="E1571" i="11" a="1"/>
  <c r="E1571" i="11"/>
  <c r="E1572" i="11" a="1"/>
  <c r="E1572" i="11"/>
  <c r="E1573" i="11" a="1"/>
  <c r="E1573" i="11"/>
  <c r="E1574" i="11" a="1"/>
  <c r="E1574" i="11"/>
  <c r="E1575" i="11" a="1"/>
  <c r="E1575" i="11"/>
  <c r="E1576" i="11" a="1"/>
  <c r="E1576" i="11"/>
  <c r="E1577" i="11" a="1"/>
  <c r="E1577" i="11"/>
  <c r="E1578" i="11" a="1"/>
  <c r="E1578" i="11"/>
  <c r="E1579" i="11" a="1"/>
  <c r="E1579" i="11"/>
  <c r="E1580" i="11" a="1"/>
  <c r="E1580" i="11"/>
  <c r="E1581" i="11" a="1"/>
  <c r="E1581" i="11"/>
  <c r="E1582" i="11" a="1"/>
  <c r="E1582" i="11"/>
  <c r="E1583" i="11" a="1"/>
  <c r="E1583" i="11"/>
  <c r="E1584" i="11" a="1"/>
  <c r="E1584" i="11"/>
  <c r="E1585" i="11" a="1"/>
  <c r="E1585" i="11"/>
  <c r="E1586" i="11" a="1"/>
  <c r="E1586" i="11"/>
  <c r="E1587" i="11" a="1"/>
  <c r="E1587" i="11"/>
  <c r="E1588" i="11" a="1"/>
  <c r="E1588" i="11"/>
  <c r="E1589" i="11" a="1"/>
  <c r="E1589" i="11"/>
  <c r="E1590" i="11" a="1"/>
  <c r="E1590" i="11"/>
  <c r="E1591" i="11" a="1"/>
  <c r="E1591" i="11"/>
  <c r="E1592" i="11" a="1"/>
  <c r="E1592" i="11"/>
  <c r="E1593" i="11" a="1"/>
  <c r="E1593" i="11"/>
  <c r="E1594" i="11" a="1"/>
  <c r="E1594" i="11"/>
  <c r="E1595" i="11" a="1"/>
  <c r="E1595" i="11"/>
  <c r="E1596" i="11" a="1"/>
  <c r="E1596" i="11"/>
  <c r="E1597" i="11" a="1"/>
  <c r="E1597" i="11"/>
  <c r="E1598" i="11" a="1"/>
  <c r="E1598" i="11"/>
  <c r="E1599" i="11" a="1"/>
  <c r="E1599" i="11"/>
  <c r="E1600" i="11" a="1"/>
  <c r="E1600" i="11"/>
  <c r="E1601" i="11" a="1"/>
  <c r="E1601" i="11"/>
  <c r="E1602" i="11" a="1"/>
  <c r="E1602" i="11"/>
  <c r="E1603" i="11" a="1"/>
  <c r="E1603" i="11"/>
  <c r="E1604" i="11" a="1"/>
  <c r="E1604" i="11"/>
  <c r="E1605" i="11" a="1"/>
  <c r="E1605" i="11"/>
  <c r="E1606" i="11" a="1"/>
  <c r="E1606" i="11"/>
  <c r="E1607" i="11" a="1"/>
  <c r="E1607" i="11"/>
  <c r="E1608" i="11" a="1"/>
  <c r="E1608" i="11"/>
  <c r="E1609" i="11" a="1"/>
  <c r="E1609" i="11"/>
  <c r="E1610" i="11" a="1"/>
  <c r="E1610" i="11"/>
  <c r="E1611" i="11" a="1"/>
  <c r="E1611" i="11"/>
  <c r="E1612" i="11" a="1"/>
  <c r="E1612" i="11"/>
  <c r="E1613" i="11" a="1"/>
  <c r="E1613" i="11"/>
  <c r="E1614" i="11" a="1"/>
  <c r="E1614" i="11"/>
  <c r="E1615" i="11" a="1"/>
  <c r="E1615" i="11"/>
  <c r="E1616" i="11" a="1"/>
  <c r="E1616" i="11"/>
  <c r="E1617" i="11" a="1"/>
  <c r="E1617" i="11"/>
  <c r="E1618" i="11" a="1"/>
  <c r="E1618" i="11"/>
  <c r="E1619" i="11" a="1"/>
  <c r="E1619" i="11"/>
  <c r="E1620" i="11" a="1"/>
  <c r="E1620" i="11"/>
  <c r="E1621" i="11" a="1"/>
  <c r="E1621" i="11"/>
  <c r="E1622" i="11" a="1"/>
  <c r="E1622" i="11"/>
  <c r="E1623" i="11" a="1"/>
  <c r="E1623" i="11"/>
  <c r="E1624" i="11" a="1"/>
  <c r="E1624" i="11"/>
  <c r="E1625" i="11" a="1"/>
  <c r="E1625" i="11"/>
  <c r="E1626" i="11" a="1"/>
  <c r="E1626" i="11"/>
  <c r="E1627" i="11" a="1"/>
  <c r="E1627" i="11"/>
  <c r="E1628" i="11" a="1"/>
  <c r="E1628" i="11"/>
  <c r="E1629" i="11" a="1"/>
  <c r="E1629" i="11"/>
  <c r="E1630" i="11" a="1"/>
  <c r="E1630" i="11"/>
  <c r="E1631" i="11" a="1"/>
  <c r="E1631" i="11"/>
  <c r="E1632" i="11" a="1"/>
  <c r="E1632" i="11"/>
  <c r="E1633" i="11" a="1"/>
  <c r="E1633" i="11"/>
  <c r="E1634" i="11" a="1"/>
  <c r="E1634" i="11"/>
  <c r="E1635" i="11" a="1"/>
  <c r="E1635" i="11"/>
  <c r="E1636" i="11" a="1"/>
  <c r="E1636" i="11"/>
  <c r="E1637" i="11" a="1"/>
  <c r="E1637" i="11"/>
  <c r="E1638" i="11" a="1"/>
  <c r="E1638" i="11"/>
  <c r="E1639" i="11" a="1"/>
  <c r="E1639" i="11"/>
  <c r="E1640" i="11" a="1"/>
  <c r="E1640" i="11"/>
  <c r="E1641" i="11" a="1"/>
  <c r="E1641" i="11"/>
  <c r="E1642" i="11" a="1"/>
  <c r="E1642" i="11"/>
  <c r="E1643" i="11" a="1"/>
  <c r="E1643" i="11"/>
  <c r="E1644" i="11" a="1"/>
  <c r="E1644" i="11"/>
  <c r="E1645" i="11" a="1"/>
  <c r="E1645" i="11"/>
  <c r="E1646" i="11" a="1"/>
  <c r="E1646" i="11"/>
  <c r="E1647" i="11" a="1"/>
  <c r="E1647" i="11"/>
  <c r="E1648" i="11" a="1"/>
  <c r="E1648" i="11"/>
  <c r="E1649" i="11" a="1"/>
  <c r="E1649" i="11"/>
  <c r="E1650" i="11" a="1"/>
  <c r="E1650" i="11"/>
  <c r="E1651" i="11" a="1"/>
  <c r="E1651" i="11"/>
  <c r="E1652" i="11" a="1"/>
  <c r="E1652" i="11"/>
  <c r="E1653" i="11" a="1"/>
  <c r="E1653" i="11"/>
  <c r="E1654" i="11" a="1"/>
  <c r="E1654" i="11"/>
  <c r="E1655" i="11" a="1"/>
  <c r="E1655" i="11"/>
  <c r="E1656" i="11" a="1"/>
  <c r="E1656" i="11"/>
  <c r="E1657" i="11" a="1"/>
  <c r="E1657" i="11"/>
  <c r="E1658" i="11" a="1"/>
  <c r="E1658" i="11"/>
  <c r="E1659" i="11" a="1"/>
  <c r="E1659" i="11"/>
  <c r="E1660" i="11" a="1"/>
  <c r="E1660" i="11"/>
  <c r="E1661" i="11" a="1"/>
  <c r="E1661" i="11"/>
  <c r="E1662" i="11" a="1"/>
  <c r="E1662" i="11"/>
  <c r="E1663" i="11" a="1"/>
  <c r="E1663" i="11"/>
  <c r="E1664" i="11" a="1"/>
  <c r="E1664" i="11"/>
  <c r="E1665" i="11" a="1"/>
  <c r="E1665" i="11"/>
  <c r="E1666" i="11" a="1"/>
  <c r="E1666" i="11"/>
  <c r="E1667" i="11" a="1"/>
  <c r="E1667" i="11"/>
  <c r="E1668" i="11" a="1"/>
  <c r="E1668" i="11"/>
  <c r="E1669" i="11" a="1"/>
  <c r="E1669" i="11"/>
  <c r="E1670" i="11" a="1"/>
  <c r="E1670" i="11"/>
  <c r="E1671" i="11" a="1"/>
  <c r="E1671" i="11"/>
  <c r="E1672" i="11" a="1"/>
  <c r="E1672" i="11"/>
  <c r="E1673" i="11" a="1"/>
  <c r="E1673" i="11"/>
  <c r="E1674" i="11" a="1"/>
  <c r="E1674" i="11"/>
  <c r="E1675" i="11" a="1"/>
  <c r="E1675" i="11"/>
  <c r="E1676" i="11" a="1"/>
  <c r="E1676" i="11"/>
  <c r="E1677" i="11" a="1"/>
  <c r="E1677" i="11"/>
  <c r="E1678" i="11" a="1"/>
  <c r="E1678" i="11"/>
  <c r="E1679" i="11" a="1"/>
  <c r="E1679" i="11"/>
  <c r="E1680" i="11" a="1"/>
  <c r="E1680" i="11"/>
  <c r="E1681" i="11" a="1"/>
  <c r="E1681" i="11"/>
  <c r="E1682" i="11" a="1"/>
  <c r="E1682" i="11"/>
  <c r="E1683" i="11" a="1"/>
  <c r="E1683" i="11"/>
  <c r="E1684" i="11" a="1"/>
  <c r="E1684" i="11"/>
  <c r="E1685" i="11" a="1"/>
  <c r="E1685" i="11"/>
  <c r="E1686" i="11" a="1"/>
  <c r="E1686" i="11"/>
  <c r="E1687" i="11" a="1"/>
  <c r="E1687" i="11"/>
  <c r="E1688" i="11" a="1"/>
  <c r="E1688" i="11"/>
  <c r="E1689" i="11" a="1"/>
  <c r="E1689" i="11"/>
  <c r="E1690" i="11" a="1"/>
  <c r="E1690" i="11"/>
  <c r="E1691" i="11" a="1"/>
  <c r="E1691" i="11"/>
  <c r="E1692" i="11" a="1"/>
  <c r="E1692" i="11"/>
  <c r="E1693" i="11" a="1"/>
  <c r="E1693" i="11"/>
  <c r="E1694" i="11" a="1"/>
  <c r="E1694" i="11"/>
  <c r="E1695" i="11" a="1"/>
  <c r="E1695" i="11"/>
  <c r="E1696" i="11" a="1"/>
  <c r="E1696" i="11"/>
  <c r="E1697" i="11" a="1"/>
  <c r="E1697" i="11"/>
  <c r="E1698" i="11" a="1"/>
  <c r="E1698" i="11"/>
  <c r="E1699" i="11" a="1"/>
  <c r="E1699" i="11"/>
  <c r="E1700" i="11" a="1"/>
  <c r="E1700" i="11"/>
  <c r="E1701" i="11" a="1"/>
  <c r="E1701" i="11"/>
  <c r="E1702" i="11" a="1"/>
  <c r="E1702" i="11"/>
  <c r="E1703" i="11" a="1"/>
  <c r="E1703" i="11"/>
  <c r="E1704" i="11" a="1"/>
  <c r="E1704" i="11"/>
  <c r="E1705" i="11" a="1"/>
  <c r="E1705" i="11"/>
  <c r="E1706" i="11" a="1"/>
  <c r="E1706" i="11"/>
  <c r="E1707" i="11" a="1"/>
  <c r="E1707" i="11"/>
  <c r="E1708" i="11" a="1"/>
  <c r="E1708" i="11"/>
  <c r="E1709" i="11" a="1"/>
  <c r="E1709" i="11"/>
  <c r="E1710" i="11" a="1"/>
  <c r="E1710" i="11"/>
  <c r="E1711" i="11" a="1"/>
  <c r="E1711" i="11"/>
  <c r="E1712" i="11" a="1"/>
  <c r="E1712" i="11"/>
  <c r="E1713" i="11" a="1"/>
  <c r="E1713" i="11"/>
  <c r="E1714" i="11" a="1"/>
  <c r="E1714" i="11"/>
  <c r="E1715" i="11" a="1"/>
  <c r="E1715" i="11"/>
  <c r="E1716" i="11" a="1"/>
  <c r="E1716" i="11"/>
  <c r="E1717" i="11" a="1"/>
  <c r="E1717" i="11"/>
  <c r="E1718" i="11" a="1"/>
  <c r="E1718" i="11"/>
  <c r="E1719" i="11" a="1"/>
  <c r="E1719" i="11"/>
  <c r="E1720" i="11" a="1"/>
  <c r="E1720" i="11"/>
  <c r="E1721" i="11" a="1"/>
  <c r="E1721" i="11"/>
  <c r="E1722" i="11" a="1"/>
  <c r="E1722" i="11"/>
  <c r="E1723" i="11" a="1"/>
  <c r="E1723" i="11"/>
  <c r="E1724" i="11" a="1"/>
  <c r="E1724" i="11"/>
  <c r="E1725" i="11" a="1"/>
  <c r="E1725" i="11"/>
  <c r="E1726" i="11" a="1"/>
  <c r="E1726" i="11"/>
  <c r="E1727" i="11" a="1"/>
  <c r="E1727" i="11"/>
  <c r="E1728" i="11" a="1"/>
  <c r="E1728" i="11"/>
  <c r="E1729" i="11" a="1"/>
  <c r="E1729" i="11"/>
  <c r="E1730" i="11" a="1"/>
  <c r="E1730" i="11"/>
  <c r="E1731" i="11" a="1"/>
  <c r="E1731" i="11"/>
  <c r="E1732" i="11" a="1"/>
  <c r="E1732" i="11"/>
  <c r="E1733" i="11" a="1"/>
  <c r="E1733" i="11"/>
  <c r="E1734" i="11" a="1"/>
  <c r="E1734" i="11"/>
  <c r="E1735" i="11" a="1"/>
  <c r="E1735" i="11"/>
  <c r="E1736" i="11" a="1"/>
  <c r="E1736" i="11"/>
  <c r="E1737" i="11" a="1"/>
  <c r="E1737" i="11"/>
  <c r="E1738" i="11" a="1"/>
  <c r="E1738" i="11"/>
  <c r="E1739" i="11" a="1"/>
  <c r="E1739" i="11"/>
  <c r="E1740" i="11" a="1"/>
  <c r="E1740" i="11"/>
  <c r="E1741" i="11" a="1"/>
  <c r="E1741" i="11"/>
  <c r="E1742" i="11" a="1"/>
  <c r="E1742" i="11"/>
  <c r="E1743" i="11" a="1"/>
  <c r="E1743" i="11"/>
  <c r="E1744" i="11" a="1"/>
  <c r="E1744" i="11"/>
  <c r="E1745" i="11" a="1"/>
  <c r="E1745" i="11"/>
  <c r="E1746" i="11" a="1"/>
  <c r="E1746" i="11"/>
  <c r="E1747" i="11" a="1"/>
  <c r="E1747" i="11"/>
  <c r="E1748" i="11" a="1"/>
  <c r="E1748" i="11"/>
  <c r="E1749" i="11" a="1"/>
  <c r="E1749" i="11"/>
  <c r="E1750" i="11" a="1"/>
  <c r="E1750" i="11"/>
  <c r="E1751" i="11" a="1"/>
  <c r="E1751" i="11"/>
  <c r="E1752" i="11" a="1"/>
  <c r="E1752" i="11"/>
  <c r="E1753" i="11" a="1"/>
  <c r="E1753" i="11"/>
  <c r="E1754" i="11" a="1"/>
  <c r="E1754" i="11"/>
  <c r="E1755" i="11" a="1"/>
  <c r="E1755" i="11"/>
  <c r="E1756" i="11" a="1"/>
  <c r="E1756" i="11"/>
  <c r="E1757" i="11" a="1"/>
  <c r="E1757" i="11"/>
  <c r="E1758" i="11" a="1"/>
  <c r="E1758" i="11"/>
  <c r="E1759" i="11" a="1"/>
  <c r="E1759" i="11"/>
  <c r="E1760" i="11" a="1"/>
  <c r="E1760" i="11"/>
  <c r="E1761" i="11" a="1"/>
  <c r="E1761" i="11"/>
  <c r="E1762" i="11" a="1"/>
  <c r="E1762" i="11"/>
  <c r="E1763" i="11" a="1"/>
  <c r="E1763" i="11"/>
  <c r="E1764" i="11" a="1"/>
  <c r="E1764" i="11"/>
  <c r="E1765" i="11" a="1"/>
  <c r="E1765" i="11"/>
  <c r="E1766" i="11" a="1"/>
  <c r="E1766" i="11"/>
  <c r="E1767" i="11" a="1"/>
  <c r="E1767" i="11"/>
  <c r="E1768" i="11" a="1"/>
  <c r="E1768" i="11"/>
  <c r="E1769" i="11" a="1"/>
  <c r="E1769" i="11"/>
  <c r="E1770" i="11" a="1"/>
  <c r="E1770" i="11"/>
  <c r="E1771" i="11" a="1"/>
  <c r="E1771" i="11"/>
  <c r="E1772" i="11" a="1"/>
  <c r="E1772" i="11"/>
  <c r="E1773" i="11" a="1"/>
  <c r="E1773" i="11"/>
  <c r="E1774" i="11" a="1"/>
  <c r="E1774" i="11"/>
  <c r="E1775" i="11" a="1"/>
  <c r="E1775" i="11"/>
  <c r="E1776" i="11" a="1"/>
  <c r="E1776" i="11"/>
  <c r="E1777" i="11" a="1"/>
  <c r="E1777" i="11"/>
  <c r="E1778" i="11" a="1"/>
  <c r="E1778" i="11"/>
  <c r="E1779" i="11" a="1"/>
  <c r="E1779" i="11"/>
  <c r="E1780" i="11" a="1"/>
  <c r="E1780" i="11"/>
  <c r="E1781" i="11" a="1"/>
  <c r="E1781" i="11"/>
  <c r="E1782" i="11" a="1"/>
  <c r="E1782" i="11"/>
  <c r="E1783" i="11" a="1"/>
  <c r="E1783" i="11"/>
  <c r="E1784" i="11" a="1"/>
  <c r="E1784" i="11"/>
  <c r="E1785" i="11" a="1"/>
  <c r="E1785" i="11"/>
  <c r="E1786" i="11" a="1"/>
  <c r="E1786" i="11"/>
  <c r="E1787" i="11" a="1"/>
  <c r="E1787" i="11"/>
  <c r="E1788" i="11" a="1"/>
  <c r="E1788" i="11"/>
  <c r="E1789" i="11" a="1"/>
  <c r="E1789" i="11"/>
  <c r="E1790" i="11" a="1"/>
  <c r="E1790" i="11"/>
  <c r="E1791" i="11" a="1"/>
  <c r="E1791" i="11"/>
  <c r="E1792" i="11" a="1"/>
  <c r="E1792" i="11"/>
  <c r="E1793" i="11" a="1"/>
  <c r="E1793" i="11"/>
  <c r="E1794" i="11" a="1"/>
  <c r="E1794" i="11"/>
  <c r="E1795" i="11" a="1"/>
  <c r="E1795" i="11"/>
  <c r="E1796" i="11" a="1"/>
  <c r="E1796" i="11"/>
  <c r="E1797" i="11" a="1"/>
  <c r="E1797" i="11"/>
  <c r="E1798" i="11" a="1"/>
  <c r="E1798" i="11"/>
  <c r="E1799" i="11" a="1"/>
  <c r="E1799" i="11"/>
  <c r="E1800" i="11" a="1"/>
  <c r="E1800" i="11"/>
  <c r="E1801" i="11" a="1"/>
  <c r="E1801" i="11"/>
  <c r="E1802" i="11" a="1"/>
  <c r="E1802" i="11"/>
  <c r="E1803" i="11" a="1"/>
  <c r="E1803" i="11"/>
  <c r="E1804" i="11" a="1"/>
  <c r="E1804" i="11"/>
  <c r="E1805" i="11" a="1"/>
  <c r="E1805" i="11"/>
  <c r="E1806" i="11" a="1"/>
  <c r="E1806" i="11"/>
  <c r="E1807" i="11" a="1"/>
  <c r="E1807" i="11"/>
  <c r="E1808" i="11" a="1"/>
  <c r="E1808" i="11"/>
  <c r="E1809" i="11" a="1"/>
  <c r="E1809" i="11"/>
  <c r="E1810" i="11" a="1"/>
  <c r="E1810" i="11"/>
  <c r="E1811" i="11" a="1"/>
  <c r="E1811" i="11"/>
  <c r="E1812" i="11" a="1"/>
  <c r="E1812" i="11"/>
  <c r="E1813" i="11" a="1"/>
  <c r="E1813" i="11"/>
  <c r="E1814" i="11" a="1"/>
  <c r="E1814" i="11"/>
  <c r="E1815" i="11" a="1"/>
  <c r="E1815" i="11"/>
  <c r="E1816" i="11" a="1"/>
  <c r="E1816" i="11"/>
  <c r="E1817" i="11" a="1"/>
  <c r="E1817" i="11"/>
  <c r="E1818" i="11" a="1"/>
  <c r="E1818" i="11"/>
  <c r="E1819" i="11" a="1"/>
  <c r="E1819" i="11"/>
  <c r="E1820" i="11" a="1"/>
  <c r="E1820" i="11"/>
  <c r="E1821" i="11" a="1"/>
  <c r="E1821" i="11"/>
  <c r="E1822" i="11" a="1"/>
  <c r="E1822" i="11"/>
  <c r="E1823" i="11" a="1"/>
  <c r="E1823" i="11"/>
  <c r="E1824" i="11" a="1"/>
  <c r="E1824" i="11"/>
  <c r="E1825" i="11" a="1"/>
  <c r="E1825" i="11"/>
  <c r="E1826" i="11" a="1"/>
  <c r="E1826" i="11"/>
  <c r="E1827" i="11" a="1"/>
  <c r="E1827" i="11"/>
  <c r="E1828" i="11" a="1"/>
  <c r="E1828" i="11"/>
  <c r="E1829" i="11" a="1"/>
  <c r="E1829" i="11"/>
  <c r="E1830" i="11" a="1"/>
  <c r="E1830" i="11"/>
  <c r="E1831" i="11" a="1"/>
  <c r="E1831" i="11"/>
  <c r="E1832" i="11" a="1"/>
  <c r="E1832" i="11"/>
  <c r="E1833" i="11" a="1"/>
  <c r="E1833" i="11"/>
  <c r="E1834" i="11" a="1"/>
  <c r="E1834" i="11"/>
  <c r="E1835" i="11" a="1"/>
  <c r="E1835" i="11"/>
  <c r="E1836" i="11" a="1"/>
  <c r="E1836" i="11"/>
  <c r="E1837" i="11" a="1"/>
  <c r="E1837" i="11"/>
  <c r="E1838" i="11" a="1"/>
  <c r="E1838" i="11"/>
  <c r="E1839" i="11" a="1"/>
  <c r="E1839" i="11"/>
  <c r="E1840" i="11" a="1"/>
  <c r="E1840" i="11"/>
  <c r="E1841" i="11" a="1"/>
  <c r="E1841" i="11"/>
  <c r="E1842" i="11" a="1"/>
  <c r="E1842" i="11"/>
  <c r="E1843" i="11" a="1"/>
  <c r="E1843" i="11"/>
  <c r="E1844" i="11" a="1"/>
  <c r="E1844" i="11"/>
  <c r="E1845" i="11" a="1"/>
  <c r="E1845" i="11"/>
  <c r="E1846" i="11" a="1"/>
  <c r="E1846" i="11"/>
  <c r="E1847" i="11" a="1"/>
  <c r="E1847" i="11"/>
  <c r="E1848" i="11" a="1"/>
  <c r="E1848" i="11"/>
  <c r="E1849" i="11" a="1"/>
  <c r="E1849" i="11"/>
  <c r="E1850" i="11" a="1"/>
  <c r="E1850" i="11"/>
  <c r="E1851" i="11" a="1"/>
  <c r="E1851" i="11"/>
  <c r="E1852" i="11" a="1"/>
  <c r="E1852" i="11"/>
  <c r="E1853" i="11" a="1"/>
  <c r="E1853" i="11"/>
  <c r="E1854" i="11" a="1"/>
  <c r="E1854" i="11"/>
  <c r="E1855" i="11" a="1"/>
  <c r="E1855" i="11"/>
  <c r="E1856" i="11" a="1"/>
  <c r="E1856" i="11"/>
  <c r="E1857" i="11" a="1"/>
  <c r="E1857" i="11"/>
  <c r="E1858" i="11" a="1"/>
  <c r="E1858" i="11"/>
  <c r="E1859" i="11" a="1"/>
  <c r="E1859" i="11"/>
  <c r="E1860" i="11" a="1"/>
  <c r="E1860" i="11"/>
  <c r="E1861" i="11" a="1"/>
  <c r="E1861" i="11"/>
  <c r="E1862" i="11" a="1"/>
  <c r="E1862" i="11"/>
  <c r="E1863" i="11" a="1"/>
  <c r="E1863" i="11"/>
  <c r="E1864" i="11" a="1"/>
  <c r="E1864" i="11"/>
  <c r="E1865" i="11" a="1"/>
  <c r="E1865" i="11"/>
  <c r="E1866" i="11" a="1"/>
  <c r="E1866" i="11"/>
  <c r="E1867" i="11" a="1"/>
  <c r="E1867" i="11"/>
  <c r="E1868" i="11" a="1"/>
  <c r="E1868" i="11"/>
  <c r="E1869" i="11" a="1"/>
  <c r="E1869" i="11"/>
  <c r="E1870" i="11" a="1"/>
  <c r="E1870" i="11"/>
  <c r="E1871" i="11" a="1"/>
  <c r="E1871" i="11"/>
  <c r="E1872" i="11" a="1"/>
  <c r="E1872" i="11"/>
  <c r="E1873" i="11" a="1"/>
  <c r="E1873" i="11"/>
  <c r="E1874" i="11" a="1"/>
  <c r="E1874" i="11"/>
  <c r="E1875" i="11" a="1"/>
  <c r="E1875" i="11"/>
  <c r="E1876" i="11" a="1"/>
  <c r="E1876" i="11"/>
  <c r="E1877" i="11" a="1"/>
  <c r="E1877" i="11"/>
  <c r="E1878" i="11" a="1"/>
  <c r="E1878" i="11"/>
  <c r="E1879" i="11" a="1"/>
  <c r="E1879" i="11"/>
  <c r="E1880" i="11" a="1"/>
  <c r="E1880" i="11"/>
  <c r="E1881" i="11" a="1"/>
  <c r="E1881" i="11"/>
  <c r="E1882" i="11" a="1"/>
  <c r="E1882" i="11"/>
  <c r="E1883" i="11" a="1"/>
  <c r="E1883" i="11"/>
  <c r="E1884" i="11" a="1"/>
  <c r="E1884" i="11"/>
  <c r="E1885" i="11" a="1"/>
  <c r="E1885" i="11"/>
  <c r="E1886" i="11" a="1"/>
  <c r="E1886" i="11"/>
  <c r="E1887" i="11" a="1"/>
  <c r="E1887" i="11"/>
  <c r="E1888" i="11" a="1"/>
  <c r="E1888" i="11"/>
  <c r="E1889" i="11" a="1"/>
  <c r="E1889" i="11"/>
  <c r="E1890" i="11" a="1"/>
  <c r="E1890" i="11"/>
  <c r="E1891" i="11" a="1"/>
  <c r="E1891" i="11"/>
  <c r="E1892" i="11" a="1"/>
  <c r="E1892" i="11"/>
  <c r="E1893" i="11" a="1"/>
  <c r="E1893" i="11"/>
  <c r="E1894" i="11" a="1"/>
  <c r="E1894" i="11"/>
  <c r="E1895" i="11" a="1"/>
  <c r="E1895" i="11"/>
  <c r="E1896" i="11" a="1"/>
  <c r="E1896" i="11"/>
  <c r="E1897" i="11" a="1"/>
  <c r="E1897" i="11"/>
  <c r="E1898" i="11" a="1"/>
  <c r="E1898" i="11"/>
  <c r="E1899" i="11" a="1"/>
  <c r="E1899" i="11"/>
  <c r="E1900" i="11" a="1"/>
  <c r="E1900" i="11"/>
  <c r="E1901" i="11" a="1"/>
  <c r="E1901" i="11"/>
  <c r="E1902" i="11" a="1"/>
  <c r="E1902" i="11"/>
  <c r="E1903" i="11" a="1"/>
  <c r="E1903" i="11"/>
  <c r="E1904" i="11" a="1"/>
  <c r="E1904" i="11"/>
  <c r="E1905" i="11" a="1"/>
  <c r="E1905" i="11"/>
  <c r="E1906" i="11" a="1"/>
  <c r="E1906" i="11"/>
  <c r="E1907" i="11" a="1"/>
  <c r="E1907" i="11"/>
  <c r="E1908" i="11" a="1"/>
  <c r="E1908" i="11"/>
  <c r="E1909" i="11" a="1"/>
  <c r="E1909" i="11"/>
  <c r="E1910" i="11" a="1"/>
  <c r="E1910" i="11"/>
  <c r="E1911" i="11" a="1"/>
  <c r="E1911" i="11"/>
  <c r="E1912" i="11" a="1"/>
  <c r="E1912" i="11"/>
  <c r="E1913" i="11" a="1"/>
  <c r="E1913" i="11"/>
  <c r="E1914" i="11" a="1"/>
  <c r="E1914" i="11"/>
  <c r="E1915" i="11" a="1"/>
  <c r="E1915" i="11"/>
  <c r="E1916" i="11" a="1"/>
  <c r="E1916" i="11"/>
  <c r="E1917" i="11" a="1"/>
  <c r="E1917" i="11"/>
  <c r="E1918" i="11" a="1"/>
  <c r="E1918" i="11"/>
  <c r="E1919" i="11" a="1"/>
  <c r="E1919" i="11"/>
  <c r="E1920" i="11" a="1"/>
  <c r="E1920" i="11"/>
  <c r="E1921" i="11" a="1"/>
  <c r="E1921" i="11"/>
  <c r="E1922" i="11" a="1"/>
  <c r="E1922" i="11"/>
  <c r="E1923" i="11" a="1"/>
  <c r="E1923" i="11"/>
  <c r="E1924" i="11" a="1"/>
  <c r="E1924" i="11"/>
  <c r="E1925" i="11" a="1"/>
  <c r="E1925" i="11"/>
  <c r="E1926" i="11" a="1"/>
  <c r="E1926" i="11"/>
  <c r="E1927" i="11" a="1"/>
  <c r="E1927" i="11"/>
  <c r="E1928" i="11" a="1"/>
  <c r="E1928" i="11"/>
  <c r="E1929" i="11" a="1"/>
  <c r="E1929" i="11"/>
  <c r="E1930" i="11" a="1"/>
  <c r="E1930" i="11"/>
  <c r="E1931" i="11" a="1"/>
  <c r="E1931" i="11"/>
  <c r="E1932" i="11" a="1"/>
  <c r="E1932" i="11"/>
  <c r="E1933" i="11" a="1"/>
  <c r="E1933" i="11"/>
  <c r="E1934" i="11" a="1"/>
  <c r="E1934" i="11"/>
  <c r="E1935" i="11" a="1"/>
  <c r="E1935" i="11"/>
  <c r="E1936" i="11" a="1"/>
  <c r="E1936" i="11"/>
  <c r="E1937" i="11" a="1"/>
  <c r="E1937" i="11"/>
  <c r="E1938" i="11" a="1"/>
  <c r="E1938" i="11"/>
  <c r="E1939" i="11" a="1"/>
  <c r="E1939" i="11"/>
  <c r="E1940" i="11" a="1"/>
  <c r="E1940" i="11"/>
  <c r="E1941" i="11" a="1"/>
  <c r="E1941" i="11"/>
  <c r="E1942" i="11" a="1"/>
  <c r="E1942" i="11"/>
  <c r="E1943" i="11" a="1"/>
  <c r="E1943" i="11"/>
  <c r="E1944" i="11" a="1"/>
  <c r="E1944" i="11"/>
  <c r="E1945" i="11" a="1"/>
  <c r="E1945" i="11"/>
  <c r="E1946" i="11" a="1"/>
  <c r="E1946" i="11"/>
  <c r="E1947" i="11" a="1"/>
  <c r="E1947" i="11"/>
  <c r="E1948" i="11" a="1"/>
  <c r="E1948" i="11"/>
  <c r="E1949" i="11" a="1"/>
  <c r="E1949" i="11"/>
  <c r="E1950" i="11" a="1"/>
  <c r="E1950" i="11"/>
  <c r="E1951" i="11" a="1"/>
  <c r="E1951" i="11"/>
  <c r="E1952" i="11" a="1"/>
  <c r="E1952" i="11"/>
  <c r="E1953" i="11" a="1"/>
  <c r="E1953" i="11"/>
  <c r="E1954" i="11" a="1"/>
  <c r="E1954" i="11"/>
  <c r="E1955" i="11" a="1"/>
  <c r="E1955" i="11"/>
  <c r="E1956" i="11" a="1"/>
  <c r="E1956" i="11"/>
  <c r="E1957" i="11" a="1"/>
  <c r="E1957" i="11"/>
  <c r="E1958" i="11" a="1"/>
  <c r="E1958" i="11"/>
  <c r="E1959" i="11" a="1"/>
  <c r="E1959" i="11"/>
  <c r="E1960" i="11" a="1"/>
  <c r="E1960" i="11"/>
  <c r="E1961" i="11" a="1"/>
  <c r="E1961" i="11"/>
  <c r="E1962" i="11" a="1"/>
  <c r="E1962" i="11"/>
  <c r="E1963" i="11" a="1"/>
  <c r="E1963" i="11"/>
  <c r="E1964" i="11" a="1"/>
  <c r="E1964" i="11"/>
  <c r="E1965" i="11" a="1"/>
  <c r="E1965" i="11"/>
  <c r="E1966" i="11" a="1"/>
  <c r="E1966" i="11"/>
  <c r="E1967" i="11" a="1"/>
  <c r="E1967" i="11"/>
  <c r="E1968" i="11" a="1"/>
  <c r="E1968" i="11"/>
  <c r="E1969" i="11" a="1"/>
  <c r="E1969" i="11"/>
  <c r="E1970" i="11" a="1"/>
  <c r="E1970" i="11"/>
  <c r="E1971" i="11" a="1"/>
  <c r="E1971" i="11"/>
  <c r="E1972" i="11" a="1"/>
  <c r="E1972" i="11"/>
  <c r="E1973" i="11" a="1"/>
  <c r="E1973" i="11"/>
  <c r="E1974" i="11" a="1"/>
  <c r="E1974" i="11"/>
  <c r="E1975" i="11" a="1"/>
  <c r="E1975" i="11"/>
  <c r="E1976" i="11" a="1"/>
  <c r="E1976" i="11"/>
  <c r="E1977" i="11" a="1"/>
  <c r="E1977" i="11"/>
  <c r="E1978" i="11" a="1"/>
  <c r="E1978" i="11"/>
  <c r="E1979" i="11" a="1"/>
  <c r="E1979" i="11"/>
  <c r="E1980" i="11" a="1"/>
  <c r="E1980" i="11"/>
  <c r="E1981" i="11" a="1"/>
  <c r="E1981" i="11"/>
  <c r="E1982" i="11" a="1"/>
  <c r="E1982" i="11"/>
  <c r="E1983" i="11" a="1"/>
  <c r="E1983" i="11"/>
  <c r="E1984" i="11" a="1"/>
  <c r="E1984" i="11"/>
  <c r="E1985" i="11" a="1"/>
  <c r="E1985" i="11"/>
  <c r="E1986" i="11" a="1"/>
  <c r="E1986" i="11"/>
  <c r="E1987" i="11" a="1"/>
  <c r="E1987" i="11"/>
  <c r="E1988" i="11" a="1"/>
  <c r="E1988" i="11"/>
  <c r="E1989" i="11" a="1"/>
  <c r="E1989" i="11"/>
  <c r="E1990" i="11" a="1"/>
  <c r="E1990" i="11"/>
  <c r="E1991" i="11" a="1"/>
  <c r="E1991" i="11"/>
  <c r="E1992" i="11" a="1"/>
  <c r="E1992" i="11"/>
  <c r="E1993" i="11" a="1"/>
  <c r="E1993" i="11"/>
  <c r="E1994" i="11" a="1"/>
  <c r="E1994" i="11"/>
  <c r="E1995" i="11" a="1"/>
  <c r="E1995" i="11"/>
  <c r="E1996" i="11" a="1"/>
  <c r="E1996" i="11"/>
  <c r="E1997" i="11" a="1"/>
  <c r="E1997" i="11"/>
  <c r="E1998" i="11" a="1"/>
  <c r="E1998" i="11"/>
  <c r="E1999" i="11" a="1"/>
  <c r="E1999" i="11"/>
  <c r="E2000" i="11" a="1"/>
  <c r="E2000" i="11"/>
  <c r="E2001" i="11" a="1"/>
  <c r="E2001" i="11"/>
  <c r="E2002" i="11" a="1"/>
  <c r="E2002" i="11"/>
  <c r="E2003" i="11" a="1"/>
  <c r="E2003" i="11"/>
  <c r="E2004" i="11" a="1"/>
  <c r="E2004" i="11"/>
  <c r="E2005" i="11" a="1"/>
  <c r="E2005" i="11"/>
  <c r="E2006" i="11" a="1"/>
  <c r="E2006" i="11"/>
  <c r="E2007" i="11" a="1"/>
  <c r="E2007" i="11"/>
  <c r="E2008" i="11" a="1"/>
  <c r="E2008" i="11"/>
  <c r="E2009" i="11" a="1"/>
  <c r="E2009" i="11"/>
  <c r="E2010" i="11" a="1"/>
  <c r="E2010" i="11"/>
  <c r="E2011" i="11" a="1"/>
  <c r="E2011" i="11"/>
  <c r="E2012" i="11" a="1"/>
  <c r="E2012" i="11"/>
  <c r="E2013" i="11" a="1"/>
  <c r="E2013" i="11"/>
  <c r="E2014" i="11" a="1"/>
  <c r="E2014" i="11"/>
  <c r="E2015" i="11" a="1"/>
  <c r="E2015" i="11"/>
  <c r="E2016" i="11" a="1"/>
  <c r="E2016" i="11"/>
  <c r="E2017" i="11" a="1"/>
  <c r="E2017" i="11"/>
  <c r="E2018" i="11" a="1"/>
  <c r="E2018" i="11"/>
  <c r="E2019" i="11" a="1"/>
  <c r="E2019" i="11"/>
  <c r="E2020" i="11" a="1"/>
  <c r="E2020" i="11"/>
  <c r="E2021" i="11" a="1"/>
  <c r="E2021" i="11"/>
  <c r="E2022" i="11" a="1"/>
  <c r="E2022" i="11"/>
  <c r="E2023" i="11" a="1"/>
  <c r="E2023" i="11"/>
  <c r="E2024" i="11" a="1"/>
  <c r="E2024" i="11"/>
  <c r="E2025" i="11" a="1"/>
  <c r="E2025" i="11"/>
  <c r="E2026" i="11" a="1"/>
  <c r="E2026" i="11"/>
  <c r="E2027" i="11" a="1"/>
  <c r="E2027" i="11"/>
  <c r="E2028" i="11" a="1"/>
  <c r="E2028" i="11"/>
  <c r="E2029" i="11" a="1"/>
  <c r="E2029" i="11"/>
  <c r="E2030" i="11" a="1"/>
  <c r="E2030" i="11"/>
  <c r="E2031" i="11" a="1"/>
  <c r="E2031" i="11"/>
  <c r="E2032" i="11" a="1"/>
  <c r="E2032" i="11"/>
  <c r="E2033" i="11" a="1"/>
  <c r="E2033" i="11"/>
  <c r="E2034" i="11" a="1"/>
  <c r="E2034" i="11"/>
  <c r="E2035" i="11" a="1"/>
  <c r="E2035" i="11"/>
  <c r="E2036" i="11" a="1"/>
  <c r="E2036" i="11"/>
  <c r="E2037" i="11" a="1"/>
  <c r="E2037" i="11"/>
  <c r="E2038" i="11" a="1"/>
  <c r="E2038" i="11"/>
  <c r="E2039" i="11" a="1"/>
  <c r="E2039" i="11"/>
  <c r="E2040" i="11" a="1"/>
  <c r="E2040" i="11"/>
  <c r="E2041" i="11" a="1"/>
  <c r="E2041" i="11"/>
  <c r="E2042" i="11" a="1"/>
  <c r="E2042" i="11"/>
  <c r="E2043" i="11" a="1"/>
  <c r="E2043" i="11"/>
  <c r="E2044" i="11" a="1"/>
  <c r="E2044" i="11"/>
  <c r="E2045" i="11" a="1"/>
  <c r="E2045" i="11"/>
  <c r="E2046" i="11" a="1"/>
  <c r="E2046" i="11"/>
  <c r="E2047" i="11" a="1"/>
  <c r="E2047" i="11"/>
  <c r="E2048" i="11" a="1"/>
  <c r="E2048" i="11"/>
  <c r="E2049" i="11" a="1"/>
  <c r="E2049" i="11"/>
  <c r="E2050" i="11" a="1"/>
  <c r="E2050" i="11"/>
  <c r="E2051" i="11" a="1"/>
  <c r="E2051" i="11"/>
  <c r="E2052" i="11" a="1"/>
  <c r="E2052" i="11"/>
  <c r="E2053" i="11" a="1"/>
  <c r="E2053" i="11"/>
  <c r="E2054" i="11" a="1"/>
  <c r="E2054" i="11"/>
  <c r="E2055" i="11" a="1"/>
  <c r="E2055" i="11"/>
  <c r="E2056" i="11" a="1"/>
  <c r="E2056" i="11"/>
  <c r="E2057" i="11" a="1"/>
  <c r="E2057" i="11"/>
  <c r="E2058" i="11" a="1"/>
  <c r="E2058" i="11"/>
  <c r="E2059" i="11" a="1"/>
  <c r="E2059" i="11"/>
  <c r="E2060" i="11" a="1"/>
  <c r="E2060" i="11"/>
  <c r="E2061" i="11" a="1"/>
  <c r="E2061" i="11"/>
  <c r="E2062" i="11" a="1"/>
  <c r="E2062" i="11"/>
  <c r="E2063" i="11" a="1"/>
  <c r="E2063" i="11"/>
  <c r="E2064" i="11" a="1"/>
  <c r="E2064" i="11"/>
  <c r="E2065" i="11" a="1"/>
  <c r="E2065" i="11"/>
  <c r="E2066" i="11" a="1"/>
  <c r="E2066" i="11"/>
  <c r="E2067" i="11" a="1"/>
  <c r="E2067" i="11"/>
  <c r="E2068" i="11" a="1"/>
  <c r="E2068" i="11"/>
  <c r="E2069" i="11" a="1"/>
  <c r="E2069" i="11"/>
  <c r="E2070" i="11" a="1"/>
  <c r="E2070" i="11"/>
  <c r="E2071" i="11" a="1"/>
  <c r="E2071" i="11"/>
  <c r="E2072" i="11" a="1"/>
  <c r="E2072" i="11"/>
  <c r="E2073" i="11" a="1"/>
  <c r="E2073" i="11"/>
  <c r="E2074" i="11" a="1"/>
  <c r="E2074" i="11"/>
  <c r="E2075" i="11" a="1"/>
  <c r="E2075" i="11"/>
  <c r="E2076" i="11" a="1"/>
  <c r="E2076" i="11"/>
  <c r="E2077" i="11" a="1"/>
  <c r="E2077" i="11"/>
  <c r="E2078" i="11" a="1"/>
  <c r="E2078" i="11"/>
  <c r="E2079" i="11" a="1"/>
  <c r="E2079" i="11"/>
  <c r="E2080" i="11" a="1"/>
  <c r="E2080" i="11"/>
  <c r="E2081" i="11" a="1"/>
  <c r="E2081" i="11"/>
  <c r="E2082" i="11" a="1"/>
  <c r="E2082" i="11"/>
  <c r="E2083" i="11" a="1"/>
  <c r="E2083" i="11"/>
  <c r="E2084" i="11" a="1"/>
  <c r="E2084" i="11"/>
  <c r="E2085" i="11" a="1"/>
  <c r="E2085" i="11"/>
  <c r="E2086" i="11" a="1"/>
  <c r="E2086" i="11"/>
  <c r="E2087" i="11" a="1"/>
  <c r="E2087" i="11"/>
  <c r="E2088" i="11" a="1"/>
  <c r="E2088" i="11"/>
  <c r="E2089" i="11" a="1"/>
  <c r="E2089" i="11"/>
  <c r="E2090" i="11" a="1"/>
  <c r="E2090" i="11"/>
  <c r="E2091" i="11" a="1"/>
  <c r="E2091" i="11"/>
  <c r="E2092" i="11" a="1"/>
  <c r="E2092" i="11"/>
  <c r="E2093" i="11" a="1"/>
  <c r="E2093" i="11"/>
  <c r="E2094" i="11" a="1"/>
  <c r="E2094" i="11"/>
  <c r="E2095" i="11" a="1"/>
  <c r="E2095" i="11"/>
  <c r="E2096" i="11" a="1"/>
  <c r="E2096" i="11"/>
  <c r="E2097" i="11" a="1"/>
  <c r="E2097" i="11"/>
  <c r="E2098" i="11" a="1"/>
  <c r="E2098" i="11"/>
  <c r="E2099" i="11" a="1"/>
  <c r="E2099" i="11"/>
  <c r="E2100" i="11" a="1"/>
  <c r="E2100" i="11"/>
  <c r="E2101" i="11" a="1"/>
  <c r="E2101" i="11"/>
  <c r="E2102" i="11" a="1"/>
  <c r="E2102" i="11"/>
  <c r="E2103" i="11" a="1"/>
  <c r="E2103" i="11"/>
  <c r="E2104" i="11" a="1"/>
  <c r="E2104" i="11"/>
  <c r="E2105" i="11" a="1"/>
  <c r="E2105" i="11"/>
  <c r="E2106" i="11" a="1"/>
  <c r="E2106" i="11"/>
  <c r="E2107" i="11" a="1"/>
  <c r="E2107" i="11"/>
  <c r="E2108" i="11" a="1"/>
  <c r="E2108" i="11"/>
  <c r="E2109" i="11" a="1"/>
  <c r="E2109" i="11"/>
  <c r="E2110" i="11" a="1"/>
  <c r="E2110" i="11"/>
  <c r="E2111" i="11" a="1"/>
  <c r="E2111" i="11"/>
  <c r="E2112" i="11" a="1"/>
  <c r="E2112" i="11"/>
  <c r="E2113" i="11" a="1"/>
  <c r="E2113" i="11"/>
  <c r="E2114" i="11" a="1"/>
  <c r="E2114" i="11"/>
  <c r="E2115" i="11" a="1"/>
  <c r="E2115" i="11"/>
  <c r="E2116" i="11" a="1"/>
  <c r="E2116" i="11"/>
  <c r="E2117" i="11" a="1"/>
  <c r="E2117" i="11"/>
  <c r="E2118" i="11" a="1"/>
  <c r="E2118" i="11"/>
  <c r="E2119" i="11" a="1"/>
  <c r="E2119" i="11"/>
  <c r="E2120" i="11" a="1"/>
  <c r="E2120" i="11"/>
  <c r="E2121" i="11" a="1"/>
  <c r="E2121" i="11"/>
  <c r="E2122" i="11" a="1"/>
  <c r="E2122" i="11"/>
  <c r="E2123" i="11" a="1"/>
  <c r="E2123" i="11"/>
  <c r="E2124" i="11" a="1"/>
  <c r="E2124" i="11"/>
  <c r="E2125" i="11" a="1"/>
  <c r="E2125" i="11"/>
  <c r="E2126" i="11" a="1"/>
  <c r="E2126" i="11"/>
  <c r="E2127" i="11" a="1"/>
  <c r="E2127" i="11"/>
  <c r="E2128" i="11" a="1"/>
  <c r="E2128" i="11"/>
  <c r="E2129" i="11" a="1"/>
  <c r="E2129" i="11"/>
  <c r="E2130" i="11" a="1"/>
  <c r="E2130" i="11"/>
  <c r="E2131" i="11" a="1"/>
  <c r="E2131" i="11"/>
  <c r="E2132" i="11" a="1"/>
  <c r="E2132" i="11"/>
  <c r="E2133" i="11" a="1"/>
  <c r="E2133" i="11"/>
  <c r="E2134" i="11" a="1"/>
  <c r="E2134" i="11"/>
  <c r="E2135" i="11" a="1"/>
  <c r="E2135" i="11"/>
  <c r="E2136" i="11" a="1"/>
  <c r="E2136" i="11"/>
  <c r="E2137" i="11" a="1"/>
  <c r="E2137" i="11"/>
  <c r="E2138" i="11" a="1"/>
  <c r="E2138" i="11"/>
  <c r="E2139" i="11" a="1"/>
  <c r="E2139" i="11"/>
  <c r="E2140" i="11" a="1"/>
  <c r="E2140" i="11"/>
  <c r="E2141" i="11" a="1"/>
  <c r="E2141" i="11"/>
  <c r="E2142" i="11" a="1"/>
  <c r="E2142" i="11"/>
  <c r="E2143" i="11" a="1"/>
  <c r="E2143" i="11"/>
  <c r="E2144" i="11" a="1"/>
  <c r="E2144" i="11"/>
  <c r="E2145" i="11" a="1"/>
  <c r="E2145" i="11"/>
  <c r="E2146" i="11" a="1"/>
  <c r="E2146" i="11"/>
  <c r="E2147" i="11" a="1"/>
  <c r="E2147" i="11"/>
  <c r="E2148" i="11" a="1"/>
  <c r="E2148" i="11"/>
  <c r="E2149" i="11" a="1"/>
  <c r="E2149" i="11"/>
  <c r="E2150" i="11" a="1"/>
  <c r="E2150" i="11"/>
  <c r="E2151" i="11" a="1"/>
  <c r="E2151" i="11"/>
  <c r="E2152" i="11" a="1"/>
  <c r="E2152" i="11"/>
  <c r="E2153" i="11" a="1"/>
  <c r="E2153" i="11"/>
  <c r="E2154" i="11" a="1"/>
  <c r="E2154" i="11"/>
  <c r="E2155" i="11" a="1"/>
  <c r="E2155" i="11"/>
  <c r="E2156" i="11" a="1"/>
  <c r="E2156" i="11"/>
  <c r="E2157" i="11" a="1"/>
  <c r="E2157" i="11"/>
  <c r="E2158" i="11" a="1"/>
  <c r="E2158" i="11"/>
  <c r="E2159" i="11" a="1"/>
  <c r="E2159" i="11"/>
  <c r="E2160" i="11" a="1"/>
  <c r="E2160" i="11"/>
  <c r="E2161" i="11" a="1"/>
  <c r="E2161" i="11"/>
  <c r="E2162" i="11" a="1"/>
  <c r="E2162" i="11"/>
  <c r="E2163" i="11" a="1"/>
  <c r="E2163" i="11"/>
  <c r="E2164" i="11" a="1"/>
  <c r="E2164" i="11"/>
  <c r="E2165" i="11" a="1"/>
  <c r="E2165" i="11"/>
  <c r="E2166" i="11" a="1"/>
  <c r="E2166" i="11"/>
  <c r="E2167" i="11" a="1"/>
  <c r="E2167" i="11"/>
  <c r="E2168" i="11" a="1"/>
  <c r="E2168" i="11"/>
  <c r="E2169" i="11" a="1"/>
  <c r="E2169" i="11"/>
  <c r="E2170" i="11" a="1"/>
  <c r="E2170" i="11"/>
  <c r="E2171" i="11" a="1"/>
  <c r="E2171" i="11"/>
  <c r="E2172" i="11" a="1"/>
  <c r="E2172" i="11"/>
  <c r="E2173" i="11" a="1"/>
  <c r="E2173" i="11"/>
  <c r="E2174" i="11" a="1"/>
  <c r="E2174" i="11"/>
  <c r="E2175" i="11" a="1"/>
  <c r="E2175" i="11"/>
  <c r="E2176" i="11" a="1"/>
  <c r="E2176" i="11"/>
  <c r="E2177" i="11" a="1"/>
  <c r="E2177" i="11"/>
  <c r="E2178" i="11" a="1"/>
  <c r="E2178" i="11"/>
  <c r="E2179" i="11" a="1"/>
  <c r="E2179" i="11"/>
  <c r="E2180" i="11" a="1"/>
  <c r="E2180" i="11"/>
  <c r="E2181" i="11" a="1"/>
  <c r="E2181" i="11"/>
  <c r="E2182" i="11" a="1"/>
  <c r="E2182" i="11"/>
  <c r="E2183" i="11" a="1"/>
  <c r="E2183" i="11"/>
  <c r="E2184" i="11" a="1"/>
  <c r="E2184" i="11"/>
  <c r="E2185" i="11" a="1"/>
  <c r="E2185" i="11"/>
  <c r="E2186" i="11" a="1"/>
  <c r="E2186" i="11"/>
  <c r="E2187" i="11" a="1"/>
  <c r="E2187" i="11"/>
  <c r="E2188" i="11" a="1"/>
  <c r="E2188" i="11"/>
  <c r="E2189" i="11" a="1"/>
  <c r="E2189" i="11"/>
  <c r="E2190" i="11" a="1"/>
  <c r="E2190" i="11"/>
  <c r="E2191" i="11" a="1"/>
  <c r="E2191" i="11"/>
  <c r="E2192" i="11" a="1"/>
  <c r="E2192" i="11"/>
  <c r="E2193" i="11" a="1"/>
  <c r="E2193" i="11"/>
  <c r="E2194" i="11" a="1"/>
  <c r="E2194" i="11"/>
  <c r="E2195" i="11" a="1"/>
  <c r="E2195" i="11"/>
  <c r="E2196" i="11" a="1"/>
  <c r="E2196" i="11"/>
  <c r="E2197" i="11" a="1"/>
  <c r="E2197" i="11"/>
  <c r="E2198" i="11" a="1"/>
  <c r="E2198" i="11"/>
  <c r="E2199" i="11" a="1"/>
  <c r="E2199" i="11"/>
  <c r="E2200" i="11" a="1"/>
  <c r="E2200" i="11"/>
  <c r="E2201" i="11" a="1"/>
  <c r="E2201" i="11"/>
  <c r="E2202" i="11" a="1"/>
  <c r="E2202" i="11"/>
  <c r="E2203" i="11" a="1"/>
  <c r="E2203" i="11"/>
  <c r="E2204" i="11" a="1"/>
  <c r="E2204" i="11"/>
  <c r="E2205" i="11" a="1"/>
  <c r="E2205" i="11"/>
  <c r="E2206" i="11" a="1"/>
  <c r="E2206" i="11"/>
  <c r="E2207" i="11" a="1"/>
  <c r="E2207" i="11"/>
  <c r="E2208" i="11" a="1"/>
  <c r="E2208" i="11"/>
  <c r="E2209" i="11" a="1"/>
  <c r="E2209" i="11"/>
  <c r="E2210" i="11" a="1"/>
  <c r="E2210" i="11"/>
  <c r="E2211" i="11" a="1"/>
  <c r="E2211" i="11"/>
  <c r="E2212" i="11" a="1"/>
  <c r="E2212" i="11"/>
  <c r="E2213" i="11" a="1"/>
  <c r="E2213" i="11"/>
  <c r="E2214" i="11" a="1"/>
  <c r="E2214" i="11"/>
  <c r="E2215" i="11" a="1"/>
  <c r="E2215" i="11"/>
  <c r="E2216" i="11" a="1"/>
  <c r="E2216" i="11"/>
  <c r="E2217" i="11" a="1"/>
  <c r="E2217" i="11"/>
  <c r="E2218" i="11" a="1"/>
  <c r="E2218" i="11"/>
  <c r="E2219" i="11" a="1"/>
  <c r="E2219" i="11"/>
  <c r="E2220" i="11" a="1"/>
  <c r="E2220" i="11"/>
  <c r="E2221" i="11" a="1"/>
  <c r="E2221" i="11"/>
  <c r="E2222" i="11" a="1"/>
  <c r="E2222" i="11"/>
  <c r="E2223" i="11" a="1"/>
  <c r="E2223" i="11"/>
  <c r="E2224" i="11" a="1"/>
  <c r="E2224" i="11"/>
  <c r="E2225" i="11" a="1"/>
  <c r="E2225" i="11"/>
  <c r="E2226" i="11" a="1"/>
  <c r="E2226" i="11"/>
  <c r="E2227" i="11" a="1"/>
  <c r="E2227" i="11"/>
  <c r="E2228" i="11" a="1"/>
  <c r="E2228" i="11"/>
  <c r="E2229" i="11" a="1"/>
  <c r="E2229" i="11"/>
  <c r="E2230" i="11" a="1"/>
  <c r="E2230" i="11"/>
  <c r="E2231" i="11" a="1"/>
  <c r="E2231" i="11"/>
  <c r="E2232" i="11" a="1"/>
  <c r="E2232" i="11"/>
  <c r="E2233" i="11" a="1"/>
  <c r="E2233" i="11"/>
  <c r="E2234" i="11" a="1"/>
  <c r="E2234" i="11"/>
  <c r="E2235" i="11" a="1"/>
  <c r="E2235" i="11"/>
  <c r="E2236" i="11" a="1"/>
  <c r="E2236" i="11"/>
  <c r="E2237" i="11" a="1"/>
  <c r="E2237" i="11"/>
  <c r="E2238" i="11" a="1"/>
  <c r="E2238" i="11"/>
  <c r="E2239" i="11" a="1"/>
  <c r="E2239" i="11"/>
  <c r="E2240" i="11" a="1"/>
  <c r="E2240" i="11"/>
  <c r="E2241" i="11" a="1"/>
  <c r="E2241" i="11"/>
  <c r="E2242" i="11" a="1"/>
  <c r="E2242" i="11"/>
  <c r="E2243" i="11" a="1"/>
  <c r="E2243" i="11"/>
  <c r="E2244" i="11" a="1"/>
  <c r="E2244" i="11"/>
  <c r="E2245" i="11" a="1"/>
  <c r="E2245" i="11"/>
  <c r="E2246" i="11" a="1"/>
  <c r="E2246" i="11"/>
  <c r="E2247" i="11" a="1"/>
  <c r="E2247" i="11"/>
  <c r="E2248" i="11" a="1"/>
  <c r="E2248" i="11"/>
  <c r="E2249" i="11" a="1"/>
  <c r="E2249" i="11"/>
  <c r="E2250" i="11" a="1"/>
  <c r="E2250" i="11"/>
  <c r="E2251" i="11" a="1"/>
  <c r="E2251" i="11"/>
  <c r="E2252" i="11" a="1"/>
  <c r="E2252" i="11"/>
  <c r="E2253" i="11" a="1"/>
  <c r="E2253" i="11"/>
  <c r="E2254" i="11" a="1"/>
  <c r="E2254" i="11"/>
  <c r="E2255" i="11" a="1"/>
  <c r="E2255" i="11"/>
  <c r="E2256" i="11" a="1"/>
  <c r="E2256" i="11"/>
  <c r="E2257" i="11" a="1"/>
  <c r="E2257" i="11"/>
  <c r="E2258" i="11" a="1"/>
  <c r="E2258" i="11"/>
  <c r="E2259" i="11" a="1"/>
  <c r="E2259" i="11"/>
  <c r="E2260" i="11" a="1"/>
  <c r="E2260" i="11"/>
  <c r="E2261" i="11" a="1"/>
  <c r="E2261" i="11"/>
  <c r="E2262" i="11" a="1"/>
  <c r="E2262" i="11"/>
  <c r="E2263" i="11" a="1"/>
  <c r="E2263" i="11"/>
  <c r="E2264" i="11" a="1"/>
  <c r="E2264" i="11"/>
  <c r="E2265" i="11" a="1"/>
  <c r="E2265" i="11"/>
  <c r="E2266" i="11" a="1"/>
  <c r="E2266" i="11"/>
  <c r="E2267" i="11" a="1"/>
  <c r="E2267" i="11"/>
  <c r="E2268" i="11" a="1"/>
  <c r="E2268" i="11"/>
  <c r="E2269" i="11" a="1"/>
  <c r="E2269" i="11"/>
  <c r="E2270" i="11" a="1"/>
  <c r="E2270" i="11"/>
  <c r="E2271" i="11" a="1"/>
  <c r="E2271" i="11"/>
  <c r="E2272" i="11" a="1"/>
  <c r="E2272" i="11"/>
  <c r="E2273" i="11" a="1"/>
  <c r="E2273" i="11"/>
  <c r="E2274" i="11" a="1"/>
  <c r="E2274" i="11"/>
  <c r="E2275" i="11" a="1"/>
  <c r="E2275" i="11"/>
  <c r="E2276" i="11" a="1"/>
  <c r="E2276" i="11"/>
  <c r="E2277" i="11" a="1"/>
  <c r="E2277" i="11"/>
  <c r="E2278" i="11" a="1"/>
  <c r="E2278" i="11"/>
  <c r="E2279" i="11" a="1"/>
  <c r="E2279" i="11"/>
  <c r="E2280" i="11" a="1"/>
  <c r="E2280" i="11"/>
  <c r="E2281" i="11" a="1"/>
  <c r="E2281" i="11"/>
  <c r="E2282" i="11" a="1"/>
  <c r="E2282" i="11"/>
  <c r="E2283" i="11" a="1"/>
  <c r="E2283" i="11"/>
  <c r="E2284" i="11" a="1"/>
  <c r="E2284" i="11"/>
  <c r="E2285" i="11" a="1"/>
  <c r="E2285" i="11"/>
  <c r="E2286" i="11" a="1"/>
  <c r="E2286" i="11"/>
  <c r="E2287" i="11" a="1"/>
  <c r="E2287" i="11"/>
  <c r="E2288" i="11" a="1"/>
  <c r="E2288" i="11"/>
  <c r="E2289" i="11" a="1"/>
  <c r="E2289" i="11"/>
  <c r="E2290" i="11" a="1"/>
  <c r="E2290" i="11"/>
  <c r="E2291" i="11" a="1"/>
  <c r="E2291" i="11"/>
  <c r="E2292" i="11" a="1"/>
  <c r="E2292" i="11"/>
  <c r="E2293" i="11" a="1"/>
  <c r="E2293" i="11"/>
  <c r="E2294" i="11" a="1"/>
  <c r="E2294" i="11"/>
  <c r="E2295" i="11" a="1"/>
  <c r="E2295" i="11"/>
  <c r="E2296" i="11" a="1"/>
  <c r="E2296" i="11"/>
  <c r="E2297" i="11" a="1"/>
  <c r="E2297" i="11"/>
  <c r="E2298" i="11" a="1"/>
  <c r="E2298" i="11"/>
  <c r="E2299" i="11" a="1"/>
  <c r="E2299" i="11"/>
  <c r="E2300" i="11" a="1"/>
  <c r="E2300" i="11"/>
  <c r="E2301" i="11" a="1"/>
  <c r="E2301" i="11"/>
  <c r="E2302" i="11" a="1"/>
  <c r="E2302" i="11"/>
  <c r="E2303" i="11" a="1"/>
  <c r="E2303" i="11"/>
  <c r="E2304" i="11" a="1"/>
  <c r="E2304" i="11"/>
  <c r="E2305" i="11" a="1"/>
  <c r="E2305" i="11"/>
  <c r="E2306" i="11" a="1"/>
  <c r="E2306" i="11"/>
  <c r="E2307" i="11" a="1"/>
  <c r="E2307" i="11"/>
  <c r="E2308" i="11" a="1"/>
  <c r="E2308" i="11"/>
  <c r="E2309" i="11" a="1"/>
  <c r="E2309" i="11"/>
  <c r="E2310" i="11" a="1"/>
  <c r="E2310" i="11"/>
  <c r="E2311" i="11" a="1"/>
  <c r="E2311" i="11"/>
  <c r="E2312" i="11" a="1"/>
  <c r="E2312" i="11"/>
  <c r="E2313" i="11" a="1"/>
  <c r="E2313" i="11"/>
  <c r="E2314" i="11" a="1"/>
  <c r="E2314" i="11"/>
  <c r="E2315" i="11" a="1"/>
  <c r="E2315" i="11"/>
  <c r="E2316" i="11" a="1"/>
  <c r="E2316" i="11"/>
  <c r="E2317" i="11" a="1"/>
  <c r="E2317" i="11"/>
  <c r="E2318" i="11" a="1"/>
  <c r="E2318" i="11"/>
  <c r="E2319" i="11" a="1"/>
  <c r="E2319" i="11"/>
  <c r="E2320" i="11" a="1"/>
  <c r="E2320" i="11"/>
  <c r="E2321" i="11" a="1"/>
  <c r="E2321" i="11"/>
  <c r="E2322" i="11" a="1"/>
  <c r="E2322" i="11"/>
  <c r="E2323" i="11" a="1"/>
  <c r="E2323" i="11"/>
  <c r="E2324" i="11" a="1"/>
  <c r="E2324" i="11"/>
  <c r="E2325" i="11" a="1"/>
  <c r="E2325" i="11"/>
  <c r="E2326" i="11" a="1"/>
  <c r="E2326" i="11"/>
  <c r="E2327" i="11" a="1"/>
  <c r="E2327" i="11"/>
  <c r="E2328" i="11" a="1"/>
  <c r="E2328" i="11"/>
  <c r="E2329" i="11" a="1"/>
  <c r="E2329" i="11"/>
  <c r="E2330" i="11" a="1"/>
  <c r="E2330" i="11"/>
  <c r="E2331" i="11" a="1"/>
  <c r="E2331" i="11"/>
  <c r="E2332" i="11" a="1"/>
  <c r="E2332" i="11"/>
  <c r="E2333" i="11" a="1"/>
  <c r="E2333" i="11"/>
  <c r="E2334" i="11" a="1"/>
  <c r="E2334" i="11"/>
  <c r="E2335" i="11" a="1"/>
  <c r="E2335" i="11"/>
  <c r="E2336" i="11" a="1"/>
  <c r="E2336" i="11"/>
  <c r="E2337" i="11" a="1"/>
  <c r="E2337" i="11"/>
  <c r="E2338" i="11" a="1"/>
  <c r="E2338" i="11"/>
  <c r="E2339" i="11" a="1"/>
  <c r="E2339" i="11"/>
  <c r="E2340" i="11" a="1"/>
  <c r="E2340" i="11"/>
  <c r="E2341" i="11" a="1"/>
  <c r="E2341" i="11"/>
  <c r="E2342" i="11" a="1"/>
  <c r="E2342" i="11"/>
  <c r="E2343" i="11" a="1"/>
  <c r="E2343" i="11"/>
  <c r="E2344" i="11" a="1"/>
  <c r="E2344" i="11"/>
  <c r="E2345" i="11" a="1"/>
  <c r="E2345" i="11"/>
  <c r="E2346" i="11" a="1"/>
  <c r="E2346" i="11"/>
  <c r="E2347" i="11" a="1"/>
  <c r="E2347" i="11"/>
  <c r="E2348" i="11" a="1"/>
  <c r="E2348" i="11"/>
  <c r="E2349" i="11" a="1"/>
  <c r="E2349" i="11"/>
  <c r="E2350" i="11" a="1"/>
  <c r="E2350" i="11"/>
  <c r="E2351" i="11" a="1"/>
  <c r="E2351" i="11"/>
  <c r="E2352" i="11" a="1"/>
  <c r="E2352" i="11"/>
  <c r="E2353" i="11" a="1"/>
  <c r="E2353" i="11"/>
  <c r="E2354" i="11" a="1"/>
  <c r="E2354" i="11"/>
  <c r="E2355" i="11" a="1"/>
  <c r="E2355" i="11"/>
  <c r="E2356" i="11" a="1"/>
  <c r="E2356" i="11"/>
  <c r="E2357" i="11" a="1"/>
  <c r="E2357" i="11"/>
  <c r="E2358" i="11" a="1"/>
  <c r="E2358" i="11"/>
  <c r="E2359" i="11" a="1"/>
  <c r="E2359" i="11"/>
  <c r="E2360" i="11" a="1"/>
  <c r="E2360" i="11"/>
  <c r="E2361" i="11" a="1"/>
  <c r="E2361" i="11"/>
  <c r="E2362" i="11" a="1"/>
  <c r="E2362" i="11"/>
  <c r="E2363" i="11" a="1"/>
  <c r="E2363" i="11"/>
  <c r="E2364" i="11" a="1"/>
  <c r="E2364" i="11"/>
  <c r="E2365" i="11" a="1"/>
  <c r="E2365" i="11"/>
  <c r="E2366" i="11" a="1"/>
  <c r="E2366" i="11"/>
  <c r="E2367" i="11" a="1"/>
  <c r="E2367" i="11"/>
  <c r="E2368" i="11" a="1"/>
  <c r="E2368" i="11"/>
  <c r="E2369" i="11" a="1"/>
  <c r="E2369" i="11"/>
  <c r="E2370" i="11" a="1"/>
  <c r="E2370" i="11"/>
  <c r="E2371" i="11" a="1"/>
  <c r="E2371" i="11"/>
  <c r="E2372" i="11" a="1"/>
  <c r="E2372" i="11"/>
  <c r="E2373" i="11" a="1"/>
  <c r="E2373" i="11"/>
  <c r="E2374" i="11" a="1"/>
  <c r="E2374" i="11"/>
  <c r="E2375" i="11" a="1"/>
  <c r="E2375" i="11"/>
  <c r="E2376" i="11" a="1"/>
  <c r="E2376" i="11"/>
  <c r="E2377" i="11" a="1"/>
  <c r="E2377" i="11"/>
  <c r="E2378" i="11" a="1"/>
  <c r="E2378" i="11"/>
  <c r="E2379" i="11" a="1"/>
  <c r="E2379" i="11"/>
  <c r="E2380" i="11" a="1"/>
  <c r="E2380" i="11"/>
  <c r="E2381" i="11" a="1"/>
  <c r="E2381" i="11"/>
  <c r="E2382" i="11" a="1"/>
  <c r="E2382" i="11"/>
  <c r="E2383" i="11" a="1"/>
  <c r="E2383" i="11"/>
  <c r="E2384" i="11" a="1"/>
  <c r="E2384" i="11"/>
  <c r="E2385" i="11" a="1"/>
  <c r="E2385" i="11"/>
  <c r="E2386" i="11" a="1"/>
  <c r="E2386" i="11"/>
  <c r="E2387" i="11" a="1"/>
  <c r="E2387" i="11"/>
  <c r="E2388" i="11" a="1"/>
  <c r="E2388" i="11"/>
  <c r="E2389" i="11" a="1"/>
  <c r="E2389" i="11"/>
  <c r="E2390" i="11" a="1"/>
  <c r="E2390" i="11"/>
  <c r="E2391" i="11" a="1"/>
  <c r="E2391" i="11"/>
  <c r="E2392" i="11" a="1"/>
  <c r="E2392" i="11"/>
  <c r="E2393" i="11" a="1"/>
  <c r="E2393" i="11"/>
  <c r="E2394" i="11" a="1"/>
  <c r="E2394" i="11"/>
  <c r="E2395" i="11" a="1"/>
  <c r="E2395" i="11"/>
  <c r="E2396" i="11" a="1"/>
  <c r="E2396" i="11"/>
  <c r="E2397" i="11" a="1"/>
  <c r="E2397" i="11"/>
  <c r="E2398" i="11" a="1"/>
  <c r="E2398" i="11"/>
  <c r="E2399" i="11" a="1"/>
  <c r="E2399" i="11"/>
  <c r="E2400" i="11" a="1"/>
  <c r="E2400" i="11"/>
  <c r="E2401" i="11" a="1"/>
  <c r="E2401" i="11"/>
  <c r="E2402" i="11" a="1"/>
  <c r="E2402" i="11"/>
  <c r="E2403" i="11" a="1"/>
  <c r="E2403" i="11"/>
  <c r="E2404" i="11" a="1"/>
  <c r="E2404" i="11"/>
  <c r="E2405" i="11" a="1"/>
  <c r="E2405" i="11"/>
  <c r="E2406" i="11" a="1"/>
  <c r="E2406" i="11"/>
  <c r="E2407" i="11" a="1"/>
  <c r="E2407" i="11"/>
  <c r="E2408" i="11" a="1"/>
  <c r="E2408" i="11"/>
  <c r="E2409" i="11" a="1"/>
  <c r="E2409" i="11"/>
  <c r="E2410" i="11" a="1"/>
  <c r="E2410" i="11"/>
  <c r="E2411" i="11" a="1"/>
  <c r="E2411" i="11"/>
  <c r="E2412" i="11" a="1"/>
  <c r="E2412" i="11"/>
  <c r="E2413" i="11" a="1"/>
  <c r="E2413" i="11"/>
  <c r="E2414" i="11" a="1"/>
  <c r="E2414" i="11"/>
  <c r="E2415" i="11" a="1"/>
  <c r="E2415" i="11"/>
  <c r="E2416" i="11" a="1"/>
  <c r="E2416" i="11"/>
  <c r="E2417" i="11" a="1"/>
  <c r="E2417" i="11"/>
  <c r="E2418" i="11" a="1"/>
  <c r="E2418" i="11"/>
  <c r="E2419" i="11" a="1"/>
  <c r="E2419" i="11"/>
  <c r="E2420" i="11" a="1"/>
  <c r="E2420" i="11"/>
  <c r="E2421" i="11" a="1"/>
  <c r="E2421" i="11"/>
  <c r="E2422" i="11" a="1"/>
  <c r="E2422" i="11"/>
  <c r="E2423" i="11" a="1"/>
  <c r="E2423" i="11"/>
  <c r="E2424" i="11" a="1"/>
  <c r="E2424" i="11"/>
  <c r="E2425" i="11" a="1"/>
  <c r="E2425" i="11"/>
  <c r="E2426" i="11" a="1"/>
  <c r="E2426" i="11"/>
  <c r="E2427" i="11" a="1"/>
  <c r="E2427" i="11"/>
  <c r="E2428" i="11" a="1"/>
  <c r="E2428" i="11"/>
  <c r="E2429" i="11" a="1"/>
  <c r="E2429" i="11"/>
  <c r="E2430" i="11" a="1"/>
  <c r="E2430" i="11"/>
  <c r="E2431" i="11" a="1"/>
  <c r="E2431" i="11"/>
  <c r="E2432" i="11" a="1"/>
  <c r="E2432" i="11"/>
  <c r="E2433" i="11" a="1"/>
  <c r="E2433" i="11"/>
  <c r="E2434" i="11" a="1"/>
  <c r="E2434" i="11"/>
  <c r="E2435" i="11" a="1"/>
  <c r="E2435" i="11"/>
  <c r="E2436" i="11" a="1"/>
  <c r="E2436" i="11"/>
  <c r="E2437" i="11" a="1"/>
  <c r="E2437" i="11"/>
  <c r="E2438" i="11" a="1"/>
  <c r="E2438" i="11"/>
  <c r="E2439" i="11" a="1"/>
  <c r="E2439" i="11"/>
  <c r="E2440" i="11" a="1"/>
  <c r="E2440" i="11"/>
  <c r="E2441" i="11" a="1"/>
  <c r="E2441" i="11"/>
  <c r="E2442" i="11" a="1"/>
  <c r="E2442" i="11"/>
  <c r="E2443" i="11" a="1"/>
  <c r="E2443" i="11"/>
  <c r="E2444" i="11" a="1"/>
  <c r="E2444" i="11"/>
  <c r="E2445" i="11" a="1"/>
  <c r="E2445" i="11"/>
  <c r="E2446" i="11" a="1"/>
  <c r="E2446" i="11"/>
  <c r="E2447" i="11" a="1"/>
  <c r="E2447" i="11"/>
  <c r="E2448" i="11" a="1"/>
  <c r="E2448" i="11"/>
  <c r="E2449" i="11" a="1"/>
  <c r="E2449" i="11"/>
  <c r="E2450" i="11" a="1"/>
  <c r="E2450" i="11"/>
  <c r="E2451" i="11" a="1"/>
  <c r="E2451" i="11"/>
  <c r="E2452" i="11" a="1"/>
  <c r="E2452" i="11"/>
  <c r="E2453" i="11" a="1"/>
  <c r="E2453" i="11"/>
  <c r="E2454" i="11" a="1"/>
  <c r="E2454" i="11"/>
  <c r="E2455" i="11" a="1"/>
  <c r="E2455" i="11"/>
  <c r="E2456" i="11" a="1"/>
  <c r="E2456" i="11"/>
  <c r="E2457" i="11" a="1"/>
  <c r="E2457" i="11"/>
  <c r="E2458" i="11" a="1"/>
  <c r="E2458" i="11"/>
  <c r="E2459" i="11" a="1"/>
  <c r="E2459" i="11"/>
  <c r="E2460" i="11" a="1"/>
  <c r="E2460" i="11"/>
  <c r="E2461" i="11" a="1"/>
  <c r="E2461" i="11"/>
  <c r="E2462" i="11" a="1"/>
  <c r="E2462" i="11"/>
  <c r="E2463" i="11" a="1"/>
  <c r="E2463" i="11"/>
  <c r="E2464" i="11" a="1"/>
  <c r="E2464" i="11"/>
  <c r="E2465" i="11" a="1"/>
  <c r="E2465" i="11"/>
  <c r="E2466" i="11" a="1"/>
  <c r="E2466" i="11"/>
  <c r="E2467" i="11" a="1"/>
  <c r="E2467" i="11"/>
  <c r="E2468" i="11" a="1"/>
  <c r="E2468" i="11"/>
  <c r="E2469" i="11" a="1"/>
  <c r="E2469" i="11"/>
  <c r="E2470" i="11" a="1"/>
  <c r="E2470" i="11"/>
  <c r="E2471" i="11" a="1"/>
  <c r="E2471" i="11"/>
  <c r="E2472" i="11" a="1"/>
  <c r="E2472" i="11"/>
  <c r="E2473" i="11" a="1"/>
  <c r="E2473" i="11"/>
  <c r="E2474" i="11" a="1"/>
  <c r="E2474" i="11"/>
  <c r="E2475" i="11" a="1"/>
  <c r="E2475" i="11"/>
  <c r="E2476" i="11" a="1"/>
  <c r="E2476" i="11"/>
  <c r="E2477" i="11" a="1"/>
  <c r="E2477" i="11"/>
  <c r="E2478" i="11" a="1"/>
  <c r="E2478" i="11"/>
  <c r="E2479" i="11" a="1"/>
  <c r="E2479" i="11"/>
  <c r="E2480" i="11" a="1"/>
  <c r="E2480" i="11"/>
  <c r="E2481" i="11" a="1"/>
  <c r="E2481" i="11"/>
  <c r="E2482" i="11" a="1"/>
  <c r="E2482" i="11"/>
  <c r="E2483" i="11" a="1"/>
  <c r="E2483" i="11"/>
  <c r="E2484" i="11" a="1"/>
  <c r="E2484" i="11"/>
  <c r="E2485" i="11" a="1"/>
  <c r="E2485" i="11"/>
  <c r="E2486" i="11" a="1"/>
  <c r="E2486" i="11"/>
  <c r="E2487" i="11" a="1"/>
  <c r="E2487" i="11"/>
  <c r="E2488" i="11" a="1"/>
  <c r="E2488" i="11"/>
  <c r="E2489" i="11" a="1"/>
  <c r="E2489" i="11"/>
  <c r="E2490" i="11" a="1"/>
  <c r="E2490" i="11"/>
  <c r="E2491" i="11" a="1"/>
  <c r="E2491" i="11"/>
  <c r="E2492" i="11" a="1"/>
  <c r="E2492" i="11"/>
  <c r="E2493" i="11" a="1"/>
  <c r="E2493" i="11"/>
  <c r="E2494" i="11" a="1"/>
  <c r="E2494" i="11"/>
  <c r="E2495" i="11" a="1"/>
  <c r="E2495" i="11"/>
  <c r="E2496" i="11" a="1"/>
  <c r="E2496" i="11"/>
  <c r="E2497" i="11" a="1"/>
  <c r="E2497" i="11"/>
  <c r="E2498" i="11" a="1"/>
  <c r="E2498" i="11"/>
  <c r="E2499" i="11" a="1"/>
  <c r="E2499" i="11"/>
  <c r="E2500" i="11" a="1"/>
  <c r="E2500" i="11"/>
  <c r="E2501" i="11" a="1"/>
  <c r="E2501" i="11"/>
  <c r="E2502" i="11" a="1"/>
  <c r="E2502" i="11"/>
  <c r="E2503" i="11" a="1"/>
  <c r="E2503" i="11"/>
  <c r="E2504" i="11" a="1"/>
  <c r="E2504" i="11"/>
  <c r="E2505" i="11" a="1"/>
  <c r="E2505" i="11"/>
  <c r="E2506" i="11" a="1"/>
  <c r="E2506" i="11"/>
  <c r="E2507" i="11" a="1"/>
  <c r="E2507" i="11"/>
  <c r="E2508" i="11" a="1"/>
  <c r="E2508" i="11"/>
  <c r="E2509" i="11" a="1"/>
  <c r="E2509" i="11"/>
  <c r="E2510" i="11" a="1"/>
  <c r="E2510" i="11"/>
  <c r="E2511" i="11" a="1"/>
  <c r="E2511" i="11"/>
  <c r="E2512" i="11" a="1"/>
  <c r="E2512" i="11"/>
  <c r="E2513" i="11" a="1"/>
  <c r="E2513" i="11"/>
  <c r="E2514" i="11" a="1"/>
  <c r="E2514" i="11"/>
  <c r="E2515" i="11" a="1"/>
  <c r="E2515" i="11"/>
  <c r="E2516" i="11" a="1"/>
  <c r="E2516" i="11"/>
  <c r="E2517" i="11" a="1"/>
  <c r="E2517" i="11"/>
  <c r="E2518" i="11" a="1"/>
  <c r="E2518" i="11"/>
  <c r="E2519" i="11" a="1"/>
  <c r="E2519" i="11"/>
  <c r="E2520" i="11" a="1"/>
  <c r="E2520" i="11"/>
  <c r="E2521" i="11" a="1"/>
  <c r="E2521" i="11"/>
  <c r="E2522" i="11" a="1"/>
  <c r="E2522" i="11"/>
  <c r="E2523" i="11" a="1"/>
  <c r="E2523" i="11"/>
  <c r="E2524" i="11" a="1"/>
  <c r="E2524" i="11"/>
  <c r="E2525" i="11" a="1"/>
  <c r="E2525" i="11"/>
  <c r="E2526" i="11" a="1"/>
  <c r="E2526" i="11"/>
  <c r="E2527" i="11" a="1"/>
  <c r="E2527" i="11"/>
  <c r="E2528" i="11" a="1"/>
  <c r="E2528" i="11"/>
  <c r="E2529" i="11" a="1"/>
  <c r="E2529" i="11"/>
  <c r="E2530" i="11" a="1"/>
  <c r="E2530" i="11"/>
  <c r="E2531" i="11" a="1"/>
  <c r="E2531" i="11"/>
  <c r="E2532" i="11" a="1"/>
  <c r="E2532" i="11"/>
  <c r="E2533" i="11" a="1"/>
  <c r="E2533" i="11"/>
  <c r="E2534" i="11" a="1"/>
  <c r="E2534" i="11"/>
  <c r="E2535" i="11" a="1"/>
  <c r="E2535" i="11"/>
  <c r="E2536" i="11" a="1"/>
  <c r="E2536" i="11"/>
  <c r="E2537" i="11" a="1"/>
  <c r="E2537" i="11"/>
  <c r="E2538" i="11" a="1"/>
  <c r="E2538" i="11"/>
  <c r="E2539" i="11" a="1"/>
  <c r="E2539" i="11"/>
  <c r="E2540" i="11" a="1"/>
  <c r="E2540" i="11"/>
  <c r="E2541" i="11" a="1"/>
  <c r="E2541" i="11"/>
  <c r="E2542" i="11" a="1"/>
  <c r="E2542" i="11"/>
  <c r="E2543" i="11" a="1"/>
  <c r="E2543" i="11"/>
  <c r="E2544" i="11" a="1"/>
  <c r="E2544" i="11"/>
  <c r="E2545" i="11" a="1"/>
  <c r="E2545" i="11"/>
  <c r="E2546" i="11" a="1"/>
  <c r="E2546" i="11"/>
  <c r="E2547" i="11" a="1"/>
  <c r="E2547" i="11"/>
  <c r="E2548" i="11" a="1"/>
  <c r="E2548" i="11"/>
  <c r="E2549" i="11" a="1"/>
  <c r="E2549" i="11"/>
  <c r="E2550" i="11" a="1"/>
  <c r="E2550" i="11"/>
  <c r="E2551" i="11" a="1"/>
  <c r="E2551" i="11"/>
  <c r="E2552" i="11" a="1"/>
  <c r="E2552" i="11"/>
  <c r="E2553" i="11" a="1"/>
  <c r="E2553" i="11"/>
  <c r="E2554" i="11" a="1"/>
  <c r="E2554" i="11"/>
  <c r="E2555" i="11" a="1"/>
  <c r="E2555" i="11"/>
  <c r="E2556" i="11" a="1"/>
  <c r="E2556" i="11"/>
  <c r="E2557" i="11" a="1"/>
  <c r="E2557" i="11"/>
  <c r="E2558" i="11" a="1"/>
  <c r="E2558" i="11"/>
  <c r="E2559" i="11" a="1"/>
  <c r="E2559" i="11"/>
  <c r="E2560" i="11" a="1"/>
  <c r="E2560" i="11"/>
  <c r="E2561" i="11" a="1"/>
  <c r="E2561" i="11"/>
  <c r="E2562" i="11" a="1"/>
  <c r="E2562" i="11"/>
  <c r="E2563" i="11" a="1"/>
  <c r="E2563" i="11"/>
  <c r="E2564" i="11" a="1"/>
  <c r="E2564" i="11"/>
  <c r="E2565" i="11" a="1"/>
  <c r="E2565" i="11"/>
  <c r="E2566" i="11" a="1"/>
  <c r="E2566" i="11"/>
  <c r="E2567" i="11" a="1"/>
  <c r="E2567" i="11"/>
  <c r="E2568" i="11" a="1"/>
  <c r="E2568" i="11"/>
  <c r="E2569" i="11" a="1"/>
  <c r="E2569" i="11"/>
  <c r="E2570" i="11" a="1"/>
  <c r="E2570" i="11"/>
  <c r="E2571" i="11" a="1"/>
  <c r="E2571" i="11"/>
  <c r="E2572" i="11" a="1"/>
  <c r="E2572" i="11"/>
  <c r="E2573" i="11" a="1"/>
  <c r="E2573" i="11"/>
  <c r="E2574" i="11" a="1"/>
  <c r="E2574" i="11"/>
  <c r="E2575" i="11" a="1"/>
  <c r="E2575" i="11"/>
  <c r="F1" i="11" a="1"/>
  <c r="F1" i="11" s="1"/>
  <c r="D160" i="11" a="1"/>
  <c r="D160" i="11"/>
  <c r="H15" i="5" a="1"/>
  <c r="H15" i="5"/>
  <c r="AF14" i="5"/>
  <c r="AF13" i="5"/>
  <c r="AF12" i="5"/>
  <c r="AF11" i="5"/>
  <c r="AF5" i="5"/>
  <c r="AF4" i="5"/>
  <c r="AF3" i="5"/>
  <c r="AF2" i="5"/>
  <c r="AC6" i="5"/>
  <c r="AC11" i="5"/>
  <c r="AC12" i="5"/>
  <c r="AC13" i="5"/>
  <c r="AC14" i="5"/>
  <c r="AC15" i="5"/>
  <c r="Z16" i="5"/>
  <c r="Z15" i="5"/>
  <c r="Z14" i="5"/>
  <c r="Z13" i="5"/>
  <c r="Z12" i="5"/>
  <c r="Z11" i="5"/>
  <c r="Z7" i="5"/>
  <c r="Z6" i="5"/>
  <c r="Z5" i="5"/>
  <c r="Z4" i="5"/>
  <c r="Z3" i="5"/>
  <c r="Z2" i="5"/>
  <c r="B15" i="5" a="1"/>
  <c r="B15" i="5"/>
  <c r="BD18" i="1"/>
  <c r="AC5" i="5"/>
  <c r="AC4" i="5"/>
  <c r="AC3" i="5"/>
  <c r="AC2" i="5"/>
  <c r="D165" i="11" a="1"/>
  <c r="D165" i="11"/>
  <c r="C163" i="11" a="1"/>
  <c r="C163" i="11"/>
  <c r="B164" i="11" a="1"/>
  <c r="B164" i="11"/>
  <c r="A161" i="11" a="1"/>
  <c r="A161" i="11"/>
  <c r="B163" i="11" a="1"/>
  <c r="B163" i="11"/>
  <c r="C164" i="11" a="1"/>
  <c r="C164" i="11"/>
  <c r="A160" i="11" a="1"/>
  <c r="A160" i="11"/>
  <c r="A171" i="11" a="1"/>
  <c r="A171" i="11"/>
  <c r="A170" i="11" a="1"/>
  <c r="A170" i="11"/>
  <c r="A169" i="11" a="1"/>
  <c r="A169" i="11"/>
  <c r="B171" i="11" a="1"/>
  <c r="B171" i="11"/>
  <c r="C173" i="11" a="1"/>
  <c r="C173" i="11"/>
  <c r="D173" i="11" a="1"/>
  <c r="D173" i="11"/>
  <c r="A168" i="11" a="1"/>
  <c r="A168" i="11"/>
  <c r="B170" i="11" a="1"/>
  <c r="B170" i="11"/>
  <c r="C172" i="11" a="1"/>
  <c r="C172" i="11"/>
  <c r="D172" i="11" a="1"/>
  <c r="D172" i="11"/>
  <c r="A163" i="11" a="1"/>
  <c r="A163" i="11"/>
  <c r="B169" i="11" a="1"/>
  <c r="B169" i="11"/>
  <c r="C171" i="11" a="1"/>
  <c r="C171" i="11"/>
  <c r="D171" i="11" a="1"/>
  <c r="D171" i="11"/>
  <c r="A162" i="11" a="1"/>
  <c r="A162" i="11"/>
  <c r="B165" i="11" a="1"/>
  <c r="B165" i="11"/>
  <c r="C165" i="11" a="1"/>
  <c r="C165" i="11"/>
  <c r="D167" i="11" a="1"/>
  <c r="D167" i="11"/>
  <c r="D166" i="11" a="1"/>
  <c r="D166" i="11"/>
  <c r="B168" i="11" a="1"/>
  <c r="B168" i="11"/>
  <c r="C162" i="11" a="1"/>
  <c r="C162" i="11"/>
  <c r="D170" i="11" a="1"/>
  <c r="D170" i="11"/>
  <c r="A173" i="11" a="1"/>
  <c r="A173" i="11"/>
  <c r="B167" i="11" a="1"/>
  <c r="B167" i="11"/>
  <c r="C161" i="11" a="1"/>
  <c r="C161" i="11"/>
  <c r="D169" i="11" a="1"/>
  <c r="D169" i="11"/>
  <c r="A172" i="11" a="1"/>
  <c r="A172" i="11"/>
  <c r="B166" i="11" a="1"/>
  <c r="B166" i="11"/>
  <c r="C160" i="11" a="1"/>
  <c r="C160" i="11"/>
  <c r="D168" i="11" a="1"/>
  <c r="D168" i="11"/>
  <c r="C170" i="11" a="1"/>
  <c r="C170" i="11"/>
  <c r="A167" i="11" a="1"/>
  <c r="A167" i="11"/>
  <c r="B161" i="11" a="1"/>
  <c r="B161" i="11"/>
  <c r="C169" i="11" a="1"/>
  <c r="C169" i="11"/>
  <c r="D163" i="11" a="1"/>
  <c r="D163" i="11"/>
  <c r="B162" i="11" a="1"/>
  <c r="B162" i="11"/>
  <c r="A166" i="11" a="1"/>
  <c r="A166" i="11"/>
  <c r="B160" i="11" a="1"/>
  <c r="B160" i="11"/>
  <c r="C168" i="11" a="1"/>
  <c r="C168" i="11"/>
  <c r="D162" i="11" a="1"/>
  <c r="D162" i="11"/>
  <c r="A165" i="11" a="1"/>
  <c r="A165" i="11"/>
  <c r="B173" i="11" a="1"/>
  <c r="B173" i="11"/>
  <c r="C167" i="11" a="1"/>
  <c r="C167" i="11"/>
  <c r="D161" i="11" a="1"/>
  <c r="D161" i="11"/>
  <c r="D164" i="11" a="1"/>
  <c r="D164" i="11"/>
  <c r="A164" i="11" a="1"/>
  <c r="A164" i="11"/>
  <c r="B172" i="11" a="1"/>
  <c r="B172" i="11"/>
  <c r="C166" i="11" a="1"/>
  <c r="C166" i="11"/>
  <c r="D148" i="11" a="1"/>
  <c r="D148" i="11"/>
  <c r="D151" i="11" a="1"/>
  <c r="D151" i="11"/>
  <c r="D152" i="11" a="1"/>
  <c r="D152" i="11"/>
  <c r="D153" i="11" a="1"/>
  <c r="D153" i="11"/>
  <c r="A158" i="11" a="1"/>
  <c r="A158" i="11"/>
  <c r="D154" i="11" a="1"/>
  <c r="D154" i="11"/>
  <c r="C151" i="11" a="1"/>
  <c r="C151" i="11"/>
  <c r="A159" i="11" a="1"/>
  <c r="A159" i="11"/>
  <c r="D155" i="11" a="1"/>
  <c r="D155" i="11"/>
  <c r="C152" i="11" a="1"/>
  <c r="C152" i="11"/>
  <c r="A157" i="11" a="1"/>
  <c r="A157" i="11"/>
  <c r="D156" i="11" a="1"/>
  <c r="D156" i="11"/>
  <c r="C153" i="11" a="1"/>
  <c r="C153" i="11"/>
  <c r="D157" i="11" a="1"/>
  <c r="D157" i="11"/>
  <c r="C154" i="11" a="1"/>
  <c r="C154" i="11"/>
  <c r="B151" i="11" a="1"/>
  <c r="B151" i="11"/>
  <c r="C155" i="11" a="1"/>
  <c r="C155" i="11"/>
  <c r="B152" i="11" a="1"/>
  <c r="B152" i="11"/>
  <c r="B159" i="11" a="1"/>
  <c r="B159" i="11"/>
  <c r="A156" i="11" a="1"/>
  <c r="A156" i="11"/>
  <c r="D158" i="11" a="1"/>
  <c r="D158" i="11"/>
  <c r="D159" i="11" a="1"/>
  <c r="D159" i="11"/>
  <c r="C156" i="11" a="1"/>
  <c r="C156" i="11"/>
  <c r="B153" i="11" a="1"/>
  <c r="B153" i="11"/>
  <c r="C157" i="11" a="1"/>
  <c r="C157" i="11"/>
  <c r="B154" i="11" a="1"/>
  <c r="B154" i="11"/>
  <c r="A151" i="11" a="1"/>
  <c r="A151" i="11"/>
  <c r="A155" i="11" a="1"/>
  <c r="A155" i="11"/>
  <c r="B158" i="11" a="1"/>
  <c r="B158" i="11"/>
  <c r="B157" i="11" a="1"/>
  <c r="B157" i="11"/>
  <c r="A154" i="11" a="1"/>
  <c r="A154" i="11"/>
  <c r="A153" i="11" a="1"/>
  <c r="A153" i="11"/>
  <c r="B156" i="11" a="1"/>
  <c r="B156" i="11"/>
  <c r="C159" i="11" a="1"/>
  <c r="C159" i="11"/>
  <c r="A152" i="11" a="1"/>
  <c r="A152" i="11"/>
  <c r="B155" i="11" a="1"/>
  <c r="B155" i="11"/>
  <c r="C158" i="11" a="1"/>
  <c r="C158" i="11"/>
  <c r="B149" i="11" a="1"/>
  <c r="B149" i="11"/>
  <c r="C150" i="11" a="1"/>
  <c r="C150" i="11"/>
  <c r="B148" i="11" a="1"/>
  <c r="B148" i="11"/>
  <c r="C149" i="11" a="1"/>
  <c r="C149" i="11"/>
  <c r="A150" i="11" a="1"/>
  <c r="A150" i="11"/>
  <c r="C148" i="11" a="1"/>
  <c r="C148" i="11"/>
  <c r="A148" i="11" a="1"/>
  <c r="A148" i="11"/>
  <c r="D150" i="11" a="1"/>
  <c r="D150" i="11"/>
  <c r="D149" i="11" a="1"/>
  <c r="D149" i="11"/>
  <c r="A149" i="11" a="1"/>
  <c r="A149" i="11"/>
  <c r="B150" i="11" a="1"/>
  <c r="B150" i="11"/>
  <c r="B146" i="11" a="1"/>
  <c r="B146" i="11"/>
  <c r="D146" i="11" a="1"/>
  <c r="D146" i="11"/>
  <c r="D147" i="11" a="1"/>
  <c r="D147" i="11"/>
  <c r="A147" i="11" a="1"/>
  <c r="A147" i="11"/>
  <c r="A146" i="11" a="1"/>
  <c r="A146" i="11"/>
  <c r="C147" i="11" a="1"/>
  <c r="C147" i="11"/>
  <c r="C146" i="11" a="1"/>
  <c r="C146" i="11"/>
  <c r="B147" i="11" a="1"/>
  <c r="B147" i="11"/>
  <c r="D144" i="11" a="1"/>
  <c r="D144" i="11"/>
  <c r="A145" i="11" a="1"/>
  <c r="A145" i="11"/>
  <c r="D145" i="11" a="1"/>
  <c r="D145" i="11"/>
  <c r="B145" i="11" a="1"/>
  <c r="B145" i="11"/>
  <c r="C145" i="11" a="1"/>
  <c r="C145" i="11"/>
  <c r="C144" i="11" a="1"/>
  <c r="C144" i="11"/>
  <c r="B144" i="11" a="1"/>
  <c r="B144" i="11"/>
  <c r="A144" i="11" a="1"/>
  <c r="A144" i="11"/>
  <c r="D130" i="11" a="1"/>
  <c r="D130" i="11"/>
  <c r="D143" i="11" a="1"/>
  <c r="D143" i="11"/>
  <c r="A143" i="11" a="1"/>
  <c r="A143" i="11"/>
  <c r="B143" i="11" a="1"/>
  <c r="B143" i="11"/>
  <c r="C143" i="11" a="1"/>
  <c r="C143" i="11"/>
  <c r="B142" i="11" a="1"/>
  <c r="B142" i="11"/>
  <c r="A142" i="11" a="1"/>
  <c r="A142" i="11"/>
  <c r="A139" i="11" a="1"/>
  <c r="A139" i="11"/>
  <c r="A138" i="11" a="1"/>
  <c r="A138" i="11"/>
  <c r="B141" i="11" a="1"/>
  <c r="B141" i="11"/>
  <c r="A141" i="11" a="1"/>
  <c r="A141" i="11"/>
  <c r="A140" i="11" a="1"/>
  <c r="A140" i="11"/>
  <c r="C139" i="11" a="1"/>
  <c r="C139" i="11"/>
  <c r="D141" i="11" a="1"/>
  <c r="D141" i="11"/>
  <c r="B140" i="11" a="1"/>
  <c r="B140" i="11"/>
  <c r="C142" i="11" a="1"/>
  <c r="C142" i="11"/>
  <c r="B139" i="11" a="1"/>
  <c r="B139" i="11"/>
  <c r="C141" i="11" a="1"/>
  <c r="C141" i="11"/>
  <c r="B138" i="11" a="1"/>
  <c r="B138" i="11"/>
  <c r="C140" i="11" a="1"/>
  <c r="C140" i="11"/>
  <c r="D142" i="11" a="1"/>
  <c r="D142" i="11"/>
  <c r="C138" i="11" a="1"/>
  <c r="C138" i="11"/>
  <c r="D140" i="11" a="1"/>
  <c r="D140" i="11"/>
  <c r="D139" i="11" a="1"/>
  <c r="D139" i="11"/>
  <c r="D138" i="11" a="1"/>
  <c r="D138" i="11"/>
  <c r="A135" i="11" a="1"/>
  <c r="A135" i="11"/>
  <c r="A134" i="11" a="1"/>
  <c r="A134" i="11"/>
  <c r="B134" i="11" a="1"/>
  <c r="B134" i="11"/>
  <c r="C137" i="11" a="1"/>
  <c r="C137" i="11"/>
  <c r="C136" i="11" a="1"/>
  <c r="C136" i="11"/>
  <c r="A137" i="11" a="1"/>
  <c r="A137" i="11"/>
  <c r="A136" i="11" a="1"/>
  <c r="A136" i="11"/>
  <c r="B135" i="11" a="1"/>
  <c r="B135" i="11"/>
  <c r="D136" i="11" a="1"/>
  <c r="D136" i="11"/>
  <c r="C134" i="11" a="1"/>
  <c r="C134" i="11"/>
  <c r="D137" i="11" a="1"/>
  <c r="D137" i="11"/>
  <c r="B137" i="11" a="1"/>
  <c r="B137" i="11"/>
  <c r="D135" i="11" a="1"/>
  <c r="D135" i="11"/>
  <c r="C135" i="11" a="1"/>
  <c r="C135" i="11"/>
  <c r="B136" i="11" a="1"/>
  <c r="B136" i="11"/>
  <c r="D134" i="11" a="1"/>
  <c r="D134" i="11"/>
  <c r="C133" i="11" a="1"/>
  <c r="C133" i="11"/>
  <c r="C132" i="11" a="1"/>
  <c r="C132" i="11"/>
  <c r="C131" i="11" a="1"/>
  <c r="C131" i="11"/>
  <c r="B133" i="11" a="1"/>
  <c r="B133" i="11"/>
  <c r="C130" i="11" a="1"/>
  <c r="C130" i="11"/>
  <c r="D133" i="11" a="1"/>
  <c r="D133" i="11"/>
  <c r="D132" i="11" a="1"/>
  <c r="D132" i="11"/>
  <c r="D131" i="11" a="1"/>
  <c r="D131" i="11"/>
  <c r="A133" i="11" a="1"/>
  <c r="A133" i="11"/>
  <c r="B132" i="11" a="1"/>
  <c r="B132" i="11"/>
  <c r="A132" i="11" a="1"/>
  <c r="A132" i="11"/>
  <c r="B131" i="11" a="1"/>
  <c r="B131" i="11"/>
  <c r="A131" i="11" a="1"/>
  <c r="A131" i="11"/>
  <c r="B130" i="11" a="1"/>
  <c r="B130" i="11"/>
  <c r="A130" i="11" a="1"/>
  <c r="A130" i="11"/>
  <c r="B129" i="11" a="1"/>
  <c r="B129" i="11"/>
  <c r="D3" i="11" a="1"/>
  <c r="D3" i="11"/>
  <c r="D129" i="11" a="1"/>
  <c r="D129" i="11"/>
  <c r="A129" i="11" a="1"/>
  <c r="A129" i="11"/>
  <c r="C129" i="11" a="1"/>
  <c r="C129" i="11"/>
  <c r="A93" i="11" a="1"/>
  <c r="A93" i="11"/>
  <c r="A127" i="11" a="1"/>
  <c r="A127" i="11"/>
  <c r="A113" i="11" a="1"/>
  <c r="A113" i="11"/>
  <c r="A99" i="11" a="1"/>
  <c r="A99" i="11"/>
  <c r="A85" i="11" a="1"/>
  <c r="A85" i="11"/>
  <c r="A71" i="11" a="1"/>
  <c r="A71" i="11"/>
  <c r="A57" i="11" a="1"/>
  <c r="A57" i="11"/>
  <c r="A43" i="11" a="1"/>
  <c r="A43" i="11"/>
  <c r="A29" i="11" a="1"/>
  <c r="A29" i="11"/>
  <c r="A15" i="11" a="1"/>
  <c r="A15" i="11"/>
  <c r="B98" i="11" a="1"/>
  <c r="B98" i="11"/>
  <c r="B89" i="11" a="1"/>
  <c r="B89" i="11"/>
  <c r="B79" i="11" a="1"/>
  <c r="B79" i="11"/>
  <c r="B70" i="11" a="1"/>
  <c r="B70" i="11"/>
  <c r="B45" i="11" a="1"/>
  <c r="B45" i="11"/>
  <c r="B29" i="11" a="1"/>
  <c r="B29" i="11"/>
  <c r="B6" i="11" a="1"/>
  <c r="B6" i="11"/>
  <c r="C117" i="11" a="1"/>
  <c r="C117" i="11"/>
  <c r="C103" i="11" a="1"/>
  <c r="C103" i="11"/>
  <c r="C89" i="11" a="1"/>
  <c r="C89" i="11"/>
  <c r="C75" i="11" a="1"/>
  <c r="C75" i="11"/>
  <c r="C61" i="11" a="1"/>
  <c r="C61" i="11"/>
  <c r="C47" i="11" a="1"/>
  <c r="C47" i="11"/>
  <c r="C33" i="11" a="1"/>
  <c r="C33" i="11"/>
  <c r="C19" i="11" a="1"/>
  <c r="C19" i="11"/>
  <c r="C5" i="11" a="1"/>
  <c r="C5" i="11"/>
  <c r="D128" i="11" a="1"/>
  <c r="D128" i="11"/>
  <c r="D114" i="11" a="1"/>
  <c r="D114" i="11"/>
  <c r="D100" i="11" a="1"/>
  <c r="D100" i="11"/>
  <c r="D86" i="11" a="1"/>
  <c r="D86" i="11"/>
  <c r="D72" i="11" a="1"/>
  <c r="D72" i="11"/>
  <c r="D58" i="11" a="1"/>
  <c r="D58" i="11"/>
  <c r="D44" i="11" a="1"/>
  <c r="D44" i="11"/>
  <c r="D30" i="11" a="1"/>
  <c r="D30" i="11"/>
  <c r="D16" i="11" a="1"/>
  <c r="D16" i="11"/>
  <c r="BK6" i="11" a="1"/>
  <c r="BK6" i="11"/>
  <c r="A126" i="11" a="1"/>
  <c r="A126" i="11"/>
  <c r="A112" i="11" a="1"/>
  <c r="A112" i="11"/>
  <c r="A98" i="11" a="1"/>
  <c r="A98" i="11"/>
  <c r="A84" i="11" a="1"/>
  <c r="A84" i="11"/>
  <c r="A70" i="11" a="1"/>
  <c r="A70" i="11"/>
  <c r="A56" i="11" a="1"/>
  <c r="A56" i="11"/>
  <c r="A42" i="11" a="1"/>
  <c r="A42" i="11"/>
  <c r="A28" i="11" a="1"/>
  <c r="A28" i="11"/>
  <c r="A14" i="11" a="1"/>
  <c r="A14" i="11"/>
  <c r="B125" i="11" a="1"/>
  <c r="B125" i="11"/>
  <c r="B116" i="11" a="1"/>
  <c r="B116" i="11"/>
  <c r="B107" i="11" a="1"/>
  <c r="B107" i="11"/>
  <c r="B78" i="11" a="1"/>
  <c r="B78" i="11"/>
  <c r="B69" i="11" a="1"/>
  <c r="B69" i="11"/>
  <c r="B61" i="11" a="1"/>
  <c r="B61" i="11"/>
  <c r="B53" i="11" a="1"/>
  <c r="B53" i="11"/>
  <c r="B37" i="11" a="1"/>
  <c r="B37" i="11"/>
  <c r="B21" i="11" a="1"/>
  <c r="B21" i="11"/>
  <c r="B13" i="11" a="1"/>
  <c r="B13" i="11"/>
  <c r="C116" i="11" a="1"/>
  <c r="C116" i="11"/>
  <c r="C102" i="11" a="1"/>
  <c r="C102" i="11"/>
  <c r="C88" i="11" a="1"/>
  <c r="C88" i="11"/>
  <c r="C74" i="11" a="1"/>
  <c r="C74" i="11"/>
  <c r="C60" i="11" a="1"/>
  <c r="C60" i="11"/>
  <c r="C46" i="11" a="1"/>
  <c r="C46" i="11"/>
  <c r="C32" i="11" a="1"/>
  <c r="C32" i="11"/>
  <c r="C18" i="11" a="1"/>
  <c r="C18" i="11"/>
  <c r="C4" i="11" a="1"/>
  <c r="C4" i="11"/>
  <c r="D127" i="11" a="1"/>
  <c r="D127" i="11"/>
  <c r="D113" i="11" a="1"/>
  <c r="D113" i="11"/>
  <c r="D99" i="11" a="1"/>
  <c r="D99" i="11"/>
  <c r="D85" i="11" a="1"/>
  <c r="D85" i="11"/>
  <c r="D71" i="11" a="1"/>
  <c r="D71" i="11"/>
  <c r="D57" i="11" a="1"/>
  <c r="D57" i="11"/>
  <c r="D43" i="11" a="1"/>
  <c r="D43" i="11"/>
  <c r="D29" i="11" a="1"/>
  <c r="D29" i="11"/>
  <c r="D15" i="11" a="1"/>
  <c r="D15" i="11"/>
  <c r="A125" i="11" a="1"/>
  <c r="A125" i="11"/>
  <c r="A111" i="11" a="1"/>
  <c r="A111" i="11"/>
  <c r="A97" i="11" a="1"/>
  <c r="A97" i="11"/>
  <c r="A83" i="11" a="1"/>
  <c r="A83" i="11"/>
  <c r="A69" i="11" a="1"/>
  <c r="A69" i="11"/>
  <c r="A55" i="11" a="1"/>
  <c r="A55" i="11"/>
  <c r="A41" i="11" a="1"/>
  <c r="A41" i="11"/>
  <c r="A27" i="11" a="1"/>
  <c r="A27" i="11"/>
  <c r="A13" i="11" a="1"/>
  <c r="A13" i="11"/>
  <c r="B115" i="11" a="1"/>
  <c r="B115" i="11"/>
  <c r="B106" i="11" a="1"/>
  <c r="B106" i="11"/>
  <c r="B97" i="11" a="1"/>
  <c r="B97" i="11"/>
  <c r="B88" i="11" a="1"/>
  <c r="B88" i="11"/>
  <c r="B52" i="11" a="1"/>
  <c r="B52" i="11"/>
  <c r="B44" i="11" a="1"/>
  <c r="B44" i="11"/>
  <c r="B28" i="11" a="1"/>
  <c r="B28" i="11"/>
  <c r="B5" i="11" a="1"/>
  <c r="B5" i="11"/>
  <c r="C115" i="11" a="1"/>
  <c r="C115" i="11"/>
  <c r="C101" i="11" a="1"/>
  <c r="C101" i="11"/>
  <c r="C87" i="11" a="1"/>
  <c r="C87" i="11"/>
  <c r="C73" i="11" a="1"/>
  <c r="C73" i="11"/>
  <c r="C59" i="11" a="1"/>
  <c r="C59" i="11"/>
  <c r="C45" i="11" a="1"/>
  <c r="C45" i="11"/>
  <c r="C31" i="11" a="1"/>
  <c r="C31" i="11"/>
  <c r="C17" i="11" a="1"/>
  <c r="C17" i="11"/>
  <c r="C3" i="11" a="1"/>
  <c r="C3" i="11"/>
  <c r="D126" i="11" a="1"/>
  <c r="D126" i="11"/>
  <c r="D112" i="11" a="1"/>
  <c r="D112" i="11"/>
  <c r="D98" i="11" a="1"/>
  <c r="D98" i="11"/>
  <c r="D84" i="11" a="1"/>
  <c r="D84" i="11"/>
  <c r="D70" i="11" a="1"/>
  <c r="D70" i="11"/>
  <c r="D56" i="11" a="1"/>
  <c r="D56" i="11"/>
  <c r="D42" i="11" a="1"/>
  <c r="D42" i="11"/>
  <c r="D28" i="11" a="1"/>
  <c r="D28" i="11"/>
  <c r="D14" i="11" a="1"/>
  <c r="D14" i="11"/>
  <c r="A124" i="11" a="1"/>
  <c r="A124" i="11"/>
  <c r="A110" i="11" a="1"/>
  <c r="A110" i="11"/>
  <c r="A96" i="11" a="1"/>
  <c r="A96" i="11"/>
  <c r="A82" i="11" a="1"/>
  <c r="A82" i="11"/>
  <c r="A68" i="11" a="1"/>
  <c r="A68" i="11"/>
  <c r="A54" i="11" a="1"/>
  <c r="A54" i="11"/>
  <c r="A40" i="11" a="1"/>
  <c r="A40" i="11"/>
  <c r="A26" i="11" a="1"/>
  <c r="A26" i="11"/>
  <c r="A12" i="11" a="1"/>
  <c r="A12" i="11"/>
  <c r="B124" i="11" a="1"/>
  <c r="B124" i="11"/>
  <c r="B87" i="11" a="1"/>
  <c r="B87" i="11"/>
  <c r="B77" i="11" a="1"/>
  <c r="B77" i="11"/>
  <c r="B68" i="11" a="1"/>
  <c r="B68" i="11"/>
  <c r="B60" i="11" a="1"/>
  <c r="B60" i="11"/>
  <c r="B36" i="11" a="1"/>
  <c r="B36" i="11"/>
  <c r="B20" i="11" a="1"/>
  <c r="B20" i="11"/>
  <c r="B12" i="11" a="1"/>
  <c r="B12" i="11"/>
  <c r="C128" i="11" a="1"/>
  <c r="C128" i="11"/>
  <c r="C114" i="11" a="1"/>
  <c r="C114" i="11"/>
  <c r="C100" i="11" a="1"/>
  <c r="C100" i="11"/>
  <c r="C86" i="11" a="1"/>
  <c r="C86" i="11"/>
  <c r="C72" i="11" a="1"/>
  <c r="C72" i="11"/>
  <c r="C58" i="11" a="1"/>
  <c r="C58" i="11"/>
  <c r="C44" i="11" a="1"/>
  <c r="C44" i="11"/>
  <c r="C30" i="11" a="1"/>
  <c r="C30" i="11"/>
  <c r="C16" i="11" a="1"/>
  <c r="C16" i="11"/>
  <c r="D125" i="11" a="1"/>
  <c r="D125" i="11"/>
  <c r="D111" i="11" a="1"/>
  <c r="D111" i="11"/>
  <c r="D97" i="11" a="1"/>
  <c r="D97" i="11"/>
  <c r="D83" i="11" a="1"/>
  <c r="D83" i="11"/>
  <c r="D69" i="11" a="1"/>
  <c r="D69" i="11"/>
  <c r="D55" i="11" a="1"/>
  <c r="D55" i="11"/>
  <c r="D41" i="11" a="1"/>
  <c r="D41" i="11"/>
  <c r="D27" i="11" a="1"/>
  <c r="D27" i="11"/>
  <c r="D13" i="11" a="1"/>
  <c r="D13" i="11"/>
  <c r="A123" i="11" a="1"/>
  <c r="A123" i="11"/>
  <c r="A109" i="11" a="1"/>
  <c r="A109" i="11"/>
  <c r="A95" i="11" a="1"/>
  <c r="A95" i="11"/>
  <c r="A81" i="11" a="1"/>
  <c r="A81" i="11"/>
  <c r="A67" i="11" a="1"/>
  <c r="A67" i="11"/>
  <c r="A53" i="11" a="1"/>
  <c r="A53" i="11"/>
  <c r="A39" i="11" a="1"/>
  <c r="A39" i="11"/>
  <c r="A25" i="11" a="1"/>
  <c r="A25" i="11"/>
  <c r="A11" i="11" a="1"/>
  <c r="A11" i="11"/>
  <c r="B114" i="11" a="1"/>
  <c r="B114" i="11"/>
  <c r="B105" i="11" a="1"/>
  <c r="B105" i="11"/>
  <c r="B96" i="11" a="1"/>
  <c r="B96" i="11"/>
  <c r="B76" i="11" a="1"/>
  <c r="B76" i="11"/>
  <c r="B59" i="11" a="1"/>
  <c r="B59" i="11"/>
  <c r="B51" i="11" a="1"/>
  <c r="B51" i="11"/>
  <c r="B43" i="11" a="1"/>
  <c r="B43" i="11"/>
  <c r="B35" i="11" a="1"/>
  <c r="B35" i="11"/>
  <c r="B27" i="11" a="1"/>
  <c r="B27" i="11"/>
  <c r="B4" i="11" a="1"/>
  <c r="B4" i="11"/>
  <c r="C127" i="11" a="1"/>
  <c r="C127" i="11"/>
  <c r="C113" i="11" a="1"/>
  <c r="C113" i="11"/>
  <c r="C99" i="11" a="1"/>
  <c r="C99" i="11"/>
  <c r="C85" i="11" a="1"/>
  <c r="C85" i="11"/>
  <c r="C71" i="11" a="1"/>
  <c r="C71" i="11"/>
  <c r="C57" i="11" a="1"/>
  <c r="C57" i="11"/>
  <c r="C43" i="11" a="1"/>
  <c r="C43" i="11"/>
  <c r="C29" i="11" a="1"/>
  <c r="C29" i="11"/>
  <c r="C15" i="11" a="1"/>
  <c r="C15" i="11"/>
  <c r="D124" i="11" a="1"/>
  <c r="D124" i="11"/>
  <c r="D110" i="11" a="1"/>
  <c r="D110" i="11"/>
  <c r="D96" i="11" a="1"/>
  <c r="D96" i="11"/>
  <c r="D82" i="11" a="1"/>
  <c r="D82" i="11"/>
  <c r="D68" i="11" a="1"/>
  <c r="D68" i="11"/>
  <c r="D54" i="11" a="1"/>
  <c r="D54" i="11"/>
  <c r="D40" i="11" a="1"/>
  <c r="D40" i="11"/>
  <c r="D26" i="11" a="1"/>
  <c r="D26" i="11"/>
  <c r="D12" i="11" a="1"/>
  <c r="D12" i="11"/>
  <c r="A122" i="11" a="1"/>
  <c r="A122" i="11"/>
  <c r="A108" i="11" a="1"/>
  <c r="A108" i="11"/>
  <c r="A94" i="11" a="1"/>
  <c r="A94" i="11"/>
  <c r="A80" i="11" a="1"/>
  <c r="A80" i="11"/>
  <c r="A66" i="11" a="1"/>
  <c r="A66" i="11"/>
  <c r="A52" i="11" a="1"/>
  <c r="A52" i="11"/>
  <c r="A38" i="11" a="1"/>
  <c r="A38" i="11"/>
  <c r="A24" i="11" a="1"/>
  <c r="A24" i="11"/>
  <c r="A10" i="11" a="1"/>
  <c r="A10" i="11"/>
  <c r="B123" i="11" a="1"/>
  <c r="B123" i="11"/>
  <c r="B113" i="11" a="1"/>
  <c r="B113" i="11"/>
  <c r="B86" i="11" a="1"/>
  <c r="B86" i="11"/>
  <c r="B75" i="11" a="1"/>
  <c r="B75" i="11"/>
  <c r="B67" i="11" a="1"/>
  <c r="B67" i="11"/>
  <c r="B19" i="11" a="1"/>
  <c r="B19" i="11"/>
  <c r="B11" i="11" a="1"/>
  <c r="B11" i="11"/>
  <c r="B3" i="11" a="1"/>
  <c r="B3" i="11"/>
  <c r="C126" i="11" a="1"/>
  <c r="C126" i="11"/>
  <c r="C112" i="11" a="1"/>
  <c r="C112" i="11"/>
  <c r="C98" i="11" a="1"/>
  <c r="C98" i="11"/>
  <c r="C84" i="11" a="1"/>
  <c r="C84" i="11"/>
  <c r="C70" i="11" a="1"/>
  <c r="C70" i="11"/>
  <c r="C56" i="11" a="1"/>
  <c r="C56" i="11"/>
  <c r="C42" i="11" a="1"/>
  <c r="C42" i="11"/>
  <c r="C28" i="11" a="1"/>
  <c r="C28" i="11"/>
  <c r="C14" i="11" a="1"/>
  <c r="C14" i="11"/>
  <c r="D123" i="11" a="1"/>
  <c r="D123" i="11"/>
  <c r="D109" i="11" a="1"/>
  <c r="D109" i="11"/>
  <c r="D95" i="11" a="1"/>
  <c r="D95" i="11"/>
  <c r="D81" i="11" a="1"/>
  <c r="D81" i="11"/>
  <c r="D67" i="11" a="1"/>
  <c r="D67" i="11"/>
  <c r="D53" i="11" a="1"/>
  <c r="D53" i="11"/>
  <c r="D39" i="11" a="1"/>
  <c r="D39" i="11"/>
  <c r="D25" i="11" a="1"/>
  <c r="D25" i="11"/>
  <c r="D11" i="11" a="1"/>
  <c r="D11" i="11"/>
  <c r="A79" i="11" a="1"/>
  <c r="A79" i="11"/>
  <c r="C111" i="11" a="1"/>
  <c r="C111" i="11"/>
  <c r="D10" i="11" a="1"/>
  <c r="D10" i="11"/>
  <c r="C124" i="11" a="1"/>
  <c r="C124" i="11"/>
  <c r="C110" i="11" a="1"/>
  <c r="C110" i="11"/>
  <c r="C96" i="11" a="1"/>
  <c r="C96" i="11"/>
  <c r="C82" i="11" a="1"/>
  <c r="C82" i="11"/>
  <c r="C68" i="11" a="1"/>
  <c r="C68" i="11"/>
  <c r="C54" i="11" a="1"/>
  <c r="C54" i="11"/>
  <c r="C40" i="11" a="1"/>
  <c r="C40" i="11"/>
  <c r="C26" i="11" a="1"/>
  <c r="C26" i="11"/>
  <c r="C12" i="11" a="1"/>
  <c r="C12" i="11"/>
  <c r="D121" i="11" a="1"/>
  <c r="D121" i="11"/>
  <c r="D107" i="11" a="1"/>
  <c r="D107" i="11"/>
  <c r="D93" i="11" a="1"/>
  <c r="D93" i="11"/>
  <c r="D79" i="11" a="1"/>
  <c r="D79" i="11"/>
  <c r="D65" i="11" a="1"/>
  <c r="D65" i="11"/>
  <c r="D51" i="11" a="1"/>
  <c r="D51" i="11"/>
  <c r="D37" i="11" a="1"/>
  <c r="D37" i="11"/>
  <c r="D23" i="11" a="1"/>
  <c r="D23" i="11"/>
  <c r="D9" i="11" a="1"/>
  <c r="D9" i="11"/>
  <c r="A121" i="11" a="1"/>
  <c r="A121" i="11"/>
  <c r="A107" i="11" a="1"/>
  <c r="A107" i="11"/>
  <c r="A51" i="11" a="1"/>
  <c r="A51" i="11"/>
  <c r="A9" i="11" a="1"/>
  <c r="A9" i="11"/>
  <c r="B122" i="11" a="1"/>
  <c r="B122" i="11"/>
  <c r="B104" i="11" a="1"/>
  <c r="B104" i="11"/>
  <c r="B85" i="11" a="1"/>
  <c r="B85" i="11"/>
  <c r="B66" i="11" a="1"/>
  <c r="B66" i="11"/>
  <c r="B58" i="11" a="1"/>
  <c r="B58" i="11"/>
  <c r="B50" i="11" a="1"/>
  <c r="B50" i="11"/>
  <c r="B42" i="11" a="1"/>
  <c r="B42" i="11"/>
  <c r="B34" i="11" a="1"/>
  <c r="B34" i="11"/>
  <c r="B26" i="11" a="1"/>
  <c r="B26" i="11"/>
  <c r="B10" i="11" a="1"/>
  <c r="B10" i="11"/>
  <c r="C125" i="11" a="1"/>
  <c r="C125" i="11"/>
  <c r="C97" i="11" a="1"/>
  <c r="C97" i="11"/>
  <c r="C83" i="11" a="1"/>
  <c r="C83" i="11"/>
  <c r="C41" i="11" a="1"/>
  <c r="C41" i="11"/>
  <c r="C13" i="11" a="1"/>
  <c r="C13" i="11"/>
  <c r="D122" i="11" a="1"/>
  <c r="D122" i="11"/>
  <c r="D108" i="11" a="1"/>
  <c r="D108" i="11"/>
  <c r="D94" i="11" a="1"/>
  <c r="D94" i="11"/>
  <c r="D24" i="11" a="1"/>
  <c r="D24" i="11"/>
  <c r="A120" i="11" a="1"/>
  <c r="A120" i="11"/>
  <c r="A106" i="11" a="1"/>
  <c r="A106" i="11"/>
  <c r="A78" i="11" a="1"/>
  <c r="A78" i="11"/>
  <c r="A50" i="11" a="1"/>
  <c r="A50" i="11"/>
  <c r="A36" i="11" a="1"/>
  <c r="A36" i="11"/>
  <c r="A8" i="11" a="1"/>
  <c r="A8" i="11"/>
  <c r="B121" i="11" a="1"/>
  <c r="B121" i="11"/>
  <c r="B112" i="11" a="1"/>
  <c r="B112" i="11"/>
  <c r="B103" i="11" a="1"/>
  <c r="B103" i="11"/>
  <c r="B94" i="11" a="1"/>
  <c r="B94" i="11"/>
  <c r="B84" i="11" a="1"/>
  <c r="B84" i="11"/>
  <c r="B74" i="11" a="1"/>
  <c r="B74" i="11"/>
  <c r="B33" i="11" a="1"/>
  <c r="B33" i="11"/>
  <c r="B18" i="11" a="1"/>
  <c r="B18" i="11"/>
  <c r="A119" i="11" a="1"/>
  <c r="A119" i="11"/>
  <c r="A105" i="11" a="1"/>
  <c r="A105" i="11"/>
  <c r="A91" i="11" a="1"/>
  <c r="A91" i="11"/>
  <c r="A77" i="11" a="1"/>
  <c r="A77" i="11"/>
  <c r="A63" i="11" a="1"/>
  <c r="A63" i="11"/>
  <c r="A49" i="11" a="1"/>
  <c r="A49" i="11"/>
  <c r="A35" i="11" a="1"/>
  <c r="A35" i="11"/>
  <c r="A21" i="11" a="1"/>
  <c r="A21" i="11"/>
  <c r="A7" i="11" a="1"/>
  <c r="A7" i="11"/>
  <c r="B111" i="11" a="1"/>
  <c r="B111" i="11"/>
  <c r="B93" i="11" a="1"/>
  <c r="B93" i="11"/>
  <c r="B83" i="11" a="1"/>
  <c r="B83" i="11"/>
  <c r="B73" i="11" a="1"/>
  <c r="B73" i="11"/>
  <c r="B65" i="11" a="1"/>
  <c r="B65" i="11"/>
  <c r="B57" i="11" a="1"/>
  <c r="B57" i="11"/>
  <c r="B49" i="11" a="1"/>
  <c r="B49" i="11"/>
  <c r="B41" i="11" a="1"/>
  <c r="B41" i="11"/>
  <c r="B25" i="11" a="1"/>
  <c r="B25" i="11"/>
  <c r="B17" i="11" a="1"/>
  <c r="B17" i="11"/>
  <c r="B9" i="11" a="1"/>
  <c r="B9" i="11"/>
  <c r="C123" i="11" a="1"/>
  <c r="C123" i="11"/>
  <c r="C109" i="11" a="1"/>
  <c r="C109" i="11"/>
  <c r="C95" i="11" a="1"/>
  <c r="C95" i="11"/>
  <c r="C81" i="11" a="1"/>
  <c r="C81" i="11"/>
  <c r="C67" i="11" a="1"/>
  <c r="C67" i="11"/>
  <c r="C53" i="11" a="1"/>
  <c r="C53" i="11"/>
  <c r="C39" i="11" a="1"/>
  <c r="C39" i="11"/>
  <c r="C25" i="11" a="1"/>
  <c r="C25" i="11"/>
  <c r="C11" i="11" a="1"/>
  <c r="C11" i="11"/>
  <c r="D120" i="11" a="1"/>
  <c r="D120" i="11"/>
  <c r="D106" i="11" a="1"/>
  <c r="D106" i="11"/>
  <c r="D92" i="11" a="1"/>
  <c r="D92" i="11"/>
  <c r="D78" i="11" a="1"/>
  <c r="D78" i="11"/>
  <c r="D64" i="11" a="1"/>
  <c r="D64" i="11"/>
  <c r="D50" i="11" a="1"/>
  <c r="D50" i="11"/>
  <c r="D36" i="11" a="1"/>
  <c r="D36" i="11"/>
  <c r="D22" i="11" a="1"/>
  <c r="D22" i="11"/>
  <c r="D8" i="11" a="1"/>
  <c r="D8" i="11"/>
  <c r="A92" i="11" a="1"/>
  <c r="A92" i="11"/>
  <c r="A64" i="11" a="1"/>
  <c r="A64" i="11"/>
  <c r="A22" i="11" a="1"/>
  <c r="A22" i="11"/>
  <c r="A118" i="11" a="1"/>
  <c r="A118" i="11"/>
  <c r="A104" i="11" a="1"/>
  <c r="A104" i="11"/>
  <c r="A90" i="11" a="1"/>
  <c r="A90" i="11"/>
  <c r="A76" i="11" a="1"/>
  <c r="A76" i="11"/>
  <c r="A62" i="11" a="1"/>
  <c r="A62" i="11"/>
  <c r="A48" i="11" a="1"/>
  <c r="A48" i="11"/>
  <c r="A34" i="11" a="1"/>
  <c r="A34" i="11"/>
  <c r="A20" i="11" a="1"/>
  <c r="A20" i="11"/>
  <c r="A6" i="11" a="1"/>
  <c r="A6" i="11"/>
  <c r="B120" i="11" a="1"/>
  <c r="B120" i="11"/>
  <c r="B102" i="11" a="1"/>
  <c r="B102" i="11"/>
  <c r="B82" i="11" a="1"/>
  <c r="B82" i="11"/>
  <c r="B48" i="11" a="1"/>
  <c r="B48" i="11"/>
  <c r="B32" i="11" a="1"/>
  <c r="B32" i="11"/>
  <c r="B24" i="11" a="1"/>
  <c r="B24" i="11"/>
  <c r="B16" i="11" a="1"/>
  <c r="B16" i="11"/>
  <c r="C122" i="11" a="1"/>
  <c r="C122" i="11"/>
  <c r="C108" i="11" a="1"/>
  <c r="C108" i="11"/>
  <c r="C94" i="11" a="1"/>
  <c r="C94" i="11"/>
  <c r="C80" i="11" a="1"/>
  <c r="C80" i="11"/>
  <c r="C66" i="11" a="1"/>
  <c r="C66" i="11"/>
  <c r="C52" i="11" a="1"/>
  <c r="C52" i="11"/>
  <c r="C38" i="11" a="1"/>
  <c r="C38" i="11"/>
  <c r="C24" i="11" a="1"/>
  <c r="C24" i="11"/>
  <c r="C10" i="11" a="1"/>
  <c r="C10" i="11"/>
  <c r="D119" i="11" a="1"/>
  <c r="D119" i="11"/>
  <c r="D105" i="11" a="1"/>
  <c r="D105" i="11"/>
  <c r="D91" i="11" a="1"/>
  <c r="D91" i="11"/>
  <c r="D77" i="11" a="1"/>
  <c r="D77" i="11"/>
  <c r="D63" i="11" a="1"/>
  <c r="D63" i="11"/>
  <c r="D49" i="11" a="1"/>
  <c r="D49" i="11"/>
  <c r="D35" i="11" a="1"/>
  <c r="D35" i="11"/>
  <c r="D21" i="11" a="1"/>
  <c r="D21" i="11"/>
  <c r="D7" i="11" a="1"/>
  <c r="D7" i="11"/>
  <c r="A23" i="11" a="1"/>
  <c r="A23" i="11"/>
  <c r="C27" i="11" a="1"/>
  <c r="C27" i="11"/>
  <c r="D66" i="11" a="1"/>
  <c r="D66" i="11"/>
  <c r="A103" i="11" a="1"/>
  <c r="A103" i="11"/>
  <c r="A47" i="11" a="1"/>
  <c r="A47" i="11"/>
  <c r="A19" i="11" a="1"/>
  <c r="A19" i="11"/>
  <c r="B119" i="11" a="1"/>
  <c r="B119" i="11"/>
  <c r="B101" i="11" a="1"/>
  <c r="B101" i="11"/>
  <c r="B56" i="11" a="1"/>
  <c r="B56" i="11"/>
  <c r="B8" i="11" a="1"/>
  <c r="B8" i="11"/>
  <c r="C121" i="11" a="1"/>
  <c r="C121" i="11"/>
  <c r="C107" i="11" a="1"/>
  <c r="C107" i="11"/>
  <c r="C93" i="11" a="1"/>
  <c r="C93" i="11"/>
  <c r="C79" i="11" a="1"/>
  <c r="C79" i="11"/>
  <c r="C65" i="11" a="1"/>
  <c r="C65" i="11"/>
  <c r="C51" i="11" a="1"/>
  <c r="C51" i="11"/>
  <c r="C37" i="11" a="1"/>
  <c r="C37" i="11"/>
  <c r="C23" i="11" a="1"/>
  <c r="C23" i="11"/>
  <c r="C9" i="11" a="1"/>
  <c r="C9" i="11"/>
  <c r="D118" i="11" a="1"/>
  <c r="D118" i="11"/>
  <c r="D104" i="11" a="1"/>
  <c r="D104" i="11"/>
  <c r="D90" i="11" a="1"/>
  <c r="D90" i="11"/>
  <c r="D76" i="11" a="1"/>
  <c r="D76" i="11"/>
  <c r="D62" i="11" a="1"/>
  <c r="D62" i="11"/>
  <c r="D48" i="11" a="1"/>
  <c r="D48" i="11"/>
  <c r="D34" i="11" a="1"/>
  <c r="D34" i="11"/>
  <c r="D20" i="11" a="1"/>
  <c r="D20" i="11"/>
  <c r="D6" i="11" a="1"/>
  <c r="D6" i="11"/>
  <c r="A65" i="11" a="1"/>
  <c r="A65" i="11"/>
  <c r="B95" i="11" a="1"/>
  <c r="B95" i="11"/>
  <c r="C55" i="11" a="1"/>
  <c r="C55" i="11"/>
  <c r="D38" i="11" a="1"/>
  <c r="D38" i="11"/>
  <c r="A89" i="11" a="1"/>
  <c r="A89" i="11"/>
  <c r="A33" i="11" a="1"/>
  <c r="A33" i="11"/>
  <c r="A5" i="11" a="1"/>
  <c r="A5" i="11"/>
  <c r="B110" i="11" a="1"/>
  <c r="B110" i="11"/>
  <c r="B92" i="11" a="1"/>
  <c r="B92" i="11"/>
  <c r="B72" i="11" a="1"/>
  <c r="B72" i="11"/>
  <c r="B64" i="11" a="1"/>
  <c r="B64" i="11"/>
  <c r="B40" i="11" a="1"/>
  <c r="B40" i="11"/>
  <c r="B31" i="11" a="1"/>
  <c r="B31" i="11"/>
  <c r="A116" i="11" a="1"/>
  <c r="A116" i="11"/>
  <c r="A102" i="11" a="1"/>
  <c r="A102" i="11"/>
  <c r="A88" i="11" a="1"/>
  <c r="A88" i="11"/>
  <c r="A74" i="11" a="1"/>
  <c r="A74" i="11"/>
  <c r="A60" i="11" a="1"/>
  <c r="A60" i="11"/>
  <c r="A46" i="11" a="1"/>
  <c r="A46" i="11"/>
  <c r="A32" i="11" a="1"/>
  <c r="A32" i="11"/>
  <c r="A18" i="11" a="1"/>
  <c r="A18" i="11"/>
  <c r="A4" i="11" a="1"/>
  <c r="A4" i="11"/>
  <c r="B128" i="11" a="1"/>
  <c r="B128" i="11"/>
  <c r="B118" i="11" a="1"/>
  <c r="B118" i="11"/>
  <c r="B91" i="11" a="1"/>
  <c r="B91" i="11"/>
  <c r="B81" i="11" a="1"/>
  <c r="B81" i="11"/>
  <c r="B63" i="11" a="1"/>
  <c r="B63" i="11"/>
  <c r="B47" i="11" a="1"/>
  <c r="B47" i="11"/>
  <c r="B23" i="11" a="1"/>
  <c r="B23" i="11"/>
  <c r="B15" i="11" a="1"/>
  <c r="B15" i="11"/>
  <c r="C120" i="11" a="1"/>
  <c r="C120" i="11"/>
  <c r="C106" i="11" a="1"/>
  <c r="C106" i="11"/>
  <c r="C92" i="11" a="1"/>
  <c r="C92" i="11"/>
  <c r="C78" i="11" a="1"/>
  <c r="C78" i="11"/>
  <c r="C64" i="11" a="1"/>
  <c r="C64" i="11"/>
  <c r="C50" i="11" a="1"/>
  <c r="C50" i="11"/>
  <c r="C36" i="11" a="1"/>
  <c r="C36" i="11"/>
  <c r="C22" i="11" a="1"/>
  <c r="C22" i="11"/>
  <c r="C8" i="11" a="1"/>
  <c r="C8" i="11"/>
  <c r="D117" i="11" a="1"/>
  <c r="D117" i="11"/>
  <c r="D103" i="11" a="1"/>
  <c r="D103" i="11"/>
  <c r="D89" i="11" a="1"/>
  <c r="D89" i="11"/>
  <c r="D75" i="11" a="1"/>
  <c r="D75" i="11"/>
  <c r="D61" i="11" a="1"/>
  <c r="D61" i="11"/>
  <c r="D47" i="11" a="1"/>
  <c r="D47" i="11"/>
  <c r="D33" i="11" a="1"/>
  <c r="D33" i="11"/>
  <c r="D19" i="11" a="1"/>
  <c r="D19" i="11"/>
  <c r="D5" i="11" a="1"/>
  <c r="D5" i="11"/>
  <c r="D80" i="11" a="1"/>
  <c r="D80" i="11"/>
  <c r="A61" i="11" a="1"/>
  <c r="A61" i="11"/>
  <c r="A115" i="11" a="1"/>
  <c r="A115" i="11"/>
  <c r="A101" i="11" a="1"/>
  <c r="A101" i="11"/>
  <c r="A73" i="11" a="1"/>
  <c r="A73" i="11"/>
  <c r="A59" i="11" a="1"/>
  <c r="A59" i="11"/>
  <c r="A45" i="11" a="1"/>
  <c r="A45" i="11"/>
  <c r="A31" i="11" a="1"/>
  <c r="A31" i="11"/>
  <c r="A17" i="11" a="1"/>
  <c r="A17" i="11"/>
  <c r="A3" i="11" a="1"/>
  <c r="A3" i="11"/>
  <c r="B127" i="11" a="1"/>
  <c r="B127" i="11"/>
  <c r="B109" i="11" a="1"/>
  <c r="B109" i="11"/>
  <c r="B100" i="11" a="1"/>
  <c r="B100" i="11"/>
  <c r="B90" i="11" a="1"/>
  <c r="B90" i="11"/>
  <c r="B80" i="11" a="1"/>
  <c r="B80" i="11"/>
  <c r="B71" i="11" a="1"/>
  <c r="B71" i="11"/>
  <c r="B55" i="11" a="1"/>
  <c r="B55" i="11"/>
  <c r="B39" i="11" a="1"/>
  <c r="B39" i="11"/>
  <c r="B30" i="11" a="1"/>
  <c r="B30" i="11"/>
  <c r="B7" i="11" a="1"/>
  <c r="B7" i="11"/>
  <c r="C119" i="11" a="1"/>
  <c r="C119" i="11"/>
  <c r="C105" i="11" a="1"/>
  <c r="C105" i="11"/>
  <c r="C91" i="11" a="1"/>
  <c r="C91" i="11"/>
  <c r="C77" i="11" a="1"/>
  <c r="C77" i="11"/>
  <c r="C63" i="11" a="1"/>
  <c r="C63" i="11"/>
  <c r="C49" i="11" a="1"/>
  <c r="C49" i="11"/>
  <c r="C35" i="11" a="1"/>
  <c r="C35" i="11"/>
  <c r="C21" i="11" a="1"/>
  <c r="C21" i="11"/>
  <c r="C7" i="11" a="1"/>
  <c r="C7" i="11"/>
  <c r="D116" i="11" a="1"/>
  <c r="D116" i="11"/>
  <c r="D102" i="11" a="1"/>
  <c r="D102" i="11"/>
  <c r="D88" i="11" a="1"/>
  <c r="D88" i="11"/>
  <c r="D74" i="11" a="1"/>
  <c r="D74" i="11"/>
  <c r="D60" i="11" a="1"/>
  <c r="D60" i="11"/>
  <c r="D46" i="11" a="1"/>
  <c r="D46" i="11"/>
  <c r="D32" i="11" a="1"/>
  <c r="D32" i="11"/>
  <c r="D18" i="11" a="1"/>
  <c r="D18" i="11"/>
  <c r="D4" i="11" a="1"/>
  <c r="D4" i="11"/>
  <c r="A37" i="11" a="1"/>
  <c r="A37" i="11"/>
  <c r="C69" i="11" a="1"/>
  <c r="C69" i="11"/>
  <c r="D52" i="11" a="1"/>
  <c r="D52" i="11"/>
  <c r="A117" i="11" a="1"/>
  <c r="A117" i="11"/>
  <c r="A75" i="11" a="1"/>
  <c r="A75" i="11"/>
  <c r="A87" i="11" a="1"/>
  <c r="A87" i="11"/>
  <c r="A128" i="11" a="1"/>
  <c r="A128" i="11"/>
  <c r="A114" i="11" a="1"/>
  <c r="A114" i="11"/>
  <c r="A100" i="11" a="1"/>
  <c r="A100" i="11"/>
  <c r="A86" i="11" a="1"/>
  <c r="A86" i="11"/>
  <c r="A72" i="11" a="1"/>
  <c r="A72" i="11"/>
  <c r="A58" i="11" a="1"/>
  <c r="A58" i="11"/>
  <c r="A44" i="11" a="1"/>
  <c r="A44" i="11"/>
  <c r="A30" i="11" a="1"/>
  <c r="A30" i="11"/>
  <c r="A16" i="11" a="1"/>
  <c r="A16" i="11"/>
  <c r="B126" i="11" a="1"/>
  <c r="B126" i="11"/>
  <c r="B117" i="11" a="1"/>
  <c r="B117" i="11"/>
  <c r="B108" i="11" a="1"/>
  <c r="B108" i="11"/>
  <c r="B99" i="11" a="1"/>
  <c r="B99" i="11"/>
  <c r="B62" i="11" a="1"/>
  <c r="B62" i="11"/>
  <c r="B54" i="11" a="1"/>
  <c r="B54" i="11"/>
  <c r="B46" i="11" a="1"/>
  <c r="B46" i="11"/>
  <c r="B38" i="11" a="1"/>
  <c r="B38" i="11"/>
  <c r="B22" i="11" a="1"/>
  <c r="B22" i="11"/>
  <c r="B14" i="11" a="1"/>
  <c r="B14" i="11"/>
  <c r="C118" i="11" a="1"/>
  <c r="C118" i="11"/>
  <c r="C104" i="11" a="1"/>
  <c r="C104" i="11"/>
  <c r="C90" i="11" a="1"/>
  <c r="C90" i="11"/>
  <c r="C76" i="11" a="1"/>
  <c r="C76" i="11"/>
  <c r="C62" i="11" a="1"/>
  <c r="C62" i="11"/>
  <c r="C48" i="11" a="1"/>
  <c r="C48" i="11"/>
  <c r="C34" i="11" a="1"/>
  <c r="C34" i="11"/>
  <c r="C20" i="11" a="1"/>
  <c r="C20" i="11"/>
  <c r="C6" i="11" a="1"/>
  <c r="C6" i="11"/>
  <c r="D115" i="11" a="1"/>
  <c r="D115" i="11"/>
  <c r="D101" i="11" a="1"/>
  <c r="D101" i="11"/>
  <c r="D87" i="11" a="1"/>
  <c r="D87" i="11"/>
  <c r="D73" i="11" a="1"/>
  <c r="D73" i="11"/>
  <c r="D59" i="11" a="1"/>
  <c r="D59" i="11"/>
  <c r="D45" i="11" a="1"/>
  <c r="D45" i="11"/>
  <c r="D31" i="11" a="1"/>
  <c r="D31" i="11"/>
  <c r="D17" i="11" a="1"/>
  <c r="D17" i="11"/>
  <c r="E531" i="11" a="1"/>
  <c r="E531" i="11"/>
  <c r="C2" i="11" a="1"/>
  <c r="C2" i="11"/>
  <c r="A2" i="11" a="1"/>
  <c r="A2" i="11"/>
  <c r="E785" i="11" a="1"/>
  <c r="E785" i="11"/>
  <c r="E661" i="11" a="1"/>
  <c r="E661" i="11"/>
  <c r="E5" i="11" a="1"/>
  <c r="E5" i="11"/>
  <c r="E19" i="11" a="1"/>
  <c r="E19" i="11"/>
  <c r="E33" i="11" a="1"/>
  <c r="E33" i="11"/>
  <c r="E47" i="11" a="1"/>
  <c r="E47" i="11"/>
  <c r="E61" i="11" a="1"/>
  <c r="E61" i="11"/>
  <c r="E75" i="11" a="1"/>
  <c r="E75" i="11"/>
  <c r="E89" i="11" a="1"/>
  <c r="E89" i="11"/>
  <c r="E103" i="11" a="1"/>
  <c r="E103" i="11"/>
  <c r="E117" i="11" a="1"/>
  <c r="E117" i="11"/>
  <c r="E131" i="11" a="1"/>
  <c r="E131" i="11"/>
  <c r="E145" i="11" a="1"/>
  <c r="E145" i="11"/>
  <c r="E159" i="11" a="1"/>
  <c r="E159" i="11"/>
  <c r="E8" i="11" a="1"/>
  <c r="E8" i="11"/>
  <c r="E22" i="11" a="1"/>
  <c r="E22" i="11"/>
  <c r="E36" i="11" a="1"/>
  <c r="E36" i="11"/>
  <c r="E50" i="11" a="1"/>
  <c r="E50" i="11"/>
  <c r="E64" i="11" a="1"/>
  <c r="E64" i="11"/>
  <c r="E78" i="11" a="1"/>
  <c r="E78" i="11"/>
  <c r="E92" i="11" a="1"/>
  <c r="E92" i="11"/>
  <c r="E106" i="11" a="1"/>
  <c r="E106" i="11"/>
  <c r="E120" i="11" a="1"/>
  <c r="E120" i="11"/>
  <c r="E134" i="11" a="1"/>
  <c r="E134" i="11"/>
  <c r="E148" i="11" a="1"/>
  <c r="E148" i="11"/>
  <c r="E162" i="11" a="1"/>
  <c r="E162" i="11"/>
  <c r="E176" i="11" a="1"/>
  <c r="E176" i="11"/>
  <c r="E190" i="11" a="1"/>
  <c r="E190" i="11"/>
  <c r="E204" i="11" a="1"/>
  <c r="E204" i="11"/>
  <c r="E218" i="11" a="1"/>
  <c r="E218" i="11"/>
  <c r="E232" i="11" a="1"/>
  <c r="E232" i="11"/>
  <c r="E11" i="11" a="1"/>
  <c r="E11" i="11"/>
  <c r="E25" i="11" a="1"/>
  <c r="E25" i="11"/>
  <c r="E39" i="11" a="1"/>
  <c r="E39" i="11"/>
  <c r="E53" i="11" a="1"/>
  <c r="E53" i="11"/>
  <c r="E67" i="11" a="1"/>
  <c r="E67" i="11"/>
  <c r="E81" i="11" a="1"/>
  <c r="E81" i="11"/>
  <c r="E95" i="11" a="1"/>
  <c r="E95" i="11"/>
  <c r="E109" i="11" a="1"/>
  <c r="E109" i="11"/>
  <c r="E123" i="11" a="1"/>
  <c r="E123" i="11"/>
  <c r="E137" i="11" a="1"/>
  <c r="E137" i="11"/>
  <c r="E151" i="11" a="1"/>
  <c r="E151" i="11"/>
  <c r="E165" i="11" a="1"/>
  <c r="E165" i="11"/>
  <c r="E179" i="11" a="1"/>
  <c r="E179" i="11"/>
  <c r="E193" i="11" a="1"/>
  <c r="E193" i="11"/>
  <c r="E207" i="11" a="1"/>
  <c r="E207" i="11"/>
  <c r="E221" i="11" a="1"/>
  <c r="E221" i="11"/>
  <c r="E235" i="11" a="1"/>
  <c r="E235" i="11"/>
  <c r="E14" i="11" a="1"/>
  <c r="E14" i="11"/>
  <c r="E28" i="11" a="1"/>
  <c r="E28" i="11"/>
  <c r="E42" i="11" a="1"/>
  <c r="E42" i="11"/>
  <c r="E56" i="11" a="1"/>
  <c r="E56" i="11"/>
  <c r="E70" i="11" a="1"/>
  <c r="E70" i="11"/>
  <c r="E84" i="11" a="1"/>
  <c r="E84" i="11"/>
  <c r="E98" i="11" a="1"/>
  <c r="E98" i="11"/>
  <c r="E112" i="11" a="1"/>
  <c r="E112" i="11"/>
  <c r="E126" i="11" a="1"/>
  <c r="E126" i="11"/>
  <c r="E140" i="11" a="1"/>
  <c r="E140" i="11"/>
  <c r="E154" i="11" a="1"/>
  <c r="E154" i="11"/>
  <c r="E3" i="11" a="1"/>
  <c r="E3" i="11"/>
  <c r="E17" i="11" a="1"/>
  <c r="E17" i="11"/>
  <c r="E31" i="11" a="1"/>
  <c r="E31" i="11"/>
  <c r="E45" i="11" a="1"/>
  <c r="E45" i="11"/>
  <c r="E59" i="11" a="1"/>
  <c r="E59" i="11"/>
  <c r="E73" i="11" a="1"/>
  <c r="E73" i="11"/>
  <c r="E87" i="11" a="1"/>
  <c r="E87" i="11"/>
  <c r="E101" i="11" a="1"/>
  <c r="E101" i="11"/>
  <c r="E115" i="11" a="1"/>
  <c r="E115" i="11"/>
  <c r="E129" i="11" a="1"/>
  <c r="E129" i="11"/>
  <c r="E143" i="11" a="1"/>
  <c r="E143" i="11"/>
  <c r="E157" i="11" a="1"/>
  <c r="E157" i="11"/>
  <c r="E171" i="11" a="1"/>
  <c r="E171" i="11"/>
  <c r="E185" i="11" a="1"/>
  <c r="E185" i="11"/>
  <c r="E199" i="11" a="1"/>
  <c r="E199" i="11"/>
  <c r="E213" i="11" a="1"/>
  <c r="E213" i="11"/>
  <c r="E227" i="11" a="1"/>
  <c r="E227" i="11"/>
  <c r="E6" i="11" a="1"/>
  <c r="E6" i="11"/>
  <c r="E20" i="11" a="1"/>
  <c r="E20" i="11"/>
  <c r="E34" i="11" a="1"/>
  <c r="E34" i="11"/>
  <c r="E48" i="11" a="1"/>
  <c r="E48" i="11"/>
  <c r="E62" i="11" a="1"/>
  <c r="E62" i="11"/>
  <c r="E76" i="11" a="1"/>
  <c r="E76" i="11"/>
  <c r="E90" i="11" a="1"/>
  <c r="E90" i="11"/>
  <c r="E9" i="11" a="1"/>
  <c r="E9" i="11"/>
  <c r="E23" i="11" a="1"/>
  <c r="E23" i="11"/>
  <c r="E37" i="11" a="1"/>
  <c r="E37" i="11"/>
  <c r="E51" i="11" a="1"/>
  <c r="E51" i="11"/>
  <c r="E65" i="11" a="1"/>
  <c r="E65" i="11"/>
  <c r="E79" i="11" a="1"/>
  <c r="E79" i="11"/>
  <c r="E93" i="11" a="1"/>
  <c r="E93" i="11"/>
  <c r="E107" i="11" a="1"/>
  <c r="E107" i="11"/>
  <c r="E121" i="11" a="1"/>
  <c r="E121" i="11"/>
  <c r="E135" i="11" a="1"/>
  <c r="E135" i="11"/>
  <c r="E149" i="11" a="1"/>
  <c r="E149" i="11"/>
  <c r="E163" i="11" a="1"/>
  <c r="E163" i="11"/>
  <c r="E12" i="11" a="1"/>
  <c r="E12" i="11"/>
  <c r="E26" i="11" a="1"/>
  <c r="E26" i="11"/>
  <c r="E40" i="11" a="1"/>
  <c r="E40" i="11"/>
  <c r="E54" i="11" a="1"/>
  <c r="E54" i="11"/>
  <c r="E68" i="11" a="1"/>
  <c r="E68" i="11"/>
  <c r="E82" i="11" a="1"/>
  <c r="E82" i="11"/>
  <c r="E96" i="11" a="1"/>
  <c r="E96" i="11"/>
  <c r="E110" i="11" a="1"/>
  <c r="E110" i="11"/>
  <c r="E124" i="11" a="1"/>
  <c r="E124" i="11"/>
  <c r="E138" i="11" a="1"/>
  <c r="E138" i="11"/>
  <c r="E152" i="11" a="1"/>
  <c r="E152" i="11"/>
  <c r="E166" i="11" a="1"/>
  <c r="E166" i="11"/>
  <c r="E180" i="11" a="1"/>
  <c r="E180" i="11"/>
  <c r="E194" i="11" a="1"/>
  <c r="E194" i="11"/>
  <c r="E208" i="11" a="1"/>
  <c r="E208" i="11"/>
  <c r="E222" i="11" a="1"/>
  <c r="E222" i="11"/>
  <c r="E236" i="11" a="1"/>
  <c r="E236" i="11"/>
  <c r="E15" i="11" a="1"/>
  <c r="E15" i="11"/>
  <c r="E29" i="11" a="1"/>
  <c r="E29" i="11"/>
  <c r="E43" i="11" a="1"/>
  <c r="E43" i="11"/>
  <c r="E57" i="11" a="1"/>
  <c r="E57" i="11"/>
  <c r="E71" i="11" a="1"/>
  <c r="E71" i="11"/>
  <c r="E85" i="11" a="1"/>
  <c r="E85" i="11"/>
  <c r="E99" i="11" a="1"/>
  <c r="E99" i="11"/>
  <c r="E113" i="11" a="1"/>
  <c r="E113" i="11"/>
  <c r="E127" i="11" a="1"/>
  <c r="E127" i="11"/>
  <c r="E141" i="11" a="1"/>
  <c r="E141" i="11"/>
  <c r="E155" i="11" a="1"/>
  <c r="E155" i="11"/>
  <c r="E169" i="11" a="1"/>
  <c r="E169" i="11"/>
  <c r="E4" i="11" a="1"/>
  <c r="E4" i="11"/>
  <c r="E18" i="11" a="1"/>
  <c r="E18" i="11"/>
  <c r="E32" i="11" a="1"/>
  <c r="E32" i="11"/>
  <c r="E46" i="11" a="1"/>
  <c r="E46" i="11"/>
  <c r="E60" i="11" a="1"/>
  <c r="E60" i="11"/>
  <c r="E74" i="11" a="1"/>
  <c r="E74" i="11"/>
  <c r="E88" i="11" a="1"/>
  <c r="E88" i="11"/>
  <c r="E102" i="11" a="1"/>
  <c r="E102" i="11"/>
  <c r="E116" i="11" a="1"/>
  <c r="E116" i="11"/>
  <c r="E130" i="11" a="1"/>
  <c r="E130" i="11"/>
  <c r="E144" i="11" a="1"/>
  <c r="E144" i="11"/>
  <c r="E158" i="11" a="1"/>
  <c r="E158" i="11"/>
  <c r="E7" i="11" a="1"/>
  <c r="E7" i="11"/>
  <c r="E21" i="11" a="1"/>
  <c r="E21" i="11"/>
  <c r="E35" i="11" a="1"/>
  <c r="E35" i="11"/>
  <c r="E49" i="11" a="1"/>
  <c r="E49" i="11"/>
  <c r="E63" i="11" a="1"/>
  <c r="E63" i="11"/>
  <c r="E77" i="11" a="1"/>
  <c r="E77" i="11"/>
  <c r="E91" i="11" a="1"/>
  <c r="E91" i="11"/>
  <c r="E105" i="11" a="1"/>
  <c r="E105" i="11"/>
  <c r="E119" i="11" a="1"/>
  <c r="E119" i="11"/>
  <c r="E133" i="11" a="1"/>
  <c r="E133" i="11"/>
  <c r="E147" i="11" a="1"/>
  <c r="E147" i="11"/>
  <c r="E161" i="11" a="1"/>
  <c r="E161" i="11"/>
  <c r="E175" i="11" a="1"/>
  <c r="E175" i="11"/>
  <c r="E10" i="11" a="1"/>
  <c r="E10" i="11"/>
  <c r="E24" i="11" a="1"/>
  <c r="E24" i="11"/>
  <c r="E38" i="11" a="1"/>
  <c r="E38" i="11"/>
  <c r="E52" i="11" a="1"/>
  <c r="E52" i="11"/>
  <c r="E66" i="11" a="1"/>
  <c r="E66" i="11"/>
  <c r="E80" i="11" a="1"/>
  <c r="E80" i="11"/>
  <c r="E94" i="11" a="1"/>
  <c r="E94" i="11"/>
  <c r="E108" i="11" a="1"/>
  <c r="E108" i="11"/>
  <c r="E122" i="11" a="1"/>
  <c r="E122" i="11"/>
  <c r="E136" i="11" a="1"/>
  <c r="E136" i="11"/>
  <c r="E150" i="11" a="1"/>
  <c r="E150" i="11"/>
  <c r="E164" i="11" a="1"/>
  <c r="E164" i="11"/>
  <c r="E83" i="11" a="1"/>
  <c r="E83" i="11"/>
  <c r="E100" i="11" a="1"/>
  <c r="E100" i="11"/>
  <c r="E153" i="11" a="1"/>
  <c r="E153" i="11"/>
  <c r="E198" i="11" a="1"/>
  <c r="E198" i="11"/>
  <c r="E206" i="11" a="1"/>
  <c r="E206" i="11"/>
  <c r="E210" i="11" a="1"/>
  <c r="E210" i="11"/>
  <c r="E214" i="11" a="1"/>
  <c r="E214" i="11"/>
  <c r="E252" i="11" a="1"/>
  <c r="E252" i="11"/>
  <c r="E266" i="11" a="1"/>
  <c r="E266" i="11"/>
  <c r="E280" i="11" a="1"/>
  <c r="E280" i="11"/>
  <c r="E294" i="11" a="1"/>
  <c r="E294" i="11"/>
  <c r="E308" i="11" a="1"/>
  <c r="E308" i="11"/>
  <c r="E322" i="11" a="1"/>
  <c r="E322" i="11"/>
  <c r="E336" i="11" a="1"/>
  <c r="E336" i="11"/>
  <c r="E350" i="11" a="1"/>
  <c r="E350" i="11"/>
  <c r="E364" i="11" a="1"/>
  <c r="E364" i="11"/>
  <c r="E44" i="11" a="1"/>
  <c r="E44" i="11"/>
  <c r="E114" i="11" a="1"/>
  <c r="E114" i="11"/>
  <c r="E183" i="11" a="1"/>
  <c r="E183" i="11"/>
  <c r="E230" i="11" a="1"/>
  <c r="E230" i="11"/>
  <c r="E241" i="11" a="1"/>
  <c r="E241" i="11"/>
  <c r="E255" i="11" a="1"/>
  <c r="E255" i="11"/>
  <c r="E269" i="11" a="1"/>
  <c r="E269" i="11"/>
  <c r="E283" i="11" a="1"/>
  <c r="E283" i="11"/>
  <c r="E297" i="11" a="1"/>
  <c r="E297" i="11"/>
  <c r="E311" i="11" a="1"/>
  <c r="E311" i="11"/>
  <c r="E325" i="11" a="1"/>
  <c r="E325" i="11"/>
  <c r="E339" i="11" a="1"/>
  <c r="E339" i="11"/>
  <c r="E353" i="11" a="1"/>
  <c r="E353" i="11"/>
  <c r="E27" i="11" a="1"/>
  <c r="E27" i="11"/>
  <c r="E128" i="11" a="1"/>
  <c r="E128" i="11"/>
  <c r="E170" i="11" a="1"/>
  <c r="E170" i="11"/>
  <c r="E191" i="11" a="1"/>
  <c r="E191" i="11"/>
  <c r="E226" i="11" a="1"/>
  <c r="E226" i="11"/>
  <c r="E234" i="11" a="1"/>
  <c r="E234" i="11"/>
  <c r="E238" i="11" a="1"/>
  <c r="E238" i="11"/>
  <c r="E244" i="11" a="1"/>
  <c r="E244" i="11"/>
  <c r="E258" i="11" a="1"/>
  <c r="E258" i="11"/>
  <c r="E272" i="11" a="1"/>
  <c r="E272" i="11"/>
  <c r="E286" i="11" a="1"/>
  <c r="E286" i="11"/>
  <c r="E300" i="11" a="1"/>
  <c r="E300" i="11"/>
  <c r="E314" i="11" a="1"/>
  <c r="E314" i="11"/>
  <c r="E328" i="11" a="1"/>
  <c r="E328" i="11"/>
  <c r="E86" i="11" a="1"/>
  <c r="E86" i="11"/>
  <c r="E142" i="11" a="1"/>
  <c r="E142" i="11"/>
  <c r="E187" i="11" a="1"/>
  <c r="E187" i="11"/>
  <c r="E195" i="11" a="1"/>
  <c r="E195" i="11"/>
  <c r="E203" i="11" a="1"/>
  <c r="E203" i="11"/>
  <c r="E211" i="11" a="1"/>
  <c r="E211" i="11"/>
  <c r="E247" i="11" a="1"/>
  <c r="E247" i="11"/>
  <c r="E261" i="11" a="1"/>
  <c r="E261" i="11"/>
  <c r="E275" i="11" a="1"/>
  <c r="E275" i="11"/>
  <c r="E289" i="11" a="1"/>
  <c r="E289" i="11"/>
  <c r="E303" i="11" a="1"/>
  <c r="E303" i="11"/>
  <c r="E317" i="11" a="1"/>
  <c r="E317" i="11"/>
  <c r="E331" i="11" a="1"/>
  <c r="E331" i="11"/>
  <c r="E69" i="11" a="1"/>
  <c r="E69" i="11"/>
  <c r="E104" i="11" a="1"/>
  <c r="E104" i="11"/>
  <c r="E156" i="11" a="1"/>
  <c r="E156" i="11"/>
  <c r="E219" i="11" a="1"/>
  <c r="E219" i="11"/>
  <c r="E250" i="11" a="1"/>
  <c r="E250" i="11"/>
  <c r="E264" i="11" a="1"/>
  <c r="E264" i="11"/>
  <c r="E278" i="11" a="1"/>
  <c r="E278" i="11"/>
  <c r="E292" i="11" a="1"/>
  <c r="E292" i="11"/>
  <c r="E306" i="11" a="1"/>
  <c r="E306" i="11"/>
  <c r="E320" i="11" a="1"/>
  <c r="E320" i="11"/>
  <c r="E30" i="11" a="1"/>
  <c r="E30" i="11"/>
  <c r="E118" i="11" a="1"/>
  <c r="E118" i="11"/>
  <c r="E188" i="11" a="1"/>
  <c r="E188" i="11"/>
  <c r="E215" i="11" a="1"/>
  <c r="E215" i="11"/>
  <c r="E223" i="11" a="1"/>
  <c r="E223" i="11"/>
  <c r="E231" i="11" a="1"/>
  <c r="E231" i="11"/>
  <c r="E239" i="11" a="1"/>
  <c r="E239" i="11"/>
  <c r="E253" i="11" a="1"/>
  <c r="E253" i="11"/>
  <c r="E267" i="11" a="1"/>
  <c r="E267" i="11"/>
  <c r="E281" i="11" a="1"/>
  <c r="E281" i="11"/>
  <c r="E295" i="11" a="1"/>
  <c r="E295" i="11"/>
  <c r="E309" i="11" a="1"/>
  <c r="E309" i="11"/>
  <c r="E323" i="11" a="1"/>
  <c r="E323" i="11"/>
  <c r="E337" i="11" a="1"/>
  <c r="E337" i="11"/>
  <c r="E351" i="11" a="1"/>
  <c r="E351" i="11"/>
  <c r="E365" i="11" a="1"/>
  <c r="E365" i="11"/>
  <c r="E379" i="11" a="1"/>
  <c r="E379" i="11"/>
  <c r="E393" i="11" a="1"/>
  <c r="E393" i="11"/>
  <c r="E13" i="11" a="1"/>
  <c r="E13" i="11"/>
  <c r="E132" i="11" a="1"/>
  <c r="E132" i="11"/>
  <c r="E184" i="11" a="1"/>
  <c r="E184" i="11"/>
  <c r="E192" i="11" a="1"/>
  <c r="E192" i="11"/>
  <c r="E196" i="11" a="1"/>
  <c r="E196" i="11"/>
  <c r="E200" i="11" a="1"/>
  <c r="E200" i="11"/>
  <c r="E242" i="11" a="1"/>
  <c r="E242" i="11"/>
  <c r="E256" i="11" a="1"/>
  <c r="E256" i="11"/>
  <c r="E270" i="11" a="1"/>
  <c r="E270" i="11"/>
  <c r="E284" i="11" a="1"/>
  <c r="E284" i="11"/>
  <c r="E298" i="11" a="1"/>
  <c r="E298" i="11"/>
  <c r="E312" i="11" a="1"/>
  <c r="E312" i="11"/>
  <c r="E326" i="11" a="1"/>
  <c r="E326" i="11"/>
  <c r="E340" i="11" a="1"/>
  <c r="E340" i="11"/>
  <c r="E354" i="11" a="1"/>
  <c r="E354" i="11"/>
  <c r="E368" i="11" a="1"/>
  <c r="E368" i="11"/>
  <c r="E382" i="11" a="1"/>
  <c r="E382" i="11"/>
  <c r="E396" i="11" a="1"/>
  <c r="E396" i="11"/>
  <c r="E72" i="11" a="1"/>
  <c r="E72" i="11"/>
  <c r="E146" i="11" a="1"/>
  <c r="E146" i="11"/>
  <c r="E167" i="11" a="1"/>
  <c r="E167" i="11"/>
  <c r="E172" i="11" a="1"/>
  <c r="E172" i="11"/>
  <c r="E216" i="11" a="1"/>
  <c r="E216" i="11"/>
  <c r="E245" i="11" a="1"/>
  <c r="E245" i="11"/>
  <c r="E259" i="11" a="1"/>
  <c r="E259" i="11"/>
  <c r="E273" i="11" a="1"/>
  <c r="E273" i="11"/>
  <c r="E287" i="11" a="1"/>
  <c r="E287" i="11"/>
  <c r="E301" i="11" a="1"/>
  <c r="E301" i="11"/>
  <c r="E315" i="11" a="1"/>
  <c r="E315" i="11"/>
  <c r="E329" i="11" a="1"/>
  <c r="E329" i="11"/>
  <c r="E343" i="11" a="1"/>
  <c r="E343" i="11"/>
  <c r="E357" i="11" a="1"/>
  <c r="E357" i="11"/>
  <c r="E371" i="11" a="1"/>
  <c r="E371" i="11"/>
  <c r="E385" i="11" a="1"/>
  <c r="E385" i="11"/>
  <c r="E55" i="11" a="1"/>
  <c r="E55" i="11"/>
  <c r="E212" i="11" a="1"/>
  <c r="E212" i="11"/>
  <c r="E220" i="11" a="1"/>
  <c r="E220" i="11"/>
  <c r="E224" i="11" a="1"/>
  <c r="E224" i="11"/>
  <c r="E228" i="11" a="1"/>
  <c r="E228" i="11"/>
  <c r="E248" i="11" a="1"/>
  <c r="E248" i="11"/>
  <c r="E262" i="11" a="1"/>
  <c r="E262" i="11"/>
  <c r="E276" i="11" a="1"/>
  <c r="E276" i="11"/>
  <c r="E290" i="11" a="1"/>
  <c r="E290" i="11"/>
  <c r="E304" i="11" a="1"/>
  <c r="E304" i="11"/>
  <c r="E318" i="11" a="1"/>
  <c r="E318" i="11"/>
  <c r="E332" i="11" a="1"/>
  <c r="E332" i="11"/>
  <c r="E16" i="11" a="1"/>
  <c r="E16" i="11"/>
  <c r="E160" i="11" a="1"/>
  <c r="E160" i="11"/>
  <c r="E177" i="11" a="1"/>
  <c r="E177" i="11"/>
  <c r="E181" i="11" a="1"/>
  <c r="E181" i="11"/>
  <c r="E189" i="11" a="1"/>
  <c r="E189" i="11"/>
  <c r="E197" i="11" a="1"/>
  <c r="E197" i="11"/>
  <c r="E251" i="11" a="1"/>
  <c r="E251" i="11"/>
  <c r="E265" i="11" a="1"/>
  <c r="E265" i="11"/>
  <c r="E279" i="11" a="1"/>
  <c r="E279" i="11"/>
  <c r="E293" i="11" a="1"/>
  <c r="E293" i="11"/>
  <c r="E307" i="11" a="1"/>
  <c r="E307" i="11"/>
  <c r="E321" i="11" a="1"/>
  <c r="E321" i="11"/>
  <c r="E58" i="11" a="1"/>
  <c r="E58" i="11"/>
  <c r="E111" i="11" a="1"/>
  <c r="E111" i="11"/>
  <c r="E173" i="11" a="1"/>
  <c r="E173" i="11"/>
  <c r="E201" i="11" a="1"/>
  <c r="E201" i="11"/>
  <c r="E209" i="11" a="1"/>
  <c r="E209" i="11"/>
  <c r="E217" i="11" a="1"/>
  <c r="E217" i="11"/>
  <c r="E225" i="11" a="1"/>
  <c r="E225" i="11"/>
  <c r="E243" i="11" a="1"/>
  <c r="E243" i="11"/>
  <c r="E257" i="11" a="1"/>
  <c r="E257" i="11"/>
  <c r="E271" i="11" a="1"/>
  <c r="E271" i="11"/>
  <c r="E285" i="11" a="1"/>
  <c r="E285" i="11"/>
  <c r="E299" i="11" a="1"/>
  <c r="E299" i="11"/>
  <c r="E313" i="11" a="1"/>
  <c r="E313" i="11"/>
  <c r="E327" i="11" a="1"/>
  <c r="E327" i="11"/>
  <c r="E341" i="11" a="1"/>
  <c r="E341" i="11"/>
  <c r="E355" i="11" a="1"/>
  <c r="E355" i="11"/>
  <c r="E369" i="11" a="1"/>
  <c r="E369" i="11"/>
  <c r="E383" i="11" a="1"/>
  <c r="E383" i="11"/>
  <c r="E41" i="11" a="1"/>
  <c r="E41" i="11"/>
  <c r="E125" i="11" a="1"/>
  <c r="E125" i="11"/>
  <c r="E178" i="11" a="1"/>
  <c r="E178" i="11"/>
  <c r="E182" i="11" a="1"/>
  <c r="E182" i="11"/>
  <c r="E186" i="11" a="1"/>
  <c r="E186" i="11"/>
  <c r="E233" i="11" a="1"/>
  <c r="E233" i="11"/>
  <c r="E246" i="11" a="1"/>
  <c r="E246" i="11"/>
  <c r="E260" i="11" a="1"/>
  <c r="E260" i="11"/>
  <c r="E274" i="11" a="1"/>
  <c r="E274" i="11"/>
  <c r="E288" i="11" a="1"/>
  <c r="E288" i="11"/>
  <c r="E302" i="11" a="1"/>
  <c r="E302" i="11"/>
  <c r="E316" i="11" a="1"/>
  <c r="E316" i="11"/>
  <c r="E240" i="11" a="1"/>
  <c r="E240" i="11"/>
  <c r="E330" i="11" a="1"/>
  <c r="E330" i="11"/>
  <c r="E375" i="11" a="1"/>
  <c r="E375" i="11"/>
  <c r="E394" i="11" a="1"/>
  <c r="E394" i="11"/>
  <c r="E400" i="11" a="1"/>
  <c r="E400" i="11"/>
  <c r="E414" i="11" a="1"/>
  <c r="E414" i="11"/>
  <c r="E428" i="11" a="1"/>
  <c r="E428" i="11"/>
  <c r="E442" i="11" a="1"/>
  <c r="E442" i="11"/>
  <c r="E456" i="11" a="1"/>
  <c r="E456" i="11"/>
  <c r="E470" i="11" a="1"/>
  <c r="E470" i="11"/>
  <c r="E484" i="11" a="1"/>
  <c r="E484" i="11"/>
  <c r="E498" i="11" a="1"/>
  <c r="E498" i="11"/>
  <c r="E512" i="11" a="1"/>
  <c r="E512" i="11"/>
  <c r="E139" i="11" a="1"/>
  <c r="E139" i="11"/>
  <c r="E319" i="11" a="1"/>
  <c r="E319" i="11"/>
  <c r="E348" i="11" a="1"/>
  <c r="E348" i="11"/>
  <c r="E358" i="11" a="1"/>
  <c r="E358" i="11"/>
  <c r="E362" i="11" a="1"/>
  <c r="E362" i="11"/>
  <c r="E387" i="11" a="1"/>
  <c r="E387" i="11"/>
  <c r="E391" i="11" a="1"/>
  <c r="E391" i="11"/>
  <c r="E403" i="11" a="1"/>
  <c r="E403" i="11"/>
  <c r="E417" i="11" a="1"/>
  <c r="E417" i="11"/>
  <c r="E431" i="11" a="1"/>
  <c r="E431" i="11"/>
  <c r="E445" i="11" a="1"/>
  <c r="E445" i="11"/>
  <c r="E459" i="11" a="1"/>
  <c r="E459" i="11"/>
  <c r="E473" i="11" a="1"/>
  <c r="E473" i="11"/>
  <c r="E487" i="11" a="1"/>
  <c r="E487" i="11"/>
  <c r="E501" i="11" a="1"/>
  <c r="E501" i="11"/>
  <c r="E515" i="11" a="1"/>
  <c r="E515" i="11"/>
  <c r="E529" i="11" a="1"/>
  <c r="E529" i="11"/>
  <c r="E543" i="11" a="1"/>
  <c r="E543" i="11"/>
  <c r="E282" i="11" a="1"/>
  <c r="E282" i="11"/>
  <c r="E338" i="11" a="1"/>
  <c r="E338" i="11"/>
  <c r="E367" i="11" a="1"/>
  <c r="E367" i="11"/>
  <c r="E406" i="11" a="1"/>
  <c r="E406" i="11"/>
  <c r="E420" i="11" a="1"/>
  <c r="E420" i="11"/>
  <c r="E434" i="11" a="1"/>
  <c r="E434" i="11"/>
  <c r="E448" i="11" a="1"/>
  <c r="E448" i="11"/>
  <c r="E462" i="11" a="1"/>
  <c r="E462" i="11"/>
  <c r="E476" i="11" a="1"/>
  <c r="E476" i="11"/>
  <c r="E490" i="11" a="1"/>
  <c r="E490" i="11"/>
  <c r="E504" i="11" a="1"/>
  <c r="E504" i="11"/>
  <c r="E518" i="11" a="1"/>
  <c r="E518" i="11"/>
  <c r="E532" i="11" a="1"/>
  <c r="E532" i="11"/>
  <c r="E546" i="11" a="1"/>
  <c r="E546" i="11"/>
  <c r="E560" i="11" a="1"/>
  <c r="E560" i="11"/>
  <c r="E263" i="11" a="1"/>
  <c r="E263" i="11"/>
  <c r="E344" i="11" a="1"/>
  <c r="E344" i="11"/>
  <c r="E349" i="11" a="1"/>
  <c r="E349" i="11"/>
  <c r="E363" i="11" a="1"/>
  <c r="E363" i="11"/>
  <c r="E380" i="11" a="1"/>
  <c r="E380" i="11"/>
  <c r="E388" i="11" a="1"/>
  <c r="E388" i="11"/>
  <c r="E409" i="11" a="1"/>
  <c r="E409" i="11"/>
  <c r="E423" i="11" a="1"/>
  <c r="E423" i="11"/>
  <c r="E437" i="11" a="1"/>
  <c r="E437" i="11"/>
  <c r="E451" i="11" a="1"/>
  <c r="E451" i="11"/>
  <c r="E465" i="11" a="1"/>
  <c r="E465" i="11"/>
  <c r="E479" i="11" a="1"/>
  <c r="E479" i="11"/>
  <c r="E493" i="11" a="1"/>
  <c r="E493" i="11"/>
  <c r="E507" i="11" a="1"/>
  <c r="E507" i="11"/>
  <c r="E521" i="11" a="1"/>
  <c r="E521" i="11"/>
  <c r="E535" i="11" a="1"/>
  <c r="E535" i="11"/>
  <c r="E549" i="11" a="1"/>
  <c r="E549" i="11"/>
  <c r="E563" i="11" a="1"/>
  <c r="E563" i="11"/>
  <c r="E324" i="11" a="1"/>
  <c r="E324" i="11"/>
  <c r="E372" i="11" a="1"/>
  <c r="E372" i="11"/>
  <c r="E376" i="11" a="1"/>
  <c r="E376" i="11"/>
  <c r="E384" i="11" a="1"/>
  <c r="E384" i="11"/>
  <c r="E398" i="11" a="1"/>
  <c r="E398" i="11"/>
  <c r="E412" i="11" a="1"/>
  <c r="E412" i="11"/>
  <c r="E426" i="11" a="1"/>
  <c r="E426" i="11"/>
  <c r="E440" i="11" a="1"/>
  <c r="E440" i="11"/>
  <c r="E454" i="11" a="1"/>
  <c r="E454" i="11"/>
  <c r="E468" i="11" a="1"/>
  <c r="E468" i="11"/>
  <c r="E482" i="11" a="1"/>
  <c r="E482" i="11"/>
  <c r="E496" i="11" a="1"/>
  <c r="E496" i="11"/>
  <c r="E510" i="11" a="1"/>
  <c r="E510" i="11"/>
  <c r="E524" i="11" a="1"/>
  <c r="E524" i="11"/>
  <c r="E305" i="11" a="1"/>
  <c r="E305" i="11"/>
  <c r="E359" i="11" a="1"/>
  <c r="E359" i="11"/>
  <c r="E395" i="11" a="1"/>
  <c r="E395" i="11"/>
  <c r="E401" i="11" a="1"/>
  <c r="E401" i="11"/>
  <c r="E415" i="11" a="1"/>
  <c r="E415" i="11"/>
  <c r="E429" i="11" a="1"/>
  <c r="E429" i="11"/>
  <c r="E443" i="11" a="1"/>
  <c r="E443" i="11"/>
  <c r="E457" i="11" a="1"/>
  <c r="E457" i="11"/>
  <c r="E471" i="11" a="1"/>
  <c r="E471" i="11"/>
  <c r="E485" i="11" a="1"/>
  <c r="E485" i="11"/>
  <c r="E499" i="11" a="1"/>
  <c r="E499" i="11"/>
  <c r="E168" i="11" a="1"/>
  <c r="E168" i="11"/>
  <c r="E268" i="11" a="1"/>
  <c r="E268" i="11"/>
  <c r="E333" i="11" a="1"/>
  <c r="E333" i="11"/>
  <c r="E345" i="11" a="1"/>
  <c r="E345" i="11"/>
  <c r="E377" i="11" a="1"/>
  <c r="E377" i="11"/>
  <c r="E392" i="11" a="1"/>
  <c r="E392" i="11"/>
  <c r="E404" i="11" a="1"/>
  <c r="E404" i="11"/>
  <c r="E418" i="11" a="1"/>
  <c r="E418" i="11"/>
  <c r="E432" i="11" a="1"/>
  <c r="E432" i="11"/>
  <c r="E446" i="11" a="1"/>
  <c r="E446" i="11"/>
  <c r="E460" i="11" a="1"/>
  <c r="E460" i="11"/>
  <c r="E474" i="11" a="1"/>
  <c r="E474" i="11"/>
  <c r="E488" i="11" a="1"/>
  <c r="E488" i="11"/>
  <c r="E502" i="11" a="1"/>
  <c r="E502" i="11"/>
  <c r="E516" i="11" a="1"/>
  <c r="E516" i="11"/>
  <c r="E530" i="11" a="1"/>
  <c r="E530" i="11"/>
  <c r="E249" i="11" a="1"/>
  <c r="E249" i="11"/>
  <c r="E334" i="11" a="1"/>
  <c r="E334" i="11"/>
  <c r="E360" i="11" a="1"/>
  <c r="E360" i="11"/>
  <c r="E381" i="11" a="1"/>
  <c r="E381" i="11"/>
  <c r="E389" i="11" a="1"/>
  <c r="E389" i="11"/>
  <c r="E407" i="11" a="1"/>
  <c r="E407" i="11"/>
  <c r="E421" i="11" a="1"/>
  <c r="E421" i="11"/>
  <c r="E435" i="11" a="1"/>
  <c r="E435" i="11"/>
  <c r="E449" i="11" a="1"/>
  <c r="E449" i="11"/>
  <c r="E463" i="11" a="1"/>
  <c r="E463" i="11"/>
  <c r="E477" i="11" a="1"/>
  <c r="E477" i="11"/>
  <c r="E491" i="11" a="1"/>
  <c r="E491" i="11"/>
  <c r="E505" i="11" a="1"/>
  <c r="E505" i="11"/>
  <c r="E519" i="11" a="1"/>
  <c r="E519" i="11"/>
  <c r="E533" i="11" a="1"/>
  <c r="E533" i="11"/>
  <c r="E547" i="11" a="1"/>
  <c r="E547" i="11"/>
  <c r="E97" i="11" a="1"/>
  <c r="E97" i="11"/>
  <c r="E310" i="11" a="1"/>
  <c r="E310" i="11"/>
  <c r="E335" i="11" a="1"/>
  <c r="E335" i="11"/>
  <c r="E346" i="11" a="1"/>
  <c r="E346" i="11"/>
  <c r="E373" i="11" a="1"/>
  <c r="E373" i="11"/>
  <c r="E410" i="11" a="1"/>
  <c r="E410" i="11"/>
  <c r="E424" i="11" a="1"/>
  <c r="E424" i="11"/>
  <c r="E361" i="11" a="1"/>
  <c r="E361" i="11"/>
  <c r="E405" i="11" a="1"/>
  <c r="E405" i="11"/>
  <c r="E419" i="11" a="1"/>
  <c r="E419" i="11"/>
  <c r="E433" i="11" a="1"/>
  <c r="E433" i="11"/>
  <c r="E447" i="11" a="1"/>
  <c r="E447" i="11"/>
  <c r="E461" i="11" a="1"/>
  <c r="E461" i="11"/>
  <c r="E475" i="11" a="1"/>
  <c r="E475" i="11"/>
  <c r="E489" i="11" a="1"/>
  <c r="E489" i="11"/>
  <c r="E503" i="11" a="1"/>
  <c r="E503" i="11"/>
  <c r="E517" i="11" a="1"/>
  <c r="E517" i="11"/>
  <c r="E296" i="11" a="1"/>
  <c r="E296" i="11"/>
  <c r="E342" i="11" a="1"/>
  <c r="E342" i="11"/>
  <c r="E347" i="11" a="1"/>
  <c r="E347" i="11"/>
  <c r="E352" i="11" a="1"/>
  <c r="E352" i="11"/>
  <c r="E370" i="11" a="1"/>
  <c r="E370" i="11"/>
  <c r="E390" i="11" a="1"/>
  <c r="E390" i="11"/>
  <c r="E408" i="11" a="1"/>
  <c r="E408" i="11"/>
  <c r="E422" i="11" a="1"/>
  <c r="E422" i="11"/>
  <c r="E436" i="11" a="1"/>
  <c r="E436" i="11"/>
  <c r="E450" i="11" a="1"/>
  <c r="E450" i="11"/>
  <c r="E464" i="11" a="1"/>
  <c r="E464" i="11"/>
  <c r="E478" i="11" a="1"/>
  <c r="E478" i="11"/>
  <c r="E492" i="11" a="1"/>
  <c r="E492" i="11"/>
  <c r="E506" i="11" a="1"/>
  <c r="E506" i="11"/>
  <c r="E520" i="11" a="1"/>
  <c r="E520" i="11"/>
  <c r="E534" i="11" a="1"/>
  <c r="E534" i="11"/>
  <c r="E548" i="11" a="1"/>
  <c r="E548" i="11"/>
  <c r="E237" i="11" a="1"/>
  <c r="E237" i="11"/>
  <c r="E277" i="11" a="1"/>
  <c r="E277" i="11"/>
  <c r="E366" i="11" a="1"/>
  <c r="E366" i="11"/>
  <c r="E397" i="11" a="1"/>
  <c r="E397" i="11"/>
  <c r="E411" i="11" a="1"/>
  <c r="E411" i="11"/>
  <c r="E425" i="11" a="1"/>
  <c r="E425" i="11"/>
  <c r="E439" i="11" a="1"/>
  <c r="E439" i="11"/>
  <c r="E453" i="11" a="1"/>
  <c r="E453" i="11"/>
  <c r="E467" i="11" a="1"/>
  <c r="E467" i="11"/>
  <c r="E481" i="11" a="1"/>
  <c r="E481" i="11"/>
  <c r="E495" i="11" a="1"/>
  <c r="E495" i="11"/>
  <c r="E509" i="11" a="1"/>
  <c r="E509" i="11"/>
  <c r="E523" i="11" a="1"/>
  <c r="E523" i="11"/>
  <c r="E537" i="11" a="1"/>
  <c r="E537" i="11"/>
  <c r="E551" i="11" a="1"/>
  <c r="E551" i="11"/>
  <c r="E565" i="11" a="1"/>
  <c r="E565" i="11"/>
  <c r="E469" i="11" a="1"/>
  <c r="E469" i="11"/>
  <c r="E538" i="11" a="1"/>
  <c r="E538" i="11"/>
  <c r="E562" i="11" a="1"/>
  <c r="E562" i="11"/>
  <c r="E580" i="11" a="1"/>
  <c r="E580" i="11"/>
  <c r="E594" i="11" a="1"/>
  <c r="E594" i="11"/>
  <c r="E608" i="11" a="1"/>
  <c r="E608" i="11"/>
  <c r="E622" i="11" a="1"/>
  <c r="E622" i="11"/>
  <c r="E636" i="11" a="1"/>
  <c r="E636" i="11"/>
  <c r="E650" i="11" a="1"/>
  <c r="E650" i="11"/>
  <c r="E664" i="11" a="1"/>
  <c r="E664" i="11"/>
  <c r="E678" i="11" a="1"/>
  <c r="E678" i="11"/>
  <c r="E692" i="11" a="1"/>
  <c r="E692" i="11"/>
  <c r="E706" i="11" a="1"/>
  <c r="E706" i="11"/>
  <c r="E720" i="11" a="1"/>
  <c r="E720" i="11"/>
  <c r="E734" i="11" a="1"/>
  <c r="E734" i="11"/>
  <c r="E430" i="11" a="1"/>
  <c r="E430" i="11"/>
  <c r="E483" i="11" a="1"/>
  <c r="E483" i="11"/>
  <c r="E508" i="11" a="1"/>
  <c r="E508" i="11"/>
  <c r="E552" i="11" a="1"/>
  <c r="E552" i="11"/>
  <c r="E566" i="11" a="1"/>
  <c r="E566" i="11"/>
  <c r="E569" i="11" a="1"/>
  <c r="E569" i="11"/>
  <c r="E583" i="11" a="1"/>
  <c r="E583" i="11"/>
  <c r="E597" i="11" a="1"/>
  <c r="E597" i="11"/>
  <c r="E611" i="11" a="1"/>
  <c r="E611" i="11"/>
  <c r="E625" i="11" a="1"/>
  <c r="E625" i="11"/>
  <c r="E639" i="11" a="1"/>
  <c r="E639" i="11"/>
  <c r="E653" i="11" a="1"/>
  <c r="E653" i="11"/>
  <c r="E667" i="11" a="1"/>
  <c r="E667" i="11"/>
  <c r="E681" i="11" a="1"/>
  <c r="E681" i="11"/>
  <c r="E695" i="11" a="1"/>
  <c r="E695" i="11"/>
  <c r="E709" i="11" a="1"/>
  <c r="E709" i="11"/>
  <c r="E723" i="11" a="1"/>
  <c r="E723" i="11"/>
  <c r="E174" i="11" a="1"/>
  <c r="E174" i="11"/>
  <c r="E413" i="11" a="1"/>
  <c r="E413" i="11"/>
  <c r="E444" i="11" a="1"/>
  <c r="E444" i="11"/>
  <c r="E497" i="11" a="1"/>
  <c r="E497" i="11"/>
  <c r="E526" i="11" a="1"/>
  <c r="E526" i="11"/>
  <c r="E559" i="11" a="1"/>
  <c r="E559" i="11"/>
  <c r="E572" i="11" a="1"/>
  <c r="E572" i="11"/>
  <c r="E586" i="11" a="1"/>
  <c r="E586" i="11"/>
  <c r="E600" i="11" a="1"/>
  <c r="E600" i="11"/>
  <c r="E614" i="11" a="1"/>
  <c r="E614" i="11"/>
  <c r="E628" i="11" a="1"/>
  <c r="E628" i="11"/>
  <c r="E642" i="11" a="1"/>
  <c r="E642" i="11"/>
  <c r="E656" i="11" a="1"/>
  <c r="E656" i="11"/>
  <c r="E670" i="11" a="1"/>
  <c r="E670" i="11"/>
  <c r="E684" i="11" a="1"/>
  <c r="E684" i="11"/>
  <c r="E698" i="11" a="1"/>
  <c r="E698" i="11"/>
  <c r="E712" i="11" a="1"/>
  <c r="E712" i="11"/>
  <c r="E726" i="11" a="1"/>
  <c r="E726" i="11"/>
  <c r="E740" i="11" a="1"/>
  <c r="E740" i="11"/>
  <c r="E458" i="11" a="1"/>
  <c r="E458" i="11"/>
  <c r="E527" i="11" a="1"/>
  <c r="E527" i="11"/>
  <c r="E575" i="11" a="1"/>
  <c r="E575" i="11"/>
  <c r="E589" i="11" a="1"/>
  <c r="E589" i="11"/>
  <c r="E603" i="11" a="1"/>
  <c r="E603" i="11"/>
  <c r="E617" i="11" a="1"/>
  <c r="E617" i="11"/>
  <c r="E631" i="11" a="1"/>
  <c r="E631" i="11"/>
  <c r="E645" i="11" a="1"/>
  <c r="E645" i="11"/>
  <c r="E659" i="11" a="1"/>
  <c r="E659" i="11"/>
  <c r="E673" i="11" a="1"/>
  <c r="E673" i="11"/>
  <c r="E687" i="11" a="1"/>
  <c r="E687" i="11"/>
  <c r="E701" i="11" a="1"/>
  <c r="E701" i="11"/>
  <c r="E715" i="11" a="1"/>
  <c r="E715" i="11"/>
  <c r="E729" i="11" a="1"/>
  <c r="E729" i="11"/>
  <c r="E743" i="11" a="1"/>
  <c r="E743" i="11"/>
  <c r="E757" i="11" a="1"/>
  <c r="E757" i="11"/>
  <c r="E771" i="11" a="1"/>
  <c r="E771" i="11"/>
  <c r="E202" i="11" a="1"/>
  <c r="E202" i="11"/>
  <c r="E472" i="11" a="1"/>
  <c r="E472" i="11"/>
  <c r="E539" i="11" a="1"/>
  <c r="E539" i="11"/>
  <c r="E544" i="11" a="1"/>
  <c r="E544" i="11"/>
  <c r="E556" i="11" a="1"/>
  <c r="E556" i="11"/>
  <c r="E578" i="11" a="1"/>
  <c r="E578" i="11"/>
  <c r="E592" i="11" a="1"/>
  <c r="E592" i="11"/>
  <c r="E606" i="11" a="1"/>
  <c r="E606" i="11"/>
  <c r="E620" i="11" a="1"/>
  <c r="E620" i="11"/>
  <c r="E634" i="11" a="1"/>
  <c r="E634" i="11"/>
  <c r="E648" i="11" a="1"/>
  <c r="E648" i="11"/>
  <c r="E662" i="11" a="1"/>
  <c r="E662" i="11"/>
  <c r="E676" i="11" a="1"/>
  <c r="E676" i="11"/>
  <c r="E690" i="11" a="1"/>
  <c r="E690" i="11"/>
  <c r="E704" i="11" a="1"/>
  <c r="E704" i="11"/>
  <c r="E718" i="11" a="1"/>
  <c r="E718" i="11"/>
  <c r="E732" i="11" a="1"/>
  <c r="E732" i="11"/>
  <c r="E746" i="11" a="1"/>
  <c r="E746" i="11"/>
  <c r="E205" i="11" a="1"/>
  <c r="E205" i="11"/>
  <c r="E416" i="11" a="1"/>
  <c r="E416" i="11"/>
  <c r="E486" i="11" a="1"/>
  <c r="E486" i="11"/>
  <c r="E581" i="11" a="1"/>
  <c r="E581" i="11"/>
  <c r="E595" i="11" a="1"/>
  <c r="E595" i="11"/>
  <c r="E609" i="11" a="1"/>
  <c r="E609" i="11"/>
  <c r="E623" i="11" a="1"/>
  <c r="E623" i="11"/>
  <c r="E637" i="11" a="1"/>
  <c r="E637" i="11"/>
  <c r="E651" i="11" a="1"/>
  <c r="E651" i="11"/>
  <c r="E665" i="11" a="1"/>
  <c r="E665" i="11"/>
  <c r="E229" i="11" a="1"/>
  <c r="E229" i="11"/>
  <c r="E399" i="11" a="1"/>
  <c r="E399" i="11"/>
  <c r="E500" i="11" a="1"/>
  <c r="E500" i="11"/>
  <c r="E511" i="11" a="1"/>
  <c r="E511" i="11"/>
  <c r="E528" i="11" a="1"/>
  <c r="E528" i="11"/>
  <c r="E553" i="11" a="1"/>
  <c r="E553" i="11"/>
  <c r="E567" i="11" a="1"/>
  <c r="E567" i="11"/>
  <c r="E570" i="11" a="1"/>
  <c r="E570" i="11"/>
  <c r="E584" i="11" a="1"/>
  <c r="E584" i="11"/>
  <c r="E598" i="11" a="1"/>
  <c r="E598" i="11"/>
  <c r="E612" i="11" a="1"/>
  <c r="E612" i="11"/>
  <c r="E626" i="11" a="1"/>
  <c r="E626" i="11"/>
  <c r="E640" i="11" a="1"/>
  <c r="E640" i="11"/>
  <c r="E654" i="11" a="1"/>
  <c r="E654" i="11"/>
  <c r="E668" i="11" a="1"/>
  <c r="E668" i="11"/>
  <c r="E682" i="11" a="1"/>
  <c r="E682" i="11"/>
  <c r="E696" i="11" a="1"/>
  <c r="E696" i="11"/>
  <c r="E710" i="11" a="1"/>
  <c r="E710" i="11"/>
  <c r="E724" i="11" a="1"/>
  <c r="E724" i="11"/>
  <c r="E738" i="11" a="1"/>
  <c r="E738" i="11"/>
  <c r="E752" i="11" a="1"/>
  <c r="E752" i="11"/>
  <c r="E766" i="11" a="1"/>
  <c r="E766" i="11"/>
  <c r="E374" i="11" a="1"/>
  <c r="E374" i="11"/>
  <c r="E522" i="11" a="1"/>
  <c r="E522" i="11"/>
  <c r="E540" i="11" a="1"/>
  <c r="E540" i="11"/>
  <c r="E564" i="11" a="1"/>
  <c r="E564" i="11"/>
  <c r="E573" i="11" a="1"/>
  <c r="E573" i="11"/>
  <c r="E587" i="11" a="1"/>
  <c r="E587" i="11"/>
  <c r="E601" i="11" a="1"/>
  <c r="E601" i="11"/>
  <c r="E615" i="11" a="1"/>
  <c r="E615" i="11"/>
  <c r="E629" i="11" a="1"/>
  <c r="E629" i="11"/>
  <c r="E643" i="11" a="1"/>
  <c r="E643" i="11"/>
  <c r="E657" i="11" a="1"/>
  <c r="E657" i="11"/>
  <c r="E671" i="11" a="1"/>
  <c r="E671" i="11"/>
  <c r="E685" i="11" a="1"/>
  <c r="E685" i="11"/>
  <c r="E699" i="11" a="1"/>
  <c r="E699" i="11"/>
  <c r="E713" i="11" a="1"/>
  <c r="E713" i="11"/>
  <c r="E438" i="11" a="1"/>
  <c r="E438" i="11"/>
  <c r="E513" i="11" a="1"/>
  <c r="E513" i="11"/>
  <c r="E545" i="11" a="1"/>
  <c r="E545" i="11"/>
  <c r="E550" i="11" a="1"/>
  <c r="E550" i="11"/>
  <c r="E557" i="11" a="1"/>
  <c r="E557" i="11"/>
  <c r="E576" i="11" a="1"/>
  <c r="E576" i="11"/>
  <c r="E590" i="11" a="1"/>
  <c r="E590" i="11"/>
  <c r="E604" i="11" a="1"/>
  <c r="E604" i="11"/>
  <c r="E618" i="11" a="1"/>
  <c r="E618" i="11"/>
  <c r="E632" i="11" a="1"/>
  <c r="E632" i="11"/>
  <c r="E646" i="11" a="1"/>
  <c r="E646" i="11"/>
  <c r="E660" i="11" a="1"/>
  <c r="E660" i="11"/>
  <c r="E674" i="11" a="1"/>
  <c r="E674" i="11"/>
  <c r="E254" i="11" a="1"/>
  <c r="E254" i="11"/>
  <c r="E378" i="11" a="1"/>
  <c r="E378" i="11"/>
  <c r="E402" i="11" a="1"/>
  <c r="E402" i="11"/>
  <c r="E452" i="11" a="1"/>
  <c r="E452" i="11"/>
  <c r="E536" i="11" a="1"/>
  <c r="E536" i="11"/>
  <c r="E541" i="11" a="1"/>
  <c r="E541" i="11"/>
  <c r="E561" i="11" a="1"/>
  <c r="E561" i="11"/>
  <c r="E579" i="11" a="1"/>
  <c r="E579" i="11"/>
  <c r="E593" i="11" a="1"/>
  <c r="E593" i="11"/>
  <c r="E607" i="11" a="1"/>
  <c r="E607" i="11"/>
  <c r="E621" i="11" a="1"/>
  <c r="E621" i="11"/>
  <c r="E635" i="11" a="1"/>
  <c r="E635" i="11"/>
  <c r="E649" i="11" a="1"/>
  <c r="E649" i="11"/>
  <c r="E663" i="11" a="1"/>
  <c r="E663" i="11"/>
  <c r="E677" i="11" a="1"/>
  <c r="E677" i="11"/>
  <c r="E480" i="11" a="1"/>
  <c r="E480" i="11"/>
  <c r="E514" i="11" a="1"/>
  <c r="E514" i="11"/>
  <c r="E558" i="11" a="1"/>
  <c r="E558" i="11"/>
  <c r="E571" i="11" a="1"/>
  <c r="E571" i="11"/>
  <c r="E585" i="11" a="1"/>
  <c r="E585" i="11"/>
  <c r="E599" i="11" a="1"/>
  <c r="E599" i="11"/>
  <c r="E613" i="11" a="1"/>
  <c r="E613" i="11"/>
  <c r="E627" i="11" a="1"/>
  <c r="E627" i="11"/>
  <c r="E641" i="11" a="1"/>
  <c r="E641" i="11"/>
  <c r="E655" i="11" a="1"/>
  <c r="E655" i="11"/>
  <c r="E669" i="11" a="1"/>
  <c r="E669" i="11"/>
  <c r="E683" i="11" a="1"/>
  <c r="E683" i="11"/>
  <c r="E697" i="11" a="1"/>
  <c r="E697" i="11"/>
  <c r="E711" i="11" a="1"/>
  <c r="E711" i="11"/>
  <c r="E291" i="11" a="1"/>
  <c r="E291" i="11"/>
  <c r="E356" i="11" a="1"/>
  <c r="E356" i="11"/>
  <c r="E427" i="11" a="1"/>
  <c r="E427" i="11"/>
  <c r="E441" i="11" a="1"/>
  <c r="E441" i="11"/>
  <c r="E494" i="11" a="1"/>
  <c r="E494" i="11"/>
  <c r="E574" i="11" a="1"/>
  <c r="E574" i="11"/>
  <c r="E588" i="11" a="1"/>
  <c r="E588" i="11"/>
  <c r="E602" i="11" a="1"/>
  <c r="E602" i="11"/>
  <c r="E616" i="11" a="1"/>
  <c r="E616" i="11"/>
  <c r="E630" i="11" a="1"/>
  <c r="E630" i="11"/>
  <c r="E644" i="11" a="1"/>
  <c r="E644" i="11"/>
  <c r="E658" i="11" a="1"/>
  <c r="E658" i="11"/>
  <c r="E672" i="11" a="1"/>
  <c r="E672" i="11"/>
  <c r="E686" i="11" a="1"/>
  <c r="E686" i="11"/>
  <c r="E700" i="11" a="1"/>
  <c r="E700" i="11"/>
  <c r="E714" i="11" a="1"/>
  <c r="E714" i="11"/>
  <c r="E855" i="11" a="1"/>
  <c r="E855" i="11"/>
  <c r="E841" i="11" a="1"/>
  <c r="E841" i="11"/>
  <c r="E827" i="11" a="1"/>
  <c r="E827" i="11"/>
  <c r="E813" i="11" a="1"/>
  <c r="E813" i="11"/>
  <c r="E770" i="11" a="1"/>
  <c r="E770" i="11"/>
  <c r="E455" i="11" a="1"/>
  <c r="E455" i="11"/>
  <c r="E866" i="11" a="1"/>
  <c r="E866" i="11"/>
  <c r="E852" i="11" a="1"/>
  <c r="E852" i="11"/>
  <c r="E838" i="11" a="1"/>
  <c r="E838" i="11"/>
  <c r="E824" i="11" a="1"/>
  <c r="E824" i="11"/>
  <c r="E810" i="11" a="1"/>
  <c r="E810" i="11"/>
  <c r="E796" i="11" a="1"/>
  <c r="E796" i="11"/>
  <c r="E782" i="11" a="1"/>
  <c r="E782" i="11"/>
  <c r="E773" i="11" a="1"/>
  <c r="E773" i="11"/>
  <c r="E760" i="11" a="1"/>
  <c r="E760" i="11"/>
  <c r="E750" i="11" a="1"/>
  <c r="E750" i="11"/>
  <c r="E742" i="11" a="1"/>
  <c r="E742" i="11"/>
  <c r="E703" i="11" a="1"/>
  <c r="E703" i="11"/>
  <c r="E582" i="11" a="1"/>
  <c r="E582" i="11"/>
  <c r="E869" i="11" a="1"/>
  <c r="E869" i="11"/>
  <c r="E799" i="11" a="1"/>
  <c r="E799" i="11"/>
  <c r="E688" i="11" a="1"/>
  <c r="E688" i="11"/>
  <c r="B2" i="11" a="1"/>
  <c r="B2" i="11"/>
  <c r="E863" i="11" a="1"/>
  <c r="E863" i="11"/>
  <c r="E849" i="11" a="1"/>
  <c r="E849" i="11"/>
  <c r="E835" i="11" a="1"/>
  <c r="E835" i="11"/>
  <c r="E821" i="11" a="1"/>
  <c r="E821" i="11"/>
  <c r="E807" i="11" a="1"/>
  <c r="E807" i="11"/>
  <c r="E793" i="11" a="1"/>
  <c r="E793" i="11"/>
  <c r="E779" i="11" a="1"/>
  <c r="E779" i="11"/>
  <c r="E776" i="11" a="1"/>
  <c r="E776" i="11"/>
  <c r="E763" i="11" a="1"/>
  <c r="E763" i="11"/>
  <c r="E675" i="11" a="1"/>
  <c r="E675" i="11"/>
  <c r="E619" i="11" a="1"/>
  <c r="E619" i="11"/>
  <c r="E525" i="11" a="1"/>
  <c r="E525" i="11"/>
  <c r="E846" i="11" a="1"/>
  <c r="E846" i="11"/>
  <c r="E737" i="11" a="1"/>
  <c r="E737" i="11"/>
  <c r="E733" i="11" a="1"/>
  <c r="E733" i="11"/>
  <c r="E728" i="11" a="1"/>
  <c r="E728" i="11"/>
  <c r="E717" i="11" a="1"/>
  <c r="E717" i="11"/>
  <c r="E694" i="11" a="1"/>
  <c r="E694" i="11"/>
  <c r="D2" i="11" a="1"/>
  <c r="D2" i="11"/>
  <c r="E857" i="11" a="1"/>
  <c r="E857" i="11"/>
  <c r="E843" i="11" a="1"/>
  <c r="E843" i="11"/>
  <c r="E829" i="11" a="1"/>
  <c r="E829" i="11"/>
  <c r="E815" i="11" a="1"/>
  <c r="E815" i="11"/>
  <c r="E801" i="11" a="1"/>
  <c r="E801" i="11"/>
  <c r="E787" i="11" a="1"/>
  <c r="E787" i="11"/>
  <c r="E756" i="11" a="1"/>
  <c r="E756" i="11"/>
  <c r="E745" i="11" a="1"/>
  <c r="E745" i="11"/>
  <c r="E702" i="11" a="1"/>
  <c r="E702" i="11"/>
  <c r="E577" i="11" a="1"/>
  <c r="E577" i="11"/>
  <c r="E555" i="11" a="1"/>
  <c r="E555" i="11"/>
  <c r="E860" i="11" a="1"/>
  <c r="E860" i="11"/>
  <c r="E818" i="11" a="1"/>
  <c r="E818" i="11"/>
  <c r="E790" i="11" a="1"/>
  <c r="E790" i="11"/>
  <c r="E753" i="11" a="1"/>
  <c r="E753" i="11"/>
  <c r="E2" i="11" a="1"/>
  <c r="E2" i="11"/>
  <c r="E868" i="11" a="1"/>
  <c r="E868" i="11"/>
  <c r="E854" i="11" a="1"/>
  <c r="E854" i="11"/>
  <c r="E840" i="11" a="1"/>
  <c r="E840" i="11"/>
  <c r="E826" i="11" a="1"/>
  <c r="E826" i="11"/>
  <c r="E812" i="11" a="1"/>
  <c r="E812" i="11"/>
  <c r="E798" i="11" a="1"/>
  <c r="E798" i="11"/>
  <c r="E784" i="11" a="1"/>
  <c r="E784" i="11"/>
  <c r="E769" i="11" a="1"/>
  <c r="E769" i="11"/>
  <c r="E759" i="11" a="1"/>
  <c r="E759" i="11"/>
  <c r="E749" i="11" a="1"/>
  <c r="E749" i="11"/>
  <c r="E722" i="11" a="1"/>
  <c r="E722" i="11"/>
  <c r="E596" i="11" a="1"/>
  <c r="E596" i="11"/>
  <c r="E554" i="11" a="1"/>
  <c r="E554" i="11"/>
  <c r="E832" i="11" a="1"/>
  <c r="E832" i="11"/>
  <c r="E804" i="11" a="1"/>
  <c r="E804" i="11"/>
  <c r="E638" i="11" a="1"/>
  <c r="E638" i="11"/>
  <c r="E865" i="11" a="1"/>
  <c r="E865" i="11"/>
  <c r="E851" i="11" a="1"/>
  <c r="E851" i="11"/>
  <c r="E837" i="11" a="1"/>
  <c r="E837" i="11"/>
  <c r="E823" i="11" a="1"/>
  <c r="E823" i="11"/>
  <c r="E809" i="11" a="1"/>
  <c r="E809" i="11"/>
  <c r="E795" i="11" a="1"/>
  <c r="E795" i="11"/>
  <c r="E781" i="11" a="1"/>
  <c r="E781" i="11"/>
  <c r="E772" i="11" a="1"/>
  <c r="E772" i="11"/>
  <c r="E762" i="11" a="1"/>
  <c r="E762" i="11"/>
  <c r="E741" i="11" a="1"/>
  <c r="E741" i="11"/>
  <c r="E708" i="11" a="1"/>
  <c r="E708" i="11"/>
  <c r="E693" i="11" a="1"/>
  <c r="E693" i="11"/>
  <c r="E633" i="11" a="1"/>
  <c r="E633" i="11"/>
  <c r="E862" i="11" a="1"/>
  <c r="E862" i="11"/>
  <c r="E848" i="11" a="1"/>
  <c r="E848" i="11"/>
  <c r="E834" i="11" a="1"/>
  <c r="E834" i="11"/>
  <c r="E820" i="11" a="1"/>
  <c r="E820" i="11"/>
  <c r="E806" i="11" a="1"/>
  <c r="E806" i="11"/>
  <c r="E792" i="11" a="1"/>
  <c r="E792" i="11"/>
  <c r="E778" i="11" a="1"/>
  <c r="E778" i="11"/>
  <c r="E775" i="11" a="1"/>
  <c r="E775" i="11"/>
  <c r="E765" i="11" a="1"/>
  <c r="E765" i="11"/>
  <c r="E748" i="11" a="1"/>
  <c r="E748" i="11"/>
  <c r="E736" i="11" a="1"/>
  <c r="E736" i="11"/>
  <c r="E716" i="11" a="1"/>
  <c r="E716" i="11"/>
  <c r="E652" i="11" a="1"/>
  <c r="E652" i="11"/>
  <c r="E859" i="11" a="1"/>
  <c r="E859" i="11"/>
  <c r="E845" i="11" a="1"/>
  <c r="E845" i="11"/>
  <c r="E831" i="11" a="1"/>
  <c r="E831" i="11"/>
  <c r="E817" i="11" a="1"/>
  <c r="E817" i="11"/>
  <c r="E803" i="11" a="1"/>
  <c r="E803" i="11"/>
  <c r="E789" i="11" a="1"/>
  <c r="E789" i="11"/>
  <c r="E768" i="11" a="1"/>
  <c r="E768" i="11"/>
  <c r="E731" i="11" a="1"/>
  <c r="E731" i="11"/>
  <c r="E727" i="11" a="1"/>
  <c r="E727" i="11"/>
  <c r="E591" i="11" a="1"/>
  <c r="E591" i="11"/>
  <c r="E386" i="11" a="1"/>
  <c r="E386" i="11"/>
  <c r="E856" i="11" a="1"/>
  <c r="E856" i="11"/>
  <c r="E842" i="11" a="1"/>
  <c r="E842" i="11"/>
  <c r="E828" i="11" a="1"/>
  <c r="E828" i="11"/>
  <c r="E814" i="11" a="1"/>
  <c r="E814" i="11"/>
  <c r="E800" i="11" a="1"/>
  <c r="E800" i="11"/>
  <c r="E786" i="11" a="1"/>
  <c r="E786" i="11"/>
  <c r="E755" i="11" a="1"/>
  <c r="E755" i="11"/>
  <c r="E744" i="11" a="1"/>
  <c r="E744" i="11"/>
  <c r="E721" i="11" a="1"/>
  <c r="E721" i="11"/>
  <c r="E707" i="11" a="1"/>
  <c r="E707" i="11"/>
  <c r="E691" i="11" a="1"/>
  <c r="E691" i="11"/>
  <c r="E610" i="11" a="1"/>
  <c r="E610" i="11"/>
  <c r="E867" i="11" a="1"/>
  <c r="E867" i="11"/>
  <c r="E853" i="11" a="1"/>
  <c r="E853" i="11"/>
  <c r="E839" i="11" a="1"/>
  <c r="E839" i="11"/>
  <c r="E825" i="11" a="1"/>
  <c r="E825" i="11"/>
  <c r="E811" i="11" a="1"/>
  <c r="E811" i="11"/>
  <c r="E797" i="11" a="1"/>
  <c r="E797" i="11"/>
  <c r="E783" i="11" a="1"/>
  <c r="E783" i="11"/>
  <c r="E758" i="11" a="1"/>
  <c r="E758" i="11"/>
  <c r="E751" i="11" a="1"/>
  <c r="E751" i="11"/>
  <c r="E647" i="11" a="1"/>
  <c r="E647" i="11"/>
  <c r="E542" i="11" a="1"/>
  <c r="E542" i="11"/>
  <c r="E864" i="11" a="1"/>
  <c r="E864" i="11"/>
  <c r="E850" i="11" a="1"/>
  <c r="E850" i="11"/>
  <c r="E836" i="11" a="1"/>
  <c r="E836" i="11"/>
  <c r="E822" i="11" a="1"/>
  <c r="E822" i="11"/>
  <c r="E808" i="11" a="1"/>
  <c r="E808" i="11"/>
  <c r="E794" i="11" a="1"/>
  <c r="E794" i="11"/>
  <c r="E780" i="11" a="1"/>
  <c r="E780" i="11"/>
  <c r="E777" i="11" a="1"/>
  <c r="E777" i="11"/>
  <c r="E774" i="11" a="1"/>
  <c r="E774" i="11"/>
  <c r="E761" i="11" a="1"/>
  <c r="E761" i="11"/>
  <c r="E739" i="11" a="1"/>
  <c r="E739" i="11"/>
  <c r="E735" i="11" a="1"/>
  <c r="E735" i="11"/>
  <c r="E725" i="11" a="1"/>
  <c r="E725" i="11"/>
  <c r="E680" i="11" a="1"/>
  <c r="E680" i="11"/>
  <c r="E666" i="11" a="1"/>
  <c r="E666" i="11"/>
  <c r="E568" i="11" a="1"/>
  <c r="E568" i="11"/>
  <c r="E861" i="11" a="1"/>
  <c r="E861" i="11"/>
  <c r="E847" i="11" a="1"/>
  <c r="E847" i="11"/>
  <c r="E833" i="11" a="1"/>
  <c r="E833" i="11"/>
  <c r="E819" i="11" a="1"/>
  <c r="E819" i="11"/>
  <c r="E805" i="11" a="1"/>
  <c r="E805" i="11"/>
  <c r="E791" i="11" a="1"/>
  <c r="E791" i="11"/>
  <c r="E764" i="11" a="1"/>
  <c r="E764" i="11"/>
  <c r="E754" i="11" a="1"/>
  <c r="E754" i="11"/>
  <c r="E747" i="11" a="1"/>
  <c r="E747" i="11"/>
  <c r="E705" i="11" a="1"/>
  <c r="E705" i="11"/>
  <c r="E689" i="11" a="1"/>
  <c r="E689" i="11"/>
  <c r="E679" i="11" a="1"/>
  <c r="E679" i="11"/>
  <c r="E605" i="11" a="1"/>
  <c r="E605" i="11"/>
  <c r="E858" i="11" a="1"/>
  <c r="E858" i="11"/>
  <c r="E844" i="11" a="1"/>
  <c r="E844" i="11"/>
  <c r="E830" i="11" a="1"/>
  <c r="E830" i="11"/>
  <c r="E816" i="11" a="1"/>
  <c r="E816" i="11"/>
  <c r="E802" i="11" a="1"/>
  <c r="E802" i="11"/>
  <c r="E788" i="11" a="1"/>
  <c r="E788" i="11"/>
  <c r="E767" i="11" a="1"/>
  <c r="E767" i="11"/>
  <c r="E730" i="11" a="1"/>
  <c r="E730" i="11"/>
  <c r="E719" i="11" a="1"/>
  <c r="E719" i="11"/>
  <c r="E624" i="11" a="1"/>
  <c r="E624" i="11"/>
  <c r="E466" i="11" a="1"/>
  <c r="E466" i="11"/>
  <c r="M15" i="5"/>
  <c r="M25" i="5"/>
  <c r="M19" i="5"/>
  <c r="M24" i="5"/>
  <c r="M23" i="5"/>
  <c r="M22" i="5"/>
  <c r="M21" i="5"/>
  <c r="M18" i="5"/>
  <c r="M17" i="5"/>
  <c r="M20" i="5"/>
  <c r="M1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DANTON DA ROSA ABREU</author>
  </authors>
  <commentList>
    <comment ref="K1" authorId="0" shapeId="0" xr:uid="{F0D28E38-3BB6-4D00-BDF7-350B4267A89D}">
      <text>
        <r>
          <rPr>
            <b/>
            <sz val="9"/>
            <color indexed="81"/>
            <rFont val="Segoe UI"/>
            <family val="2"/>
          </rPr>
          <t>0 - Doing
1 -  Done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<sst xmlns="http://schemas.openxmlformats.org/spreadsheetml/2006/main" count="8077" uniqueCount="1110">
  <si>
    <t>ID</t>
  </si>
  <si>
    <t>Title</t>
  </si>
  <si>
    <t>Priority</t>
  </si>
  <si>
    <t>Board Column</t>
  </si>
  <si>
    <t>State</t>
  </si>
  <si>
    <t>Changed Date</t>
  </si>
  <si>
    <t>Changed By</t>
  </si>
  <si>
    <t>Assigned To</t>
  </si>
  <si>
    <t>Created Date</t>
  </si>
  <si>
    <t>Created By</t>
  </si>
  <si>
    <t>Work Item Type</t>
  </si>
  <si>
    <t>State Code</t>
  </si>
  <si>
    <t>Closed Date</t>
  </si>
  <si>
    <t>Tags</t>
  </si>
  <si>
    <t>Accepted Date</t>
  </si>
  <si>
    <t>Accepted By</t>
  </si>
  <si>
    <t>Activated By</t>
  </si>
  <si>
    <t>Activated Date</t>
  </si>
  <si>
    <t>Activity</t>
  </si>
  <si>
    <t>Application Launch Instructions</t>
  </si>
  <si>
    <t>Application Start Information</t>
  </si>
  <si>
    <t>Application Type</t>
  </si>
  <si>
    <t>Area Path</t>
  </si>
  <si>
    <t>Associated Context</t>
  </si>
  <si>
    <t>Associated Context Code</t>
  </si>
  <si>
    <t>Associated Context Owner</t>
  </si>
  <si>
    <t>Associated Context Type</t>
  </si>
  <si>
    <t>Authorized As</t>
  </si>
  <si>
    <t>Authorized Date</t>
  </si>
  <si>
    <t>Automated Test Id</t>
  </si>
  <si>
    <t>Automated Test Name</t>
  </si>
  <si>
    <t>Automated Test Storage</t>
  </si>
  <si>
    <t>Automated Test Type</t>
  </si>
  <si>
    <t>Automation status</t>
  </si>
  <si>
    <t>Board Column Done</t>
  </si>
  <si>
    <t>Board Lane</t>
  </si>
  <si>
    <t>Closed By</t>
  </si>
  <si>
    <t>Closed Status</t>
  </si>
  <si>
    <t>Closed Status Code</t>
  </si>
  <si>
    <t>Closing Comment</t>
  </si>
  <si>
    <t>Comment Count</t>
  </si>
  <si>
    <t>Completed Work</t>
  </si>
  <si>
    <t>Description</t>
  </si>
  <si>
    <t>Effort</t>
  </si>
  <si>
    <t>Finish Date</t>
  </si>
  <si>
    <t>History</t>
  </si>
  <si>
    <t>Integration Build</t>
  </si>
  <si>
    <t>Issue</t>
  </si>
  <si>
    <t>Iteration Path</t>
  </si>
  <si>
    <t>Local Data Source</t>
  </si>
  <si>
    <t>Node Name</t>
  </si>
  <si>
    <t>Parameters</t>
  </si>
  <si>
    <t>Parent</t>
  </si>
  <si>
    <t>Query Text</t>
  </si>
  <si>
    <t>Rating</t>
  </si>
  <si>
    <t>Reason</t>
  </si>
  <si>
    <t>value doesn't matter</t>
  </si>
  <si>
    <t>readOnlyTestRange_@</t>
  </si>
  <si>
    <t>readOnlyTestRange_0</t>
  </si>
  <si>
    <t>readOnlyTestRange_dd/MM/yyyy HH:mm</t>
  </si>
  <si>
    <t>readOnlyTestRange_General</t>
  </si>
  <si>
    <t>\</t>
  </si>
  <si>
    <t>\JBSTerminais Faturamento - DTC TEAM</t>
  </si>
  <si>
    <t>\JBSTerminais Suporte TEAM</t>
  </si>
  <si>
    <t>\JBSTerminais Suporte TEAM\JBSTerminais Faturamento-IMP TEAM</t>
  </si>
  <si>
    <t>\Recintos</t>
  </si>
  <si>
    <t>\Suporte</t>
  </si>
  <si>
    <t>\Faturamento Importação</t>
  </si>
  <si>
    <t>\Faturamento Importação\Old</t>
  </si>
  <si>
    <t>\Faturamento Importação\Sprint 1</t>
  </si>
  <si>
    <t>\Faturamento Importação\Sprint 2</t>
  </si>
  <si>
    <t>\Faturamento Importação\Sprint 3</t>
  </si>
  <si>
    <t>\Faturamento Importação\Sprint 4</t>
  </si>
  <si>
    <t>\old</t>
  </si>
  <si>
    <t>\Sprint 01</t>
  </si>
  <si>
    <t>\Sprint 01 - 19 a 23 maio</t>
  </si>
  <si>
    <t>\Sprint 02 - 26-05-2025 até 06-05-2025</t>
  </si>
  <si>
    <t>\Sprint 1</t>
  </si>
  <si>
    <t>\Sprint 2</t>
  </si>
  <si>
    <t>\Sprint 3</t>
  </si>
  <si>
    <t>Done</t>
  </si>
  <si>
    <t>DANTON DA ROSA ABREU</t>
  </si>
  <si>
    <t>Matheus Henrique Falcão Santos</t>
  </si>
  <si>
    <t>Thalis Meurer</t>
  </si>
  <si>
    <t>Vinícius Francisco de Sousa Pereira</t>
  </si>
  <si>
    <t>JBSTerminais Suporte TEAM</t>
  </si>
  <si>
    <t>Completed</t>
  </si>
  <si>
    <t>Marcos Araujo da Silva Filho</t>
  </si>
  <si>
    <t>RONALDO DE MORAES ORLING</t>
  </si>
  <si>
    <t>Vinícius Birsenek de Moraes</t>
  </si>
  <si>
    <t>Pedro Marini Nave</t>
  </si>
  <si>
    <t>Rafael Marcello</t>
  </si>
  <si>
    <t>Renato da Costa Castelo</t>
  </si>
  <si>
    <t>Ajuste EDI COPARN PIL</t>
  </si>
  <si>
    <t>Weslley Gonçalves Silva</t>
  </si>
  <si>
    <t>EDI</t>
  </si>
  <si>
    <t xml:space="preserve">Testar o processamento do EDI no N4 para validar se o mapeamento esta funcionando de acordo._x000D_
_x000D_
 _x000D_
[Image]_x000D_
 _x000D_
</t>
  </si>
  <si>
    <t>Tainã Milano Ramos</t>
  </si>
  <si>
    <t>Validar CODECO/COARRI/COPARN MSK</t>
  </si>
  <si>
    <t>Lucas Barrionuevo Ribeiro</t>
  </si>
  <si>
    <t xml:space="preserve">[Image]_x000D_
 _x000D_
</t>
  </si>
  <si>
    <t>[EDI]  Bookings zerados</t>
  </si>
  <si>
    <t>EDI; Impeditivo</t>
  </si>
  <si>
    <t xml:space="preserve">[Image]_x000D_
 _x000D_
Amandus, Bom dia!_x000D_
_x000D_
 _x000D_
Consegue identificar o porquê os bookings estão vindo zerado?_x000D_
 _x000D_
_x000D_
 _x000D_
[Image]_x000D_
 _x000D_
_x000D_
 _x000D_
_x000D_
 _x000D_
</t>
  </si>
  <si>
    <t>HLC - COPARN - Ajuste EDI adição de campo POD-2</t>
  </si>
  <si>
    <t>CONTROLE; EDI</t>
  </si>
  <si>
    <t xml:space="preserve">[Image]_x000D_
 _x000D_
_x000D_
 _x000D_
_x000D_
 _x000D_
[Image]_x000D_
 _x000D_
_x000D_
 _x000D_
</t>
  </si>
  <si>
    <t>DESCARGAS INCORRETAS - COARRI MSC</t>
  </si>
  <si>
    <t xml:space="preserve">Solicitação do Amandus: _x000D_
[Image]_x000D_
 _x000D_
</t>
  </si>
  <si>
    <t>MSK - VERMAS</t>
  </si>
  <si>
    <t>CONTROLE; EDI; MELHORIA; OPERAÇÃO; PRIORIZADO; SOLICITANTE: DANTON</t>
  </si>
  <si>
    <t xml:space="preserve">[Image]_x000D_
 _x000D_
[Image]_x000D_
 _x000D_
</t>
  </si>
  <si>
    <t>Alterar BL House para Master - COARRI MSC</t>
  </si>
  <si>
    <t>Adição BL Master via Siscarga</t>
  </si>
  <si>
    <t>COMEX; EDI; N4</t>
  </si>
  <si>
    <t xml:space="preserve">Necessário adicionar o BL Master dentro do N4 para cumprir com necessidade de envio de informações via EDI, Issue 320: Alterar BL House para Master - COARRI MSC  _x000D_
_x000D_
 _x000D_
</t>
  </si>
  <si>
    <t>[EDI] BOOKING CANCELADO - CANCELANDO AGENDAMENTOS</t>
  </si>
  <si>
    <t xml:space="preserve">[Image]_x000D_
 _x000D_
_x000D_
 _x000D_
[Image]_x000D_
 _x000D_
_x000D_
 _x000D_
[Image]_x000D_
 _x000D_
</t>
  </si>
  <si>
    <t>[EDI] COPARN HLC - Cancelamento por unidade</t>
  </si>
  <si>
    <t xml:space="preserve">[Image]_x000D_
 _x000D_
_x000D_
 _x000D_
Após essa mensagem da Fabiane, foi feito uma reunião para alinhamento dos pontos. O resultado da reunião foi compilado no email abaixo: _x000D_
[Image]_x000D_
 _x000D_
_x000D_
 _x000D_
</t>
  </si>
  <si>
    <t>Ajuste mapeamento CODECO - PIL</t>
  </si>
  <si>
    <t>Ajuste mapeamento COARRI - PIL</t>
  </si>
  <si>
    <t>PRIORIZADO</t>
  </si>
  <si>
    <t>MSC COPARN - erro mapeamento itemBooking</t>
  </si>
  <si>
    <t>[EDI] COPARN CMA</t>
  </si>
  <si>
    <t>[EDI] COPARN MSC Bloqueio alteracao POL</t>
  </si>
  <si>
    <t>CONTROLE</t>
  </si>
  <si>
    <t>Yve José Zulatto</t>
  </si>
  <si>
    <t xml:space="preserve">HLC COPARN  | Desconsiderar Numero Container </t>
  </si>
  <si>
    <t>CONTROLE; EDI; PRIORIZADO</t>
  </si>
  <si>
    <t xml:space="preserve">Remoção do numero do container no segmento EQD+CN+XXXXXXX _x000D_
</t>
  </si>
  <si>
    <t>[EDI] MSC COPARN - Desconsiderar Numero Container</t>
  </si>
  <si>
    <t>EDI; PRIORIZADO</t>
  </si>
  <si>
    <t>HLC COPARN - Atualização de quantidade itens</t>
  </si>
  <si>
    <t>HLC COPARN - Mapeamento Destino LOC-8</t>
  </si>
  <si>
    <t>[Image]</t>
  </si>
  <si>
    <t>NOR COPARN - Mapeamento Destino LOC+8</t>
  </si>
  <si>
    <t>MSC CODECO - Análise UNIT_OUT_GATE Ausente</t>
  </si>
  <si>
    <t>CMA/MER COPARN - Setup</t>
  </si>
  <si>
    <t>CONTROLE; EDI; OPERAÇÃO; PRIORIZADO; SOLICITANTE: DANTON</t>
  </si>
  <si>
    <t>MSK CODECO - Limitar max 9 segmentos DAM</t>
  </si>
  <si>
    <t>[EDI] ALI COARRI - SETUP</t>
  </si>
  <si>
    <t>ALI CODECO - SETUP</t>
  </si>
  <si>
    <t>MSK COPARN - Travamento fila de EDIs (Criar WorkerService)</t>
  </si>
  <si>
    <t>CONTROLE; EDI; ERRO; N4; PRIORIZADO; SOLICITANTE: DANTON</t>
  </si>
  <si>
    <t xml:space="preserve">Recriar configurações de EDI da MSK em HML._x000D_
Copiar arquivos de produção da MSK para SFTP da JBS e testar se o problema de travamento do 10º arquivo EDI ocorre. _x000D_
</t>
  </si>
  <si>
    <t>MSC COPARN - Mapeamento Destino LOC+8</t>
  </si>
  <si>
    <t>Marlom Andrei Maliszewski</t>
  </si>
  <si>
    <t xml:space="preserve">PIL COARRI - Erro de carregamento BookingNbr na Transaction </t>
  </si>
  <si>
    <t>CONTROLE; EDI; ERRO; N4; OPERAÇÃO; SOLICITANTE: DANTON</t>
  </si>
  <si>
    <t>MSK COARRI - Limitar max 9 segmentos DAM</t>
  </si>
  <si>
    <t>HLC COPARN -  Não considerar atualização de QTD quando BGM+5</t>
  </si>
  <si>
    <t>PIL COPARN</t>
  </si>
  <si>
    <t>ONE - COPARN</t>
  </si>
  <si>
    <t>ONE - COARRI</t>
  </si>
  <si>
    <t>ONE - CODECO</t>
  </si>
  <si>
    <t>LOGIN por ECPF não está funcionando no portal</t>
  </si>
  <si>
    <t>GABRIELI CAETANO FORTUNATO</t>
  </si>
  <si>
    <t xml:space="preserve">MSC - ERRO IMDG CLASS </t>
  </si>
  <si>
    <t xml:space="preserve">Analizar ERRO Unknown IMDG Code [1472] for hzrdiImdgClass_x000D_
[Image]_x000D_
 _x000D_
</t>
  </si>
  <si>
    <t>MRC COPARN - SETUP</t>
  </si>
  <si>
    <t>MRC CODECO - SETUP</t>
  </si>
  <si>
    <t>MRC COARRI - SETUP</t>
  </si>
  <si>
    <t xml:space="preserve">HLC COPARN - Ajuste regra ISO code </t>
  </si>
  <si>
    <t>HLC COPARN - GID, FTG, DGS</t>
  </si>
  <si>
    <t>Verificar TARA/VGM BAPLIE</t>
  </si>
  <si>
    <t>EVE CODECO - TESTE</t>
  </si>
  <si>
    <t>EVE COARRI - TESTE</t>
  </si>
  <si>
    <t>COS COPARN SETUP</t>
  </si>
  <si>
    <t>CONTROLE; EDI; SOLICITANTE: AMANDUS</t>
  </si>
  <si>
    <t xml:space="preserve">Procedimento realizado em HML. _x000D_
_x000D_
 *  Criado EDI MAILBOX apontando para homologação. _x000D_
_x000D_
 *  [Image]_x000D_
 _x000D_
 _x000D_
_x000D_
 *  Criado EDI SESSION com mapeamento padrão. _x000D_
_x000D_
 *  [Image]_x000D_
 _x000D_
 *  [Image]_x000D_
 _x000D_
 _x000D_
_x000D_
 *  Criado FILTERS para COSCO. _x000D_
_x000D_
 *  [Image]_x000D_
 _x000D_
 _x000D_
_x000D_
 *  Criado MESSAGE TYPE para o COPARN. _x000D_
_x000D_
 *  [Image]_x000D_
 _x000D_
 _x000D_
_x000D_
 _x000D_
_x000D_
 _x000D_
_x000D_
 _x000D_
</t>
  </si>
  <si>
    <t>ONE CODECO - BGM revisar mapeamento</t>
  </si>
  <si>
    <t>CONTROLE; EDI; SOLICITANTE: DANTON</t>
  </si>
  <si>
    <t xml:space="preserve">[Image] _x000D_
</t>
  </si>
  <si>
    <t xml:space="preserve">_x000D_
 _x000D_
 _x000D_
_x000D_
 _x000D_
[Image]_x000D_
 _x000D_
_x000D_
 _x000D_
Hi @AMANDUS MULLER MUNIZ,_x000D_
_x000D_
 _x000D_
Found some issue, can you pls update and resend? Thanks. _x000D_
_x000D_
 _x000D_
For CODECO,_x000D_
 _x000D_
_x000D_
 _x000D_
our side only support D95B, please update it here: UNH+121+CODECO:D:00A:UN:ITG13'_x000D_
 _x000D_
pls include the activity code as following in BGM+++9'_x000D_
 _x000D_
_x000D_
 _x000D_
For COARRI, _x000D_
_x000D_
 _x000D_
It cannot be read as "DISCHARGE"  for below format, because EQD_050.8249 is '7' ('5' is also not allowed here for DISCHARGE)_x000D_
 _x000D_
_x000D_
 _x000D_
_x000D_
 _x000D_
UNH+49+COARRI:D:95B:UN:ITG10' _x000D_
BGM+98++9' _x000D_
TDT+20+441N+1++MAE:172:166+++9527051:146::MAERSK LAMANAI' _x000D_
LOC+11+MAMED:139:6' _x000D_
LOC+9+BRITJ:139:6' _x000D_
DTM+132:202410100900:203' _x000D_
DTM+133:202410120900:203' _x000D_
NAD+CA+MAE:160:166' _x000D_
NAD+CF+MAE:160:166' _x000D_
EQD+CN+MRKU2279069+45G1:102:5++7+5' _x000D_
RFF+ABT' _x000D_
TMD+3' _x000D_
DTM+203:202410111556:203' _x000D_
LOC+147+0220382:139:5' _x000D_
LOC+11+MAMED:139:6' _x000D_
LOC+9+BRPNG:139:6' _x000D_
MEA+AAE+VGM+KGM:14500' _x000D_
MEA+AAE+G+KGM:14500' _x000D_
TDT+30+441N+1+13+MAE:172:166:Maersk+++9527051:146::MAERSK LAMANAI' _x000D_
CNT+16:1' _x000D_
UNT+000021+49'_x000D_
 _x000D_
_x000D_
 _x000D_
_x000D_
 _x000D_
Best Regards_x000D_
 _x000D_
_x000D_
 _x000D_
Tina_x000D_
 _x000D_
</t>
  </si>
  <si>
    <t xml:space="preserve">+ @DANTON DA ROSA ABREU to check _x000D_
  _x000D_
Best Regards _x000D_
  _x000D_
Amandus Muller Muniz _x000D_
TI | JBS Terminias _x000D_
  _x000D_
De: eBIS_Support &lt;eBIS_Support@maersk.com&gt; _x000D_
Enviada em: quinta-feira, 20 de fevereiro de 2025 07:15 _x000D_
Para: AMANDUS MULLER MUNIZ &lt;amandus.muniz@jbsterminais.com.br&gt; _x000D_
Cc: Maersk Service-now &lt;Maersk@service-now.com&gt;; +XD IP Solution Operations &lt;XDEDINAPSPSTeam@Maersk.com&gt;; Cesar Augusto Rengifo &lt;cesar.augusto.rengifo@maersk.com&gt; _x000D_
Assunto: INC7707109 | JBST | COARRI failed message _x000D_
  _x000D_
Hi, _x000D_
  _x000D_
Please be informed that the below COARRI file failed to process on our system due to DAM segment exceeding the number of repetitions. Refer attached file for reference. _x000D_
  _x000D_
Please limit it to 9 repetitions then resend the message again. _x000D_
  _x000D_
TrackID = MSK000000721161372 _x000D_
DocumentName = 1739565300137MSK COARRI.edi _x000D_
  _x000D_
Error found: _x000D_
_x000D_
 _x000D_
  _x000D_
Best Regards, _x000D_
Darbie Hernandez _x000D_
Technology Operations _x000D_
BPS – BEP (Integration) _x000D_
Maersk Global Service Centres (Phils.) Ltd. _x000D_
  _x000D_
  _x000D_
_x000D_
 _x000D_
_x000D_
 _x000D_
The information contained in this message is privileged and intended only for the recipients named. If the reader is not a representative of the intended recipient, any review, dissemination or copying of this message or the information it contains is prohibited. If you have received this message in error, please immediately notify the sender, and delete the original message and attachments. _x000D_
_x000D_
 _x000D_
Maersk will as part of our communication and interaction with you collect and process your personal data. You can read more about Maersk’s collection and processing of your personal data and your rights as a data subject in our privacy policy  _x000D_
_x000D_
 _x000D_
Please consider the environment before printing this email. _x000D_
Classification: Internal _x000D_
_x000D_
 _x000D_
</t>
  </si>
  <si>
    <t xml:space="preserve">Prezada Fabiane Domingues,_x000D_
Escrevo para solicitar esclarecimentos sobre o uso do segmento BGM+5 em arquivos EDI COPARN._x000D_
 _x000D_
Conforme discutido anteriormente, compreendemos que a inclusão e o cancelamento de unidades em um booking são processados individualmente. Assim, a adição de uma nova unidade ao booking resulta no envio de um ou mais segmentos BGM+1, e o cancelamento de uma unidade é sinalizado pela alteração do segmento BGM para BGM+9._x000D_
 _x000D_
Entendemos que, anteriormente, atualizações em bookings eram realizadas através do envio de segmentos BGM+9 (cancelamento) e BGM+1 (inclusão) no mesmo arquivo EDI, para o mesmo booking. No entanto, implementamos uma customização para tratar essas atualizações diretamente com o segmento BGM+5._x000D_
 _x000D_
Gostaríamos de obter um entendimento mais claro sobre as situações específicas em que o BGM+5 deve ser utilizado, considerando que esse tipo de atualização não era previamente enviado nos arquivos COPARN._x000D_
 _x000D_
Anexamos um exemplo de arquivo EDI recebido ontem, contendo um segmento BGM+5, para referência:_x000D_
 _x000D_
UNA:+.? '_x000D_
 _x000D_
UNB+UNOA:2+HAPAG-LLOYD+SEARAP002+250314:1837+9790'_x000D_
 _x000D_
UNH+6591328068+COPARN:D:95B:UN:ITG12'_x000D_
 _x000D_
BGM+11:::GATE IN ORDER+38765789-004+5'_x000D_
 _x000D_
RFF+ACW:38765789-004'_x000D_
 _x000D_
TDT+20+013N+1++NCO:172:166+++PU8270:103::NC BRAVO'_x000D_
 _x000D_
RFF+VON:527385'_x000D_
 _x000D_
LOC+9+BRITJ:139:6++:BER:ZZZ:SEARA OPERACOES PORTUARIAS LTDA'_x000D_
 _x000D_
DTM+133:202503200001:203'_x000D_
 _x000D_
DTM+132:202504020600:203'_x000D_
 _x000D_
NAD+CF+NCO:160:166'_x000D_
 _x000D_
GID+1'_x000D_
 _x000D_
FTX+AAA+++BEBIDASALCOLICAS'_x000D_
 _x000D_
SGP+CXDU1134854'_x000D_
 _x000D_
EQD+CN+CXDU1134854+45G1:102:5+2+2+5'_x000D_
 _x000D_
RFF+BN:38765789'_x000D_
 _x000D_
EQN+1'_x000D_
 _x000D_
TMD+3++2'_x000D_
 _x000D_
LOC+9+BRITJ:139:6+:BER:ZZZ:SEARA OPERACOES PORTUARIAS LTDA'_x000D_
 _x000D_
LOC+11+BRMAO:139:6+:TER:ZZZ:SUPER TERMINAIS COMERCIO'_x000D_
 _x000D_
LOC+8+BRMAO:139:6'_x000D_
 _x000D_
LOC+7+BRMAO:139:6'_x000D_
 _x000D_
MEA+AAE+G+KGM:31900'_x000D_
 _x000D_
SEL+HLG3922313+CA'_x000D_
 _x000D_
TDT+10++9+13'_x000D_
 _x000D_
LOC+5+BRITJ:139:6'_x000D_
 _x000D_
DTM+133:202503141529:203'_x000D_
 _x000D_
DTM+132:202503200001:203'_x000D_
 _x000D_
NAD+CF+HLC:160:166'_x000D_
 _x000D_
NAD+CU+4497627:ZZZ++NORCOAST LOGISTICA S.A.++SAO PAULO++04571-130'_x000D_
 _x000D_
CNT+16:1'_x000D_
 _x000D_
UNT+30+6591328068'_x000D_
 _x000D_
UNZ+1+9790'_x000D_
 _x000D_
Com base nesse exemplo, poderia esclarecer em quais situações específicas o BGM+5 é apropriado? Por exemplo, esse segmento pode ser utilizado para alterações em informações da unidade, como mudanças no terminal de destino?_x000D_
 _x000D_
Atenciosamente,_x000D_
 _x000D_
</t>
  </si>
  <si>
    <t>Doing</t>
  </si>
  <si>
    <t>To Do</t>
  </si>
  <si>
    <t>Select User...</t>
  </si>
  <si>
    <t>AMANDUS MULLER MUNIZ &lt;CORPORATE\AMANDUSMUNIZ-SOY&gt;</t>
  </si>
  <si>
    <t>AMANDUS MULLER MUNIZ &lt;CORPORATE\AMMUNIZ1&gt;</t>
  </si>
  <si>
    <t>GIOVANNI AXEL PACHECO</t>
  </si>
  <si>
    <t>Joacir Bavaresco &lt;CORPORATE\jbavares&gt;</t>
  </si>
  <si>
    <t>Joacir Bavaresco &lt;CORPORATE\joacirbavaresco-mtz&gt;</t>
  </si>
  <si>
    <t>Added to backlog</t>
  </si>
  <si>
    <t>Cut</t>
  </si>
  <si>
    <t>Deferred</t>
  </si>
  <si>
    <t>Moved to backlog</t>
  </si>
  <si>
    <t>Obsolete</t>
  </si>
  <si>
    <t>Reactivated</t>
  </si>
  <si>
    <t>Started</t>
  </si>
  <si>
    <t>Deployment</t>
  </si>
  <si>
    <t>Design</t>
  </si>
  <si>
    <t>Development</t>
  </si>
  <si>
    <t>Documentation</t>
  </si>
  <si>
    <t>Requirements</t>
  </si>
  <si>
    <t>Testing</t>
  </si>
  <si>
    <t>Epic</t>
  </si>
  <si>
    <t>Task</t>
  </si>
  <si>
    <t>Release</t>
  </si>
  <si>
    <t>MSK_ALI COPARN - Porto/Porta</t>
  </si>
  <si>
    <t>all_VSTS_c467189f_b1e3_4921_ac93_2d6d7014346c_System.AreaPath</t>
  </si>
  <si>
    <t>all_VSTS_c467189f_b1e3_4921_ac93_2d6d7014346c_System.IterationPath</t>
  </si>
  <si>
    <t>all_VSTS_c467189f_b1e3_4921_ac93_2d6d7014346c_Epic_Microsoft.VSTS.Common.Priority</t>
  </si>
  <si>
    <t>all_VSTS_c467189f_b1e3_4921_ac93_2d6d7014346c_Epic_System.State</t>
  </si>
  <si>
    <t>all_VSTS_c467189f_b1e3_4921_ac93_2d6d7014346c_Epic_System.ChangedBy</t>
  </si>
  <si>
    <t>all_VSTS_c467189f_b1e3_4921_ac93_2d6d7014346c_Epic_System.AssignedTo</t>
  </si>
  <si>
    <t>all_VSTS_c467189f_b1e3_4921_ac93_2d6d7014346c_Epic_System.CreatedBy</t>
  </si>
  <si>
    <t>all_VSTS_c467189f_b1e3_4921_ac93_2d6d7014346c_Epic_Microsoft.VSTS.Common.ActivatedBy</t>
  </si>
  <si>
    <t>all_VSTS_c467189f_b1e3_4921_ac93_2d6d7014346c_Epic_System.BoardColumnDone</t>
  </si>
  <si>
    <t>all_VSTS_c467189f_b1e3_4921_ac93_2d6d7014346c_Epic_Microsoft.VSTS.Common.ClosedBy</t>
  </si>
  <si>
    <t>all_VSTS_c467189f_b1e3_4921_ac93_2d6d7014346c_Epic_System.Reason</t>
  </si>
  <si>
    <t>all_VSTS_c467189f_b1e3_4921_ac93_2d6d7014346c_Issue_Microsoft.VSTS.Common.Priority</t>
  </si>
  <si>
    <t>all_VSTS_c467189f_b1e3_4921_ac93_2d6d7014346c_Issue_System.State</t>
  </si>
  <si>
    <t>all_VSTS_c467189f_b1e3_4921_ac93_2d6d7014346c_Issue_System.ChangedBy</t>
  </si>
  <si>
    <t>all_VSTS_c467189f_b1e3_4921_ac93_2d6d7014346c_Issue_System.AssignedTo</t>
  </si>
  <si>
    <t>all_VSTS_c467189f_b1e3_4921_ac93_2d6d7014346c_Issue_System.CreatedBy</t>
  </si>
  <si>
    <t>all_VSTS_c467189f_b1e3_4921_ac93_2d6d7014346c_Issue_Microsoft.VSTS.Common.ActivatedBy</t>
  </si>
  <si>
    <t>all_VSTS_c467189f_b1e3_4921_ac93_2d6d7014346c_Issue_System.BoardColumnDone</t>
  </si>
  <si>
    <t>all_VSTS_c467189f_b1e3_4921_ac93_2d6d7014346c_Issue_Microsoft.VSTS.Common.ClosedBy</t>
  </si>
  <si>
    <t>all_VSTS_c467189f_b1e3_4921_ac93_2d6d7014346c_Issue_System.Reason</t>
  </si>
  <si>
    <t>all_VSTS_c467189f_b1e3_4921_ac93_2d6d7014346c_Task_Microsoft.VSTS.Common.Priority</t>
  </si>
  <si>
    <t>all_VSTS_c467189f_b1e3_4921_ac93_2d6d7014346c_Task_System.State</t>
  </si>
  <si>
    <t>all_VSTS_c467189f_b1e3_4921_ac93_2d6d7014346c_Task_System.ChangedBy</t>
  </si>
  <si>
    <t>all_VSTS_c467189f_b1e3_4921_ac93_2d6d7014346c_Task_System.AssignedTo</t>
  </si>
  <si>
    <t>all_VSTS_c467189f_b1e3_4921_ac93_2d6d7014346c_Task_System.CreatedBy</t>
  </si>
  <si>
    <t>all_VSTS_c467189f_b1e3_4921_ac93_2d6d7014346c_Task_Microsoft.VSTS.Common.ActivatedBy</t>
  </si>
  <si>
    <t>all_VSTS_c467189f_b1e3_4921_ac93_2d6d7014346c_Task_Microsoft.VSTS.Common.Activity</t>
  </si>
  <si>
    <t>all_VSTS_c467189f_b1e3_4921_ac93_2d6d7014346c_Task_System.BoardColumnDone</t>
  </si>
  <si>
    <t>all_VSTS_c467189f_b1e3_4921_ac93_2d6d7014346c_Task_Microsoft.VSTS.Common.ClosedBy</t>
  </si>
  <si>
    <t>all_VSTS_c467189f_b1e3_4921_ac93_2d6d7014346c_Task_System.Reason</t>
  </si>
  <si>
    <t>all_VSTS_c467189f_b1e3_4921_ac93_2d6d7014346c_Microsoft.VSTS.Common.Priority</t>
  </si>
  <si>
    <t>all_VSTS_c467189f_b1e3_4921_ac93_2d6d7014346c_System.State</t>
  </si>
  <si>
    <t>all_VSTS_c467189f_b1e3_4921_ac93_2d6d7014346c_System.ChangedBy</t>
  </si>
  <si>
    <t>all_VSTS_c467189f_b1e3_4921_ac93_2d6d7014346c_System.AssignedTo</t>
  </si>
  <si>
    <t>all_VSTS_c467189f_b1e3_4921_ac93_2d6d7014346c_System.CreatedBy</t>
  </si>
  <si>
    <t>all_VSTS_c467189f_b1e3_4921_ac93_2d6d7014346c_System.WorkItemType</t>
  </si>
  <si>
    <t>all_VSTS_c467189f_b1e3_4921_ac93_2d6d7014346c_Microsoft.VSTS.Common.ActivatedBy</t>
  </si>
  <si>
    <t>all_VSTS_c467189f_b1e3_4921_ac93_2d6d7014346c_System.BoardColumnDone</t>
  </si>
  <si>
    <t>all_VSTS_c467189f_b1e3_4921_ac93_2d6d7014346c_Microsoft.VSTS.Common.ClosedBy</t>
  </si>
  <si>
    <t>all_VSTS_c467189f_b1e3_4921_ac93_2d6d7014346c_System.Reason</t>
  </si>
  <si>
    <t>all_VSTS_c467189f_b1e3_4921_ac93_2d6d7014346c_Microsoft.VSTS.Common.Activity</t>
  </si>
  <si>
    <t>all_VSTS_102a646c_ad0a_48ec_88b8_1da5f2d06195_System.AreaPath</t>
  </si>
  <si>
    <t>all_VSTS_102a646c_ad0a_48ec_88b8_1da5f2d06195_System.IterationPath</t>
  </si>
  <si>
    <t>Aprovado</t>
  </si>
  <si>
    <t>Criação de Pipelines CI/CD - Portal</t>
  </si>
  <si>
    <t xml:space="preserve">Necessário criar a automação de deploys da aplicação do portal de serviços, via pipeline do azure. _x000D_
_x000D_
 _x000D_
Necessário criar funcionalidade para publicar a master em produção, ao gerar uma release com tag _x000D_
Também é necessário deploy automático da branch develop no ambiente de dev, e possibilidade de enviar branches de release ao ambiente de homologação. _x000D_
_x000D_
 _x000D_
_x000D_
 _x000D_
_x000D_
 _x000D_
</t>
  </si>
  <si>
    <t>HLC - VERMAS</t>
  </si>
  <si>
    <t>Backlog</t>
  </si>
  <si>
    <t>Homologação</t>
  </si>
  <si>
    <t>Agendamento Expresso</t>
  </si>
  <si>
    <t xml:space="preserve">Solicitação do Amandus. _x000D_
_x000D_
 _x000D_
Necessário levantar o escopo para implementação do processo de Agendamento expresso no Portal._x000D_
 _x000D_
</t>
  </si>
  <si>
    <t>Itens com ganhos financeiros (no show, reagendamentos, LAR)</t>
  </si>
  <si>
    <t xml:space="preserve">Solicitação do Amandus. _x000D_
_x000D_
 _x000D_
Necessário levantar o escopo da demanda para implementação. _x000D_
</t>
  </si>
  <si>
    <t>[31389] Faturamento DTC</t>
  </si>
  <si>
    <t>Em Desenvolvimento</t>
  </si>
  <si>
    <t>Ajuste do sistema de permissões</t>
  </si>
  <si>
    <t xml:space="preserve">Necessário revisar o sistema de permissões, para impedir que usuários não autorizados acessem funcionalidades internas ou não autorizadas. _x000D_
_x000D_
 _x000D_
Atualmente, os seguintes pontos podem ocorrer: _x000D_
_x000D_
 *  É possível um usuário interno conceder permissões internas a usuários internos, não intencionalmente. Não há uma trava "forte" que divide usuários internos de externos na maioria das funções do sistema. _x000D_
 *  Não há uma trava forte que impeça usuários externos de visualizar recursos de outros usuários, através de URL. _x000D_
 *  Não há procedimento para revogar imediatamente o sessão do usuário, caso suas permissões sejam revogadas. _x000D_
 _x000D_
_x000D_
 _x000D_
</t>
  </si>
  <si>
    <t>Monitoramento DUE | Priorizar consultas baseado no Deadline</t>
  </si>
  <si>
    <t xml:space="preserve">Solicitação: George _x000D_
Hoje o serviço DUE monitora as unidades após a recepção CCT de hora em hora. _x000D_
A proposta é para que o serviço consulte as unidades utilziando o deadline da viagem como referência, aumentando a frequência das consultas quanto mais próximo do Deadline. _x000D_
Os detalhes ainda devem ser alinhados com a equipe.  _x000D_
</t>
  </si>
  <si>
    <t>Agendamento para motorista sem crachá apenas em horário comercial</t>
  </si>
  <si>
    <t xml:space="preserve">Solicitante: Bruno Duarte_x000D_
_x000D_
Validar na hora do agendamento se o motorista já possui cracha/biometria e nos casos onde não possuir só permitir o agendamento durante o horário comercial._x000D_
 _x000D_
</t>
  </si>
  <si>
    <t xml:space="preserve">MSC INVOIC - Setup </t>
  </si>
  <si>
    <t>DOCUMENTAÇÃO EDIs</t>
  </si>
  <si>
    <t>MUDANÇA DE CATEGORIA EDI</t>
  </si>
  <si>
    <t>Container vinculado a apenas um owner</t>
  </si>
  <si>
    <t>Criação de fluxo de reexportação via gate</t>
  </si>
  <si>
    <t xml:space="preserve">O usuário solicitou uma alteração dentro do N4 para permitir entrada unidades de Reexportação pelo gate do N4. _x000D_
Atualmente há uma validação que obriga a inclusão de nota fiscal nos agendamentos de expo, porém a unidade de Reexportação não possui, pois ainda não foi nacionalizada, impedindo a mesma de entrar via gate. _x000D_
_x000D_
 _x000D_
Também é necessário buscar uma maneira da correta integração à SPI _x000D_
</t>
  </si>
  <si>
    <t>MSC COPARN - OOG</t>
  </si>
  <si>
    <t>DU-IMP - Liberação Documental</t>
  </si>
  <si>
    <t xml:space="preserve">Desenvolvimento de novo procrsso de liberação documental de importaçã, chamado DUIMP, para isso utilizar o endpoint de DUIMP disponibilizado pela logcomex_x000D_
_x000D_
Analisar o processo junto ao Josias, deve ser implementado um novo tipo e conter os endpoints_x000D_
_x000D_
 *  get_duimp_conuslta_publica _x000D_
 _x000D_
_x000D_
Deve ser solicitado o numero da DUIMP e a cahe de acesso da DUIMP _x000D_
_x000D_
 _x000D_
_x000D_
 *  /entregar_carga_duimp_x000D_
_x000D_
No final do processo precisa ser entrgue a duimp _x000D_
 _x000D_
_x000D_
_x000D_
 _x000D_
 _x000D_
</t>
  </si>
  <si>
    <t>EVE COPARN - SETUP</t>
  </si>
  <si>
    <t xml:space="preserve">Josias reportou que no não esta logando quando usado o e-cpf. Necessário verificar esse item já tinha sido resolvido no card 839 _x000D_
</t>
  </si>
  <si>
    <t>Projeto - Processo de Retirada</t>
  </si>
  <si>
    <t xml:space="preserve">Bom dia @julio.junior@msc.com, tudo bem ? _x000D_
  _x000D_
Encaminharemos a documentação para o nosso time dedesenvolvimento, para que essa demanda seja incluída ainda no mês de julho.Acreditamos que até sexta-feira poderemos retornar com uma previsão de prazospara a implementação. _x000D_
  _x000D_
Atenciosamente _x000D_
 _x000D_
_x000D_
_x000D_
_x000D_
_x000D_
_x000D_
_x000D_
ENC: BRITJAI - JBS TERMINAIS // INVOIC MSC - FATURAMENTO ELETRÔNICO _x000D_
_x000D_
@DANTON DA ROSA ABREU vejacom o Ronaldo se ele tem recurso para implementar esse EDI. _x000D_
  _x000D_
  _x000D_
De: julio.junior@msc.com &lt;julio.junior@msc.com&gt; _x000D_
Enviada em: segunda-feira, 28 de abril de 2025 15:37_x000D_
Para: DANTON DA ROSA ABREU &lt;danton.abreu@jbsterminais.com.br&gt;;GEORGE DE AMORIM BAIAO &lt;george.baiao@jbsterminais.com.br&gt;;planejamento@jbsterminais.com.br;ALISSON MATHEUS SILVA DOS SANTOS &lt;alisson.santos@jbsterminais.com.br&gt;;atendimento@jbsterminais.com.br;AMANDUS MULLER MUNIZ &lt;amandus.muniz@jbsterminais.com.br&gt;_x000D_
Cc: felipe.santos@msc.com; thatiane.moretti@msc.com; osvaldo.furlaneto@msc.com; julio.junior@msc.com; BR241-edilogmov@msc.com_x000D_
Assunto: BRITJAI - JBS TERMINAIS // INVOIC MSC - FATURAMENTO ELETRÔNICO _x000D_
  _x000D_
Prezados,boa tarde! _x000D_
  _x000D_
Visandoa melhoria contínua em nossos processos e, também, na prestação das informaçõescom os nossos clientes, gostaríamos de solicitar a implementação de um novoarquivo EDI em nossos processos. Esse novo arquivo EDI se chama “INVOIC”. _x000D_
  _x000D_
Nossoobjetivo com essa implementação é automatizar e digitalizar o processo atual defaturamento/cobranças de serviços prestados entre os terminais e a MSC Brasil. _x000D_
Aproveitamospara informar que estamos atendendo uma demanda direta da nossa matriz emGenebra e, por isso, o EDI em questão deverá ser implementado e aplicado emprodução. _x000D_
  _x000D_
Informamosque a guia de implementação segue anexa para vossa análise e apreciação. _x000D_
Seguetambém anexa, a nossa lista com todos os códigos e descrições dos item/serviçosque serão contemplados nessa implementação. _x000D_
  _x000D_
Gentilezaverificar e informar uma data prevista para o início das fases dedesenvolvimento e testes para que possamos dar todo o suporte necessário parauma correta aplicação do arquivo EDI em produção. _x000D_
  _x000D_
Desdejá, agradecemos uma vez mais a vossa atenção e suporte no caso em questão.Qualquer dúvida relacionada ao projeto, por favor, sintam-se a vontade em noscontatar para prestarmos todos auxílio possível. _x000D_
  _x000D_
Obrigado. _x000D_
  _x000D_
Sds. _x000D_
  _x000D_
Julio Junior _x000D_
EDI MonitoringCoordinator  _x000D_
MSC MEDITERRANEAN SHIPPING DO BRASIL LTDA. _x000D_
Av. Ana Costa, 291, 11060-917, Santos, Brasil_x000D_
T:+55 13 3211 8199 W: www.msc.com_x000D_
As agent for MSC Mediterranean Shipping CompanyS.A., Geneva. _x000D_
  _x000D_
 _x000D_
“This message and any associated files (together the“Contents”) are intended solely for the addressee(s). The Contents areconfidential and may contain private information or information that is subjectto copyright or is a trade secret or which is privileged. Views or opinionsexpressed herein do not necessarily represent views or opinions of MSCMediterranean Shipping Company, its agents or their affiliated companies andmay only be the view or opinion of the author. If you are not the intendedrecipient of this email, you must not use, print, copy, store, forward, ordisclose it or act in reliance of the Contents. Please destroy all copies ofthe message and any associated files and notify the sender immediately that youhave received it in error. Thank you for your cooperation”. _x000D_
“Esta mensagem e todos os arquivos a ela associados(conjuntamente denominados o “Conteúdo”) são para uso exclusivo do(s)destinatário(s). O Conteúdo é confidencial e pode conter informaçõesparticulares ou informações sujeitas a direitos autorais ou ainda constituirsigilo comercial ou informação privilegiada. Os pontos de vista ou as opiniõesexpressas nesta mensagem não representam necessariamente os pontos de vista ouopiniões da MSC Mediterranean Shipping Company, de suas agências nem de suascoligadas, podendo representar somente a expressão do ponto de vista ou daopinião do seu autor. Se V.Sa. não for o destinatário alvo deste e-mail, nãolhe será permitido usá-lo, imprimi-lo, copiá-lo, armazená-lo, retransmiti-lo,divulgá-lo nem tampouco agir com fundamento no Conteúdo. Destrua todas ascópias da mensagem e de todos os arquivos a ela associados e comuniqueimediatamente o remetente a respeito do erro de endereçamento. Agradecemos porsua cooperação”. _x000D_
  _x000D_
Sensitivity:Internal _x000D_
_x000D_
 _x000D_
</t>
  </si>
  <si>
    <t>all_VSTS_102a646c_ad0a_48ec_88b8_1da5f2d06195_Epic_Microsoft.VSTS.Common.Priority</t>
  </si>
  <si>
    <t>all_VSTS_102a646c_ad0a_48ec_88b8_1da5f2d06195_Epic_System.State</t>
  </si>
  <si>
    <t>all_VSTS_102a646c_ad0a_48ec_88b8_1da5f2d06195_Epic_System.ChangedBy</t>
  </si>
  <si>
    <t>all_VSTS_102a646c_ad0a_48ec_88b8_1da5f2d06195_Epic_System.AssignedTo</t>
  </si>
  <si>
    <t>all_VSTS_102a646c_ad0a_48ec_88b8_1da5f2d06195_Epic_System.CreatedBy</t>
  </si>
  <si>
    <t>all_VSTS_102a646c_ad0a_48ec_88b8_1da5f2d06195_Epic_Microsoft.VSTS.Common.ActivatedBy</t>
  </si>
  <si>
    <t>all_VSTS_102a646c_ad0a_48ec_88b8_1da5f2d06195_Epic_System.BoardColumnDone</t>
  </si>
  <si>
    <t>all_VSTS_102a646c_ad0a_48ec_88b8_1da5f2d06195_Epic_Microsoft.VSTS.Common.ClosedBy</t>
  </si>
  <si>
    <t>all_VSTS_102a646c_ad0a_48ec_88b8_1da5f2d06195_Epic_System.Reason</t>
  </si>
  <si>
    <t>all_VSTS_102a646c_ad0a_48ec_88b8_1da5f2d06195_Issue_Microsoft.VSTS.Common.Priority</t>
  </si>
  <si>
    <t>all_VSTS_102a646c_ad0a_48ec_88b8_1da5f2d06195_Issue_System.State</t>
  </si>
  <si>
    <t>all_VSTS_102a646c_ad0a_48ec_88b8_1da5f2d06195_Issue_System.ChangedBy</t>
  </si>
  <si>
    <t>all_VSTS_102a646c_ad0a_48ec_88b8_1da5f2d06195_Issue_System.AssignedTo</t>
  </si>
  <si>
    <t>all_VSTS_102a646c_ad0a_48ec_88b8_1da5f2d06195_Issue_System.CreatedBy</t>
  </si>
  <si>
    <t>all_VSTS_102a646c_ad0a_48ec_88b8_1da5f2d06195_Issue_Microsoft.VSTS.Common.ActivatedBy</t>
  </si>
  <si>
    <t>all_VSTS_102a646c_ad0a_48ec_88b8_1da5f2d06195_Issue_System.BoardColumnDone</t>
  </si>
  <si>
    <t>all_VSTS_102a646c_ad0a_48ec_88b8_1da5f2d06195_Issue_Microsoft.VSTS.Common.ClosedBy</t>
  </si>
  <si>
    <t>all_VSTS_102a646c_ad0a_48ec_88b8_1da5f2d06195_Issue_System.Reason</t>
  </si>
  <si>
    <t>all_VSTS_102a646c_ad0a_48ec_88b8_1da5f2d06195_Task_Microsoft.VSTS.Common.Priority</t>
  </si>
  <si>
    <t>all_VSTS_102a646c_ad0a_48ec_88b8_1da5f2d06195_Task_System.State</t>
  </si>
  <si>
    <t>all_VSTS_102a646c_ad0a_48ec_88b8_1da5f2d06195_Task_System.ChangedBy</t>
  </si>
  <si>
    <t>all_VSTS_102a646c_ad0a_48ec_88b8_1da5f2d06195_Task_System.AssignedTo</t>
  </si>
  <si>
    <t>all_VSTS_102a646c_ad0a_48ec_88b8_1da5f2d06195_Task_System.CreatedBy</t>
  </si>
  <si>
    <t>all_VSTS_102a646c_ad0a_48ec_88b8_1da5f2d06195_Task_Microsoft.VSTS.Common.ActivatedBy</t>
  </si>
  <si>
    <t>all_VSTS_102a646c_ad0a_48ec_88b8_1da5f2d06195_Task_Microsoft.VSTS.Common.Activity</t>
  </si>
  <si>
    <t>all_VSTS_102a646c_ad0a_48ec_88b8_1da5f2d06195_Task_System.BoardColumnDone</t>
  </si>
  <si>
    <t>all_VSTS_102a646c_ad0a_48ec_88b8_1da5f2d06195_Task_Microsoft.VSTS.Common.ClosedBy</t>
  </si>
  <si>
    <t>all_VSTS_102a646c_ad0a_48ec_88b8_1da5f2d06195_Task_System.Reason</t>
  </si>
  <si>
    <t>all_VSTS_102a646c_ad0a_48ec_88b8_1da5f2d06195_Microsoft.VSTS.Common.Priority</t>
  </si>
  <si>
    <t>all_VSTS_102a646c_ad0a_48ec_88b8_1da5f2d06195_System.State</t>
  </si>
  <si>
    <t>all_VSTS_102a646c_ad0a_48ec_88b8_1da5f2d06195_System.ChangedBy</t>
  </si>
  <si>
    <t>all_VSTS_102a646c_ad0a_48ec_88b8_1da5f2d06195_System.AssignedTo</t>
  </si>
  <si>
    <t>all_VSTS_102a646c_ad0a_48ec_88b8_1da5f2d06195_System.CreatedBy</t>
  </si>
  <si>
    <t>all_VSTS_102a646c_ad0a_48ec_88b8_1da5f2d06195_System.WorkItemType</t>
  </si>
  <si>
    <t>all_VSTS_102a646c_ad0a_48ec_88b8_1da5f2d06195_Microsoft.VSTS.Common.ActivatedBy</t>
  </si>
  <si>
    <t>all_VSTS_102a646c_ad0a_48ec_88b8_1da5f2d06195_System.BoardColumnDone</t>
  </si>
  <si>
    <t>all_VSTS_102a646c_ad0a_48ec_88b8_1da5f2d06195_Microsoft.VSTS.Common.ClosedBy</t>
  </si>
  <si>
    <t>all_VSTS_102a646c_ad0a_48ec_88b8_1da5f2d06195_System.Reason</t>
  </si>
  <si>
    <t>all_VSTS_102a646c_ad0a_48ec_88b8_1da5f2d06195_Microsoft.VSTS.Common.Activity</t>
  </si>
  <si>
    <t>Total</t>
  </si>
  <si>
    <t>TI</t>
  </si>
  <si>
    <t>Comercial</t>
  </si>
  <si>
    <t>Receita</t>
  </si>
  <si>
    <t>Comex</t>
  </si>
  <si>
    <t>Operação</t>
  </si>
  <si>
    <t>Financeiro</t>
  </si>
  <si>
    <t>BUG</t>
  </si>
  <si>
    <t>Melhoria</t>
  </si>
  <si>
    <t>Ajuste</t>
  </si>
  <si>
    <t>FINANCEIRO</t>
  </si>
  <si>
    <t>Status Total</t>
  </si>
  <si>
    <t>Tipo Total</t>
  </si>
  <si>
    <t>all_VSTS_d6760eb0_ea3a_4c33_85d6_f85b26745a24_System.AreaPath</t>
  </si>
  <si>
    <t>all_VSTS_d6760eb0_ea3a_4c33_85d6_f85b26745a24_System.IterationPath</t>
  </si>
  <si>
    <t>all_VSTS_d6760eb0_ea3a_4c33_85d6_f85b26745a24_Epic_Microsoft.VSTS.Common.Priority</t>
  </si>
  <si>
    <t>all_VSTS_d6760eb0_ea3a_4c33_85d6_f85b26745a24_Epic_System.State</t>
  </si>
  <si>
    <t>VSTS_d6760eb0_ea3a_4c33_85d6_f85b26745a24_BB-70-B8-41-88-31-3F-7F-BA-44-98-0C-91-E6-96-79-8B-C5-61-63-B8-FB-5A-51-9C-8A-B5-29-A7-9F-82-25</t>
  </si>
  <si>
    <t>VSTS_d6760eb0_ea3a_4c33_85d6_f85b26745a24_57-23-35-56-CA-A2-F2-E9-35-19-C2-A0-99-A5-71-47-13-8E-FF-FC-7A-26-0E-23-0B-EA-91-56-42-1D-AB-5E</t>
  </si>
  <si>
    <t>all_VSTS_d6760eb0_ea3a_4c33_85d6_f85b26745a24_Epic_System.ChangedBy</t>
  </si>
  <si>
    <t>all_VSTS_d6760eb0_ea3a_4c33_85d6_f85b26745a24_Epic_System.AssignedTo</t>
  </si>
  <si>
    <t>all_VSTS_d6760eb0_ea3a_4c33_85d6_f85b26745a24_Epic_System.CreatedBy</t>
  </si>
  <si>
    <t>all_VSTS_d6760eb0_ea3a_4c33_85d6_f85b26745a24_Epic_Microsoft.VSTS.Common.ActivatedBy</t>
  </si>
  <si>
    <t>all_VSTS_d6760eb0_ea3a_4c33_85d6_f85b26745a24_Epic_System.BoardColumnDone</t>
  </si>
  <si>
    <t>all_VSTS_d6760eb0_ea3a_4c33_85d6_f85b26745a24_Epic_Microsoft.VSTS.Common.ClosedBy</t>
  </si>
  <si>
    <t>all_VSTS_d6760eb0_ea3a_4c33_85d6_f85b26745a24_Epic_System.Reason</t>
  </si>
  <si>
    <t>all_VSTS_d6760eb0_ea3a_4c33_85d6_f85b26745a24_Issue_Microsoft.VSTS.Common.Priority</t>
  </si>
  <si>
    <t>all_VSTS_d6760eb0_ea3a_4c33_85d6_f85b26745a24_Issue_System.State</t>
  </si>
  <si>
    <t>all_VSTS_d6760eb0_ea3a_4c33_85d6_f85b26745a24_Issue_System.ChangedBy</t>
  </si>
  <si>
    <t>all_VSTS_d6760eb0_ea3a_4c33_85d6_f85b26745a24_Issue_System.AssignedTo</t>
  </si>
  <si>
    <t>all_VSTS_d6760eb0_ea3a_4c33_85d6_f85b26745a24_Issue_System.CreatedBy</t>
  </si>
  <si>
    <t>all_VSTS_d6760eb0_ea3a_4c33_85d6_f85b26745a24_Issue_Microsoft.VSTS.Common.ActivatedBy</t>
  </si>
  <si>
    <t>all_VSTS_d6760eb0_ea3a_4c33_85d6_f85b26745a24_Issue_System.BoardColumnDone</t>
  </si>
  <si>
    <t>all_VSTS_d6760eb0_ea3a_4c33_85d6_f85b26745a24_Issue_Microsoft.VSTS.Common.ClosedBy</t>
  </si>
  <si>
    <t>all_VSTS_d6760eb0_ea3a_4c33_85d6_f85b26745a24_Issue_System.Reason</t>
  </si>
  <si>
    <t>all_VSTS_d6760eb0_ea3a_4c33_85d6_f85b26745a24_Task_Microsoft.VSTS.Common.Priority</t>
  </si>
  <si>
    <t>all_VSTS_d6760eb0_ea3a_4c33_85d6_f85b26745a24_Task_System.State</t>
  </si>
  <si>
    <t>all_VSTS_d6760eb0_ea3a_4c33_85d6_f85b26745a24_Task_System.ChangedBy</t>
  </si>
  <si>
    <t>all_VSTS_d6760eb0_ea3a_4c33_85d6_f85b26745a24_Task_System.AssignedTo</t>
  </si>
  <si>
    <t>all_VSTS_d6760eb0_ea3a_4c33_85d6_f85b26745a24_Task_System.CreatedBy</t>
  </si>
  <si>
    <t>all_VSTS_d6760eb0_ea3a_4c33_85d6_f85b26745a24_Task_Microsoft.VSTS.Common.ActivatedBy</t>
  </si>
  <si>
    <t>all_VSTS_d6760eb0_ea3a_4c33_85d6_f85b26745a24_Task_Microsoft.VSTS.Common.Activity</t>
  </si>
  <si>
    <t>all_VSTS_d6760eb0_ea3a_4c33_85d6_f85b26745a24_Task_System.BoardColumnDone</t>
  </si>
  <si>
    <t>all_VSTS_d6760eb0_ea3a_4c33_85d6_f85b26745a24_Task_Microsoft.VSTS.Common.ClosedBy</t>
  </si>
  <si>
    <t>all_VSTS_d6760eb0_ea3a_4c33_85d6_f85b26745a24_Task_System.Reason</t>
  </si>
  <si>
    <t>all_VSTS_d6760eb0_ea3a_4c33_85d6_f85b26745a24_Microsoft.VSTS.Common.Priority</t>
  </si>
  <si>
    <t>all_VSTS_d6760eb0_ea3a_4c33_85d6_f85b26745a24_System.State</t>
  </si>
  <si>
    <t>all_VSTS_d6760eb0_ea3a_4c33_85d6_f85b26745a24_System.ChangedBy</t>
  </si>
  <si>
    <t>all_VSTS_d6760eb0_ea3a_4c33_85d6_f85b26745a24_System.AssignedTo</t>
  </si>
  <si>
    <t>all_VSTS_d6760eb0_ea3a_4c33_85d6_f85b26745a24_System.CreatedBy</t>
  </si>
  <si>
    <t>all_VSTS_d6760eb0_ea3a_4c33_85d6_f85b26745a24_System.WorkItemType</t>
  </si>
  <si>
    <t>all_VSTS_d6760eb0_ea3a_4c33_85d6_f85b26745a24_Microsoft.VSTS.Common.ActivatedBy</t>
  </si>
  <si>
    <t>all_VSTS_d6760eb0_ea3a_4c33_85d6_f85b26745a24_System.BoardColumnDone</t>
  </si>
  <si>
    <t>all_VSTS_d6760eb0_ea3a_4c33_85d6_f85b26745a24_Microsoft.VSTS.Common.ClosedBy</t>
  </si>
  <si>
    <t>all_VSTS_d6760eb0_ea3a_4c33_85d6_f85b26745a24_System.Reason</t>
  </si>
  <si>
    <t>all_VSTS_d6760eb0_ea3a_4c33_85d6_f85b26745a24_Microsoft.VSTS.Common.Activity</t>
  </si>
  <si>
    <t>=CONT.SES([atividades_backlog.xlsx]Itens!#REF!; L11; [atividades_backlog.xlsx]Itens!A1:A9973; "&lt;&gt;Produção")</t>
  </si>
  <si>
    <t>=CONT.SE([atividades_backlog.xlsx]Itens!A1:A9975;O12)</t>
  </si>
  <si>
    <t>=CONT.SES([atividades_backlog.xlsx]Itens!B1:B9974;R11;[atividades_backlog.xlsx]Itens!A1:A9974; "&lt;&gt;Produção")</t>
  </si>
  <si>
    <t>Total Demandas / Departamento</t>
  </si>
  <si>
    <t>Release / Departamentos</t>
  </si>
  <si>
    <t>Release / Status</t>
  </si>
  <si>
    <t>Release / Tipo</t>
  </si>
  <si>
    <t>OPERAÇÃO</t>
  </si>
  <si>
    <t>HOTFIX</t>
  </si>
  <si>
    <t>AMANDUS MULLER MUNIZ</t>
  </si>
  <si>
    <t>Giovanni Áxel</t>
  </si>
  <si>
    <t>all_VSTS_1c6fc82a_d22e_401e_bb21_5879a2d4167f_System.AreaPath</t>
  </si>
  <si>
    <t>all_VSTS_1c6fc82a_d22e_401e_bb21_5879a2d4167f_System.IterationPath</t>
  </si>
  <si>
    <t>MSK - SFTPWorkerService</t>
  </si>
  <si>
    <t>EDI; MELHORIA; SOLICITANTE: AMANDUS; TI</t>
  </si>
  <si>
    <t>CMA COARRI - Ajuste viagem armador</t>
  </si>
  <si>
    <t>EDI; ERRO; OPERAÇÃO; PRIORIZADO; SOLICITANTE: AMANDUS</t>
  </si>
  <si>
    <t>HLC/NOR COPARN - Porto/Porta</t>
  </si>
  <si>
    <t>EDI; FINANCEIRO; MELHORIA; SOLICITANTE: EDINALDO</t>
  </si>
  <si>
    <t>CMA COPARN - Porto/Porta</t>
  </si>
  <si>
    <t>PIL COARRI</t>
  </si>
  <si>
    <t xml:space="preserve">_x000D_
 _x000D_
 _x000D_
</t>
  </si>
  <si>
    <t>AJUSTE; EDI; MELHORIA; PRIORIZADO; SOLICITANTE: AMANDUS</t>
  </si>
  <si>
    <t xml:space="preserve">Instalar e Configurar XENOS OTS </t>
  </si>
  <si>
    <t>EDI; MELHORIA; SOLICITANTE: DANTON</t>
  </si>
  <si>
    <t>PIL CODECO - Ajuste</t>
  </si>
  <si>
    <t xml:space="preserve">Remove     the RFF segment after the BGM segment in CODECO Gate out file._x000D_
[Image]_x000D_
</t>
  </si>
  <si>
    <t>AJUSTE; EDI; PRIORIZADO; SOLICITANTE: DANTON</t>
  </si>
  <si>
    <t>Limitar Shipper Name em 30 caracteres - COPARN MSK</t>
  </si>
  <si>
    <t xml:space="preserve">Limitar o campo de Shipper Name em 30 caracteres. _x000D_
_x000D_
 _x000D_
Exemplo de EDI com campo a ser validado, caso passe de 30 caracteres _x000D_
_x000D_
 _x000D_
[Image] _x000D_
_x000D_
 _x000D_
</t>
  </si>
  <si>
    <t>Limitar Shipper Name em 30 caracteres - COPARN CMA</t>
  </si>
  <si>
    <t>Limitar Shipper Name em 30 caracteres - COPARN ONE</t>
  </si>
  <si>
    <t xml:space="preserve">Exemplo de EDI com campo a ser validado, caso passe de 30 caracteres _x000D_
_x000D_
 _x000D_
[Image]_x000D_
 _x000D_
_x000D_
_x000D_
</t>
  </si>
  <si>
    <t>EDI; MELHORIA</t>
  </si>
  <si>
    <t>RE: COPARN processing  - HLC - Urgent!</t>
  </si>
  <si>
    <t>Limitar Shipper Name em 30 caracteres - COPARN MRC</t>
  </si>
  <si>
    <t xml:space="preserve">From: RLA BSD Operations_x000D_
Sent: Monday, August 18, 2025 12:37 PM_x000D_
To: 'DANTON DA ROSA ABREU' &lt;danton.abreu@jbsterminais.com.br&gt;; GEORGE DE AMORIM BAIAO &lt;george.baiao@jbsterminais.com.br&gt;; Weslley Gonçalves Silva &lt;weslley.goncalves@t2s.com.br&gt;_x000D_
Cc: Verta, Erika &lt;Erika.Verta@hlag.com&gt;_x000D_
Subject: COPARN processing - HLC - Urgent! _x000D_
  _x000D_
Dear Danton and JBS Team, _x000D_
  _x000D_
We identified a huge increase of COPARN processing issues related to wrong vessel or shipment not found at the JBS’s website according to below. Unfortunately, the customers are complaining a lot because of these issues, and we need your prompt action to resolve this situation. _x000D_
  _x000D_
[Image]_x000D_
 _x000D_
 _x000D_
  _x000D_
To help you at this time, please see attached some samples that the EDI COPARN was sent accordingly by Hapag system however, by some reason, were not processed into JBS system. _x000D_
  _x000D_
_x000D_
 *  Booking: 34417639 not available at JBS website at 08/11/2025 – however sent originally at 07/24/2025 _x000D_
 *  Booking: 34052991 not available at JBS website at 08/11/2025 - however sent originally at 08/05/2025 _x000D_
 *  Booking: 93727160 not available at JBS website at 08/11/2025 - however sent originally at 08/06/2025 _x000D_
 *  Booking: 32411821 not available at JBS website at 08/04/2025 - however sent originally at 07/23/2025 _x000D_
 *  Booking: 33556626 not available at JBS website at 08/04/2025 - however sent originally at 07/21/2025 _x000D_
 *  Booking: 36405090 sent the vessel change at 08/11/2025 _x000D_
 _x000D_
_x000D_
  _x000D_
We are waiting for your comments. _x000D_
  _x000D_
Rgds, _x000D_
Fabiane Biasi Dominguez Lopes _x000D_
Hapag-Lloyd Latin America _x000D_
Specialist Business Systems _x000D_
14 Norte 976, Piso 11 – Viña del Mar - Chile | +(56 32) 220 3073 _x000D_
E-mail: fabiane.dominguez@hlag.com _x000D_
Web: www.hapag-lloyd.com _x000D_
  _x000D_
[download_logo_HLAG[1] [50%]] _x000D_
  _x000D_
We Care. We Move. We Deliver. _x000D_
IMPORTANT: The information transmitted by this email, including any attachments, is intended only for the person or entity to which it is addressed. This email may contain proprietary, business-confidential, and/or privileged material. If you are not the intended recipient of this message, be aware that any use, review, retransmission, distribution, reproduction, or any action taken in reliance upon this message, without a written consent of the sender, is strictly prohibited. If you received this by mistake, please notify the sender immediately and delete the material from all computers, ensuring there is no contents disclosure to anyone. Information on personal data processing _x000D_
_x000D_
_x000D_
 _x000D_
</t>
  </si>
  <si>
    <t>all_VSTS_1c6fc82a_d22e_401e_bb21_5879a2d4167f_Epic_Microsoft.VSTS.Common.Priority</t>
  </si>
  <si>
    <t>all_VSTS_1c6fc82a_d22e_401e_bb21_5879a2d4167f_Epic_System.AssignedTo</t>
  </si>
  <si>
    <t>all_VSTS_1c6fc82a_d22e_401e_bb21_5879a2d4167f_Epic_System.State</t>
  </si>
  <si>
    <t>all_VSTS_1c6fc82a_d22e_401e_bb21_5879a2d4167f_Epic_System.CreatedBy</t>
  </si>
  <si>
    <t>all_VSTS_1c6fc82a_d22e_401e_bb21_5879a2d4167f_Epic_Microsoft.VSTS.Common.ActivatedBy</t>
  </si>
  <si>
    <t>all_VSTS_1c6fc82a_d22e_401e_bb21_5879a2d4167f_Epic_System.BoardColumnDone</t>
  </si>
  <si>
    <t>all_VSTS_1c6fc82a_d22e_401e_bb21_5879a2d4167f_Epic_Microsoft.VSTS.Common.ClosedBy</t>
  </si>
  <si>
    <t>all_VSTS_1c6fc82a_d22e_401e_bb21_5879a2d4167f_Epic_System.Reason</t>
  </si>
  <si>
    <t>all_VSTS_1c6fc82a_d22e_401e_bb21_5879a2d4167f_Issue_Microsoft.VSTS.Common.Priority</t>
  </si>
  <si>
    <t>all_VSTS_1c6fc82a_d22e_401e_bb21_5879a2d4167f_Issue_System.AssignedTo</t>
  </si>
  <si>
    <t>all_VSTS_1c6fc82a_d22e_401e_bb21_5879a2d4167f_Issue_System.State</t>
  </si>
  <si>
    <t>all_VSTS_1c6fc82a_d22e_401e_bb21_5879a2d4167f_Issue_System.ChangedBy</t>
  </si>
  <si>
    <t>all_VSTS_1c6fc82a_d22e_401e_bb21_5879a2d4167f_Issue_System.CreatedBy</t>
  </si>
  <si>
    <t>all_VSTS_1c6fc82a_d22e_401e_bb21_5879a2d4167f_Issue_Microsoft.VSTS.Common.ActivatedBy</t>
  </si>
  <si>
    <t>all_VSTS_1c6fc82a_d22e_401e_bb21_5879a2d4167f_Issue_System.BoardColumnDone</t>
  </si>
  <si>
    <t>all_VSTS_1c6fc82a_d22e_401e_bb21_5879a2d4167f_Issue_Microsoft.VSTS.Common.ClosedBy</t>
  </si>
  <si>
    <t>all_VSTS_1c6fc82a_d22e_401e_bb21_5879a2d4167f_Issue_System.Reason</t>
  </si>
  <si>
    <t>all_VSTS_1c6fc82a_d22e_401e_bb21_5879a2d4167f_Task_Microsoft.VSTS.Common.Priority</t>
  </si>
  <si>
    <t>all_VSTS_1c6fc82a_d22e_401e_bb21_5879a2d4167f_Task_System.AssignedTo</t>
  </si>
  <si>
    <t>all_VSTS_1c6fc82a_d22e_401e_bb21_5879a2d4167f_Task_System.State</t>
  </si>
  <si>
    <t>all_VSTS_1c6fc82a_d22e_401e_bb21_5879a2d4167f_Task_System.ChangedBy</t>
  </si>
  <si>
    <t>all_VSTS_1c6fc82a_d22e_401e_bb21_5879a2d4167f_Task_System.CreatedBy</t>
  </si>
  <si>
    <t>all_VSTS_1c6fc82a_d22e_401e_bb21_5879a2d4167f_Task_Microsoft.VSTS.Common.ActivatedBy</t>
  </si>
  <si>
    <t>all_VSTS_1c6fc82a_d22e_401e_bb21_5879a2d4167f_Task_Microsoft.VSTS.Common.Activity</t>
  </si>
  <si>
    <t>all_VSTS_1c6fc82a_d22e_401e_bb21_5879a2d4167f_Task_System.BoardColumnDone</t>
  </si>
  <si>
    <t>all_VSTS_1c6fc82a_d22e_401e_bb21_5879a2d4167f_Task_Microsoft.VSTS.Common.ClosedBy</t>
  </si>
  <si>
    <t>all_VSTS_1c6fc82a_d22e_401e_bb21_5879a2d4167f_Task_System.Reason</t>
  </si>
  <si>
    <t>all_VSTS_1c6fc82a_d22e_401e_bb21_5879a2d4167f_Microsoft.VSTS.Common.Priority</t>
  </si>
  <si>
    <t>all_VSTS_1c6fc82a_d22e_401e_bb21_5879a2d4167f_System.AssignedTo</t>
  </si>
  <si>
    <t>all_VSTS_1c6fc82a_d22e_401e_bb21_5879a2d4167f_System.State</t>
  </si>
  <si>
    <t>all_VSTS_1c6fc82a_d22e_401e_bb21_5879a2d4167f_System.ChangedBy</t>
  </si>
  <si>
    <t>all_VSTS_1c6fc82a_d22e_401e_bb21_5879a2d4167f_System.CreatedBy</t>
  </si>
  <si>
    <t>all_VSTS_1c6fc82a_d22e_401e_bb21_5879a2d4167f_System.WorkItemType</t>
  </si>
  <si>
    <t>all_VSTS_1c6fc82a_d22e_401e_bb21_5879a2d4167f_Microsoft.VSTS.Common.ActivatedBy</t>
  </si>
  <si>
    <t>all_VSTS_1c6fc82a_d22e_401e_bb21_5879a2d4167f_System.BoardColumnDone</t>
  </si>
  <si>
    <t>all_VSTS_1c6fc82a_d22e_401e_bb21_5879a2d4167f_Microsoft.VSTS.Common.ClosedBy</t>
  </si>
  <si>
    <t>all_VSTS_1c6fc82a_d22e_401e_bb21_5879a2d4167f_System.Reason</t>
  </si>
  <si>
    <t>all_VSTS_1c6fc82a_d22e_401e_bb21_5879a2d4167f_Microsoft.VSTS.Common.Activity</t>
  </si>
  <si>
    <t>Giovanni Axel Pacheco</t>
  </si>
  <si>
    <t>VSTS_d6760eb0_ea3a_4c33_85d6_f85b26745a24_CE-FC-D8-6B-AB-4F-E5-C4-DF-C0-CA-2B-95-2E-DC-CC-A4-92-FD-BE-CE-6F-BF-FE-23-CE-15-B8-DA-F0-A0-A1</t>
  </si>
  <si>
    <t>CMA CODECO - RFF+BN</t>
  </si>
  <si>
    <t xml:space="preserve">Mapear RFF+BN com argo:bookingNbr="SSZ1668587" ou se nulo, mapear argo:blNbr="MEDUJV564193"_x000D_
_x000D_
_x000D_
_x000D_
Boa tarde! _x000D_
  _x000D_
@DANTON DA ROSA ABREU @GABRIEL CESAR ANGELO _x000D_
Notar que estamos recebendo EDIs de saída de cheio com umnúmero desconhecido no campo de booking (talvez seja o manifesto). O sistema daCMA CGM não reconhece esse número e os EDIs estão sendo bloqueados. _x000D_
Poderia, por favor, verificar por qual motivo estamosrecebendo os EDIs com essa informação? Devemos receber com o booking deimportação ou sem informação no segmento RFF. _x000D_
  _x000D_
Como está:        RFF+BM:SE2025050123' _x000D_
Como deve ser: RFF+BN:QGD1842316' ou RFF+BN:' _x000D_
  _x000D_
Ficamos no aguardo. _x000D_
  _x000D_
 _x000D_
 [Image] _x000D_
  _x000D_
Sds / BRgds, _x000D_
  _x000D_
_x000D_
 _x000D_
_x000D_
  _x000D_
_x000D_
  _x000D_
 _x000D_
  _x000D_
_x000D_
  _x000D_
_x000D_
  _x000D_
Alessandra  MARTINS _x000D_
  _x000D_
Data Integrity Coordinator _x000D_
  _x000D_
East Coast  South America _x000D_
  _x000D_
  _x000D_
  _x000D_
Direct line: +55 13 32267910 _x000D_
  _x000D_
Business  website: www.cma-cgm.com _x000D_
  _x000D_
Group  website: www.cmacgm-group.com _x000D_
  _x000D_
_x000D_
 _x000D_
_x000D_
_x000D_
 _x000D_
</t>
  </si>
  <si>
    <t>ANÁLISE; EDI; OPERAÇÃO; SOLICITANTE: DANTON</t>
  </si>
  <si>
    <t>AJUSTE; EDI; OPERAÇÃO; PRIORIZADO; SOLICITANTE: AMANDUS</t>
  </si>
  <si>
    <t>CONTROLE; EDI; MELHORIA; SOLICITANTE: AMANDUS</t>
  </si>
  <si>
    <t xml:space="preserve">Habilitar EDI JOBs de COPARN, CODECO e COARRI. _x000D_
Realizado envio de documentações para acesso ao FTP do armador. _x000D_
Validar comunicação com FTP do armador. _x000D_
</t>
  </si>
  <si>
    <t xml:space="preserve">Solicitação do cliente: _x000D_
" _x000D_
Basicamente precisamos que o portal popule no agendamento não só o groupcode, mas também a viagem do navio para que nós possamos entregar os agendamentos dtc por recinto e por navio _x000D_
" _x000D_
</t>
  </si>
  <si>
    <t>Limitar Shipper Name em 30 caracteres - COPARN EVE</t>
  </si>
  <si>
    <t>HLC CODECO - Booking Import</t>
  </si>
  <si>
    <t>EDI; MELHORIA; N4; OPERAÇÃO; PRIORIZADO; SOLICITANTE: BRUNO DUARTE</t>
  </si>
  <si>
    <t xml:space="preserve">Mapear ufvFlexString08 (Booking Imprt) para RFF+BN. _x000D_
_x000D_
 _x000D_
Segue novamente o manual paramapeamento e envio do CODECO. _x000D_
No manual consta o exemplo de CODECOreferente a um Gate Out (BGM36) onde consta a reserva de acordo. _x000D_
  _x000D_
[Image]_x000D_
 _x000D_
</t>
  </si>
  <si>
    <t>Em Desenvolvimento / Homologação</t>
  </si>
  <si>
    <t>Entregas</t>
  </si>
  <si>
    <t>Limitar Shipper Name em 30 caracteres - COPARN MSC</t>
  </si>
  <si>
    <t>Limitar Shipper Name em 30 caracteres - COPARN HLC</t>
  </si>
  <si>
    <t>JBS Terminais - Integration with Portchain Connect</t>
  </si>
  <si>
    <t>HLC COPARN - New Version of COPARN Container Announcement - Version D95B [JBS]</t>
  </si>
  <si>
    <t>EDI; MELHORIA; N4; PRIORIZADO; SOLICITANTE: AMANDUS</t>
  </si>
  <si>
    <t xml:space="preserve">Ola @DANTON DA ROSA ABREU _x000D_
  _x000D_
Mais uma demanda deEDI para ser feito depois a implementação do Invoice MSC. _x000D_
Pode abrir um cardpara essa demanda e assim que chegar a hora explico o que faremos. _x000D_
  _x000D_
Atenciosamente _x000D_
  _x000D_
Amandus Muller Muniz _x000D_
TI | JBS Terminias _x000D_
  _x000D_
De: Anna Miotello &lt;anna@portchain.com&gt; _x000D_
Enviada em: sexta-feira, 9 de maio de 2025 10:33_x000D_
Para: AMANDUS MULLER MUNIZ &lt;amandus.muniz@jbsterminais.com.br&gt;_x000D_
Cc: Angus Davidson &lt;angus@portchain.com&gt;;Rasmus Holmann Sørensen &lt;rasmus@portchain.com&gt;;BRUNO DUARTE &lt;bruno.duarte1@jbsterminais.com.br&gt;;CARLOS EDUARDO FERREIRA &lt;carlos.ferreira1@jbsterminais.com.br&gt;;FELIPE BRASIL &lt;felipe.brasil@jbsterminais.com.br&gt;;SIDINEI CUNHA PADILHA &lt;sidinei.padilha@jbsterminais.com.br&gt;_x000D_
Assunto: JBS Terminais - Integration with Portchain Connect _x000D_
  _x000D_
Hello Amandus, hello Bruno, _x000D_
  _x000D_
Thank you for the meeting just now.  _x000D_
  _x000D_
The requirements to integrate Portchain Connect with yourTOS are in the document attached. _x000D_
  _x000D_
We can see that you share aschedule on your website in PDF format. Perhaps this is something we canuse?  _x000D_
  _x000D_
Please let us know if you have any questions! We lookforward to working with you on this data automation. _x000D_
  _x000D_
Best Regards,  _x000D_
Anna _x000D_
  _x000D_
-- _x000D_
  _x000D_
[Portchain logo] _x000D_
Anna Miotello - Sr.Customer Success Manager_x000D_
(DK) +45 31729293 |  www.portchain.com  |  LinkedIn _x000D_
Portchain, Pilestræde 52, 1112, Copenhagen, Denmark _x000D_
_x000D_
 _x000D_
</t>
  </si>
  <si>
    <t xml:space="preserve">The new versionwill be rolled out from next week, but gradually. This means that it will beavailable for some terminals and a certain volume of bookings, starting withthe 10% only. Therefore, if you adjust your mapping, please keep both versionsduring this period. _x000D_
  _x000D_
The changes are mainly as follows,attached you can find some examples: _x000D_
_x000D_
 _x000D_
 *  Information     has been added, but all within the standard EDIFACT structure, so there     should be no impact if your mapping is based on that standard. _x000D_
 _x000D_
 *  Information     that is not relevant to your business process has been removed. _x000D_
 _x000D_
 *  Certain     data that was out of compliance with the standard has been changed, as     detailed below. _x000D_
 _x000D_
_x000D_
  _x000D_
Note: This message applies only to the COPARN D95Bversion; we will be sending the message related to the COPARN D00B version inthe coming days. _x000D_
Regarding the ANSI X12 standard,although it will also be reviewed and likely adjusted, this is for a secondphase. _x000D_
  _x000D_
_x000D_
 _x000D_
 *  Cambios / Changes _x000D_
 _x000D_
_x000D_
  _x000D_
_x000D_
 _x000D_
 *  Group1:TDT :  Operador del buque     está identificado con el Código BIC “20” en vez del SCAC “166” | Vessel     operator will be identified with “20” BIC code instead of “166” SCAC code. _x000D_
 _x000D_
_x000D_
 _x000D_
 *  Current     Version:  TDT+20+2519N+1++HLCU:172:166+++9306196:146::PALENA' _x000D_
 _x000D_
 *  New     Version:  TDT+20+2519N+1+13+HLC:172:20+++9306196:146::PALENA:LR' _x000D_
 _x000D_
_x000D_
  _x000D_
_x000D_
 _x000D_
 *  Group1:LOC :  Identification changed     from BER to TER in element C519-3223, example: _x000D_
 _x000D_
_x000D_
 _x000D_
 *  Current     Version:  LOC+9+BRPNG:139:6++TCP:BER:ZZZ:TCP     - TERMINAL DE CONTEINERES' _x000D_
 _x000D_
 *  New     Version:  LOC+9+BRPNG:139:6+TCP:TER:ZZZ' _x000D_
 _x000D_
_x000D_
  _x000D_
_x000D_
 _x000D_
 *  Group2:NAD :  Referencioas para el     “CF” (Operador del contenedor) serán cambiadas por “CA” (Carrier) |      “MS” (Originador del mensaje) | References for “CF” (Container operator)     will be changed by “CA” (Carrier) / “MS” (Message sender) _x000D_
 _x000D_
_x000D_
 _x000D_
 *  Current     Version: NAD+CF+HLC:160:166' _x000D_
 _x000D_
 *  New     Version:  NAD+CA+HLC:172:20' / NAD+MS+HLC:172:20' _x000D_
 _x000D_
_x000D_
  _x000D_
_x000D_
 _x000D_
 *  Group10:NAD :  Referencias para     “160:166” (Identificación de la entidad : Código SCAC) serán cambiadas por     “172:SMD” (Código de carrier : Código SMDG) | References for “160:166”     (Party identification : SCAC code) will be changed by “172:SMD” (Carrier     code : SMDG code) _x000D_
 _x000D_
_x000D_
 _x000D_
 *  Current     Version: NAD+CF+HLC:160:166' _x000D_
 _x000D_
 *  New     Version:  NAD+CF+HLC:172:SMD' _x000D_
 _x000D_
_x000D_
 _x000D_
_x000D_
 _x000D_
 *  Group7:RFF :  Qualifier has been     changed to meet the standard, from BN to CN, which means “Carrier's     reference number”, together with adding a suffix, example: _x000D_
 _x000D_
_x000D_
 _x000D_
 *  Current     Version:  RFF+BN:21800029' _x000D_
 _x000D_
 *  New     Version:  RFF+CN:21800029-001' _x000D_
 _x000D_
_x000D_
  _x000D_
_x000D_
 _x000D_
 *  Group7:FTX+ABS : Handling and attribute     information via this segment/qualifier will not be sent anymore, instead     you should use Group7:FTX+HAN to receive handling and attributes SMDG     codes, example: _x000D_
 _x000D_
_x000D_
 _x000D_
 *  Current     Version:  FTX+ABS+++FLEX:FLEXITANK ON DECK' _x000D_
 _x000D_
 *  New     Version:  FTX+HAN++FLX:130:SMD' _x000D_
 _x000D_
_x000D_
  _x000D_
  _x000D_
_x000D_
 _x000D_
 *  Adiciones / Additions (la más relevantes | the most relevant) _x000D_
 _x000D_
_x000D_
  _x000D_
_x000D_
 _x000D_
 *  Group1:TDT :  Element C228-8179     (Type of means of transport identification) has been added, with value 13     mean (ocean vessel), example: _x000D_
 _x000D_
_x000D_
 _x000D_
 *  Current     Version:  TDT+20+2519N+1++HLCU:172:166+++9306196:146::PALENA' _x000D_
 _x000D_
 *  New     Version:  TDT+20+2519N+1+13+HLC:172:20+++9306196:146::PALENA:LR' _x000D_
 _x000D_
_x000D_
  _x000D_
_x000D_
 _x000D_
 *  Group1:TDT &amp; Group9:TDT :     Element C222-8453 (Nationality of means of transport, coded) has been     added, example: _x000D_
 _x000D_
_x000D_
 _x000D_
 *  Current     Version:  TDT+20+2519N+1++HLCU:172:166+++9306196:146::PALENA' _x000D_
 _x000D_
 *  New     Version:  TDT+20+2519N+1+13+HLC:172:20+++9306196:146::PALENA:LR' _x000D_
 _x000D_
_x000D_
  _x000D_
We appreciate your feedback until Sep 5th,2025. _x000D_
  _x000D_
Thanks in advance for your attention. Welook forward to hearing from you. _x000D_
  _x000D_
Best wishes, _x000D_
  _x000D_
Erika Verta _x000D_
Hapag-Lloyd Brazil _x000D_
OPSS &amp; Cargo OpsProcess &amp; Performance Support Specialist [PPS] _x000D_
Av. Ana Costa, 433 - Bloco B - 14º e 15ºandares _x000D_
Edifício Parque Ana Costa _x000D_
CEP: 11060-003 - Gonzaga  _x000D_
Santos, SP, Brazil _x000D_
Tel:  55 13 3211 8026 _x000D_
Mobile: 55 11 94140-1457 _x000D_
Fax: 55 13 3219 6814 _x000D_
E-mail: erika.verta@hlag.com _x000D_
web: www.hapag-lloyd.com _x000D_
  _x000D_
_x000D_
 _x000D_
</t>
  </si>
  <si>
    <t>Análise</t>
  </si>
  <si>
    <t>Pausado</t>
  </si>
  <si>
    <t>Projeto Checklist</t>
  </si>
  <si>
    <t>Sobreposição de Baplie</t>
  </si>
  <si>
    <t>Alterar categoria da unidade na leitura do siscarga</t>
  </si>
  <si>
    <t>Relatório Unidades Exportação</t>
  </si>
  <si>
    <t xml:space="preserve">Quando o cliente incluir uma nota fiscal de entrada errônea no portal e encaminhar para o Comex atualizar, essa informação deve atualizar o relatório de unidades exportação do portal. muitas vezes a uma divergência de CNPJS entre as notas de entrada. Os parâmetros para realizar o faturamento é utilizado com base na nota fiscal de entrada._x000D_
 _x000D_
</t>
  </si>
  <si>
    <t>CONTROLE; EDI; MELHORIA</t>
  </si>
  <si>
    <t>Erro</t>
  </si>
  <si>
    <t>ATENDIMENTO; MELHORIA; PORTAL; SOLICITANTE: RUBIA</t>
  </si>
  <si>
    <t>Relatório de agendamentos</t>
  </si>
  <si>
    <t xml:space="preserve">Permitir extrair o relatório de todos os agendamentos realizados no perfil._x000D_
 _x000D_
</t>
  </si>
  <si>
    <t>Relatório de Bookings</t>
  </si>
  <si>
    <t xml:space="preserve">O cliente SEARA, solicitou um relatório de consulta de todos os Booking cadastrados para determinado navio, a fim de garantir que os ajustes informados pelo terminal, foram de fato realizados._x000D_
 _x000D_
</t>
  </si>
  <si>
    <t>Truck Visit - Mapear operador que realizou o Outgate</t>
  </si>
  <si>
    <t>Relatório de Notas Fiscais com diferença de valores</t>
  </si>
  <si>
    <t>FATURAMENTO; GROOVY; MELHORIA; N4; SOLICITANTE: EDINALDO</t>
  </si>
  <si>
    <t>HLC COPARN - Cancelamento Booking com EDI BGM+1</t>
  </si>
  <si>
    <t>EDI; GROOVY; OPERAÇÃO; PRIORIZADO; SOLICITANTE: DANTON</t>
  </si>
  <si>
    <t xml:space="preserve">Criado após o cancelamento BGM+1_x000D_
 _x000D_
_x000D_
 _x000D_
[Image]_x000D_
 _x000D_
_x000D_
 _x000D_
[Image]_x000D_
 _x000D_
</t>
  </si>
  <si>
    <t>PIL COARRI customização para mapear BL Master</t>
  </si>
  <si>
    <t>EDI; GROOVY; MELHORIA; PRIORIZADO; SOLICITANTE: AMANDUS</t>
  </si>
  <si>
    <t>PIL CODECO customização para mapear BL Master</t>
  </si>
  <si>
    <t>MSC COARRI - Fix MscCoarriExtractInterceptor</t>
  </si>
  <si>
    <t>EDI; ERRO; GROOVY; PRIORIZADO; SOLICITANTE: AMANDUS</t>
  </si>
  <si>
    <t xml:space="preserve">Erro de BlNbr null após mudar do BL House para master na extração do groovy. Não influencia no envio para o armador e informação correta, mas exibe erro para todos os COARRIs com BL House definido. _x000D_
_x000D_
 _x000D_
[Image]_x000D_
_x000D_
[Image]_x000D_
_x000D_
[Image]_x000D_
 _x000D_
</t>
  </si>
  <si>
    <t>LOGIN COPARN</t>
  </si>
  <si>
    <t>EDI; OPERAÇÃO; SETUP; SOLICITANTE: AMANDUS</t>
  </si>
  <si>
    <t>LOGIN CODECO</t>
  </si>
  <si>
    <t>LOGIN COARRI</t>
  </si>
  <si>
    <t>ANÁLISE; COMEX; N4; SOLICITANTE: JOSIAS</t>
  </si>
  <si>
    <t>PIL COARRI - Remover MEA++VGM+KQ’</t>
  </si>
  <si>
    <t>AJUSTE; EDI; OPERAÇÃO; SOLICITANTE: AMANDUS</t>
  </si>
  <si>
    <t>EDI; OPERAÇÃO; PRIORIZADO; SOLICITANTE: BRUNO DUARTE</t>
  </si>
  <si>
    <t xml:space="preserve"> _x000D_
O processo de BAPLIE Pré-Arrival refere-se ao arquivo BAPLIE enviado antes do descarregamento das unidades em portos de descarga anteriores ao nosso terminal._x000D_
Já o BAPLIE Arrival é o arquivo enviado após o descarregamento completo das unidades nesses portos anteriores. _x000D_
É necessário verificar uma possível customização que permita a leitura de um novo arquivo BAPLIE capaz de atualizar as unidades existentes com novas informações ou remover apenas as unidades descarregadas em portos anteriores ao nosso — sem a necessidade de exclusão manual do BAPLIE atual (ação que atualmente resulta na deleção de todas as unidades, inclusive das que ainda serão descarregadas em nosso terminal). _x000D_
_x000D_
 _x000D_
O comportamento esperado é semelhante ao do COPARN, onde as informações são atualizadas sem a necessidade de deletar o batch anterior. _x000D_
 _x000D_
</t>
  </si>
  <si>
    <t xml:space="preserve">Implementar regra de alteração de categoria na Leitura do Siscarga. _x000D_
_x000D_
 _x000D_
Hoje, o Siscarga faz o processamento através do CE;_x000D_
_x000D_
 _x000D_
i - Verifica a categoria da unidade no arquivo_x000D_
 _x000D_
ii - Se impo, cria ou busca o BL_x000D_
 _x000D_
iii- Atualiza os dados de shipper, consignee e portos no BL_x000D_
 _x000D_
iv - Atualiza unit - Neste ponto a categoria pode ser alterada._x000D_
 _x000D_
v - Parâmetros e condições para a troca de categoria da Unit._x000D_
 _x000D_
Regra:_x000D_
 _x000D_
_x000D_
 _x000D_
IMPORTAÇÃO _x000D_
_x000D_
 *  Descarga e POD = ITAJAI no N4 e no SISCARGA _x000D_
 _x000D_
_x000D_
TRANSHIP_x000D_
 _x000D_
_x000D_
 *  Descarga e POD != ITAJAI no N4 e no SISCARGA_x000D_
 _x000D_
 _x000D_
_x000D_
 _x000D_
 _x000D_
_x000D_
 _x000D_
</t>
  </si>
  <si>
    <t xml:space="preserve">Desenvolver uma customização via groovy no momento de deletar o baplie para excluir todos os BLs envolvidos com os containers do navio, caso todos as units vinculadas forem deletadas. Atualmente apenas as unita são deletadas. A partir disso, quando o mesmo BL vir para outro návio, não será necessária exclusão manual dos BLs._x000D_
Necessário releitura do siscarga após procedimento._x000D_
 _x000D_
</t>
  </si>
  <si>
    <t>Customização para replace de campos da MoveHistory para ChargeableUnitEvents</t>
  </si>
  <si>
    <t xml:space="preserve">Customização para interceptar entidade MoveHistory e sempre que atualizado evento, atualizar na ChargeableUnitEvents. _x000D_
LifeCycleInterceptor._x000D_
_x000D_
Gravação do meet com a Navis_x000D_
Url: https://colabjbs.webex.com/recordingservice/sites/colabjbs/recording/playback/4e852b6a114d4c3981533894d4c5e391_x000D_
Senha: 9MudyGPs _x000D_
</t>
  </si>
  <si>
    <t>ONE CODECO BOOKING IMPORT</t>
  </si>
  <si>
    <t>EDI; MELHORIA; OPERAÇÃO; PRIORIZADO; SOLICITANTE: BRUNO DUARTE</t>
  </si>
  <si>
    <t xml:space="preserve">Mapear booking IMPORT ao segmento RFF+EP_x000D_
ufvUnitFlexString08 _x000D_
</t>
  </si>
  <si>
    <t>Relatório Consulta de Booking não retorna os dados esperados</t>
  </si>
  <si>
    <t xml:space="preserve">{_x000D_
"navioCodigo": "NCBRI",_x000D_
 _x000D_
"navioNome": "NC BRISA",_x000D_
 _x000D_
"navioTamanho": 223,_x000D_
 _x000D_
"viagemCodigoEntrada": "011S",_x000D_
 _x000D_
"viagemCodigoSaida": "012N",_x000D_
 _x000D_
"bercoCodigo": "2",_x000D_
 _x000D_
"dataChegada": "07/01/2025T10:00:00",_x000D_
 _x000D_
"dataPartida": "08/01/2025T10:00:00"_x000D_
 _x000D_
},_x000D_
 _x000D_
</t>
  </si>
  <si>
    <t>BillingApi - Ajuste Endpoint Navio e Viagem - Adicionar campos viagemCodigoEntrada e viagemCodigoSaida</t>
  </si>
  <si>
    <t>BILLING; FATURAMENTO; MELHORIA; PRIORIZADO; SOLICITANTE: EDINALDO</t>
  </si>
  <si>
    <t>\Backlog_1</t>
  </si>
  <si>
    <t>\Backlog_1\Sprint_1</t>
  </si>
  <si>
    <t>Extrator; MELHORIA; RECEITA; SOLICITANTE: AMANDUS</t>
  </si>
  <si>
    <t>Execução limpeza Units XPS</t>
  </si>
  <si>
    <t>Navis N4 - Argoservice não retorna message do Trouble_Lane</t>
  </si>
  <si>
    <t xml:space="preserve">Trouble status in gate transaction does not return error message _x000D_
_x000D_
We would like to verify whether the current version of N4 we are using allows us to retrieve a meaningful error message when a gate transaction returns a status of TROUBLE or TROUBLE_LANE._x000D_
_x000D_
We tested the following request types via ArgoService:_x000D_
_x000D_
create-truck-visit_x000D_
_x000D_
submit-transaction for both ingate and outgate stages._x000D_
_x000D_
Here is an example of our submit-transaction (ingate) request:_x000D_
_x000D_
FULL - ingate - LANE2_x000D_
_x000D_
The response returns a status="TROUBLE" and action="TROUBLE_LANE", but the tag is not populated:_x000D_
_x000D_
We would like to know:_x000D_
_x000D_
Is there a way to enable or retrieve the specific error message that caused the trouble?_x000D_
_x000D_
If not, could this be considered for future enhancement? It would greatly help in diagnosing gate transaction issues and improving automation._x000D_
 _x000D_
_x000D_
 _x000D_
</t>
  </si>
  <si>
    <t>Entrega Due - Não embarcados e Tranship</t>
  </si>
  <si>
    <t>N4 - Appt Expired após ser Used pelo Gate</t>
  </si>
  <si>
    <t xml:space="preserve">Em conversa com o @Vinícius Birsenek de Moraes , foi reportado um cenário onde o agendamento expira mesmo após ser utilizado pelo Gate, cenário este em que ele é alterado para USED no mesmo minuto em que o agendamento fica como LATE. Portanto, após passado o tempo de Expiração, o agentamento terá como resultado o status EXPIRED. Um detalhe importante é que se o veículo ainda estiver no pátio até o tempo de expiração, ele será bloqueado devido as regras de BUSSINESS TASKs configuradas. _x000D_
_x000D_
 _x000D_
Também notamos um comportamento divergente onde o Navis inclui 16 minutos do tempo de expiração definido em Appointment Rule Sets. _x000D_
_x000D_
 _x000D_
[Image]_x000D_
 _x000D_
_x000D_
 _x000D_
</t>
  </si>
  <si>
    <t>Leitura Siscarga - Não processamento de unidades EEXPORTADA</t>
  </si>
  <si>
    <t xml:space="preserve">Critérios: _x000D_
_x000D_
 *  _x000D_
No arquivo SISCARGA unidade == EEXPORTADA  _x000D_
 _x000D_
 _x000D_
 *  _x000D_
Porto origen != BRITJ _x000D_
 _x000D_
 *  _x000D_
Porto destino é estrangeiro. _x000D_
 _x000D_
 *  _x000D_
Precisamos de mais um critério, Josias ficou de validar 22/10/2025. _x000D_
 _x000D_
 *  _x000D_
Atualmente está assim =_x000D_
if (unitCategoryEnum == UnitCategoryEnum.EXPORT || portoOrigem == "BRITJ") _x000D_
 _x000D_
 _x000D_
_x000D_
O que fazer: _x000D_
_x000D_
 *  Unidade não pode cair no fluxo de EXPORTACAO, deve ser tratado como IMPORTACAO _x000D_
 _x000D_
_x000D_
 _x000D_
_x000D_
 _x000D_
_x000D_
 _x000D_
 _x000D_
</t>
  </si>
  <si>
    <t xml:space="preserve">Criação de relatório de Acessos à ser consultado via Data Recintos. _x000D_
O processamento fica sob responsabilidade do extrator. _x000D_
</t>
  </si>
  <si>
    <t xml:space="preserve">Boa tarde Prezados(as), _x000D_
  _x000D_
@DANTON DA ROSA ABREU _x000D_
@Matheus Henrique Falcão Santos _x000D_
  _x000D_
Conforme comentado em reunião, favor abrir novos cards parabacklog de ajuste na entrega DU-E: _x000D_
  _x000D_
_x000D_
 _x000D_
 *  Entrega DU-E(não     embarcados) Priorizar;  _x000D_
 _x000D_
_x000D_
Afim de garantir o sucesso nessa melhoria implementada da entregaDU-E mediante event ID unit_load, favor verificar possibilidade em ajustarda seguinte forma: _x000D_
  _x000D_
_x000D_
 _x000D_
 *  Ao realizar alteração no     phase do vessel visit para "complete"grifar todas units que     tiverem ultimo event ID registrado na move history como unit_disch de     cargas que tiverem categoria Export/TRANSSHIP; _x000D_
 _x000D_
_x000D_
  _x000D_
_x000D_
 _x000D_
 *  Listar no topo da lista     das entregas essas  unidades; _x000D_
 _x000D_
_x000D_
  _x000D_
_x000D_
 _x000D_
 *  Considerar Status     Entrega como “Não embarcado” _x000D_
 _x000D_
_x000D_
Exemplo1: Status Entrega _x000D_
[Image]_x000D_
 _x000D_
  _x000D_
Exemplo2: linha grifada _x000D_
[Image]_x000D_
 _x000D_
_x000D_
 _x000D_
  _x000D_
  _x000D_
_x000D_
 _x000D_
 *  Incluir na rotina de     entrega DU-E categoria “TRANSSHIP – OPL: Porto nacional) _x000D_
 _x000D_
_x000D_
 _x000D_
 *  Quando houver categoria     TRANSSHIP com OPL porto nacional - Ex:BRSUA,BRSSZ (Todos os portos     nacionais iniciam com BR) _x000D_
 _x000D_
 *  Port OF Destination     (POD)  longo curso – Ex:USHOU,MXATM ETC. _x000D_
 _x000D_
 *  EXCESSÃO armadores de     cabotagem(NOR,MER,LOG,ALI) _x000D_
 _x000D_
 *  Consultar via API no     PUCOMEX – Portal único no Pós-ACD pelo conteiner numero da DU-E  e     preencher no Navis N4 nos campos número DU-E, situação DU-E. _x000D_
 _x000D_
 *  Listar para entrega DU-E     como é feito na exportação normal. _x000D_
 _x000D_
_x000D_
  _x000D_
Em caso de dúvida estou a disposição! _x000D_
  _x000D_
  _x000D_
Saudações / Best Regards, _x000D_
  _x000D_
 _x000D_
_x000D_
</t>
  </si>
  <si>
    <t>CONTROLE; EDI; OPERAÇÃO; SOLICITANTE: BRUNO DUARTE</t>
  </si>
  <si>
    <t xml:space="preserve">Boa tarde a todos,  _x000D_
  _x000D_
              @BRUNO DUARTE, _x000D_
  _x000D_
CARD Criado em nosso backlog para mapeamento do segmento DIM com asinformações de Overdimensions para os Booking da MSC. _x000D_
_x000D_
 _x000D_
 *  1110 - MSC COPARN - OOG _x000D_
 _x000D_
_x000D_
  _x000D_
Ressaltamos que atualmente seguimos um cronograma de demandas jádefinido, e este cenário deverá ser tratado após a conclusão docronograma vigente, previsto para 17/11/2025. _x000D_
  _x000D_
Atenciosamente, _x000D_
  _x000D_
_x000D_
 _x000D_
_x000D_
  _x000D_
_x000D_
  _x000D_
[Image] _x000D_
  _x000D_
_x000D_
  _x000D_
_x000D_
  _x000D_
Danton Abreu _x000D_
  _x000D_
  _x000D_
_x000D_
   _x000D_
  _x000D_
:  Tecnologia da  Informação _x000D_
  i  Analista de Sistemas _x000D_
  *  danton.abreu@jbsterminais.com.br _x000D_
  _x000D_
_x000D_
  _x000D_
_x000D_
  _x000D_
  _x000D_
  _x000D_
_x000D_
  _x000D_
_x000D_
  _x000D_
Av. Cel. Eugênio Muller, 300 _x000D_
  Centro – Itajaí – SC _x000D_
  _x000D_
CEP – 88301-120_x000D_
  Fone: +55 (11) 310-5463 _x000D_
  _x000D_
Cel: +55 (47) 99271-4421 _x000D_
  _x000D_
www.linhaeticajbs.com.br_x000D_
  Linha Ética JBS: 0800 377 8055 _x000D_
  _x000D_
www.linhaeticajbs.com.br _x000D_
  _x000D_
_x000D_
 _x000D_
_x000D_
  _x000D_
  _x000D_
  _x000D_
De: BRUNO DUARTE &lt;bruno.duarte1@jbsterminais.com.br&gt;_x000D_
Enviada em: quarta-feira, 29 de outubro de 2025 14:42_x000D_
Para: Atendimento JBS Terminais &lt;atendimento@jbsterminais.com.br&gt;;PRONTIFICAÇÃO JBS Terminais &lt;prontificacao@jbsterminais.com.br&gt;;DANTON DA ROSA ABREU &lt;danton.abreu@jbsterminais.com.br&gt;_x000D_
Cc: FELIPE BRASIL &lt;felipe.brasil@jbsterminais.com.br&gt;;GEORGE DE AMORIM BAIAO &lt;george.baiao@jbsterminais.com.br&gt;_x000D_
Assunto: RE: AJUSTE DE BOOKING OOG - P40175359 _x000D_
_x000D_
 _x000D_
_x000D_
 _x000D_
Necessidade de ajuste no mapeamento dos EDI COPARN para leitura dos Segmentos DIM e atribuição de informações de OOG para os Bookings da MSC. _x000D_
_x000D_
 _x000D_
From: Bruno Duarte_x000D_
 _x000D_
_x000D_
 _x000D_
_x000D_
 _x000D_
Obrigado Wand. _x000D_
  _x000D_
@DANTONDA ROSA ABREU consegue verificar estes casos? _x000D_
  _x000D_
[Image] _x000D_
  _x000D_
From: Atendimento JBS Terminais &lt;atendimento@jbsterminais.com.br&gt;_x000D_
Sent: quarta-feira, 29 de outubro de 2025 13:24_x000D_
To: PRONTIFICAÇÃO JBS Terminais &lt;prontificacao@jbsterminais.com.br&gt;_x000D_
Cc: FELIPE BRASIL &lt;felipe.brasil@jbsterminais.com.br&gt;;BRUNO DUARTE &lt;bruno.duarte1@jbsterminais.com.br&gt;;GEORGE DE AMORIM BAIAO &lt;george.baiao@jbsterminais.com.br&gt;_x000D_
Subject: AJUSTE DE BOOKING OOG - P40175359 _x000D_
  _x000D_
## - Não escreva abaixo dessa linha - ## _x000D_
  _x000D_
Boa tarde,pessoal! _x000D_
  _x000D_
@prontificacao, por gentileza, verificar o bookingacima, ele é previsto para carga overdimension e no n4 o item não estáregistrado como OOG e as dimensões recebidas pelo do EDI lançadas. _x000D_
  _x000D_
@Bruno, @Felipe, conforme informei ao @George, estamossendo reincidência em todos as reservas que tenham excesso e não são da MSC. _x000D_
  _x000D_
Atransferência no N4 não está triangulando a pesquisa, parece estar sendoverificada por linha ao invés de buscar nas linhas a referência DIM para teracesso aos dados de cargas OOG e registrar no booking. _x000D_
  _x000D_
Como nãotenho o contato exato do TI que atua com EDI, optei reportar a vocês esse caso.Essa situação também ocorre com os outros dados, como ISO Code, produto, IMO. _x000D_
  _x000D_
Bestregards, _x000D_
 _x000D_
_x000D_
</t>
  </si>
  <si>
    <t>EVE CODECO IMPORT FCL GRP CODE</t>
  </si>
  <si>
    <t>Atualizacao Cadastral Empresa</t>
  </si>
  <si>
    <t xml:space="preserve">A empresa deve ter a opção de atualizar as informações sem a necessidade de aprovação de alguém JBS. _x000D_
</t>
  </si>
  <si>
    <t>Faturar Para Obrigatório</t>
  </si>
  <si>
    <t xml:space="preserve">Prezados _x000D_
  _x000D_
Estávamos simulando um reagendamento por meio do login datransportadora Transpare e identificamos que é possível a transportadora teracesso aos detalhes do Faturamento adicional por meio da tela abaixo.  _x000D_
  _x000D_
Sugerimos a correção da tela, da seguinte forma.  _x000D_
  _x000D_
_x000D_
 _x000D_
 *  Caso o reagendamento seja feito pelo perfil do     transportador,  deve ser exibido a tela podem omitindo o valor e os     detalhes do faturamento. _x000D_
 _x000D_
 *  Caso o reagendamento seja  feito pelo perfil de     importador/despachante, nada muda. _x000D_
 _x000D_
_x000D_
[Image]_x000D_
 _x000D_
[Image]_x000D_
 _x000D_
</t>
  </si>
  <si>
    <t xml:space="preserve">Conforme alinhado na reunião de definição da demanda, foi analisada e definida a seguinte regra para o envio do EDI CODECO: _x000D_
1. Importação (OUTGATE CODECO): _x000D_
_x000D_
 *  _x000D_
BGM+34 → deve ser utilizado para unidades OUTGATE FCL dos GRP CODES POLY, MULTILOG, BRAS, entre outros (a confirmar com o time de operações). _x000D_
 _x000D_
 *  _x000D_
BGM+36 → deve ser utilizado para: _x000D_
_x000D_
 *  _x000D_
Unidades OUTGATE FCL do GRP CODE JBST _x000D_
 _x000D_
 *  _x000D_
Todas as unidades OUTGATE vazias (EMPTY) _x000D_
 _x000D_
 _x000D_
_x000D_
 _x000D_
 _x000D_
_x000D_
2. Exportação (INGATE / OUTGATE CODECO): _x000D_
_x000D_
 *  _x000D_
Mantida a regra atual: _x000D_
_x000D_
 *  _x000D_
BGM+34 → INGATE _x000D_
 _x000D_
 *  _x000D_
BGM+36 → OUTGATE _x000D_
 _x000D_
 _x000D_
_x000D_
 _x000D_
 _x000D_
_x000D_
Também foi definido que as informações que serão disponibilizadas no EDI e que atualmente estão disponíveis no relatório “Contêineres no Pátio” do Portal JBST são suficientes para consulta e validação dos GRP CODES. _x000D_
🔹 Próximas ações / Pendências: _x000D_
_x000D_
 *  @JEFERSON     SOUZA SEBASTIAO, gentileza validar se já possuem acesso ao Portal     JBST. Caso negativo, favor informar para que possamos os instruir ao     primeiro acesso. Segue o link do relatório utilizado em nossa reunião → https://portal.jbsterminais.com.br/relatorios/conteiner-patio. _x000D_
 *  @DOUGLAS,     @GEORGE,     gentileza confirmar os GRP CODES aplicáveis à regra de OUTGATE     com BGM+34 das unidades FCL da EVE. _x000D_
 *  @DANTON,     fico pendente de informar a previsão de finalização do desenvolvimento     desta tarefa. _x000D_
 *  _x000D_
👉 https://portal.jbsterminais.com.br/relatorios/conteiner-patio _x000D_
 _x000D_
 _x000D_
_x000D_
_x000D_
 _x000D_
_x000D_
 _x000D_
[Image] _x000D_
_x000D_
 _x000D_
</t>
  </si>
  <si>
    <t>COMEX; EDI; GROOVY; OPERAÇÃO; PRIORIZADO; SOLICITANTE: GEROGE BAIÃO</t>
  </si>
  <si>
    <t>Exclusão dos BL sem unidades após processamento do Siscarga</t>
  </si>
  <si>
    <t>Cancelamento OCR não gera No Show</t>
  </si>
  <si>
    <t xml:space="preserve">Solicitante Wesley, informou via Webex que os agendamentos cancelados pelo projeto de OCR não estão gerando a taxa de No-Show _x000D_
_x000D_
 _x000D_
</t>
  </si>
  <si>
    <t xml:space="preserve">Com o deploy do projeto de cancelamento OCR, é necessário inserir a visualização do motivo de cancelamento no portal, para os processos de retirada _x000D_
</t>
  </si>
  <si>
    <t>Customização da Billing API</t>
  </si>
  <si>
    <t>BENNER; BILLING; FATURAMENTO; MELHORIA; PRIORIZADO; SOLICITANTE : EDINALDO</t>
  </si>
  <si>
    <t xml:space="preserve">Adicionar informações DocType, DocNumber e CifValue nos endpoints _x000D_
</t>
  </si>
  <si>
    <t>Processo de cancelamento de faturamento com integração PIX</t>
  </si>
  <si>
    <t xml:space="preserve">Quando o pagamento não for realizado dentro da janela que devera ser informada via parametros o portal deve enviar a requisição de cancelamento(Status SOLICITADO CANCELAMENTO) para o ERP e logo após, fazer consultas na Benner para efitivar o cancelamento(Status: CANCELADO) com o retorno OK da Benner _x000D_
</t>
  </si>
  <si>
    <t>Notificação de abertura do processo. - DUIMP porto público</t>
  </si>
  <si>
    <t>BUG; COMEX; PORTAL; SOLICITANTE: JOSIAS</t>
  </si>
  <si>
    <t>Faturamento consolidado inconsistente ao gerar adicional</t>
  </si>
  <si>
    <t>FATURAMENTO; PORTAL; SOLICITANTE: ANTONIA</t>
  </si>
  <si>
    <t xml:space="preserve">Notificado por Antônia: _x000D_
_x000D_
 _x000D_
[Image]_x000D_
 _x000D_
_x000D_
 _x000D_
[Image]_x000D_
 _x000D_
</t>
  </si>
  <si>
    <t>EDI COSCO - SETUP</t>
  </si>
  <si>
    <t>Agendamentos cancelados no OCR não geram reprog</t>
  </si>
  <si>
    <t>Reincidência - Impossibilidade de re agendar processo cancelado via OCR</t>
  </si>
  <si>
    <t>PORTAL</t>
  </si>
  <si>
    <t xml:space="preserve">Notificado reincidência do problema reportado em: Issue 1482: Impossibilidade de re agendar processo cancelado via OCR  _x000D_
_x000D_
 _x000D_
[Image]_x000D_
 _x000D_
 _x000D_
 _x000D_
 _x000D_
</t>
  </si>
  <si>
    <t>Incluir Histórico de motivo cancelamentos no processo</t>
  </si>
  <si>
    <t>Correção alterarção de categoria da unidade na leitura do siscarga</t>
  </si>
  <si>
    <t xml:space="preserve">Tivemos alguns casos onde o status do processo linear não é atualziado para 1 após a etapa de aprovação documental, impedindo que o cliente realize os pré-agendamentos. _x000D_
</t>
  </si>
  <si>
    <t>ATENDIMENTO; ERRO; N4; SOLICITANTE: WESLEY</t>
  </si>
  <si>
    <t>Adicionar Motivo cancelamento no Portal para agendamentos Linear</t>
  </si>
  <si>
    <t>Unidades não retoram DUE</t>
  </si>
  <si>
    <t xml:space="preserve">UACU5961944 / HAMU2102557_x000D_
 _x000D_
_x000D_
 _x000D_
Unidades não estão atualizando a DUE _x000D_
</t>
  </si>
  <si>
    <t>APS - Unidades sem integração: TCNU1422541 e HLBU3226399</t>
  </si>
  <si>
    <t>Liberação de Documentação sem unidade</t>
  </si>
  <si>
    <t xml:space="preserve">[Image]_x000D_
 _x000D_
_x000D_
 _x000D_
DTA 2505297988 _x000D_
CE 182505356738931 _x000D_
_x000D_
 _x000D_
</t>
  </si>
  <si>
    <t>Faturamento aprovado com BL incorreto</t>
  </si>
  <si>
    <t>COMEX; SOLICITANTE: JOSIAS</t>
  </si>
  <si>
    <t>ATENDIMENTO; ERRO; PORTAL; SOLICITANTE: WESLEY</t>
  </si>
  <si>
    <t>COMEX; EDI; ERRO; SISCARGA; SOLICITANTE: JOSIAS</t>
  </si>
  <si>
    <t>ATENDIMENTO; PORTAL; SOLICITANTE: WESLEY</t>
  </si>
  <si>
    <t>CONTROLE; EDI; SOLICITANTE: RONALDO; TI</t>
  </si>
  <si>
    <t>EDI LOAD LIST sem unidades planejadas</t>
  </si>
  <si>
    <t xml:space="preserve">Agendamentos Cancelados pelo OCR, não geram reprog ao iniciar o reagendamento pelo Portal. _x000D_
Testar se o mesmo não ocorre cancelamento pelo Navis N4. _x000D_
</t>
  </si>
  <si>
    <t>Incluir CNPJ do solicitante na tela do processo</t>
  </si>
  <si>
    <t xml:space="preserve">Foi solicitado pelo Weslley para que o CNPJ do criador do processo seja exibido no card do processo linear. _x000D_
_x000D_
 _x000D_
[Image]_x000D_
 _x000D_
</t>
  </si>
  <si>
    <t>COMERCIAL; CONTROLE; EDI; SOLICITANTE : THOMAS</t>
  </si>
  <si>
    <t>EDI; MELHORIA; OPERAÇÃO; Portchain; SOLICITANTE: BRUNO DUARTE</t>
  </si>
  <si>
    <t>FATURAMENTO; MELHORIA; PORTAL; SOLICITANTE : JOÃO</t>
  </si>
  <si>
    <t>COMERCIAL; EDI; SOLICITANTE : THOMAS</t>
  </si>
  <si>
    <t>CONTROLE; EDI; FINANCEIRO; MELHORIA; PRIORIZADO; SETUP; SOLICITANTE : EDINALDO</t>
  </si>
  <si>
    <t>COMEX; CONTROLE; Impeditivo; MELHORIA; SOLICITANTE: JOSIAS</t>
  </si>
  <si>
    <t>EDI; Impeditivo; MELHORIA; SOLICITANTE: DANTON; TI</t>
  </si>
  <si>
    <t>FATURAMENTO; MELHORIA; SOLICITANTE : EDINALDO</t>
  </si>
  <si>
    <t>CONTROLE; MELHORIA; OPERAÇÃO; SOLICITANTE: BRUNO DUARTE</t>
  </si>
  <si>
    <t>PORTAL; SOLICITANTE : EDINALDO</t>
  </si>
  <si>
    <t>Aprovação Documental não atualiza status no banco</t>
  </si>
  <si>
    <t xml:space="preserve">[Image]_x000D_
 _x000D_
[Image]_x000D_
 _x000D_
[Image]_x000D_
 _x000D_
_x000D_
 _x000D_
Para publicação em Produção, caso aprovado pelo Josias, basta publicar em PRD o groovy LeituraSiscargaThreadedTableViewCommand._x000D_
 _x000D_
</t>
  </si>
  <si>
    <t>Aprovação de Liberação Documental de BL em 2 processos</t>
  </si>
  <si>
    <t xml:space="preserve">Relatado por Josias em reunião. Há um processo consolidado no qual um BL faz parte de 2 containers, porém outros BLs estão divididos em 1 container cada, o que causou com que apenas metade do processo seja finalizado, porém a outra parte mantém-se impedida se prosseguir pois o BL compartilhado já está marcado como Finalizado. _x000D_
</t>
  </si>
  <si>
    <t xml:space="preserve">CtrlAgendamento - Ajuste TimeExtract </t>
  </si>
  <si>
    <t>CtrlAgengdamento; OPERAÇÃO; SOLICITANTE: AMANDUS</t>
  </si>
  <si>
    <t>COMEX; PORTAL; SOLICITANTE: JOSIAS</t>
  </si>
  <si>
    <t>CONTROLE; Impeditivo; MELHORIA; PRIORIZADO; SOLICITANTE: AMANDUS; SPRINT_1; TI</t>
  </si>
  <si>
    <t>COMEX; SOLICITANTE: JOSIAS; SPRINT_1</t>
  </si>
  <si>
    <t>FATURAMENTO; PORTAL; RELATÓRIOS; SOLICITANTE : JOÃO; SPRINT_1</t>
  </si>
  <si>
    <t>MELHORIA; NAVIS N4; OPERAÇÃO; PRIORIZADO; SOLICITANTE: BRUNO DUARTE; SPRINT_1</t>
  </si>
  <si>
    <t>FATURAMENTO; MELHORIA; PORTAL; SOLICITANTE: JOAO PETERS; SPRINT_1</t>
  </si>
  <si>
    <t>ATENDIMENTO; MELHORIA; SOLICITANTE: WESLEY; SPRINT_1</t>
  </si>
  <si>
    <t>ATENDIMENTO; SOLICITANTE: WESLEY; SPRINT_1</t>
  </si>
  <si>
    <t xml:space="preserve"> Extrator - Envio de pesagem para veiculos Service</t>
  </si>
  <si>
    <t xml:space="preserve">Para atender uma demanda de recepção de navio de cruzeiro foi solicitada a alteração no envio de evento de pesagem para que sejam considerados veículos de serviço. _x000D_
</t>
  </si>
  <si>
    <t xml:space="preserve">20252030758-Cobrança incorreta por etiqueta </t>
  </si>
  <si>
    <t xml:space="preserve">Está ocorrendo uma cobrançaincorreta no valor da etiquetagem. O valor por etiqueta é R$ 9,00 e foramutilizadas 2.648 etiquetas, porém o portal está cobrando apenas R$ 9,00. Ovalor correto deveria ser R$ 23.832,00._x000D_
Solicito, por favor, que verifiquem essa situação com urgência, pois o clienteé à vista, não podemos encaminhar o valor do pix divergente e o carregamentoestá previsto para amanhã, 02/12. PEDIDO 0014719_x000D_
 _x000D_
</t>
  </si>
  <si>
    <t>FATURAMENTO; PORTAL; PRIORIZADO; SOLICITANTE: ANTONIA; SPRINT_1; URGÊNTE</t>
  </si>
  <si>
    <t>Departament</t>
  </si>
  <si>
    <t>Requester</t>
  </si>
  <si>
    <t>RECEITA</t>
  </si>
  <si>
    <t>NAVIS N4</t>
  </si>
  <si>
    <t>Impeditivo</t>
  </si>
  <si>
    <t>ATENDIMENTO; CONTROLE; SOLICITANTE:WESLEY</t>
  </si>
  <si>
    <t>COMEX; CONTROLE; SOLICITANTE: GEORGE</t>
  </si>
  <si>
    <t>GATE; MELHORIA; NAVIS N4; OPERAÇÃO; PRIORIZADO; SOLICITANTE: LUCAS</t>
  </si>
  <si>
    <t>GATE; MELHORIA; NAVIS N4; SOLICITANTE: AMANDUS; TI</t>
  </si>
  <si>
    <t>ATENDIMENTO; GROOVY; PORTAL; PRIORIZADO; SOLICITANTE: AMANDUS</t>
  </si>
  <si>
    <t>ATENDIMENTO; PORTAL; SOLICITANTE: KATIA</t>
  </si>
  <si>
    <t>ERRO_USUARIO; N4; OPERAÇÃO; SOLICITANTE: FELIPE</t>
  </si>
  <si>
    <t>SOLICITANTE: GEORGE</t>
  </si>
  <si>
    <t>COMEX; CONTROLE; EDI; Impeditivo; MELHORIA; SOLICITANTE: GEORGE</t>
  </si>
  <si>
    <t>EDI; MELHORIA; OPERAÇÃO; SOLICITANTE: GEORGE</t>
  </si>
  <si>
    <t>DataRecintos - Relatório de Acessos</t>
  </si>
  <si>
    <t>20252033704 - Unidades foram vinculadas ao BL. Porém, existem 6 contêineres vazios que não deveriam estar vinculados</t>
  </si>
  <si>
    <t xml:space="preserve">Boa tarde! Gabi, sobre o faturamento JBS004438, houve um transbordo e todas as unidades foram vinculadas ao BL. Porém, existem 6 contêineres vazios que não deveriam estar vinculados, pois isso fará com que o cálculo de armazenagem seja realizado de forma incorreta, e não é possível solicitar o faturamento porque todas as unidades tem que esta pre agendada Você poderia desvincular esses vazios para que o cliente consiga solicitar o faturamento?_x000D_
 _x000D_
</t>
  </si>
  <si>
    <t>20252050783 -  Processo de retirada travado na etapa de faturamento</t>
  </si>
  <si>
    <t xml:space="preserve">Login 	josiascapistrano-soy_x000D_
Tipo de usuário 	COLABORADOR_x000D_
 _x000D_
Nome Completo 	Josias Genesio Capistrano_x000D_
 _x000D_
Email do Solicitante 	josias.capistrano@jbsterminais.com.br_x000D_
 _x000D_
CPF 	06467546962_x000D_
 _x000D_
Função 	Analista de Documentação Pl_x000D_
 _x000D_
Departamento 	Operações Portuárias - Documentação_x000D_
 _x000D_
Nome Empresa 	SEARA OPERACOES PORTUARIAS LTDA_x000D_
 _x000D_
Ramal 	5423 _x000D_
_x000D_
 _x000D_
_x000D_
 _x000D_
_x000D_
Descrição _x000D_
_x000D_
Descrição 	Olá, _x000D_
 _x000D_
_x000D_
 _x000D_
Favor verificar DSI 2500072090, pois o processo criado pela equipe de documentação com perfil do cliente - FELIPE VIER - 04927992969 consta travado ao tentar solicitar o faturamento._x000D_
 _x000D_
_x000D_
 _x000D_
Note que esse caso já consta com encaixe e esta pre agendado para 03/12 18hrs a retirada._x000D_
 _x000D_
_x000D_
 _x000D_
Precisamos entender o que ocasionou esse bug e melhorar a rotina da DSI no processo linear._x000D_
 _x000D_
_x000D_
 _x000D_
PROTOCOLO: JBS004650_x000D_
 _x000D_
BL: HLCULIV250887587 _x000D_
_x000D_
_x000D_
</t>
  </si>
  <si>
    <t>20252054286 - Remover Billable de Eventos da Unit</t>
  </si>
  <si>
    <t xml:space="preserve">Login 	brunoduarte-soy_x000D_
Tipo de usuário 	COLABORADOR_x000D_
 _x000D_
Nome Completo 	Bruno Duarte_x000D_
 _x000D_
Email do Solicitante 	bruno.duarte1@jbsterminais.com.br_x000D_
 _x000D_
CPF 	07022339945_x000D_
 _x000D_
Função 	Coordenador de Estratégia e Desempenho Operacional_x000D_
 _x000D_
Departamento 	Dp - Operações Portuárias - Desempenho Operacional_x000D_
 _x000D_
Nome Empresa 	SEARA OPERACOES PORTUARIAS LTDA_x000D_
 _x000D_
_x000D_
 _x000D_
_x000D_
Descrição  _x000D_
_x000D_
Boa tarde._x000D_
 _x000D_
_x000D_
 _x000D_
Pessoal, precisamos melhorar a comunicação, fizemos um alinhamento na semana passada e estamos seguindo de maneira diferente esta semana, serão quase 700 eventos que terão de ser ajustados manualmente por não estarmos seguindo o que foi combinado, o que irá gerar grande retrabalho de maneira desnecessária._x000D_
 _x000D_
_x000D_
 _x000D_
Lancei os eventos de SSE para seguir com a cobrança, mas os cancelamentos dos eventos anteriores irão levar algum tempo pra ser concluído._x000D_
 _x000D_
_x000D_
 _x000D_
@DANTON DA ROSA ABREU conforme falamos, precisamos executar um script para efetuar o cancelamento do billable dos eventos de UNIT_SCALE e UNIT_LIFT dos containers em anexo, caso precise de mais algum informação para o script por gentileza me avise._x000D_
_x000D_
</t>
  </si>
  <si>
    <t>20252049216 - Validar permissões de relatórios</t>
  </si>
  <si>
    <t xml:space="preserve">Login 	edinaldofranca-soy_x000D_
Tipo de usuário 	COLABORADOR_x000D_
 _x000D_
Nome Completo 	Edinaldo Da Silva Franca_x000D_
 _x000D_
Email do Solicitante 	edinaldo.franca@seara.com.br_x000D_
 _x000D_
CPF 	06626075381_x000D_
 _x000D_
Função 	SUPERVISOR FINANCEIRO_x000D_
 _x000D_
Departamento 	Dp - Operações Portuárias - Financeiro_x000D_
 _x000D_
Nome Empresa 	SEARA OPERACOES PORTUARIAS LTDA_x000D_
 _x000D_
Ramal 	5415_x000D_
 _x000D_
_x000D_
 _x000D_
_x000D_
Descrição  _x000D_
_x000D_
Bom dia!_x000D_
 _x000D_
_x000D_
 _x000D_
Chamado aberto para adequação de permissão do relatório de nota fiscal de serviços disponível no portal do cliente conforme mensagem anexo._x000D_
 _x000D_
_x000D_
_x000D_
</t>
  </si>
  <si>
    <t xml:space="preserve">20252051622 - Faturamento Importação serviço de Armazenagem </t>
  </si>
  <si>
    <t xml:space="preserve">_x000D_
Boa tarde,Tínhamos visto para o cliente conseguir realizar o faturamento de importação apenas se tivesse cobrando armazenagem, mas esta sendo possível solicitar apenas com os serviços de levante e pesagem. _x000D_
 _x000D_
_x000D_
[Image]_x000D_
 _x000D_
</t>
  </si>
  <si>
    <t>Critical</t>
  </si>
  <si>
    <t>FATURAMENTO; PORTAL; SOLICITANTE: MATHEUS; SPRINT_1; URGENTE</t>
  </si>
  <si>
    <t>20252065127 - Cabotagem consolidado valor zerado</t>
  </si>
  <si>
    <t xml:space="preserve">Trata-se de um processo consolidado de cabotagem, o primeiro faturamento é possível solicitar normalmente, porém o segundo o cliente solicita o faturamento e não integra em faturamentos realizados.O valor do segundo processo é zerado, pois há free time para cabotagem._x000D_
 _x000D_
_x000D_
 _x000D_
[Image]_x000D_
 _x000D_
_x000D_
 _x000D_
[Image]_x000D_
 _x000D_
_x000D_
 _x000D_
Esse card pode ser tratado em conjunto com o card 1555 _x000D_
</t>
  </si>
  <si>
    <t>20252069321 - Erro Demurrage</t>
  </si>
  <si>
    <t xml:space="preserve">Ao tentar reagendar a unidade, apresentou erro de DEMURRAGE, gentileza verificar. FFAU1527935 - JBS004671_x000D_
[Image]_x000D_
 _x000D_
</t>
  </si>
  <si>
    <t>FATURAMENTO; FATURAMENTO IMP; Impeditivo; SOLICITANTE: ANTONIA; SPRINT_1; URGENTE</t>
  </si>
  <si>
    <t>FATURAMENTO; MELHORIA; SOLICITANTE: EDINALDO; SPRINT_1; URGENTE</t>
  </si>
  <si>
    <t>AGENDAMENTOS; ATENDIMENTO; MIGRATION; PORTAL; SOLICITANTE:WESLEY; SPRINT_1; URGENTE</t>
  </si>
  <si>
    <t>AJUSTE; COMEX; NAVIS N4; SOLICITANTE: JOSIAS; SPRINT_2</t>
  </si>
  <si>
    <t>20252102939 - Falta de registro de agendamento</t>
  </si>
  <si>
    <t xml:space="preserve">_x000D_
Bom Dia Pessoal,Gentileza notar que o cliente esta com faturamento finalizado para 16/12 e as unidades estão canceladas. Consultamos o N4 e não há registro e confirmação da janela ou ação de cancelamento por parte do cliente.Ao tentar reprogramar o portal fica carregando infinitamente, pois não identifica a informação no n4, erro que tivemos anteriormente. Poderia verificar por gentileza? JBS005643.  Fico á disposição! _x000D_
 _x000D_
_x000D_
_x000D_
 _x000D_
</t>
  </si>
  <si>
    <t>FATURAMENTO; MELHORIA; PRIORIZADO; SOLICITANTE : EDINALDO; SPRINT_1; URGENTE</t>
  </si>
  <si>
    <t>AGENDAMENTOS; ATENDIMENTO; SOLICITANTE: RUBIA; SPRINT_2; URGENTE</t>
  </si>
  <si>
    <t>FATURAMENTO; SOLICITANTE: ANTONIA; SPRINT_3</t>
  </si>
  <si>
    <t>AGENDAMENTOS; ANÁLISE; DTC; Impeditivo; OPERAÇÃO; SOLICITANTE: BRUNO DUARTE; SPRINT_1</t>
  </si>
  <si>
    <t>20252118867 - CNH expirada</t>
  </si>
  <si>
    <t xml:space="preserve">_x000D_
Bom dia!PrezadosGentileza notar erro na aprovação do Faturamento por motivo de CNH expirada. Conforme já tratamos em outras oportunidades, a mensagem de restrição deve ser tratada na tela do preagendamento.Por favor atue com prioridade, carregamento previsto para hoje. _x000D_
 _x000D_
_x000D_
[Image]_x000D_
 _x000D_
</t>
  </si>
  <si>
    <t>FATURAMENTO; SOLICITANTE : EDINALDO; SPRINT_1; URGENTE</t>
  </si>
  <si>
    <t>20252126559 - Ajuste Billing - CIF</t>
  </si>
  <si>
    <t>benne; FATURAMENTO; SOLICITANTE : EDINALDO; SPRINT_3; URGENTE</t>
  </si>
  <si>
    <t xml:space="preserve">_x000D_
Boa tarde GabrieliConforme falamos, a rotina da tela faturamento portuário esta buscando a quantidade com base no número de cntrs disponíveis em tela. Contudo, o campo quantidade de contêiner deve ser baseado na quantidade de contêiner vinculado a cada BL, de modo que as quantidades são se alteram independente do número de contêiner carregados na tela fo Faturamento portuárioAnexo mensagem para auxiliar na leitura _x000D_
 _x000D_
_x000D_
_x000D_
 _x000D_
</t>
  </si>
  <si>
    <t>ERRO_SISTEMA; FATURAMENTO; SOLICITANTE : EDINALDO; SPRINT_1; URGENTE</t>
  </si>
  <si>
    <t>20252138928 - Correção para Cadastro, Duplicidade, Refatoração e Consulta de Shippers/Consignees</t>
  </si>
  <si>
    <t xml:space="preserve">Extrator - AcessoVeiculos - Lista Camera Gate OOG </t>
  </si>
  <si>
    <t>ATENDIMENTO; ERRO; GROOVY; PORTAL; SOLICITANTE: MARIA JULIA; SPRINT_4</t>
  </si>
  <si>
    <t>BILLING; FATURAMENTO; MELHORIA; SOLICITANTE: EDINALDO; SPRINT_3; URGENTE</t>
  </si>
  <si>
    <t>Data-Recintos; Extrator; MELHORIA; RECEITA; SOLICITANTE: AMANDUS; SPRINT_3</t>
  </si>
  <si>
    <t>FATURAMENTO; GROOVY; MELHORIA; N4; SOLICITANTE: EDINALDO; SPRINT_4</t>
  </si>
  <si>
    <t>20252168180 - Agendamento General Cargo no Portal</t>
  </si>
  <si>
    <t xml:space="preserve">Login 	amandusmuniz-soy_x000D_
Tipo de usuário 	COLABORADOR_x000D_
 _x000D_
Nome Completo 	Amandus Muller Muniz_x000D_
 _x000D_
Email do Solicitante 	amandus.muniz@jbsterminais.com.br_x000D_
 _x000D_
CPF 	03282061994_x000D_
 _x000D_
Função 	Gerente de Tecnologia da Informação_x000D_
 _x000D_
Departamento 	Gr - Operações Portuárias - Tecnologia da Informação_x000D_
 _x000D_
Nome Empresa 	SEARA OPERACOES PORTUARIAS LTDA_x000D_
 _x000D_
Ramal 	0_x000D_
 _x000D_
Telefone 	_x000D_
 _x000D_
Celular para contato 	_x000D_
 _x000D_
Possui canal de voz? 	Não_x000D_
 _x000D_
Deseja acesso remoto? 	Não_x000D_
 _x000D_
Descrição 	Boa tarde,_x000D_
 _x000D_
_x000D_
 _x000D_
Precisamos integrar no Portal do cliente as opções de Agendamento de Importação e Exportação para carga solta CFS._x000D_
 _x000D_
_x000D_
 _x000D_
Esta demanda faz parte do Projeto General Cargo._x000D_
 _x000D_
_x000D_
 _x000D_
Atenciosamente,_x000D_
 _x000D_
</t>
  </si>
  <si>
    <t>20252158629 - Retificar Etapa Processo JBS007161</t>
  </si>
  <si>
    <t xml:space="preserve">Login 	juliafaccio-soy_x000D_
Tipo de usuário 	COLABORADOR_x000D_
 _x000D_
Nome Completo 	Julia Faccio_x000D_
 _x000D_
Email do Solicitante 	julia.faccio@jbsterminais.com.br_x000D_
 _x000D_
CPF 	00728580012_x000D_
 _x000D_
Função 	Analista Customer Service Pl_x000D_
 _x000D_
Departamento 	Operações Portuárias - Customer Service_x000D_
 _x000D_
Nome Empresa 	SEARA OPERACOES PORTUARIAS LTDA_x000D_
 _x000D_
Ramal 	21045400 _x000D_
Descrição 	Protocolo JBS007161 não mostra o botão de editar no pré agendar. Nem mesmo o CNPJ do solicitante mostra. Dessa forma o cliente e o atendimento não conseguem editar as unidades. Processo parado no pré agendar._x000D_
 _x000D_
_x000D_
</t>
  </si>
  <si>
    <t>COMERCIAL; EDI; Impeditivo; SOLICITANTE : THOMAS; SPRINT_3</t>
  </si>
  <si>
    <t>OPERAÇÃO; SOLICITANTE: BRUNO DUARTE; SPRINT_3; URGENTE</t>
  </si>
  <si>
    <t xml:space="preserve">Verificar o fluxo de construção dos eventos de acesso veículo, relativo ao preenchmento do campo listaCamera para os casos de OOG. _x000D_
</t>
  </si>
  <si>
    <t>ANÁLISE; Extrator; RECEITA; SOLICITANTE: AMANDUS; SPRINT_4; URGENTE</t>
  </si>
  <si>
    <t>Impeditivo; MELHORIA; SOLICITANTE: AMANDUS; SPRINT_4; TI</t>
  </si>
  <si>
    <t>20252171853 - Erro na Funcionalidade de Editar Agendamento</t>
  </si>
  <si>
    <t xml:space="preserve">Descrição: _x000D_
_x000D_
Campo _x000D_
_x000D_
Valor _x000D_
_x000D_
Número do Chamado _x000D_
_x000D_
20252171853 _x000D_
_x000D_
Solicitante _x000D_
_x000D_
Maria Julia Pereira Cabral _x000D_
_x000D_
Função _x000D_
_x000D_
Analista Customer Service Jr _x000D_
_x000D_
Departamento _x000D_
_x000D_
Operações Portuárias - Customer Service _x000D_
_x000D_
Classificação _x000D_
_x000D_
TI - Unidades / Acesso _x000D_
_x000D_
Prioridade _x000D_
_x000D_
5 - Planejada _x000D_
_x000D_
Status Inicial _x000D_
_x000D_
Aguardando Especialista _x000D_
_x000D_
Detalhes da Solicitação: _x000D_
A funcionalidade de "EDITAR" agendamento consta como indisponível. _x000D_
_x000D_
 *  _x000D_
Protocolo: JBS007385 _x000D_
 _x000D_
 *  _x000D_
Entidade Solicitante: 05.691.143/0001-00 _x000D_
 _x000D_
 _x000D_
_x000D_
_x000D_
 _x000D_
</t>
  </si>
  <si>
    <t>20252180199 - Falha de Comunicação com APS: Remover dependência na criação do Agendamento</t>
  </si>
  <si>
    <t xml:space="preserve">Campo _x000D_
_x000D_
Valor _x000D_
_x000D_
Número do Chamado _x000D_
_x000D_
20252180199 _x000D_
_x000D_
Solicitante _x000D_
_x000D_
Djonei Jose Pereira _x000D_
_x000D_
Função _x000D_
_x000D_
Assistente de Operações _x000D_
_x000D_
Departamento _x000D_
_x000D_
Operações Portuárias - Apoio _x000D_
_x000D_
Classificação _x000D_
_x000D_
TI - Unidades / Aplicativo / Gate Operation Systen / Retorno OCR _x000D_
_x000D_
Prioridade _x000D_
_x000D_
1 - Alta _x000D_
_x000D_
Status Inicial _x000D_
_x000D_
Aguardando Fornecedor _x000D_
_x000D_
Detalhes da Solicitação: _x000D_
Relato de falhas críticas na comunicação com a APS do recinto. _x000D_
_x000D_
 *  _x000D_
Sintomas: Sistemas de OCR, Pesagem não conseguem puxar as informações. Além disso não é possível  _x000D_
 _x000D_
 *  _x000D_
Impacto: O funcionamento em modo manual também está prejudicado. _x000D_
 _x000D_
 *  _x000D_
Ação Necessária: Verificação urgente do time de API (Sr. Rodrigo) para correção da comunicação. _x000D_
 _x000D_
 *  _x000D_
Observações Críticas: Há cobrança da Guarda Portuária sobre a regularização. _x000D_
 _x000D_
 *  _x000D_
Evidências: Imagens e vídeos encaminhados no grupo de suporte. _x000D_
 _x000D_
 _x000D_
_x000D_
_x000D_
_x000D_
_x000D_
 _x000D_
</t>
  </si>
  <si>
    <t xml:space="preserve">20252175778 - Pagando permaneceu pendente </t>
  </si>
  <si>
    <t xml:space="preserve">Por favor verifique oprotocolo JBS007139 acima. Houve a confirmação de pagamento do ERP, porém ostatus do faturamento permaneceu como pendente de pagamento._x000D_
[Image]_x000D_
 _x000D_
</t>
  </si>
  <si>
    <t>FATURAMENTO; SOLICITANTE : EDINALDO; SPRINT_4; URGENTE</t>
  </si>
  <si>
    <t>MELHORIA; OPERAÇÃO; SOLICITANTE: Djonei Jose Pereira; SPRINT_4; URGENTE</t>
  </si>
  <si>
    <t xml:space="preserve">Login 	mariacabral-soy_x000D_
Tipo de usuário 	COLABORADOR_x000D_
 _x000D_
Nome Completo 	Maria Julia Pereira Cabral_x000D_
 _x000D_
Email do Solicitante 	maria.cabral@jbsterminais.com.br_x000D_
 _x000D_
CPF 	16961962726_x000D_
 _x000D_
Função 	Analista Customer Service Jr_x000D_
 _x000D_
Departamento 	Operações Portuárias - Customer Service_x000D_
 _x000D_
Nome Empresa 	SEARA OPERACOES PORTUARIAS LTDA_x000D_
 _x000D_
Ramal 	0000_x000D_
 _x000D_
Telefone 	_x000D_
 _x000D_
Celular para contato 	_x000D_
 _x000D_
Possui canal de voz? 	Não_x000D_
 _x000D_
Deseja acesso remoto? 	Não_x000D_
 _x000D_
Descrição 	O despachante não consegue emitir o Termo de Falta de Avarias para o cliente na qual ele possui vínculo aprovado. Tentamos pelo usuário interno e não tivemos sucesso._x000D_
 _x000D_
_x000D_
 _x000D_
Despachante: INOVA DESPACHOS ADUANEIROS LTDA - 19.995.418/0001-04_x000D_
 _x000D_
Cliente: COMERCIAL MARIMAR DE AVIAMENTOS LTDA - 15.354.872/0002-06 _x000D_
_x000D_
 _x000D_
_x000D_
 _x000D_
Após análise realizada em conjunto com @Rafael Marcello , identificamos a existência de cadastros duplicados de Shipper, decorrentes de inserções manuais divergentes entre o Navis N4 e o Portal. A causa raiz está na formatação: os registros via Portal incluíam máscara de formatação, enquanto os do N4, não. Além da duplicidade, foram notadas inconsistências na busca de Shippers/Consignees._x000D_
_x000D_
 _x000D_
Aplicamos uma solução paliativa para restabelecer a visualização das informações da unidade pelo cliente. Contudo, a solução definitiva demandará desenvolvimento em quatro etapas:_x000D_
 _x000D_
_x000D_
 _x000D_
_x000D_
 *  Padronização: Ajustar o sistema para salvar os registros no N4 sempre sem máscara (somente números/caracteres) LifeCycleInterceptor . _x000D_
 *  Mapeamento: Criar uma consulta (query) para identificar todos os cadastros duplicados (com e sem máscara). _x000D_
 *  Sanitização: Desenvolver um ScriptRunner para corrigir os registros de Shipper/Consignees existentes, removendo as máscaras. _x000D_
 *  Correção de Busca: Refatorar a consulta que retorna os dados da unidade para garantir o vínculo correto com o Shipper no Portal. _x000D_
 _x000D_
_x000D_
 _x000D_
_x000D_
 _x000D_
Criado o Card Issue 1586 20252138928 - Correção para Cadastro, Duplicidade, Refatoração e Consulta de Shippers/Consignees_x000D_
_x000D_
 _x000D_
</t>
  </si>
  <si>
    <t xml:space="preserve">20252183041 - Free Time incorreto  </t>
  </si>
  <si>
    <t xml:space="preserve">_x000D_
Boa tarde,Não está considerando o free time que o cliente tem acordado.Cliente tem 8 dias de free time, a unidade está com 6 dias de pátio e está puxando custo de armazenagem. _x000D_
 _x000D_
_x000D_
[Image]_x000D_
[Image]_x000D_
 _x000D_
</t>
  </si>
  <si>
    <t>FATURAMENTO; PORTAL; SOLICITANTE: MATHEUS; SPRINT_5; URGENTE</t>
  </si>
  <si>
    <t>CONTROLE; MELHORIA; SOLICITANTE: AMANDUS; SPRINT_1; TI</t>
  </si>
  <si>
    <t>EDI; OPERAÇÃO; SOLICITANTE: BRUNO DUARTE; SPRINT_1</t>
  </si>
  <si>
    <t>ATENDIMENTO; SOLICITANTE: WESLEY; SPRINT_2</t>
  </si>
  <si>
    <t>URGENTE</t>
  </si>
  <si>
    <t>ATENDIMENTO; ERRO; SOLICITANTE : MARIA JULIA; SPRINT_4; URGENTE</t>
  </si>
  <si>
    <t>ATENDIMENTO; ERRO; SOLICITANTE: JULIA FACCIO; SPRINT_4; URGENTE</t>
  </si>
  <si>
    <t>20252194814 - Cancelado Por Trouble Desk</t>
  </si>
  <si>
    <t xml:space="preserve">Unidade UETU8041292 não é possível reagendar pois a guia foi cancelada no N4. _x000D_
 _x000D_
 _x000D_
_x000D_
 _x000D_
_x000D_
_x000D_
_x000D_
 _x000D_
</t>
  </si>
  <si>
    <t>N4; PORTAL; SOLICITANTE: JULIA FACCIO; SPRINT_5; URGENTE</t>
  </si>
  <si>
    <t xml:space="preserve">20252195393 - Gate Transect cancelada </t>
  </si>
  <si>
    <t xml:space="preserve">veículo entrou mas não coletou a unidade. ela precisa ter um novo agendamento, mas o evento foi cancelado e o status da guia está como "utilizado". reativar para reagendamento. _x000D_
 _x000D_
 _x000D_
_x000D_
 _x000D_
_x000D_
_x000D_
</t>
  </si>
  <si>
    <t>20252195799 - NO_SHOW</t>
  </si>
  <si>
    <t>PORTAL; SOLICITANTE: DANTON; SPRINT_5; TI; URGENTE</t>
  </si>
  <si>
    <t xml:space="preserve">20252195806 - Cancelamento equivocado </t>
  </si>
  <si>
    <t xml:space="preserve">TEMU7824363 FOI CANCELADO ERRONEAMENTE NO Portal  _x000D_
 _x000D_
 _x000D_
_x000D_
OBS: o chamado foi encerrado porém estou mantendo aqui para o Danton conseguir realizar os testes e validar o ocorrido. _x000D_
_x000D_
_x000D_
_x000D_
 _x000D_
</t>
  </si>
  <si>
    <t>PORTAL; SOLICITANTE: WESLEY; SPRINT_5; URGENTE</t>
  </si>
  <si>
    <t>20252182602 - Melhorias nos Lançamentos das Listas de LAR</t>
  </si>
  <si>
    <t xml:space="preserve">Descrição: _x000D_
_x000D_
Campo _x000D_
_x000D_
Valor _x000D_
_x000D_
Número do Chamado _x000D_
_x000D_
20252182602 _x000D_
_x000D_
Solicitante _x000D_
_x000D_
George De Amorim Baiao _x000D_
_x000D_
Função _x000D_
_x000D_
Supervisor de Documentação _x000D_
_x000D_
Departamento _x000D_
_x000D_
Operações Portuárias - Documentação _x000D_
_x000D_
Classificação _x000D_
_x000D_
TI - Unidades / Aplicativo / Portal JBS Terminais / Suporte _x000D_
_x000D_
Prioridade _x000D_
_x000D_
3 - Baixa _x000D_
_x000D_
Status Inicial _x000D_
_x000D_
Em Atendimento _x000D_
_x000D_
Detalhes da Solicitação: _x000D_
Implementação de melhorias nos lançamentos das listas de LAR. _x000D_
_x000D_
 *  _x000D_
Contexto: Pontos de melhoria foram levantados e anexados ao chamado original. _x000D_
 _x000D_
 *  _x000D_
Aprovação: Amandus Muniz já está ciente da solicitação. _x000D_
 _x000D_
 *  _x000D_
Observação: Verificar anexos do chamado para os detalhes técnicos específicos das melhorias. _x000D_
 _x000D_
 _x000D_
_x000D_
_x000D_
 _x000D_
E-mail: _x000D_
Caro @GEORGE DE AMORIM BAIAO _x000D_
  _x000D_
Peço agentileza de registrar a solicitação via chamado que iremos criar um card parao time de desenvolvimento, assim que o card estiver criado o @DANTON DA ROSA ABREU iraenviar as pendencias de desenvolvimento do seu setor para revisarmos a ordem deprioridade. _x000D_
  _x000D_
Atenciosamente _x000D_
  _x000D_
Amandus Muller Muniz _x000D_
TI | JBS Terminais _x000D_
  _x000D_
De: GEORGE DE AMORIM BAIAO &lt;george.baiao@jbsterminais.com.br&gt;_x000D_
Enviada em: terça-feira, 23 de dezembro de 2025 10:47_x000D_
Para: AMANDUS MULLER MUNIZ &lt;amandus.muniz@jbsterminais.com.br&gt;;BRUNO DUARTE &lt;bruno.duarte1@jbsterminais.com.br&gt;;DANTON DA ROSA ABREU &lt;danton.abreu@jbsterminais.com.br&gt;_x000D_
Cc: ALISSON MATHEUS SILVA DOS SANTOS &lt;alisson.santos@jbsterminais.com.br&gt;_x000D_
Assunto: RES: PONTOS MELHORIA - LAR (LATE ARRIVAL) _x000D_
  _x000D_
@AMANDUS MULLER MUNIZ _x000D_
@DANTON DA ROSA ABREU _x000D_
  _x000D_
Bom dia, _x000D_
  _x000D_
Segue abaixoalguns pontos para melhoria do portal LAR. Sugiro correção destes antes deaplicarmos os lançamentos de custos em JAN26. _x000D_
  _x000D_
  _x000D_
  _x000D_
Programação Navio:https://jbsterminais.com.br/programacao-de-navios/ _x000D_
  _x000D_
ProgramaçãoRecinto: https://jbsterminais.com.br/programacao-de-recintos/ _x000D_
 _x000D_
 _x000D_
Saudações / BestRegards, _x000D_
 _x000D_
 _x000D_
  _x000D_
De: ALISSON MATHEUS SILVA DOS SANTOS &lt;alisson.santos@jbsterminais.com.br&gt;_x000D_
Enviada em: terça-feira, 23 de dezembro de 2025 09:52_x000D_
Para: GEORGE DE AMORIM BAIAO &lt;george.baiao@jbsterminais.com.br&gt;_x000D_
Assunto: PONTOS MELHORIA - LAR (LATE ARRIVAL) _x000D_
  _x000D_
Bomdia, Baião! _x000D_
  _x000D_
Conformeconversamos, segue alguns pontos de atenção quanto a utilização do LAR noPortal. _x000D_
  _x000D_
Atualmente,estamos adotando o seguinte fluxo: recebemos a solicitação de LAR do armador erealizamos a aprovação quando não há impacto à operação. Em seguida, efetuamosum cross-check das unidades que se encontram depositadas e daquelas que estãofora do terminal (com ou sem agendamento) e inserimos, na planilha em layoutCSV (anexo), as informações das unidades sem depósito, tais como booking,contêiner, ISO, data e peso. _x000D_
_x000D_
Dentro desse fluxo, destacamos alguns pontos de atenção: _x000D_
  _x000D_
1ºponto: As unidades já depositadas não estão sendo consideradas no lançamento doLAR. Acreditamos que exista alguma regra no sistema que desconsidere os ticketscom status ‘UTILIZADO’ no agendamento._x000D_
Para garantir a conformidade em relação a eventuais custos futuros, o corretoseria considerar a lista completa no lançamento do LAR. _x000D_
Ressaltamos que o cross-check érealizado justamente em função dessa limitação; contudo, o procedimento idealseria extrair a lista conforme a solicitação do armador e efetuar o lançamentointegral do LAR, sem desconsiderar as unidades já depositadas. _x000D_
[Image]_x000D_
 _x000D_
2ºponto: As unidades com status ‘ROLAGEM’ no Portal são consideradas como históricode lançamento de LAR da unidade. Entretanto, ao tentarmos realizar o lançamentomanual — seja para uma única unidade ou para uma quantidade reduzida — osistema apresenta um aviso informando que a unidade já possui LAR lançado,permitindo o lançamento apenas por meio de planilha em layout CSV (anexo)._x000D_
PS: Observa-se que, nessestatus, a exclusão do LAR não é permitida. Entendemos que deveria existir umafuncionalidade para exclusão ou, alternativamente, que o status ‘ROLAGEM’não existisse, evitando esse tipo de limitação. _x000D_
[Image]_x000D_
 _x000D_
 _x000D_
3ºponto: As unidades com status ‘EXCLUSÃO’ não permitem um novo lançamentopara sobrescrever os dados anteriores, sendo necessária a exclusão manualunidade a unidade para que seja possível proceder com o lançamento via lista.Essa situação ocorre mesmo quando o lançamento se refere ao mesmo navio,havendo apenas atualização do prazo (exemplo: LAR 23/1200 atualizado para LAR24/1200). _x000D_
Durante testes, identificamos que oproblema ocorre quando, após o encerramento do primeiro LAR (23/1200), paraunidades sem agendamento ativo, é realizado o ‘CANCEL ADVISED’. Aoefetuar um novo lançamento com o prazo atualizado (24/1200), o sistema retornao erro mencionado neste ponto, conforme evidenciado abaixo. _x000D_
 [Image] _x000D_
  _x000D_
Programação Navio: https://jbsterminais.com.br/programacao-de-navios/ _x000D_
  _x000D_
Programação Recinto: https://jbsterminais.com.br/programacao-de-recintos/ _x000D_
  _x000D_
Saudações / Best Regards,  _x000D_
 _x000D_
 _x000D_
 _x000D_
  _x000D_
_x000D_
 _x000D_
_x000D_
 _x000D_
</t>
  </si>
  <si>
    <t>CONTROLE; FATURAMENTO; MIGRATION; SOLICITANTE: EDINALDO; SPRINT_3</t>
  </si>
  <si>
    <t>Faturamento DTC - Agendamento (Incluir Navio na Criação de agendamento)</t>
  </si>
  <si>
    <t xml:space="preserve">Boa tarde, Foi validado atraves de outra demanda que as tarifas de NO_SHOW geradas via Cancelamento OCR com o groovy NotifNoShow e comunicação com N4-API estão gerando tarifa com o nome NoShoe ao invés de NO_SHOW, o que não contabiliza no relatório de tarifas. Atenciosamente,_x000D_
 _x000D_
_x000D_
 _x000D_
_x000D_
</t>
  </si>
  <si>
    <t>[31389] Faturamento DTC - Comex</t>
  </si>
  <si>
    <t xml:space="preserve">A definir com @RONALDO DE MORAES ORLING  _x000D_
</t>
  </si>
  <si>
    <t>COMEX; MELHORIA; SOLICITANTE: JOSIAS; SPRINT_5</t>
  </si>
  <si>
    <t>20252198332 - Ajuste de Status de Agendamento: Protocolo JBS007569 (Consta como Utilizado)</t>
  </si>
  <si>
    <t xml:space="preserve">Descrição: _x000D_
_x000D_
Campo _x000D_
_x000D_
Valor _x000D_
_x000D_
Número do Chamado _x000D_
_x000D_
20252198332 _x000D_
_x000D_
Solicitante _x000D_
_x000D_
Rubia Deneci Weise Beskow _x000D_
_x000D_
Função _x000D_
_x000D_
Analista Customer Service Pl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Em Atendimento _x000D_
_x000D_
Detalhes da Solicitação: _x000D_
Solicitação de ajuste de status para permitir reagendamento no portal. _x000D_
_x000D_
 *  _x000D_
Problema: O agendamento teve seus appointments cancelados, mas no portal o status consta como "Utilizado", impedindo novo agendamento. _x000D_
 _x000D_
 *  _x000D_
Protocolo: JBS007569 _x000D_
 _x000D_
 *  _x000D_
Referência/Container: MSNU8656850 _x000D_
 _x000D_
 _x000D_
_x000D_
_x000D_
</t>
  </si>
  <si>
    <t>AJUSTE; ATENDIMENTO; SOLICITANTE: RUBIA; SPRINT_5; URGENTE</t>
  </si>
  <si>
    <t>ATENDIMENTO; Impeditivo; MELHORIA; PORTAL; SOLICITANTE: RUBIA; SPRINT_3</t>
  </si>
  <si>
    <t xml:space="preserve">20252204924 - BL não encontrado para o CE </t>
  </si>
  <si>
    <t xml:space="preserve">_x000D_
BL não encotrado para o CE 182505393270000Cliente esta tentando cadastrar uma liberação DTA no portal do cliente porém ao inserir o numero da DTA retornar esse erro" BL não encotrado para o CE 182505393270000" impossibilitando criar o processo.Request URLhttps://api.logcomex.com.br/v2/get_dta_consulta?api_key=ac5bfa4ec949846972e3fe6778a7d54a&amp;cert_group_id=45&amp;numero_dta=2505970097%20Notar que ao consultar o endpoint da logcomex o mesmo esta retornando com o resultado esperado.Favor verificar!_x000D_
_x000D_
[Image]_x000D_
 _x000D_
 _x000D_
_x000D_
_x000D_
 _x000D_
</t>
  </si>
  <si>
    <t>COMEX; PORTAL; SOLICITANTE: JOSIAS; SPRINT_5; URGENTE</t>
  </si>
  <si>
    <t>WEEK_3</t>
  </si>
  <si>
    <t>20260006220 - GOS/N4: Falha na Reimpressão Automática e Peso de Saída em ServiceCar</t>
  </si>
  <si>
    <t xml:space="preserve">Descrição: _x000D_
_x000D_
Campo _x000D_
_x000D_
Valor _x000D_
_x000D_
Número do Chamado _x000D_
_x000D_
20260006220 _x000D_
_x000D_
Solicitante _x000D_
_x000D_
Jose Augusto Goncalves Pereira _x000D_
_x000D_
Função _x000D_
_x000D_
Assistente de Operações _x000D_
_x000D_
Departamento _x000D_
_x000D_
Operações Portuárias - Apoio _x000D_
_x000D_
Classificação _x000D_
_x000D_
TI - Unidades / Aplicativo / Gate Operation Systen / Ajuste _x000D_
_x000D_
Prioridade _x000D_
_x000D_
3 - Baixa _x000D_
_x000D_
Status Inicial _x000D_
_x000D_
Em Atendimento _x000D_
_x000D_
Detalhes da Solicitação: _x000D_
O solicitante relata dois problemas distintos no processo de entrada/saída de serviço no Gate System: _x000D_
_x000D_
 *  _x000D_
Impressão de Comprovante: _x000D_
_x000D_
 *  _x000D_
O sistema não está reimprimindo automaticamente o comprovante ao realizar entrada ou saída de serviço. _x000D_
 _x000D_
 *  _x000D_
Workaround atual: É necessário acessar o N4 manualmente para imprimir o ticket. _x000D_
 _x000D_
 _x000D_
_x000D_
 _x000D_
 *  _x000D_
Registro de Peso: _x000D_
_x000D_
 *  _x000D_
O peso de saída não está sendo exibido no registro do serviço (apenas o peso de entrada aparece). _x000D_
 _x000D_
 *  _x000D_
Consequência: Ao finalizar o serviço, o ticket é impresso incorretamente, repetindo o peso de entrada ao invés de constar o peso de saída real _x000D_
 _x000D_
 _x000D_
_x000D_
 _x000D_
 _x000D_
_x000D_
_x000D_
 _x000D_
</t>
  </si>
  <si>
    <t>Week</t>
  </si>
  <si>
    <t>20260022443 - Erros Desconhecidos no Log Siscarga (Navis N4) e Melhoria na Clareza das Mensagens</t>
  </si>
  <si>
    <t xml:space="preserve"> _x000D_
 _x000D_
 _x000D_
 _x000D_
 _x000D_
 _x000D_
 _x000D_
 _x000D_
 _x000D_
 _x000D_
 _x000D_
 _x000D_
 _x000D_
Descrição: _x000D_
_x000D_
Campo _x000D_
_x000D_
Valor _x000D_
_x000D_
Número do Chamado _x000D_
_x000D_
20260022443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Navis N4 / Erros _x000D_
_x000D_
Prioridade _x000D_
_x000D_
3 - Baixa _x000D_
_x000D_
Status Inicial _x000D_
_x000D_
Em Análise _x000D_
_x000D_
Detalhes da Solicitação: _x000D_
Investigação de erros e sugestão de melhoria na interface de logs do Siscarga no Navis N4. _x000D_
_x000D_
 *  _x000D_
Problema: O sistema apresenta "erros desconhecidos" no log do Siscarga para diversos CEs Mercantes (detalhes no anexo). _x000D_
 _x000D_
 *  _x000D_
Dificuldade: As mensagens de retorno não são claras, impedindo que a área de Documentação identifique a causa ou realize ajustes operacionais. _x000D_
 _x000D_
 *  _x000D_
Sugestão de Melhoria: Ajustar a tela de logs para traduzir ou descrever com mais clareza o retorno apresentado, facilitando a tratativa de erros pelo usuário final. _x000D_
 _x000D_
 _x000D_
_x000D_
_x000D_
 _x000D_
[Image]_x000D_
 _x000D_
</t>
  </si>
  <si>
    <t>20260084715 - Nova Rotina Navis N4: Recepção DU-E para Transship de Origem Nacional (Exceto Cabotagem)</t>
  </si>
  <si>
    <t xml:space="preserve">Descrição: _x000D_
_x000D_
Campo _x000D_
_x000D_
Valor _x000D_
_x000D_
Número do Chamado _x000D_
_x000D_
20260084715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Navis N4 / Customização (Groovy) _x000D_
_x000D_
Prioridade _x000D_
_x000D_
3 - Baixa _x000D_
_x000D_
Status Inicial _x000D_
_x000D_
Em Análise _x000D_
_x000D_
Detalhes da Solicitação: _x000D_
Desenvolvimento de nova rotina para recepcionar cargas de transbordo (TRANSSHIP) descarregadas em BRITJ provenientes de outros portos nacionais. _x000D_
_x000D_
 *  _x000D_
Cenário: Navios que escalam em outros portos brasileiros antes de atracar em BRITJ. _x000D_
 _x000D_
 *  _x000D_
Regra de Negócio Solicitada: _x000D_
_x000D_
 *  _x000D_
Verificar a origem da carga de transbordo: Se for Porto Nacional (diferente de BRITJ). _x000D_
 _x000D_
 *  _x000D_
Verificar o Armador: Se NÃO for armador de cabotagem (Excluir: NOR, ALI, LOG). _x000D_
 _x000D_
 *  _x000D_
Ação: _x000D_
_x000D_
 *  _x000D_
Recepcionar a carga no Portal Único como "Carga de Passagem". _x000D_
 _x000D_
 *  _x000D_
Preencher o campo específico na Unit dentro do Navis. _x000D_
 _x000D_
 *  _x000D_
Habilitar a carga para a rotina de entrega DU-E posterior. _x000D_
 _x000D_
 _x000D_
_x000D_
 _x000D_
 _x000D_
_x000D_
 _x000D_
 _x000D_
_x000D_
_x000D_
 _x000D_
</t>
  </si>
  <si>
    <t>RODRIGO FERNANDO GARCIA</t>
  </si>
  <si>
    <t>20260153576 - Portal Cliente: Cobrança de Recebimento após Deadline</t>
  </si>
  <si>
    <t xml:space="preserve">Campo _x000D_
_x000D_
Valor _x000D_
_x000D_
Número do Chamado _x000D_
_x000D_
20260153576 _x000D_
_x000D_
Solicitante _x000D_
_x000D_
Edinaldo Da Silva Franca _x000D_
_x000D_
Função _x000D_
_x000D_
Supervisor Financeiro _x000D_
_x000D_
Departamento _x000D_
_x000D_
Dp - Operações Portuárias - Financeiro _x000D_
_x000D_
Classificação _x000D_
_x000D_
TI - Unidades / Aplicativo / Portal JBS Terminais / Suporte _x000D_
_x000D_
Prioridade _x000D_
_x000D_
3 - Baixa _x000D_
_x000D_
Status Inicial _x000D_
_x000D_
Em Análise _x000D_
_x000D_
Detalhes da Solicitação: _x000D_
Registro de desenvolvimento no Portal do Cliente. _x000D_
_x000D_
 *  _x000D_
Funcionalidade: Implementar cobrança referente ao recebimento após o Deadline. _x000D_
 _x000D_
 *  _x000D_
Observação: Verificar o anexo mencionado no chamado (histórico de mensagens) para detalhes das tratativas e regras de negócio específicas. _x000D_
 _x000D_
 _x000D_
_x000D_
_x000D_
 _x000D_
</t>
  </si>
  <si>
    <t>20260166342 - Portal OGMO: Desenvolvimento de Página de Consulta de Acessos</t>
  </si>
  <si>
    <t xml:space="preserve">Número do Chamado _x000D_
_x000D_
20260166342 _x000D_
_x000D_
Solicitante _x000D_
_x000D_
Amandus Muller Muniz _x000D_
_x000D_
Função _x000D_
_x000D_
Gerente de Tecnologia da Informação _x000D_
_x000D_
Departamento _x000D_
_x000D_
Gr - Operações Portuárias - Tecnologia da Informação _x000D_
_x000D_
Classificação _x000D_
_x000D_
TI - Unidades / Aplicativo / Portal JBS Terminais / Suporte _x000D_
_x000D_
Prioridade _x000D_
_x000D_
3 - Baixa _x000D_
_x000D_
Status Inicial _x000D_
_x000D_
Agendado _x000D_
_x000D_
Detalhes da Solicitação: _x000D_
Desenvolvimento de uma nova página de consulta de acessos (catracas) no Portal, destinada ao uso pelo OGMO. _x000D_
_x000D_
 *  _x000D_
Funcionalidade: Relatório/Consulta de registros de acesso. _x000D_
 _x000D_
 *  _x000D_
Filtros Solicitados: _x000D_
_x000D_
 *  _x000D_
Período (Data) _x000D_
 _x000D_
 *  _x000D_
Nome _x000D_
 _x000D_
 *  _x000D_
CPF _x000D_
 _x000D_
 *  _x000D_
Status _x000D_
 _x000D_
 _x000D_
_x000D_
 _x000D_
 *  _x000D_
Campos de Exibição: _x000D_
_x000D_
 *  _x000D_
Nome, CPF, Data/Hora, Sentido (Entrada/Saída), Dispositivo e Status (ex: Confirmado, Negado). _x000D_
 _x000D_
 _x000D_
_x000D_
 _x000D_
 _x000D_
_x000D_
_x000D_
 _x000D_
</t>
  </si>
  <si>
    <t>Previsto Próx. Semana</t>
  </si>
  <si>
    <t>Department</t>
  </si>
  <si>
    <t>Type</t>
  </si>
  <si>
    <t>Hour</t>
  </si>
  <si>
    <t>RH</t>
  </si>
  <si>
    <t>QSSMS</t>
  </si>
  <si>
    <t>20260160970 - Adição de Colunas IMO e UN na Tela de Liberação Documental</t>
  </si>
  <si>
    <t xml:space="preserve">Descrição: _x000D_
_x000D_
Campo _x000D_
_x000D_
Valor _x000D_
_x000D_
Número do Chamado _x000D_
_x000D_
20260160970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Navis N4 / Atualizar _x000D_
_x000D_
Prioridade _x000D_
_x000D_
2 - Moderada _x000D_
_x000D_
Status Inicial _x000D_
_x000D_
Agendado _x000D_
_x000D_
Detalhes da Solicitação: _x000D_
Solicitação de inclusão de colunas informativas na tela de Liberação Documental para identificar cargas perigosas. _x000D_
_x000D_
 *  _x000D_
Alteração Visual: Adicionar as colunas IMO (Classe) e UN (Código ONU) à frente da numeração da unidade. _x000D_
 _x000D_
 *  _x000D_
Justificativa de Negócio: _x000D_
_x000D_
 *  _x000D_
Existem divergências frequentes onde cargas são consideradas IMO no modal marítimo, mas perdem essa classificação no modal terrestre (exceções ou regulamentações diferentes). _x000D_
 _x000D_
 *  _x000D_
A visualização antecipada permite que o solicitante identifique se o sistema está tratando a carga como perigosa. _x000D_
 _x000D_
 *  _x000D_
Objetivo: Permitir que o cliente conteste a classificação antes da saída da carga, evitando custos desnecessários com transporte especializado (motorista/caminhão com MOPP) quando não for exigido. _x000D_
 _x000D_
 _x000D_
_x000D_
 _x000D_
 _x000D_
_x000D_
_x000D_
 _x000D_
</t>
  </si>
  <si>
    <t>Wesley Santos</t>
  </si>
  <si>
    <t>Marina Andrade</t>
  </si>
  <si>
    <t>Bruno Duarte</t>
  </si>
  <si>
    <t>Antonia Laurice Dantas Bizerra</t>
  </si>
  <si>
    <t>Jose Augusto Goncalves</t>
  </si>
  <si>
    <t>Djonei Jose Pereira</t>
  </si>
  <si>
    <t>Luiz Carlos Lessa</t>
  </si>
  <si>
    <t>Ronaldo Gomes Dos Santos</t>
  </si>
  <si>
    <t>Heloisa Inacio Da Silva</t>
  </si>
  <si>
    <t>Josias Capistrano</t>
  </si>
  <si>
    <t>Problema</t>
  </si>
  <si>
    <t>20260206239- Unit Transship para o serviço de armazenagem de transbordo.</t>
  </si>
  <si>
    <t xml:space="preserve">PrezadosO contêiner HLBU9746248 é um transbordo do NCBRI023N para o IRRES2603E. Porém na linha da armazenagem de transbordo, o Benner esta vinculando o Navio de descarga ao inves do navio de embarque. Por favor verifique e efetue a correção  na rotina de leitura._x000D_
_x000D_
_x000D_
 _x000D_
</t>
  </si>
  <si>
    <t>Atendimento</t>
  </si>
  <si>
    <t>Faturamento</t>
  </si>
  <si>
    <t>Gate</t>
  </si>
  <si>
    <t>Manutenção</t>
  </si>
  <si>
    <t>Willian Wolfgang Zukas Da Silva</t>
  </si>
  <si>
    <t>Paulo Roberto Hettwer</t>
  </si>
  <si>
    <t>Valencio Fernandes Messias</t>
  </si>
  <si>
    <t>Eri Jonhson De Oliveira Santos</t>
  </si>
  <si>
    <t>ATENDIMENTO; CONTROLE; SOLICITANTE: WESLEY</t>
  </si>
  <si>
    <t>CONTROLE; EDI; SOLICITANTE: GEORGE</t>
  </si>
  <si>
    <t>AppSettings; CONTROLE; PORTAL; SISTEMAS; SOLICITANTE: AMANDUS; VULNERABILIDADE</t>
  </si>
  <si>
    <t>CONTROLE; MIGRATION; N4</t>
  </si>
  <si>
    <t>CHECKLIST; SOLICITANTE: RAFAEL MACHADO</t>
  </si>
  <si>
    <t>GATE; N4; SOLICITANTE : ZENILDE</t>
  </si>
  <si>
    <t>SISTEMA: PORTAL; SOLICITANTE : EDINALDO</t>
  </si>
  <si>
    <t>AJUSTE; PORTAL; SOLICITANTE : EDINALDO</t>
  </si>
  <si>
    <t>VSTS_102a646c_ad0a_48ec_88b8_1da5f2d06195_CE-FC-D8-6B-AB-4F-E5-C4-DF-C0-CA-2B-95-2E-DC-CC-A4-92-FD-BE-CE-6F-BF-FE-23-CE-15-B8-DA-F0-A0-A1</t>
  </si>
  <si>
    <t>VSTS_102a646c_ad0a_48ec_88b8_1da5f2d06195_BB-70-B8-41-88-31-3F-7F-BA-44-98-0C-91-E6-96-79-8B-C5-61-63-B8-FB-5A-51-9C-8A-B5-29-A7-9F-82-25</t>
  </si>
  <si>
    <t>VSTS_102a646c_ad0a_48ec_88b8_1da5f2d06195_57-23-35-56-CA-A2-F2-E9-35-19-C2-A0-99-A5-71-47-13-8E-FF-FC-7A-26-0E-23-0B-EA-91-56-42-1D-AB-5E</t>
  </si>
  <si>
    <t>VSTS_c467189f_b1e3_4921_ac93_2d6d7014346c_CE-FC-D8-6B-AB-4F-E5-C4-DF-C0-CA-2B-95-2E-DC-CC-A4-92-FD-BE-CE-6F-BF-FE-23-CE-15-B8-DA-F0-A0-A1</t>
  </si>
  <si>
    <t>VSTS_c467189f_b1e3_4921_ac93_2d6d7014346c_57-23-35-56-CA-A2-F2-E9-35-19-C2-A0-99-A5-71-47-13-8E-FF-FC-7A-26-0E-23-0B-EA-91-56-42-1D-AB-5E</t>
  </si>
  <si>
    <t>VSTS_c467189f_b1e3_4921_ac93_2d6d7014346c_BB-70-B8-41-88-31-3F-7F-BA-44-98-0C-91-E6-96-79-8B-C5-61-63-B8-FB-5A-51-9C-8A-B5-29-A7-9F-82-25</t>
  </si>
  <si>
    <t>VSTS_1c6fc82a_d22e_401e_bb21_5879a2d4167f_BB-70-B8-41-88-31-3F-7F-BA-44-98-0C-91-E6-96-79-8B-C5-61-63-B8-FB-5A-51-9C-8A-B5-29-A7-9F-82-25</t>
  </si>
  <si>
    <t>VSTS_1c6fc82a_d22e_401e_bb21_5879a2d4167f_CE-FC-D8-6B-AB-4F-E5-C4-DF-C0-CA-2B-95-2E-DC-CC-A4-92-FD-BE-CE-6F-BF-FE-23-CE-15-B8-DA-F0-A0-A1</t>
  </si>
  <si>
    <t>VSTS_1c6fc82a_d22e_401e_bb21_5879a2d4167f_57-23-35-56-CA-A2-F2-E9-35-19-C2-A0-99-A5-71-47-13-8E-FF-FC-7A-26-0E-23-0B-EA-91-56-42-1D-AB-5E</t>
  </si>
  <si>
    <t>PERMISSÃO NA TELA DE AGENDAMENTO - FATURAMENTO ADICIONAL</t>
  </si>
  <si>
    <t>CONTROLE; EDI; SOLICITANTE: RONALDO</t>
  </si>
  <si>
    <t>Utilizar Shiva para Processo de descarga (Diminuir Remoções)</t>
  </si>
  <si>
    <t xml:space="preserve">Desenvolvimento de projeto para controle de remoções através da consulta Shyva, Esse processo deve ser realizado no momento que o manifesto é processado, analisando se a unidades estão em canal vermleho (Mesmas regras utilizadas no processos de documentação).  _x000D_
As unidades que estiverem em canal vermelho devem alimentar o campo unitFlexString09 como YES se for uma unidade MAPA.  _x000D_
Quando esse campo estiver com YES indica que as unidades devem ser segregadas pois precisam de posicionamento mapa. _x000D_
_x000D_
 _x000D_
_x000D_
 _x000D_
</t>
  </si>
  <si>
    <t>20252068268 - NOR COPARN - Porto/Porta</t>
  </si>
  <si>
    <t xml:space="preserve">Login 	joaopeters-soy_x000D_
Tipo de usuário 	COLABORADOR_x000D_
 _x000D_
Nome Completo 	Joao Pedro Uchnsky Penin Peters_x000D_
 _x000D_
Email do Solicitante 	joao.peters@jbsterminais.com.br_x000D_
 _x000D_
CPF 	35494985865_x000D_
 _x000D_
Função 	Analista de Faturamento Pl_x000D_
 _x000D_
Departamento 	Operações Portuárias - Faturamento_x000D_
 _x000D_
Nome Empresa 	SEARA OPERACOES PORTUARIAS LTDA_x000D_
 _x000D_
Ramal 	5464_x000D_
 _x000D_
Telefone 	_x000D_
 _x000D_
Celular para contato 	_x000D_
 _x000D_
Possui canal de voz? 	Não_x000D_
 _x000D_
Deseja acesso remoto? 	Não_x000D_
 _x000D_
_x000D_
Descrição  _x000D_
_x000D_
norcoast -solicito a criação no N4 para segregação de PORTO/PORTA._x000D_
 _x000D_
_x000D_
_x000D_
 _x000D_
</t>
  </si>
  <si>
    <t>EDI; SOLICITANTE : JOÃO</t>
  </si>
  <si>
    <t>20252068261 CMA COPARN Porto/Porta</t>
  </si>
  <si>
    <t xml:space="preserve">Login 	joaopeters-soy_x000D_
Tipo de usuário 	COLABORADOR_x000D_
 _x000D_
Nome Completo 	Joao Pedro Uchnsky Penin Peters_x000D_
 _x000D_
Email do Solicitante 	joao.peters@jbsterminais.com.br_x000D_
 _x000D_
CPF 	35494985865_x000D_
 _x000D_
Função 	Analista de Faturamento Pl_x000D_
 _x000D_
Departamento 	Operações Portuárias - Faturamento_x000D_
 _x000D_
Nome Empresa 	SEARA OPERACOES PORTUARIAS LTDA_x000D_
 _x000D_
Ramal 	5464 _x000D_
_x000D_
Descrição  _x000D_
_x000D_
mercosul - solicito a criação no N4 para segregação de PORTO/PORTA._x000D_
 _x000D_
_x000D_
 _x000D_
_x000D_
_x000D_
</t>
  </si>
  <si>
    <t>Central de Notificações - Controle Inadimplentes</t>
  </si>
  <si>
    <t>PORTAL; PROJETO</t>
  </si>
  <si>
    <t>EDI; SOLICITANTE: DANTON</t>
  </si>
  <si>
    <t>EDI; Portchain</t>
  </si>
  <si>
    <t>30 HORAS; EDI; SOLICITANTE: GEORGE</t>
  </si>
  <si>
    <t xml:space="preserve">_x000D_
Integração de nota fiscal não está criando registros nas tabelas adicionais ref. SMS 2474038. _x000D_
_x000D_
_x000D_
 _x000D_
</t>
  </si>
  <si>
    <t>20252044188 - VUX COPARN SETUP</t>
  </si>
  <si>
    <t xml:space="preserve">Realizar integração do COPARN do armador VUX. _x000D_
Chamado: 20252044188 _x000D_
Pendente alinhamento de prioridade. _x000D_
</t>
  </si>
  <si>
    <t>EDI; SOLICITANTE: GEORGE</t>
  </si>
  <si>
    <t>20252068245 - Login COPARN Porto/Porta</t>
  </si>
  <si>
    <t xml:space="preserve">Login 	joaopeters-soy_x000D_
Tipo de usuário 	COLABORADOR_x000D_
 _x000D_
Nome Completo 	Joao Pedro Uchnsky Penin Peters_x000D_
 _x000D_
Email do Solicitante 	joao.peters@jbsterminais.com.br_x000D_
 _x000D_
CPF 	35494985865_x000D_
 _x000D_
Função 	Analista de Faturamento Pl_x000D_
 _x000D_
Departamento 	Operações Portuárias - Faturamento_x000D_
 _x000D_
Nome Empresa 	SEARA OPERACOES PORTUARIAS LTDA_x000D_
 _x000D_
Ramal 	5464_x000D_
 _x000D_
Telefone 	_x000D_
 _x000D_
Celular para contato 	_x000D_
 _x000D_
Possui canal de voz? 	Não_x000D_
 _x000D_
Deseja acesso remoto? 	Não_x000D_
 _x000D_
_x000D_
Descrição _x000D_
_x000D_
Log-in - solicito a criação no N4 para segregação de PORTO/PORTA._x000D_
 _x000D_
_x000D_
_x000D_
</t>
  </si>
  <si>
    <t>20252089743 - Projeto SHIVA Madeira - Liberação Automática para Cargas com NCM de Baixo Risco</t>
  </si>
  <si>
    <t>20252162499 - HLC COPARN NEW VERSION</t>
  </si>
  <si>
    <t>20260130631 MSC CODECO - Parametrizar cancelamento de embarque</t>
  </si>
  <si>
    <t xml:space="preserve">Boa tarde a todos! _x000D_
Obrigada pelo suporte! _x000D_
Segue assuntos conversados: _x000D_
Pedimos que nos incluam nos emails, das unidades que vierem a apresentar erro por mal funcionamento e que nao seguirão embarque, para evitarmos varios edis em duplicidade, _x000D_
BR241-edilogmov@msc.com; _x000D_
Segue a forma como deve ser enviado o cenario de saida de importação: _x000D_
[Image]_x000D_
 _x000D_
Quanto a modalide de saida por desistencia de exportação e ou saida cheio de exportação _x000D_
[Image]_x000D_
 _x000D_
Thanks. _x000D_
Att, _x000D_
Ana Carolina Trindade _x000D_
Equipment Control – EDI Monitoring _x000D_
_x000D_
</t>
  </si>
  <si>
    <t>MSK CODECO Outgate - Criar mapeamento para posicionamento de vazio</t>
  </si>
  <si>
    <t xml:space="preserve">Prioridade:Alta _x000D_
  _x000D_
Good day JBST Terminal, _x000D_
  _x000D_
We urgently need your support to ensure the correct CODECO format is used for the corresponding Gate Move Empty events. _x000D_
  _x000D_
Please apply the following rules: _x000D_
  _x000D_
_x000D_
 _x000D_
 *  For empty container position moves, ensure you report:_x000D_
     EQD****5++8+4 _x000D_
 _x000D_
 *  For empty container customer export moves, ensure you report:_x000D_
     EQD****5++2+4 _x000D_
 _x000D_
_x000D_
  _x000D_
Additionally, please stop sending EQD****5++3+4 for Gate Out Emptyunits, as this is generating transmission issues on our end. _x000D_
  _x000D_
Thank you for your prompt attention to this matter. _x000D_
  _x000D_
Sharing example of recent move,that should be reported with 5++8+4 _x000D_
_x000D_
 _x000D_
[Image]_x000D_
 _x000D_
  _x000D_
_x000D_
 _x000D_
</t>
  </si>
  <si>
    <t>Levantamento - Projeto Shiva</t>
  </si>
  <si>
    <t>20260311307 - Criação de Ordem de Embarque MTY (Integração Excel/EDI)</t>
  </si>
  <si>
    <t xml:space="preserve">Login 	josiascapistrano-soy_x000D_
Tipo de usuário 	COLABORADOR_x000D_
 _x000D_
Nome Completo 	Josias Genesio Capistrano_x000D_
 _x000D_
Email do Solicitante 	josias.capistrano@jbsterminais.com.br_x000D_
 _x000D_
CPF 	06467546962_x000D_
 _x000D_
Função 	Analista de Documentação Pl_x000D_
 _x000D_
Departamento 	Operações Portuárias - Documentação_x000D_
 _x000D_
Nome Empresa 	SEARA OPERACOES PORTUARIAS LTDA_x000D_
 _x000D_
Ramal 	5423_x000D_
 _x000D_
Telefone 	_x000D_
 _x000D_
Celular para contato 	_x000D_
 _x000D_
Possui canal de voz? 	Não_x000D_
 _x000D_
Deseja acesso remoto? 	Não_x000D_
 _x000D_
Descrição 	SHIVA Madeira - Liberação Automática para Cargas com NCM de Baixo Risco_x000D_
 _x000D_
_x000D_
 _x000D_
Conforme determinado pelo orgão anuente Vigiagro precisa ser desenvolvido conforme solicitado:_x000D_
 _x000D_
_x000D_
 _x000D_
Relatório:_x000D_
 _x000D_
•	Ao receber carga parametrizada pelo SHIVA Madeira, verificar se o NCM consta na lista de baixo risco fornecida pelo VIGIAGRO (anexo)._x000D_
 _x000D_
•	Se constar, a carga deve ser liberada automaticamente, sem necessidade de:_x000D_
 _x000D_
o	Apresentação de LPCO deferido pelo importador ou despachante._x000D_
 _x000D_
o	Movimentação para inspeção física._x000D_
 _x000D_
•	Manter o registro das cargas em canal vermelho liberadas automaticamente, incluindo data da liberação, NCM e descrição._x000D_
 _x000D_
O registro das cargas liberadas automaticamente será utilizado para elaboração de relatórios pelo recinto quando solicitado pelo Vigiagro/MAPA, permitindo manter histórico das cargas que não estão sendo parametrizadas adequadamente pelo SHIVA Madeira e subsidiar dados ao gestor._x000D_
 _x000D_
</t>
  </si>
  <si>
    <t xml:space="preserve">Login 	dantonabreu-soy_x000D_
 _x000D_
Tipo de usuário 	COLABORADOR_x000D_
 _x000D_
Nome Completo 	Danton Da Rosa Abreu_x000D_
 _x000D_
Email do Solicitante 	danton.abreu@jbsterminais.com.br_x000D_
 _x000D_
CPF 	04125264090_x000D_
 _x000D_
Função 	Analista de Sistemas Pl_x000D_
 _x000D_
Departamento 	Operações Portuárias - Tecnologia da Informação_x000D_
 _x000D_
Nome Empresa 	SEARA OPERACOES PORTUARIAS LTDA_x000D_
 _x000D_
_x000D_
 _x000D_
_x000D_
 _x000D_
Dears JBS Terminals, goodday.           _x000D_
  _x000D_
As you are already aware, Hapag-Lloydhas been working on migrating its systems, which has meant a new version of theCOPARN message, already implemented for most terminals worldwide. _x000D_
  _x000D_
In this process, we have unified ourmapping to a single version, as we had several customizations that made thismigration considerably more complex. From these customizations, we haveselected some that are very significant and included them in our officialmapping. _x000D_
  _x000D_
Now that we are in the final stage ofthis migration, we want to introduce a couple of improvements, which will beavailable from January 6, 2026, for those who wish to use this information. Forthose who are not interested, please review and prepare your EDI process tosupport these segments and elements that will be included anyway, so that youcan disregard them from your side. _x000D_
  _x000D_
_x000D_
 _x000D_
 *  Incorporation of the HS Code (Harmonized System)     of the Commodity _x000D_
 _x000D_
_x000D_
 _x000D_
 *  Segment:      Group3:PIA _x000D_
 _x000D_
 *  Element:      C212-7140 (Item number) _x000D_
 _x000D_
 *  Product Id. Function Qualifier:      1 (Additional identification) _x000D_
 _x000D_
 *  Item number type, coded:      HS (Harmonized System) _x000D_
 _x000D_
 *  Example:  PIA+1+080390:HS _x000D_
 _x000D_
 *  Attached Example:      COPARN with PIA segment. If you require to upload this file to your     testing environment, please, do the adjustments manually from your side;     we will not provide you with a test COPARN for each terminal, with its     respective data. _x000D_
 _x000D_
 *  Note 1:      This change only applies to the EDIFACT standard, COPARN message, D95B     version. _x000D_
 _x000D_
 *  Note 2:       If a booking does not have an HS Code in our system, what sometimes     happens, we have defined that the PIA segment will not be included, since     the HS Code “000000” does not exist, and it would be incorrect to send an     invalid code. Therefore, please consider this scenario: if the PIA segment     does not exist in COPARN, it is because the booking does not have an HS     Code entered in our system. In such a case, please request to enter this     code to our HL Operations team, who will then request the same to our     Customer Service team. _x000D_
 _x000D_
_x000D_
  _x000D_
_x000D_
 _x000D_
 *  Incorporation of the Identifier for a NOR     Equipment _x000D_
 _x000D_
_x000D_
Below segment will be included in the Group7, in casethe reefer equipment is not operated as such. _x000D_
FTX+ABS++117:ZZZ:184 _x000D_
117:  Means “No temperature setting required (dryreefer)” _x000D_
Note: This change applies to the EDIFACT standard, COPARN message, D95B and D00Bversions _x000D_
  _x000D_
Any doubt/concern, please let us know. _x000D_
  _x000D_
Best Regards, _x000D_
  _x000D_
Erika Verta _x000D_
Hapag-Lloyd Brazil _x000D_
OPSS &amp; Cargo OpsProcess &amp; Performance Support Specialist [PPS] _x000D_
Av. Ana Costa, 433 - Bloco B - 14º e 15ºandares _x000D_
Edifício Parque Ana Costa _x000D_
CEP: 11060-003 - Gonzaga  _x000D_
Santos, SP, Brazil _x000D_
Tel:  55 13 3211 8026 _x000D_
Mobile: 55 11 94140-1457 _x000D_
Fax: 55 13 3219 6814 _x000D_
E-mail: erika.verta@hlag.com _x000D_
web: www.hapag-lloyd.com _x000D_
  _x000D_
_x000D_
 _x000D_
</t>
  </si>
  <si>
    <t xml:space="preserve">Campo _x000D_
_x000D_
Valor _x000D_
_x000D_
Número do Chamado _x000D_
_x000D_
20260311307 _x000D_
_x000D_
Solicitante _x000D_
_x000D_
George De Amorim Baiao _x000D_
_x000D_
Função _x000D_
_x000D_
Supervisor de Documentação _x000D_
_x000D_
Departamento _x000D_
_x000D_
Dp - Operações Portuárias - Documentação _x000D_
_x000D_
Classificação _x000D_
_x000D_
TI - Unidades / Aplicativo / Navis N4 / Atualizar _x000D_
_x000D_
Prioridade _x000D_
_x000D_
3 - Baixa _x000D_
_x000D_
Status Inicial _x000D_
_x000D_
Em Análise _x000D_
_x000D_
Detalhes da Solicitação: _x000D_
Criação de uma solução para lançamento e vinculação de Ordens de Embarque de Vazios (MTY). _x000D_
_x000D_
 *  _x000D_
Objetivo: Otimizar o processo atual, evitando o lançamento manual contêiner por contêiner. _x000D_
 _x000D_
 *  _x000D_
Proposta 1 (Portal): Seguir o mesmo padrão utilizado hoje para o lançamento de LAR via portal. _x000D_
 _x000D_
 *  _x000D_
Proposta 2 (Navis N4 via EDI): * Utilizar a função "Equipment Receive Orders" do N4. _x000D_
_x000D_
 *  _x000D_
Criar um diretório no servidor para leitura de uma planilha Excel. _x000D_
 _x000D_
 *  _x000D_
Desenvolver uma rotina que converta essa planilha em EDI e poste no N4. _x000D_
 _x000D_
 *  _x000D_
Garantir que a integração já vincule o embarque ao respectivo navio/vessel visit (VG). _x000D_
 _x000D_
 _x000D_
_x000D_
 _x000D_
 *  _x000D_
Próximo Passo Sugerido: Agendar uma reunião de alinhamento entre o solicitante e a equipe de TI (@Danton e @Rodrigo) para definir o melhor escopo e viabilidade técnica. _x000D_
 _x000D_
 _x000D_
_x000D_
_x000D_
 _x000D_
</t>
  </si>
  <si>
    <t>Prontificação</t>
  </si>
  <si>
    <t>Amandus Muniz</t>
  </si>
  <si>
    <t>Gabriel Angelo</t>
  </si>
  <si>
    <t>Israel Nascimento</t>
  </si>
  <si>
    <t>Leonardo Silva</t>
  </si>
  <si>
    <t>Mayckon Hoegen</t>
  </si>
  <si>
    <t>Vincius Lima</t>
  </si>
  <si>
    <t>all_VSTS_1c6fc82a_d22e_401e_bb21_5879a2d4167f_Epic_System.ChangedBy</t>
  </si>
  <si>
    <t>VSTS_d6760eb0_ea3a_4c33_85d6_f85b26745a24_BC-FA-C0-36-1F-44-51-DF-9C-38-1F-FE-11-28-F4-EB-2C-2A-0C-25-89-D5-9C-9D-6C-A6-61-9F-5B-FA-85-ED</t>
  </si>
  <si>
    <t>Michel Lisboa Gomes</t>
  </si>
  <si>
    <t>Bruno Wan Der Maas da Fonseca</t>
  </si>
  <si>
    <t>RFB - Criar monitoramento de eventos Gerados / Enviados para Receita</t>
  </si>
  <si>
    <t>Joacir Bavaresco</t>
  </si>
  <si>
    <t>Portal - Envio de notificação via e-mail para transportadora sobre vencimento crachá motorista</t>
  </si>
  <si>
    <t>Ajuste na API para integrar Notas Fiscais</t>
  </si>
  <si>
    <t>20252050218 - Otimização de campos N4 MOBILE</t>
  </si>
  <si>
    <t>N4; N4 MOBILE; SOLICITANTE: DIEGO RODRIGO JULIANI</t>
  </si>
  <si>
    <t>GOS; Impeditivo; SOLICITANTE: JOSE AUGUSTO GONÇALVES PEREIRA</t>
  </si>
  <si>
    <t>GROOVY; WEEK_3</t>
  </si>
  <si>
    <t>20260569566 - Fluxo de Atualização Cadastral (Login):</t>
  </si>
  <si>
    <t>20260330959 - Alteração de Fluxo de Retirada (Importação): Autonomia de Agendamento para Transportadoras Não Vinculadas (Britânia)</t>
  </si>
  <si>
    <t>Impeditivo; URGENTE</t>
  </si>
  <si>
    <t>20260940643  - Cobrança de NO_SHOW via cancelamento da OCR</t>
  </si>
  <si>
    <t xml:space="preserve"> _x000D_
Para as operações de exportação em que os agendamentos são cancelados pela OCR, está havendo a cobrança de No show normalmente? _x000D_
_x000D_
 _x000D_
Pergunto, pois o contêiner TCLU9466277 - exportação teve o agendamento cancelado pela OCR.  _x000D_
Ao analisarmos no N4, não identificamos cobrança lançamento do NO Show no N4. Poderia nos esclarecer se ainda será lançado ou se foi um erro sistêmico? _x000D_
[Image]_x000D_
[Image]_x000D_
</t>
  </si>
  <si>
    <t>20260576829 - Portal JBS: Exportação de XLS em Branco (Consulta Booking) com Filtro de CNPJ</t>
  </si>
  <si>
    <t xml:space="preserve">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Agendado _x000D_
_x000D_
Detalhes da Solicitação: _x000D_
Relato de erro na geração de relatórios no Portal JBS Terminais. _x000D_
_x000D_
 *  _x000D_
Problema Relatado: No relatório de "Consulta Booking", a funcionalidade de exportar para XLS está gerando um arquivo em branco sob condições específicas. _x000D_
 _x000D_
 *  _x000D_
Comportamento do Erro: * Quando a extração é feita com a visão de "Usuário Interno" (sem filtro específico de cliente), o Excel é gerado com os dados normalmente. _x000D_
_x000D_
 *  _x000D_
Quando o usuário seleciona uma empresa ou CNPJ específico no filtro da tela, o arquivo Excel é exportado totalmente em branco. _x000D_
 _x000D_
 _x000D_
_x000D_
 _x000D_
 _x000D_
_x000D_
_x000D_
</t>
  </si>
  <si>
    <t>20260316021 - Portal JBS: Falha na Visibilidade de Unidades para o Cliente (Aurora)</t>
  </si>
  <si>
    <t>20260710097 - Portal JBS: Revisão de Origem de Dados (Relatório Consulta Contêiner)</t>
  </si>
  <si>
    <t>20260478275 - Integração/Preenchimento do Campo "CIF" no N4 via Benner</t>
  </si>
  <si>
    <t xml:space="preserve">Campo _x000D_
_x000D_
Valor _x000D_
_x000D_
Número do Chamado _x000D_
_x000D_
20260478275 _x000D_
_x000D_
Solicitante _x000D_
_x000D_
Marina Pereira De Andrade (Por: Thomas Edson Bento) _x000D_
_x000D_
Função _x000D_
_x000D_
Analista Comercial Sr _x000D_
_x000D_
Departamento _x000D_
_x000D_
Operações Portuárias - Comercial _x000D_
_x000D_
Classificação _x000D_
_x000D_
TI - Unidades / Aplicativo / Navis N4 / Atualizar _x000D_
_x000D_
Prioridade _x000D_
_x000D_
3 - Baixa _x000D_
_x000D_
Status Inicial _x000D_
_x000D_
Em Análise _x000D_
_x000D_
Detalhes da Solicitação: _x000D_
Demanda de atualização/integração de dados entre o sistema Benner e o Navis N4 para o fluxo de importação. _x000D_
_x000D_
 *  _x000D_
Ação Necessária: Desenvolver ou ajustar a rotina para que o sistema utilize os dados de CIF que já estão preenchidos no Benner e povoe este mesmo campo nas unidades de importação dentro do Navis N4. _x000D_
 _x000D_
 *  _x000D_
Observação de Atendimento: O chamado foi aberto pela Marina (Comercial), porém a demanda original foi solicitada pelo usuário Thomas Edson Bento. _x000D_
 _x000D_
 _x000D_
_x000D_
_x000D_
 _x000D_
</t>
  </si>
  <si>
    <t>CRIAÇÃO CAMPO N4; GROOVY; SCHEMA EXTENSION; VARIFORM</t>
  </si>
  <si>
    <t>20260969852 - Portal JBS: Inconsistência na Data de Presença de Carga (Relatório DUIMP)</t>
  </si>
  <si>
    <t>20260627948 - Implementação de Regra de Controle do DTC Cutoff (ETA - 24h limitadas às 18h)</t>
  </si>
  <si>
    <t>20260660399 - Ajuste na Rotina de Consulta de Status DU-E/RUC</t>
  </si>
  <si>
    <t>20260486399 - Automação e Controle de Prazo para Remoção de DTCs</t>
  </si>
  <si>
    <t>20260616323 - Leitura Siscarga: Correção na Rotina de Desmembramento de BL (MBL/MHBL/House)</t>
  </si>
  <si>
    <t>20252103414 - Customização Navis N4: Espelhar Coluna GRP na aba Bill of Lading</t>
  </si>
  <si>
    <t xml:space="preserve">Número do Chamado _x000D_
_x000D_
20252103414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Navis N4 / Customização (Groovy) _x000D_
_x000D_
Prioridade _x000D_
_x000D_
3 - Baixa _x000D_
_x000D_
Status Inicial _x000D_
_x000D_
Agendado _x000D_
_x000D_
Detalhes da Solicitação: _x000D_
Solicitação de customização de visualização na aba Bill of Lading dentro do sistema Navis N4. _x000D_
_x000D_
 *  _x000D_
Ação Necessária: Espelhar a coluna GRP (Grupo), que atualmente é encontrada apenas na visão da Unit. _x000D_
 _x000D_
 *  _x000D_
Objetivo da Melhoria: * Auxiliar na rápida identificação das cargas que são segregadas para remoção (DTCs). _x000D_
_x000D_
 *  _x000D_
Evitar erros operacionais ao realizar o lançamento manual de presença de carga, provendo a visualização direta dessa informação no BL. _x000D_
 _x000D_
 _x000D_
_x000D_
 _x000D_
 _x000D_
_x000D_
_x000D_
 _x000D_
</t>
  </si>
  <si>
    <t>20260673776 - Regra de Aprovação para Liberação Documental Consolidada</t>
  </si>
  <si>
    <t>20260634310 - Expansão do Boletim de Carga para Diversos Tipos (RO-RO, Carga Solta, etc.)</t>
  </si>
  <si>
    <t>20260985398 - Portal JBS: Calendário de Datas para Bloqueio Automático (Liberação Documental)</t>
  </si>
  <si>
    <t>20260702640 - Navis N4: Ajuste na Rotina de Tara e Peso Líquido Unitário (Importação)</t>
  </si>
  <si>
    <t>20260685218 - Navis N4: Correção na Rotina de EDI de Descarga (Exclusão Indevida de Lacres)</t>
  </si>
  <si>
    <t>20260987520 - Navis N4: Falha na Classificação de Importação de Cabotagem (Freight Kind LCL)</t>
  </si>
  <si>
    <t>20260699480 - Portal JBS: Implementação de "DUIMP ANTECIPADA" e Automação de Liberação</t>
  </si>
  <si>
    <t>20260130918 - Múltiplos Eventos Billable (Armazenagem e Reefer)</t>
  </si>
  <si>
    <t>20260477187 - Recintos diferentes solicitando a mesma unidade consolidada</t>
  </si>
  <si>
    <t xml:space="preserve">_x000D_
Bom dia,Faturamento DTCChamado de solicitação de faturamento duplicado: Foi feito uma solicitação de faturamento de 1 contêiner para 2 recintos e o portal seguiu normal _x000D_
 _x000D_
 _x000D_
_x000D_
 _x000D_
_x000D_
[Image]_x000D_
[Image]_x000D_
_x000D_
 _x000D_
</t>
  </si>
  <si>
    <t xml:space="preserve"> 1. Remoção de Bloqueio (QR Code):_x000D_
_x000D_
 _x000D_
Retirar a trava que impede a geração da 2ª via do QR Code por falta de confirmação de e-mail. O usuário deve conseguir baixar o PDF e prosseguir com o pagamento._x000D_
_x000D_
Card anterior 1623 _x000D_
_x000D_
 _x000D_
 _x000D_
_x000D_
_x000D_
 _x000D_
</t>
  </si>
  <si>
    <t>20260706266 - Portal JBS: Duplicidade de Eventos e Serviços em Unidades (Cliente Aurora)</t>
  </si>
  <si>
    <t>20261003781 - Portal JBS: Adequação para CNPJ Alfanumérico no Cadastro de Clientes</t>
  </si>
  <si>
    <t>20260569696 -  Múltiplos E-mails</t>
  </si>
  <si>
    <t xml:space="preserve"> 4.  Múltiplos E-mails:_x000D_
_x000D_
 _x000D_
Permitir a inclusão de mais de dois e-mails no cadastro.(Antnia)_x000D_
_x000D_
Card anterior 1623 _x000D_
</t>
  </si>
  <si>
    <t>20260380115 - Agendamento Cancelado não travou em bloqueios</t>
  </si>
  <si>
    <t>ANÁLISE; GOS</t>
  </si>
  <si>
    <t>20252053266 - ECN4 Web incluir colunas Stop Vessel e Notes</t>
  </si>
  <si>
    <t>20260411142 - Criar envio de mensagem quando booking com unidades for alterado</t>
  </si>
  <si>
    <t xml:space="preserve">Login_x000D_
georgebaiao-soy _x000D_
 _x000D_
 _x000D_
Tipo de usuário_x000D_
COLABORADOR _x000D_
 _x000D_
 _x000D_
Nome Completo_x000D_
George De Amorim Baiao _x000D_
 _x000D_
 _x000D_
Email do Solicitante_x000D_
george.baiao@seara.com.br _x000D_
 _x000D_
 _x000D_
CPF_x000D_
02798527970 _x000D_
 _x000D_
 _x000D_
Função_x000D_
Supervisor de Documentação _x000D_
 _x000D_
 _x000D_
Departamento_x000D_
Dp - Operações Portuárias - Documentação _x000D_
 _x000D_
 _x000D_
Nome Empresa_x000D_
SEARA OPERACOES PORTUARIAS LTDA _x000D_
 _x000D_
 _x000D_
Ramal_x000D_
5422 _x000D_
 _x000D_
 _x000D_
Telefone_x000D_
5422 _x000D_
 _x000D_
 _x000D_
Celular para contato_x000D_
 _x000D_
 _x000D_
 _x000D_
Possui canal de voz?_x000D_
Não _x000D_
 _x000D_
 _x000D_
Deseja acesso remoto?_x000D_
Não _x000D_
 _x000D_
 _x000D_
Descrição_x000D_
Boa tarde,Favor verificar possibilidade de toda vez que um booking com cntrs ja alocados for tiver seus dados alterados seja disparado um e-mail para o grupo EXP e PRONT. Anexo encaminho as atualizações realizadas em bkk via EDI com cntrs ja alocados.Danton/Rodrigo e Amandus ciente. _x000D_
 _x000D_
 _x000D_
Encaminhar para TI Matriz?_x000D_
 _x000D_
 _x000D_
 _x000D_
Chamado Categorizado?_x000D_
 _x000D_
_x000D_
 _x000D_
</t>
  </si>
  <si>
    <t>RFB acesso-veiculos - Enviar Placa Carreta para o N4</t>
  </si>
  <si>
    <t xml:space="preserve">Verificar se com os Endpoints hoje utilizados para criação de uma Truck Visit para GATE Service, é possível passar nativamente o flex string de Placa Carreta. _x000D_
</t>
  </si>
  <si>
    <t>GOS; Impeditivo</t>
  </si>
  <si>
    <t>RFB - 2.6 Acesso-Veiculo- Salvar informação CodigoRecintoDestino no Appt para DTA</t>
  </si>
  <si>
    <t xml:space="preserve">2.6 Danton: "Enquanto validava a regra para definição de CodigoRecintoOrigem e Destino para DTC, iniciei o ajuste para DTA. Nesta análise para DTA validei que hoje a regra não pode ser tratada da mesma forma e a informação do CodigoRecintoOrigem está apenas no Portal. Devido a isso, será necessária criação de um campo custom na tebela de Appointments e realizar o envio do RecintoDestino quando o agendamento for criado ou alterado. Também será necessária criar regra de validação se o Recinto é PORT, pois hoje não podemos consultar a informação na LOGCOMEX e não é um campo obrigatório no Portal._x000D_
 _x000D_
_x000D_
 _x000D_
_x000D_
 *  Levantamento se há campo no portal preencher Codigo Recinto ou criação de campo. _x000D_
 *  Enviar campo para Appointments. _x000D_
 *  Extrair informação de Appointments para Acesso-veiculos tipoOperacao G e C. _x000D_
 _x000D_
_x000D_
 _x000D_
</t>
  </si>
  <si>
    <t>Integração de enventos SPI (Motorista diferente do agendamento</t>
  </si>
  <si>
    <t>Criar Serviço para obter Stream via RTSP das Cameras do Gate e disponibilizar para Web</t>
  </si>
  <si>
    <t xml:space="preserve"> _x000D_
 _x000D_
Boa tarde Jucinei _x000D_
_x000D_
Segue o link RTSP para acesso ao fluxo de vídeo._x000D_
 _x000D_
_x000D_
 *  Rtsp://10.245.58.175:554/axis-media/media.amp _x000D_
 _x000D_
_x000D_
 _x000D_
Assim que colocar o link será requisitado o login, utilize as credenciais_x000D_
 _x000D_
_x000D_
 *  User: root _x000D_
 _x000D_
_x000D_
 _x000D_
_x000D_
 *  Pass: Se@raCamViwer24# _x000D_
 _x000D_
_x000D_
 _x000D_
E será possível visualizar a imagem, vale ressaltar que o fluxo está em:_x000D_
 _x000D_
_x000D_
 *  Codec:h.264 _x000D_
 _x000D_
_x000D_
 _x000D_
_x000D_
 *  Res:1920x1080 _x000D_
 _x000D_
_x000D_
 _x000D_
_x000D_
 *  Fps: 15 _x000D_
 _x000D_
_x000D_
 _x000D_
Segue em anexo um print da imagem da câmera pelo VLC._x000D_
 _x000D_
_x000D_
 _x000D_
Atenciosamente_x000D_
 _x000D_
</t>
  </si>
  <si>
    <t>Not Automated</t>
  </si>
  <si>
    <t xml:space="preserve">Descrição: _x000D_
_x000D_
Campo _x000D_
_x000D_
Valor _x000D_
_x000D_
Número do Chamado _x000D_
_x000D_
20260330959 _x000D_
_x000D_
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Portal JBS Terminais / Suporte _x000D_
_x000D_
Prioridade _x000D_
_x000D_
3 - Baixa _x000D_
_x000D_
Status Atual _x000D_
_x000D_
Resposta do Usuário _x000D_
_x000D_
Detalhes da Solicitação: _x000D_
Original:  _x000D_
_x000D_
_x000D_
@Danton, conforme falamos, devido a uma necessidade do cliente Britania, no qual é um cliente chave para as nossas operações de importação.Peço uma análise no processo retirada, em especial na tratativa de como os agendamentos podem ser realizados pela transportadora, mesmo sem elas estarem vinculadas ao processo.Hoje a transportadora só enxerga o processo, se alguém no inicio do processo (Nesse caso a Britânia) selecionar a transportadora desejada.No caso da Britania, ela quer apenas disponibilizar as unidades para a transportadora e a transportadora ter a capacidade de gerir os agendamentos, mesmo sem estarem vinculadas ao processo. _x000D_
 _x000D_
 _x000D_
_x000D_
 _x000D_
_x000D_
_x000D_
 _x000D_
Solicitação de análise de viabilidade para alteração na regra de negócio do fluxo de Agendamento de Retirada, motivada por uma demanda estratégica do cliente Britânia (cliente chave na importação). _x000D_
_x000D_
 *  _x000D_
Cenário Atual: Uma transportadora só consegue visualizar um processo e realizar o agendamento no Portal se for explicitamente vinculada à unidade no início do processo pelo responsável (neste caso, a Britânia). _x000D_
 _x000D_
 *  _x000D_
Cenário Desejado (Nova Regra): O cliente deseja apenas "disponibilizar" as unidades no sistema, permitindo que a transportadora tenha total autonomia para assumir e gerir os agendamentos sem a necessidade de um vínculo sistêmico prévio realizado pela Britânia. _x000D_
 _x000D_
 *  _x000D_
Pontos para Análise de Viabilidade (TI): _x000D_
_x000D_
 *  _x000D_
Como a transportadora "buscará" e assumirá essa unidade no Portal sem o vínculo? (Ex: Busca por número do BL + Contêiner?). _x000D_
 _x000D_
 *  _x000D_
Quais os impactos de segurança e auditoria ao permitir que transportadoras não mapeadas inicialmente assumam cargas? _x000D_
 _x000D_
 *  _x000D_
Necessidade de desenhar uma proposta de fluxo (ex: funcionalidade de "Reivindicar Agendamento") para aprovação do Customer Service. _x000D_
 _x000D_
 _x000D_
_x000D_
 _x000D_
 _x000D_
_x000D_
_x000D_
 _x000D_
</t>
  </si>
  <si>
    <t xml:space="preserve">Número do Chamado _x000D_
_x000D_
20260316021 _x000D_
_x000D_
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Agendado _x000D_
_x000D_
Detalhes da Solicitação: _x000D_
Investigação de problema de visibilidade de dados no relatório do Portal JBS Terminais. _x000D_
_x000D_
 *  _x000D_
Problema: Quatro unidades não estão aparecendo no relatório quando a consulta é realizada com o login do cliente (AURORA - CNPJ 83.310.441/0032-13). No entanto, na consulta via Usuário Interno, as unidades aparecem normalmente vinculadas à Aurora. _x000D_
 _x000D_
 *  _x000D_
Dados Afetados: _x000D_
_x000D_
 *  _x000D_
Unidades (Contêineres): OERU4168136, OERU4142933, FBIU5574904, OERU4184857._x000D_
 *  _x000D_
Navio / Viagem: XIN CHANG SHA / 411N._x000D_
_x000D_
 *  _x000D_
Cenário Identificado pelo Usuário: No sistema Navis N4, as unidades constam corretamente com o status LOADED e o agendamento possui o CNPJ da Aurora (que seriam as premissas conhecidas para a visibilidade no portal)._x000D_
 *  _x000D_
Ação Necessária: Mapear a regra de negócio/query do relatório no Portal para entender se há algum outro critério sistêmico impedindo a exibição das unidades para o cliente externo, ou se trata-se de um erro de integração/vínculo de dados._x000D_
_x000D_
_x000D_
</t>
  </si>
  <si>
    <t xml:space="preserve">Solicitante _x000D_
_x000D_
Wesley Moreira Santos _x000D_
_x000D_
Função _x000D_
_x000D_
Analista Customer Service Pl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Agendado _x000D_
_x000D_
Detalhes da Solicitação: _x000D_
Demanda de mapeamento e revisão das fontes de dados para o relatório de "Consulta Contêiner" (caminho: Relatórios &gt; Consulta Contêiner) no Portal JBS Terminais. _x000D_
_x000D_
 *  _x000D_
Problema Relatado: A área de negócios precisa de uma revisão geral para entender de quais tabelas, integrações ou lógicas de banco de dados o relatório está extraindo as informações exibidas em tela e nas extrações. _x000D_
 _x000D_
 *  _x000D_
Campos Específicos em Questionamento: _x000D_
_x000D_
 *  _x000D_
Data Chegada_x000D_
 *  _x000D_
Data Saída_x000D_
 *  _x000D_
Peso Agendado_x000D_
_x000D_
 *  _x000D_
Unidade (Contêiner) de Referência para Testes: MNBU3410131_x000D_
 *  _x000D_
Ação Necessária: 1. Realizar a engenharia reversa/mapeamento da query ou API que alimenta este relatório._x000D_
2. Documentar e validar a origem de cada campo para repassar ao usuário._x000D_
3. Durante a análise da Data Chegada, certificar-se de que a lógica sistêmica esteja utilizando a informação de "Time in" em vez de "last move" para a correta identificação dos dados da unidade nas planilhas e relatórios extraídos. Corrigir a query caso esteja divergente do padrão._x000D_
_x000D_
_x000D_
</t>
  </si>
  <si>
    <t xml:space="preserve">Número do Chamado _x000D_
_x000D_
20260969852 _x000D_
_x000D_
Solicitante _x000D_
_x000D_
Marina Pereira De Andrade _x000D_
_x000D_
Função _x000D_
_x000D_
Analista Comercial Sr _x000D_
_x000D_
Departamento _x000D_
_x000D_
Operações Portuárias - Comercial _x000D_
_x000D_
Classificação _x000D_
_x000D_
TI - Unidades / Aplicativo / Portal JBS Terminais / Suporte _x000D_
_x000D_
Prioridade _x000D_
_x000D_
3 - Baixa _x000D_
_x000D_
Status Inicial _x000D_
_x000D_
Agendado _x000D_
_x000D_
Detalhes da Solicitação: _x000D_
Relato de inconsistência crítica nos dados exibidos no relatório de "Movimentação de Importação" do Portal JBS Terminais envolvendo o novo fluxo de processos DUIMP. _x000D_
_x000D_
 *  _x000D_
Problema Relatado: Nos processos de DUIMP registrados "sobre águas", o sistema não está gerando o evento de "Presença de Carga" automaticamente após a descarga da unidade. Como medida de contorno, o time de COMEX está realizando esse lançamento manualmente. Contudo, o relatório não está capturando e refletindo essa data real/manual do registro. _x000D_
 _x000D_
 *  _x000D_
Impacto Operacional e Comercial: A falta da data correta compromete o acompanhamento dos processos, afetando os indicadores comerciais de importação e as informações prestadas aos clientes. _x000D_
 _x000D_
 *  _x000D_
Ação Necessária: _x000D_
_x000D_
 *  _x000D_
Ajustar imediatamente a query ou mapeamento de dados do relatório de "Movimentação de Importação" para que ele busque a data real da presença de carga inserida manualmente pela equipe. _x000D_
 _x000D_
 *  _x000D_
Como ação definitiva, analisar a rotina de automação sistêmica para garantir que a Presença de Carga seja gerada de forma automática logo após o registro da descarga para processos DUIMP sobre águas, eliminando a necessidade de intervenção manual. _x000D_
 _x000D_
 _x000D_
_x000D_
 _x000D_
 _x000D_
_x000D_
_x000D_
 _x000D_
</t>
  </si>
  <si>
    <t xml:space="preserve">Solicitante _x000D_
_x000D_
George De Amorim Baiao _x000D_
_x000D_
Função _x000D_
_x000D_
Supervisor de Documentação _x000D_
_x000D_
Departamento _x000D_
_x000D_
Dp - Operações Portuárias - Documentação _x000D_
_x000D_
Classificação _x000D_
_x000D_
TI - Unidades / Aplicativo / Portal JBS Terminais / Suporte _x000D_
_x000D_
Prioridade _x000D_
_x000D_
3 - Baixa _x000D_
_x000D_
Status Inicial _x000D_
_x000D_
Agendado _x000D_
_x000D_
Detalhes da Solicitação: _x000D_
Criação de nova regra sistêmica para controle de prazos de DTC Cutoff, conforme alinhamento prévio com Amandus. _x000D_
_x000D_
 *  _x000D_
Regras de Negócio Exigidas: _x000D_
_x000D_
 *  _x000D_
Prazo Base: O DTC Cutoff deve ser calculado com base na atualização do ETA (Estimated Time of Arrival), estipulando o prazo limite de 24 horas antes do ETA. _x000D_
 _x000D_
 *  _x000D_
Trava de Horário: Além da regra de 24 horas, deve haver um controle para que o limite diário seja estabelecido até as 18:00 hrs. _x000D_
 _x000D_
 _x000D_
_x000D_
 _x000D_
 *  _x000D_
Observação de Planejamento: Este item requer atenção especial no backlog. O solicitante pediu para listar este chamado para ser priorizado na reunião/alinhamento com a equipe de COMEX. _x000D_
 _x000D_
 _x000D_
_x000D_
_x000D_
 _x000D_
</t>
  </si>
  <si>
    <t xml:space="preserve">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Classificar _x000D_
_x000D_
Prioridade _x000D_
_x000D_
3 - Baixa _x000D_
_x000D_
Status Inicial _x000D_
_x000D_
Aguardando Especialista _x000D_
_x000D_
Detalhes da Solicitação: _x000D_
Solicitação de melhoria/ajuste na lógica de tratamento de dados retornados pelo Portal Único Siscomex. _x000D_
_x000D_
 *  _x000D_
Ação Necessária: Implementar ou ajustar a rotina de consulta de status para tratar diferentes cenários de retorno de identificadores: _x000D_
_x000D_
 *  _x000D_
Cenário Padrão: Tratar os casos onde o retorno do portal apresenta apenas a RUC (Referência Única de Carga). _x000D_
 _x000D_
 *  _x000D_
Cenário de Carga Consolidada: Tratar os casos onde o retorno apresenta simultaneamente a DU-E (Declaração Única de Exportação) e a RUC. _x000D_
 _x000D_
 _x000D_
_x000D_
 _x000D_
 *  _x000D_
Objetivo: Garantir que o sistema interprete corretamente as informações de exportação, independentemente do tipo de carga (simples ou consolidada), assegurando a integridade dos dados na rotina de consulta. _x000D_
 _x000D_
 _x000D_
_x000D_
_x000D_
 _x000D_
</t>
  </si>
  <si>
    <t xml:space="preserve">Número do Chamado _x000D_
_x000D_
20260486399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Navis N4 / Atualizar _x000D_
_x000D_
Prioridade _x000D_
_x000D_
3 - Baixa _x000D_
_x000D_
Status Inicial _x000D_
_x000D_
Agendado _x000D_
_x000D_
Detalhes da Solicitação: _x000D_
Criação de uma nova rotina/automação no Navis N4 para o controle eficiente do prazo legal de remoção de DTCs (Declaração de Trânsito Aduaneiro de Contêiner). _x000D_
_x000D_
 *  _x000D_
Regra de Negócio (Prazo Legal): O beneficiário do trânsito tem até 48 horas para promover a transferência da carga. _x000D_
 _x000D_
 *  _x000D_
Funcionalidades e Automações Exigidas: _x000D_
_x000D_
 *  _x000D_
Gestão de Quebra de Lotes: Controle para quando o prazo expira sem que o lote total tenha sido removido do terminal. _x000D_
 _x000D_
 *  _x000D_
Presença de Carga: Automação para lançar a presença de carga nos lotes com prazo expirado que ainda estejam depositados. _x000D_
 _x000D_
 *  _x000D_
Atualização de Segregação (Navis): Remover as unidades da lista de segregação, alterando o campo GRP (Grupo) para JBST._x000D_
 *  _x000D_
Gestão de Agendamentos: Cancelar automaticamente os agendamentos de retirada (appointments) ativos vinculados à carga expirada._x000D_
 *  _x000D_
Notificações: Disparo de notificação automática ao recinto informando sobre a expiração do prazo e o consequente cancelamento do agendamento._x000D_
 *  _x000D_
Ação Operacional: Incluir uma opção sistêmica para armazenar a unidade._x000D_
_x000D_
_x000D_
</t>
  </si>
  <si>
    <t xml:space="preserve">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3 - Baixa _x000D_
_x000D_
Status Inicial _x000D_
_x000D_
Agendado _x000D_
_x000D_
Detalhes da Solicitação: _x000D_
Ajuste na lógica de criação e vinculação de conhecimentos de embarque (BLs) durante a rotina de "Leitura Siscarga". _x000D_
_x000D_
 *  _x000D_
Problema Relatado: Em cenários de desmembramento (lotes fracionados) que envolvem MBL (Master Bill of Lading), MHBL (Master House Bill of Lading) e BL House, a estrutura não está sendo gerada corretamente. Atualmente, o sistema cria o Master sem vincular à unidade (o que está correto), mas está criando o MHBL equivocadamente como se fosse um BL House. _x000D_
 _x000D_
 *  _x000D_
Contexto Operacional: O MBL é o contrato do Agente de Cargas com o Armador para o contêiner inteiro. O HBL é usado pelo importador final para o desembaraço da sua carga específica. _x000D_
 _x000D_
 *  _x000D_
Ação Necessária (Solução Proposta): Alterar a modelagem de gravação no sistema. As informações do MBL e do MHBL devem passar a ser gravadas em campos específicos dentro do cadastro/entidade do BL House correspondente, garantindo que não fiquem vinculados diretamente à unidade de forma incorreta. _x000D_
 _x000D_
 _x000D_
_x000D_
_x000D_
 _x000D_
</t>
  </si>
  <si>
    <t xml:space="preserve">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Classificar _x000D_
_x000D_
Prioridade _x000D_
_x000D_
3 - Baixa _x000D_
_x000D_
Status Inicial _x000D_
_x000D_
Em Análise _x000D_
_x000D_
Detalhes da Solicitação: _x000D_
Criação de uma nova regra de validação na interface para fluxos de liberação documental de carga consolidada. _x000D_
_x000D_
 *  _x000D_
Problema Relatado (Motivador): Regularmente, a equipe acumula uma média de 15 processos pendentes de atendimento que ficam parados (travados) na tela de visualização de status por vários dias, gerando gargalos. _x000D_
 _x000D_
 *  _x000D_
Ação Necessária: Aplicar uma trava de sistema (regra de negócio) na tela de processos consolidados. O botão "Solicitar Aprovação" só deverá ser habilitado/liberado para o clique quando todos os processos que compõem aquele consolidado estiverem obrigatoriamente com o status "Criado". _x000D_
 _x000D_
 _x000D_
_x000D_
_x000D_
 _x000D_
</t>
  </si>
  <si>
    <t xml:space="preserve">Campo _x000D_
_x000D_
Valor _x000D_
_x000D_
Número do Chamado _x000D_
_x000D_
20260634310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3 - Baixa _x000D_
_x000D_
Status Inicial _x000D_
_x000D_
Agendado _x000D_
_x000D_
Detalhes da Solicitação: _x000D_
Demanda de evolução sistêmica para permitir o registro de boletins de carga/descarga no Portal JBS Terminais para cargas que não sejam contêineres. _x000D_
_x000D_
 *  _x000D_
Problema Atual: A integração atual via API LogComex (register_report_card) está limitada apenas ao tipo "Contêiner". Outras modalidades permitidas pelo Siscomex Carga (Carga Solta, Granel, Veículo e Sobressalentes) não são suportadas pelo portal, exigindo que operações como RO-RO (chassis) sejam lançadas manualmente uma a uma no site do Governo._x000D_
 *  _x000D_
Ações Necessárias:_x000D_
_x000D_
 *  _x000D_
Integração Navis N4: Ajustar o portal para identificar e ler o tipo de carga movimentada (contêiner, veículo, carga solta) diretamente do Navis N4._x000D_
 *  _x000D_
Evolução de API: Negociar e verificar com a LogComex a personalização/atualização da API para contemplar o envio desses novos tipos de boletins._x000D_
_x000D_
 *  _x000D_
Objetivo: Automatizar o envio do boletim para todos os tipos de operação da JBS Terminais, eliminando o retrabalho manual no Siscomex Carga._x000D_
_x000D_
_x000D_
</t>
  </si>
  <si>
    <t xml:space="preserve">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3 - Baixa _x000D_
_x000D_
Status Inicial _x000D_
_x000D_
Aguardando Usuário _x000D_
_x000D_
Detalhes da Solicitação: _x000D_
Solicitação de nova funcionalidade/parâmetro no Portal JBS Terminais para gestão e controle de dias não úteis pelo próprio setor de operações. _x000D_
_x000D_
 *  _x000D_
Necessidade Relatada: O time de Documentação precisa de autonomia para gerenciar as datas que geram bloqueios automáticos nos fluxos de liberação documental (como feriados, recessos, etc.). _x000D_
 _x000D_
 *  _x000D_
Ação Necessária: _x000D_
_x000D_
 *  _x000D_
Desenvolver e disponibilizar uma nova interface (Calendário Anual) dentro da aba de "Parâmetros" do portal. _x000D_
 _x000D_
 *  _x000D_
A tela deve conter controles (CRUD) para que a equipe de Documentação possa habilitar, desabilitar e configurar de forma sistêmica as datas de bloqueios pré-determinados, refletindo essas regras nas rotinas e prazos de liberação do sistema. _x000D_
 _x000D_
 _x000D_
_x000D_
 _x000D_
 _x000D_
_x000D_
_x000D_
 _x000D_
</t>
  </si>
  <si>
    <t xml:space="preserve">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Navis N4 / Atualizar _x000D_
_x000D_
Prioridade _x000D_
_x000D_
3 - Baixa _x000D_
_x000D_
Status Inicial _x000D_
_x000D_
Agendado _x000D_
_x000D_
Detalhes da Solicitação: _x000D_
Solicitação para revisão e ajuste na rotina de importação de dados de peso de contêineres no Navis N4. _x000D_
_x000D_
 *  _x000D_
Demanda Relatada: A rotina sistêmica não está criando/atualizando corretamente a tara do contêiner e o peso líquido por unidade nos processos de importação. Os dados não estão refletindo fielmente as informações contidas no manifesto. _x000D_
 _x000D_
 *  _x000D_
Ação Necessária: _x000D_
_x000D_
 *  _x000D_
Revisar o script ou a integração (EDI/Portal) responsável por alimentar os dados de peso das unidades de importação no Navis N4. _x000D_
 _x000D_
 *  _x000D_
Ajustar a lógica de mapeamento para que a tara do contêiner e o peso líquido unitário sejam extraídos do manifesto e gravados corretamente nos respectivos campos da unidade no N4. _x000D_
 _x000D_
 _x000D_
_x000D_
 _x000D_
 _x000D_
_x000D_
_x000D_
</t>
  </si>
  <si>
    <t xml:space="preserve">Campo _x000D_
_x000D_
Valor _x000D_
_x000D_
Número do Chamado _x000D_
_x000D_
20260685218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Navis N4 / Atualizar _x000D_
_x000D_
Prioridade _x000D_
_x000D_
3 - Baixa _x000D_
_x000D_
Status Inicial _x000D_
_x000D_
Agendado _x000D_
_x000D_
Detalhes da Solicitação: _x000D_
Identificação de falha na rotina de processamento de arquivos EDI de descarga no Navis N4. _x000D_
_x000D_
 *  _x000D_
Problema Relatado: O sistema está excluindo indevidamente os lacres das unidades durante a atualização de arquivos EDI. _x000D_
 _x000D_
 *  _x000D_
Cenário de Erro: 1. O EDI inicial é processado no Navis N4. _x000D_
2. A rotina de Leitura Siscarga cria os vínculos de BL, Lacre, CE e Manifesto. _x000D_
3. Quando um EDI atualizado é processado para a mesma operação, o sistema apaga automaticamente todos os lacres vinculados às unidades (FCL e LCL). _x000D_
 _x000D_
 *  _x000D_
Impacto: Perda de dados de lacres já conferidos e registrados, gerando inconsistências na documentação e necessidade de reprocessamento manual. _x000D_
 _x000D_
 *  _x000D_
Ação Necessária: Corrigir a rotina de atualização do EDI para que o processamento de novos arquivos preserve os lacres já existentes nas unidades, visto que as atualizações de arquivo geralmente não alteram a natureza da movimentação da carga (Importação, Transshipment, etc.). _x000D_
 _x000D_
 _x000D_
_x000D_
_x000D_
 _x000D_
</t>
  </si>
  <si>
    <t xml:space="preserve"> _x000D_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Navis N4 / Erros _x000D_
_x000D_
Prioridade _x000D_
_x000D_
3 - Baixa _x000D_
_x000D_
Status Inicial _x000D_
_x000D_
Agendado _x000D_
_x000D_
Detalhes da Solicitação: _x000D_
Revisão de regra de negócio no Navis N4 referente à classificação automática do tipo de operação de unidades. _x000D_
_x000D_
 *  _x000D_
Problema Relatado: A regra sistêmica responsável por classificar os contêineres como "Importação de Cabotagem" está apresentando falha. Especificamente, unidades que possuem o parâmetro de Freight Kind (tipo de frete) definido como "LCL" (Less than Container Load) não estão sendo reconhecidas e classificadas corretamente pela automação do sistema. _x000D_
 _x000D_
 *  _x000D_
Ação Necessária: _x000D_
_x000D_
 *  _x000D_
Acessar as regras de classificação (rules/groovy scripts) de importação de cabotagem no Navis N4. _x000D_
 _x000D_
 *  _x000D_
Identificar a condição que está barrando ou ignorando as unidades consolidadas/fracionadas. _x000D_
 _x000D_
 *  _x000D_
Ajustar a parametrização para incluir o Freight Kind "LCL" nos critérios de aceite, garantindo que o sistema classifique essas unidades de forma automática e correta. _x000D_
 _x000D_
 _x000D_
_x000D_
 _x000D_
 _x000D_
_x000D_
_x000D_
 _x000D_
</t>
  </si>
  <si>
    <t xml:space="preserve">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Navis N4 / Atualizar _x000D_
_x000D_
Prioridade _x000D_
_x000D_
3 - Baixa _x000D_
_x000D_
Status Inicial _x000D_
_x000D_
Agendado _x000D_
_x000D_
Detalhes da Solicitação: _x000D_
Evolução funcional no Portal JBS Terminais para suporte ao novo fluxo de DUIMP Antecipada, visando acelerar a liberação em zona primária e atender à alta demanda de processos prévios. _x000D_
_x000D_
 *  _x000D_
Nova Funcionalidade: Criação do tipo de documento "DUIMP ANTECIPADA". _x000D_
 _x000D_
 *  _x000D_
Regras de Status e Visibilidade: _x000D_
_x000D_
 *  _x000D_
O sistema deve permitir a anexação de documentos e a criação do processo mesmo que a carga ainda não tenha chegado ao terminal. _x000D_
 _x000D_
 *  _x000D_
Para isso, as posições das unidades vindas do Navis Inbound devem ser traduzidas na visualização do solicitante: _x000D_
_x000D_
 *  _x000D_
Status "NAVIO" deve ser exibido como "A Bordo". _x000D_
 _x000D_
 *  _x000D_
Status "Não Encontrado" deve ser exibido como "Ag. CHEGADA". _x000D_
 _x000D_
 _x000D_
_x000D_
 _x000D_
 _x000D_
_x000D_
 _x000D_
 *  _x000D_
Rotina de Monitoramento e Automação: _x000D_
_x000D_
 *  _x000D_
Implementar rotina para monitorar o navio durante a fase de operação (working phase). _x000D_
 _x000D_
 *  _x000D_
O sistema deve realizar automaticamente a Solicitação de Liberação Documental assim que houver a confirmação de descarga e a recepção da DUIMP, validando apenas se não há situações impeditivas de ICMS ou Siscarga. _x000D_
 _x000D_
 _x000D_
_x000D_
 _x000D_
 *  _x000D_
Objetivo: Reduzir a intervenção manual e garantir que a carga seja liberada o mais rápido possível após o desembarque, cumprindo o propósito de agilidade da DUIMP. _x000D_
 _x000D_
 _x000D_
_x000D_
_x000D_
 _x000D_
</t>
  </si>
  <si>
    <t xml:space="preserve">Campo _x000D_
_x000D_
Valor _x000D_
_x000D_
Número do Chamado _x000D_
_x000D_
20260130918 _x000D_
_x000D_
Solicitante _x000D_
_x000D_
Edinaldo Da Silva Franca _x000D_
_x000D_
Função _x000D_
_x000D_
Supervisor Financeiro _x000D_
_x000D_
Departamento _x000D_
_x000D_
Dp - Operações Portuárias - Financeiro _x000D_
_x000D_
Classificação _x000D_
_x000D_
TI - Unidades / Aplicativo / Navis N4 / Customização (Groovy) _x000D_
_x000D_
Prioridade _x000D_
_x000D_
3 - Baixa _x000D_
_x000D_
Status Inicial _x000D_
_x000D_
Aguardando Fornecedor _x000D_
_x000D_
Detalhes da Solicitação: _x000D_
Solicitação de abertura de chamado junto à desenvolvedora do sistema (Navis) para avaliação de viabilidade técnica no módulo de faturamento (Billing). _x000D_
_x000D_
 *  _x000D_
Necessidade de Negócio: A área financeira precisa que a regra de Armazenagem e Reefer permita a geração de mais de um evento billable (faturável). _x000D_
 _x000D_
 *  _x000D_
Objetivo: Atender às regras de rateio de despesas e cenários reais de faturamento da unidade. _x000D_
 _x000D_
 *  _x000D_
Ação Necessária: 1. A TI interna deve abrir um ticket com o suporte da Navis. _x000D_
2. Apresentar o cenário técnico e o e-mail anexo no chamado original, que contém dados reais de faturamento e as regras de rateio que justificam a solicitação. _x000D_
3. Acompanhar a resposta técnica do fornecedor. _x000D_
 _x000D_
 _x000D_
_x000D_
_x000D_
 _x000D_
</t>
  </si>
  <si>
    <t xml:space="preserve">Solicitante _x000D_
_x000D_
Antonia Laurice Dantas Bizerra _x000D_
_x000D_
Função _x000D_
_x000D_
Analista de Faturamento Jr _x000D_
_x000D_
Departamento _x000D_
_x000D_
Operações Portuárias - Faturamento _x000D_
_x000D_
Classificação _x000D_
_x000D_
TI - Unidades / Aplicativo / Portal JBS Terminais / Suporte _x000D_
_x000D_
Prioridade _x000D_
_x000D_
2 - Moderada _x000D_
_x000D_
Status Inicial _x000D_
_x000D_
Agendado _x000D_
_x000D_
Detalhes da Solicitação: _x000D_
Relato de falha crítica de integridade de dados afetando o faturamento de unidades do cliente Aurora. _x000D_
_x000D_
 *  _x000D_
Problema Relatado: Foi identificada uma duplicação sistêmica de todos os eventos em diversos contêineres do cliente Aurora. _x000D_
 _x000D_
 *  _x000D_
Impacto Financeiro: A falha resultou no envio de Notas Fiscais com serviços cobrados em duplicidade para o cliente, gerando a necessidade de cancelamentos ou refaturamento. _x000D_
 _x000D_
 *  _x000D_
Evidências: Além dos serviços, até mesmo as linhas de registro do armador estão aparecendo duplicadas no sistema/portal. _x000D_
 _x000D_
 *  _x000D_
Ação Necessária: 1. Investigar a causa raiz da duplicação (se ocorre via integração de arquivos, trigger de banco de dados ou erro no processamento do Portal). _x000D_
2. Realizar o saneamento dos dados nas tabelas afetadas para remover as duplicidades. _x000D_
3. Identificar os contêineres impactados para que o Faturamento possa realizar os ajustes necessários com o cliente. _x000D_
 _x000D_
 _x000D_
_x000D_
_x000D_
 _x000D_
</t>
  </si>
  <si>
    <t xml:space="preserve">Solicitante _x000D_
_x000D_
Antonia Laurice Dantas Bizerra _x000D_
_x000D_
Função _x000D_
_x000D_
Analista de Faturamento Jr _x000D_
_x000D_
Departamento _x000D_
_x000D_
Operações Portuárias - Faturamento _x000D_
_x000D_
Classificação _x000D_
_x000D_
TI - Unidades / Aplicativo / Portal JBS Terminais / Suporte _x000D_
_x000D_
Prioridade _x000D_
_x000D_
2 - Moderada _x000D_
_x000D_
Status Inicial _x000D_
_x000D_
Agendado _x000D_
_x000D_
Detalhes da Solicitação: _x000D_
Evolução sistêmica no Portal JBS Terminais para adequação a um requisito legal/regulatório da Receita Federal. _x000D_
_x000D_
 *  _x000D_
Demanda Relatada: Solicitação para alterar o campo de CNPJ no cadastro de clientes para aceitar o formato alfanumérico. A partir de julho de 2026, a Receita Federal passará a emitir novos CNPJs contendo letras e números na raiz. _x000D_
 _x000D_
 *  _x000D_
Impacto: Se não atualizado, o sistema bloqueará o cadastro de novos clientes que possuam a nova formatação do documento. _x000D_
 _x000D_
 *  _x000D_
Ação Necessária: _x000D_
_x000D_
 *  _x000D_
Front-end: Alterar a máscara do campo de CNPJ no cadastro de clientes do portal para permitir a digitação de letras maiúsculas e números. _x000D_
 _x000D_
 *  _x000D_
Validação: Atualizar a rotina/algoritmo de validação do dígito verificador do CNPJ no portal  para suportar a nova lógica de cálculo com a tabela ASCII estipulada pela Receita Federal. _x000D_
 _x000D_
 *  _x000D_
Banco de Dados/Integração: Verificar se as tabelas de banco de dados e as integrações (ex: com o ERP Benner ou Navis N4) já suportam o recebimento de strings com letras nesse campo, evitando falhas de sincronização na criação de novos parceiros de negócios. _x000D_
 _x000D_
 _x000D_
_x000D_
 _x000D_
 _x000D_
_x000D_
_x000D_
 _x000D_
</t>
  </si>
  <si>
    <t xml:space="preserve">Solicitante _x000D_
_x000D_
Antonia Laurice Dantas Bizerra _x000D_
_x000D_
Função _x000D_
_x000D_
Analista de Faturamento Jr _x000D_
_x000D_
Departamento _x000D_
_x000D_
Operações Portuárias - Faturamento _x000D_
_x000D_
Classificação _x000D_
_x000D_
TI - Unidades / Aplicativo / Benner / Suporte _x000D_
_x000D_
Prioridade _x000D_
_x000D_
2 - Moderada _x000D_
_x000D_
Status Inicial _x000D_
_x000D_
Agendado _x000D_
_x000D_
Detalhes da Solicitação: _x000D_
Solicitação de nova funcionalidade/campo para registro e controle de janelas operacionais. _x000D_
_x000D_
 *  _x000D_
Demanda Relatada: A equipe de Operações necessita da criação de um novo campo na aba de Carrier Services para que seja possível registrar a data da janela específica de cada serviço. Além da criação do campo, essa informação recém-criada deve refletir e ser considerada dentro do Vessel Visit, trabalhando em conjunto com o BW (Berth Window) do navio. _x000D_
 _x000D_
 *  _x000D_
Ação Necessária: _x000D_
_x000D_
 *  _x000D_
Desenvolver e disponibilizar o novo campo de data na interface/aba Carrier Services. _x000D_
 _x000D_
 *  _x000D_
Estabelecer o vínculo e a regra de negócio para que esse novo dado de janela de serviço seja importado/exibido no módulo de Vessel Visit. _x000D_
 _x000D_
 *  _x000D_
Garantir que o comportamento desse novo parâmetro atue de forma compatível e integrada com as regras já existentes do BW do navio. _x000D_
 _x000D_
 _x000D_
_x000D_
 _x000D_
 _x000D_
_x000D_
_x000D_
 _x000D_
</t>
  </si>
  <si>
    <t xml:space="preserve">Login 	ronaldosantos-soy_x000D_
Tipo de usuário 	COLABORADOR_x000D_
 _x000D_
Nome Completo 	Ronaldo Gomes Dos Santos_x000D_
 _x000D_
Email do Solicitante 	ronaldo.gomes@jbsterminais.com.br_x000D_
 _x000D_
CPF 	34277729851_x000D_
 _x000D_
Função 	Assistente de Operações_x000D_
 _x000D_
Departamento 	Operações Portuárias - Apoio_x000D_
 _x000D_
Nome Empresa 	SEARA OPERACOES PORTUARIAS LTDA_x000D_
 _x000D_
Ramal 	1306_x000D_
 _x000D_
Telefone 	1306_x000D_
 _x000D_
Celular para contato 	1306_x000D_
 _x000D_
Possui canal de voz? 	Não_x000D_
 _x000D_
Deseja acesso remoto? 	Não_x000D_
 _x000D_
Descrição  _x000D_
_x000D_
 _x000D_
Bom dia!_x000D_
 _x000D_
_x000D_
 _x000D_
Quando recebíamos um caminhão com AGENDAMENTO CANCELADO no sistema GOS ele acusava na aba "AGENDAMENTO (CONSIDERAVA APENAS OS CRIADO)", não avançando, de ontem pra hoje estamos observando que está avançando como se o agendamento estivesse OK e parando na aba "FINALIZAR N4", entendendo que o sistema já tenha  consultado AGENDAMENTO E BLOQUEIOS, em anexo encaminho prints de um exemplo com a tela do GOS já na aba FINALIZAR N4 e a visita já criada no N4 com status TROUBLE._x000D_
 _x000D_
_x000D_
 _x000D_
PLACA: AZX0E60_x000D_
 _x000D_
VISITA NO GOS/N4: 262043_x000D_
 _x000D_
_x000D_
 _x000D_
_x000D_
 _x000D_
Deixei a transação em aberto no GOS para análise._x000D_
 _x000D_
Encaminhar para TI Matriz? 	_x000D_
 _x000D_
Chamado Categorizado? 	Sim_x000D_
 _x000D_
_x000D_
 _x000D_
_x000D_
 _x000D_
[Image]_x000D_
 _x000D_
_x000D_
 _x000D_
[Image]_x000D_
 _x000D_
[Image]_x000D_
 _x000D_
</t>
  </si>
  <si>
    <t xml:space="preserve">Login 	brunoduarte-soy_x000D_
Tipo de usuário 	COLABORADOR_x000D_
 _x000D_
Nome Completo 	Bruno Duarte_x000D_
 _x000D_
Email do Solicitante 	bruno.duarte1@jbsterminais.com.br_x000D_
 _x000D_
CPF 	07022339945_x000D_
 _x000D_
Função 	Coordenador de Estratégia e Desempenho Operacional_x000D_
 _x000D_
Departamento 	Dp - Operações Portuárias - Desempenho Operacional_x000D_
 _x000D_
Nome Empresa 	SEARA OPERACOES PORTUARIAS LTDA_x000D_
 _x000D_
Ramal 	5437_x000D_
 _x000D_
Telefone 	(47)99278-7415_x000D_
 _x000D_
Celular para contato 	(47)99278-7415_x000D_
 _x000D_
Possui canal de voz? 	Não_x000D_
 _x000D_
Deseja acesso remoto? 	Não_x000D_
 _x000D_
Descrição 	Acrescentar a informação de scanner ao ECN4 Web (colunas de Stop Vessel e Notes) para que o operador da RS consiga visualizar essa informação no tablet; hoje eles estão trabalhando com tablet + pedida impressa para identificar os bloqueados para scanner. _x000D_
_x000D_
 _x000D_
  _x000D_
  _x000D_
From:BRUNO DUARTE &lt;bruno.duarte1@jbsterminais.com.br&gt;_x000D_
Date: Wednesday, 3 December 2025 at 16:11_x000D_
To: DANTON DA ROSA ABREU &lt;danton.abreu@jbsterminais.com.br&gt;,AMANDUS MULLER MUNIZ &lt;amandus.muniz@jbsterminais.com.br&gt;_x000D_
Cc: EVANDRO DE SOUZA &lt;evandro.souza@jbsterminais.com.br&gt;,FELIPE BRASIL &lt;felipe.brasil@jbsterminais.com.br&gt;_x000D_
Subject: FW: Melhoria XPS ECN4WEB - SCAN _x000D_
  _x000D_
Bom dia _x000D_
  _x000D_
@DANTON DA ROSA ABREU / @AMANDUSMULLER MUNIZ _x000D_
  _x000D_
Conforme falamos hoje, segueabaixo o chamado para a customização do módulo ECN4 para inclusão do campo descanner (notes + stop vessel) _x000D_
  _x000D_
Gentileza priorizar estademanda nos cards de operações. _x000D_
  _x000D_
20252053266 _x000D_
[Image] _x000D_
  _x000D_
 _x000D_
De: EVANDRODE SOUZA &lt;evandro.souza@jbsterminais.com.br&gt;_x000D_
Enviado: Tuesday, December 2, 2025 6:29:12 PM_x000D_
Para: BRUNO DUARTE &lt;bruno.duarte1@jbsterminais.com.br&gt;;FELIPE BRASIL &lt;felipe.brasil@jbsterminais.com.br&gt;_x000D_
Cc: coordenacao@jbsterminais.com.br&lt;coordenacao@jbsterminais.com.br&gt;;supervisao@jbsterminais.com.br&lt;supervisao@jbsterminais.com.br&gt;_x000D_
Assunto: Melhoria XPS ECN4WEB - SCAN  _x000D_
  _x000D_
Boa tarde @BRUNO DUARTE,_x000D_
_x000D_
Seria possível fazermos duas alterações no sistema para melhorar o fluxo detrabalho?_x000D_
_x000D_
1) Acrescentar a informação de scanner para que o operador da RS consigavisualizar essa informação? Hoje ele estão trabalhando com tablet + pedidaimpressa para identificar os bloqueados para scanner._x000D_
2) Outra situação é que os containers bloqueados não são despachados para osTTs, o sistema pula para próximo container sem bloqueio, onde muitas vezes osTTs se perdem caso o operador não se atende de avisar ou mesmo o pessoal dasala. _x000D_
  _x000D_
  _x000D_
[Image]_x000D_
 _x000D_
  _x000D_
Atenciosamente, _x000D_
 _x000D_
_x000D_
 _x000D_
_x000D_
 _x000D_
</t>
  </si>
  <si>
    <t xml:space="preserve">Foi identificado que existem transitos que foram acessados na área portuária e que os protocolos do SPI não estão regularizados (existem diversos erros, no envio para CODEBA) _x000D_
Verificar rotina de envio de protocolos e ajustar para que não haja erros. Aqui estão transações operacionais (Com Container), e não operacionais (carros de serviços). _x000D_
Neste card é para atuação de Motorista Diferente do Agendamento  _x000D_
_x000D_
 _x000D_
Para apoio: _x000D_
SELECT gkey, CUSTOM_LSPI_CREATED, CUSTOM_LSPI_ENTITY_CLASS, CUSTOM_LSPI_ENTITY_GKEY, CUSTOM_LSPI_ENTITY_ID, CUSTOM_LSPI_ID_EVENTO, CUSTOM_LSPI_PROTOCOLO, CUSTOM_LSPI_REQUEST, CUSTOM_LSPI_REQUEST2, CUSTOM_LSPI_RESPONSE, CUSTOM_LSPI_STATUS_ENUM, CUSTOM_LSPI_TIPO, CUSTOM_LSPI_UPDATED, CUSTOM_LSPI_RESPONSE_CODE, CUSTOM_LSPI_UNIT_GKEY, CUSTOM_LSPI_UNIT_ID, CUSTOM_LSPI_TIPO_PROCESSAMENTO_x000D_
FROM dbSparcsn4.dbo.CUSTOM_LOG_SPI where CUSTOM_LSPI_STATUS_ENUM = 'FAIL' AND CUSTOM_LSPI_TIPO = 'V1/NACV' AND CUSTOM_LSPI_ENTITY_CLASS = 'TRUCKVISITDETAILS' AND CUSTOM_LSPI_RESPONSE = '{"message":"Elemento motorista: Motorista diferente do agendado para este Trânsito. Transito deve ser retificado antes de prosseguir.","code":400}';_x000D_
 _x000D_
Existem hoje 2409 casos desde o inicio. _x000D_
_x000D_
 _x000D_
_x000D_
 _x000D_
_x000D_
 _x000D_
  _x000D_
</t>
  </si>
  <si>
    <t>VSTS_d6760eb0_ea3a_4c33_85d6_f85b26745a24_DB-E9-6A-0B-AD-0E-4D-B6-FF-32-36-D9-92-03-3B-DA-E5-65-B8-43-30-59-C8-F6-DC-75-AE-BF-93-23-1E-72</t>
  </si>
  <si>
    <t>VSTS_d6760eb0_ea3a_4c33_85d6_f85b26745a24_FA-88-7C-75-21-62-A6-94-58-08-A0-B7-0D-7C-50-D2-7C-72-72-16-F7-CB-A5-26-C1-CC-9A-93-1E-0F-C7-77</t>
  </si>
  <si>
    <t xml:space="preserve">Solicitação Inicial _x000D_
Login 	diegojuliani-soy_x000D_
Tipo de usuário 	COLABORADOR_x000D_
 _x000D_
Nome Completo 	Diego Rodrigo Juliani_x000D_
 _x000D_
Email do Solicitante 	diego.juliani@jbsterminais.com.br_x000D_
 _x000D_
CPF 	05292180971_x000D_
 _x000D_
Função 	Supervisor de Operações Portuárias_x000D_
 _x000D_
Departamento 	Dp - Operações Portuárias - Apoio_x000D_
 _x000D_
Nome Empresa 	SEARA OPERACOES PORTUARIAS LTDA_x000D_
 _x000D_
Ramal 	0000_x000D_
 _x000D_
Telefone 	47992654752_x000D_
 _x000D_
Celular para contato 	_x000D_
 _x000D_
Possui canal de voz? 	Não_x000D_
 _x000D_
Deseja acesso remoto? 	Não_x000D_
 _x000D_
Descrição 	Time, bom dia!_x000D_
 _x000D_
_x000D_
 _x000D_
Foi realizado um GEMBA no processo de monitoramento Reefer e foi identificado que, durante o acompanhamento via tablet, há muitas informações exibidas na tela que não são necessárias para a operação._x000D_
 _x000D_
_x000D_
 _x000D_
Gostaríamos de simplificar essa visualização, removendo os campos que não agregam ao monitoramento, e incluir os campos Sequence e Move Time, que são essenciais para o controle e tomada de decisão._x000D_
 _x000D_
_x000D_
 _x000D_
_x000D_
 _x000D_
Contamos com o apoio de vocês para avançarmos com esse ajuste._x000D_
 _x000D_
Encaminhar para TI Matriz? 	_x000D_
 _x000D_
Chamado Categorizado? 	Sim_x000D_
 _x000D_
_x000D_
 _x000D_
_x000D_
 _x000D_
 *  Incluir um campo que exiba a     Sequence,     ou seja, a numeração em que a unidade está planejada no ajuste; _x000D_
 _x000D_
_x000D_
_x000D_
 _x000D_
[Image]_x000D_
 _x000D_
 _x000D_
_x000D_
 _x000D_
 *  Incluir o campo Move Time,     que corresponde ao horário planejado para o movimento da carga do navio. _x000D_
 _x000D_
_x000D_
[Image] _x000D_
 _x000D_
      _x000D_
_x000D_
  _x000D_
   Tela atual                                                                                                                                           _x000D_
 [Image] _x000D_
  _x000D_
_x000D_
 _x000D_
</t>
  </si>
  <si>
    <t>20260896832 - Gate Operation System: Indicação de Carga IMO na Tela de Agendamentos</t>
  </si>
  <si>
    <t>20260794994 - Navis N4: Validação de Group Code em Gate-in (Business Task)</t>
  </si>
  <si>
    <t xml:space="preserve">[Image]_x000D_
 _x000D_
[Image]_x000D_
 _x000D_
_x000D_
 _x000D_
346038,346045,344529_x000D_
 _x000D_
</t>
  </si>
  <si>
    <t>RFB posicao-cntr - Envio de AreaConteiner com a informação da Quadra</t>
  </si>
  <si>
    <t xml:space="preserve">Ajuste para mapear o campo AreaConteiner com a praça lógica cadastrada no n4. Exemplo: _x000D_
_x000D_
 _x000D_
[Image]_x000D_
 _x000D_
_x000D_
 _x000D_
[Image]_x000D_
 _x000D_
</t>
  </si>
  <si>
    <t xml:space="preserve">Solicitante _x000D_
_x000D_
Diego Rodrigo Juliani _x000D_
_x000D_
Função _x000D_
_x000D_
Supervisor de Operações Portuárias _x000D_
_x000D_
Departamento _x000D_
_x000D_
Dp - Operações Portuárias - Inspeção Navio _x000D_
_x000D_
Classificação _x000D_
_x000D_
TI - Unidades / Aplicativo / Gate Operation Systen / Ajuste _x000D_
_x000D_
Prioridade _x000D_
_x000D_
3 - Baixa _x000D_
_x000D_
Status Inicial _x000D_
_x000D_
Agendado _x000D_
_x000D_
Detalhes da Solicitação: _x000D_
Solicitação de melhoria na interface do sistema de Gate (GOS) para antecipar a identificação de cargas perigosas (IMO) e evitar retrabalho operacional. _x000D_
_x000D_
 *  _x000D_
Demanda Relatada: O usuário solicita a inclusão de uma nova coluna indicando "Carga IMO" (Sim/Não) na aba de Agendamentos, posicionada ao lado da coluna "Tipo de Transação". _x000D_
 _x000D_
 *  _x000D_
Problema Atual: Atualmente, a informação de carga perigosa só é exibida no momento da entrada do veículo (gate-in). Isso tem gerado transtornos, pois muitos registros de entrada são realizados e só posteriormente a equipe identifica que o motorista não possui a habilitação (MOPP) ou os kits e equipamentos necessários para o transporte da carga IMO. Como resultado, o motorista é barrado após entrar, gerando atrasos e cancelamentos. _x000D_
 _x000D_
 _x000D_
_x000D_
_x000D_
</t>
  </si>
  <si>
    <t xml:space="preserve">Solicitante _x000D_
_x000D_
Bruno Duarte _x000D_
_x000D_
Função _x000D_
_x000D_
Coordenador de Estratégia e Desempenho Operacional _x000D_
_x000D_
Departamento _x000D_
_x000D_
Dp - Operações Portuárias - Desempenho Operacional _x000D_
_x000D_
Classificação _x000D_
_x000D_
TI - Unidades / Aplicativo / Navis N4 / Atualizar _x000D_
_x000D_
Prioridade _x000D_
_x000D_
3 - Baixa _x000D_
_x000D_
Status Inicial _x000D_
_x000D_
Agendado _x000D_
_x000D_
Detalhes da Solicitação: _x000D_
Solicitação de implementação de trava sistêmica para garantir a integridade dos dados no processo de recepção (gate-in) de unidades vazias no Navis N4. _x000D_
_x000D_
 *  _x000D_
Problema Relatado: Atualmente, não existe uma validação que impeça a divergência entre o Group Code inserido no ato do gate-in e o Group Code previamente definido no agendamento (appointment). O sistema permite que o usuário altere manualmente o código, contornando a regra de negócio. _x000D_
 _x000D_
 *  _x000D_
Ação Necessária: _x000D_
_x000D_
 *  _x000D_
Desenvolvimento: Criar uma Business Task (regra de validação) no Navis N4 que compare o Group Code do gate-in com o Group Code do appointment. _x000D_
 _x000D_
 *  _x000D_
Bloqueio: Configurar a regra para impedir (bloquear) o gate-in caso haja divergência. _x000D_
 _x000D_
 *  _x000D_
Segurança: Configurar as permissões de usuário para garantir que esta validação seja mandatória e que o operador não tenha privilégios para forçar a alteração/override do Group Code divergente no momento da entrada. _x000D_
 _x000D_
 _x000D_
_x000D_
 _x000D_
 _x000D_
_x000D_
_x000D_
 _x000D_
</t>
  </si>
  <si>
    <t>VSTS_d6760eb0_ea3a_4c33_85d6_f85b26745a24_32-2A-AB-C4-B4-BA-CE-14-32-6D-87-F0-EB-24-D1-B5-E2-3E-EB-34-0F-35-12-F0-65-AA-14-DF-75-6E-69-90</t>
  </si>
  <si>
    <t>VSTS_d6760eb0_ea3a_4c33_85d6_f85b26745a24_30-A0-49-AE-6D-B1-EF-1C-E3-BF-0B-F4-38-1C-85-0A-BB-17-9B-8C-CC-C0-0B-75-D0-34-21-24-39-CA-D2-B9</t>
  </si>
  <si>
    <t>RFB acesso-veiculos - falha no envio de movimento de `Exclusao</t>
  </si>
  <si>
    <t>VSTS_d6760eb0_ea3a_4c33_85d6_f85b26745a24_75-38-3F-AD-3D-B1-41-41-3E-9C-0F-FF-0B-A7-06-50-48-A0-80-1A-35-98-97-AA-F4-FC-E9-09-6B-52-4D-AA</t>
  </si>
  <si>
    <t>20252075162 - Relatório Unidades Exportação com dados incorretos</t>
  </si>
  <si>
    <t>20261106014 Navis N4 - Gate Service Customização para Driver</t>
  </si>
  <si>
    <t>RFB - Erro ListaDeclaracaoAduaneira para endpoints</t>
  </si>
  <si>
    <t>JOAO PEDRO TEOFILO DE CAMPOS</t>
  </si>
  <si>
    <t xml:space="preserve">Login 	joaopeters-soy_x000D_
Tipo de usuário 	COLABORADOR_x000D_
 _x000D_
Nome Completo 	Joao Pedro Uchnsky Penin Peters_x000D_
 _x000D_
Email do Solicitante 	joao.peters@jbsterminais.com.br_x000D_
 _x000D_
CPF 	35494985865_x000D_
 _x000D_
Função 	Analista de Faturamento Pl_x000D_
 _x000D_
Departamento 	Operações Portuárias - Faturamento_x000D_
 _x000D_
Nome Empresa 	SEARA OPERACOES PORTUARIAS LTDA_x000D_
 _x000D_
Ramal 	5464_x000D_
 _x000D_
Telefone 	_x000D_
 _x000D_
Celular para contato 	_x000D_
 _x000D_
Possui canal de voz? 	Não_x000D_
 _x000D_
Deseja acesso remoto? 	Não_x000D_
 _x000D_
Descrição 	Identificamos que os dados referentes aos agendamentos não estão sendo carregados corretamente no relatório de exportação. Já realizamos as verificações iniciais e constatamos que as informações deveriam estar disponíveis, porém não estão sendo puxadas pelo sistema._x000D_
 _x000D_
_x000D_
 _x000D_
Poderiam, por favor, verificar o que pode estar causando essa inconsistência? Estou disponibilizando capturas de tela sobre um caso._x000D_
_x000D_
O relatório do portal (Unidades Exportação) deveria buscar as informações desse contêiner, porém não está buscando._x000D_
as capturas de telas são:_x000D_
 _x000D_
1º filtrando o container e mostrando o resultado (somente com 3 colunas preenchidas - deveria ser todas)_x000D_
 _x000D_
2º mostrando que o agendamento desse container está correto._x000D_
 _x000D_
</t>
  </si>
  <si>
    <t xml:space="preserve">Login 	brunoduarte-soy_x000D_
Tipo de usuário 	COLABORADOR_x000D_
 _x000D_
Nome Completo 	Bruno Duarte_x000D_
 _x000D_
Email do Solicitante 	bruno.duarte1@jbsterminais.com.br_x000D_
 _x000D_
CPF 	07022339945_x000D_
 _x000D_
Função 	Coordenador de Estratégia e Desempenho Operacional_x000D_
 _x000D_
Departamento 	Dp - Operações Portuárias - Desempenho Operacional_x000D_
 _x000D_
Nome Empresa 	SEARA OPERACOES PORTUARIAS LTDA_x000D_
 _x000D_
Ramal 	_x000D_
 _x000D_
Telefone 	_x000D_
 _x000D_
Celular para contato 	_x000D_
 _x000D_
Possui canal de voz? 	Não_x000D_
 _x000D_
Deseja acesso remoto? 	Não_x000D_
 _x000D_
Descrição 	Precisamos adaptar o N4 para o Gate de serviço, para que ele permita algumas ações:_x000D_
 _x000D_
_x000D_
 _x000D_
1. Permitir que o mesmo motorista acesse o terminal menos que já haja uma transação em aberto para o seu CPF;_x000D_
 _x000D_
2. Permitir que seja realizada a saida de um veiculo com um motorista diferente do da entrada._x000D_
 _x000D_
3. Validar apenas se o motorista está cadastrado na entrada._x000D_
 _x000D_
_x000D_
 _x000D_
Além disso precisar verificar se estas configurações não afetem os demais gates. _x000D_
_x000D_
 _x000D_
</t>
  </si>
  <si>
    <t xml:space="preserve">Solicitação _x000D_
_x000D_
1. Contexto / Descrição do Problema _x000D_
_x000D_
Atualmente, estamos enfrentando falhas no envio de dados para a API Recintos nos eventos que envolvem contêineres e veículos. O erro ocorre porque os usuários estão conseguindo inserir números de documentos aduaneiros (especificamente DUIMP) com tamanho e formato inválidos através da tela do Portal. _x000D_
Como a validação atual do sistema permite a inserção do dado incorreto (ex: 13 caracteres em vez de 15, omitindo o "BR"), o erro é estourado na integração com a Receita Federal. _x000D_
_x000D_
2. Impacto _x000D_
_x000D_
Os envios estão falhando nos seguintes endpoints da API Recintos: _x000D_
_x000D_
 *  posicao-conteiner _x000D_
 *  acesso-veiculos _x000D_
 *  acesso-veiculos-appt _x000D_
 _x000D_
_x000D_
Evidência do Erro (Response API): _x000D_
{_x000D_
    "message": "O tamanho do valor informado para o atributo `listaDeclaracaoAduaneira[].numeroDeclaracao` não é válido. O tamanho esperado é 15.",_x000D_
    "code": "RCNT-ER0014",_x000D_
    "nomeEvento": "posicao-conteiner"_x000D_
}_x000D_
_x000D_
3. Causa Raiz _x000D_
_x000D_
A validação atual no código (via DOCUMENT_TYPE_CONFIG) verifica apenas o tamanho máximo (maxLength) e se é numérico. Para a DUIMP, o maxLength é 15, o que permite que um número de 13 caracteres seja salvo no sistema sem alertas, causando a falha na etapa seguinte (integração). _x000D_
// Código atual validando apenas tamanho máximo_x000D_
private static final Map&lt;String, Map&gt; DOCUMENT_TYPE_CONFIG = [_x000D_
            "DI"          : [maxLength: 10, numericOnly: true],_x000D_
            "DSI"         : [maxLength: 100],_x000D_
            "DTA"         : [maxLength: 10],_x000D_
            "DUIMP"       : [maxLength: 15], // &lt;--- Permite inserção de 13 caracteres_x000D_
            "CE_MERCANTE" : [maxLength: 100]_x000D_
    ]_x000D_
_x000D_
4. Requisitos / Solução Proposta _x000D_
_x000D_
Precisamos refatorar as regras de validação para a entrada desses documentos no Portal, alinhadas com o time de Comex (Key User: Josias Capistrano). _x000D_
Regras Mapeadas (A implementar): _x000D_
_x000D_
 *  DUIMP: Deve ter exatamente 15 caracteres e possuir o padrão correto (incluindo as letras "BR", conforme apontado pelo Comex). O sistema deve bloquear a gravação se estiver fora deste padrão._x000D_
 _x000D_
 *  Outros Documentos (DI, DSI, DTA, CABOTAGEM): Revisar e aplicar validações específicas (Regex, tamanho exato vs. tamanho máximo, e obrigatoriedade de letras/números) para cada tipo de documento (DOC TYPE) para garantir a consistência da informação na origem._x000D_
 _x000D_
 _x000D_
_x000D_
5. Critérios de Aceite _x000D_
_x000D_
 *  O usuário do Portal não deve conseguir salvar um documento do tipo DUIMP com tamanho diferente de 15 caracteres. _x000D_
 *  Devemos validar para DUIMP se o BR foi incluso, pois é um padrão obrigatório, de acordo com o levantamento com o Key User do Comex. [pattern: '^[0-9]{2}BR[0-9]{11}$'] _x000D_
 *  O sistema deve exibir uma mensagem de erro clara na tela do Portal caso o usuário insira um documento fora do padrão estipulado. _x000D_
 *  As regras de validação para os demais tipos (DI, DSI, DTA, CABOTAGEM) devem estar mapeadas, atualizadas no código e validadas pela área de negócios (Comex). _x000D_
 *  As mensagens retidas na fila com o erro RCNT-ER0014 referentes a esse problema (ex: Unit MEDU4814179 / BL SHYY26053247) devem ser reprocessadas com sucesso após a correção dos dados. _x000D_
 _x000D_
_x000D_
_x000D_
 _x000D_
</t>
  </si>
  <si>
    <t>VSTS_d6760eb0_ea3a_4c33_85d6_f85b26745a24_74-68-AD-7B-6F-11-91-3B-CE-49-E7-B2-37-C8-5E-CF-8D-8D-B5-0F-50-72-FF-11-92-79-CF-DD-65-56-BE-8B</t>
  </si>
  <si>
    <t>all_VSTS_d6760eb0_ea3a_4c33_85d6_f85b26745a24_Epic_Custom.Department</t>
  </si>
  <si>
    <t>all_VSTS_d6760eb0_ea3a_4c33_85d6_f85b26745a24_Issue_Custom.Department</t>
  </si>
  <si>
    <t>all_VSTS_d6760eb0_ea3a_4c33_85d6_f85b26745a24_Custom.Department</t>
  </si>
  <si>
    <t>VSTS_d6760eb0_ea3a_4c33_85d6_f85b26745a24_00-E8-0E-52-2F-19-58-E8-37-DD-78-5D-7F-BE-FA-48-97-8D-2C-0C-4F-69-A6-95-2F-D9-FD-84-06-7D-03-A4</t>
  </si>
  <si>
    <t>VSTS_d6760eb0_ea3a_4c33_85d6_f85b26745a24_2E-75-80-04-12-20-89-FE-2E-E7-15-3A-70-B2-70-28-CA-FD-2F-15-A5-65-C6-40-18-1B-49-C9-22-5D-FA-36</t>
  </si>
  <si>
    <t>VSTS_d6760eb0_ea3a_4c33_85d6_f85b26745a24_00-50-96-72-27-96-D3-6F-62-7B-FF-48-F2-8D-D9-B7-43-E8-72-57-2E-5A-E8-93-6B-7F-4A-1D-70-1F-C0-87</t>
  </si>
  <si>
    <t>VSTS_102a646c_ad0a_48ec_88b8_1da5f2d06195_DB-E9-6A-0B-AD-0E-4D-B6-FF-32-36-D9-92-03-3B-DA-E5-65-B8-43-30-59-C8-F6-DC-75-AE-BF-93-23-1E-72</t>
  </si>
  <si>
    <t>VSTS_c467189f_b1e3_4921_ac93_2d6d7014346c_DB-E9-6A-0B-AD-0E-4D-B6-FF-32-36-D9-92-03-3B-DA-E5-65-B8-43-30-59-C8-F6-DC-75-AE-BF-93-23-1E-72</t>
  </si>
  <si>
    <t>VSTS_1c6fc82a_d22e_401e_bb21_5879a2d4167f_DB-E9-6A-0B-AD-0E-4D-B6-FF-32-36-D9-92-03-3B-DA-E5-65-B8-43-30-59-C8-F6-DC-75-AE-BF-93-23-1E-72</t>
  </si>
  <si>
    <t>VSTS_1c6fc82a_d22e_401e_bb21_5879a2d4167f_B8-72-CB-76-EE-BF-15-D1-D9-D6-35-BE-BE-DD-D3-43-5E-61-02-3F-96-94-C6-B6-0D-40-47-3A-25-A9-B7-D8</t>
  </si>
  <si>
    <t>INTIMAÇÃO; N4; PORTAL; URGENTE</t>
  </si>
  <si>
    <t>NAVIS N4; PORTAL</t>
  </si>
  <si>
    <t>20260747896 - Criação de Campo de Data de Janela no Carrier Services e Vessel Visit</t>
  </si>
  <si>
    <t>20261242530 - Ajustar regra de Liberação Documental DTA</t>
  </si>
  <si>
    <t>20261233710-  Portal - Implementar bloqueio na edição de placas de agendamentos</t>
  </si>
  <si>
    <t>20261235678 - RFB - Implementar opção de apenas visualização na tela de agendamentos do Portal</t>
  </si>
  <si>
    <t>20261216055 - CMA COARRI DGS -  BRITJDJBS</t>
  </si>
  <si>
    <t>20260966154 - correçao aos coparns do armardor CMA</t>
  </si>
  <si>
    <t xml:space="preserve">Favor proceder com correção referente aos COPARNs do armador CMA onde constam linha demais referente aos POD's.batch 3714009              ---- desconsiderar     ---- desconsiderar     ---- desconsiderardeve ser considerado apenas 3 destas linhas.:loadPort edi:portId="BRITJ" edi:portIdConvention="UNLOCCODE" /&gt;_x000D_
 _x000D_
</t>
  </si>
  <si>
    <t xml:space="preserve">RTF - 2588729 : Informação DU-e do N4 para o Benner </t>
  </si>
  <si>
    <t xml:space="preserve">Reforma Tributária – Customização para preenchimento automático da DU-E do N4 no Benner_x000D_
 _x000D_
_x000D_
 _x000D_
_x000D_
 _x000D_
_x000D_
 _x000D_
</t>
  </si>
  <si>
    <t xml:space="preserve">10. Revisão das regras de cálculo do portal _x000D_
_x000D_
Alto risco _x000D_
_x000D_
 _x000D_
_x000D_
</t>
  </si>
  <si>
    <t xml:space="preserve">Conforme analise do @Rafael Marcello, conforme situações ref. lentitão e TimeOut no Portal que ocorreu no perriodo 24/07/2026 até a semana 31/07._x000D_
Foi visto a necessidade de implantar o reCAPTCHA na tela do login no Portal do cliente, conforme imagem ilustrativa abaixo:_x000D_
[Image]_x000D_
 _x000D_
</t>
  </si>
  <si>
    <t>Estruturação Pipeline de Deploy</t>
  </si>
  <si>
    <t xml:space="preserve">Realizar configuração da pipeline de deploy com agent self-hosted que foi configurado no inicio da semana. _x000D_
</t>
  </si>
  <si>
    <t xml:space="preserve">Categorização  |  Recategorização :  _x000D_
_x000D_
  _x000D_
_x000D_
Tipo chamado :  _x000D_
_x000D_
  _x000D_
_x000D_
Tipo abertura :  _x000D_
_x000D_
TI - Unidades _x000D_
_x000D_
   _x000D_
_x000D_
Aplicativo _x000D_
_x000D_
   _x000D_
_x000D_
Portal JBS Terminais _x000D_
_x000D_
   _x000D_
_x000D_
Suporte _x000D_
_x000D_
 _x000D_
_x000D_
  _x000D_
_x000D_
Solicitação  _x000D_
_x000D_
  _x000D_
_x000D_
Aberto via web  _x000D_
_x000D_
OBS. :  _x000D_
_x000D_
Prezado (a) Analista, não houve uma sugestão de ajuda em como atuar neste tipo de chamado, se souber como atuar, envie uma sugestão para ser disponibilizada aos demais colegas em como atuar no link abaixo. _x000D_
Padronização CPPPs _x000D_
 _x000D_
_x000D_
Resumo _x000D_
_x000D_
TI - Unidades:Aplicativo:Portal JBS Terminais:Suporte _x000D_
_x000D_
Descrição :  _x000D_
_x000D_
JBS Terminais.Tecnologia da Informação.Aplicativo  _x000D_
_x000D_
 _x000D_
 _x000D_
 _x000D_
 _x000D_
 _x000D_
_x000D_
 _x000D_
 _x000D_
_x000D_
Login  _x000D_
_x000D_
brunoduarte-soy _x000D_
 _x000D_
 _x000D_
_x000D_
 _x000D_
 _x000D_
_x000D_
Tipo de usuário  _x000D_
_x000D_
COLABORADOR _x000D_
 _x000D_
 _x000D_
_x000D_
 _x000D_
 _x000D_
_x000D_
Nome Completo  _x000D_
_x000D_
Bruno Duarte _x000D_
 _x000D_
 _x000D_
_x000D_
 _x000D_
 _x000D_
_x000D_
Email do Solicitante  _x000D_
_x000D_
bruno.duarte1@jbsterminais.com.br _x000D_
 _x000D_
 _x000D_
_x000D_
 _x000D_
 _x000D_
_x000D_
CPF  _x000D_
_x000D_
07022339945 _x000D_
 _x000D_
 _x000D_
_x000D_
 _x000D_
 _x000D_
_x000D_
Função  _x000D_
_x000D_
Coordenador de Estratégia e Desempenho Operacional _x000D_
 _x000D_
 _x000D_
_x000D_
 _x000D_
 _x000D_
_x000D_
Departamento  _x000D_
_x000D_
Dp - Operações Portuárias - Desempenho Operacional _x000D_
 _x000D_
 _x000D_
_x000D_
 _x000D_
 _x000D_
_x000D_
Nome Empresa  _x000D_
_x000D_
SEARA OPERACOES PORTUARIAS LTDA _x000D_
 _x000D_
 _x000D_
_x000D_
 _x000D_
 _x000D_
_x000D_
Ramal  _x000D_
_x000D_
0 _x000D_
 _x000D_
 _x000D_
_x000D_
 _x000D_
 _x000D_
_x000D_
Telefone  _x000D_
_x000D_
 _x000D_
 _x000D_
 _x000D_
_x000D_
 _x000D_
 _x000D_
_x000D_
Celular para contato  _x000D_
_x000D_
 _x000D_
 _x000D_
 _x000D_
_x000D_
 _x000D_
 _x000D_
_x000D_
Possui canal de voz?  _x000D_
_x000D_
Não _x000D_
 _x000D_
 _x000D_
_x000D_
 _x000D_
 _x000D_
_x000D_
Deseja acesso remoto?  _x000D_
_x000D_
Não _x000D_
 _x000D_
 _x000D_
_x000D_
 _x000D_
 _x000D_
_x000D_
Descrição  _x000D_
_x000D_
Solicitação de desenvolvimento para corrigir uma brecha no fluxo de agendamento e checklist de entrada. Hoje o agendamento pode ser editado a qualquer momento antes de expirar, sem trava. Motoristas estão usando isso para burlar a verificação de horário do checkpoint, passando com uma placa diferente da real e só depois alterando para a placa correta, o que tira a eficácia do sistema de OCR no controle de fila. É preciso bloquear a edição da placa depois do checkpoint ou refazer a verificação de horário sempre que a placa for alterada. Detalhes completos no documento em anexo. _x000D_
 _x000D_
 _x000D_
_x000D_
 _x000D_
 _x000D_
_x000D_
Encaminhar para TI Matriz?  _x000D_
_x000D_
 _x000D_
 _x000D_
 _x000D_
_x000D_
 _x000D_
 _x000D_
_x000D_
Chamado Categorizado?  _x000D_
_x000D_
Sim _x000D_
 _x000D_
_x000D_
 _x000D_
 _x000D_
 _x000D_
 _x000D_
_x000D_
 _x000D_
</t>
  </si>
  <si>
    <t xml:space="preserve">Problema recorrente com os arquivos EDI COARRI recebidos para a localização BRITJDJBS, onde alguns arquivos estão sendo enviados em um formato incorreto, fazendo com que o processamento falhe em nosso sistema. Em anexo, encaminhamos um arquivo EDI recente que não pôde ser processado. _x000D_
Após analisarmos os arquivos que apresentaram falha, identificamos que o problema está no segmento DGS. Especificamente, o elemento de dados 7106, localizado no componente C223, está sendo enviado contendo apenas um valor de 2 dígitos. _x000D_
De acordo com o padrão de mapeamento COARRI D.95B, o valor do Shipment Flashpoint (Ponto de Fulgor da Carga) no elemento de dados 7106 deve ser informado com 3 dígitos. Como esse requisito não está sendo atendido, os arquivos não conseguem ser processados em nosso ambiente. _x000D_
Para evitar essas falhas de processamento no futuro, solicitamos, por gentileza, que seja adotada uma das seguintes alternativas: _x000D_
_x000D_
 *   Informar um valor de 3 dígitos no elemento de dados 7106 do componente C223, dentro do segmento DGS (por exemplo, 05.0 em vez de 5.0); ou _x000D_
 *  Remover completamente o segmento DGS do arquivo EDI._x000D_
 _x000D_
_x000D_
Para referência, incluímos abaixo (e também em anexo) um exemplo do segmento EDI que apresentou falha recentemente, juntamente com a correção esperada. _x000D_
_x000D_
Como está_x000D_
_x000D_
Como deve ficar_x000D_
_x000D_
DGS+IMD+3+1866+5.0:CEL+II' _x000D_
_x000D_
DGS+IMD+3+1866+05.0:CEL+II' ou remover  _x000D_
_x000D_
_x000D_
_x000D_
Os demais segmentos do arquivo permanecem inalterados._x000D_
_x000D_
 _x000D_
</t>
  </si>
  <si>
    <t>Gate Carga Geral</t>
  </si>
  <si>
    <t>Integração SPI carga geral</t>
  </si>
  <si>
    <t>VSTS_d6760eb0_ea3a_4c33_85d6_f85b26745a24_2C-45-E2-18-F1-D1-8D-B9-DF-69-F4-20-3F-5F-B2-6F-F1-E5-4F-1E-BB-CD-6F-B6-85-3E-26-98-CF-2D-DC-AB</t>
  </si>
  <si>
    <t>Portal -  Lock Gereneralizado em consultas (Erro Interno do Servidor) [Relatorios - Tarifas / Processo Retirada]</t>
  </si>
  <si>
    <t>Portal -  Lock Gereneralizado em consultas (Erro Interno do Servidor) [Atualização Agendamento EXP]</t>
  </si>
  <si>
    <t xml:space="preserve">Verificar possiveis lock em tabela no processo de retirada, onde atualmente está gerando timeout apresentando erro genérico ao cliente._x000D_
 _x000D_
</t>
  </si>
  <si>
    <t>20261318973 - Melhoria na visilibidade de janelas para Export</t>
  </si>
  <si>
    <t xml:space="preserve">Verificar possíveis lock em tabela no processo de retirada, onde atualmente está gerando timeout apresentando erro genérico ao cliente. _x000D_
 _x000D_
</t>
  </si>
  <si>
    <t>VSTS_d6760eb0_ea3a_4c33_85d6_f85b26745a24_03-48-E6-8D-7A-1B-6D-1D-4B-3C-92-62-F3-34-B9-77-E3-B2-32-A1-59-81-6F-47-43-46-26-1A-3C-97-75-26</t>
  </si>
  <si>
    <t>RFB transito-simplificado-conteiner -&gt; tratamento `listaCnpjCliente[]`</t>
  </si>
  <si>
    <t>20261318204 - Multimodal para perfil de Imp/Exp e Transportadora - Modulo de Agendamento</t>
  </si>
  <si>
    <t>Bom dia,Precisamos que seja habilitado o perfil IMPORTADOR/EXPORTADOR, para que seja possível seleciona-lo como TRANSPORTADORA em todos os agendamentos.Motivo: Temos muitas empresas multimodal, que são importador e também prestam serviço de transportadora, porém como o portal não não opção de múltiplas escolhas de perfis, nos obriga a ficar trocando o perfil ora para Importador, ora para Transportadora, o que trás muito retrabalho, insatisfação e reduz a experiência do cliente.</t>
  </si>
  <si>
    <t>Impeditivo; PORTAL; URGENTE</t>
  </si>
  <si>
    <t>20261313229  - Ajuste no Relatório Agendamentos</t>
  </si>
  <si>
    <t>20261314023 - Utilizar BL Master - MSK</t>
  </si>
  <si>
    <t>reCAPTCHA - Portal</t>
  </si>
  <si>
    <t>20261420644 Portal erro Relatório de Movimentação Importação</t>
  </si>
  <si>
    <t>20261356821 - INTEGRAÇÃO SPI Versão 1.24 - Oficio 024 2026 Solicitacao de implementacao de envio de CE Mercante para cargas de exportacao via API</t>
  </si>
  <si>
    <t>Documentação Carga Geral</t>
  </si>
  <si>
    <t>Faturamento Carga Geral</t>
  </si>
  <si>
    <t>20261434423 Cliente Britania - Criar parametrização para pular etapa Faturamento</t>
  </si>
  <si>
    <t>20261449291 - Conferência automática no processo de DTA</t>
  </si>
  <si>
    <t>Armazem Carga Geral</t>
  </si>
  <si>
    <t>20261425337 Portal melhoria tela Gerenciar Agendamentos</t>
  </si>
  <si>
    <t>20261434437 ZIM - EDI Setup</t>
  </si>
  <si>
    <t>EDI; N4</t>
  </si>
  <si>
    <t>RFB - Lock generalizado ao usar action Ajustar no JOB RFBRequests</t>
  </si>
  <si>
    <t xml:space="preserve">20261432166 - Tratamento de mensagem de erro Billing API </t>
  </si>
  <si>
    <t xml:space="preserve">20261407057 - Ajuste no filtro da tela gerenciar agendamentos </t>
  </si>
  <si>
    <t xml:space="preserve">Atualmente, utilizo dois meios para controlar as janelas de agendamento: o próprio Portal e uma planilha de controle, que foi desenvolvida para acompanhar as quantidades programadas._x000D_
 _x000D_
O processo funciona da seguinte forma:_x000D_
 _x000D_
Acesso o Portal &gt; Relatórios &gt; Agendamentos;_x000D_
Informo a data mínima e máxima;_x000D_
Exporto o relatório em Excel;_x000D_
Copio as informações para a planilha de controle._x000D_
 _x000D_
Hoje, para os agendamentos de DTC, o relatório preenche a coluna IMPORT RELEASE NUMBER. No entanto, após a atualização do procedimento operacional, as liberações passaram a utilizar o campo IMPORT DELIVERY ORDER NUMBER._x000D_
 _x000D_
Dessa forma, solicito a alteração do relatório de agendamentos do Portal para que, nos agendamentos de DTC, a informação atualmente exibida na coluna IMPORT RELEASE NUMBER seja substituída pela informação do campo IMPORT DELIVERY ORDER NUMBER._x000D_
_x000D_
Também incluir a coluna Hazardous no relatório._x000D_
[Image]_x000D_
_x000D_
_x000D_
[Image]_x000D_
_x000D_
 _x000D_
_x000D_
 _x000D_
</t>
  </si>
  <si>
    <t>20261420199 - UNIFICAÇÃO RECINTOS - LIBERAÇÃO DOCUMENTAL</t>
  </si>
  <si>
    <t xml:space="preserve">Bom dia,_x000D_
_x000D_
 _x000D_
Atualmente, nas DTAs consolidadas, o cliente informa manualmente no portal o valor correspondente a cada BL e o processo passa por conferência manual antes do faturamento._x000D_
Precisamos avaliar a criação de uma automação para realizar essa conferência._x000D_
_x000D_
 _x000D_
Regra esperada:_x000D_
 _x000D_
_x000D_
 _x000D_
O robô deverá consultar o extrato da DTA;_x000D_
 _x000D_
Identificar os BLs vinculados;_x000D_
 _x000D_
Consultar o valor correspondente a cada BL;_x000D_
 _x000D_
Comparar com os valores informados no portal;_x000D_
 _x000D_
Se os valores estiverem corretos, aprovar automaticamente a conferência e seguir o processo;_x000D_
 _x000D_
Caso exista divergência, bloquear a continuidade e direcionar para análise manual._x000D_
 _x000D_
</t>
  </si>
  <si>
    <t xml:space="preserve">Validado a partir de uma demanda de reprocessamento de eventos da LogRFB que ao utilizar Action &gt; Ajustare gerar a replicação dos eventos, ocorreram locks no banco de dados e durante o processamento para envio do JOB também. Em resumo o botão Ajustar gera uma nova linha na logs rfb com nova gkey e status reprocessar._x000D_
_x000D_
A partir deste status o job tenta realizar o envio para apipass, mas em algum momento gera locks no update na propria logs. _x000D_
</t>
  </si>
  <si>
    <t xml:space="preserve">Recebemos o chamado N° 20261432166 no qual mencionava a seguinte questão:_x000D_
_x000D_
"Bom dia, estamos com alguns pedidos que não estão subindo para o ERP e estão com o status (500 - Mensagem:Verifique a URL API não encontrada no endereço informado Url:https://billing-api.jbsterminais.com.br/api/Produto/grava-pedido ) poderiam verificar por gentileza, pois não esta gerando o QR CODE para os clientes realizarem o pagamento."_x000D_
_x000D_
[Image]_x000D_
_x000D_
 _x000D_
</t>
  </si>
  <si>
    <t xml:space="preserve">Bom dia _x000D_
_x000D_
 _x000D_
notar e-mail em anexo da solicitação da Multilog referente ao erro apresentado no portal quando vão realizar a organização dos agendamentos por data e hora._x000D_
 _x000D_
solicitamos que verifiquem e analisem para possível correção._x000D_
[Image]_x000D_
 _x000D_
_x000D_
 _x000D_
</t>
  </si>
  <si>
    <t xml:space="preserve">Login 	cristianobet-soy_x000D_
Tipo de usuário 	COLABORADOR_x000D_
 _x000D_
Nome Completo 	Cristiano Anderson Bet_x000D_
 _x000D_
Email do Solicitante 	cristiano.bet@jbsterminais.com.br_x000D_
 _x000D_
CPF 	08750392948_x000D_
 _x000D_
Função 	Analista Comercial Sr_x000D_
 _x000D_
Departamento 	Operações Portuárias - Comercial_x000D_
 _x000D_
Nome Empresa 	SEARA OPERACOES PORTUARIAS LTDA_x000D_
 _x000D_
Ramal 	5494_x000D_
 _x000D_
Telefone 	_x000D_
 _x000D_
Celular para contato 	_x000D_
 _x000D_
Possui canal de voz? 	Não_x000D_
 _x000D_
Deseja acesso remoto? 	Não_x000D_
 _x000D_
Descrição 	Identificamos um erro de mapeamento de banco de dados na extração do "Relatório de Movimentação Importação" disponível no Portal do Cliente._x000D_
 _x000D_
_x000D_
 _x000D_
Atualmente, ao gerar o relatório, o sistema está puxando as informações do Despachante e inserindo incorretamente nos campos destinados à Transportadora._x000D_
 _x000D_
_x000D_
 _x000D_
O sistema deveria puxar obrigatoriamente a Razão Social e o CNPJ da Transportadora efetiva vinculada à carga. Essa informação já existe no sistema e aparece corretamente na tela de "Agendamento de Retirada" (Exemplo anexo: Deveria puxar "ALVES E ANDRADE")._x000D_
 _x000D_
_x000D_
 _x000D_
Diversos clientes da área comercial já reportaram essa inconsistência, pois utilizam essa extração para o controle interno._x000D_
 _x000D_
_x000D_
 _x000D_
Solicitamos revisão e ajuste do campo que alimenta o relatório de Movimentação de Importação, para que reflitam os dados do transportador apontado no agendamento, e não do despachante._x000D_
 _x000D_
Encaminhar para TI Matriz? 	_x000D_
 _x000D_
Chamado Categorizado? 	Sim_x000D_
[Image]_x000D_
[Image]_x000D_
[Image]_x000D_
 _x000D_
 _x000D_
</t>
  </si>
  <si>
    <t xml:space="preserve">20261356821 _x000D_
 _x000D_
 _x000D_
_x000D_
 _x000D_
_x000D_
Resposta _x000D_
0.4% _x000D_
 _x000D_
0.4% _x000D_
 _x000D_
 _x000D_
 _x000D_
 _x000D_
_x000D_
Resolução _x000D_
1.9% _x000D_
 _x000D_
1.9% _x000D_
 _x000D_
 _x000D_
 _x000D_
 _x000D_
_x000D_
 _x000D_
_x000D_
Status:  _x000D_
Em Atendimento _x000D_
_x000D_
Prioridade:  _x000D_
Prioridade Baixa _x000D_
_x000D_
 _x000D_
_x000D_
 _x000D_
 _x000D_
 _x000D_
 _x000D_
 _x000D_
 _x000D_
_x000D_
Categorização  |  Recategorização :  _x000D_
_x000D_
  _x000D_
_x000D_
Tipo chamado :  _x000D_
_x000D_
  _x000D_
_x000D_
Tipo abertura :  _x000D_
_x000D_
TI - Unidades _x000D_
_x000D_
   _x000D_
_x000D_
Aplicativo _x000D_
_x000D_
   _x000D_
_x000D_
Navis N4 _x000D_
_x000D_
   _x000D_
_x000D_
Customização (Groovy) _x000D_
_x000D_
 _x000D_
_x000D_
  _x000D_
_x000D_
Solicitação  _x000D_
_x000D_
  _x000D_
_x000D_
Aberto via web  _x000D_
_x000D_
OBS. :  _x000D_
_x000D_
Prezado (a) Analista, não houve uma sugestão de ajuda em como atuar neste tipo de chamado, se souber como atuar, envie uma sugestão para ser disponibilizada aos demais colegas em como atuar no link abaixo. _x000D_
Padronização CPPPs _x000D_
 _x000D_
_x000D_
Resumo _x000D_
_x000D_
TI - Unidades:Aplicativo:Navis N4:Customização (Groovy) _x000D_
_x000D_
Descrição :  _x000D_
_x000D_
Catálogo de Serviços de TI.Unidades.Aplicativo  _x000D_
_x000D_
 _x000D_
 _x000D_
 _x000D_
 _x000D_
 _x000D_
_x000D_
 _x000D_
 _x000D_
_x000D_
Login  _x000D_
_x000D_
georgebaiao-soy _x000D_
 _x000D_
 _x000D_
_x000D_
 _x000D_
 _x000D_
_x000D_
Tipo de usuário  _x000D_
_x000D_
COLABORADOR _x000D_
 _x000D_
 _x000D_
_x000D_
 _x000D_
 _x000D_
_x000D_
Nome Completo  _x000D_
_x000D_
George De Amorim Baiao _x000D_
 _x000D_
 _x000D_
_x000D_
 _x000D_
 _x000D_
_x000D_
Email do Solicitante  _x000D_
_x000D_
george.baiao@seara.com.br _x000D_
 _x000D_
 _x000D_
_x000D_
 _x000D_
 _x000D_
_x000D_
CPF  _x000D_
_x000D_
02798527970 _x000D_
 _x000D_
 _x000D_
_x000D_
 _x000D_
 _x000D_
_x000D_
Função  _x000D_
_x000D_
Supervisor de Documentação _x000D_
 _x000D_
 _x000D_
_x000D_
 _x000D_
 _x000D_
_x000D_
Departamento  _x000D_
_x000D_
Dp - Operações Portuárias - Documentação _x000D_
 _x000D_
 _x000D_
_x000D_
 _x000D_
 _x000D_
_x000D_
Nome Empresa  _x000D_
_x000D_
SEARA OPERACOES PORTUARIAS LTDA _x000D_
 _x000D_
 _x000D_
_x000D_
 _x000D_
 _x000D_
_x000D_
Ramal  _x000D_
_x000D_
5422 _x000D_
 _x000D_
 _x000D_
_x000D_
 _x000D_
 _x000D_
_x000D_
Telefone  _x000D_
_x000D_
5422 _x000D_
 _x000D_
 _x000D_
_x000D_
 _x000D_
 _x000D_
_x000D_
Celular para contato  _x000D_
_x000D_
 _x000D_
 _x000D_
 _x000D_
_x000D_
 _x000D_
 _x000D_
_x000D_
Possui canal de voz?  _x000D_
_x000D_
Não _x000D_
 _x000D_
 _x000D_
_x000D_
 _x000D_
 _x000D_
_x000D_
Deseja acesso remoto?  _x000D_
_x000D_
Não _x000D_
 _x000D_
 _x000D_
_x000D_
 _x000D_
_x000D_
_x000D_
 _x000D_
Cumprimentando-o cordialmente, vimos por meio deste solicitar a implementação e envio dos dados correspondentes ao CE MERCANTE nas operações de EXPORTAÇÃO.2. Visando atender às exigências do Sistema de Desempenho Portuário da ANTAQ, reforçamos a necessidade de automatizar a integração das informações por meio do envio do CE Mercante também para as cargas de exportação, o que possibilitaria a respectiva geração do arquivo XML e a eliminação das planilhas em excel utilizadas atualmente.3. A implementação desta melhoria via API permitirá: a eliminação do preenchimento manual de planilhas em excel; A atendimento célere aos requisitos regulatórios da ANTAQ; Redução drástica do tempo gasto pelas equipes da JBS e da Autoridade Portuária em tarefas operacionais repetitivas; Minimização de erros humanos na transmissão de dados; 4. Para subsidiar a análise técnica por parte da equipe de _x000D_
 _x000D_
 _x000D_
 _x000D_
 _x000D_
_x000D_
_x000D_
 _x000D_
 _x000D_
</t>
  </si>
  <si>
    <t xml:space="preserve">Login 	antoniabizerra-soy_x000D_
Tipo de usuário 	COLABORADOR_x000D_
 _x000D_
Nome Completo 	Antonia Laurice Dantas Bizerra_x000D_
 _x000D_
Email do Solicitante 	antonia.bizerra@jbsterminais.com.br_x000D_
 _x000D_
CPF 	08776346374_x000D_
 _x000D_
Função 	Analista de Faturamento Jr_x000D_
 _x000D_
Departamento 	Operações Portuárias - Faturamento_x000D_
 _x000D_
Nome Empresa 	SEARA OPERACOES PORTUARIAS LTDA_x000D_
 _x000D_
Ramal 	5404_x000D_
 _x000D_
Telefone 	_x000D_
 _x000D_
Celular para contato 	_x000D_
 _x000D_
Possui canal de voz? 	Não_x000D_
 _x000D_
Deseja acesso remoto? 	Não_x000D_
 _x000D_
Descrição 	Boa tarde_x000D_
 _x000D_
_x000D_
 _x000D_
Precisamos criar uma parametrização no portal de faturamento para processos de Importação, permitindo que o cliente Britania tenha o processo finalizado automaticamente sem passar pela etapa de faturamento_x000D_
 _x000D_
_x000D_
 _x000D_
_x000D_
 _x000D_
      Alteração solicitada_x000D_
 _x000D_
_x000D_
 _x000D_
Criar uma regra específica e parametrizável para o cliente definido, considerando:_x000D_
 _x000D_
_x000D_
 _x000D_
* Operação: Importação_x000D_
 _x000D_
* Cliente: Britania_x000D_
 _x000D_
* Não passar pela etapa de faturamento_x000D_
 _x000D_
* Finalizar automaticamente o processo_x000D_
 _x000D_
* Permitir que o processo siga normalmente para a confirmação do agendamento_x000D_
 _x000D_
Encaminhar para TI Matriz? 	_x000D_
 _x000D_
Chamado Categorizado? 	Sim_x000D_
 _x000D_
_x000D_
 _x000D_
</t>
  </si>
  <si>
    <t xml:space="preserve"> _x000D_
_x000D_
Bom dia.  Precisamos realizar alguns ajustes na tela de Faturamento do portal e também na tela do QR Code. Detalhei todas as alterações necessárias nos prints anexados para facilitar._x000D_
_x000D_
No faturamento, o QR Code deve aparecer somente quando ostatus estiver como “Pendente de Pagamento”. _x000D_
Ao entrar nesse status, o espaço deve aumentarautomaticamente para deixar o QR Code bem visível para o cliente. _x000D_
Também deve aparecer um timer mostrando quanto tempoainda falta para realizar o pagamento. _x000D_
Quando o status mudar para “Finalizado”,o QR Code e o timer devem sumir automaticamente._x000D_
[Image]_x000D_
Dentro do campo Faturamento, também queremos fazeruma alteração. _x000D_
Quando o status estiver como “Pendente de Pagamento”,deve aparecer essa informação junto com a opção “Clique para gerar o QRCode”, para que o cliente possa gerar o código e realizar o pagamento_x000D_
_x000D_
 _x000D_
[Image]_x000D_
Na tela do QR Code, queremos fazer alguns ajustes: _x000D_
_x000D_
 *  Remover o tempo de expiração _x000D_
 _x000D_
_x000D_
[Image]_x000D_
 _x000D_
[Image]_x000D_
 _x000D_
Criar um campo informando quanto tempo restapara o pagamento, considerando sempre o prazo até 17:55 do dia anteriorao carregamento. _x000D_
[Image]_x000D_
Quando o QR Code expirar, mostrar umamensagem informando o cliente e disponibilizar a opção “Gerar novo QR Code”para que ele possa gerar um novo código e realizar o pagamento._x000D_
[Image]_x000D_
_x000D_
Em um cenário normal, deveaparecer conforme a imagem abaixo._x000D_
[Image]_x000D_
Quando o QR Code estiverexpirado, a tela deve mudar e aparecer conforme a segunda imagem. _x000D_
[Image]_x000D_
 _x000D_
_x000D_
 _x000D_
 _x000D_
_x000D_
</t>
  </si>
  <si>
    <t xml:space="preserve">Login 	lucasluz-soy_x000D_
Tipo de usuário 	COLABORADOR_x000D_
 _x000D_
Nome Completo 	Lucas Ribeiro Da Luz_x000D_
 _x000D_
Email do Solicitante 	lucas.luz@jbsterminais.com.br_x000D_
 _x000D_
CPF 	09003887900_x000D_
 _x000D_
Função 	Analista de Desempenho Operacional Jr_x000D_
 _x000D_
Departamento 	Operações Portuárias - Desempenho Operacional_x000D_
 _x000D_
Nome Empresa 	SEARA OPERACOES PORTUARIAS LTDA_x000D_
 _x000D_
Ramal 	0_x000D_
 _x000D_
Telefone 	0_x000D_
 _x000D_
Celular para contato 	0_x000D_
 _x000D_
Possui canal de voz? 	Não_x000D_
 _x000D_
Deseja acesso remoto? 	Não_x000D_
 _x000D_
Descrição 	Boa tarde_x000D_
 _x000D_
EM ANEXO print da tela de agendamentos que foi solicitado pelo transporte (vazios) que a coluna na lateral do lado de "veiculo" que seria da placa do cavalo seja incluso a placa da carreta também, onde hoje só conseguem ver quando vão em "Visualizar" para melhor visualização numa tela só. solicito que incluam visando melhor adaptação e visualização._x000D_
 _x000D_
[Image]_x000D_
 _x000D_
_x000D_
 _x000D_
Encaminhar para TI Matriz? 	_x000D_
 _x000D_
Chamado Categorizado? 	Sim_x000D_
 _x000D_
_x000D_
 _x000D_
</t>
  </si>
  <si>
    <t xml:space="preserve">Solicitação original: _x000D_
_x000D_
 *  Login 	leonardosilva-soy _x000D_
 *  Tipo de usuário 	COLABORADOR _x000D_
 *  Nome Completo 	Leonardo Cardoso Da Silva _x000D_
 *  Email do Solicitante 	leonardo.silva@jbsterminais.com.br _x000D_
 *  CPF 	09664384933 _x000D_
 *  Função 	Analista de Documentação Jr _x000D_
 *  Departamento 	Operações Portuárias - Documentação _x000D_
 *  Nome Empresa 	SEARA OPERACOES PORTUARIAS LTDA _x000D_
 *  Ramal 	5421 _x000D_
 *  Telefone 	_x000D_
 *  Celular para contato 	_x000D_
 *  Possui canal de voz? 	Não _x000D_
 *  Deseja acesso remoto? 	Não _x000D_
 *  Descrição 	Favor verificar quanto ao envio de EDI da movimentação de carga do navio MACKENZIE para a ZIM. _x000D_
 _x000D_
_x000D_
Solicitação: _x000D_
 _x000D_
Alinhado com George Baião a ​prioridade 1 para o item. _x000D_
 _x000D_
Criar Mapeamento para COPARN, CODECO e COARRI. _x000D_
 _x000D_
Gerar arquivos modelo para CODECO e COARRI. _x000D_
Criar Mapeamento COPARN a partir dos arquivos enviados pelo armador _x000D_
_x000D_
 *  Inclusão - BGM+9 _x000D_
 *  Atualização - BGM+5 _x000D_
 *  Exclusão - BGM+1 _x000D_
 _x000D_
_x000D_
 _x000D_
_x000D_
 _x000D_
_x000D_
 _x000D_
</t>
  </si>
  <si>
    <t xml:space="preserve">SISCOMEX Swagger: _x000D_
[Image]_x000D_
 _x000D_
_x000D_
 _x000D_
SQL Script (rfbLibrary)-&gt; listaCnpjCliente[]: _x000D_
SELECT DISTINCT_x000D_
   bl.gkey AS BlGkey,_x000D_
   bl.nbr AS BlNbr,_x000D_
   bl.gid AS BlGid,_x000D_
   bl.CUSTDFF_DOC_NUMBER AS DocNumber,_x000D_
   bl.CUSTDFF_DOC_TYPE AS DocType,_x000D_
   bl.CUSTDFF_CE_MERCANTE AS CeMercante,_x000D_
   bl.CUSTDFF_BL_MANIFESTO AS BlManifesto,_x000D_
   consignee.id AS BlConsignee,---------------------&gt; cnpjCliente_x000D_
   bond_trucking_company.id AS BlBondTruckingCompany_x000D_
FROM crg_bills_of_lading bl_x000D_
INNER JOIN crg_bl_goods bl_g_x000D_
   ON bl_g.bl_gkey = bl.gkey_x000D_
INNER JOIN inv_goods g_x000D_
   ON g.gkey = bl_g.gds_gkey_x000D_
INNER JOIN inv_unit unit_x000D_
   ON unit.goods = g.gkey_x000D_
  AND unit.gkey = 2159331_x000D_
LEFT JOIN ref_bizunit_scoped consignee_x000D_
   ON consignee.gkey = bl.consignee_gkey_x000D_
LEFT JOIN ref_bizunit_scoped bond_trucking_company_x000D_
   ON bond_trucking_company.gkey = bl.bond_trucking_company_x000D_
Error: _x000D_
consignee.id AS BlConsignee,_x000D_
retorna 11 chars (CPF = 11 | CNPJ = 14) em ocasiões diversas... _x000D_
_x000D_
 _x000D_
Ex.:  _x000D_
custom_lrfb_id_origem = 310198 _x000D_
unit.gkey = 2159376 _x000D_
_x000D_
 _x000D_
Correção: _x000D_
Para ocasiões em que o dado for == 15chars e representar CNPJ valido, então gerar listaCnpjCliente[], do contrário não gerar listaCnpjCliente[]. _x000D_
_x000D_
 _x000D_
_x000D_
 _x000D_
_x000D_
 _x000D_
_x000D_
 _x000D_
_x000D_
 _x000D_
_x000D_
 _x000D_
_x000D_
 _x000D_
_x000D_
 _x000D_
_x000D_
 _x000D_
</t>
  </si>
  <si>
    <t>VSTS_d6760eb0_ea3a_4c33_85d6_f85b26745a24_FE-C1-40-E6-79-49-ED-9E-6C-83-ED-B1-26-82-7D-FB-EC-D2-C1-B6-D6-CA-D3-AF-06-FC-53-77-AF-77-E0-A6</t>
  </si>
  <si>
    <t xml:space="preserve"> 2. Autonomia na Edição de Dados:_x000D_
_x000D_
 _x000D_
Permitir que o próprio cliente (importador/despachante) edite seus dados cadastrais no Portal (hoje feito apenas pelo time de atendimento)._x000D_
_x000D_
Card anterior 1623_x000D_
_x000D_
 _x000D_
 _x000D_
_x000D_
_x000D_
 3. Fluxo de Atualização Cadastral (Login):_x000D_
_x000D_
 *  Ao realizar o login, se houver pendência (ex: e-mail não confirmado), redirecionar o usuário automaticamente para a tela de cadastro. _x000D_
 _x000D_
_x000D_
 _x000D_
_x000D_
 *  O usuário deve alterar/confirmar os dados antes de prosseguir para outras funcionalidades. _x000D_
 _x000D_
_x000D_
Card anterior 1623 _x000D_
 _x000D_
</t>
  </si>
  <si>
    <t>20261432983 - Ajuste da tela de faturamento QRCode</t>
  </si>
  <si>
    <t xml:space="preserve"> _x000D_
O armador MSK informou que um arquivo CODECO foi rejeitado porque a quantidade de segmentos RFF enviada para um único contêiner ultrapassou o limite aceito pelo sistema de destino. _x000D_
O sistema da Maersk permite no máximo 9 repetições do segmento RFF por contêiner. Entretanto, para o contêiner TEMU1322917, foram gerados 12 segmentos RFF contendo referências de Booking. _x000D_
Mensagem de erro apresentada: _x000D_
BICMapping ERROR(2012): Counter exceeds _x000D_
Dados da ocorrência: _x000D_
_x000D_
 *  _x000D_
Contêiner: TEMU1322917 _x000D_
 _x000D_
 *  _x000D_
Tipo de mensagem: CODECO _x000D_
 _x000D_
 *  _x000D_
Track ID: MSK000001354183114 _x000D_
 _x000D_
 *  _x000D_
Arquivo: 1785148740064MSK_ALI CODECO.edi _x000D_
 _x000D_
 *  _x000D_
Data do processamento: 27/07/2026 às 10:39 _x000D_
 _x000D_
 *  _x000D_
Quantidade enviada: 12 segmentos RFF _x000D_
 _x000D_
 *  _x000D_
Limite aceito pelo armador: 9 segmentos RFF por contêiner _x000D_
 _x000D_
 _x000D_
_x000D_
Referências enviadas: _x000D_
_x000D_
 *  _x000D_
CHIITJ00562 _x000D_
 _x000D_
 *  _x000D_
ATLITJ00589 _x000D_
 _x000D_
 *  _x000D_
MIAITJ00485 _x000D_
 _x000D_
 *  _x000D_
CHIITJ00587 _x000D_
 _x000D_
 *  _x000D_
MIAITJ00558 _x000D_
 _x000D_
 *  _x000D_
NYCITJ00575 _x000D_
 _x000D_
 *  _x000D_
CHIITJ00568 _x000D_
 _x000D_
 *  _x000D_
MIAITJ00597 _x000D_
 _x000D_
 *  _x000D_
ATLITJ00588 _x000D_
 _x000D_
 *  _x000D_
MIAITJ00583 _x000D_
 _x000D_
 *  _x000D_
MIAITJ00579 _x000D_
 _x000D_
 *  _x000D_
NYCITJ00591 _x000D_
 _x000D_
 _x000D_
_x000D_
Trecho do arquivo: _x000D_
RFF+BM:CHIITJ00562'_x000D_
RFF+BM:ATLITJ00589'_x000D_
RFF+BM:MIAITJ00485'_x000D_
RFF+BM:CHIITJ00587'_x000D_
RFF+BM:MIAITJ00558'_x000D_
RFF+BM:NYCITJ00575'_x000D_
RFF+BM:CHIITJ00568'_x000D_
RFF+BM:MIAITJ00597'_x000D_
RFF+BM:ATLITJ00588'_x000D_
RFF+BM:MIAITJ00583'_x000D_
RFF+BM:MIAITJ00579'_x000D_
RFF+BM:NYCITJ00591' _x000D_
Comportamento atual _x000D_
A geração do CODECO inclui todas as referências de Booking associadas ao contêiner, sem respeitar o limite máximo de 9 repetições do segmento RFF. Quando existem mais de 9 referências, o arquivo é rejeitado pelo armador e não é processado. _x000D_
Comportamento esperado _x000D_
A geração do arquivo CODECO deve respeitar o limite máximo de 9 segmentos RFF por contêiner, conforme a regra de processamento informada pelo armador. _x000D_
Também deverá ser analisado e definido o critério de seleção das referências quando o contêiner possuir mais de 9 Bookings associados. O sistema não deve apenas excluir os registros excedentes sem uma regra de priorização, pois isso poderá omitir uma referência necessária ao processamento. _x000D_
Regra definida: _x000D_
Utilizar BL Master, em casos onde não houver, utilizar apenas o primeiro BL House. _x000D_
_x000D_
Identificar a origem e a regra utilizada atualmente para buscar as referências;_x000D_
_x000D_
 *  _x000D_
Definir com a área de negócio qual será o critério de priorização quando houver mais de 9 referências; _x000D_
 _x000D_
 *  _x000D_
Vêr se é viavel utilizar o Original BL Nbr em casos que contem mais de 9 referencias[Image] _x000D_
 _x000D_
 _x000D_
_x000D_
_x000D_
 _x000D_
-------------------------------------------------------------------------------------------------------------------------------------------------------------- _x000D_
Segue abaixo solicitação original:_x000D_
Hi, _x000D_
  _x000D_
Please be informed that below CODECO files failed to process on our system due to RFF segment exceeded the number of repetitions. _x000D_
Please limit it to 9 repetitions. _x000D_
  _x000D_
Errordetails = BICMapping ERROR(2012): InhouseDocReader doSyntaxCheck() Offset[761]: Could only identify segment ''RFF(checkChildren=true)''(path:''UNB.UNH.SG5.EQD.RFF(1620960858, 0, 9, 9)'', origin segment of syntax check:''UNB.UNH.SG5.EQD.RFF(1620960858, 0, 9, 9) | UNB.UNH.SG5.EQD.RFF(16209608589)'') as dirty! (Counter exceeds) _x000D_
  _x000D_
  _x000D_
Document Details - _x000D_
  _x000D_
 _x000D_
_x000D_
ID _x000D_
 _x000D_
_x000D_
TrackID _x000D_
 _x000D_
_x000D_
Message Key _x000D_
 _x000D_
_x000D_
Partner ID _x000D_
 _x000D_
_x000D_
Document Name _x000D_
 _x000D_
_x000D_
StartProcessingTime _x000D_
 _x000D_
_x000D_
INC9503847 _x000D_
 _x000D_
_x000D_
MSK000001354183114 _x000D_
 _x000D_
_x000D_
CODECO _x000D_
 _x000D_
_x000D_
JBST _x000D_
 _x000D_
_x000D_
1785148740064MSK_ALI CODECO.edi _x000D_
 _x000D_
_x000D_
27-07-2026 10:39 _x000D_
 _x000D_
_x000D_
 _x000D_
  _x000D_
  _x000D_
Error Found – _x000D_
UNH+55464+CODECO:D:95B:UN:ITG13' _x000D_
BGM+36++9' _x000D_
TDT+20+630N+1++:172+++9624299:146::MAERSK KARUN' _x000D_
NAD+CF+MAE:160:166' _x000D_
EQD+CN+TEMU1322917+22G1:102:5++3+5' _x000D_
RFF+BM:CHIITJ00562' _x000D_
RFF+BM:ATLITJ00589' _x000D_
RFF+BM:MIAITJ00485' _x000D_
RFF+BM:CHIITJ00587' _x000D_
RFF+BM:MIAITJ00558' _x000D_
RFF+BM:NYCITJ00575' _x000D_
RFF+BM:CHIITJ00568' _x000D_
RFF+BM:MIAITJ00597' _x000D_
RFF+BM:ATLITJ00588' _x000D_
RFF+BM:MIAITJ00583' _x000D_
RFF+BM:MIAITJ00579' _x000D_
RFF+BM:NYCITJ00591' _x000D_
TMD+3' _x000D_
DTM+7:202607270732:203' _x000D_
LOC+9+COCNR:139:6' _x000D_
LOC+11+BRITJ:139:6' _x000D_
MEA+AAE+VGM+KGM:13864' _x000D_
MEA+AAE+G+KGM:13864' _x000D_
SEL+4441280+SH+1' _x000D_
TDT+1++3++:172+++:146' _x000D_
CNT+16:1' _x000D_
UNT+000027+55464' _x000D_
  _x000D_
  _x000D_
Thanks &amp; Regards _x000D_
Jessa _x000D_
BEP - INT _x000D_
_x000D_
 _x000D_
</t>
  </si>
  <si>
    <t>Closed</t>
  </si>
  <si>
    <t>Ready</t>
  </si>
  <si>
    <t>VSTS_d6760eb0_ea3a_4c33_85d6_f85b26745a24_CF-E1-77-3D-93-E9-39-18-0F-CB-B2-F9-C7-FF-0F-DD-DB-3F-DF-EB-E8-98-AA-7A-D3-E3-8E-81-CF-58-36-94</t>
  </si>
  <si>
    <t>Planned</t>
  </si>
  <si>
    <t>VSTS_d6760eb0_ea3a_4c33_85d6_f85b26745a24_C4-06-4F-28-4D-01-FD-CE-7C-18-A5-04-D0-C2-EC-5C-95-5A-BD-8C-70-54-CD-37-3D-DE-D0-A6-5A-B1-0A-C7</t>
  </si>
  <si>
    <t>VSTS_d6760eb0_ea3a_4c33_85d6_f85b26745a24_67-8B-57-E1-7A-75-FE-38-02-90-95-BF-E5-47-2F-98-9C-6B-A7-B8-6A-79-CF-4E-C8-E9-69-CB-FE-31-DB-90</t>
  </si>
  <si>
    <t>VSTS_d6760eb0_ea3a_4c33_85d6_f85b26745a24_68-E0-DC-3A-EE-47-DD-4B-2D-31-87-28-39-A3-61-2D-96-A3-D9-CA-1A-9A-00-7A-E1-D3-1F-1C-1C-FE-2F-A4</t>
  </si>
  <si>
    <t>all_VSTS_d6760eb0_ea3a_4c33_85d6_f85b26745a24_Issue_Custom.Requester</t>
  </si>
  <si>
    <t>all_VSTS_d6760eb0_ea3a_4c33_85d6_f85b26745a24_Custom.Requester</t>
  </si>
  <si>
    <t>VSTS_d6760eb0_ea3a_4c33_85d6_f85b26745a24_A4-32-70-76-AA-81-EB-5C-09-1A-3C-EA-BA-A7-BF-B9-AF-D0-4E-32-01-24-30-CF-98-FB-96-07-B2-1E-56-87</t>
  </si>
  <si>
    <t>all_VSTS_d6760eb0_ea3a_4c33_85d6_f85b26745a24_Issue_Custom.Type</t>
  </si>
  <si>
    <t>all_VSTS_d6760eb0_ea3a_4c33_85d6_f85b26745a24_Custom.Type</t>
  </si>
  <si>
    <t>VSTS_d6760eb0_ea3a_4c33_85d6_f85b26745a24_87-48-5E-D0-43-77-F2-C9-85-29-FF-BD-09-05-AB-A0-32-04-00-A1-55-74-D8-C2-C8-DE-94-23-1F-68-57-49</t>
  </si>
  <si>
    <t>20261495290 - Reaproveitamento de agendamento cancelado</t>
  </si>
  <si>
    <t>20261478066 -  regra na leitura dos COPARNs</t>
  </si>
  <si>
    <t>Hold</t>
  </si>
  <si>
    <t xml:space="preserve">Solicito a criação de um novo perfil de acesso ao sistema de agendamento eletrônico do terminal, destinado ao uso da RFB.A RFB solicitou formalmente informações de acesso à plataforma de agendamento para consultar prazos de entrega de contêineres pelos recintos. Diante disso, é necessário disponibilizar um perfil específico para uso externo da Receita Federal.Requisitos do perfil:Visualização completa de todos os agendamentos do terminal, com o mesmo nível de visibilidade de um usuário internoAcesso apenas de consulta, sem permissão para criar, editar, cancelar ou alterar agendamentos _x000D_
_x000D_
 _x000D_
 _x000D_
 _x000D_
 _x000D_
 _x000D_
</t>
  </si>
  <si>
    <t>20261527513 -  CMA CGM Legacy 0WO3QE1MA</t>
  </si>
  <si>
    <t xml:space="preserve">Poderiam verificar o que aconteceu com o navio CMA CGM Legacy 0WO3QE1MA, pois todos os recintos desse navio apresentam “não encontrado” impossibilitando a liberação do faturamento diretamente no portal, sem integrar o valor CIF _x000D_
 _x000D_
 _x000D_
_x000D_
[Image] _x000D_
_x000D_
_x000D_
[Image]_x000D_
 _x000D_
</t>
  </si>
  <si>
    <t>Precosso IMP com excesso OOG</t>
  </si>
  <si>
    <t xml:space="preserve">Após a atuação no card 2195 - Cancelar Pedido com status "Solicitado Cancelamento", identificou-se a necessidade de ajustar a regra de bloqueio para cargas com excesso na etapa de Pré-Agendamento. _x000D_
Atualmente, o bloqueio ocorre apenas na etapa de Agendamento, o que permite o pagamento da NFS-e, porém impede que o cliente realize a solicitação de agendamento pelo portal. _x000D_
Como alternativa temporária, as solicitações estão sendo realizadas via N4, a liberação manual da carga. Entretanto, essa ação gera impacto na visibilidade do processo para o cliente, pois a carga permanece com o status "Em Trânsito" bloqueado, dificultando o acompanhamento correto da operação. _x000D_
 _x000D_
 _x000D_
</t>
  </si>
  <si>
    <t xml:space="preserve"> _x000D_
 _x000D_
_x000D_
Login  _x000D_
_x000D_
wesleysantos-soy _x000D_
 _x000D_
 _x000D_
_x000D_
 _x000D_
 _x000D_
_x000D_
Tipo de usuário  _x000D_
_x000D_
COLABORADOR _x000D_
 _x000D_
 _x000D_
_x000D_
 _x000D_
 _x000D_
_x000D_
Nome Completo  _x000D_
_x000D_
Wesley Moreira Santos _x000D_
 _x000D_
 _x000D_
_x000D_
 _x000D_
 _x000D_
_x000D_
Email do Solicitante  _x000D_
_x000D_
wesley.santos@jbsterminais.com.br _x000D_
 _x000D_
 _x000D_
_x000D_
 _x000D_
 _x000D_
_x000D_
CPF  _x000D_
_x000D_
08335287937 _x000D_
 _x000D_
 _x000D_
_x000D_
 _x000D_
 _x000D_
_x000D_
Função  _x000D_
_x000D_
Analista Customer Service Pl _x000D_
 _x000D_
 _x000D_
_x000D_
 _x000D_
 _x000D_
_x000D_
Departamento  _x000D_
_x000D_
Operações Portuárias - Customer Service _x000D_
 _x000D_
 _x000D_
_x000D_
 _x000D_
 _x000D_
_x000D_
Nome Empresa  _x000D_
_x000D_
SEARA OPERACOES PORTUARIAS LTDA _x000D_
 _x000D_
 _x000D_
_x000D_
 _x000D_
 _x000D_
_x000D_
Ramal  _x000D_
_x000D_
2006 _x000D_
 _x000D_
 _x000D_
_x000D_
 _x000D_
 _x000D_
_x000D_
Telefone  _x000D_
_x000D_
 _x000D_
 _x000D_
 _x000D_
_x000D_
 _x000D_
 _x000D_
_x000D_
Celular para contato  _x000D_
_x000D_
 _x000D_
 _x000D_
 _x000D_
_x000D_
 _x000D_
 _x000D_
_x000D_
Possui canal de voz?  _x000D_
_x000D_
Não _x000D_
 _x000D_
 _x000D_
_x000D_
 _x000D_
 _x000D_
_x000D_
Deseja acesso remoto?  _x000D_
_x000D_
Não _x000D_
 _x000D_
 _x000D_
_x000D_
 _x000D_
 _x000D_
_x000D_
Descrição  _x000D_
_x000D_
Tivemos uma situação, onde o cliente externo teve seu agendamento cancelado pela OCR, e conseguiu utilizar a mesma janela no portal.Creio que a brecha que possui no portal, é pegar o agendamento cancelado e trocar apenas o motorista/placa e salvar, fazendo com que o sistema cobre o no-show, porém ele não entende que houve uma reprogramação.Uma vez que ele também não deveria permitir que o cliente externo, utilize a mesma janela.Uma solução possível para esse caso, seria, quando o agendamento for cancelado, as informações de data e hora voltem como nulo na importação CHEIO.MRSU5117969MRKU2864572 _x000D_
 _x000D_
 _x000D_
_x000D_
 _x000D_
 _x000D_
_x000D_
Encaminhar para TI Matriz?  _x000D_
_x000D_
 _x000D_
 _x000D_
 _x000D_
_x000D_
 _x000D_
 _x000D_
_x000D_
Chamado Categorizado?  _x000D_
_x000D_
Sim _x000D_
 _x000D_
_x000D_
 _x000D_
 _x000D_
_x000D_
_x000D_
</t>
  </si>
  <si>
    <t xml:space="preserve">_x000D_
_x000D_
 _x000D_
 _x000D_
 _x000D_
_x000D_
 _x000D_
_x000D_
Resposta _x000D_
2.1% _x000D_
 _x000D_
2.1% _x000D_
 _x000D_
 _x000D_
 _x000D_
 _x000D_
_x000D_
Resolução _x000D_
+ 100% _x000D_
 _x000D_
+ 100% _x000D_
 _x000D_
 _x000D_
 _x000D_
 _x000D_
_x000D_
 _x000D_
_x000D_
Status:  _x000D_
Em Analise _x000D_
_x000D_
Prioridade:  _x000D_
Prioridade Baixa _x000D_
_x000D_
 _x000D_
_x000D_
 _x000D_
 _x000D_
 _x000D_
 _x000D_
 _x000D_
 _x000D_
_x000D_
Categorização  |  Recategorização :  _x000D_
_x000D_
  _x000D_
_x000D_
Tipo chamado :  _x000D_
_x000D_
  _x000D_
_x000D_
Tipo abertura :  _x000D_
_x000D_
TI - Unidades _x000D_
_x000D_
   _x000D_
_x000D_
Aplicativo _x000D_
_x000D_
   _x000D_
_x000D_
Portal JBS Terminais _x000D_
_x000D_
   _x000D_
_x000D_
Suporte _x000D_
_x000D_
 _x000D_
_x000D_
  _x000D_
_x000D_
Solicitação  _x000D_
_x000D_
  _x000D_
_x000D_
Aberto via web  _x000D_
_x000D_
OBS. :  _x000D_
_x000D_
Prezado (a) Analista, não houve uma sugestão de ajuda em como atuar neste tipo de chamado, se souber como atuar, envie uma sugestão para ser disponibilizada aos demais colegas em como atuar no link abaixo. _x000D_
Padronização CPPPs _x000D_
 _x000D_
_x000D_
Resumo _x000D_
_x000D_
TI - Unidades:Aplicativo:Portal JBS Terminais:Suporte _x000D_
_x000D_
Descrição :  _x000D_
_x000D_
Catálogo de Serviços de TI.Unidades.Aplicativo  _x000D_
_x000D_
 _x000D_
 _x000D_
 _x000D_
 _x000D_
 _x000D_
_x000D_
 _x000D_
 _x000D_
_x000D_
Login  _x000D_
_x000D_
GEORGEBAIAO-SOY _x000D_
 _x000D_
 _x000D_
_x000D_
 _x000D_
 _x000D_
_x000D_
Tipo de usuário  _x000D_
_x000D_
COLABORADOR _x000D_
 _x000D_
 _x000D_
_x000D_
 _x000D_
 _x000D_
_x000D_
Nome Completo  _x000D_
_x000D_
George De Amorim Baiao _x000D_
 _x000D_
 _x000D_
_x000D_
 _x000D_
 _x000D_
_x000D_
Email do Solicitante  _x000D_
_x000D_
george.baiao@seara.com.br _x000D_
 _x000D_
 _x000D_
_x000D_
 _x000D_
 _x000D_
_x000D_
CPF  _x000D_
_x000D_
02798527970 _x000D_
 _x000D_
 _x000D_
_x000D_
 _x000D_
 _x000D_
_x000D_
Função  _x000D_
_x000D_
Supervisor de Documentação _x000D_
 _x000D_
 _x000D_
_x000D_
 _x000D_
 _x000D_
_x000D_
Departamento  _x000D_
_x000D_
Dp - Operações Portuárias - Documentação _x000D_
 _x000D_
 _x000D_
_x000D_
 _x000D_
 _x000D_
_x000D_
Nome Empresa  _x000D_
_x000D_
SEARA OPERACOES PORTUARIAS LTDA _x000D_
 _x000D_
 _x000D_
_x000D_
 _x000D_
 _x000D_
_x000D_
Ramal  _x000D_
_x000D_
5422 _x000D_
 _x000D_
 _x000D_
_x000D_
 _x000D_
 _x000D_
_x000D_
Telefone  _x000D_
_x000D_
5422 _x000D_
 _x000D_
 _x000D_
_x000D_
 _x000D_
 _x000D_
_x000D_
Celular para contato  _x000D_
_x000D_
 _x000D_
 _x000D_
 _x000D_
_x000D_
 _x000D_
 _x000D_
_x000D_
Possui canal de voz?  _x000D_
_x000D_
Não _x000D_
 _x000D_
 _x000D_
_x000D_
 _x000D_
 _x000D_
_x000D_
Deseja acesso remoto?  _x000D_
_x000D_
Não _x000D_
 _x000D_
 _x000D_
_x000D_
 _x000D_
 _x000D_
_x000D_
Descrição  _x000D_
_x000D_
Favor verificar criação de uma regra na leitura dos COPARNs onde referida possa consultar se booking ja consta cadastrado e se sim ajustar msgfuncion de "O" para "U" e proceder com ajuste e postagem do arquivo. Tbm criar rotina inversa, onde reconheça a função de "U" para "O".segue anexo com exemplos. _x000D_
 _x000D_
 _x000D_
_x000D_
 _x000D_
 _x000D_
_x000D_
Encaminhar para TI Matriz?  _x000D_
_x000D_
 _x000D_
 _x000D_
 _x000D_
_x000D_
 _x000D_
 _x000D_
_x000D_
Chamado Categorizado?  _x000D_
_x000D_
Sim _x000D_
 _x000D_
_x000D_
 _x000D_
 _x000D_
 _x000D_
 _x000D_
 _x000D_
_x000D_
</t>
  </si>
  <si>
    <t>VSTS_d6760eb0_ea3a_4c33_85d6_f85b26745a24_6B-73-0D-FC-01-C1-04-4C-45-30-C6-DD-F2-D0-F6-B7-A6-87-3F-58-36-D6-3D-92-18-E9-CC-45-AE-31-6B-0B</t>
  </si>
  <si>
    <t>VSTS_102a646c_ad0a_48ec_88b8_1da5f2d06195_6B-73-0D-FC-01-C1-04-4C-45-30-C6-DD-F2-D0-F6-B7-A6-87-3F-58-36-D6-3D-92-18-E9-CC-45-AE-31-6B-0B</t>
  </si>
  <si>
    <t>VSTS_c467189f_b1e3_4921_ac93_2d6d7014346c_6B-73-0D-FC-01-C1-04-4C-45-30-C6-DD-F2-D0-F6-B7-A6-87-3F-58-36-D6-3D-92-18-E9-CC-45-AE-31-6B-0B</t>
  </si>
  <si>
    <t>VSTS_1c6fc82a_d22e_401e_bb21_5879a2d4167f_6B-73-0D-FC-01-C1-04-4C-45-30-C6-DD-F2-D0-F6-B7-A6-87-3F-58-36-D6-3D-92-18-E9-CC-45-AE-31-6B-0B</t>
  </si>
  <si>
    <t>VSTS_1c6fc82a_d22e_401e_bb21_5879a2d4167f_5E-EE-A2-BD-5A-6D-85-C7-E2-C8-2A-E3-8F-4F-3F-13-FE-86-1F-2A-97-26-33-6A-13-13-E2-A9-05-3F-FF-57</t>
  </si>
  <si>
    <r>
      <t xml:space="preserve">Project: </t>
    </r>
    <r>
      <rPr>
        <sz val="11"/>
        <color theme="1"/>
        <rFont val="Calibri"/>
        <family val="2"/>
        <scheme val="minor"/>
      </rPr>
      <t xml:space="preserve">JBSPortal   </t>
    </r>
    <r>
      <rPr>
        <b/>
        <sz val="11"/>
        <color theme="1"/>
        <rFont val="Calibri"/>
        <family val="2"/>
        <scheme val="minor"/>
      </rPr>
      <t xml:space="preserve"> Server:</t>
    </r>
    <r>
      <rPr>
        <sz val="11"/>
        <color theme="1"/>
        <rFont val="Calibri"/>
        <family val="2"/>
        <scheme val="minor"/>
      </rPr>
      <t xml:space="preserve"> https://tfs.jbs.com.br/tfs/jbsterminais   </t>
    </r>
    <r>
      <rPr>
        <b/>
        <sz val="11"/>
        <color theme="1"/>
        <rFont val="Calibri"/>
        <family val="2"/>
        <scheme val="minor"/>
      </rPr>
      <t xml:space="preserve"> Query:</t>
    </r>
    <r>
      <rPr>
        <sz val="11"/>
        <color theme="1"/>
        <rFont val="Calibri"/>
        <family val="2"/>
        <scheme val="minor"/>
      </rPr>
      <t xml:space="preserve"> Atividades - Em Desenvolvimento   </t>
    </r>
    <r>
      <rPr>
        <b/>
        <sz val="11"/>
        <color theme="1"/>
        <rFont val="Calibri"/>
        <family val="2"/>
        <scheme val="minor"/>
      </rPr>
      <t xml:space="preserve"> List type:</t>
    </r>
    <r>
      <rPr>
        <sz val="11"/>
        <color theme="1"/>
        <rFont val="Calibri"/>
        <family val="2"/>
        <scheme val="minor"/>
      </rPr>
      <t xml:space="preserve"> Flat    </t>
    </r>
  </si>
  <si>
    <r>
      <t xml:space="preserve">Project: </t>
    </r>
    <r>
      <rPr>
        <sz val="11"/>
        <color theme="1"/>
        <rFont val="Calibri"/>
        <family val="2"/>
        <scheme val="minor"/>
      </rPr>
      <t xml:space="preserve">JBSPortal   </t>
    </r>
    <r>
      <rPr>
        <b/>
        <sz val="11"/>
        <color theme="1"/>
        <rFont val="Calibri"/>
        <family val="2"/>
        <scheme val="minor"/>
      </rPr>
      <t xml:space="preserve"> Server:</t>
    </r>
    <r>
      <rPr>
        <sz val="11"/>
        <color theme="1"/>
        <rFont val="Calibri"/>
        <family val="2"/>
        <scheme val="minor"/>
      </rPr>
      <t xml:space="preserve"> https://tfs.jbs.com.br/tfs/jbsterminais   </t>
    </r>
    <r>
      <rPr>
        <b/>
        <sz val="11"/>
        <color theme="1"/>
        <rFont val="Calibri"/>
        <family val="2"/>
        <scheme val="minor"/>
      </rPr>
      <t xml:space="preserve"> Query:</t>
    </r>
    <r>
      <rPr>
        <sz val="11"/>
        <color theme="1"/>
        <rFont val="Calibri"/>
        <family val="2"/>
        <scheme val="minor"/>
      </rPr>
      <t xml:space="preserve"> Atividades - Release   </t>
    </r>
    <r>
      <rPr>
        <b/>
        <sz val="11"/>
        <color theme="1"/>
        <rFont val="Calibri"/>
        <family val="2"/>
        <scheme val="minor"/>
      </rPr>
      <t xml:space="preserve"> List type:</t>
    </r>
    <r>
      <rPr>
        <sz val="11"/>
        <color theme="1"/>
        <rFont val="Calibri"/>
        <family val="2"/>
        <scheme val="minor"/>
      </rPr>
      <t xml:space="preserve"> Flat    </t>
    </r>
  </si>
  <si>
    <r>
      <t xml:space="preserve">Project: </t>
    </r>
    <r>
      <rPr>
        <sz val="11"/>
        <color theme="1"/>
        <rFont val="Calibri"/>
        <family val="2"/>
        <scheme val="minor"/>
      </rPr>
      <t xml:space="preserve">JBSPortal   </t>
    </r>
    <r>
      <rPr>
        <b/>
        <sz val="11"/>
        <color theme="1"/>
        <rFont val="Calibri"/>
        <family val="2"/>
        <scheme val="minor"/>
      </rPr>
      <t xml:space="preserve"> Server:</t>
    </r>
    <r>
      <rPr>
        <sz val="11"/>
        <color theme="1"/>
        <rFont val="Calibri"/>
        <family val="2"/>
        <scheme val="minor"/>
      </rPr>
      <t xml:space="preserve"> https://tfs.jbs.com.br/tfs/jbsterminais   </t>
    </r>
    <r>
      <rPr>
        <b/>
        <sz val="11"/>
        <color theme="1"/>
        <rFont val="Calibri"/>
        <family val="2"/>
        <scheme val="minor"/>
      </rPr>
      <t xml:space="preserve"> Query:</t>
    </r>
    <r>
      <rPr>
        <sz val="11"/>
        <color theme="1"/>
        <rFont val="Calibri"/>
        <family val="2"/>
        <scheme val="minor"/>
      </rPr>
      <t xml:space="preserve"> Atividades - EDI   </t>
    </r>
    <r>
      <rPr>
        <b/>
        <sz val="11"/>
        <color theme="1"/>
        <rFont val="Calibri"/>
        <family val="2"/>
        <scheme val="minor"/>
      </rPr>
      <t xml:space="preserve"> List type:</t>
    </r>
    <r>
      <rPr>
        <sz val="11"/>
        <color theme="1"/>
        <rFont val="Calibri"/>
        <family val="2"/>
        <scheme val="minor"/>
      </rPr>
      <t xml:space="preserve"> Flat    </t>
    </r>
  </si>
  <si>
    <t>&lt;None&gt;</t>
  </si>
  <si>
    <t>VSTS_d6760eb0_ea3a_4c33_85d6_f85b26745a24_Microsoft.VSTS.Build.IntegrationBuild_suggested</t>
  </si>
  <si>
    <t>VSTS_d6760eb0_ea3a_4c33_85d6_f85b26745a24_06-C4-49-19-DD-F2-92-96-98-A1-0F-BF-6B-8C-A3-3E-57-44-5F-DB-ED-E1-A2-51-83-E4-1D-6D-02-32-1F-33</t>
  </si>
  <si>
    <t>VSTS_d6760eb0_ea3a_4c33_85d6_f85b26745a24_A1-68-8E-93-2B-0C-C4-1A-22-6C-A3-F5-4C-95-10-D6-DF-3E-7A-FD-BA-51-47-A3-0C-4D-F3-F8-B6-4F-B2-C1</t>
  </si>
  <si>
    <t>VSTS_d6760eb0_ea3a_4c33_85d6_f85b26745a24_78-FB-61-DE-E2-B0-03-AE-98-5B-D3-E2-F2-CB-FA-E5-4A-BE-F1-E4-6F-B8-75-E9-56-1C-0A-D3-33-2F-79-2B</t>
  </si>
  <si>
    <t>VSTS_d6760eb0_ea3a_4c33_85d6_f85b26745a24_3C-B1-E5-2B-77-0D-BD-30-1F-A0-33-D5-0B-66-B3-B4-F6-F6-BD-35-78-B3-E1-CE-B6-C7-B5-6B-7B-FD-DF-03</t>
  </si>
  <si>
    <t>VSTS_d6760eb0_ea3a_4c33_85d6_f85b26745a24_05-84-78-10-35-20-B3-44-25-2E-4D-07-9B-44-2A-EE-5B-44-7E-45-FA-6D-23-A0-9C-BF-9B-4E-83-C1-F0-83</t>
  </si>
  <si>
    <t>VSTS_d6760eb0_ea3a_4c33_85d6_f85b26745a24_0C-63-B6-34-4B-F0-26-78-2E-25-BA-17-77-C1-ED-57-FB-36-E3-AE-B0-0D-CF-AB-DE-AD-71-23-A5-7B-6C-8E</t>
  </si>
  <si>
    <t>VSTS_d6760eb0_ea3a_4c33_85d6_f85b26745a24_C0-FF-8A-4C-63-18-59-80-28-72-EE-5F-70-CA-6F-63-5B-7D-96-81-EA-CA-23-F8-24-7B-CE-BA-93-1D-E5-3B</t>
  </si>
  <si>
    <t>VSTS_d6760eb0_ea3a_4c33_85d6_f85b26745a24_FE-D7-88-D9-79-88-EC-62-AB-8C-12-C3-51-82-2B-D4-DE-28-D2-39-E5-44-1C-1B-06-7E-36-E9-B3-CF-26-F1</t>
  </si>
  <si>
    <t>VSTS_d6760eb0_ea3a_4c33_85d6_f85b26745a24_71-C0-DC-11-CA-1D-6D-29-34-52-45-64-01-4D-CC-BA-05-E6-7D-03-1D-31-4A-50-7A-35-3A-EB-5B-AD-1F-C1</t>
  </si>
  <si>
    <t>VSTS_d6760eb0_ea3a_4c33_85d6_f85b26745a24_00-98-3A-B5-87-5C-09-9F-F1-FA-7C-71-18-61-32-CB-C3-42-1F-E8-64-95-DA-CB-71-0A-AC-04-55-C2-A1-02</t>
  </si>
  <si>
    <t>VSTS_d6760eb0_ea3a_4c33_85d6_f85b26745a24_1D-AC-20-44-11-73-21-2E-7F-AE-64-54-29-A0-11-6C-A6-98-67-A9-19-33-CC-05-5E-93-35-81-B0-42-41-8B</t>
  </si>
  <si>
    <t>VSTS_d6760eb0_ea3a_4c33_85d6_f85b26745a24_54-7E-96-96-41-47-FF-B3-A5-D8-32-B1-64-2B-64-B6-06-76-E7-C4-43-32-3E-49-20-A8-54-82-7F-14-88-55</t>
  </si>
  <si>
    <t>Hiago Guimarães Gesteira Nunes</t>
  </si>
  <si>
    <t xml:space="preserve">Descrição do chamado: FAVOR AJUSTAR REGRA NO NO PORTAL DE LIBERAÇÃO DOCUMENTAL DTA, POIS O PORTAL GERA COBRANÇA DE TAPS DTA POR BL, GERANDO COBRANÇA INDEVIDA, OU SEJA, MULTIPLICA A COBRANÇA DA DTA.CENÁRIO: 1 DTA +  1 BL = 1 TAPS DTA1 DTA+ 2 BL'S =  1 TAPS DTA1 DTA +3 BL'S = 1 TAPS DTA_x000D_
[Image]_x000D_
 _x000D_
</t>
  </si>
  <si>
    <t xml:space="preserve">20261025229 - MELHORIA - BOLETIM DE CARGA/DESCARGA </t>
  </si>
  <si>
    <t xml:space="preserve">FAVOR VERIFICAR E VIABILIDADE E ESTABELECER UMA REGRA QUE AO RECEBER VIA LOGCOMEX A MENSAGEM DE RETORNO DA API  " A operação da embarcação deve ser registrada no Siscomex Carga, é impossível prosseguir no registro do boletim." MANTENHA O STATUS DO BOLETIM DA UNIDADE COMO ERRO OU PENDENTE, PARA QUE PERMITA AO REGULARIZAR O INICIO DA OPERAÇÃO NO SISCOMEX POSSA SER REPROCESSADO O ENVIO NOVAMENTE EM TELA SELECIONANDO VIA CHECK BOX O ENVIO DAS MOVIMENTAÇÕES COM ESTE RETORNO._x000D_
 _x000D_
</t>
  </si>
  <si>
    <t>Carga-Geral (Importação - Agendamento- Grade)</t>
  </si>
  <si>
    <t>20261598857 - CNH com MOPP</t>
  </si>
  <si>
    <t xml:space="preserve">Cadastro de Motoristas (Agendamentos &gt; Gerenciar Motoristas): incluir o campo "Possui MOPP?" (Sim/Não). Ao selecionar Sim, habilitar um campo para upload do certificado MOPP ou CNH contendo a informação (PDF). Também é necessário permitir que usuários externos (clientes/transportadores) possam editar essa informação e atualizar o documento anexado._x000D_
Identificação de Cargas IMO nos Agendamentos de Importação: incluir uma sinalização visual no agendamento de retirada para unidades com carga IMO, utilizando informações já disponíveis no N4: Hazardous? (quando True), IMDG e Hzd UNNbrs. A identificação deve ocorrer por unidade (container) e não por processo, garantindo melhor visibilidade para clientes e transportadores._x000D_
 _x000D_
_x000D_
 _x000D_
</t>
  </si>
  <si>
    <t>20261601093 - Layout NFse Benner</t>
  </si>
  <si>
    <t xml:space="preserve">Identificamos uma divergência no cálculo dos valores quando é realizada a antecipação de uma unidade e o adiamento de outra._x000D_
_x000D_
 _x000D_
Atualmente, o sistema está considerando no cálculo da unidade antecipada um desconto referente aos dias cobrados a maior, gerando um abatimento no valor final._x000D_
 _x000D_
_x000D_
 _x000D_
Solicitamos que, nesses casos, não seja apresentado nenhum valor ou desconto referente à unidade que foi antecipada. Os valores relacionados à unidade antecipada deverão permanecer ocultos, sendo apresentados somente quando houver outros custos adicionais vinculados a No Show ou Reprogramação._x000D_
_x000D_
[Image]_x000D_
_x000D_
[Image]_x000D_
_x000D_
[Image]_x000D_
_x000D_
 _x000D_
</t>
  </si>
  <si>
    <t xml:space="preserve">Surgiu a necessidade de alterar os horários de clientes VIP em massa. Hoje a tela faz o processo individualmente, para cada CNPJ, o que demanda um grande esforço de horas de trabalho e aumenta a possiblidade de erro humano. _x000D_
_x000D_
 _x000D_
O escopo envolve:_x000D_
_x000D_
 *  Consultar vários clientes de uma vez em tela. _x000D_
_x000D_
 *  Hoje a tela permite consultar apenas um cnpj por vez, o que é imprático num cenário onde um cliente possui vários CNPJS (Exemplo a Sera com mais de 40 CNPJ's) _x000D_
 _x000D_
_x000D_
 *  Criar um checbox para selecionar os CNPJ's que serão editados _x000D_
_x000D_
 *  Nova feature. _x000D_
 _x000D_
_x000D_
 *  Criar um botão para edição em massa dos clientes filtrados anteriormente. _x000D_
_x000D_
 *  Nova feature. _x000D_
 _x000D_
_x000D_
 *  Criar um relatório listandos os clientes o os horários definidos para cada um deles.  _x000D_
_x000D_
 *  O relatório deve ser exportado para o Excel. _x000D_
 _x000D_
_x000D_
 _x000D_
_x000D_
 _x000D_
 _x000D_
_x000D_
 _x000D_
[Image]_x000D_
 _x000D_
</t>
  </si>
  <si>
    <t>GRADE; SOLICITANTE: LUCAS</t>
  </si>
  <si>
    <t>20260316369 - Melhorias na tela Clientes VIP Exportação</t>
  </si>
  <si>
    <t>20261587705 - STATUS UNIDADE " NÃO PREVISTO" = DEPARTED (DTC)</t>
  </si>
  <si>
    <t xml:space="preserve">VERIFICAR A REGRA QUE DEFINE O STATUS UNIDADE " NÃO PREVISTO" _x000D_
MOTIVO: ESTE STATUS "NÃO PREVISTO" DEVERIA SER APRESENTADO APENAS QUANDO A UNIDADE NÃO ESTA NO EDI._x000D_
 _x000D_
HOJE AS UNIDADES DTC QUE SAEM DO TERMINAL MUDAM DE EM PÁTIO PARA NÃO PREVISTO DEVIDO O STATUS DEPARTED._x000D_
 _x000D_
_x000D_
 _x000D_
EM ANÁLISE COM TIME DE FATURAMENTO FOI CONTATADO ESSA DIVERGÊNCIA. CONSIDERA-SE QUE A REGRA QUE TRAZ ESSE STATUS DA UNIDADE DEVE FINALIZAR COMO ULTIMO STATUS A SER APRESENTADO COMO 'EM PÁTIO"._x000D_
[Image]_x000D_
[Image]_x000D_
 _x000D_
_x000D_
 _x000D_
</t>
  </si>
  <si>
    <t>20261606472 - Cobranças adicionais de NoShow e Reprogramação</t>
  </si>
  <si>
    <t xml:space="preserve">	Identificamos que, atualmente, as cobranças adicionais de No Show e Reprogramação somente fazem o processo retornar para a etapa de faturamento quando existe também cobrança de armazenagem._x000D_
_x000D_
 _x000D_
Solicitamos o ajuste da regra para que, sempre que o cliente alterar a data do agendamento e essa alteração gerar uma cobrança adicional de No Show e/ou Reprogramação, o pedido retorne automaticamente para a etapa de Faturamento._x000D_
 _x000D_
_x000D_
 _x000D_
Nessa situação, o sistema deverá gerar automaticamente a nova cobrança com os valores adicionais, disponibilizando o processo novamente para pagamento pelo cliente, mesmo que não exista cobrança de armazenagem._x000D_
_x000D_
_x000D_
_x000D_
[Image]_x000D_
[Image]_x000D_
[Image]_x000D_
[Image]_x000D_
_x000D_
_x000D_
 _x000D_
</t>
  </si>
  <si>
    <t>VSTS_d6760eb0_ea3a_4c33_85d6_f85b26745a24_47-AB-53-63-82-32-1D-DF-65-9F-39-CA-3D-5A-E1-D5-56-F3-61-BD-6C-6A-BE-AE-AD-06-76-83-75-CE-2A-8C</t>
  </si>
  <si>
    <t>20261616792- ERRO PORTAL - POSICIONAMENTO VISTORIA</t>
  </si>
  <si>
    <t xml:space="preserve">FAVOR VERIFICAR ERRO APRESENTADO (PRINT).ERRO NÃO PERMITE A INCLUSÃO DO AGENDAMENTO DE POSICIONAMENTO VISTORIA DA RFB PELO SUSUÁRIO INTERNO.NOTE QUE FOI AUMENTADO O SALDO DE GRADE DISPONIVEL EM 100, PORÉM PERMANECE COM ERRO._x000D_
 _x000D_
</t>
  </si>
  <si>
    <t>20261590924 - Nota fiscal não esta puxando informações de peso/volume</t>
  </si>
  <si>
    <t xml:space="preserve">_x000D_
Gentileza verificar, pois a NFe 4226 0879 3814 9700 0195 5500 1000 0872 3419 0672 4100 não está puxando as informações de peso/volume, mesmo contendo carta correção.Deveria aparecer um pop-up para inclusão manual dos dados.Relacionado ao CARD 1909, no qual constou como entregue, mas não foi resolvido. _x000D_
 _x000D_
_x000D_
_x000D_
 _x000D_
</t>
  </si>
  <si>
    <t>20260569253 - Remoção de Bloqueio (QR Code)</t>
  </si>
  <si>
    <t xml:space="preserve">Login 	josiascapistrano-soy _x000D_
 _x000D_
Tipo de usuário 	COLABORADOR_x000D_
 _x000D_
Nome Completo 	Josias Genesio Capistrano_x000D_
 _x000D_
Email do Solicitante 	josias.capistrano@jbsterminais.com.br_x000D_
 _x000D_
CPF 	06467546962_x000D_
 _x000D_
Função 	Analista de Documentação Pl_x000D_
 _x000D_
Departamento 	Operações Portuárias - Documentação_x000D_
 _x000D_
Nome Empresa 	SEARA OPERACOES PORTUARIAS LTDA_x000D_
 _x000D_
Ramal 	5423_x000D_
 _x000D_
Telefone 	_x000D_
 _x000D_
Celular para contato 	_x000D_
 _x000D_
Possui canal de voz? 	Não_x000D_
 _x000D_
Deseja acesso remoto? 	Não_x000D_
 _x000D_
Descrição 	_x000D_
 _x000D_
UNIFICAÇÃO RECINTOS - LIBERAÇÃO DOCUMENTAL_x000D_
 _x000D_
_x000D_
 _x000D_
APÓS ZERADO ESTOQUE ARMAZENADO PORTO PÚBLICO FAVOR REALIZAR AS SEGUINTES ADEQUAÇÕES:_x000D_
 _x000D_
_x000D_
 _x000D_
*RENOMEAR TERMINAL "9101304 - PORTO ORGANIZADO - CODEBA – (Porto de Itajai)" NA LIBERAÇÃO DOCUMENTAL:_x000D_
 _x000D_
_x000D_
 _x000D_
NOMEAR COMO: TERMINAL: CONTINGÊNCIA ( JBS TERMINAIS)_x000D_
_x000D_
 _x000D_
_x000D_
 _x000D_
_x000D_
 _x000D_
 *REMOÇÃO DE OBRIGATORIEDADE DE DOCUMENTOS NA LIBERAÇÃO DOCUMENTAL:_x000D_
 _x000D_
_x000D_
 _x000D_
FAVOR ATUALIZAR A REGRA NO PORTAL QUE DEFINE OS DOCUMENTOS OBRIGATÓRIOS NOS PROCESSOS DE LIBERAÇÃO DOCUMENTAL ABAIXO:_x000D_
 _x000D_
_x000D_
 _x000D_
DUIMP/DI/DSI do estado SC:_x000D_
 _x000D_
_x000D_
 _x000D_
•	DUIMP: BL/EXTRATO DUIMP/PLMI _x000D_
 _x000D_
_x000D_
 _x000D_
•	DI/DSI: BL/DI/CI_x000D_
 _x000D_
_x000D_
 _x000D_
DUIMP/DI/DSI fora do estado SC:_x000D_
 _x000D_
_x000D_
 _x000D_
•	DUIMP: BL/EXTRATO DUIMP/PLMI/NF ENTRADA/GUIA DE ICMS_x000D_
 _x000D_
_x000D_
 _x000D_
•	DI/DSI: BL/DI/CI/GUIA DE IMCS_x000D_
 _x000D_
_x000D_
 _x000D_
CONDIÇÃO: QUANTO NA CONSULTA API SHIVA NÃO TIVER SUCESSO NA CONSULTA OBRIGAR ANEXAR CARTA MAPA E COLOCAR TIPO DOC OUTROS_x000D_
 _x000D_
_x000D_
 _x000D_
DTA:_x000D_
 _x000D_
_x000D_
 _x000D_
REMOVER OBRIGATORIEDADE PARA OS DOCS:_x000D_
 _x000D_
DIÁRIO OFICIAL_x000D_
 _x000D_
RG OU CNH DO DESPACHANTE_x000D_
 _x000D_
Encaminhar para TI Matriz? 	_x000D_
 _x000D_
Chamado Categorizado? 	Sim_x000D_
_x000D_
REMOÇÃO DOCUMENTOS:_x000D_
DTA: EXTRATO DTA / FLUXO DTA_x000D_
no terminal contingência deverá manter os documentos como estão._x000D_
ou seja na contingência deve manter como está_x000D_
_x000D_
DI: remover Extrato DI, CI (terminal: JBS T)_x000D_
DI Contingência: deverá manter como está._x000D_
_x000D_
 _x000D_
_x000D_
 _x000D_
</t>
  </si>
  <si>
    <t>20261623203 - Carregamentos D+0 no Portal do Cliente</t>
  </si>
  <si>
    <t xml:space="preserve">20261624588 - Correção inbound e outbound no Benner </t>
  </si>
  <si>
    <t xml:space="preserve">Solicitamos a correção da regra de busca das informações no Benner, para que os serviços sejam vinculados corretamente ao navio correspondente, considerando o tipo de operação realizada. A regra deverá seguir os seguintes critérios: Exportação: considerar o navio de saída (Outbound Visit); Importação: considerar o navio de entrada (Inbound Visit); Transbordo: considerar o navio de saída (Outbound Visit). Exemplo identificado: Para o contêiner TCLU4944141, a expedição ocorreu em Salalah. Entretanto, o Benner está retornando a informação referente ao Inbound Visit (CMTUS), fazendo com que o sistema associe os serviços ao navio de entrada, em vez do navio efetivamente utilizado na saída. Nesse cenário, o correto é considerar o Outbound Visit, correspondente a Salalah, para que os serviços sejam vinculados ao navio correto. Dessa forma, solicitamos o ajuste da regra de integração._x000D_
[Image]_x000D_
 _x000D_
</t>
  </si>
  <si>
    <t xml:space="preserve">SM015 - Resultadofinal da solicitação de melhoria _x000D_
_x000D_
A solicitação foi APROVADA pelo gestor de TI, AmandusMuller, e entrará na fila de desenvolvimento de melhorias. A programação e oprazo de execução definidos podem ser diferentes do sugerido. _x000D_
Comentáriosde TI: De acordo. Favor anexar essa aprovação no chamado paraque o time de desenvolvimento possar trabalhar na solicitação. _x000D_
Datada decisão: 23/09/2026 09:48 _x000D_
Comentáriosdo gerente da área: necessario para entrega ctner em D0. _x000D_
_x000D_
Solicitação _x000D_
_x000D_
Nomedo solicitante:_x000D_
Antonia Laurice Dantas Bizerra _x000D_
E-maildo solicitante:_x000D_
Antonia.bizerra@jbsterminais.com.br _x000D_
Departamento:_x000D_
Faturamento _x000D_
Títuloda melhoria:_x000D_
Criação de Novo Parâmetro de Tempo de Exibição do QR Code para CarregamentosD+0 no Portal do Cliente _x000D_
Descriçãoda melhoria:_x000D_
Solicita-se a criação de um novo parâmetro na rotina de faturamento integradaao Portal do Cliente para controle do período de exibição do QR Code emoperações de carregamento D+0. Atualmente, o QR Code permanece disponívelconforme as regras gerais já existentes. Para os casos de carregamento programadospara ocorrer no mesmo dia (D+0), é necessário implementar uma regra específicapara que a exibição do QR Code seja encerrada 20 minutos antes do horárioprevisto para o carregamento. A partir desse momento, o QR Code não deverá maisficar disponível para utilização pelo cliente e o sistema deve gerar a demandade cancelamento do Faturamento. Regra de Negócio Para carregamentosclassificados como D+0, o sistema deverá calcular automaticamente o horáriolimite de exibição do QR Code, considerando uma antecedência fixa de 20 minutosem relação ao horário programado para o carregamento. Exemplo Data docarregamento: 21/09/2026 Horário do carregamento: 15:00 Resultado esperado: OQR Code permanecerá disponível para visualização e utilização até às 14:39:59.A partir das 14:40:00, o QR Code deverá deixar de ser exibido no Portal doCliente As 14:50:00, o portal deve gerar demanda de cancelamento para oERP/Benner Premissas A regra deverá ser aplicada exclusivamente aos QR Codesgerados para carregamentos D+0. Os demais parâmetros e regras atualmenteexistentes deverão permanecer inalterados para os demais cenários. _x000D_
Situaçãoatual / problema:_x000D_
Atualmente, o QR Code não é disponibilizado para agendamentos classificadoscomo D+0. Considerando que esse tipo de operação ocorre diariamente, énecessário implementar uma regra que permita a geração e disponibilização do QRCode também nesses casos. Para os agendamentos D+0, o QR Code deverá permanecerdisponível para consulta e utilização até 20 minutos antes do horárioprogramado para o carregamento, sendo automaticamente ocultado ou desabilitadoapós esse prazo. Dessa forma, o processo manterá a mesma experiênciaoperacional dos demais agendamentos, respeitando a antecedência mínimanecessária para a operação. _x000D_
Impactoatual:_x000D_
Sem essa disponibilidade, não será possível realizar o agendamento da retiradapara o mesmo dia. _x000D_
Objetivoe resultado esperado:_x000D_
Objetivo Disponibilizar o QR Code para agendamentos classificados como D+0 noPortal do Cliente, por meio da criação de uma regra específica que permita suageração e exibição nesses casos. _x000D_
Benefícioesperado:_x000D_
Eficiência operacional; Experiência do usuário _x000D_
Sistemas/ processos envolvidos:_x000D_
Portal do cliente / Automatização do processo de importação. _x000D_
Áreae usuários afetados:_x000D_
Faturamento, atendimento ao cliente e operações. _x000D_
Prazodesejado:_x000D_
28/09/2026 _x000D_
Justificativado prazo:_x000D_
Não será possível subir o card 1526( Ajuste na API para integrar Notas Fiscais)sem contemplar os agendamentos D+0. _x000D_
Alternativatemporária:_x000D_
Não existente _x000D_
Riscode não implementar:_x000D_
Não será possível realizar agendamentos D+0. _x000D_
Gerenteselecionado:_x000D_
Vilmo Serafim Junior_x000D_
_x000D_
Evidências _x000D_
_x000D_
 _x000D_
[Image]_x000D_
 _x000D_
</t>
  </si>
  <si>
    <t>20261507426 - Auditoria e Troca do DJONEI JOSE PEREIRA</t>
  </si>
  <si>
    <t xml:space="preserve">O usuário está realizando AGENDAMENTO indevido de importação, ANTECIPANDO carregamento, gerando transtornos internos. Segue evidências em anexo._x000D_
_x000D_
[Image]_x000D_
[Image]_x000D_
 _x000D_
</t>
  </si>
  <si>
    <t>20261306755 - EDI da Hapag com 2 ISOs diferentes</t>
  </si>
  <si>
    <t xml:space="preserve">Estamos tendo problemas referente ao envio de EDI da Hapag, sempre que o booking tem 2 ISOs diferentes._x000D_
_x000D_
 _x000D_
Encaminhei os detalhes tambem no email : RES: GS1 - DP 686010 - DL 2026-08-05 12:00:00_x000D_
_x000D_
[Image]_x000D_
[Image]_x000D_
 _x000D_
</t>
  </si>
  <si>
    <t xml:space="preserve">Em reunião de hoje 30/10/2025 entre setor de operações, atendimento, CO. Foram definidos medidas preventivas para problemas com crachá provisorio. _x000D_
Foram definidos que serão definidas datas de expiração para os crachás. Quando crachá estiver à 30 dias do seu vencimento, deve ser necessário disparar e-mail de notificação para a transportadora. _x000D_
_x000D_
 _x000D_
Qualquer dúvida realizar nova comunicação com o Bruno Duarte.  _x000D_
_x000D_
Verificar se o Senior/Eagle não faz o disparo desse e-mail antes de iniciar a demanda de desenvolvimento no Portal.  _x000D_
</t>
  </si>
  <si>
    <t>Migrar formulários de Solicitação de Descontos e Cotação de Carga para o menu Documentação no Portal</t>
  </si>
  <si>
    <t xml:space="preserve">Objetivo:Realizar a migração dos formulários de "Solicitação de Descontos" e "Solicitação de Cotação de Carga", que atualmente ficam no site institucional, trazendo-os para dentro do Portal. _x000D_
_x000D_
 *  _x000D_
Acessar a estrutura de navegação do Portal e localizar o menu Documentação. _x000D_
 _x000D_
 *  _x000D_
Criar dois novos submenus abaixo de Documentação: _x000D_
_x000D_
 *  _x000D_
Solicitação de Descontos _x000D_
 _x000D_
 *  _x000D_
Solicitação de Cotação de Carga _x000D_
 _x000D_
 _x000D_
_x000D_
 _x000D_
 *  _x000D_
Desenvolver para que o usuário consiga realizar o download dos respectivos documentos. _x000D_
 _x000D_
 *  _x000D_
Testar e validar se o download está funcionando corretamente em diferentes navegadores. _x000D_
 _x000D_
 _x000D_
_x000D_
Origem dos arquivos       _x000D_
Formulários – JBS Terminais_x000D_
 _x000D_
</t>
  </si>
  <si>
    <t xml:space="preserve">20261631043 - ERRO AO CRIAR SOLICITAÇÃO DE LIBERAÇÃO DOCUMENTAL - DUIMP </t>
  </si>
  <si>
    <t xml:space="preserve">FAVOR VERIFICAR POIS OS CLIENTES TEM APRESENTADO CASOS DE DUIMPS COM VÁRIOS ITENS DE CARGA QUE PODEM ESTA GERANDO TIME OUT OU MESMO O PORTAL, POIS EM CONSULTA VIA API LOGCOMEX OBTIVE O RETORNO RÁPIDO DAS INFORMAÇÕES MEDIANTE CHAVE DE ACESSO:https://api.logcomex.com.br/v2/get_duimp_consulta_publica?api_key=ac5bfa4ec949846972e3fe6778a7d54a&amp;numero_duimp=26BR00016862946&amp;chave_acesso=26Nas015028882&amp;formato_retorno=xml_duimp&amp;get_itens=1_x000D_
 _x000D_
</t>
  </si>
  <si>
    <t>Mover "Schedule do Navio" para a área pública (Pré-login)</t>
  </si>
  <si>
    <t>Atualização de Identidade Visual e Design (Padrão JBS Nacional)</t>
  </si>
  <si>
    <t>Ajustes MSC Invoic</t>
  </si>
  <si>
    <t xml:space="preserve">Card criado para realização dos ajustes visto como necessario para consulta da NFSe, incluindo assim:_x000D_
_x000D_
 *  Alçteração do SQL para trazer a data de realização _x000D_
 _x000D_
_x000D_
[Image]_x000D_
_x000D_
 *  Permissão de consultar nota mesmo com o código/descrição NULL._x000D_
_x000D_
Após a minha alteração no SQL, deve-se ser modivifado no Json. _x000D_
 _x000D_
_x000D_
</t>
  </si>
  <si>
    <t xml:space="preserve">Realizar a adequação visual do Portal (front-end) para alinhar sua aparência com a identidade do site nacional da JBS (.br). A alteração abrangerá troca de cores, tipografia (fontes) e elementos gráficos (como imagens e ícones em PNG/SVG). _x000D_
Dependências / Impedimentos: _x000D_
_x000D_
 *  _x000D_
Aguardando o envio do Mockup de telas que será elaborado e repassado pelo Bruno Barradas. _x000D_
 _x000D_
 _x000D_
_x000D_
Critérios de Aceite: _x000D_
_x000D_
 *  _x000D_
Realizar alinhamento com o Bruno Barradas para recebimento e entendimento do Mockup. _x000D_
 _x000D_
 *  _x000D_
Atualizar a paleta de cores (CSS/Tema) do Portal para refletir o padrão do site nacional da JBS. _x000D_
 _x000D_
 *  _x000D_
Atualizar a tipografia (fontes) e estilos de texto conforme especificado no design. _x000D_
 _x000D_
 *  _x000D_
Substituir os ativos visuais (imagens PNG, ícones, logotipos, etc.) que estejam fora do padrão pelos novos elementos do mockup. _x000D_
 _x000D_
 *  _x000D_
Garantir que a nova folha de estilos (design) não quebre a usabilidade ou o funcionamento das telas atuais. _x000D_
 _x000D_
 *  _x000D_
Validar a aplicação do design em diferentes resoluções (responsividade). _x000D_
 _x000D_
 _x000D_
_x000D_
Referências: _x000D_
_x000D_
 *  _x000D_
Inspiração/Identidade Visual alvo: _x000D_
 _x000D_
 *  _x000D_
Link para o Mockup (Figma/Adobe XD/Imagens): (Inserir o link aqui assim que o Bruno Barradas disponibilizar) _x000D_
 _x000D_
 _x000D_
_x000D_
_x000D_
 _x000D_
</t>
  </si>
  <si>
    <t>20261605750 - Divergencia de cáculo</t>
  </si>
  <si>
    <t>Felipe Santana Santos</t>
  </si>
  <si>
    <t>VSTS_d6760eb0_ea3a_4c33_85d6_f85b26745a24_F3-E1-7C-1C-F4-47-F5-05-BF-F3-8C-5A-F9-5D-35-9D-51-43-9D-2D-62-83-D3-03-EF-58-46-9C-AD-C7-B7-09</t>
  </si>
  <si>
    <t>VSTS_d6760eb0_ea3a_4c33_85d6_f85b26745a24_8D-85-F1-E5-BE-1E-E5-D6-85-64-81-F6-FC-73-52-5D-BD-4C-91-97-42-22-E9-00-08-D2-EC-80-D0-E1-D0-9A</t>
  </si>
  <si>
    <t xml:space="preserve">20261318973  _x000D_
_x000D_
Login 	wesleysantos-soy_x000D_
Tipo de usuário 	COLABORADOR_x000D_
 _x000D_
Nome Completo 	Wesley Moreira Santos_x000D_
 _x000D_
Email do Solicitante 	wesley.santos@jbsterminais.com.br_x000D_
 _x000D_
CPF 	08335287937_x000D_
 _x000D_
Função 	Analista Customer Service Pl_x000D_
 _x000D_
Departamento 	Operações Portuárias - Customer Service_x000D_
 _x000D_
Nome Empresa 	SEARA OPERACOES PORTUARIAS LTDA_x000D_
 _x000D_
Ramal 	2006_x000D_
 _x000D_
Telefone 	_x000D_
 _x000D_
Celular para contato 	_x000D_
 _x000D_
Possui canal de voz? 	Não_x000D_
 _x000D_
Deseja acesso remoto? 	Não_x000D_
 _x000D_
_x000D_
Descrição _x000D_
_x000D_
Bom dia,_x000D_
 _x000D_
Precisamos ajustar a visibilidade de janelas dentro do portal, para agendamentos de exportação._x000D_
 _x000D_
Criar uma regra, no qual o usuário externo só consiga agendar com no máximo até duas janelas antes do DeadLine de Carga. _x000D_
Por exemplo:_x000D_
 _x000D_
Deadline do navio está para hoje as 12:00._x000D_
 _x000D_
Cliente só consegue enxergar e agendar, grades para as 10:00 ou antes._x000D_
 _x000D_
 _x000D_
_x000D_
 _x000D_
</t>
  </si>
  <si>
    <t>Ajustes do INVOIC MSC</t>
  </si>
  <si>
    <t xml:space="preserve">Retorno dos arquivos encaminhados_x000D_
Realizamos os testes com os arquivos EDI INVOIC enviados. Apenas a nota fiscal 11092 foi processada corretamente e está disponível para validação pela nossa equipe financeira. _x000D_
_x000D_
 _x000D_
As notas fiscais 11068 e 11114 apresentaram divergências. Em ambos os casos, a inconsistência identificada possui a mesma causa. _x000D_
_x000D_
 _x000D_
Seguem abaixo nossos comentários: _x000D_
_x000D_
 _x000D_
Nos segmentos CTP, são utilizados dois qualificadores, cada um com uma finalidade e funcionalidade específicas. _x000D_
_x000D_
 *  _x000D_
CTP**UCP: deve ser informado o valor unitário da cobrança, devidamente referenciado como valor unitário. _x000D_
 _x000D_
 *  _x000D_
CTP**NET: o valor unitário deve ser mantido; contudo, devem ser informados também a quantidade e o valor total correspondente, resultante da multiplicação do valor unitário pela quantidade. _x000D_
 _x000D_
 _x000D_
_x000D_
Pelo que identificamos, as divergências observadas nas notas fiscais 11068 e 11114 estão relacionadas ao preenchimento desses segmentos. _x000D_
_x000D_
 _x000D_
Como foi recebido: _x000D_
_x000D_
 _x000D_
CTP**UCP*114.00*59****6726.00 _x000D_
CTP**NET*114.00*59****6726.00 _x000D_
_x000D_
 _x000D_
Como deve ser enviado: _x000D_
_x000D_
 _x000D_
CTP**UCP*114.00*1****114.00_x000D_
CTP**NET*114.00*59****6726.00 _x000D_
_x000D_
 _x000D_
</t>
  </si>
  <si>
    <t>MIGRATION</t>
  </si>
  <si>
    <t xml:space="preserve">Integração SPI </t>
  </si>
  <si>
    <t xml:space="preserve">Durante a atuação no card 2205 - 20261598857 - CNH com MOPP, o solicitante Wesley identificou uma dependência relacionada à integração com o SPI. _x000D_
Em análise realizada juntamente com o desenvolvedor Hiago, foi constatada a necessidade de implementar um bypass para contornar essa dependência. Conforme alinhamento com Amandus, este card está sendo criado com o objetivo de solucionar a questão relacionada ao cadastro de motoristas e realizar uma avaliação rápida dos demais processos, a fim de identificar possíveis impactos ou dependências adicionais da integração com o SPI. _x000D_
Dessa forma, busca-se garantir a continuidade do processo e mitigar eventuais impactos causados pela indisponibilidade dessa integração. _x000D_
 _x000D_
_x000D_
_x000D_
[Image]_x000D_
 _x000D_
</t>
  </si>
  <si>
    <t>VSTS_d6760eb0_ea3a_4c33_85d6_f85b26745a24_41-0D-30-12-E3-06-AD-E1-2B-A7-BA-FD-1D-99-A9-B8-97-C5-B8-D9-DE-AD-63-F3-87-AD-F9-0A-24-D0-C9-1D</t>
  </si>
  <si>
    <t>VSTS_d6760eb0_ea3a_4c33_85d6_f85b26745a24_67-52-E6-F6-91-7A-5B-56-17-75-CB-17-10-69-E4-77-6F-F6-AA-59-F6-C7-25-DF-24-C4-24-DC-38-E9-5C-2B</t>
  </si>
  <si>
    <t>BENNER; Impeditivo; MIGRATION; PORTAL; SOLICITANTE: EDINALDO</t>
  </si>
  <si>
    <t>Impeditivo; PORTAL</t>
  </si>
  <si>
    <t>ECN4 WEB; Impeditivo</t>
  </si>
  <si>
    <t xml:space="preserve">20261664133 - Envio de CODECO para outro armador  </t>
  </si>
  <si>
    <t xml:space="preserve">Chamado para parametrizar bloqueio no agendamento, não permitir que contêineres do armador X sejam agendados com bookings do armador Y. Impacto atual mapeado pelo TI, envio indevido do CODECO e ausência de envio ao armador correto. Impacto mapeado pela equipe de Processos Aduaneiros - Exportação, Carga alocada para quadra do navio incorreto, remoções indevidas e atraso operacional quando não regularizado a tempo._x000D_
 _x000D_
</t>
  </si>
  <si>
    <t>VSTS_d6760eb0_ea3a_4c33_85d6_f85b26745a24_7D-73-C7-15-1F-59-AA-75-0E-B1-2C-BE-BD-01-95-76-EA-E7-51-42-B2-00-9E-AF-2D-43-09-A2-49-57-B2-0A</t>
  </si>
  <si>
    <t>VSTS_d6760eb0_ea3a_4c33_85d6_f85b26745a24_C4-76-4A-3A-73-EC-20-38-17-E7-C7-17-C3-A0-1F-AA-0E-41-C6-11-D6-BA-CC-9F-AD-26-43-C5-EA-92-3D-17</t>
  </si>
  <si>
    <t>VSTS_d6760eb0_ea3a_4c33_85d6_f85b26745a24_DF-CC-7F-71-AE-BA-44-9C-64-8D-B1-39-79-DF-64-DF-1F-25-9F-6A-4A-51-43-B8-19-2A-17-C5-BB-09-B8-49</t>
  </si>
  <si>
    <t>VSTS_d6760eb0_ea3a_4c33_85d6_f85b26745a24_95-38-2D-AB-CC-82-53-48-B6-70-A9-F7-7F-64-D5-61-95-D9-86-96-2C-B1-65-F1-48-AC-78-1A-12-2C-D1-A1</t>
  </si>
  <si>
    <t>INCIDENTE</t>
  </si>
  <si>
    <t>CONTROLE; SOLICITANTE: JOSIAS; TI</t>
  </si>
  <si>
    <t>RFB API Recintos Carga geral - inspecao-nao-invasiva</t>
  </si>
  <si>
    <t>RFB API Recintos Carga geral - conferencia-fisica</t>
  </si>
  <si>
    <t xml:space="preserve">Conforme alinhado com o Wanderson, transferir a funcionalidade de "Schedule do Navio", que atualmente fica na área logada (dentro do submenu Relatórios), para a área pública do Portal (antes do login). O novo acesso deve ficar no topo da página, como um hiperlink, junto ao link de "Solicitação de Serviço". _x000D_
Critérios de Aceite: _x000D_
_x000D_
 *  _x000D_
Remover a opção "Schedule do Navio" do submenu Relatórios na área logada do Portal. _x000D_
 _x000D_
 *  _x000D_
Criar um hiperlink para "Schedule do Navio" no cabeçalho (topo) da página pública do Portal, ao lado de "Solicitação de Serviço". _x000D_
 _x000D_
 *  _x000D_
Garantir que a nova tela seja acessível publicamente, sem a necessidade de autenticação (login). _x000D_
 _x000D_
 *  _x000D_
A princípio, a interface da tela será uma cópia da atual, mas a lógica de busca das informações será alterada. _x000D_
 _x000D_
 *  _x000D_
Implementar a nova regra de busca de dados (detalhada abaixo). _x000D_
 _x000D_
 _x000D_
_x000D_
Regras de Negócio e Busca das Informações: _x000D_
_x000D_
 *  Alinhado em reunião em conjunto com Wanderson, Felipe e Danton. _x000D_
 *  ETA: Pegar ETA da Vessel Visit Details _x000D_
 *  ETD: Pegar ETD da Vessel Visit Details _x000D_
 *  ETB: 2H Após o ETA _x000D_
 *  DEADLINE DTC:_x000D_
	* Portaria receita exige que seja em dias uteis (SEG-SEX)._x000D_
 _x000D_
	* 24 antes do ETA._x000D_
 _x000D_
	* Horário Limite 17:00._x000D_
 _x000D_
	* Se ETA for em final de semana, Limite máximo é sexta-feira 17:00 (Exceto feriados)._x000D_
 _x000D_
	* Se for Feriado considerar dia anterior 17:00. _x000D_
 _x000D_
 *  _x000D_
SERÁ NECESSÁRIO DESENVOLVER UMA TELA PARA CADASTRO DE FERIADOS, DEVIDO A REGRA DO Deadline DTC. _x000D_
 _x000D_
 _x000D_
_x000D_
 _x000D_
</t>
  </si>
  <si>
    <t>20261688457 - RTF - Revisão de regra do Faturamento - Portal</t>
  </si>
  <si>
    <t>MIGRATION; PORTAL</t>
  </si>
  <si>
    <t xml:space="preserve">N4 Recepcao_CCT - Criar fluxo para envio Export BBK </t>
  </si>
  <si>
    <t xml:space="preserve">Pendente abertura chamado Bruno Duarte._x000D_
_x000D_
Card foi criado para manter a demanda no radar. será necessárioa análise e customização do groovy job RecepcaoCCTJob para envio de Recepcao de unidades com freight king BBK. _x000D_
</t>
  </si>
  <si>
    <t>Impeditivo; SISTEMA: PORTAL; SOLICITANTE: AMANDUS; TIPO:MELHORIA</t>
  </si>
  <si>
    <t>VSTS_d6760eb0_ea3a_4c33_85d6_f85b26745a24_DC-C4-2E-4E-2E-CB-CD-DA-56-9D-F9-4A-82-9B-25-94-DE-DD-AF-A3-72-40-BC-A4-50-25-32-6D-68-3A-D5-B2</t>
  </si>
  <si>
    <t>20261717088 - Melhoria regra LeituraSiscarga</t>
  </si>
  <si>
    <t xml:space="preserve"> _x000D_
_x000D_
Solicitação _x000D_
_x000D_
 *  Login brunoduarte-soy _x000D_
 *  Tipo de usuário COLABORADOR _x000D_
 *  Nome Completo Bruno Duarte _x000D_
 *  Email do Solicitante bruno.duarte1@jbsterminais.com.br _x000D_
 *  CPF 07022339945 _x000D_
 *  Função Coordenador de Estratégia e Desempenho Operacional _x000D_
 *  Departamento Dp - Operações Portuárias - Desempenho OperacionalNome Empresa SEARA OPERACOES PORTUARIAS LTDA _x000D_
 *  Ramal 5437 _x000D_
 _x000D_
_x000D_
Descrição _x000D_
_x000D_
Precisamos fazer um ajuste na leitura do SISCARGA para os casos de exportação e transbordo, na rotina atual, o sistema está atualizando o lacre do cntr no N4 conforme a informação do SISCOMEX, porém, este fluxo não deve ser mantido pois a informação no SISCOMEX não garante que o lacre esteja de fato atualizado fisicamente. Com isto, temos 2 problemas graves que podem ocorrer no processo. _x000D_
1 - Cliente atualizar o lacre no SISCOMEX mas não entregar o lacre fisico no terminal, quando o lacre é atualizado pelo SISCOMEX o sistema entende que a situação do lacre estã resolvida e remove os holds da unidade, correndo o risco de embarcarmos a unidade sem o lacre aplicado. _x000D_
2 - Cliente informar um lacre no SISCOMEX e trazer outro lacre fisico, com o sistema atualziando automaticamente pela leitura do SISCOMEX, teriamos uma divergencia entre o lacre fisico e o lacre do sistema. _x000D_
_x000D_
 _x000D_
</t>
  </si>
  <si>
    <t>20261724296 -  falha na rotina responsável pela consulta das liberações de DU-E</t>
  </si>
  <si>
    <t xml:space="preserve">_x000D_
Bom dia, prezados!Identificamos uma possível falha na rotina responsável pela consulta das liberações de DU-E e consequente desbloqueio do HOLD em sistema.Estamos com casos em que a DU-E já consta como desembaraçada no Portal Único Siscomex, inclusive desde as 09h, porém a rotina não reconheceu a liberação e o respectivo HOLD permanece ativo no sistema.Solicitamos, por gentileza, a verificação da rotina, pois a falha foi identificada em unidades vinculadas a um navio cujo deadline de fechamento está previsto para hoje, podendo ocasionar impacto no embarque de cargas que já se encontram devidamente desembaraçadas.Unidades (exemplo):MSNU1788237MSBU2888676HPCU2340751MSNU1448880_x000D_
 _x000D_
 _x000D_
_x000D_
</t>
  </si>
  <si>
    <t>RFB - acesso-veiculos-appt --&gt; listaSemirreboque[].listaPortoDescarregamento | listaConteineresUldAppt[].listaPortoDescarregamento [POD] - A_592392</t>
  </si>
  <si>
    <t xml:space="preserve">Fallback _x000D_
_x000D_
Incluir `RoutingPointDestRFB` table, para consideração paliativa de extração do POD _x000D_
private static List&lt;Map&gt; montarListaSemirreboquesAppt(Long gateAppointmentGkey) {_x000D_
..._x000D_
    listaPortoDescarregamento: getPortosDescarregamentoAppt(semirreboque.GapptGkey, semirreboque.GapptTransType),_x000D_
..._x000D_
}_x000D_
_x000D_
private static List&lt;Map&lt;String, Object&gt;&gt; montarListaConteineresUldAppt(Long gapptGkey) {_x000D_
..._x000D_
   String portoDescarregamento = ..._x000D_
..._x000D_
</t>
  </si>
  <si>
    <r>
      <t xml:space="preserve">Project: </t>
    </r>
    <r>
      <rPr>
        <sz val="11"/>
        <color theme="1"/>
        <rFont val="Calibri"/>
        <family val="2"/>
        <scheme val="minor"/>
      </rPr>
      <t xml:space="preserve">JBSPortal   </t>
    </r>
    <r>
      <rPr>
        <b/>
        <sz val="11"/>
        <color theme="1"/>
        <rFont val="Calibri"/>
        <family val="2"/>
        <scheme val="minor"/>
      </rPr>
      <t xml:space="preserve"> Server:</t>
    </r>
    <r>
      <rPr>
        <sz val="11"/>
        <color theme="1"/>
        <rFont val="Calibri"/>
        <family val="2"/>
        <scheme val="minor"/>
      </rPr>
      <t xml:space="preserve"> https://tfs.jbs.com.br/tfs/jbsterminais   </t>
    </r>
    <r>
      <rPr>
        <b/>
        <sz val="11"/>
        <color theme="1"/>
        <rFont val="Calibri"/>
        <family val="2"/>
        <scheme val="minor"/>
      </rPr>
      <t xml:space="preserve"> Query:</t>
    </r>
    <r>
      <rPr>
        <sz val="11"/>
        <color theme="1"/>
        <rFont val="Calibri"/>
        <family val="2"/>
        <scheme val="minor"/>
      </rPr>
      <t xml:space="preserve"> All Pendent   </t>
    </r>
    <r>
      <rPr>
        <b/>
        <sz val="11"/>
        <color theme="1"/>
        <rFont val="Calibri"/>
        <family val="2"/>
        <scheme val="minor"/>
      </rPr>
      <t xml:space="preserve"> List type:</t>
    </r>
    <r>
      <rPr>
        <sz val="11"/>
        <color theme="1"/>
        <rFont val="Calibri"/>
        <family val="2"/>
        <scheme val="minor"/>
      </rPr>
      <t xml:space="preserve"> Flat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</si>
</sst>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9" x14ac:knownFonts="1">
    <font>
      <sz val="11"/>
      <color theme="1"/>
      <name val="Calibri"/>
      <family val="2"/>
      <scheme val="minor"/>
    </font>
    <font>
      <b/>
      <sz val="11"/>
      <color theme="1"/>
      <name val="Calibri"/>
      <family val="2"/>
      <scheme val="minor"/>
    </font>
    <font>
      <sz val="20"/>
      <color theme="1"/>
      <name val="Aharoni"/>
      <charset val="177"/>
    </font>
    <font>
      <sz val="20"/>
      <color theme="1"/>
      <name val="JBS Display ExtraBold"/>
      <family val="2"/>
    </font>
    <font>
      <b/>
      <sz val="11"/>
      <color theme="0"/>
      <name val="JBS Display"/>
      <family val="2"/>
    </font>
    <font>
      <sz val="11"/>
      <color rgb="FF91D700"/>
      <name val="Calibri"/>
      <family val="2"/>
      <scheme val="minor"/>
    </font>
    <font>
      <b/>
      <sz val="11"/>
      <color rgb="FF91D700"/>
      <name val="Calibri"/>
      <family val="2"/>
      <scheme val="minor"/>
    </font>
    <font>
      <b/>
      <sz val="9"/>
      <color indexed="81"/>
      <name val="Segoe UI"/>
      <family val="2"/>
    </font>
    <font>
      <sz val="11"/>
      <color theme="1"/>
      <name val="Calibri"/>
      <family val="2"/>
      <scheme val="minor"/>
    </font>
  </fonts>
  <fills count="7">
    <fill>
      <patternFill patternType="none"/>
    </fill>
    <fill>
      <patternFill patternType="gray125"/>
    </fill>
    <fill>
      <patternFill patternType="solid">
        <fgColor indexed="44"/>
        <bgColor indexed="64"/>
      </patternFill>
    </fill>
    <fill>
      <patternFill patternType="solid">
        <fgColor theme="3" tint="0.89999084444715716"/>
        <bgColor indexed="64"/>
      </patternFill>
    </fill>
    <fill>
      <patternFill patternType="solid">
        <fgColor rgb="FF4472C5"/>
        <bgColor indexed="64"/>
      </patternFill>
    </fill>
    <fill>
      <patternFill patternType="solid">
        <fgColor rgb="FF232378"/>
        <bgColor indexed="64"/>
      </patternFill>
    </fill>
    <fill>
      <patternFill patternType="solid">
        <fgColor theme="0" tint="-0.14999847407452621"/>
        <bgColor theme="0" tint="-0.14999847407452621"/>
      </patternFill>
    </fill>
  </fills>
  <borders count="16">
    <border>
      <left/>
      <right/>
      <top/>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auto="1"/>
      </right>
      <top/>
      <bottom/>
      <diagonal/>
    </border>
    <border>
      <left/>
      <right/>
      <top style="medium">
        <color theme="1"/>
      </top>
      <bottom style="medium">
        <color theme="1"/>
      </bottom>
      <diagonal/>
    </border>
    <border>
      <left/>
      <right/>
      <top/>
      <bottom style="medium">
        <color theme="1"/>
      </bottom>
      <diagonal/>
    </border>
  </borders>
  <cellStyleXfs count="1">
    <xf numFmtId="0" fontId="0" fillId="0" borderId="0"/>
  </cellStyleXfs>
  <cellXfs count="140">
    <xf numFmtId="0" fontId="0" fillId="0" borderId="0" xfId="0"/>
    <xf numFmtId="49" fontId="0" fillId="0" borderId="0" xfId="0" applyNumberFormat="1"/>
    <xf numFmtId="1" fontId="0" fillId="0" borderId="0" xfId="0" applyNumberFormat="1"/>
    <xf numFmtId="22" fontId="0" fillId="0" borderId="0" xfId="0" applyNumberFormat="1"/>
    <xf numFmtId="0" fontId="0" fillId="0" borderId="0" xfId="0" applyNumberFormat="1"/>
    <xf numFmtId="0" fontId="1" fillId="2" borderId="0" xfId="0" applyFont="1" applyFill="1" applyAlignment="1">
      <alignment vertical="center"/>
    </xf>
    <xf numFmtId="0" fontId="0" fillId="2" borderId="0" xfId="0" applyFill="1"/>
    <xf numFmtId="0" fontId="0" fillId="0" borderId="0" xfId="0" applyNumberFormat="1" applyAlignment="1">
      <alignment wrapText="1"/>
    </xf>
    <xf numFmtId="49" fontId="0" fillId="0" borderId="0" xfId="0" applyNumberFormat="1" applyAlignment="1">
      <alignment wrapText="1"/>
    </xf>
    <xf numFmtId="0" fontId="0" fillId="0" borderId="0" xfId="0" applyFill="1"/>
    <xf numFmtId="0" fontId="0" fillId="0" borderId="3" xfId="0" applyBorder="1"/>
    <xf numFmtId="0" fontId="0" fillId="0" borderId="4" xfId="0" applyBorder="1" applyAlignment="1">
      <alignment wrapText="1"/>
    </xf>
    <xf numFmtId="0" fontId="0" fillId="0" borderId="5" xfId="0" applyBorder="1"/>
    <xf numFmtId="0" fontId="0" fillId="0" borderId="6" xfId="0" applyBorder="1" applyAlignment="1">
      <alignment wrapText="1"/>
    </xf>
    <xf numFmtId="0" fontId="0" fillId="0" borderId="7" xfId="0" applyBorder="1"/>
    <xf numFmtId="0" fontId="0" fillId="0" borderId="8" xfId="0" applyBorder="1" applyAlignment="1">
      <alignment wrapText="1"/>
    </xf>
    <xf numFmtId="22" fontId="0" fillId="0" borderId="0" xfId="0" applyNumberFormat="1"/>
    <xf numFmtId="22" fontId="0" fillId="0" borderId="0" xfId="0" applyNumberFormat="1"/>
    <xf numFmtId="0" fontId="1" fillId="0" borderId="0" xfId="0" applyFont="1" applyFill="1" applyAlignment="1">
      <alignment vertical="center"/>
    </xf>
    <xf numFmtId="0" fontId="3" fillId="0" borderId="0" xfId="0" applyFont="1" applyAlignment="1"/>
    <xf numFmtId="0" fontId="4" fillId="4" borderId="11" xfId="0" applyFont="1" applyFill="1" applyBorder="1"/>
    <xf numFmtId="0" fontId="0" fillId="0" borderId="11" xfId="0" applyBorder="1"/>
    <xf numFmtId="0" fontId="0" fillId="0" borderId="11" xfId="0" applyBorder="1" applyAlignment="1">
      <alignment horizontal="left"/>
    </xf>
    <xf numFmtId="0" fontId="0" fillId="0" borderId="13" xfId="0" applyFill="1" applyBorder="1"/>
    <xf numFmtId="0" fontId="3" fillId="0" borderId="0" xfId="0" applyFont="1" applyBorder="1" applyAlignment="1">
      <alignment horizontal="center"/>
    </xf>
    <xf numFmtId="0" fontId="4" fillId="4" borderId="0" xfId="0" applyFont="1" applyFill="1" applyBorder="1"/>
    <xf numFmtId="0" fontId="0" fillId="0" borderId="0" xfId="0" applyBorder="1"/>
    <xf numFmtId="22" fontId="0" fillId="0" borderId="0" xfId="0" applyNumberFormat="1"/>
    <xf numFmtId="0" fontId="0" fillId="0" borderId="0" xfId="0" applyAlignment="1">
      <alignment horizontal="left" indent="1"/>
    </xf>
    <xf numFmtId="0" fontId="2" fillId="0" borderId="0" xfId="0" applyFont="1" applyAlignment="1">
      <alignment horizontal="left" indent="1"/>
    </xf>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49" fontId="0" fillId="0" borderId="0" xfId="0" applyNumberFormat="1" applyFill="1"/>
    <xf numFmtId="22" fontId="0" fillId="0" borderId="0" xfId="0" applyNumberFormat="1"/>
    <xf numFmtId="0" fontId="0" fillId="2" borderId="0" xfId="0" applyFill="1" applyAlignment="1">
      <alignment horizontal="center"/>
    </xf>
    <xf numFmtId="1" fontId="0" fillId="0" borderId="0" xfId="0" applyNumberFormat="1" applyAlignment="1">
      <alignment horizontal="center"/>
    </xf>
    <xf numFmtId="0" fontId="0" fillId="0" borderId="0" xfId="0" applyAlignment="1">
      <alignment horizontal="center"/>
    </xf>
    <xf numFmtId="49" fontId="5" fillId="5" borderId="0" xfId="0" applyNumberFormat="1" applyFont="1" applyFill="1"/>
    <xf numFmtId="0" fontId="0" fillId="0" borderId="0" xfId="0" applyAlignment="1">
      <alignment horizontal="center" vertical="center"/>
    </xf>
    <xf numFmtId="22" fontId="0" fillId="0" borderId="0" xfId="0" applyNumberFormat="1" applyFont="1" applyFill="1"/>
    <xf numFmtId="0" fontId="0" fillId="0" borderId="0" xfId="0" applyFill="1" applyAlignment="1">
      <alignment horizontal="center" vertical="center"/>
    </xf>
    <xf numFmtId="49" fontId="0" fillId="0" borderId="0" xfId="0" applyNumberFormat="1" applyFont="1" applyFill="1"/>
    <xf numFmtId="0" fontId="0" fillId="0" borderId="0" xfId="0" applyAlignment="1">
      <alignment vertical="center"/>
    </xf>
    <xf numFmtId="0" fontId="0" fillId="0" borderId="0" xfId="0" applyFill="1" applyAlignment="1">
      <alignment vertical="center"/>
    </xf>
    <xf numFmtId="49" fontId="0" fillId="0" borderId="0" xfId="0" applyNumberFormat="1" applyAlignment="1">
      <alignment vertical="center"/>
    </xf>
    <xf numFmtId="0" fontId="0" fillId="0" borderId="0" xfId="0" applyAlignment="1">
      <alignment horizontal="left" vertical="center"/>
    </xf>
    <xf numFmtId="0" fontId="0" fillId="0" borderId="0" xfId="0" applyFill="1" applyAlignment="1">
      <alignment horizontal="center"/>
    </xf>
    <xf numFmtId="0" fontId="0" fillId="2" borderId="0" xfId="0" applyFill="1" applyAlignment="1">
      <alignment horizontal="left"/>
    </xf>
    <xf numFmtId="49" fontId="5" fillId="5" borderId="0" xfId="0" applyNumberFormat="1" applyFont="1" applyFill="1" applyAlignment="1">
      <alignment horizontal="left"/>
    </xf>
    <xf numFmtId="49" fontId="0" fillId="0" borderId="0" xfId="0" applyNumberFormat="1" applyAlignment="1">
      <alignment horizontal="left"/>
    </xf>
    <xf numFmtId="0" fontId="0" fillId="0" borderId="0" xfId="0" applyAlignment="1">
      <alignment horizontal="left"/>
    </xf>
    <xf numFmtId="49" fontId="6" fillId="5" borderId="14" xfId="0" applyNumberFormat="1" applyFont="1" applyFill="1" applyBorder="1" applyAlignment="1">
      <alignment horizontal="left" vertical="center"/>
    </xf>
    <xf numFmtId="49" fontId="0" fillId="0" borderId="0" xfId="0" applyNumberFormat="1" applyFont="1" applyFill="1" applyAlignment="1">
      <alignment vertical="center"/>
    </xf>
    <xf numFmtId="22" fontId="0" fillId="0" borderId="0" xfId="0" applyNumberFormat="1" applyFont="1" applyFill="1" applyAlignment="1">
      <alignment vertical="center"/>
    </xf>
    <xf numFmtId="49" fontId="0" fillId="0" borderId="0" xfId="0" applyNumberFormat="1" applyFill="1" applyAlignment="1">
      <alignment vertical="center"/>
    </xf>
    <xf numFmtId="49" fontId="6" fillId="5" borderId="14" xfId="0" applyNumberFormat="1" applyFont="1" applyFill="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wrapText="1"/>
    </xf>
    <xf numFmtId="0" fontId="0" fillId="0" borderId="0" xfId="0" applyFill="1" applyAlignment="1">
      <alignment horizontal="left" vertical="center" wrapText="1"/>
    </xf>
    <xf numFmtId="0" fontId="0" fillId="0" borderId="0" xfId="0" applyFill="1" applyAlignment="1">
      <alignment horizontal="left" vertical="center"/>
    </xf>
    <xf numFmtId="0" fontId="0" fillId="0" borderId="0" xfId="0" applyFill="1" applyAlignment="1">
      <alignment horizontal="left" wrapText="1"/>
    </xf>
    <xf numFmtId="0" fontId="0" fillId="0" borderId="0" xfId="0" applyFill="1" applyAlignment="1">
      <alignment horizontal="left"/>
    </xf>
    <xf numFmtId="1" fontId="0" fillId="0" borderId="0" xfId="0" applyNumberFormat="1" applyAlignment="1">
      <alignment horizontal="center" wrapText="1"/>
    </xf>
    <xf numFmtId="49" fontId="6" fillId="5" borderId="14" xfId="0" applyNumberFormat="1" applyFont="1" applyFill="1" applyBorder="1"/>
    <xf numFmtId="49" fontId="6" fillId="5" borderId="14" xfId="0" applyNumberFormat="1" applyFont="1" applyFill="1" applyBorder="1" applyAlignment="1">
      <alignment horizontal="left"/>
    </xf>
    <xf numFmtId="1" fontId="0" fillId="6" borderId="0" xfId="0" applyNumberFormat="1" applyFont="1" applyFill="1"/>
    <xf numFmtId="49" fontId="0" fillId="6" borderId="0" xfId="0" applyNumberFormat="1" applyFont="1" applyFill="1"/>
    <xf numFmtId="1" fontId="0" fillId="6" borderId="0" xfId="0" applyNumberFormat="1" applyFont="1" applyFill="1" applyAlignment="1">
      <alignment horizontal="center"/>
    </xf>
    <xf numFmtId="49" fontId="0" fillId="6" borderId="0" xfId="0" applyNumberFormat="1" applyFont="1" applyFill="1" applyAlignment="1">
      <alignment horizontal="left"/>
    </xf>
    <xf numFmtId="0" fontId="0" fillId="6" borderId="0" xfId="0" applyNumberFormat="1" applyFont="1" applyFill="1" applyAlignment="1">
      <alignment wrapText="1"/>
    </xf>
    <xf numFmtId="22" fontId="0" fillId="6" borderId="0" xfId="0" applyNumberFormat="1" applyFont="1" applyFill="1"/>
    <xf numFmtId="0" fontId="0" fillId="6" borderId="0" xfId="0" applyNumberFormat="1" applyFont="1" applyFill="1"/>
    <xf numFmtId="1" fontId="0" fillId="0" borderId="0" xfId="0" applyNumberFormat="1" applyFont="1"/>
    <xf numFmtId="49" fontId="0" fillId="0" borderId="0" xfId="0" applyNumberFormat="1" applyFont="1"/>
    <xf numFmtId="1" fontId="0" fillId="0" borderId="0" xfId="0" applyNumberFormat="1" applyFont="1" applyAlignment="1">
      <alignment horizontal="center"/>
    </xf>
    <xf numFmtId="49" fontId="0" fillId="0" borderId="0" xfId="0" applyNumberFormat="1" applyFont="1" applyAlignment="1">
      <alignment horizontal="left"/>
    </xf>
    <xf numFmtId="0" fontId="0" fillId="0" borderId="0" xfId="0" applyNumberFormat="1" applyFont="1"/>
    <xf numFmtId="22" fontId="0" fillId="0" borderId="0" xfId="0" applyNumberFormat="1" applyFont="1"/>
    <xf numFmtId="0" fontId="0" fillId="0" borderId="0" xfId="0" applyNumberFormat="1" applyFont="1" applyAlignment="1">
      <alignment wrapText="1"/>
    </xf>
    <xf numFmtId="49" fontId="0" fillId="6" borderId="0" xfId="0" applyNumberFormat="1" applyFont="1" applyFill="1" applyAlignment="1">
      <alignment wrapText="1"/>
    </xf>
    <xf numFmtId="49" fontId="0" fillId="0" borderId="0" xfId="0" applyNumberFormat="1" applyFont="1" applyAlignment="1">
      <alignment wrapText="1"/>
    </xf>
    <xf numFmtId="1" fontId="0" fillId="6" borderId="0" xfId="0" applyNumberFormat="1" applyFont="1" applyFill="1" applyAlignment="1">
      <alignment horizontal="center" wrapText="1"/>
    </xf>
    <xf numFmtId="1" fontId="0" fillId="0" borderId="0" xfId="0" applyNumberFormat="1" applyFont="1" applyAlignment="1">
      <alignment horizontal="center" wrapText="1"/>
    </xf>
    <xf numFmtId="1" fontId="0" fillId="0" borderId="15" xfId="0" applyNumberFormat="1" applyFont="1" applyBorder="1"/>
    <xf numFmtId="49" fontId="0" fillId="0" borderId="15" xfId="0" applyNumberFormat="1" applyFont="1" applyBorder="1"/>
    <xf numFmtId="1" fontId="0" fillId="0" borderId="15" xfId="0" applyNumberFormat="1" applyFont="1" applyBorder="1" applyAlignment="1">
      <alignment horizontal="center"/>
    </xf>
    <xf numFmtId="49" fontId="0" fillId="0" borderId="15" xfId="0" applyNumberFormat="1" applyFont="1" applyBorder="1" applyAlignment="1">
      <alignment horizontal="left"/>
    </xf>
    <xf numFmtId="1" fontId="0" fillId="0" borderId="15" xfId="0" applyNumberFormat="1" applyFont="1" applyBorder="1" applyAlignment="1">
      <alignment horizontal="center" wrapText="1"/>
    </xf>
    <xf numFmtId="49" fontId="0" fillId="0" borderId="15" xfId="0" applyNumberFormat="1" applyFont="1" applyBorder="1" applyAlignment="1">
      <alignment wrapText="1"/>
    </xf>
    <xf numFmtId="0" fontId="0" fillId="0" borderId="15" xfId="0" applyNumberFormat="1" applyFont="1" applyBorder="1" applyAlignment="1">
      <alignment wrapText="1"/>
    </xf>
    <xf numFmtId="22" fontId="0" fillId="0" borderId="15" xfId="0" applyNumberFormat="1" applyFont="1" applyBorder="1"/>
    <xf numFmtId="0" fontId="0" fillId="0" borderId="15" xfId="0" applyNumberFormat="1" applyFont="1" applyBorder="1"/>
    <xf numFmtId="0" fontId="0" fillId="0" borderId="0" xfId="0" applyAlignment="1"/>
    <xf numFmtId="49" fontId="6" fillId="5" borderId="14" xfId="0" applyNumberFormat="1" applyFont="1" applyFill="1" applyBorder="1" applyAlignment="1">
      <alignment vertical="center"/>
    </xf>
    <xf numFmtId="0" fontId="0" fillId="0" borderId="0" xfId="0" applyFill="1" applyAlignment="1"/>
    <xf numFmtId="22" fontId="0" fillId="0" borderId="0" xfId="0" applyNumberFormat="1"/>
    <xf numFmtId="22" fontId="0" fillId="0" borderId="0" xfId="0" applyNumberFormat="1"/>
    <xf numFmtId="22" fontId="0" fillId="0" borderId="0" xfId="0" applyNumberFormat="1"/>
    <xf numFmtId="22" fontId="0" fillId="0" borderId="0" xfId="0" applyNumberFormat="1"/>
    <xf numFmtId="0" fontId="0" fillId="0" borderId="0" xfId="0" applyNumberFormat="1" applyAlignment="1">
      <alignment horizontal="center"/>
    </xf>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0" fontId="3" fillId="0" borderId="12" xfId="0" applyFont="1" applyBorder="1" applyAlignment="1">
      <alignment horizontal="center"/>
    </xf>
    <xf numFmtId="0" fontId="1" fillId="3" borderId="1" xfId="0" applyFont="1" applyFill="1" applyBorder="1" applyAlignment="1">
      <alignment horizontal="center" wrapText="1"/>
    </xf>
    <xf numFmtId="0" fontId="1" fillId="3" borderId="2" xfId="0" applyFont="1" applyFill="1" applyBorder="1" applyAlignment="1">
      <alignment horizontal="center" wrapText="1"/>
    </xf>
    <xf numFmtId="0" fontId="1" fillId="3" borderId="9" xfId="0" applyFont="1" applyFill="1" applyBorder="1" applyAlignment="1">
      <alignment horizontal="center" wrapText="1"/>
    </xf>
    <xf numFmtId="0" fontId="1" fillId="3" borderId="10" xfId="0" applyFont="1" applyFill="1" applyBorder="1" applyAlignment="1">
      <alignment horizontal="center" wrapText="1"/>
    </xf>
    <xf numFmtId="164" fontId="0" fillId="0" borderId="0" xfId="0" applyNumberFormat="1"/>
  </cellXfs>
  <cellStyles count="1">
    <cellStyle name="Normal" xfId="0" builtinId="0"/>
  </cellStyles>
  <dxfs count="306">
    <dxf>
      <font>
        <b/>
        <i val="0"/>
        <u val="none"/>
        <color theme="0"/>
      </font>
      <fill>
        <patternFill>
          <bgColor rgb="FFFF0000"/>
        </patternFill>
      </fill>
    </dxf>
    <dxf>
      <font>
        <b/>
        <i val="0"/>
        <color auto="1"/>
      </font>
      <fill>
        <patternFill>
          <bgColor rgb="FFFFC000"/>
        </patternFill>
      </fill>
    </dxf>
    <dxf>
      <font>
        <b/>
        <i val="0"/>
        <u val="none"/>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rgb="FF006100"/>
      </font>
      <fill>
        <patternFill>
          <bgColor rgb="FFC6EFCE"/>
        </patternFill>
      </fill>
    </dxf>
    <dxf>
      <font>
        <color auto="1"/>
      </font>
      <fill>
        <patternFill>
          <bgColor theme="0" tint="-0.24994659260841701"/>
        </patternFill>
      </fill>
    </dxf>
    <dxf>
      <font>
        <color theme="0"/>
      </font>
      <fill>
        <patternFill>
          <bgColor theme="5"/>
        </patternFill>
      </fill>
    </dxf>
    <dxf>
      <font>
        <b/>
        <i val="0"/>
        <color theme="0"/>
      </font>
      <fill>
        <patternFill>
          <bgColor theme="9"/>
        </patternFill>
      </fill>
    </dxf>
    <dxf>
      <font>
        <color theme="0"/>
      </font>
      <fill>
        <patternFill>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0" formatCode="@"/>
    </dxf>
    <dxf>
      <numFmt numFmtId="30" formatCode="@"/>
    </dxf>
    <dxf>
      <numFmt numFmtId="0" formatCode="General"/>
    </dxf>
    <dxf>
      <numFmt numFmtId="1" formatCode="0"/>
    </dxf>
    <dxf>
      <numFmt numFmtId="0" formatCode="General"/>
    </dxf>
    <dxf>
      <numFmt numFmtId="30" formatCode="@"/>
    </dxf>
    <dxf>
      <numFmt numFmtId="0" formatCode="General"/>
    </dxf>
    <dxf>
      <numFmt numFmtId="30" formatCode="@"/>
    </dxf>
    <dxf>
      <numFmt numFmtId="30" formatCode="@"/>
    </dxf>
    <dxf>
      <numFmt numFmtId="30" formatCode="@"/>
    </dxf>
    <dxf>
      <numFmt numFmtId="0" formatCode="General"/>
    </dxf>
    <dxf>
      <numFmt numFmtId="27" formatCode="dd/mm/yyyy\ hh:mm"/>
    </dxf>
    <dxf>
      <numFmt numFmtId="0" formatCode="General"/>
    </dxf>
    <dxf>
      <numFmt numFmtId="0" formatCode="General"/>
    </dxf>
    <dxf>
      <numFmt numFmtId="1" formatCode="0"/>
    </dxf>
    <dxf>
      <numFmt numFmtId="30" formatCode="@"/>
    </dxf>
    <dxf>
      <numFmt numFmtId="1" formatCode="0"/>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27" formatCode="dd/mm/yyyy\ hh:mm"/>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0" formatCode="General"/>
    </dxf>
    <dxf>
      <numFmt numFmtId="0" formatCode="General"/>
    </dxf>
    <dxf>
      <numFmt numFmtId="30" formatCode="@"/>
    </dxf>
    <dxf>
      <numFmt numFmtId="27" formatCode="dd/mm/yyyy\ hh:mm"/>
    </dxf>
    <dxf>
      <numFmt numFmtId="30" formatCode="@"/>
    </dxf>
    <dxf>
      <numFmt numFmtId="30" formatCode="@"/>
    </dxf>
    <dxf>
      <numFmt numFmtId="27" formatCode="dd/mm/yyyy\ hh:mm"/>
    </dxf>
    <dxf>
      <numFmt numFmtId="1" formatCode="0"/>
    </dxf>
    <dxf>
      <numFmt numFmtId="30" formatCode="@"/>
    </dxf>
    <dxf>
      <numFmt numFmtId="30" formatCode="@"/>
    </dxf>
    <dxf>
      <numFmt numFmtId="30" formatCode="@"/>
    </dxf>
    <dxf>
      <numFmt numFmtId="30" formatCode="@"/>
    </dxf>
    <dxf>
      <numFmt numFmtId="30" formatCode="@"/>
    </dxf>
    <dxf>
      <numFmt numFmtId="1" formatCode="0"/>
    </dxf>
    <dxf>
      <numFmt numFmtId="0" formatCode="General"/>
    </dxf>
    <dxf>
      <numFmt numFmtId="30" formatCode="@"/>
    </dxf>
    <dxf>
      <numFmt numFmtId="0" formatCode="General"/>
    </dxf>
    <dxf>
      <numFmt numFmtId="30" formatCode="@"/>
    </dxf>
    <dxf>
      <numFmt numFmtId="27" formatCode="dd/mm/yyyy\ hh:mm"/>
    </dxf>
    <dxf>
      <numFmt numFmtId="27" formatCode="dd/mm/yyyy\ hh:mm"/>
    </dxf>
    <dxf>
      <numFmt numFmtId="27" formatCode="dd/mm/yyyy\ hh:mm"/>
    </dxf>
    <dxf>
      <numFmt numFmtId="1" formatCode="0"/>
    </dxf>
    <dxf>
      <numFmt numFmtId="30" formatCode="@"/>
    </dxf>
    <dxf>
      <numFmt numFmtId="30" formatCode="@"/>
    </dxf>
    <dxf>
      <numFmt numFmtId="30" formatCode="@"/>
    </dxf>
    <dxf>
      <numFmt numFmtId="30" formatCode="@"/>
    </dxf>
    <dxf>
      <numFmt numFmtId="0" formatCode="General"/>
    </dxf>
    <dxf>
      <numFmt numFmtId="0" formatCode="General"/>
    </dxf>
    <dxf>
      <numFmt numFmtId="1" formatCode="0"/>
    </dxf>
    <dxf>
      <numFmt numFmtId="1" formatCode="0"/>
    </dxf>
    <dxf>
      <numFmt numFmtId="0" formatCode="General"/>
    </dxf>
    <dxf>
      <numFmt numFmtId="0" formatCode="General"/>
    </dxf>
    <dxf>
      <numFmt numFmtId="30" formatCode="@"/>
    </dxf>
    <dxf>
      <numFmt numFmtId="30" formatCode="@"/>
    </dxf>
    <dxf>
      <numFmt numFmtId="0" formatCode="General"/>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27" formatCode="dd/mm/yyyy\ hh:mm"/>
    </dxf>
    <dxf>
      <numFmt numFmtId="27" formatCode="dd/mm/yyyy\ hh:mm"/>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dxf>
    <dxf>
      <numFmt numFmtId="1" formatCode="0"/>
    </dxf>
    <dxf>
      <numFmt numFmtId="1" formatCode="0"/>
    </dxf>
    <dxf>
      <numFmt numFmtId="30" formatCode="@"/>
    </dxf>
    <dxf>
      <numFmt numFmtId="30" formatCode="@"/>
    </dxf>
    <dxf>
      <numFmt numFmtId="1" formatCode="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27" formatCode="dd/mm/yyyy\ hh:mm"/>
    </dxf>
    <dxf>
      <numFmt numFmtId="27" formatCode="dd/mm/yyyy\ hh:mm"/>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0" formatCode="General"/>
    </dxf>
    <dxf>
      <numFmt numFmtId="0" formatCode="General"/>
    </dxf>
    <dxf>
      <numFmt numFmtId="30" formatCode="@"/>
    </dxf>
    <dxf>
      <numFmt numFmtId="30" formatCode="@"/>
    </dxf>
    <dxf>
      <numFmt numFmtId="27" formatCode="dd/mm/yyyy\ hh:mm"/>
    </dxf>
    <dxf>
      <numFmt numFmtId="27" formatCode="dd/mm/yyyy\ hh:mm"/>
    </dxf>
    <dxf>
      <numFmt numFmtId="30" formatCode="@"/>
    </dxf>
    <dxf>
      <numFmt numFmtId="30" formatCode="@"/>
    </dxf>
    <dxf>
      <numFmt numFmtId="30" formatCode="@"/>
    </dxf>
    <dxf>
      <numFmt numFmtId="30" formatCode="@"/>
    </dxf>
    <dxf>
      <numFmt numFmtId="27" formatCode="dd/mm/yyyy\ hh:mm"/>
    </dxf>
    <dxf>
      <numFmt numFmtId="27" formatCode="dd/mm/yyyy\ hh:mm"/>
    </dxf>
    <dxf>
      <numFmt numFmtId="27" formatCode="dd/mm/yyyy\ hh:mm"/>
    </dxf>
    <dxf>
      <numFmt numFmtId="27" formatCode="dd/mm/yyyy\ hh:mm"/>
    </dxf>
    <dxf>
      <numFmt numFmtId="1" formatCode="0"/>
    </dxf>
    <dxf>
      <numFmt numFmtId="1" formatCode="0"/>
    </dxf>
    <dxf>
      <numFmt numFmtId="30" formatCode="@"/>
    </dxf>
    <dxf>
      <numFmt numFmtId="30" formatCode="@"/>
    </dxf>
    <dxf>
      <numFmt numFmtId="30" formatCode="@"/>
    </dxf>
    <dxf>
      <numFmt numFmtId="30" formatCode="@"/>
    </dxf>
    <dxf>
      <numFmt numFmtId="27" formatCode="dd/mm/yyyy\ hh:mm"/>
    </dxf>
    <dxf>
      <numFmt numFmtId="27" formatCode="dd/mm/yyyy\ hh:mm"/>
    </dxf>
    <dxf>
      <numFmt numFmtId="30" formatCode="@"/>
    </dxf>
    <dxf>
      <numFmt numFmtId="30" formatCode="@"/>
    </dxf>
    <dxf>
      <numFmt numFmtId="27" formatCode="dd/mm/yyyy\ hh:mm"/>
    </dxf>
    <dxf>
      <numFmt numFmtId="27" formatCode="dd/mm/yyyy\ hh:mm"/>
    </dxf>
    <dxf>
      <numFmt numFmtId="1" formatCode="0"/>
    </dxf>
    <dxf>
      <numFmt numFmtId="1" formatCode="0"/>
    </dxf>
    <dxf>
      <numFmt numFmtId="30" formatCode="@"/>
    </dxf>
    <dxf>
      <numFmt numFmtId="30" formatCode="@"/>
    </dxf>
    <dxf>
      <numFmt numFmtId="0" formatCode="General"/>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1" formatCode="0"/>
    </dxf>
    <dxf>
      <numFmt numFmtId="30" formatCode="@"/>
    </dxf>
    <dxf>
      <numFmt numFmtId="30" formatCode="@"/>
    </dxf>
    <dxf>
      <numFmt numFmtId="30" formatCode="@"/>
    </dxf>
    <dxf>
      <numFmt numFmtId="0" formatCode="General"/>
    </dxf>
    <dxf>
      <numFmt numFmtId="1" formatCode="0"/>
    </dxf>
    <dxf>
      <numFmt numFmtId="0" formatCode="General"/>
    </dxf>
    <dxf>
      <numFmt numFmtId="30" formatCode="@"/>
    </dxf>
    <dxf>
      <numFmt numFmtId="0" formatCode="General"/>
    </dxf>
    <dxf>
      <numFmt numFmtId="30" formatCode="@"/>
    </dxf>
    <dxf>
      <numFmt numFmtId="30" formatCode="@"/>
    </dxf>
    <dxf>
      <numFmt numFmtId="30" formatCode="@"/>
    </dxf>
    <dxf>
      <numFmt numFmtId="0" formatCode="General"/>
    </dxf>
    <dxf>
      <numFmt numFmtId="27" formatCode="dd/mm/yyyy\ hh:mm"/>
    </dxf>
    <dxf>
      <numFmt numFmtId="0" formatCode="General"/>
    </dxf>
    <dxf>
      <numFmt numFmtId="0" formatCode="General"/>
    </dxf>
    <dxf>
      <numFmt numFmtId="0" formatCode="General"/>
    </dxf>
    <dxf>
      <numFmt numFmtId="1" formatCode="0"/>
    </dxf>
    <dxf>
      <numFmt numFmtId="30" formatCode="@"/>
    </dxf>
    <dxf>
      <numFmt numFmtId="1" formatCode="0"/>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27" formatCode="dd/mm/yyyy\ hh:mm"/>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0" formatCode="General"/>
    </dxf>
    <dxf>
      <numFmt numFmtId="0" formatCode="General"/>
    </dxf>
    <dxf>
      <numFmt numFmtId="30" formatCode="@"/>
    </dxf>
    <dxf>
      <numFmt numFmtId="27" formatCode="dd/mm/yyyy\ hh:mm"/>
    </dxf>
    <dxf>
      <numFmt numFmtId="30" formatCode="@"/>
    </dxf>
    <dxf>
      <numFmt numFmtId="30" formatCode="@"/>
    </dxf>
    <dxf>
      <numFmt numFmtId="27" formatCode="dd/mm/yyyy\ hh:mm"/>
    </dxf>
    <dxf>
      <numFmt numFmtId="27" formatCode="dd/mm/yyyy\ hh:mm"/>
    </dxf>
    <dxf>
      <numFmt numFmtId="1" formatCode="0"/>
    </dxf>
    <dxf>
      <numFmt numFmtId="30" formatCode="@"/>
    </dxf>
    <dxf>
      <numFmt numFmtId="30" formatCode="@"/>
    </dxf>
    <dxf>
      <numFmt numFmtId="27" formatCode="dd/mm/yyyy\ hh:mm"/>
    </dxf>
    <dxf>
      <numFmt numFmtId="30" formatCode="@"/>
    </dxf>
    <dxf>
      <numFmt numFmtId="27" formatCode="dd/mm/yyyy\ hh:mm"/>
    </dxf>
    <dxf>
      <numFmt numFmtId="30" formatCode="@"/>
    </dxf>
    <dxf>
      <numFmt numFmtId="1" formatCode="0"/>
    </dxf>
    <dxf>
      <numFmt numFmtId="0" formatCode="General"/>
    </dxf>
    <dxf>
      <numFmt numFmtId="30" formatCode="@"/>
    </dxf>
    <dxf>
      <numFmt numFmtId="30" formatCode="@"/>
    </dxf>
    <dxf>
      <numFmt numFmtId="30" formatCode="@"/>
    </dxf>
    <dxf>
      <numFmt numFmtId="1" formatCode="0"/>
    </dxf>
    <dxf>
      <numFmt numFmtId="30" formatCode="@"/>
    </dxf>
    <dxf>
      <numFmt numFmtId="30" formatCode="@"/>
    </dxf>
    <dxf>
      <numFmt numFmtId="0" formatCode="General"/>
    </dxf>
    <dxf>
      <numFmt numFmtId="1" formatCode="0"/>
    </dxf>
    <dxf>
      <numFmt numFmtId="0" formatCode="General"/>
    </dxf>
    <dxf>
      <numFmt numFmtId="30" formatCode="@"/>
    </dxf>
    <dxf>
      <numFmt numFmtId="0" formatCode="General"/>
    </dxf>
    <dxf>
      <numFmt numFmtId="30" formatCode="@"/>
    </dxf>
    <dxf>
      <numFmt numFmtId="30" formatCode="@"/>
    </dxf>
    <dxf>
      <numFmt numFmtId="30" formatCode="@"/>
    </dxf>
    <dxf>
      <numFmt numFmtId="0" formatCode="General"/>
    </dxf>
    <dxf>
      <numFmt numFmtId="27" formatCode="dd/mm/yyyy\ hh:mm"/>
    </dxf>
    <dxf>
      <numFmt numFmtId="0" formatCode="General"/>
    </dxf>
    <dxf>
      <numFmt numFmtId="1" formatCode="0"/>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27" formatCode="dd/mm/yyyy\ hh:mm"/>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0" formatCode="General"/>
    </dxf>
    <dxf>
      <numFmt numFmtId="0" formatCode="General"/>
    </dxf>
    <dxf>
      <numFmt numFmtId="30" formatCode="@"/>
    </dxf>
    <dxf>
      <numFmt numFmtId="27" formatCode="dd/mm/yyyy\ hh:mm"/>
    </dxf>
    <dxf>
      <numFmt numFmtId="30" formatCode="@"/>
    </dxf>
    <dxf>
      <numFmt numFmtId="30" formatCode="@"/>
    </dxf>
    <dxf>
      <numFmt numFmtId="27" formatCode="dd/mm/yyyy\ hh:mm"/>
    </dxf>
    <dxf>
      <numFmt numFmtId="1" formatCode="0"/>
    </dxf>
    <dxf>
      <numFmt numFmtId="0" formatCode="General"/>
    </dxf>
    <dxf>
      <numFmt numFmtId="30" formatCode="@"/>
    </dxf>
    <dxf>
      <numFmt numFmtId="30" formatCode="@"/>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1" formatCode="0"/>
      <alignment horizontal="center" vertical="bottom" textRotation="0" wrapText="1" indent="0" justifyLastLine="0" shrinkToFit="0" readingOrder="0"/>
    </dxf>
    <dxf>
      <alignment horizontal="center" vertical="bottom" textRotation="0" wrapText="0" indent="0" justifyLastLine="0" shrinkToFit="0" readingOrder="0"/>
    </dxf>
    <dxf>
      <numFmt numFmtId="30" formatCode="@"/>
      <alignment horizontal="left"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 formatCode="0"/>
    </dxf>
    <dxf>
      <numFmt numFmtId="30" formatCode="@"/>
    </dxf>
    <dxf>
      <numFmt numFmtId="30" formatCode="@"/>
    </dxf>
    <dxf>
      <numFmt numFmtId="30" formatCode="@"/>
    </dxf>
    <dxf>
      <numFmt numFmtId="30" formatCode="@"/>
    </dxf>
    <dxf>
      <numFmt numFmtId="30" formatCode="@"/>
    </dxf>
    <dxf>
      <numFmt numFmtId="1" formatCode="0"/>
    </dxf>
    <dxf>
      <font>
        <b val="0"/>
        <i val="0"/>
        <strike val="0"/>
        <condense val="0"/>
        <extend val="0"/>
        <outline val="0"/>
        <shadow val="0"/>
        <u val="none"/>
        <vertAlign val="baseline"/>
        <sz val="11"/>
        <color rgb="FF91D700"/>
        <name val="Calibri"/>
        <family val="2"/>
        <scheme val="minor"/>
      </font>
      <fill>
        <patternFill patternType="solid">
          <fgColor indexed="64"/>
          <bgColor rgb="FF232378"/>
        </patternFill>
      </fill>
    </dxf>
  </dxfs>
  <tableStyles count="0" defaultTableStyle="TableStyleMedium2" defaultPivotStyle="PivotStyleLight16"/>
  <colors>
    <mruColors>
      <color rgb="FFF3BDC4"/>
      <color rgb="FF91D700"/>
      <color rgb="FF232378"/>
      <color rgb="FF70AD47"/>
      <color rgb="FFED7D31"/>
      <color rgb="FF4472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pt-BR"/>
              <a:t>Entregas / Tipo </a:t>
            </a:r>
          </a:p>
        </c:rich>
      </c:tx>
      <c:layout>
        <c:manualLayout>
          <c:xMode val="edge"/>
          <c:yMode val="edge"/>
          <c:x val="0.32679082621636441"/>
          <c:y val="1.154391555672436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pt-BR"/>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610555815948282E-2"/>
          <c:y val="0.24644065207859597"/>
          <c:w val="0.76909455836016238"/>
          <c:h val="0.73456935609806195"/>
        </c:manualLayout>
      </c:layout>
      <c:pie3DChart>
        <c:varyColors val="1"/>
        <c:ser>
          <c:idx val="1"/>
          <c:order val="0"/>
          <c:dPt>
            <c:idx val="0"/>
            <c:bubble3D val="0"/>
            <c:spPr>
              <a:solidFill>
                <a:srgbClr val="FF00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BB7B-4394-9344-4943D9CCDEC1}"/>
              </c:ext>
            </c:extLst>
          </c:dPt>
          <c:dPt>
            <c:idx val="1"/>
            <c:bubble3D val="0"/>
            <c:spPr>
              <a:solidFill>
                <a:srgbClr val="00B05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BB7B-4394-9344-4943D9CCDEC1}"/>
              </c:ext>
            </c:extLst>
          </c:dPt>
          <c:dPt>
            <c:idx val="2"/>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BB7B-4394-9344-4943D9CCDEC1}"/>
              </c:ext>
            </c:extLst>
          </c:dPt>
          <c:dPt>
            <c:idx val="3"/>
            <c:bubble3D val="0"/>
            <c:spPr>
              <a:solidFill>
                <a:srgbClr val="0070C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D4A8-4133-B75F-CA9751043ACD}"/>
              </c:ext>
            </c:extLst>
          </c:dPt>
          <c:dLbls>
            <c:dLbl>
              <c:idx val="0"/>
              <c:layout>
                <c:manualLayout>
                  <c:x val="7.6368966209529016E-2"/>
                  <c:y val="1.4429502783383227E-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BB7B-4394-9344-4943D9CCDEC1}"/>
                </c:ext>
              </c:extLst>
            </c:dLbl>
            <c:dLbl>
              <c:idx val="1"/>
              <c:layout>
                <c:manualLayout>
                  <c:x val="-2.3388874396490081E-2"/>
                  <c:y val="5.5985953622201941E-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4-BB7B-4394-9344-4943D9CCDEC1}"/>
                </c:ext>
              </c:extLst>
            </c:dLbl>
            <c:dLbl>
              <c:idx val="2"/>
              <c:layout>
                <c:manualLayout>
                  <c:x val="-0.33069549162578543"/>
                  <c:y val="0.11381381845933303"/>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BB7B-4394-9344-4943D9CCDEC1}"/>
                </c:ext>
              </c:extLst>
            </c:dLbl>
            <c:dLbl>
              <c:idx val="3"/>
              <c:layout>
                <c:manualLayout>
                  <c:x val="-0.32952743242250715"/>
                  <c:y val="-1.9784044676144391E-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4A8-4133-B75F-CA9751043AC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dLblPos val="ctr"/>
            <c:showLegendKey val="1"/>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Dashboard!$AE$2:$AE$5</c:f>
              <c:strCache>
                <c:ptCount val="4"/>
                <c:pt idx="0">
                  <c:v>Erro</c:v>
                </c:pt>
                <c:pt idx="1">
                  <c:v>Melhoria</c:v>
                </c:pt>
                <c:pt idx="2">
                  <c:v>Ajuste</c:v>
                </c:pt>
                <c:pt idx="3">
                  <c:v>Análise</c:v>
                </c:pt>
              </c:strCache>
            </c:strRef>
          </c:cat>
          <c:val>
            <c:numRef>
              <c:f>Dashboard!$AF$2:$AF$5</c:f>
              <c:numCache>
                <c:formatCode>General</c:formatCode>
                <c:ptCount val="4"/>
                <c:pt idx="0">
                  <c:v>1</c:v>
                </c:pt>
                <c:pt idx="1">
                  <c:v>6</c:v>
                </c:pt>
                <c:pt idx="2">
                  <c:v>0</c:v>
                </c:pt>
                <c:pt idx="3">
                  <c:v>1</c:v>
                </c:pt>
              </c:numCache>
            </c:numRef>
          </c:val>
          <c:extLst>
            <c:ext xmlns:c16="http://schemas.microsoft.com/office/drawing/2014/chart" uri="{C3380CC4-5D6E-409C-BE32-E72D297353CC}">
              <c16:uniqueId val="{00000012-BB7B-4394-9344-4943D9CCDEC1}"/>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pt-B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pt-BR"/>
              <a:t>Entregas / Departamento </a:t>
            </a:r>
          </a:p>
        </c:rich>
      </c:tx>
      <c:layout>
        <c:manualLayout>
          <c:xMode val="edge"/>
          <c:yMode val="edge"/>
          <c:x val="0.239404719377108"/>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pt-BR"/>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9612699854211924E-2"/>
          <c:y val="0.15215486216251822"/>
          <c:w val="0.86115531938559642"/>
          <c:h val="0.82885528539876741"/>
        </c:manualLayout>
      </c:layout>
      <c:pie3DChart>
        <c:varyColors val="1"/>
        <c:ser>
          <c:idx val="1"/>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BB7B-4394-9344-4943D9CCDEC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BB7B-4394-9344-4943D9CCDEC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BB7B-4394-9344-4943D9CCDEC1}"/>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19A4-417C-B2A6-6A1E11B80F09}"/>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A2B7-434A-8678-3153D5196C1B}"/>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19A4-417C-B2A6-6A1E11B80F09}"/>
              </c:ext>
            </c:extLst>
          </c:dPt>
          <c:dLbls>
            <c:dLbl>
              <c:idx val="1"/>
              <c:layout>
                <c:manualLayout>
                  <c:x val="7.1093459646259557E-2"/>
                  <c:y val="-7.0899770973701814E-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4-BB7B-4394-9344-4943D9CCDEC1}"/>
                </c:ext>
              </c:extLst>
            </c:dLbl>
            <c:dLbl>
              <c:idx val="2"/>
              <c:layout>
                <c:manualLayout>
                  <c:x val="7.2163038132332338E-2"/>
                  <c:y val="-0.24877927391574206"/>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BB7B-4394-9344-4943D9CCDEC1}"/>
                </c:ext>
              </c:extLst>
            </c:dLbl>
            <c:dLbl>
              <c:idx val="3"/>
              <c:layout>
                <c:manualLayout>
                  <c:x val="7.4493799028912455E-2"/>
                  <c:y val="0.2807479500241372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E-19A4-417C-B2A6-6A1E11B80F09}"/>
                </c:ext>
              </c:extLst>
            </c:dLbl>
            <c:dLbl>
              <c:idx val="5"/>
              <c:layout>
                <c:manualLayout>
                  <c:x val="0.35910588196736043"/>
                  <c:y val="0.57758175428646663"/>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9A4-417C-B2A6-6A1E11B80F0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dLblPos val="ctr"/>
            <c:showLegendKey val="1"/>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Dashboard!$Y$2:$Y$7</c:f>
              <c:strCache>
                <c:ptCount val="6"/>
                <c:pt idx="0">
                  <c:v>TI</c:v>
                </c:pt>
                <c:pt idx="1">
                  <c:v>Comercial</c:v>
                </c:pt>
                <c:pt idx="2">
                  <c:v>Receita</c:v>
                </c:pt>
                <c:pt idx="3">
                  <c:v>Comex</c:v>
                </c:pt>
                <c:pt idx="4">
                  <c:v>OPERAÇÃO</c:v>
                </c:pt>
                <c:pt idx="5">
                  <c:v>FINANCEIRO</c:v>
                </c:pt>
              </c:strCache>
            </c:strRef>
          </c:cat>
          <c:val>
            <c:numRef>
              <c:f>Dashboard!$Z$2:$Z$7</c:f>
              <c:numCache>
                <c:formatCode>General</c:formatCode>
                <c:ptCount val="6"/>
                <c:pt idx="0">
                  <c:v>3</c:v>
                </c:pt>
                <c:pt idx="1">
                  <c:v>0</c:v>
                </c:pt>
                <c:pt idx="2">
                  <c:v>1</c:v>
                </c:pt>
                <c:pt idx="3">
                  <c:v>3</c:v>
                </c:pt>
                <c:pt idx="4">
                  <c:v>5</c:v>
                </c:pt>
                <c:pt idx="5">
                  <c:v>0</c:v>
                </c:pt>
              </c:numCache>
            </c:numRef>
          </c:val>
          <c:extLst>
            <c:ext xmlns:c16="http://schemas.microsoft.com/office/drawing/2014/chart" uri="{C3380CC4-5D6E-409C-BE32-E72D297353CC}">
              <c16:uniqueId val="{00000012-BB7B-4394-9344-4943D9CCDEC1}"/>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pt-B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pt-BR"/>
              <a:t>Total</a:t>
            </a:r>
            <a:r>
              <a:rPr lang="pt-BR" baseline="0"/>
              <a:t> Backlog</a:t>
            </a:r>
            <a:endParaRPr lang="pt-BR"/>
          </a:p>
        </c:rich>
      </c:tx>
      <c:layout>
        <c:manualLayout>
          <c:xMode val="edge"/>
          <c:yMode val="edge"/>
          <c:x val="0.37017535911522026"/>
          <c:y val="1.2210012210012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pt-BR"/>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CB5-49D4-82E4-58BD0E1B34A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CB5-49D4-82E4-58BD0E1B34A2}"/>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CB5-49D4-82E4-58BD0E1B34A2}"/>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CB5-49D4-82E4-58BD0E1B34A2}"/>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9CB5-49D4-82E4-58BD0E1B34A2}"/>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9CB5-49D4-82E4-58BD0E1B34A2}"/>
              </c:ext>
            </c:extLst>
          </c:dPt>
          <c:dLbls>
            <c:dLbl>
              <c:idx val="0"/>
              <c:layout>
                <c:manualLayout>
                  <c:x val="9.3320423100531721E-2"/>
                  <c:y val="-2.5127105349771174E-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CB5-49D4-82E4-58BD0E1B34A2}"/>
                </c:ext>
              </c:extLst>
            </c:dLbl>
            <c:dLbl>
              <c:idx val="1"/>
              <c:layout>
                <c:manualLayout>
                  <c:x val="-1.226942587957257E-2"/>
                  <c:y val="0.14787888627323648"/>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CB5-49D4-82E4-58BD0E1B34A2}"/>
                </c:ext>
              </c:extLst>
            </c:dLbl>
            <c:dLbl>
              <c:idx val="2"/>
              <c:layout>
                <c:manualLayout>
                  <c:x val="3.4499558466640406E-2"/>
                  <c:y val="-0.1322374651622156"/>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CB5-49D4-82E4-58BD0E1B34A2}"/>
                </c:ext>
              </c:extLst>
            </c:dLbl>
            <c:dLbl>
              <c:idx val="3"/>
              <c:layout>
                <c:manualLayout>
                  <c:x val="7.2647901420509697E-2"/>
                  <c:y val="-3.2850856878184342E-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CB5-49D4-82E4-58BD0E1B34A2}"/>
                </c:ext>
              </c:extLst>
            </c:dLbl>
            <c:dLbl>
              <c:idx val="4"/>
              <c:layout>
                <c:manualLayout>
                  <c:x val="-7.9895918338624888E-2"/>
                  <c:y val="-6.8280067932684887E-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CB5-49D4-82E4-58BD0E1B34A2}"/>
                </c:ext>
              </c:extLst>
            </c:dLbl>
            <c:dLbl>
              <c:idx val="5"/>
              <c:layout>
                <c:manualLayout>
                  <c:x val="-0.10149761587194581"/>
                  <c:y val="1.3576404971437367E-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CB5-49D4-82E4-58BD0E1B34A2}"/>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dLblPos val="ctr"/>
            <c:showLegendKey val="1"/>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Dashboard!$Y$11:$Y$16</c:f>
              <c:strCache>
                <c:ptCount val="6"/>
                <c:pt idx="0">
                  <c:v>TI</c:v>
                </c:pt>
                <c:pt idx="1">
                  <c:v>Comercial</c:v>
                </c:pt>
                <c:pt idx="2">
                  <c:v>Receita</c:v>
                </c:pt>
                <c:pt idx="3">
                  <c:v>Comex</c:v>
                </c:pt>
                <c:pt idx="4">
                  <c:v>Operação</c:v>
                </c:pt>
                <c:pt idx="5">
                  <c:v>Financeiro</c:v>
                </c:pt>
              </c:strCache>
            </c:strRef>
          </c:cat>
          <c:val>
            <c:numRef>
              <c:f>Dashboard!$Z$11:$Z$16</c:f>
              <c:numCache>
                <c:formatCode>General</c:formatCode>
                <c:ptCount val="6"/>
                <c:pt idx="0">
                  <c:v>21</c:v>
                </c:pt>
                <c:pt idx="1">
                  <c:v>0</c:v>
                </c:pt>
                <c:pt idx="2">
                  <c:v>2</c:v>
                </c:pt>
                <c:pt idx="3">
                  <c:v>0</c:v>
                </c:pt>
                <c:pt idx="4">
                  <c:v>0</c:v>
                </c:pt>
                <c:pt idx="5">
                  <c:v>0</c:v>
                </c:pt>
              </c:numCache>
            </c:numRef>
          </c:val>
          <c:extLst>
            <c:ext xmlns:c16="http://schemas.microsoft.com/office/drawing/2014/chart" uri="{C3380CC4-5D6E-409C-BE32-E72D297353CC}">
              <c16:uniqueId val="{0000000C-9CB5-49D4-82E4-58BD0E1B34A2}"/>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pt-B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9525</xdr:colOff>
      <xdr:row>1</xdr:row>
      <xdr:rowOff>171450</xdr:rowOff>
    </xdr:from>
    <xdr:to>
      <xdr:col>7</xdr:col>
      <xdr:colOff>331470</xdr:colOff>
      <xdr:row>11</xdr:row>
      <xdr:rowOff>167640</xdr:rowOff>
    </xdr:to>
    <xdr:graphicFrame macro="">
      <xdr:nvGraphicFramePr>
        <xdr:cNvPr id="3" name="Chart 2">
          <a:extLst>
            <a:ext uri="{FF2B5EF4-FFF2-40B4-BE49-F238E27FC236}">
              <a16:creationId xmlns:a16="http://schemas.microsoft.com/office/drawing/2014/main" id="{D117F77E-9526-4B86-B909-31C134A2E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3092704</xdr:colOff>
      <xdr:row>13</xdr:row>
      <xdr:rowOff>72390</xdr:rowOff>
    </xdr:from>
    <xdr:to>
      <xdr:col>22</xdr:col>
      <xdr:colOff>444874</xdr:colOff>
      <xdr:row>24</xdr:row>
      <xdr:rowOff>153881</xdr:rowOff>
    </xdr:to>
    <xdr:graphicFrame macro="">
      <xdr:nvGraphicFramePr>
        <xdr:cNvPr id="6" name="Chart 2">
          <a:extLst>
            <a:ext uri="{FF2B5EF4-FFF2-40B4-BE49-F238E27FC236}">
              <a16:creationId xmlns:a16="http://schemas.microsoft.com/office/drawing/2014/main" id="{EF29B648-D204-4F20-9051-9932D7373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20782</xdr:colOff>
      <xdr:row>1</xdr:row>
      <xdr:rowOff>165735</xdr:rowOff>
    </xdr:from>
    <xdr:to>
      <xdr:col>10</xdr:col>
      <xdr:colOff>2228849</xdr:colOff>
      <xdr:row>11</xdr:row>
      <xdr:rowOff>165735</xdr:rowOff>
    </xdr:to>
    <xdr:graphicFrame macro="">
      <xdr:nvGraphicFramePr>
        <xdr:cNvPr id="7" name="Chart 13">
          <a:extLst>
            <a:ext uri="{FF2B5EF4-FFF2-40B4-BE49-F238E27FC236}">
              <a16:creationId xmlns:a16="http://schemas.microsoft.com/office/drawing/2014/main" id="{C3A1E756-BE88-4D3F-A814-513176D02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60</v>
    <v>8</v>
    <v>144</v>
    <v>1</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52EB807-DB51-44F7-9F22-D4C56813FCBB}" name="VSTS_d6760eb0_ea3a_4c33_85d6_f85b26745a24" displayName="VSTS_d6760eb0_ea3a_4c33_85d6_f85b26745a24" ref="A2:BI146" headerRowDxfId="305">
  <autoFilter ref="A2:BI146" xr:uid="{D52EB807-DB51-44F7-9F22-D4C56813FCBB}">
    <filterColumn colId="9">
      <filters>
        <filter val="2"/>
      </filters>
    </filterColumn>
    <filterColumn colId="10">
      <filters>
        <filter val="Análise"/>
        <filter val="Aprovado"/>
        <filter val="Backlog"/>
        <filter val="Impeditivo"/>
        <filter val="Previsto Próx. Semana"/>
      </filters>
    </filterColumn>
  </autoFilter>
  <tableColumns count="61">
    <tableColumn id="1" xr3:uid="{01EA2342-F258-4BB3-9FCF-A39BF08B8998}" name="ID" totalsRowLabel="Total" dataDxfId="304"/>
    <tableColumn id="2" xr3:uid="{D165127C-56D0-4CE8-988C-4F3A3247729E}" name="Title" dataDxfId="303"/>
    <tableColumn id="11" xr3:uid="{60FAB588-39C3-4F1E-ACAC-C9A59E3BE319}" name="Work Item Type" dataDxfId="302"/>
    <tableColumn id="57" xr3:uid="{6BCC4D35-EA76-499B-BD9D-83DF1862E8C9}" name="Department" dataDxfId="301"/>
    <tableColumn id="59" xr3:uid="{889F1F56-1118-48E3-8A42-15B2E5E94024}" name="Requester" dataDxfId="300"/>
    <tableColumn id="60" xr3:uid="{F725E973-05DB-4B48-939A-C1EFFB9682DE}" name="Type" dataDxfId="299"/>
    <tableColumn id="61" xr3:uid="{25603CCA-6934-49F4-93BC-AEDCBE07559D}" name="Week" dataDxfId="298"/>
    <tableColumn id="58" xr3:uid="{ABCFB5F4-F5BC-4896-B3CD-5F4DC9C186EE}" name="Hour" dataDxfId="297"/>
    <tableColumn id="44" xr3:uid="{823FA279-4F43-4BF8-B301-5E8280B09AE4}" name="Effort" dataDxfId="296"/>
    <tableColumn id="3" xr3:uid="{D087E106-236A-433F-91A0-92B9BF70A3DB}" name="Priority" dataDxfId="295" totalsRowDxfId="294"/>
    <tableColumn id="4" xr3:uid="{C4EC0D70-1A84-44C3-A30D-3EE740C8A18F}" name="Board Column" dataDxfId="293" totalsRowDxfId="292"/>
    <tableColumn id="35" xr3:uid="{67516217-AE3D-46EA-A6B4-D084D135A665}" name="Board Column Done" dataDxfId="291" totalsRowDxfId="290"/>
    <tableColumn id="8" xr3:uid="{6651E3E2-A2E5-40B0-8CCF-C95D0F7C0BAB}" name="Assigned To" dataDxfId="289" totalsRowDxfId="288"/>
    <tableColumn id="5" xr3:uid="{46AFF07D-A5C5-484B-8967-08A66A46E4BB}" name="State" dataDxfId="287"/>
    <tableColumn id="43" xr3:uid="{78F2BC42-DCF7-43E7-8FBD-184CD736D103}" name="Description" dataDxfId="286" totalsRowDxfId="285"/>
    <tableColumn id="9" xr3:uid="{CF1759CB-A8A5-4512-96D5-C1C1A8505246}" name="Created Date" dataDxfId="284" totalsRowDxfId="283"/>
    <tableColumn id="6" xr3:uid="{5EC8398E-E2A5-4599-BFC0-7E4D46D2C66E}" name="Changed Date" dataDxfId="282"/>
    <tableColumn id="13" xr3:uid="{B782D771-05E5-4781-874B-E8E7D085D9CF}" name="Closed Date" dataDxfId="281"/>
    <tableColumn id="7" xr3:uid="{D4285E1C-0CAD-4F2B-9829-DDD15059F25E}" name="Changed By" dataDxfId="280"/>
    <tableColumn id="10" xr3:uid="{A63FF9A4-98B8-4D27-83BF-22A9F3037C2A}" name="Created By" dataDxfId="279"/>
    <tableColumn id="14" xr3:uid="{639B4692-3E68-4D4C-A90D-317FBBA092D3}" name="Tags" dataDxfId="278"/>
    <tableColumn id="12" xr3:uid="{D849BC83-4AC7-4611-8CDB-2E398A196B94}" name="State Code" dataDxfId="277"/>
    <tableColumn id="15" xr3:uid="{AC8107C7-9704-47B3-AA97-69AA32FEB2CF}" name="Accepted Date" dataDxfId="276"/>
    <tableColumn id="16" xr3:uid="{AF389BA5-C155-4174-9603-C2FE118CEC6A}" name="Accepted By" dataDxfId="275"/>
    <tableColumn id="17" xr3:uid="{8FC59EB3-FD8B-4F72-BAE7-5509D4299C08}" name="Activated By" dataDxfId="274"/>
    <tableColumn id="18" xr3:uid="{7F3076C6-650E-4140-80D5-548DAFEBAD28}" name="Activated Date" dataDxfId="273"/>
    <tableColumn id="19" xr3:uid="{2EFD2F3A-1C43-45E4-8672-710117EFEEFA}" name="Activity" dataDxfId="272"/>
    <tableColumn id="20" xr3:uid="{CB67C036-F017-44AC-A52B-ED160259D27F}" name="Application Launch Instructions" dataDxfId="271"/>
    <tableColumn id="21" xr3:uid="{0887A5C0-EC1E-4E2A-A63B-C84BCDA29B70}" name="Application Start Information" dataDxfId="270"/>
    <tableColumn id="22" xr3:uid="{F52B7D99-D287-41C7-8FB3-33FC84A4D94C}" name="Application Type" dataDxfId="269"/>
    <tableColumn id="23" xr3:uid="{EB317075-3BDB-4570-99A9-D87C1D987B77}" name="Area Path" dataDxfId="268"/>
    <tableColumn id="24" xr3:uid="{C7922343-C6DF-456A-B7D0-3D31EC1E56D7}" name="Associated Context" dataDxfId="267"/>
    <tableColumn id="25" xr3:uid="{455FAD62-6417-4EE2-A278-B8DECE0FCFA4}" name="Associated Context Code" dataDxfId="266"/>
    <tableColumn id="26" xr3:uid="{508B209D-08C2-40C3-9428-1FD00CE99F26}" name="Associated Context Owner" dataDxfId="265"/>
    <tableColumn id="27" xr3:uid="{59D86B98-1464-4266-A69B-117AF07598F6}" name="Associated Context Type" dataDxfId="264"/>
    <tableColumn id="28" xr3:uid="{B8662198-C0C8-497B-B67F-893E8A0E104C}" name="Authorized As" dataDxfId="263"/>
    <tableColumn id="29" xr3:uid="{CE6B6CE4-1033-480F-9B7B-97414C513537}" name="Authorized Date" dataDxfId="262"/>
    <tableColumn id="30" xr3:uid="{0E684EB7-D204-452A-AB7D-97D13949396C}" name="Automated Test Id" dataDxfId="261"/>
    <tableColumn id="31" xr3:uid="{5B1CADA9-8E8D-4599-9158-51DBB384D1B0}" name="Automated Test Name" dataDxfId="260"/>
    <tableColumn id="32" xr3:uid="{B82D5B60-8A81-48AB-8C1E-5081F7934598}" name="Automated Test Storage" dataDxfId="259"/>
    <tableColumn id="33" xr3:uid="{F5BC5ADD-351D-4B0C-AE7E-ECB11EB8E245}" name="Automated Test Type" dataDxfId="258"/>
    <tableColumn id="34" xr3:uid="{6C232D79-20EB-4F04-B330-D8DAFBB607E0}" name="Automation status" dataDxfId="257"/>
    <tableColumn id="36" xr3:uid="{BEF7566F-CB9A-4C63-BF9C-2F6277DD0A04}" name="Board Lane" dataDxfId="256"/>
    <tableColumn id="37" xr3:uid="{6CAB0CD6-EB52-4EDD-8B02-C2FDDE29A0C3}" name="Closed By" dataDxfId="255"/>
    <tableColumn id="38" xr3:uid="{D2E6DE46-00C5-47CD-8D56-679C6B9231C3}" name="Closed Status" dataDxfId="254"/>
    <tableColumn id="39" xr3:uid="{AF061364-7EC4-4929-ABE8-D32EE550735F}" name="Closed Status Code" dataDxfId="253"/>
    <tableColumn id="40" xr3:uid="{51092024-4A38-4635-BBB0-93E9329BC1C9}" name="Closing Comment" dataDxfId="252"/>
    <tableColumn id="41" xr3:uid="{AC3834F6-5CEC-440B-928B-01EC3E7BDF1E}" name="Comment Count" dataDxfId="251"/>
    <tableColumn id="42" xr3:uid="{05057B0F-10F6-44A6-8E43-2557961B267D}" name="Completed Work" dataDxfId="250"/>
    <tableColumn id="45" xr3:uid="{56C17CF0-AD7C-496B-9B9C-74C0BD262F26}" name="Finish Date" dataDxfId="249"/>
    <tableColumn id="46" xr3:uid="{BB6A137A-A54A-43F3-82E8-009E590FF132}" name="History" dataDxfId="248"/>
    <tableColumn id="47" xr3:uid="{150566EA-001F-4FC8-95E2-8E7EEF283B72}" name="Integration Build" dataDxfId="247"/>
    <tableColumn id="48" xr3:uid="{1057BE35-618C-459E-B828-C13D1A54E387}" name="Issue" dataDxfId="246"/>
    <tableColumn id="49" xr3:uid="{D7DF83F0-E204-4E64-BE94-A057EA028F04}" name="Iteration Path" dataDxfId="245"/>
    <tableColumn id="50" xr3:uid="{5D178BA9-B5D5-4CBE-9B91-534B570F4CA2}" name="Local Data Source" dataDxfId="244"/>
    <tableColumn id="51" xr3:uid="{DDE69288-1165-449B-865C-22E32EEA612E}" name="Node Name" dataDxfId="243"/>
    <tableColumn id="52" xr3:uid="{9025CAEF-A3AB-414F-AB22-B79CBFC8ABB5}" name="Parameters" dataDxfId="242"/>
    <tableColumn id="53" xr3:uid="{227A0FF7-0563-4D99-A2B5-DA58FA4A9866}" name="Parent" dataDxfId="241"/>
    <tableColumn id="54" xr3:uid="{7FC691CE-DABA-4D0E-B981-7703A29D53C7}" name="Query Text" dataDxfId="240"/>
    <tableColumn id="55" xr3:uid="{018FD539-028C-4786-A9BC-206AEDD008A4}" name="Rating" dataDxfId="239"/>
    <tableColumn id="56" xr3:uid="{E9B36D48-DEAE-4854-9718-1D7022B3B09D}" name="Reason" totalsRowFunction="count" dataDxfId="238"/>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B29524-9EE9-419F-B2F0-7B2FDFD5042E}" name="VSTS_102a646c_ad0a_48ec_88b8_1da5f2d06195" displayName="VSTS_102a646c_ad0a_48ec_88b8_1da5f2d06195" ref="A2:BD24">
  <autoFilter ref="A2:BD24" xr:uid="{44B29524-9EE9-419F-B2F0-7B2FDFD5042E}"/>
  <sortState xmlns:xlrd2="http://schemas.microsoft.com/office/spreadsheetml/2017/richdata2" ref="A3:BD24">
    <sortCondition ref="C2:C24"/>
  </sortState>
  <tableColumns count="56">
    <tableColumn id="1" xr3:uid="{1748DFB8-DBFE-4217-A360-10A2F908C54A}" name="ID" totalsRowLabel="Total" dataDxfId="237"/>
    <tableColumn id="2" xr3:uid="{C0FB6B7E-4D00-42D2-8471-5DDEE1989F56}" name="Title" dataDxfId="236"/>
    <tableColumn id="4" xr3:uid="{65D4EB9B-06BE-4C90-8CF9-EA3EF1BCE761}" name="Board Column" dataDxfId="235"/>
    <tableColumn id="8" xr3:uid="{93A5A1F5-0575-4084-ABC6-3E80B493786A}" name="Assigned To" dataDxfId="234"/>
    <tableColumn id="14" xr3:uid="{8BCFDBDD-4D0C-41D3-BA57-1678B95EDB8A}" name="Tags" dataDxfId="233"/>
    <tableColumn id="3" xr3:uid="{2E5D8AB3-8D54-4F5B-8C07-91591ED30537}" name="Priority" dataDxfId="232"/>
    <tableColumn id="5" xr3:uid="{C9CAE9FF-9AF1-4357-988C-903544B4ED0A}" name="State" dataDxfId="231"/>
    <tableColumn id="6" xr3:uid="{CEC3385D-B36F-4FFA-B088-53B3484FE65D}" name="Changed Date" dataDxfId="230"/>
    <tableColumn id="7" xr3:uid="{D63FBA4C-9ED6-45A6-BF35-1859C4434770}" name="Changed By" dataDxfId="229"/>
    <tableColumn id="9" xr3:uid="{CC45449B-AE84-492B-B727-2721DB962544}" name="Created Date" dataDxfId="228"/>
    <tableColumn id="10" xr3:uid="{E20B739E-86B1-449B-8D71-DAB9273ABFDA}" name="Created By" dataDxfId="227"/>
    <tableColumn id="11" xr3:uid="{7C12EB28-E9CD-4C75-A1FE-F25A837488DC}" name="Work Item Type" dataDxfId="226"/>
    <tableColumn id="12" xr3:uid="{74B5EA9A-1F7E-4EA0-8EFF-28517A11550C}" name="State Code" dataDxfId="225"/>
    <tableColumn id="13" xr3:uid="{39DCA677-C76E-4531-A0E5-293835FF62A5}" name="Closed Date" dataDxfId="224"/>
    <tableColumn id="15" xr3:uid="{35D8CA64-E6EB-4011-8949-6B1B2A98068C}" name="Accepted Date" dataDxfId="223"/>
    <tableColumn id="16" xr3:uid="{712C01BD-EEB7-4653-82B8-4502EF0FB6E8}" name="Accepted By" dataDxfId="222"/>
    <tableColumn id="17" xr3:uid="{D7CB986D-47E6-43DF-B5E3-41CCB43999B9}" name="Activated By" dataDxfId="221"/>
    <tableColumn id="18" xr3:uid="{922B94EE-7732-4AA7-B7A9-1CF60BFB09A8}" name="Activated Date" dataDxfId="220"/>
    <tableColumn id="19" xr3:uid="{8B018064-E04E-4DF4-B1F3-422075FAD1E1}" name="Activity" dataDxfId="219"/>
    <tableColumn id="20" xr3:uid="{F7EB9B3F-EF83-435F-B753-BF20E0E3B972}" name="Application Launch Instructions" dataDxfId="218"/>
    <tableColumn id="21" xr3:uid="{2818EA74-7CB6-4E68-913E-2E0ACEEFEC44}" name="Application Start Information" dataDxfId="217"/>
    <tableColumn id="22" xr3:uid="{61319855-3523-4389-B806-6AC16E0A7A80}" name="Application Type" dataDxfId="216"/>
    <tableColumn id="23" xr3:uid="{3BF8CA26-30F9-44EC-8092-911D10A33C56}" name="Area Path" dataDxfId="215"/>
    <tableColumn id="24" xr3:uid="{3FF12322-7352-4B9A-9DA3-E7EEB7F9B8D4}" name="Associated Context" dataDxfId="214"/>
    <tableColumn id="25" xr3:uid="{54A92870-A8E2-49D5-B6F8-41548D81FC9A}" name="Associated Context Code" dataDxfId="213"/>
    <tableColumn id="26" xr3:uid="{552E5FCA-13FD-4309-82A9-CB8316C00CAB}" name="Associated Context Owner" dataDxfId="212"/>
    <tableColumn id="27" xr3:uid="{87CB1D04-3E6E-4847-BE6F-E68CC493CBB5}" name="Associated Context Type" dataDxfId="211"/>
    <tableColumn id="28" xr3:uid="{0D53D978-7F50-4A07-B584-DBDDB8881244}" name="Authorized As" dataDxfId="210"/>
    <tableColumn id="29" xr3:uid="{4577A75C-4C34-40C0-9908-7C9241B9CCAB}" name="Authorized Date" dataDxfId="209"/>
    <tableColumn id="30" xr3:uid="{B4512130-D85F-405F-B374-B70DCB8BB435}" name="Automated Test Id" dataDxfId="208"/>
    <tableColumn id="31" xr3:uid="{E036C4E3-F3D0-4A32-A5EE-BEBA824081F3}" name="Automated Test Name" dataDxfId="207"/>
    <tableColumn id="32" xr3:uid="{06875E13-8EF3-4066-8A7A-08096B89890D}" name="Automated Test Storage" dataDxfId="206"/>
    <tableColumn id="33" xr3:uid="{71568FDC-10AB-4173-B1AD-ECDC8D8181C4}" name="Automated Test Type" dataDxfId="205"/>
    <tableColumn id="34" xr3:uid="{D65C676F-32F6-4011-9177-8E3A51EE7DCC}" name="Automation status" dataDxfId="204"/>
    <tableColumn id="35" xr3:uid="{EF48A317-CA31-4871-A0F0-EE295B9DE067}" name="Board Column Done" dataDxfId="203"/>
    <tableColumn id="36" xr3:uid="{DECE1FD3-7CB5-402C-91D8-F259D5D21CE6}" name="Board Lane" dataDxfId="202"/>
    <tableColumn id="37" xr3:uid="{908EB5B5-4E24-4A62-B275-8F7C9E7BE6A6}" name="Closed By" dataDxfId="201"/>
    <tableColumn id="38" xr3:uid="{AC6422B7-DD76-4822-A770-3E748A38FBED}" name="Closed Status" dataDxfId="200"/>
    <tableColumn id="39" xr3:uid="{81CD1FD6-ACE7-4E0C-90DD-1FD6AF912C2B}" name="Closed Status Code" dataDxfId="199"/>
    <tableColumn id="40" xr3:uid="{8BAA5844-7064-4087-B96D-BBFFCC821745}" name="Closing Comment" dataDxfId="198"/>
    <tableColumn id="41" xr3:uid="{A57DDB29-C9EE-4EAC-B77A-C10BCCB52D3F}" name="Comment Count" dataDxfId="197"/>
    <tableColumn id="42" xr3:uid="{16081AE5-C52F-4B8A-AB26-7452CF94E001}" name="Completed Work" dataDxfId="196"/>
    <tableColumn id="43" xr3:uid="{7B19CEB1-00A7-4DC7-BB33-FE070654597E}" name="Description" dataDxfId="195"/>
    <tableColumn id="44" xr3:uid="{06CF4362-8E48-4E56-BEC8-892109166AC0}" name="Effort" dataDxfId="194"/>
    <tableColumn id="45" xr3:uid="{E0C9BFFD-98BB-4B97-AFC8-BD1979C36AEF}" name="Finish Date" dataDxfId="193"/>
    <tableColumn id="46" xr3:uid="{ECB2A09C-9282-4B0F-9801-F533B158EACC}" name="History" dataDxfId="192"/>
    <tableColumn id="47" xr3:uid="{B4E2A629-93A2-4C3E-99F7-574585D2D3AD}" name="Integration Build" dataDxfId="191"/>
    <tableColumn id="48" xr3:uid="{E86B34D2-E9A9-454E-BC87-9D7000F8758F}" name="Issue" dataDxfId="190"/>
    <tableColumn id="49" xr3:uid="{63F1EF18-0176-4447-AE19-2633949BD97C}" name="Iteration Path" dataDxfId="189"/>
    <tableColumn id="50" xr3:uid="{7D956AF6-ADAE-4AE0-9BC8-FBBFD255F35F}" name="Local Data Source" dataDxfId="188"/>
    <tableColumn id="51" xr3:uid="{3EB46579-D625-436B-AF8D-F9E2125A2C02}" name="Node Name" dataDxfId="187"/>
    <tableColumn id="52" xr3:uid="{AD590B53-0A31-4771-AD65-D2A11ECCB734}" name="Parameters" dataDxfId="186"/>
    <tableColumn id="53" xr3:uid="{9891ED3F-B2F4-43BA-9AA6-2F736609DA48}" name="Parent" dataDxfId="185"/>
    <tableColumn id="54" xr3:uid="{57E0043A-F9F2-4F8C-B16A-56FD3DCF48DF}" name="Query Text" dataDxfId="184"/>
    <tableColumn id="55" xr3:uid="{28E40600-107D-4EAE-9073-0215D88D3FF4}" name="Rating" dataDxfId="183"/>
    <tableColumn id="56" xr3:uid="{0FF85CC9-41C9-4C6D-9A88-D29D0C743452}" name="Reason" totalsRowFunction="count" dataDxfId="182"/>
  </tableColumns>
  <tableStyleInfo name="TableStyleMedium2"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A4C7C9-2499-4384-AB0B-D0CCC2C0F671}" name="VSTS_c467189f_b1e3_4921_ac93_2d6d7014346c" displayName="VSTS_c467189f_b1e3_4921_ac93_2d6d7014346c" ref="A2:BD18" totalsRowCount="1" headerRowDxfId="181">
  <autoFilter ref="A2:BD17" xr:uid="{2BA4C7C9-2499-4384-AB0B-D0CCC2C0F671}"/>
  <sortState xmlns:xlrd2="http://schemas.microsoft.com/office/spreadsheetml/2017/richdata2" ref="A3:BD12">
    <sortCondition ref="A2:A12"/>
  </sortState>
  <tableColumns count="56">
    <tableColumn id="1" xr3:uid="{2AB92B8E-3084-4268-96D4-885A0C0A0B46}" name="ID" totalsRowLabel="Total" dataDxfId="180" totalsRowDxfId="179"/>
    <tableColumn id="2" xr3:uid="{03399BC0-5A91-41C2-B9FF-C3977E63C1B6}" name="Title" dataDxfId="178" totalsRowDxfId="177"/>
    <tableColumn id="4" xr3:uid="{3936AEE4-32FE-4538-85B8-14E48FDD5E8B}" name="Board Column" dataDxfId="176" totalsRowDxfId="175"/>
    <tableColumn id="8" xr3:uid="{CE9F0B94-03E4-46D7-BEEC-2743E1AA7E2C}" name="Assigned To" dataDxfId="174" totalsRowDxfId="173"/>
    <tableColumn id="14" xr3:uid="{E6055F34-0347-446D-891B-116567511DCD}" name="Tags" dataDxfId="172" totalsRowDxfId="171"/>
    <tableColumn id="5" xr3:uid="{DC2C8FB6-5542-4AF9-9C0C-E1952E51B491}" name="State" dataDxfId="170" totalsRowDxfId="169"/>
    <tableColumn id="3" xr3:uid="{8141914D-4B81-49B0-9933-CBFD5C4C6214}" name="Priority" dataDxfId="168" totalsRowDxfId="167"/>
    <tableColumn id="6" xr3:uid="{29187DA2-0ED5-42AF-BE91-60933C759A63}" name="Changed Date" dataDxfId="166" totalsRowDxfId="165"/>
    <tableColumn id="7" xr3:uid="{E7931641-4B13-4D36-A2A0-4F434628B69E}" name="Changed By" dataDxfId="164" totalsRowDxfId="163"/>
    <tableColumn id="9" xr3:uid="{0DD20A67-1991-4E58-A110-32F9C474A9D9}" name="Created Date" dataDxfId="162" totalsRowDxfId="161"/>
    <tableColumn id="10" xr3:uid="{E7B4BFAC-C18C-4844-AA12-C026A04A91C2}" name="Created By" dataDxfId="160" totalsRowDxfId="159"/>
    <tableColumn id="11" xr3:uid="{B3F08589-08FB-433D-9046-1E9641E8C8A6}" name="Work Item Type" dataDxfId="158" totalsRowDxfId="157"/>
    <tableColumn id="12" xr3:uid="{0D97B2E4-4478-418B-A25B-296D1DD1128E}" name="State Code" dataDxfId="156" totalsRowDxfId="155"/>
    <tableColumn id="13" xr3:uid="{DE1DEB5D-03C3-4B4A-80F7-3B1A44B54218}" name="Closed Date" dataDxfId="154" totalsRowDxfId="153"/>
    <tableColumn id="15" xr3:uid="{8F4B12A7-8074-4DE2-8D17-1175609B0C0E}" name="Accepted Date" dataDxfId="152" totalsRowDxfId="151"/>
    <tableColumn id="16" xr3:uid="{7DB963E9-2274-49A0-A9E3-08612555134A}" name="Accepted By" dataDxfId="150" totalsRowDxfId="149"/>
    <tableColumn id="17" xr3:uid="{AAFD9FFA-DB6C-48B3-A5E6-444370F61B16}" name="Activated By" dataDxfId="148" totalsRowDxfId="147"/>
    <tableColumn id="18" xr3:uid="{7AB89D33-2EC2-4935-AAC4-F1FA9DBE8E02}" name="Activated Date" dataDxfId="146" totalsRowDxfId="145"/>
    <tableColumn id="19" xr3:uid="{F82C02AF-A3DE-4561-B078-6B09A5A884EC}" name="Activity" dataDxfId="144" totalsRowDxfId="143"/>
    <tableColumn id="20" xr3:uid="{314D5D47-F5ED-4DA3-B510-8C3F02E8C884}" name="Application Launch Instructions" dataDxfId="142" totalsRowDxfId="141"/>
    <tableColumn id="21" xr3:uid="{77B94FB9-0F21-4CD4-AF3A-C69666AD9680}" name="Application Start Information" dataDxfId="140" totalsRowDxfId="139"/>
    <tableColumn id="22" xr3:uid="{BAC530EE-5306-4203-8441-4AA6C365574D}" name="Application Type" dataDxfId="138" totalsRowDxfId="137"/>
    <tableColumn id="23" xr3:uid="{77010995-D744-4FA0-9248-0EF6B6E12E41}" name="Area Path" dataDxfId="136" totalsRowDxfId="135"/>
    <tableColumn id="24" xr3:uid="{E025C4A9-797E-42F7-B0A4-C06B5CB5266B}" name="Associated Context" dataDxfId="134" totalsRowDxfId="133"/>
    <tableColumn id="25" xr3:uid="{5BAF695D-EF76-4472-86B6-703BEB607ED2}" name="Associated Context Code" dataDxfId="132" totalsRowDxfId="131"/>
    <tableColumn id="26" xr3:uid="{2BE6AE03-98E4-443A-B297-62E5CAEE24AA}" name="Associated Context Owner" dataDxfId="130" totalsRowDxfId="129"/>
    <tableColumn id="27" xr3:uid="{E27E5A09-7D67-4F67-89A8-DAA5A25BA9A0}" name="Associated Context Type" dataDxfId="128" totalsRowDxfId="127"/>
    <tableColumn id="28" xr3:uid="{3A29BF63-4C04-456A-9B31-2736C98F865B}" name="Authorized As" dataDxfId="126" totalsRowDxfId="125"/>
    <tableColumn id="29" xr3:uid="{F89E610C-3012-44C4-A5E4-A9EBC377391B}" name="Authorized Date" dataDxfId="124" totalsRowDxfId="123"/>
    <tableColumn id="30" xr3:uid="{676CF3C3-2CB0-4D34-AC4D-4417D97E130E}" name="Automated Test Id" dataDxfId="122" totalsRowDxfId="121"/>
    <tableColumn id="31" xr3:uid="{01883BAB-701A-4D5A-960B-D40D65C132C0}" name="Automated Test Name" dataDxfId="120" totalsRowDxfId="119"/>
    <tableColumn id="32" xr3:uid="{58366353-0714-40A7-9205-0979EB51A0E3}" name="Automated Test Storage" dataDxfId="118" totalsRowDxfId="117"/>
    <tableColumn id="33" xr3:uid="{5E56F578-5B6B-4CB6-A600-A882901A3DD1}" name="Automated Test Type" dataDxfId="116" totalsRowDxfId="115"/>
    <tableColumn id="34" xr3:uid="{0727166D-C307-4340-803E-A2C940FD4BD3}" name="Automation status" dataDxfId="114" totalsRowDxfId="113"/>
    <tableColumn id="35" xr3:uid="{5BC44022-D815-4C1C-9F98-6EC4EED0848F}" name="Board Column Done" dataDxfId="112" totalsRowDxfId="111"/>
    <tableColumn id="36" xr3:uid="{141BA20D-BC74-4421-AE32-022EEC4E5D20}" name="Board Lane" dataDxfId="110" totalsRowDxfId="109"/>
    <tableColumn id="37" xr3:uid="{C249D847-4E86-4476-9ADC-EAE95A31935F}" name="Closed By" dataDxfId="108" totalsRowDxfId="107"/>
    <tableColumn id="38" xr3:uid="{51D2A6C0-9273-4146-A960-A4283AEFFBC0}" name="Closed Status" dataDxfId="106" totalsRowDxfId="105"/>
    <tableColumn id="39" xr3:uid="{1145DEB1-E6CB-44B2-807D-1779571040B5}" name="Closed Status Code" dataDxfId="104" totalsRowDxfId="103"/>
    <tableColumn id="40" xr3:uid="{9C645A3E-1F10-4076-B336-4A639E46D098}" name="Closing Comment" dataDxfId="102" totalsRowDxfId="101"/>
    <tableColumn id="41" xr3:uid="{DD174788-9A5C-4FA3-B296-B7533E803D8B}" name="Comment Count" dataDxfId="100" totalsRowDxfId="99"/>
    <tableColumn id="42" xr3:uid="{03B5860D-808B-4DA7-B170-9DD97AF5F237}" name="Completed Work" dataDxfId="98" totalsRowDxfId="97"/>
    <tableColumn id="43" xr3:uid="{C1251F31-3333-42D5-8E27-069E3E354308}" name="Description" dataDxfId="96" totalsRowDxfId="95"/>
    <tableColumn id="44" xr3:uid="{02F30992-FA74-49D8-8A30-56D11928FCC1}" name="Effort" dataDxfId="94" totalsRowDxfId="93"/>
    <tableColumn id="45" xr3:uid="{B81C216D-0AD4-4E7A-BB18-6CA5711A3BC2}" name="Finish Date" dataDxfId="92" totalsRowDxfId="91"/>
    <tableColumn id="46" xr3:uid="{45E42C3E-6778-46E4-AB65-C2BAF073F424}" name="History" dataDxfId="90" totalsRowDxfId="89"/>
    <tableColumn id="47" xr3:uid="{34D911EE-C49A-4BBD-BAFE-F3E686EA6407}" name="Integration Build" dataDxfId="88" totalsRowDxfId="87"/>
    <tableColumn id="48" xr3:uid="{F991C0BD-F163-4560-9A3B-5625C6A8FD89}" name="Issue" dataDxfId="86" totalsRowDxfId="85"/>
    <tableColumn id="49" xr3:uid="{43C0CB7A-DA1E-45C0-9B61-C1C02654B9D6}" name="Iteration Path" dataDxfId="84" totalsRowDxfId="83"/>
    <tableColumn id="50" xr3:uid="{CDA6718A-8CCE-4739-ABAF-692D416F57A0}" name="Local Data Source" dataDxfId="82" totalsRowDxfId="81"/>
    <tableColumn id="51" xr3:uid="{61E41826-B044-4DB8-A07C-C998FA2E8FC7}" name="Node Name" dataDxfId="80" totalsRowDxfId="79"/>
    <tableColumn id="52" xr3:uid="{8DC0C0FE-543A-44DC-BE53-56E5811F32CE}" name="Parameters" dataDxfId="78" totalsRowDxfId="77"/>
    <tableColumn id="53" xr3:uid="{A27341DE-B84D-42B0-B24F-BEFDD82551DB}" name="Parent" dataDxfId="76" totalsRowDxfId="75"/>
    <tableColumn id="54" xr3:uid="{BBD999F6-567A-43D4-8D42-D5959B5CFC70}" name="Query Text" dataDxfId="74" totalsRowDxfId="73"/>
    <tableColumn id="55" xr3:uid="{762AC079-118F-4462-9C32-90FD902DD9F6}" name="Rating" dataDxfId="72" totalsRowDxfId="71"/>
    <tableColumn id="56" xr3:uid="{5339C86D-9EFC-4147-B783-4FDC0D87FE23}" name="Reason" totalsRowFunction="count" dataDxfId="70" totalsRowDxfId="69"/>
  </tableColumns>
  <tableStyleInfo name="TableStyleMedium2"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0F7003-DB8F-432C-ADEE-E37AEA47B8C0}" name="VSTS_1c6fc82a_d22e_401e_bb21_5879a2d4167f" displayName="VSTS_1c6fc82a_d22e_401e_bb21_5879a2d4167f" ref="A2:BD89" totalsRowShown="0">
  <autoFilter ref="A2:BD89" xr:uid="{B70F7003-DB8F-432C-ADEE-E37AEA47B8C0}">
    <filterColumn colId="6">
      <filters>
        <filter val="Aprovado"/>
        <filter val="Backlog"/>
        <filter val="Em Desenvolvimento"/>
        <filter val="Release"/>
      </filters>
    </filterColumn>
  </autoFilter>
  <tableColumns count="56">
    <tableColumn id="1" xr3:uid="{BA3F3CF3-8C82-4727-A1D8-3340F1FDA2C5}" name="ID" dataDxfId="68"/>
    <tableColumn id="2" xr3:uid="{E860BAD3-1A1D-4A96-9E28-10E34A6ABE33}" name="Created Date" dataDxfId="67"/>
    <tableColumn id="3" xr3:uid="{0ACF512E-CE25-4090-A8F1-3EE55473F06A}" name="Changed Date" dataDxfId="66"/>
    <tableColumn id="4" xr3:uid="{8033BB18-0ABD-4D43-ACEA-20F5D90F4572}" name="Closed Date" dataDxfId="65"/>
    <tableColumn id="5" xr3:uid="{C07D45B0-4DE3-4366-9283-9022EB254494}" name="Title" dataDxfId="64"/>
    <tableColumn id="6" xr3:uid="{BA3A1200-79C9-4B89-936A-3F5BF52040D2}" name="Description" dataDxfId="63"/>
    <tableColumn id="7" xr3:uid="{D0F74B5A-5E59-46F6-AEFE-2ECC815C3757}" name="Board Column" dataDxfId="62"/>
    <tableColumn id="8" xr3:uid="{61C888CF-63BC-488B-A2C8-409E18D80C32}" name="Tags" dataDxfId="61"/>
    <tableColumn id="9" xr3:uid="{3E69A928-7126-477D-A462-2FB04EC1716C}" name="Priority" dataDxfId="60"/>
    <tableColumn id="10" xr3:uid="{2CAFBE67-C6F3-43F3-9CA6-E2F198FA1DC3}" name="Assigned To" dataDxfId="59"/>
    <tableColumn id="11" xr3:uid="{BFF2156B-3768-4596-8959-6FD5BA1B75EE}" name="State" dataDxfId="58"/>
    <tableColumn id="12" xr3:uid="{7190772E-52DE-4E76-B71D-463F6377F1C2}" name="Changed By" dataDxfId="57"/>
    <tableColumn id="13" xr3:uid="{01AEEA28-1AEE-44A4-A7F3-B5698F089122}" name="Created By" dataDxfId="56"/>
    <tableColumn id="14" xr3:uid="{7E373D9F-5701-4D52-9DB9-8F64B51464C0}" name="Work Item Type" dataDxfId="55"/>
    <tableColumn id="15" xr3:uid="{D2E758BC-1D61-4590-928E-A04A2CE9E5BB}" name="State Code" dataDxfId="54"/>
    <tableColumn id="16" xr3:uid="{C6C78A98-D703-4C6A-8CBA-B5CFF61641FB}" name="Accepted Date" dataDxfId="53"/>
    <tableColumn id="17" xr3:uid="{8B255267-9AB2-45A6-8FC6-7AE47E07E4B5}" name="Accepted By" dataDxfId="52"/>
    <tableColumn id="18" xr3:uid="{FDCD5475-7D8D-405F-B606-AA611B4C319A}" name="Activated By" dataDxfId="51"/>
    <tableColumn id="19" xr3:uid="{A4DC54A8-EEF2-41D8-B906-863FD41FDE8F}" name="Activated Date" dataDxfId="50"/>
    <tableColumn id="20" xr3:uid="{85BA2D02-6C45-4D53-A68D-FD31A679A591}" name="Activity" dataDxfId="49"/>
    <tableColumn id="21" xr3:uid="{A243854B-3F4F-47EC-BD86-B6AE40A4CFFD}" name="Application Launch Instructions" dataDxfId="48"/>
    <tableColumn id="22" xr3:uid="{9CC3AE5D-8CDC-481B-BBDA-79CFF728C88B}" name="Application Start Information" dataDxfId="47"/>
    <tableColumn id="23" xr3:uid="{616FB123-43C6-43CF-96AC-1357D0C03935}" name="Application Type" dataDxfId="46"/>
    <tableColumn id="24" xr3:uid="{1A001794-161A-473C-A65B-86024983FE4C}" name="Area Path" dataDxfId="45"/>
    <tableColumn id="25" xr3:uid="{6162E52D-F66E-4548-AE1E-02B660CAB90A}" name="Associated Context" dataDxfId="44"/>
    <tableColumn id="26" xr3:uid="{A91CE637-C1A4-4B8E-B01F-590531C1AE17}" name="Associated Context Code" dataDxfId="43"/>
    <tableColumn id="27" xr3:uid="{60279C9A-BEFE-43DB-B57E-F7686B818959}" name="Associated Context Owner" dataDxfId="42"/>
    <tableColumn id="28" xr3:uid="{E73B31FE-B4C9-4148-9CD6-675529BECEB1}" name="Associated Context Type" dataDxfId="41"/>
    <tableColumn id="29" xr3:uid="{EB41ECB2-B389-44D9-9AC6-86EEA7852E89}" name="Authorized As" dataDxfId="40"/>
    <tableColumn id="30" xr3:uid="{042798C5-FC42-4F93-BEF4-2B2E1E016A02}" name="Authorized Date" dataDxfId="39"/>
    <tableColumn id="31" xr3:uid="{4D8DF876-7853-4089-A662-3EE2AC8E104F}" name="Automated Test Id" dataDxfId="38"/>
    <tableColumn id="32" xr3:uid="{F6CF7CDE-D08E-4DEB-8DF9-3550B1580729}" name="Automated Test Name" dataDxfId="37"/>
    <tableColumn id="33" xr3:uid="{F0E0BEBE-BA51-4D51-83C1-643C7E278ED2}" name="Automated Test Storage" dataDxfId="36"/>
    <tableColumn id="34" xr3:uid="{C327CA43-EAD7-47F8-A10B-9F0F185B5375}" name="Automated Test Type" dataDxfId="35"/>
    <tableColumn id="35" xr3:uid="{920407F2-5610-4471-9540-9B35BC859F4A}" name="Automation status" dataDxfId="34"/>
    <tableColumn id="36" xr3:uid="{BE8509D4-73D7-48C2-BE09-D5FBDBBCDA1A}" name="Board Column Done" dataDxfId="33"/>
    <tableColumn id="37" xr3:uid="{0F0F99A0-AE6A-468D-81D2-C03664AFC030}" name="Board Lane" dataDxfId="32"/>
    <tableColumn id="38" xr3:uid="{DB9775DA-75D7-4FDF-AD79-E81893CBC1D6}" name="Closed By" dataDxfId="31"/>
    <tableColumn id="39" xr3:uid="{0095C61E-BF4D-4F1C-9731-EBA073ECF86E}" name="Closed Status" dataDxfId="30"/>
    <tableColumn id="40" xr3:uid="{C07BAC48-0962-4125-9798-33DE6C9132B5}" name="Closed Status Code" dataDxfId="29"/>
    <tableColumn id="41" xr3:uid="{F4D33C3E-17CB-441E-AE3E-9700F3D932EC}" name="Closing Comment" dataDxfId="28"/>
    <tableColumn id="42" xr3:uid="{6EA59FD9-5897-4C78-8E03-A0A3766B5DEE}" name="Comment Count" dataDxfId="27"/>
    <tableColumn id="43" xr3:uid="{E8326FC4-65B2-4F2D-B59E-EA964F3DA7BA}" name="Completed Work" dataDxfId="26"/>
    <tableColumn id="44" xr3:uid="{5666BBA9-7977-4543-B7D1-80CBC24FEF8F}" name="Effort" dataDxfId="25"/>
    <tableColumn id="45" xr3:uid="{7123E588-FB9C-4B84-9A6F-AC096FC8AE63}" name="Finish Date" dataDxfId="24"/>
    <tableColumn id="46" xr3:uid="{FB9F5AFD-2458-4024-8131-6FEC98EBEF72}" name="History" dataDxfId="23"/>
    <tableColumn id="47" xr3:uid="{10EBC217-BF9F-4086-B67A-EE6A9C76280C}" name="Integration Build" dataDxfId="22"/>
    <tableColumn id="48" xr3:uid="{360F6DBD-3577-4445-B9C3-B6653DFFD54A}" name="Issue" dataDxfId="21"/>
    <tableColumn id="49" xr3:uid="{FB80134D-C018-4133-A4CD-C748A279C520}" name="Iteration Path" dataDxfId="20"/>
    <tableColumn id="50" xr3:uid="{2A59FA3B-4D09-49DD-AFEE-9A0174E849BF}" name="Local Data Source" dataDxfId="19"/>
    <tableColumn id="51" xr3:uid="{D47280AE-9BD0-48B6-BAB8-03D70D128207}" name="Node Name" dataDxfId="18"/>
    <tableColumn id="52" xr3:uid="{5A6A8E27-BCFE-4D7D-9043-59D419DA03F4}" name="Parameters" dataDxfId="17"/>
    <tableColumn id="53" xr3:uid="{CF36ACC4-4238-485B-9857-50918D3CC198}" name="Parent" dataDxfId="16"/>
    <tableColumn id="54" xr3:uid="{FD902A8A-696E-4DFE-8AC8-D5B0153193F8}" name="Query Text" dataDxfId="15"/>
    <tableColumn id="55" xr3:uid="{9516AD36-E36A-4568-8BFB-7A16DA8A7E96}" name="Rating" dataDxfId="14"/>
    <tableColumn id="56" xr3:uid="{CD167068-E7CE-43C0-B8DB-EAC0D7BFF96E}" name="Reason" dataDxfId="13"/>
  </tableColumns>
  <tableStyleInfo name="TableStyleMedium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91A9D-A9EA-4070-A657-996FC22EDBA8}">
  <dimension ref="A1:BI191"/>
  <sheetViews>
    <sheetView tabSelected="1" zoomScaleNormal="100" workbookViewId="0">
      <selection activeCell="A9" sqref="A9"/>
    </sheetView>
  </sheetViews>
  <sheetFormatPr defaultRowHeight="13.5" customHeight="1" x14ac:dyDescent="0.25"/>
  <cols>
    <col min="1" max="1" width="7" customWidth="1"/>
    <col min="2" max="2" width="95" customWidth="1"/>
    <col min="3" max="3" width="17.5703125" style="40" customWidth="1"/>
    <col min="4" max="4" width="14" style="54" customWidth="1"/>
    <col min="5" max="5" width="33.28515625" style="40" customWidth="1"/>
    <col min="6" max="6" width="14.5703125" customWidth="1"/>
    <col min="7" max="7" width="13.5703125" customWidth="1"/>
    <col min="8" max="8" width="12.5703125" customWidth="1"/>
    <col min="9" max="9" width="13.28515625" customWidth="1"/>
    <col min="10" max="10" width="9.85546875" customWidth="1"/>
    <col min="11" max="11" width="21" customWidth="1"/>
    <col min="12" max="12" width="21.140625" customWidth="1"/>
    <col min="13" max="13" width="27.42578125" customWidth="1"/>
    <col min="14" max="14" width="7.85546875" customWidth="1"/>
    <col min="15" max="15" width="42.7109375" customWidth="1"/>
    <col min="16" max="17" width="15.85546875" customWidth="1"/>
    <col min="18" max="18" width="13.85546875" customWidth="1"/>
    <col min="19" max="19" width="35.42578125" customWidth="1"/>
    <col min="20" max="20" width="37.28515625" customWidth="1"/>
    <col min="21" max="21" width="100.140625" customWidth="1"/>
    <col min="22" max="22" width="17.85546875" customWidth="1"/>
    <col min="23" max="23" width="21.28515625" customWidth="1"/>
    <col min="24" max="24" width="19.140625" customWidth="1"/>
    <col min="25" max="25" width="31.28515625" customWidth="1"/>
    <col min="26" max="26" width="21.42578125" customWidth="1"/>
    <col min="27" max="27" width="15" customWidth="1"/>
    <col min="28" max="28" width="36.42578125" customWidth="1"/>
    <col min="29" max="29" width="34.5703125" customWidth="1"/>
    <col min="30" max="30" width="23.28515625" customWidth="1"/>
    <col min="31" max="31" width="31.85546875" customWidth="1"/>
    <col min="32" max="32" width="25.5703125" customWidth="1"/>
    <col min="33" max="33" width="30.7109375" customWidth="1"/>
    <col min="34" max="34" width="32.140625" customWidth="1"/>
    <col min="35" max="35" width="30.42578125" customWidth="1"/>
    <col min="36" max="36" width="35.42578125" customWidth="1"/>
    <col min="37" max="37" width="22.85546875" customWidth="1"/>
    <col min="38" max="38" width="24.85546875" customWidth="1"/>
    <col min="39" max="39" width="28.42578125" customWidth="1"/>
    <col min="40" max="40" width="30" customWidth="1"/>
    <col min="41" max="41" width="27.42578125" customWidth="1"/>
    <col min="42" max="42" width="24.85546875" customWidth="1"/>
    <col min="43" max="43" width="18" customWidth="1"/>
    <col min="44" max="44" width="16.85546875" customWidth="1"/>
    <col min="45" max="45" width="20.140625" customWidth="1"/>
    <col min="46" max="46" width="25.42578125" customWidth="1"/>
    <col min="47" max="47" width="24" customWidth="1"/>
    <col min="48" max="48" width="22.85546875" customWidth="1"/>
    <col min="49" max="49" width="23.5703125" customWidth="1"/>
    <col min="50" max="50" width="18.140625" customWidth="1"/>
    <col min="51" max="51" width="58.5703125" customWidth="1"/>
    <col min="52" max="52" width="23.28515625" customWidth="1"/>
    <col min="53" max="53" width="12.85546875" customWidth="1"/>
    <col min="54" max="54" width="20.5703125" customWidth="1"/>
    <col min="55" max="55" width="23.7109375" customWidth="1"/>
    <col min="56" max="56" width="31" customWidth="1"/>
    <col min="57" max="57" width="18.42578125" customWidth="1"/>
    <col min="58" max="58" width="14.140625" customWidth="1"/>
    <col min="59" max="59" width="18" customWidth="1"/>
    <col min="60" max="60" width="13.85546875" customWidth="1"/>
    <col min="61" max="61" width="21.7109375" customWidth="1"/>
  </cols>
  <sheetData>
    <row r="1" spans="1:61" ht="27.95" customHeight="1" x14ac:dyDescent="0.25">
      <c r="A1" s="5" t="s">
        <v>1109</v>
      </c>
      <c r="B1" s="6"/>
      <c r="C1" s="38"/>
      <c r="D1" s="51"/>
      <c r="E1" s="38"/>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row>
    <row r="2" spans="1:61" ht="13.5" customHeight="1" x14ac:dyDescent="0.25">
      <c r="A2" s="41" t="s">
        <v>0</v>
      </c>
      <c r="B2" s="41" t="s">
        <v>1</v>
      </c>
      <c r="C2" s="41" t="s">
        <v>10</v>
      </c>
      <c r="D2" s="41" t="s">
        <v>725</v>
      </c>
      <c r="E2" s="41" t="s">
        <v>605</v>
      </c>
      <c r="F2" s="41" t="s">
        <v>726</v>
      </c>
      <c r="G2" s="41" t="s">
        <v>714</v>
      </c>
      <c r="H2" s="41" t="s">
        <v>727</v>
      </c>
      <c r="I2" s="41" t="s">
        <v>43</v>
      </c>
      <c r="J2" s="41" t="s">
        <v>2</v>
      </c>
      <c r="K2" s="52" t="s">
        <v>3</v>
      </c>
      <c r="L2" s="52" t="s">
        <v>34</v>
      </c>
      <c r="M2" s="41" t="s">
        <v>7</v>
      </c>
      <c r="N2" s="41" t="s">
        <v>4</v>
      </c>
      <c r="O2" s="41" t="s">
        <v>42</v>
      </c>
      <c r="P2" s="41" t="s">
        <v>8</v>
      </c>
      <c r="Q2" s="41" t="s">
        <v>5</v>
      </c>
      <c r="R2" s="41" t="s">
        <v>12</v>
      </c>
      <c r="S2" s="41" t="s">
        <v>6</v>
      </c>
      <c r="T2" s="41" t="s">
        <v>9</v>
      </c>
      <c r="U2" s="41" t="s">
        <v>13</v>
      </c>
      <c r="V2" s="41" t="s">
        <v>11</v>
      </c>
      <c r="W2" s="41" t="s">
        <v>14</v>
      </c>
      <c r="X2" s="41" t="s">
        <v>15</v>
      </c>
      <c r="Y2" s="41" t="s">
        <v>16</v>
      </c>
      <c r="Z2" s="41" t="s">
        <v>17</v>
      </c>
      <c r="AA2" s="41" t="s">
        <v>18</v>
      </c>
      <c r="AB2" s="41" t="s">
        <v>19</v>
      </c>
      <c r="AC2" s="41" t="s">
        <v>20</v>
      </c>
      <c r="AD2" s="41" t="s">
        <v>21</v>
      </c>
      <c r="AE2" s="41" t="s">
        <v>22</v>
      </c>
      <c r="AF2" s="41" t="s">
        <v>23</v>
      </c>
      <c r="AG2" s="41" t="s">
        <v>24</v>
      </c>
      <c r="AH2" s="41" t="s">
        <v>25</v>
      </c>
      <c r="AI2" s="41" t="s">
        <v>26</v>
      </c>
      <c r="AJ2" s="41" t="s">
        <v>27</v>
      </c>
      <c r="AK2" s="41" t="s">
        <v>28</v>
      </c>
      <c r="AL2" s="41" t="s">
        <v>29</v>
      </c>
      <c r="AM2" s="41" t="s">
        <v>30</v>
      </c>
      <c r="AN2" s="41" t="s">
        <v>31</v>
      </c>
      <c r="AO2" s="41" t="s">
        <v>32</v>
      </c>
      <c r="AP2" s="41" t="s">
        <v>33</v>
      </c>
      <c r="AQ2" s="41" t="s">
        <v>35</v>
      </c>
      <c r="AR2" s="41" t="s">
        <v>36</v>
      </c>
      <c r="AS2" s="41" t="s">
        <v>37</v>
      </c>
      <c r="AT2" s="41" t="s">
        <v>38</v>
      </c>
      <c r="AU2" s="41" t="s">
        <v>39</v>
      </c>
      <c r="AV2" s="41" t="s">
        <v>40</v>
      </c>
      <c r="AW2" s="41" t="s">
        <v>41</v>
      </c>
      <c r="AX2" s="41" t="s">
        <v>44</v>
      </c>
      <c r="AY2" s="41" t="s">
        <v>45</v>
      </c>
      <c r="AZ2" s="41" t="s">
        <v>46</v>
      </c>
      <c r="BA2" s="41" t="s">
        <v>47</v>
      </c>
      <c r="BB2" s="41" t="s">
        <v>48</v>
      </c>
      <c r="BC2" s="41" t="s">
        <v>49</v>
      </c>
      <c r="BD2" s="41" t="s">
        <v>50</v>
      </c>
      <c r="BE2" s="41" t="s">
        <v>51</v>
      </c>
      <c r="BF2" s="41" t="s">
        <v>52</v>
      </c>
      <c r="BG2" s="41" t="s">
        <v>53</v>
      </c>
      <c r="BH2" s="41" t="s">
        <v>54</v>
      </c>
      <c r="BI2" s="41" t="s">
        <v>55</v>
      </c>
    </row>
    <row r="3" spans="1:61" ht="13.5" hidden="1" customHeight="1" x14ac:dyDescent="0.25">
      <c r="A3" s="2">
        <v>2120</v>
      </c>
      <c r="B3" s="1" t="s">
        <v>949</v>
      </c>
      <c r="C3" s="1" t="s">
        <v>47</v>
      </c>
      <c r="D3" s="1" t="s">
        <v>745</v>
      </c>
      <c r="E3" s="1" t="s">
        <v>732</v>
      </c>
      <c r="F3" s="1" t="s">
        <v>323</v>
      </c>
      <c r="G3" s="2">
        <v>41</v>
      </c>
      <c r="H3" s="103">
        <v>60</v>
      </c>
      <c r="I3" s="4"/>
      <c r="J3" s="39">
        <v>1</v>
      </c>
      <c r="K3" s="53" t="s">
        <v>250</v>
      </c>
      <c r="L3" s="66">
        <v>0</v>
      </c>
      <c r="M3" s="8" t="s">
        <v>1030</v>
      </c>
      <c r="N3" s="1" t="s">
        <v>177</v>
      </c>
      <c r="O3" s="7" t="s">
        <v>950</v>
      </c>
      <c r="P3" s="99">
        <v>46240.378530092596</v>
      </c>
      <c r="Q3" s="99">
        <v>46304.430231481485</v>
      </c>
      <c r="R3" s="99"/>
      <c r="S3" s="1" t="s">
        <v>380</v>
      </c>
      <c r="T3" s="1" t="s">
        <v>157</v>
      </c>
      <c r="U3" s="4"/>
      <c r="V3" s="2"/>
      <c r="W3" s="99"/>
      <c r="X3" s="1"/>
      <c r="Y3" s="1" t="s">
        <v>1030</v>
      </c>
      <c r="Z3" s="99">
        <v>46301.389976851853</v>
      </c>
      <c r="AA3" s="1"/>
      <c r="AB3" s="4"/>
      <c r="AC3" s="4"/>
      <c r="AD3" s="1"/>
      <c r="AE3" s="1" t="s">
        <v>63</v>
      </c>
      <c r="AF3" s="1"/>
      <c r="AG3" s="2"/>
      <c r="AH3" s="1"/>
      <c r="AI3" s="1"/>
      <c r="AJ3" s="1" t="s">
        <v>81</v>
      </c>
      <c r="AK3" s="99">
        <v>46304.430231481485</v>
      </c>
      <c r="AL3" s="1"/>
      <c r="AM3" s="1"/>
      <c r="AN3" s="1"/>
      <c r="AO3" s="1"/>
      <c r="AP3" s="1"/>
      <c r="AQ3" s="1"/>
      <c r="AR3" s="1"/>
      <c r="AS3" s="1"/>
      <c r="AT3" s="2"/>
      <c r="AU3" s="1"/>
      <c r="AV3" s="2">
        <v>1</v>
      </c>
      <c r="AW3" s="4"/>
      <c r="AX3" s="99"/>
      <c r="AY3" s="4"/>
      <c r="AZ3" s="1"/>
      <c r="BA3" s="1"/>
      <c r="BB3" s="1" t="s">
        <v>514</v>
      </c>
      <c r="BC3" s="4"/>
      <c r="BD3" s="1" t="s">
        <v>85</v>
      </c>
      <c r="BE3" s="4"/>
      <c r="BF3" s="2"/>
      <c r="BG3" s="4"/>
      <c r="BH3" s="1"/>
      <c r="BI3" s="1" t="s">
        <v>191</v>
      </c>
    </row>
    <row r="4" spans="1:61" ht="13.5" hidden="1" customHeight="1" x14ac:dyDescent="0.25">
      <c r="A4" s="2">
        <v>2119</v>
      </c>
      <c r="B4" s="1" t="s">
        <v>945</v>
      </c>
      <c r="C4" s="1" t="s">
        <v>47</v>
      </c>
      <c r="D4" s="1" t="s">
        <v>745</v>
      </c>
      <c r="E4" s="1" t="s">
        <v>732</v>
      </c>
      <c r="F4" s="1" t="s">
        <v>323</v>
      </c>
      <c r="G4" s="2">
        <v>39</v>
      </c>
      <c r="H4" s="103">
        <v>4</v>
      </c>
      <c r="I4" s="4">
        <v>3</v>
      </c>
      <c r="J4" s="39">
        <v>1</v>
      </c>
      <c r="K4" s="53" t="s">
        <v>250</v>
      </c>
      <c r="L4" s="66">
        <v>0</v>
      </c>
      <c r="M4" s="8" t="s">
        <v>810</v>
      </c>
      <c r="N4" s="1" t="s">
        <v>177</v>
      </c>
      <c r="O4" s="7" t="s">
        <v>1075</v>
      </c>
      <c r="P4" s="100">
        <v>46239.776886574073</v>
      </c>
      <c r="Q4" s="100">
        <v>46295.429398148146</v>
      </c>
      <c r="R4" s="100"/>
      <c r="S4" s="1" t="s">
        <v>810</v>
      </c>
      <c r="T4" s="1" t="s">
        <v>81</v>
      </c>
      <c r="U4" s="4"/>
      <c r="V4" s="2"/>
      <c r="W4" s="100"/>
      <c r="X4" s="1"/>
      <c r="Y4" s="1" t="s">
        <v>810</v>
      </c>
      <c r="Z4" s="100">
        <v>46293.695127314815</v>
      </c>
      <c r="AA4" s="1"/>
      <c r="AB4" s="4"/>
      <c r="AC4" s="4"/>
      <c r="AD4" s="1"/>
      <c r="AE4" s="1" t="s">
        <v>63</v>
      </c>
      <c r="AF4" s="1"/>
      <c r="AG4" s="2"/>
      <c r="AH4" s="1"/>
      <c r="AI4" s="1"/>
      <c r="AJ4" s="1" t="s">
        <v>810</v>
      </c>
      <c r="AK4" s="100">
        <v>46295.429398148146</v>
      </c>
      <c r="AL4" s="1"/>
      <c r="AM4" s="1"/>
      <c r="AN4" s="1"/>
      <c r="AO4" s="1"/>
      <c r="AP4" s="1"/>
      <c r="AQ4" s="1"/>
      <c r="AR4" s="1"/>
      <c r="AS4" s="1"/>
      <c r="AT4" s="2"/>
      <c r="AU4" s="1"/>
      <c r="AV4" s="2">
        <v>3</v>
      </c>
      <c r="AW4" s="4"/>
      <c r="AX4" s="100"/>
      <c r="AY4" s="4"/>
      <c r="AZ4" s="1"/>
      <c r="BA4" s="1"/>
      <c r="BB4" s="1" t="s">
        <v>514</v>
      </c>
      <c r="BC4" s="4"/>
      <c r="BD4" s="1" t="s">
        <v>85</v>
      </c>
      <c r="BE4" s="4"/>
      <c r="BF4" s="2"/>
      <c r="BG4" s="4"/>
      <c r="BH4" s="1"/>
      <c r="BI4" s="1" t="s">
        <v>191</v>
      </c>
    </row>
    <row r="5" spans="1:61" ht="13.5" hidden="1" customHeight="1" x14ac:dyDescent="0.25">
      <c r="A5" s="2">
        <v>1762</v>
      </c>
      <c r="B5" s="1" t="s">
        <v>821</v>
      </c>
      <c r="C5" s="1" t="s">
        <v>47</v>
      </c>
      <c r="D5" s="1" t="s">
        <v>745</v>
      </c>
      <c r="E5" s="1" t="s">
        <v>732</v>
      </c>
      <c r="F5" s="1" t="s">
        <v>323</v>
      </c>
      <c r="G5" s="2"/>
      <c r="H5" s="103">
        <v>60</v>
      </c>
      <c r="I5" s="4"/>
      <c r="J5" s="39">
        <v>1</v>
      </c>
      <c r="K5" s="53" t="s">
        <v>1000</v>
      </c>
      <c r="L5" s="66">
        <v>0</v>
      </c>
      <c r="M5" s="8" t="s">
        <v>91</v>
      </c>
      <c r="N5" s="1" t="s">
        <v>178</v>
      </c>
      <c r="O5" s="7" t="s">
        <v>868</v>
      </c>
      <c r="P5" s="100">
        <v>46085.376435185186</v>
      </c>
      <c r="Q5" s="100">
        <v>46290.601736111108</v>
      </c>
      <c r="R5" s="100"/>
      <c r="S5" s="1" t="s">
        <v>380</v>
      </c>
      <c r="T5" s="1" t="s">
        <v>81</v>
      </c>
      <c r="U5" s="4" t="s">
        <v>822</v>
      </c>
      <c r="V5" s="2"/>
      <c r="W5" s="100"/>
      <c r="X5" s="1"/>
      <c r="Y5" s="1"/>
      <c r="Z5" s="100"/>
      <c r="AA5" s="1"/>
      <c r="AB5" s="4"/>
      <c r="AC5" s="4"/>
      <c r="AD5" s="1"/>
      <c r="AE5" s="1" t="s">
        <v>63</v>
      </c>
      <c r="AF5" s="1"/>
      <c r="AG5" s="2"/>
      <c r="AH5" s="1"/>
      <c r="AI5" s="1"/>
      <c r="AJ5" s="1" t="s">
        <v>380</v>
      </c>
      <c r="AK5" s="100">
        <v>46290.601736111108</v>
      </c>
      <c r="AL5" s="1"/>
      <c r="AM5" s="1"/>
      <c r="AN5" s="1"/>
      <c r="AO5" s="1"/>
      <c r="AP5" s="1"/>
      <c r="AQ5" s="1"/>
      <c r="AR5" s="1"/>
      <c r="AS5" s="1"/>
      <c r="AT5" s="2"/>
      <c r="AU5" s="1"/>
      <c r="AV5" s="2">
        <v>6</v>
      </c>
      <c r="AW5" s="4"/>
      <c r="AX5" s="100"/>
      <c r="AY5" s="4"/>
      <c r="AZ5" s="1"/>
      <c r="BA5" s="1"/>
      <c r="BB5" s="1" t="s">
        <v>514</v>
      </c>
      <c r="BC5" s="4"/>
      <c r="BD5" s="1" t="s">
        <v>85</v>
      </c>
      <c r="BE5" s="4"/>
      <c r="BF5" s="2"/>
      <c r="BG5" s="4"/>
      <c r="BH5" s="1"/>
      <c r="BI5" s="1" t="s">
        <v>188</v>
      </c>
    </row>
    <row r="6" spans="1:61" ht="13.5" hidden="1" customHeight="1" x14ac:dyDescent="0.25">
      <c r="A6" s="2">
        <v>2007</v>
      </c>
      <c r="B6" s="1" t="s">
        <v>823</v>
      </c>
      <c r="C6" s="1" t="s">
        <v>47</v>
      </c>
      <c r="D6" s="1" t="s">
        <v>745</v>
      </c>
      <c r="E6" s="1" t="s">
        <v>732</v>
      </c>
      <c r="F6" s="1" t="s">
        <v>323</v>
      </c>
      <c r="G6" s="2"/>
      <c r="H6" s="103">
        <v>4</v>
      </c>
      <c r="I6" s="103"/>
      <c r="J6" s="39">
        <v>1</v>
      </c>
      <c r="K6" s="53" t="s">
        <v>1000</v>
      </c>
      <c r="L6" s="66">
        <v>0</v>
      </c>
      <c r="M6" s="8"/>
      <c r="N6" s="1" t="s">
        <v>178</v>
      </c>
      <c r="O6" s="7" t="s">
        <v>824</v>
      </c>
      <c r="P6" s="100">
        <v>46181.640706018516</v>
      </c>
      <c r="Q6" s="100">
        <v>46276.381631944445</v>
      </c>
      <c r="R6" s="100"/>
      <c r="S6" s="1" t="s">
        <v>157</v>
      </c>
      <c r="T6" s="1" t="s">
        <v>157</v>
      </c>
      <c r="U6" s="4"/>
      <c r="V6" s="2"/>
      <c r="W6" s="100"/>
      <c r="X6" s="1"/>
      <c r="Y6" s="1"/>
      <c r="Z6" s="100"/>
      <c r="AA6" s="1"/>
      <c r="AB6" s="4"/>
      <c r="AC6" s="4"/>
      <c r="AD6" s="1"/>
      <c r="AE6" s="1" t="s">
        <v>63</v>
      </c>
      <c r="AF6" s="1"/>
      <c r="AG6" s="2"/>
      <c r="AH6" s="1"/>
      <c r="AI6" s="1"/>
      <c r="AJ6" s="1" t="s">
        <v>157</v>
      </c>
      <c r="AK6" s="100">
        <v>46276.381631944445</v>
      </c>
      <c r="AL6" s="1"/>
      <c r="AM6" s="1"/>
      <c r="AN6" s="1"/>
      <c r="AO6" s="1"/>
      <c r="AP6" s="1"/>
      <c r="AQ6" s="1"/>
      <c r="AR6" s="1"/>
      <c r="AS6" s="1"/>
      <c r="AT6" s="2"/>
      <c r="AU6" s="1"/>
      <c r="AV6" s="2">
        <v>0</v>
      </c>
      <c r="AW6" s="4"/>
      <c r="AX6" s="100"/>
      <c r="AY6" s="4"/>
      <c r="AZ6" s="1"/>
      <c r="BA6" s="1"/>
      <c r="BB6" s="1" t="s">
        <v>514</v>
      </c>
      <c r="BC6" s="4"/>
      <c r="BD6" s="1" t="s">
        <v>85</v>
      </c>
      <c r="BE6" s="4"/>
      <c r="BF6" s="2"/>
      <c r="BG6" s="4"/>
      <c r="BH6" s="1"/>
      <c r="BI6" s="1" t="s">
        <v>185</v>
      </c>
    </row>
    <row r="7" spans="1:61" ht="13.5" hidden="1" customHeight="1" x14ac:dyDescent="0.25">
      <c r="A7" s="2">
        <v>786</v>
      </c>
      <c r="B7" s="1" t="s">
        <v>261</v>
      </c>
      <c r="C7" s="1" t="s">
        <v>47</v>
      </c>
      <c r="D7" s="1" t="s">
        <v>745</v>
      </c>
      <c r="E7" s="1" t="s">
        <v>732</v>
      </c>
      <c r="F7" s="1" t="s">
        <v>476</v>
      </c>
      <c r="G7" s="2">
        <v>37</v>
      </c>
      <c r="H7" s="103">
        <v>8</v>
      </c>
      <c r="I7" s="103"/>
      <c r="J7" s="39">
        <v>1</v>
      </c>
      <c r="K7" s="53" t="s">
        <v>250</v>
      </c>
      <c r="L7" s="66">
        <v>0</v>
      </c>
      <c r="M7" s="8" t="s">
        <v>810</v>
      </c>
      <c r="N7" s="1" t="s">
        <v>177</v>
      </c>
      <c r="O7" s="7" t="s">
        <v>262</v>
      </c>
      <c r="P7" s="100">
        <v>45734.433356481481</v>
      </c>
      <c r="Q7" s="100">
        <v>46283.699988425928</v>
      </c>
      <c r="R7" s="100"/>
      <c r="S7" s="1" t="s">
        <v>380</v>
      </c>
      <c r="T7" s="1" t="s">
        <v>91</v>
      </c>
      <c r="U7" s="4" t="s">
        <v>553</v>
      </c>
      <c r="V7" s="2"/>
      <c r="W7" s="100"/>
      <c r="X7" s="1"/>
      <c r="Y7" s="1" t="s">
        <v>810</v>
      </c>
      <c r="Z7" s="100">
        <v>46258.589432870373</v>
      </c>
      <c r="AA7" s="1"/>
      <c r="AB7" s="4"/>
      <c r="AC7" s="4"/>
      <c r="AD7" s="1"/>
      <c r="AE7" s="1" t="s">
        <v>63</v>
      </c>
      <c r="AF7" s="1"/>
      <c r="AG7" s="2"/>
      <c r="AH7" s="1"/>
      <c r="AI7" s="1"/>
      <c r="AJ7" s="1" t="s">
        <v>380</v>
      </c>
      <c r="AK7" s="100">
        <v>46283.699988425928</v>
      </c>
      <c r="AL7" s="1"/>
      <c r="AM7" s="1"/>
      <c r="AN7" s="1"/>
      <c r="AO7" s="1"/>
      <c r="AP7" s="1"/>
      <c r="AQ7" s="1"/>
      <c r="AR7" s="1"/>
      <c r="AS7" s="1"/>
      <c r="AT7" s="2"/>
      <c r="AU7" s="1"/>
      <c r="AV7" s="2">
        <v>7</v>
      </c>
      <c r="AW7" s="4"/>
      <c r="AX7" s="100"/>
      <c r="AY7" s="4"/>
      <c r="AZ7" s="1"/>
      <c r="BA7" s="1"/>
      <c r="BB7" s="1" t="s">
        <v>61</v>
      </c>
      <c r="BC7" s="4"/>
      <c r="BD7" s="1" t="s">
        <v>85</v>
      </c>
      <c r="BE7" s="4"/>
      <c r="BF7" s="2"/>
      <c r="BG7" s="4"/>
      <c r="BH7" s="1"/>
      <c r="BI7" s="1" t="s">
        <v>191</v>
      </c>
    </row>
    <row r="8" spans="1:61" ht="13.5" hidden="1" customHeight="1" x14ac:dyDescent="0.25">
      <c r="A8" s="2">
        <v>2205</v>
      </c>
      <c r="B8" s="1" t="s">
        <v>1035</v>
      </c>
      <c r="C8" s="1" t="s">
        <v>47</v>
      </c>
      <c r="D8" s="1" t="s">
        <v>745</v>
      </c>
      <c r="E8" s="1" t="s">
        <v>732</v>
      </c>
      <c r="F8" s="1" t="s">
        <v>323</v>
      </c>
      <c r="G8" s="2">
        <v>39</v>
      </c>
      <c r="H8" s="103">
        <v>16</v>
      </c>
      <c r="I8" s="103"/>
      <c r="J8" s="39">
        <v>1</v>
      </c>
      <c r="K8" s="53" t="s">
        <v>250</v>
      </c>
      <c r="L8" s="66">
        <v>0</v>
      </c>
      <c r="M8" s="8" t="s">
        <v>1030</v>
      </c>
      <c r="N8" s="1" t="s">
        <v>177</v>
      </c>
      <c r="O8" s="7" t="s">
        <v>1036</v>
      </c>
      <c r="P8" s="100">
        <v>46283.508877314816</v>
      </c>
      <c r="Q8" s="100">
        <v>46288.670034722221</v>
      </c>
      <c r="R8" s="100"/>
      <c r="S8" s="1" t="s">
        <v>719</v>
      </c>
      <c r="T8" s="1" t="s">
        <v>157</v>
      </c>
      <c r="U8" s="4"/>
      <c r="V8" s="2"/>
      <c r="W8" s="100"/>
      <c r="X8" s="1"/>
      <c r="Y8" s="1" t="s">
        <v>1030</v>
      </c>
      <c r="Z8" s="100">
        <v>46286.549976851849</v>
      </c>
      <c r="AA8" s="1"/>
      <c r="AB8" s="4"/>
      <c r="AC8" s="4"/>
      <c r="AD8" s="1"/>
      <c r="AE8" s="1" t="s">
        <v>63</v>
      </c>
      <c r="AF8" s="1"/>
      <c r="AG8" s="2"/>
      <c r="AH8" s="1"/>
      <c r="AI8" s="1"/>
      <c r="AJ8" s="1" t="s">
        <v>719</v>
      </c>
      <c r="AK8" s="100">
        <v>46288.670034722221</v>
      </c>
      <c r="AL8" s="1"/>
      <c r="AM8" s="1"/>
      <c r="AN8" s="1"/>
      <c r="AO8" s="1"/>
      <c r="AP8" s="1"/>
      <c r="AQ8" s="1"/>
      <c r="AR8" s="1"/>
      <c r="AS8" s="1"/>
      <c r="AT8" s="2"/>
      <c r="AU8" s="1"/>
      <c r="AV8" s="2">
        <v>2</v>
      </c>
      <c r="AW8" s="4"/>
      <c r="AX8" s="100"/>
      <c r="AY8" s="4"/>
      <c r="AZ8" s="1"/>
      <c r="BA8" s="1"/>
      <c r="BB8" s="1" t="s">
        <v>514</v>
      </c>
      <c r="BC8" s="4"/>
      <c r="BD8" s="1" t="s">
        <v>85</v>
      </c>
      <c r="BE8" s="4"/>
      <c r="BF8" s="2"/>
      <c r="BG8" s="4"/>
      <c r="BH8" s="1"/>
      <c r="BI8" s="1" t="s">
        <v>191</v>
      </c>
    </row>
    <row r="9" spans="1:61" ht="13.5" customHeight="1" x14ac:dyDescent="0.25">
      <c r="A9" s="2">
        <v>1846</v>
      </c>
      <c r="B9" s="1" t="s">
        <v>825</v>
      </c>
      <c r="C9" s="1" t="s">
        <v>47</v>
      </c>
      <c r="D9" s="1" t="s">
        <v>745</v>
      </c>
      <c r="E9" s="1" t="s">
        <v>732</v>
      </c>
      <c r="F9" s="1" t="s">
        <v>476</v>
      </c>
      <c r="G9" s="2">
        <v>40</v>
      </c>
      <c r="H9" s="103">
        <v>4</v>
      </c>
      <c r="I9" s="4"/>
      <c r="J9" s="39">
        <v>2</v>
      </c>
      <c r="K9" s="53" t="s">
        <v>245</v>
      </c>
      <c r="L9" s="66">
        <v>0</v>
      </c>
      <c r="M9" s="8" t="s">
        <v>810</v>
      </c>
      <c r="N9" s="1" t="s">
        <v>178</v>
      </c>
      <c r="O9" s="7" t="s">
        <v>826</v>
      </c>
      <c r="P9" s="100">
        <v>46120.397245370368</v>
      </c>
      <c r="Q9" s="100">
        <v>46303.673333333332</v>
      </c>
      <c r="R9" s="100"/>
      <c r="S9" s="1" t="s">
        <v>81</v>
      </c>
      <c r="T9" s="1" t="s">
        <v>719</v>
      </c>
      <c r="U9" s="4"/>
      <c r="V9" s="2"/>
      <c r="W9" s="100"/>
      <c r="X9" s="1"/>
      <c r="Y9" s="1"/>
      <c r="Z9" s="100"/>
      <c r="AA9" s="1"/>
      <c r="AB9" s="4"/>
      <c r="AC9" s="4"/>
      <c r="AD9" s="1"/>
      <c r="AE9" s="1" t="s">
        <v>63</v>
      </c>
      <c r="AF9" s="1"/>
      <c r="AG9" s="2"/>
      <c r="AH9" s="1"/>
      <c r="AI9" s="1"/>
      <c r="AJ9" s="1" t="s">
        <v>81</v>
      </c>
      <c r="AK9" s="100">
        <v>46303.673333333332</v>
      </c>
      <c r="AL9" s="1"/>
      <c r="AM9" s="1"/>
      <c r="AN9" s="1"/>
      <c r="AO9" s="1"/>
      <c r="AP9" s="1"/>
      <c r="AQ9" s="1"/>
      <c r="AR9" s="1"/>
      <c r="AS9" s="1"/>
      <c r="AT9" s="2"/>
      <c r="AU9" s="1"/>
      <c r="AV9" s="2">
        <v>0</v>
      </c>
      <c r="AW9" s="4"/>
      <c r="AX9" s="100"/>
      <c r="AY9" s="4"/>
      <c r="AZ9" s="1"/>
      <c r="BA9" s="1"/>
      <c r="BB9" s="1" t="s">
        <v>514</v>
      </c>
      <c r="BC9" s="4"/>
      <c r="BD9" s="1" t="s">
        <v>85</v>
      </c>
      <c r="BE9" s="4"/>
      <c r="BF9" s="2"/>
      <c r="BG9" s="4"/>
      <c r="BH9" s="1"/>
      <c r="BI9" s="1" t="s">
        <v>185</v>
      </c>
    </row>
    <row r="10" spans="1:61" ht="13.5" customHeight="1" x14ac:dyDescent="0.25">
      <c r="A10" s="2">
        <v>1843</v>
      </c>
      <c r="B10" s="1" t="s">
        <v>820</v>
      </c>
      <c r="C10" s="1" t="s">
        <v>47</v>
      </c>
      <c r="D10" s="1" t="s">
        <v>745</v>
      </c>
      <c r="E10" s="1" t="s">
        <v>732</v>
      </c>
      <c r="F10" s="1" t="s">
        <v>323</v>
      </c>
      <c r="G10" s="2">
        <v>42</v>
      </c>
      <c r="H10" s="103">
        <v>40</v>
      </c>
      <c r="I10" s="4"/>
      <c r="J10" s="39">
        <v>2</v>
      </c>
      <c r="K10" s="53" t="s">
        <v>245</v>
      </c>
      <c r="L10" s="66">
        <v>0</v>
      </c>
      <c r="M10" s="8" t="s">
        <v>810</v>
      </c>
      <c r="N10" s="1" t="s">
        <v>178</v>
      </c>
      <c r="O10" s="7" t="s">
        <v>982</v>
      </c>
      <c r="P10" s="100">
        <v>46119.465740740743</v>
      </c>
      <c r="Q10" s="100">
        <v>46303.673414351855</v>
      </c>
      <c r="R10" s="100"/>
      <c r="S10" s="1" t="s">
        <v>81</v>
      </c>
      <c r="T10" s="1" t="s">
        <v>157</v>
      </c>
      <c r="U10" s="4"/>
      <c r="V10" s="2"/>
      <c r="W10" s="100"/>
      <c r="X10" s="1"/>
      <c r="Y10" s="1"/>
      <c r="Z10" s="100"/>
      <c r="AA10" s="1"/>
      <c r="AB10" s="4"/>
      <c r="AC10" s="4"/>
      <c r="AD10" s="1"/>
      <c r="AE10" s="1" t="s">
        <v>63</v>
      </c>
      <c r="AF10" s="1"/>
      <c r="AG10" s="2"/>
      <c r="AH10" s="1"/>
      <c r="AI10" s="1"/>
      <c r="AJ10" s="1" t="s">
        <v>81</v>
      </c>
      <c r="AK10" s="100">
        <v>46303.673414351855</v>
      </c>
      <c r="AL10" s="1"/>
      <c r="AM10" s="1"/>
      <c r="AN10" s="1"/>
      <c r="AO10" s="1"/>
      <c r="AP10" s="1"/>
      <c r="AQ10" s="1"/>
      <c r="AR10" s="1"/>
      <c r="AS10" s="1"/>
      <c r="AT10" s="2"/>
      <c r="AU10" s="1"/>
      <c r="AV10" s="2">
        <v>2</v>
      </c>
      <c r="AW10" s="4"/>
      <c r="AX10" s="100"/>
      <c r="AY10" s="4"/>
      <c r="AZ10" s="1"/>
      <c r="BA10" s="1"/>
      <c r="BB10" s="1" t="s">
        <v>514</v>
      </c>
      <c r="BC10" s="4"/>
      <c r="BD10" s="1" t="s">
        <v>85</v>
      </c>
      <c r="BE10" s="4"/>
      <c r="BF10" s="2"/>
      <c r="BG10" s="4"/>
      <c r="BH10" s="1"/>
      <c r="BI10" s="1" t="s">
        <v>185</v>
      </c>
    </row>
    <row r="11" spans="1:61" ht="13.5" customHeight="1" x14ac:dyDescent="0.25">
      <c r="A11" s="2">
        <v>2176</v>
      </c>
      <c r="B11" s="1" t="s">
        <v>998</v>
      </c>
      <c r="C11" s="1" t="s">
        <v>47</v>
      </c>
      <c r="D11" s="1" t="s">
        <v>745</v>
      </c>
      <c r="E11" s="1" t="s">
        <v>732</v>
      </c>
      <c r="F11" s="1" t="s">
        <v>742</v>
      </c>
      <c r="G11" s="2"/>
      <c r="H11" s="103"/>
      <c r="I11" s="103"/>
      <c r="J11" s="39">
        <v>2</v>
      </c>
      <c r="K11" s="53" t="s">
        <v>249</v>
      </c>
      <c r="L11" s="66">
        <v>0</v>
      </c>
      <c r="M11" s="8"/>
      <c r="N11" s="1" t="s">
        <v>178</v>
      </c>
      <c r="O11" s="7" t="s">
        <v>1006</v>
      </c>
      <c r="P11" s="100">
        <v>46267.525416666664</v>
      </c>
      <c r="Q11" s="100">
        <v>46283.644247685188</v>
      </c>
      <c r="R11" s="100"/>
      <c r="S11" s="1" t="s">
        <v>380</v>
      </c>
      <c r="T11" s="1" t="s">
        <v>719</v>
      </c>
      <c r="U11" s="4"/>
      <c r="V11" s="2"/>
      <c r="W11" s="100"/>
      <c r="X11" s="1"/>
      <c r="Y11" s="1"/>
      <c r="Z11" s="100"/>
      <c r="AA11" s="1"/>
      <c r="AB11" s="4"/>
      <c r="AC11" s="4"/>
      <c r="AD11" s="1"/>
      <c r="AE11" s="1" t="s">
        <v>63</v>
      </c>
      <c r="AF11" s="1"/>
      <c r="AG11" s="2"/>
      <c r="AH11" s="1"/>
      <c r="AI11" s="1"/>
      <c r="AJ11" s="1" t="s">
        <v>380</v>
      </c>
      <c r="AK11" s="100">
        <v>46283.644247685188</v>
      </c>
      <c r="AL11" s="1"/>
      <c r="AM11" s="1"/>
      <c r="AN11" s="1"/>
      <c r="AO11" s="1"/>
      <c r="AP11" s="1"/>
      <c r="AQ11" s="1"/>
      <c r="AR11" s="1"/>
      <c r="AS11" s="1"/>
      <c r="AT11" s="2"/>
      <c r="AU11" s="1"/>
      <c r="AV11" s="2">
        <v>0</v>
      </c>
      <c r="AW11" s="4"/>
      <c r="AX11" s="100"/>
      <c r="AY11" s="4"/>
      <c r="AZ11" s="1"/>
      <c r="BA11" s="1"/>
      <c r="BB11" s="1" t="s">
        <v>514</v>
      </c>
      <c r="BC11" s="4"/>
      <c r="BD11" s="1" t="s">
        <v>85</v>
      </c>
      <c r="BE11" s="4"/>
      <c r="BF11" s="2"/>
      <c r="BG11" s="4"/>
      <c r="BH11" s="1"/>
      <c r="BI11" s="1" t="s">
        <v>185</v>
      </c>
    </row>
    <row r="12" spans="1:61" ht="13.5" customHeight="1" x14ac:dyDescent="0.25">
      <c r="A12" s="2">
        <v>2196</v>
      </c>
      <c r="B12" s="1" t="s">
        <v>1004</v>
      </c>
      <c r="C12" s="1" t="s">
        <v>47</v>
      </c>
      <c r="D12" s="1" t="s">
        <v>745</v>
      </c>
      <c r="E12" s="1" t="s">
        <v>802</v>
      </c>
      <c r="F12" s="1" t="s">
        <v>742</v>
      </c>
      <c r="G12" s="2"/>
      <c r="H12" s="103"/>
      <c r="I12" s="103"/>
      <c r="J12" s="39">
        <v>2</v>
      </c>
      <c r="K12" s="53" t="s">
        <v>249</v>
      </c>
      <c r="L12" s="66">
        <v>0</v>
      </c>
      <c r="M12" s="8"/>
      <c r="N12" s="1" t="s">
        <v>178</v>
      </c>
      <c r="O12" s="7" t="s">
        <v>1005</v>
      </c>
      <c r="P12" s="100">
        <v>46275.445393518516</v>
      </c>
      <c r="Q12" s="100">
        <v>46296.669930555552</v>
      </c>
      <c r="R12" s="100"/>
      <c r="S12" s="1" t="s">
        <v>380</v>
      </c>
      <c r="T12" s="1" t="s">
        <v>157</v>
      </c>
      <c r="U12" s="4"/>
      <c r="V12" s="2"/>
      <c r="W12" s="100"/>
      <c r="X12" s="1"/>
      <c r="Y12" s="1"/>
      <c r="Z12" s="100"/>
      <c r="AA12" s="1"/>
      <c r="AB12" s="4"/>
      <c r="AC12" s="4"/>
      <c r="AD12" s="1"/>
      <c r="AE12" s="1" t="s">
        <v>63</v>
      </c>
      <c r="AF12" s="1"/>
      <c r="AG12" s="2"/>
      <c r="AH12" s="1"/>
      <c r="AI12" s="1"/>
      <c r="AJ12" s="1" t="s">
        <v>380</v>
      </c>
      <c r="AK12" s="100">
        <v>46296.669930555552</v>
      </c>
      <c r="AL12" s="1"/>
      <c r="AM12" s="1"/>
      <c r="AN12" s="1"/>
      <c r="AO12" s="1"/>
      <c r="AP12" s="1"/>
      <c r="AQ12" s="1"/>
      <c r="AR12" s="1"/>
      <c r="AS12" s="1"/>
      <c r="AT12" s="2"/>
      <c r="AU12" s="1"/>
      <c r="AV12" s="2">
        <v>1</v>
      </c>
      <c r="AW12" s="4"/>
      <c r="AX12" s="100"/>
      <c r="AY12" s="4"/>
      <c r="AZ12" s="1"/>
      <c r="BA12" s="1"/>
      <c r="BB12" s="1" t="s">
        <v>514</v>
      </c>
      <c r="BC12" s="4"/>
      <c r="BD12" s="1" t="s">
        <v>85</v>
      </c>
      <c r="BE12" s="4"/>
      <c r="BF12" s="2"/>
      <c r="BG12" s="4"/>
      <c r="BH12" s="1"/>
      <c r="BI12" s="1" t="s">
        <v>185</v>
      </c>
    </row>
    <row r="13" spans="1:61" ht="13.5" hidden="1" customHeight="1" x14ac:dyDescent="0.25">
      <c r="A13" s="2">
        <v>2214</v>
      </c>
      <c r="B13" s="1" t="s">
        <v>1049</v>
      </c>
      <c r="C13" s="1" t="s">
        <v>47</v>
      </c>
      <c r="D13" s="1" t="s">
        <v>745</v>
      </c>
      <c r="E13" s="1" t="s">
        <v>732</v>
      </c>
      <c r="F13" s="1" t="s">
        <v>476</v>
      </c>
      <c r="G13" s="2"/>
      <c r="H13" s="103"/>
      <c r="I13" s="103"/>
      <c r="J13" s="39">
        <v>2</v>
      </c>
      <c r="K13" s="53" t="s">
        <v>256</v>
      </c>
      <c r="L13" s="66">
        <v>1</v>
      </c>
      <c r="M13" s="8" t="s">
        <v>810</v>
      </c>
      <c r="N13" s="1" t="s">
        <v>177</v>
      </c>
      <c r="O13" s="7" t="s">
        <v>1050</v>
      </c>
      <c r="P13" s="100">
        <v>46288.394872685189</v>
      </c>
      <c r="Q13" s="100">
        <v>46289.658229166664</v>
      </c>
      <c r="R13" s="100"/>
      <c r="S13" s="1" t="s">
        <v>719</v>
      </c>
      <c r="T13" s="1" t="s">
        <v>719</v>
      </c>
      <c r="U13" s="4"/>
      <c r="V13" s="2"/>
      <c r="W13" s="100"/>
      <c r="X13" s="1"/>
      <c r="Y13" s="1" t="s">
        <v>810</v>
      </c>
      <c r="Z13" s="100">
        <v>46288.702268518522</v>
      </c>
      <c r="AA13" s="1"/>
      <c r="AB13" s="4"/>
      <c r="AC13" s="4"/>
      <c r="AD13" s="1"/>
      <c r="AE13" s="1" t="s">
        <v>63</v>
      </c>
      <c r="AF13" s="1"/>
      <c r="AG13" s="2"/>
      <c r="AH13" s="1"/>
      <c r="AI13" s="1"/>
      <c r="AJ13" s="1" t="s">
        <v>719</v>
      </c>
      <c r="AK13" s="100">
        <v>46289.658229166664</v>
      </c>
      <c r="AL13" s="1"/>
      <c r="AM13" s="1"/>
      <c r="AN13" s="1"/>
      <c r="AO13" s="1"/>
      <c r="AP13" s="1"/>
      <c r="AQ13" s="1"/>
      <c r="AR13" s="1"/>
      <c r="AS13" s="1"/>
      <c r="AT13" s="2"/>
      <c r="AU13" s="1"/>
      <c r="AV13" s="2">
        <v>2</v>
      </c>
      <c r="AW13" s="4"/>
      <c r="AX13" s="100"/>
      <c r="AY13" s="4"/>
      <c r="AZ13" s="1"/>
      <c r="BA13" s="1"/>
      <c r="BB13" s="1" t="s">
        <v>514</v>
      </c>
      <c r="BC13" s="4"/>
      <c r="BD13" s="1" t="s">
        <v>85</v>
      </c>
      <c r="BE13" s="4"/>
      <c r="BF13" s="2"/>
      <c r="BG13" s="4"/>
      <c r="BH13" s="1"/>
      <c r="BI13" s="1" t="s">
        <v>191</v>
      </c>
    </row>
    <row r="14" spans="1:61" ht="13.5" hidden="1" customHeight="1" x14ac:dyDescent="0.25">
      <c r="A14" s="2">
        <v>506</v>
      </c>
      <c r="B14" s="1" t="s">
        <v>251</v>
      </c>
      <c r="C14" s="1" t="s">
        <v>47</v>
      </c>
      <c r="D14" s="1" t="s">
        <v>745</v>
      </c>
      <c r="E14" s="1" t="s">
        <v>732</v>
      </c>
      <c r="F14" s="1" t="s">
        <v>323</v>
      </c>
      <c r="G14" s="2"/>
      <c r="H14" s="103">
        <v>200</v>
      </c>
      <c r="I14" s="4"/>
      <c r="J14" s="39">
        <v>2</v>
      </c>
      <c r="K14" s="53" t="s">
        <v>1000</v>
      </c>
      <c r="L14" s="66">
        <v>0</v>
      </c>
      <c r="M14" s="8"/>
      <c r="N14" s="1" t="s">
        <v>178</v>
      </c>
      <c r="O14" s="7" t="s">
        <v>252</v>
      </c>
      <c r="P14" s="101">
        <v>45681.600856481484</v>
      </c>
      <c r="Q14" s="101">
        <v>46287.399907407409</v>
      </c>
      <c r="R14" s="101"/>
      <c r="S14" s="1" t="s">
        <v>380</v>
      </c>
      <c r="T14" s="1" t="s">
        <v>89</v>
      </c>
      <c r="U14" s="4" t="s">
        <v>753</v>
      </c>
      <c r="V14" s="2"/>
      <c r="W14" s="101"/>
      <c r="X14" s="1"/>
      <c r="Y14" s="1"/>
      <c r="Z14" s="101"/>
      <c r="AA14" s="1"/>
      <c r="AB14" s="4"/>
      <c r="AC14" s="4"/>
      <c r="AD14" s="1"/>
      <c r="AE14" s="1" t="s">
        <v>63</v>
      </c>
      <c r="AF14" s="1"/>
      <c r="AG14" s="2"/>
      <c r="AH14" s="1"/>
      <c r="AI14" s="1"/>
      <c r="AJ14" s="1" t="s">
        <v>380</v>
      </c>
      <c r="AK14" s="101">
        <v>46287.399907407409</v>
      </c>
      <c r="AL14" s="1"/>
      <c r="AM14" s="1"/>
      <c r="AN14" s="1"/>
      <c r="AO14" s="1"/>
      <c r="AP14" s="1"/>
      <c r="AQ14" s="1"/>
      <c r="AR14" s="1"/>
      <c r="AS14" s="1"/>
      <c r="AT14" s="2"/>
      <c r="AU14" s="1"/>
      <c r="AV14" s="2">
        <v>5</v>
      </c>
      <c r="AW14" s="4"/>
      <c r="AX14" s="101"/>
      <c r="AY14" s="4"/>
      <c r="AZ14" s="1"/>
      <c r="BA14" s="1"/>
      <c r="BB14" s="1" t="s">
        <v>61</v>
      </c>
      <c r="BC14" s="4"/>
      <c r="BD14" s="1" t="s">
        <v>85</v>
      </c>
      <c r="BE14" s="4"/>
      <c r="BF14" s="2"/>
      <c r="BG14" s="4"/>
      <c r="BH14" s="1"/>
      <c r="BI14" s="1" t="s">
        <v>185</v>
      </c>
    </row>
    <row r="15" spans="1:61" ht="13.5" hidden="1" customHeight="1" x14ac:dyDescent="0.25">
      <c r="A15" s="2">
        <v>2219</v>
      </c>
      <c r="B15" s="1" t="s">
        <v>1057</v>
      </c>
      <c r="C15" s="1" t="s">
        <v>47</v>
      </c>
      <c r="D15" s="1" t="s">
        <v>745</v>
      </c>
      <c r="E15" s="1" t="s">
        <v>732</v>
      </c>
      <c r="F15" s="1" t="s">
        <v>742</v>
      </c>
      <c r="G15" s="2">
        <v>40</v>
      </c>
      <c r="H15" s="103">
        <v>6</v>
      </c>
      <c r="I15" s="103"/>
      <c r="J15" s="39">
        <v>2</v>
      </c>
      <c r="K15" s="53" t="s">
        <v>250</v>
      </c>
      <c r="L15" s="66">
        <v>0</v>
      </c>
      <c r="M15" s="8" t="s">
        <v>1072</v>
      </c>
      <c r="N15" s="1" t="s">
        <v>177</v>
      </c>
      <c r="O15" s="7" t="s">
        <v>1058</v>
      </c>
      <c r="P15" s="102">
        <v>46288.737372685187</v>
      </c>
      <c r="Q15" s="102">
        <v>46303.459675925929</v>
      </c>
      <c r="R15" s="102"/>
      <c r="S15" s="1" t="s">
        <v>1072</v>
      </c>
      <c r="T15" s="1" t="s">
        <v>157</v>
      </c>
      <c r="U15" s="4"/>
      <c r="V15" s="2"/>
      <c r="W15" s="102"/>
      <c r="X15" s="1"/>
      <c r="Y15" s="1" t="s">
        <v>1072</v>
      </c>
      <c r="Z15" s="102">
        <v>46294.549409722225</v>
      </c>
      <c r="AA15" s="1"/>
      <c r="AB15" s="4"/>
      <c r="AC15" s="4"/>
      <c r="AD15" s="1"/>
      <c r="AE15" s="1" t="s">
        <v>63</v>
      </c>
      <c r="AF15" s="1"/>
      <c r="AG15" s="2"/>
      <c r="AH15" s="1"/>
      <c r="AI15" s="1"/>
      <c r="AJ15" s="1" t="s">
        <v>1072</v>
      </c>
      <c r="AK15" s="102">
        <v>46303.459675925929</v>
      </c>
      <c r="AL15" s="1"/>
      <c r="AM15" s="1"/>
      <c r="AN15" s="1"/>
      <c r="AO15" s="1"/>
      <c r="AP15" s="1"/>
      <c r="AQ15" s="1"/>
      <c r="AR15" s="1"/>
      <c r="AS15" s="1"/>
      <c r="AT15" s="2"/>
      <c r="AU15" s="1"/>
      <c r="AV15" s="2">
        <v>2</v>
      </c>
      <c r="AW15" s="4"/>
      <c r="AX15" s="102"/>
      <c r="AY15" s="4"/>
      <c r="AZ15" s="1"/>
      <c r="BA15" s="1"/>
      <c r="BB15" s="1" t="s">
        <v>514</v>
      </c>
      <c r="BC15" s="4"/>
      <c r="BD15" s="1" t="s">
        <v>85</v>
      </c>
      <c r="BE15" s="4"/>
      <c r="BF15" s="2"/>
      <c r="BG15" s="4"/>
      <c r="BH15" s="1"/>
      <c r="BI15" s="1" t="s">
        <v>191</v>
      </c>
    </row>
    <row r="16" spans="1:61" ht="13.5" hidden="1" customHeight="1" x14ac:dyDescent="0.25">
      <c r="A16" s="2">
        <v>2221</v>
      </c>
      <c r="B16" s="1" t="s">
        <v>1062</v>
      </c>
      <c r="C16" s="1" t="s">
        <v>47</v>
      </c>
      <c r="D16" s="1" t="s">
        <v>745</v>
      </c>
      <c r="E16" s="1" t="s">
        <v>802</v>
      </c>
      <c r="F16" s="1" t="s">
        <v>323</v>
      </c>
      <c r="G16" s="2">
        <v>41</v>
      </c>
      <c r="H16" s="103">
        <v>8</v>
      </c>
      <c r="I16" s="103"/>
      <c r="J16" s="39">
        <v>2</v>
      </c>
      <c r="K16" s="53" t="s">
        <v>250</v>
      </c>
      <c r="L16" s="66">
        <v>0</v>
      </c>
      <c r="M16" s="8" t="s">
        <v>1072</v>
      </c>
      <c r="N16" s="1" t="s">
        <v>177</v>
      </c>
      <c r="O16" s="7" t="s">
        <v>1063</v>
      </c>
      <c r="P16" s="102">
        <v>46289.376562500001</v>
      </c>
      <c r="Q16" s="102">
        <v>46303.445775462962</v>
      </c>
      <c r="R16" s="102"/>
      <c r="S16" s="1" t="s">
        <v>719</v>
      </c>
      <c r="T16" s="1" t="s">
        <v>719</v>
      </c>
      <c r="U16" s="4"/>
      <c r="V16" s="2"/>
      <c r="W16" s="102"/>
      <c r="X16" s="1"/>
      <c r="Y16" s="1" t="s">
        <v>1072</v>
      </c>
      <c r="Z16" s="102">
        <v>46301.576111111113</v>
      </c>
      <c r="AA16" s="1"/>
      <c r="AB16" s="4"/>
      <c r="AC16" s="4"/>
      <c r="AD16" s="1"/>
      <c r="AE16" s="1" t="s">
        <v>63</v>
      </c>
      <c r="AF16" s="1"/>
      <c r="AG16" s="2"/>
      <c r="AH16" s="1"/>
      <c r="AI16" s="1"/>
      <c r="AJ16" s="1" t="s">
        <v>719</v>
      </c>
      <c r="AK16" s="102">
        <v>46303.445775462962</v>
      </c>
      <c r="AL16" s="1"/>
      <c r="AM16" s="1"/>
      <c r="AN16" s="1"/>
      <c r="AO16" s="1"/>
      <c r="AP16" s="1"/>
      <c r="AQ16" s="1"/>
      <c r="AR16" s="1"/>
      <c r="AS16" s="1"/>
      <c r="AT16" s="2"/>
      <c r="AU16" s="1"/>
      <c r="AV16" s="2">
        <v>0</v>
      </c>
      <c r="AW16" s="4"/>
      <c r="AX16" s="102"/>
      <c r="AY16" s="4"/>
      <c r="AZ16" s="1"/>
      <c r="BA16" s="1"/>
      <c r="BB16" s="1" t="s">
        <v>514</v>
      </c>
      <c r="BC16" s="4"/>
      <c r="BD16" s="1" t="s">
        <v>85</v>
      </c>
      <c r="BE16" s="4"/>
      <c r="BF16" s="2">
        <v>2220</v>
      </c>
      <c r="BG16" s="4"/>
      <c r="BH16" s="1"/>
      <c r="BI16" s="1" t="s">
        <v>191</v>
      </c>
    </row>
    <row r="17" spans="1:61" ht="13.5" hidden="1" customHeight="1" x14ac:dyDescent="0.25">
      <c r="A17" s="2">
        <v>1910</v>
      </c>
      <c r="B17" s="1" t="s">
        <v>828</v>
      </c>
      <c r="C17" s="1" t="s">
        <v>47</v>
      </c>
      <c r="D17" s="1" t="s">
        <v>745</v>
      </c>
      <c r="E17" s="1" t="s">
        <v>732</v>
      </c>
      <c r="F17" s="1" t="s">
        <v>323</v>
      </c>
      <c r="G17" s="2">
        <v>42</v>
      </c>
      <c r="H17" s="103">
        <v>2</v>
      </c>
      <c r="I17" s="4"/>
      <c r="J17" s="39">
        <v>3</v>
      </c>
      <c r="K17" s="53" t="s">
        <v>245</v>
      </c>
      <c r="L17" s="66">
        <v>0</v>
      </c>
      <c r="M17" s="8" t="s">
        <v>1072</v>
      </c>
      <c r="N17" s="1" t="s">
        <v>178</v>
      </c>
      <c r="O17" s="7" t="s">
        <v>870</v>
      </c>
      <c r="P17" s="104">
        <v>46142.608865740738</v>
      </c>
      <c r="Q17" s="104">
        <v>46303.462766203702</v>
      </c>
      <c r="R17" s="104"/>
      <c r="S17" s="1" t="s">
        <v>380</v>
      </c>
      <c r="T17" s="1" t="s">
        <v>719</v>
      </c>
      <c r="U17" s="4"/>
      <c r="V17" s="2"/>
      <c r="W17" s="104"/>
      <c r="X17" s="1"/>
      <c r="Y17" s="1"/>
      <c r="Z17" s="104"/>
      <c r="AA17" s="1"/>
      <c r="AB17" s="4"/>
      <c r="AC17" s="4"/>
      <c r="AD17" s="1"/>
      <c r="AE17" s="1" t="s">
        <v>63</v>
      </c>
      <c r="AF17" s="1"/>
      <c r="AG17" s="2"/>
      <c r="AH17" s="1"/>
      <c r="AI17" s="1"/>
      <c r="AJ17" s="1" t="s">
        <v>380</v>
      </c>
      <c r="AK17" s="104">
        <v>46303.462766203702</v>
      </c>
      <c r="AL17" s="1"/>
      <c r="AM17" s="1"/>
      <c r="AN17" s="1"/>
      <c r="AO17" s="1"/>
      <c r="AP17" s="1"/>
      <c r="AQ17" s="1"/>
      <c r="AR17" s="1"/>
      <c r="AS17" s="1"/>
      <c r="AT17" s="2"/>
      <c r="AU17" s="1"/>
      <c r="AV17" s="2">
        <v>0</v>
      </c>
      <c r="AW17" s="4"/>
      <c r="AX17" s="104"/>
      <c r="AY17" s="4"/>
      <c r="AZ17" s="1"/>
      <c r="BA17" s="1"/>
      <c r="BB17" s="1" t="s">
        <v>514</v>
      </c>
      <c r="BC17" s="4"/>
      <c r="BD17" s="1" t="s">
        <v>85</v>
      </c>
      <c r="BE17" s="4"/>
      <c r="BF17" s="2"/>
      <c r="BG17" s="4"/>
      <c r="BH17" s="1"/>
      <c r="BI17" s="1" t="s">
        <v>185</v>
      </c>
    </row>
    <row r="18" spans="1:61" ht="13.5" hidden="1" customHeight="1" x14ac:dyDescent="0.25">
      <c r="A18" s="2">
        <v>1803</v>
      </c>
      <c r="B18" s="1" t="s">
        <v>827</v>
      </c>
      <c r="C18" s="1" t="s">
        <v>47</v>
      </c>
      <c r="D18" s="1" t="s">
        <v>745</v>
      </c>
      <c r="E18" s="1" t="s">
        <v>732</v>
      </c>
      <c r="F18" s="1" t="s">
        <v>742</v>
      </c>
      <c r="G18" s="2">
        <v>41</v>
      </c>
      <c r="H18" s="103">
        <v>4</v>
      </c>
      <c r="I18" s="4"/>
      <c r="J18" s="39">
        <v>3</v>
      </c>
      <c r="K18" s="53" t="s">
        <v>256</v>
      </c>
      <c r="L18" s="66">
        <v>0</v>
      </c>
      <c r="M18" s="8" t="s">
        <v>1030</v>
      </c>
      <c r="N18" s="1" t="s">
        <v>177</v>
      </c>
      <c r="O18" s="7" t="s">
        <v>869</v>
      </c>
      <c r="P18" s="104">
        <v>46099.630856481483</v>
      </c>
      <c r="Q18" s="104">
        <v>46304.582789351851</v>
      </c>
      <c r="R18" s="104"/>
      <c r="S18" s="1" t="s">
        <v>1030</v>
      </c>
      <c r="T18" s="1" t="s">
        <v>719</v>
      </c>
      <c r="U18" s="4"/>
      <c r="V18" s="2"/>
      <c r="W18" s="104"/>
      <c r="X18" s="1"/>
      <c r="Y18" s="1" t="s">
        <v>1030</v>
      </c>
      <c r="Z18" s="104">
        <v>46304.582777777781</v>
      </c>
      <c r="AA18" s="1"/>
      <c r="AB18" s="4"/>
      <c r="AC18" s="4"/>
      <c r="AD18" s="1"/>
      <c r="AE18" s="1" t="s">
        <v>63</v>
      </c>
      <c r="AF18" s="1"/>
      <c r="AG18" s="2"/>
      <c r="AH18" s="1"/>
      <c r="AI18" s="1"/>
      <c r="AJ18" s="1" t="s">
        <v>1030</v>
      </c>
      <c r="AK18" s="104">
        <v>46304.582789351851</v>
      </c>
      <c r="AL18" s="1"/>
      <c r="AM18" s="1"/>
      <c r="AN18" s="1"/>
      <c r="AO18" s="1"/>
      <c r="AP18" s="1"/>
      <c r="AQ18" s="1"/>
      <c r="AR18" s="1"/>
      <c r="AS18" s="1"/>
      <c r="AT18" s="2"/>
      <c r="AU18" s="1"/>
      <c r="AV18" s="2">
        <v>0</v>
      </c>
      <c r="AW18" s="4"/>
      <c r="AX18" s="104"/>
      <c r="AY18" s="4"/>
      <c r="AZ18" s="1"/>
      <c r="BA18" s="1"/>
      <c r="BB18" s="1" t="s">
        <v>514</v>
      </c>
      <c r="BC18" s="4"/>
      <c r="BD18" s="1" t="s">
        <v>85</v>
      </c>
      <c r="BE18" s="4"/>
      <c r="BF18" s="2"/>
      <c r="BG18" s="4"/>
      <c r="BH18" s="1"/>
      <c r="BI18" s="1" t="s">
        <v>191</v>
      </c>
    </row>
    <row r="19" spans="1:61" ht="13.5" hidden="1" customHeight="1" x14ac:dyDescent="0.25">
      <c r="A19" s="2">
        <v>1811</v>
      </c>
      <c r="B19" s="1" t="s">
        <v>829</v>
      </c>
      <c r="C19" s="1" t="s">
        <v>47</v>
      </c>
      <c r="D19" s="1" t="s">
        <v>317</v>
      </c>
      <c r="E19" s="1" t="s">
        <v>733</v>
      </c>
      <c r="F19" s="1" t="s">
        <v>323</v>
      </c>
      <c r="G19" s="2"/>
      <c r="H19" s="103">
        <v>6</v>
      </c>
      <c r="I19" s="103"/>
      <c r="J19" s="39">
        <v>1</v>
      </c>
      <c r="K19" s="53" t="s">
        <v>1000</v>
      </c>
      <c r="L19" s="66">
        <v>0</v>
      </c>
      <c r="M19" s="8" t="s">
        <v>810</v>
      </c>
      <c r="N19" s="1" t="s">
        <v>178</v>
      </c>
      <c r="O19" s="7" t="s">
        <v>830</v>
      </c>
      <c r="P19" s="104">
        <v>46104.503865740742</v>
      </c>
      <c r="Q19" s="104">
        <v>46276.382291666669</v>
      </c>
      <c r="R19" s="104"/>
      <c r="S19" s="1" t="s">
        <v>157</v>
      </c>
      <c r="T19" s="1" t="s">
        <v>719</v>
      </c>
      <c r="U19" s="4" t="s">
        <v>831</v>
      </c>
      <c r="V19" s="2"/>
      <c r="W19" s="104"/>
      <c r="X19" s="1"/>
      <c r="Y19" s="1"/>
      <c r="Z19" s="104"/>
      <c r="AA19" s="1"/>
      <c r="AB19" s="4"/>
      <c r="AC19" s="4"/>
      <c r="AD19" s="1"/>
      <c r="AE19" s="1" t="s">
        <v>63</v>
      </c>
      <c r="AF19" s="1"/>
      <c r="AG19" s="2"/>
      <c r="AH19" s="1"/>
      <c r="AI19" s="1"/>
      <c r="AJ19" s="1" t="s">
        <v>157</v>
      </c>
      <c r="AK19" s="104">
        <v>46276.382291666669</v>
      </c>
      <c r="AL19" s="1"/>
      <c r="AM19" s="1"/>
      <c r="AN19" s="1"/>
      <c r="AO19" s="1"/>
      <c r="AP19" s="1"/>
      <c r="AQ19" s="1"/>
      <c r="AR19" s="1"/>
      <c r="AS19" s="1"/>
      <c r="AT19" s="2"/>
      <c r="AU19" s="1"/>
      <c r="AV19" s="2">
        <v>10</v>
      </c>
      <c r="AW19" s="4"/>
      <c r="AX19" s="104"/>
      <c r="AY19" s="4"/>
      <c r="AZ19" s="1"/>
      <c r="BA19" s="1"/>
      <c r="BB19" s="1" t="s">
        <v>514</v>
      </c>
      <c r="BC19" s="4"/>
      <c r="BD19" s="1" t="s">
        <v>85</v>
      </c>
      <c r="BE19" s="4"/>
      <c r="BF19" s="2"/>
      <c r="BG19" s="4"/>
      <c r="BH19" s="1"/>
      <c r="BI19" s="1" t="s">
        <v>188</v>
      </c>
    </row>
    <row r="20" spans="1:61" ht="13.5" hidden="1" customHeight="1" x14ac:dyDescent="0.25">
      <c r="A20" s="2">
        <v>2017</v>
      </c>
      <c r="B20" s="1" t="s">
        <v>832</v>
      </c>
      <c r="C20" s="1" t="s">
        <v>47</v>
      </c>
      <c r="D20" s="1" t="s">
        <v>317</v>
      </c>
      <c r="E20" s="1" t="s">
        <v>733</v>
      </c>
      <c r="F20" s="1" t="s">
        <v>742</v>
      </c>
      <c r="G20" s="2">
        <v>42</v>
      </c>
      <c r="H20" s="103">
        <v>10</v>
      </c>
      <c r="I20" s="4"/>
      <c r="J20" s="39">
        <v>1</v>
      </c>
      <c r="K20" s="53" t="s">
        <v>245</v>
      </c>
      <c r="L20" s="66">
        <v>0</v>
      </c>
      <c r="M20" s="8" t="s">
        <v>810</v>
      </c>
      <c r="N20" s="1" t="s">
        <v>178</v>
      </c>
      <c r="O20" s="7" t="s">
        <v>871</v>
      </c>
      <c r="P20" s="104">
        <v>46189.712430555555</v>
      </c>
      <c r="Q20" s="104">
        <v>46300.596875000003</v>
      </c>
      <c r="R20" s="104"/>
      <c r="S20" s="1" t="s">
        <v>380</v>
      </c>
      <c r="T20" s="1" t="s">
        <v>719</v>
      </c>
      <c r="U20" s="4" t="s">
        <v>608</v>
      </c>
      <c r="V20" s="2"/>
      <c r="W20" s="104"/>
      <c r="X20" s="1"/>
      <c r="Y20" s="1"/>
      <c r="Z20" s="104"/>
      <c r="AA20" s="1"/>
      <c r="AB20" s="4"/>
      <c r="AC20" s="4"/>
      <c r="AD20" s="1"/>
      <c r="AE20" s="1" t="s">
        <v>63</v>
      </c>
      <c r="AF20" s="1"/>
      <c r="AG20" s="2"/>
      <c r="AH20" s="1"/>
      <c r="AI20" s="1"/>
      <c r="AJ20" s="1" t="s">
        <v>380</v>
      </c>
      <c r="AK20" s="104">
        <v>46300.596875000003</v>
      </c>
      <c r="AL20" s="1"/>
      <c r="AM20" s="1"/>
      <c r="AN20" s="1"/>
      <c r="AO20" s="1"/>
      <c r="AP20" s="1"/>
      <c r="AQ20" s="1"/>
      <c r="AR20" s="1"/>
      <c r="AS20" s="1"/>
      <c r="AT20" s="2"/>
      <c r="AU20" s="1"/>
      <c r="AV20" s="2">
        <v>1</v>
      </c>
      <c r="AW20" s="4"/>
      <c r="AX20" s="104"/>
      <c r="AY20" s="4"/>
      <c r="AZ20" s="1"/>
      <c r="BA20" s="1"/>
      <c r="BB20" s="1" t="s">
        <v>514</v>
      </c>
      <c r="BC20" s="4"/>
      <c r="BD20" s="1" t="s">
        <v>85</v>
      </c>
      <c r="BE20" s="4"/>
      <c r="BF20" s="2">
        <v>2128</v>
      </c>
      <c r="BG20" s="4"/>
      <c r="BH20" s="1"/>
      <c r="BI20" s="1" t="s">
        <v>188</v>
      </c>
    </row>
    <row r="21" spans="1:61" ht="13.5" customHeight="1" x14ac:dyDescent="0.25">
      <c r="A21" s="2">
        <v>2157</v>
      </c>
      <c r="B21" s="1" t="s">
        <v>955</v>
      </c>
      <c r="C21" s="1" t="s">
        <v>47</v>
      </c>
      <c r="D21" s="1" t="s">
        <v>317</v>
      </c>
      <c r="E21" s="1" t="s">
        <v>733</v>
      </c>
      <c r="F21" s="1" t="s">
        <v>476</v>
      </c>
      <c r="G21" s="2">
        <v>41</v>
      </c>
      <c r="H21" s="103">
        <v>4</v>
      </c>
      <c r="I21" s="4"/>
      <c r="J21" s="39">
        <v>2</v>
      </c>
      <c r="K21" s="53" t="s">
        <v>245</v>
      </c>
      <c r="L21" s="66">
        <v>0</v>
      </c>
      <c r="M21" s="8" t="s">
        <v>1030</v>
      </c>
      <c r="N21" s="1" t="s">
        <v>178</v>
      </c>
      <c r="O21" s="7" t="s">
        <v>974</v>
      </c>
      <c r="P21" s="104">
        <v>46255.785034722219</v>
      </c>
      <c r="Q21" s="104">
        <v>46303.464513888888</v>
      </c>
      <c r="R21" s="104"/>
      <c r="S21" s="1" t="s">
        <v>380</v>
      </c>
      <c r="T21" s="1" t="s">
        <v>81</v>
      </c>
      <c r="U21" s="4"/>
      <c r="V21" s="2"/>
      <c r="W21" s="104"/>
      <c r="X21" s="1"/>
      <c r="Y21" s="1"/>
      <c r="Z21" s="104"/>
      <c r="AA21" s="1"/>
      <c r="AB21" s="4"/>
      <c r="AC21" s="4"/>
      <c r="AD21" s="1"/>
      <c r="AE21" s="1" t="s">
        <v>63</v>
      </c>
      <c r="AF21" s="1"/>
      <c r="AG21" s="2"/>
      <c r="AH21" s="1"/>
      <c r="AI21" s="1"/>
      <c r="AJ21" s="1" t="s">
        <v>380</v>
      </c>
      <c r="AK21" s="104">
        <v>46303.464513888888</v>
      </c>
      <c r="AL21" s="1"/>
      <c r="AM21" s="1"/>
      <c r="AN21" s="1"/>
      <c r="AO21" s="1"/>
      <c r="AP21" s="1"/>
      <c r="AQ21" s="1"/>
      <c r="AR21" s="1"/>
      <c r="AS21" s="1"/>
      <c r="AT21" s="2"/>
      <c r="AU21" s="1"/>
      <c r="AV21" s="2">
        <v>0</v>
      </c>
      <c r="AW21" s="4"/>
      <c r="AX21" s="104"/>
      <c r="AY21" s="4"/>
      <c r="AZ21" s="1"/>
      <c r="BA21" s="1"/>
      <c r="BB21" s="1" t="s">
        <v>514</v>
      </c>
      <c r="BC21" s="4"/>
      <c r="BD21" s="1" t="s">
        <v>85</v>
      </c>
      <c r="BE21" s="4"/>
      <c r="BF21" s="2"/>
      <c r="BG21" s="4"/>
      <c r="BH21" s="1"/>
      <c r="BI21" s="1" t="s">
        <v>185</v>
      </c>
    </row>
    <row r="22" spans="1:61" ht="13.5" hidden="1" customHeight="1" x14ac:dyDescent="0.25">
      <c r="A22" s="2">
        <v>2088</v>
      </c>
      <c r="B22" s="1" t="s">
        <v>925</v>
      </c>
      <c r="C22" s="1" t="s">
        <v>47</v>
      </c>
      <c r="D22" s="1" t="s">
        <v>319</v>
      </c>
      <c r="E22" s="1" t="s">
        <v>741</v>
      </c>
      <c r="F22" s="1" t="s">
        <v>323</v>
      </c>
      <c r="G22" s="2">
        <v>38</v>
      </c>
      <c r="H22" s="103">
        <v>6</v>
      </c>
      <c r="I22" s="4"/>
      <c r="J22" s="39">
        <v>1</v>
      </c>
      <c r="K22" s="53" t="s">
        <v>250</v>
      </c>
      <c r="L22" s="66">
        <v>1</v>
      </c>
      <c r="M22" s="8" t="s">
        <v>1030</v>
      </c>
      <c r="N22" s="1" t="s">
        <v>177</v>
      </c>
      <c r="O22" s="7" t="s">
        <v>1031</v>
      </c>
      <c r="P22" s="104">
        <v>46227.364548611113</v>
      </c>
      <c r="Q22" s="104">
        <v>46300.586712962962</v>
      </c>
      <c r="R22" s="104"/>
      <c r="S22" s="1" t="s">
        <v>81</v>
      </c>
      <c r="T22" s="1" t="s">
        <v>719</v>
      </c>
      <c r="U22" s="4"/>
      <c r="V22" s="2"/>
      <c r="W22" s="104"/>
      <c r="X22" s="1"/>
      <c r="Y22" s="1" t="s">
        <v>1030</v>
      </c>
      <c r="Z22" s="104">
        <v>46283.642731481479</v>
      </c>
      <c r="AA22" s="1"/>
      <c r="AB22" s="4"/>
      <c r="AC22" s="4"/>
      <c r="AD22" s="1"/>
      <c r="AE22" s="1" t="s">
        <v>63</v>
      </c>
      <c r="AF22" s="1"/>
      <c r="AG22" s="2"/>
      <c r="AH22" s="1"/>
      <c r="AI22" s="1"/>
      <c r="AJ22" s="1" t="s">
        <v>81</v>
      </c>
      <c r="AK22" s="104">
        <v>46300.586712962962</v>
      </c>
      <c r="AL22" s="1"/>
      <c r="AM22" s="1"/>
      <c r="AN22" s="1"/>
      <c r="AO22" s="1"/>
      <c r="AP22" s="1"/>
      <c r="AQ22" s="1"/>
      <c r="AR22" s="1"/>
      <c r="AS22" s="1"/>
      <c r="AT22" s="2"/>
      <c r="AU22" s="1"/>
      <c r="AV22" s="2">
        <v>4</v>
      </c>
      <c r="AW22" s="4"/>
      <c r="AX22" s="104"/>
      <c r="AY22" s="4"/>
      <c r="AZ22" s="1"/>
      <c r="BA22" s="1"/>
      <c r="BB22" s="1" t="s">
        <v>514</v>
      </c>
      <c r="BC22" s="4"/>
      <c r="BD22" s="1" t="s">
        <v>85</v>
      </c>
      <c r="BE22" s="4"/>
      <c r="BF22" s="2"/>
      <c r="BG22" s="4"/>
      <c r="BH22" s="1"/>
      <c r="BI22" s="1" t="s">
        <v>191</v>
      </c>
    </row>
    <row r="23" spans="1:61" ht="13.5" hidden="1" customHeight="1" x14ac:dyDescent="0.25">
      <c r="A23" s="2">
        <v>2158</v>
      </c>
      <c r="B23" s="1" t="s">
        <v>969</v>
      </c>
      <c r="C23" s="1" t="s">
        <v>47</v>
      </c>
      <c r="D23" s="1" t="s">
        <v>319</v>
      </c>
      <c r="E23" s="1" t="s">
        <v>741</v>
      </c>
      <c r="F23" s="1" t="s">
        <v>323</v>
      </c>
      <c r="G23" s="2">
        <v>38</v>
      </c>
      <c r="H23" s="103">
        <v>16</v>
      </c>
      <c r="I23" s="4"/>
      <c r="J23" s="39">
        <v>1</v>
      </c>
      <c r="K23" s="53" t="s">
        <v>250</v>
      </c>
      <c r="L23" s="66">
        <v>0</v>
      </c>
      <c r="M23" s="8" t="s">
        <v>1030</v>
      </c>
      <c r="N23" s="1" t="s">
        <v>177</v>
      </c>
      <c r="O23" s="7" t="s">
        <v>1052</v>
      </c>
      <c r="P23" s="104">
        <v>46258.473032407404</v>
      </c>
      <c r="Q23" s="104">
        <v>46289.464236111111</v>
      </c>
      <c r="R23" s="104"/>
      <c r="S23" s="1" t="s">
        <v>719</v>
      </c>
      <c r="T23" s="1" t="s">
        <v>719</v>
      </c>
      <c r="U23" s="4"/>
      <c r="V23" s="2"/>
      <c r="W23" s="104"/>
      <c r="X23" s="1"/>
      <c r="Y23" s="1" t="s">
        <v>1030</v>
      </c>
      <c r="Z23" s="104">
        <v>46288.674270833333</v>
      </c>
      <c r="AA23" s="1"/>
      <c r="AB23" s="4"/>
      <c r="AC23" s="4"/>
      <c r="AD23" s="1"/>
      <c r="AE23" s="1" t="s">
        <v>63</v>
      </c>
      <c r="AF23" s="1"/>
      <c r="AG23" s="2"/>
      <c r="AH23" s="1"/>
      <c r="AI23" s="1"/>
      <c r="AJ23" s="1" t="s">
        <v>719</v>
      </c>
      <c r="AK23" s="104">
        <v>46289.464236111111</v>
      </c>
      <c r="AL23" s="1"/>
      <c r="AM23" s="1"/>
      <c r="AN23" s="1"/>
      <c r="AO23" s="1"/>
      <c r="AP23" s="1"/>
      <c r="AQ23" s="1"/>
      <c r="AR23" s="1"/>
      <c r="AS23" s="1"/>
      <c r="AT23" s="2"/>
      <c r="AU23" s="1"/>
      <c r="AV23" s="2">
        <v>1</v>
      </c>
      <c r="AW23" s="4"/>
      <c r="AX23" s="104"/>
      <c r="AY23" s="4"/>
      <c r="AZ23" s="1"/>
      <c r="BA23" s="1"/>
      <c r="BB23" s="1" t="s">
        <v>514</v>
      </c>
      <c r="BC23" s="4"/>
      <c r="BD23" s="1" t="s">
        <v>85</v>
      </c>
      <c r="BE23" s="4"/>
      <c r="BF23" s="2"/>
      <c r="BG23" s="4"/>
      <c r="BH23" s="1"/>
      <c r="BI23" s="1" t="s">
        <v>191</v>
      </c>
    </row>
    <row r="24" spans="1:61" ht="13.5" hidden="1" customHeight="1" x14ac:dyDescent="0.25">
      <c r="A24" s="2">
        <v>1890</v>
      </c>
      <c r="B24" s="1" t="s">
        <v>836</v>
      </c>
      <c r="C24" s="1" t="s">
        <v>47</v>
      </c>
      <c r="D24" s="1" t="s">
        <v>319</v>
      </c>
      <c r="E24" s="1" t="s">
        <v>741</v>
      </c>
      <c r="F24" s="1" t="s">
        <v>323</v>
      </c>
      <c r="G24" s="2">
        <v>41</v>
      </c>
      <c r="H24" s="103">
        <v>20</v>
      </c>
      <c r="I24" s="4"/>
      <c r="J24" s="39">
        <v>1</v>
      </c>
      <c r="K24" s="53" t="s">
        <v>256</v>
      </c>
      <c r="L24" s="66">
        <v>0</v>
      </c>
      <c r="M24" s="8" t="s">
        <v>810</v>
      </c>
      <c r="N24" s="1" t="s">
        <v>177</v>
      </c>
      <c r="O24" s="7" t="s">
        <v>875</v>
      </c>
      <c r="P24" s="104">
        <v>46134.622245370374</v>
      </c>
      <c r="Q24" s="104">
        <v>46303.719629629632</v>
      </c>
      <c r="R24" s="104"/>
      <c r="S24" s="1" t="s">
        <v>810</v>
      </c>
      <c r="T24" s="1" t="s">
        <v>719</v>
      </c>
      <c r="U24" s="4"/>
      <c r="V24" s="2"/>
      <c r="W24" s="104"/>
      <c r="X24" s="1"/>
      <c r="Y24" s="1" t="s">
        <v>810</v>
      </c>
      <c r="Z24" s="104">
        <v>46303.719629629632</v>
      </c>
      <c r="AA24" s="1"/>
      <c r="AB24" s="4"/>
      <c r="AC24" s="4"/>
      <c r="AD24" s="1"/>
      <c r="AE24" s="1" t="s">
        <v>63</v>
      </c>
      <c r="AF24" s="1"/>
      <c r="AG24" s="2"/>
      <c r="AH24" s="1"/>
      <c r="AI24" s="1"/>
      <c r="AJ24" s="1" t="s">
        <v>810</v>
      </c>
      <c r="AK24" s="104">
        <v>46303.719629629632</v>
      </c>
      <c r="AL24" s="1"/>
      <c r="AM24" s="1"/>
      <c r="AN24" s="1"/>
      <c r="AO24" s="1"/>
      <c r="AP24" s="1"/>
      <c r="AQ24" s="1"/>
      <c r="AR24" s="1"/>
      <c r="AS24" s="1"/>
      <c r="AT24" s="2"/>
      <c r="AU24" s="1"/>
      <c r="AV24" s="2">
        <v>5</v>
      </c>
      <c r="AW24" s="4"/>
      <c r="AX24" s="104"/>
      <c r="AY24" s="4"/>
      <c r="AZ24" s="1"/>
      <c r="BA24" s="1"/>
      <c r="BB24" s="1" t="s">
        <v>514</v>
      </c>
      <c r="BC24" s="4"/>
      <c r="BD24" s="1" t="s">
        <v>85</v>
      </c>
      <c r="BE24" s="4"/>
      <c r="BF24" s="2"/>
      <c r="BG24" s="4"/>
      <c r="BH24" s="1"/>
      <c r="BI24" s="1" t="s">
        <v>191</v>
      </c>
    </row>
    <row r="25" spans="1:61" ht="13.5" hidden="1" customHeight="1" x14ac:dyDescent="0.25">
      <c r="A25" s="2">
        <v>2127</v>
      </c>
      <c r="B25" s="1" t="s">
        <v>956</v>
      </c>
      <c r="C25" s="1" t="s">
        <v>47</v>
      </c>
      <c r="D25" s="1" t="s">
        <v>319</v>
      </c>
      <c r="E25" s="1" t="s">
        <v>741</v>
      </c>
      <c r="F25" s="1" t="s">
        <v>323</v>
      </c>
      <c r="G25" s="2">
        <v>41</v>
      </c>
      <c r="H25" s="103">
        <v>18</v>
      </c>
      <c r="I25" s="103"/>
      <c r="J25" s="39">
        <v>1</v>
      </c>
      <c r="K25" s="53" t="s">
        <v>245</v>
      </c>
      <c r="L25" s="66">
        <v>0</v>
      </c>
      <c r="M25" s="8" t="s">
        <v>719</v>
      </c>
      <c r="N25" s="1" t="s">
        <v>178</v>
      </c>
      <c r="O25" s="7" t="s">
        <v>975</v>
      </c>
      <c r="P25" s="104">
        <v>46245.657060185185</v>
      </c>
      <c r="Q25" s="104">
        <v>46301.33488425926</v>
      </c>
      <c r="R25" s="104"/>
      <c r="S25" s="1" t="s">
        <v>380</v>
      </c>
      <c r="T25" s="1" t="s">
        <v>81</v>
      </c>
      <c r="U25" s="4"/>
      <c r="V25" s="2"/>
      <c r="W25" s="104"/>
      <c r="X25" s="1"/>
      <c r="Y25" s="1"/>
      <c r="Z25" s="104"/>
      <c r="AA25" s="1"/>
      <c r="AB25" s="4"/>
      <c r="AC25" s="4"/>
      <c r="AD25" s="1"/>
      <c r="AE25" s="1" t="s">
        <v>63</v>
      </c>
      <c r="AF25" s="1"/>
      <c r="AG25" s="2"/>
      <c r="AH25" s="1"/>
      <c r="AI25" s="1"/>
      <c r="AJ25" s="1" t="s">
        <v>380</v>
      </c>
      <c r="AK25" s="104">
        <v>46301.33488425926</v>
      </c>
      <c r="AL25" s="1"/>
      <c r="AM25" s="1"/>
      <c r="AN25" s="1"/>
      <c r="AO25" s="1"/>
      <c r="AP25" s="1"/>
      <c r="AQ25" s="1"/>
      <c r="AR25" s="1"/>
      <c r="AS25" s="1"/>
      <c r="AT25" s="2"/>
      <c r="AU25" s="1"/>
      <c r="AV25" s="2">
        <v>0</v>
      </c>
      <c r="AW25" s="4"/>
      <c r="AX25" s="104"/>
      <c r="AY25" s="4"/>
      <c r="AZ25" s="1"/>
      <c r="BA25" s="1"/>
      <c r="BB25" s="1" t="s">
        <v>514</v>
      </c>
      <c r="BC25" s="4"/>
      <c r="BD25" s="1" t="s">
        <v>85</v>
      </c>
      <c r="BE25" s="4"/>
      <c r="BF25" s="2"/>
      <c r="BG25" s="4"/>
      <c r="BH25" s="1"/>
      <c r="BI25" s="1" t="s">
        <v>188</v>
      </c>
    </row>
    <row r="26" spans="1:61" ht="13.5" hidden="1" customHeight="1" x14ac:dyDescent="0.25">
      <c r="A26" s="2">
        <v>1911</v>
      </c>
      <c r="B26" s="1" t="s">
        <v>845</v>
      </c>
      <c r="C26" s="1" t="s">
        <v>47</v>
      </c>
      <c r="D26" s="1" t="s">
        <v>319</v>
      </c>
      <c r="E26" s="1" t="s">
        <v>741</v>
      </c>
      <c r="F26" s="1" t="s">
        <v>323</v>
      </c>
      <c r="G26" s="2">
        <v>43</v>
      </c>
      <c r="H26" s="103">
        <v>10</v>
      </c>
      <c r="I26" s="4"/>
      <c r="J26" s="39">
        <v>1</v>
      </c>
      <c r="K26" s="53" t="s">
        <v>245</v>
      </c>
      <c r="L26" s="66">
        <v>0</v>
      </c>
      <c r="M26" s="8" t="s">
        <v>810</v>
      </c>
      <c r="N26" s="1" t="s">
        <v>178</v>
      </c>
      <c r="O26" s="7" t="s">
        <v>882</v>
      </c>
      <c r="P26" s="105">
        <v>46142.701585648145</v>
      </c>
      <c r="Q26" s="105">
        <v>46297.500393518516</v>
      </c>
      <c r="R26" s="105"/>
      <c r="S26" s="1" t="s">
        <v>380</v>
      </c>
      <c r="T26" s="1" t="s">
        <v>719</v>
      </c>
      <c r="U26" s="4" t="s">
        <v>608</v>
      </c>
      <c r="V26" s="2"/>
      <c r="W26" s="105"/>
      <c r="X26" s="1"/>
      <c r="Y26" s="1"/>
      <c r="Z26" s="105"/>
      <c r="AA26" s="1"/>
      <c r="AB26" s="4"/>
      <c r="AC26" s="4"/>
      <c r="AD26" s="1"/>
      <c r="AE26" s="1" t="s">
        <v>63</v>
      </c>
      <c r="AF26" s="1"/>
      <c r="AG26" s="2"/>
      <c r="AH26" s="1"/>
      <c r="AI26" s="1"/>
      <c r="AJ26" s="1" t="s">
        <v>380</v>
      </c>
      <c r="AK26" s="105">
        <v>46297.500393518516</v>
      </c>
      <c r="AL26" s="1"/>
      <c r="AM26" s="1"/>
      <c r="AN26" s="1"/>
      <c r="AO26" s="1"/>
      <c r="AP26" s="1"/>
      <c r="AQ26" s="1"/>
      <c r="AR26" s="1"/>
      <c r="AS26" s="1"/>
      <c r="AT26" s="2"/>
      <c r="AU26" s="1"/>
      <c r="AV26" s="2">
        <v>2</v>
      </c>
      <c r="AW26" s="4"/>
      <c r="AX26" s="105"/>
      <c r="AY26" s="4"/>
      <c r="AZ26" s="1"/>
      <c r="BA26" s="1"/>
      <c r="BB26" s="1" t="s">
        <v>514</v>
      </c>
      <c r="BC26" s="4"/>
      <c r="BD26" s="1" t="s">
        <v>85</v>
      </c>
      <c r="BE26" s="4"/>
      <c r="BF26" s="2">
        <v>2128</v>
      </c>
      <c r="BG26" s="4"/>
      <c r="BH26" s="1"/>
      <c r="BI26" s="1" t="s">
        <v>185</v>
      </c>
    </row>
    <row r="27" spans="1:61" ht="13.5" hidden="1" customHeight="1" x14ac:dyDescent="0.25">
      <c r="A27" s="2">
        <v>1879</v>
      </c>
      <c r="B27" s="1" t="s">
        <v>833</v>
      </c>
      <c r="C27" s="1" t="s">
        <v>47</v>
      </c>
      <c r="D27" s="1" t="s">
        <v>319</v>
      </c>
      <c r="E27" s="1" t="s">
        <v>741</v>
      </c>
      <c r="F27" s="1" t="s">
        <v>323</v>
      </c>
      <c r="G27" s="2"/>
      <c r="H27" s="103">
        <v>8</v>
      </c>
      <c r="I27" s="103"/>
      <c r="J27" s="39">
        <v>1</v>
      </c>
      <c r="K27" s="53" t="s">
        <v>1000</v>
      </c>
      <c r="L27" s="66">
        <v>0</v>
      </c>
      <c r="M27" s="8"/>
      <c r="N27" s="1" t="s">
        <v>178</v>
      </c>
      <c r="O27" s="7" t="s">
        <v>872</v>
      </c>
      <c r="P27" s="105">
        <v>46128.545289351852</v>
      </c>
      <c r="Q27" s="105">
        <v>46276.385972222219</v>
      </c>
      <c r="R27" s="105"/>
      <c r="S27" s="1" t="s">
        <v>157</v>
      </c>
      <c r="T27" s="1" t="s">
        <v>719</v>
      </c>
      <c r="U27" s="4"/>
      <c r="V27" s="2"/>
      <c r="W27" s="105"/>
      <c r="X27" s="1"/>
      <c r="Y27" s="1"/>
      <c r="Z27" s="105"/>
      <c r="AA27" s="1"/>
      <c r="AB27" s="4"/>
      <c r="AC27" s="4"/>
      <c r="AD27" s="1"/>
      <c r="AE27" s="1" t="s">
        <v>63</v>
      </c>
      <c r="AF27" s="1"/>
      <c r="AG27" s="2"/>
      <c r="AH27" s="1"/>
      <c r="AI27" s="1"/>
      <c r="AJ27" s="1" t="s">
        <v>157</v>
      </c>
      <c r="AK27" s="105">
        <v>46276.385972222219</v>
      </c>
      <c r="AL27" s="1"/>
      <c r="AM27" s="1"/>
      <c r="AN27" s="1"/>
      <c r="AO27" s="1"/>
      <c r="AP27" s="1"/>
      <c r="AQ27" s="1"/>
      <c r="AR27" s="1"/>
      <c r="AS27" s="1"/>
      <c r="AT27" s="2"/>
      <c r="AU27" s="1"/>
      <c r="AV27" s="2">
        <v>0</v>
      </c>
      <c r="AW27" s="4"/>
      <c r="AX27" s="105"/>
      <c r="AY27" s="4"/>
      <c r="AZ27" s="1"/>
      <c r="BA27" s="1"/>
      <c r="BB27" s="1" t="s">
        <v>514</v>
      </c>
      <c r="BC27" s="4"/>
      <c r="BD27" s="1" t="s">
        <v>85</v>
      </c>
      <c r="BE27" s="4"/>
      <c r="BF27" s="2"/>
      <c r="BG27" s="4"/>
      <c r="BH27" s="1"/>
      <c r="BI27" s="1" t="s">
        <v>185</v>
      </c>
    </row>
    <row r="28" spans="1:61" ht="13.5" hidden="1" customHeight="1" x14ac:dyDescent="0.25">
      <c r="A28" s="2">
        <v>2022</v>
      </c>
      <c r="B28" s="1" t="s">
        <v>841</v>
      </c>
      <c r="C28" s="1" t="s">
        <v>47</v>
      </c>
      <c r="D28" s="1" t="s">
        <v>319</v>
      </c>
      <c r="E28" s="1" t="s">
        <v>741</v>
      </c>
      <c r="F28" s="1" t="s">
        <v>323</v>
      </c>
      <c r="G28" s="2"/>
      <c r="H28" s="103">
        <v>4</v>
      </c>
      <c r="I28" s="103"/>
      <c r="J28" s="39">
        <v>1</v>
      </c>
      <c r="K28" s="53" t="s">
        <v>1000</v>
      </c>
      <c r="L28" s="66">
        <v>0</v>
      </c>
      <c r="M28" s="8"/>
      <c r="N28" s="1" t="s">
        <v>178</v>
      </c>
      <c r="O28" s="7" t="s">
        <v>878</v>
      </c>
      <c r="P28" s="105">
        <v>46190.698946759258</v>
      </c>
      <c r="Q28" s="105">
        <v>46276.384722222225</v>
      </c>
      <c r="R28" s="105"/>
      <c r="S28" s="1" t="s">
        <v>157</v>
      </c>
      <c r="T28" s="1" t="s">
        <v>719</v>
      </c>
      <c r="U28" s="4"/>
      <c r="V28" s="2"/>
      <c r="W28" s="105"/>
      <c r="X28" s="1"/>
      <c r="Y28" s="1"/>
      <c r="Z28" s="105"/>
      <c r="AA28" s="1"/>
      <c r="AB28" s="4"/>
      <c r="AC28" s="4"/>
      <c r="AD28" s="1"/>
      <c r="AE28" s="1" t="s">
        <v>63</v>
      </c>
      <c r="AF28" s="1"/>
      <c r="AG28" s="2"/>
      <c r="AH28" s="1"/>
      <c r="AI28" s="1"/>
      <c r="AJ28" s="1" t="s">
        <v>157</v>
      </c>
      <c r="AK28" s="105">
        <v>46276.384722222225</v>
      </c>
      <c r="AL28" s="1"/>
      <c r="AM28" s="1"/>
      <c r="AN28" s="1"/>
      <c r="AO28" s="1"/>
      <c r="AP28" s="1"/>
      <c r="AQ28" s="1"/>
      <c r="AR28" s="1"/>
      <c r="AS28" s="1"/>
      <c r="AT28" s="2"/>
      <c r="AU28" s="1"/>
      <c r="AV28" s="2">
        <v>0</v>
      </c>
      <c r="AW28" s="4"/>
      <c r="AX28" s="105"/>
      <c r="AY28" s="4"/>
      <c r="AZ28" s="1"/>
      <c r="BA28" s="1"/>
      <c r="BB28" s="1" t="s">
        <v>514</v>
      </c>
      <c r="BC28" s="4"/>
      <c r="BD28" s="1" t="s">
        <v>85</v>
      </c>
      <c r="BE28" s="4"/>
      <c r="BF28" s="2"/>
      <c r="BG28" s="4"/>
      <c r="BH28" s="1"/>
      <c r="BI28" s="1" t="s">
        <v>185</v>
      </c>
    </row>
    <row r="29" spans="1:61" ht="13.5" hidden="1" customHeight="1" x14ac:dyDescent="0.25">
      <c r="A29" s="2">
        <v>2037</v>
      </c>
      <c r="B29" s="1" t="s">
        <v>842</v>
      </c>
      <c r="C29" s="1" t="s">
        <v>47</v>
      </c>
      <c r="D29" s="1" t="s">
        <v>319</v>
      </c>
      <c r="E29" s="1" t="s">
        <v>741</v>
      </c>
      <c r="F29" s="1" t="s">
        <v>476</v>
      </c>
      <c r="G29" s="2"/>
      <c r="H29" s="103">
        <v>8</v>
      </c>
      <c r="I29" s="103"/>
      <c r="J29" s="39">
        <v>1</v>
      </c>
      <c r="K29" s="53" t="s">
        <v>1000</v>
      </c>
      <c r="L29" s="66">
        <v>0</v>
      </c>
      <c r="M29" s="8"/>
      <c r="N29" s="1" t="s">
        <v>178</v>
      </c>
      <c r="O29" s="7" t="s">
        <v>879</v>
      </c>
      <c r="P29" s="106">
        <v>46197.601354166669</v>
      </c>
      <c r="Q29" s="106">
        <v>46276.385717592595</v>
      </c>
      <c r="R29" s="106"/>
      <c r="S29" s="1" t="s">
        <v>157</v>
      </c>
      <c r="T29" s="1" t="s">
        <v>719</v>
      </c>
      <c r="U29" s="4"/>
      <c r="V29" s="2"/>
      <c r="W29" s="106"/>
      <c r="X29" s="1"/>
      <c r="Y29" s="1"/>
      <c r="Z29" s="106"/>
      <c r="AA29" s="1"/>
      <c r="AB29" s="4"/>
      <c r="AC29" s="4"/>
      <c r="AD29" s="1"/>
      <c r="AE29" s="1" t="s">
        <v>63</v>
      </c>
      <c r="AF29" s="1"/>
      <c r="AG29" s="2"/>
      <c r="AH29" s="1"/>
      <c r="AI29" s="1"/>
      <c r="AJ29" s="1" t="s">
        <v>157</v>
      </c>
      <c r="AK29" s="106">
        <v>46276.385717592595</v>
      </c>
      <c r="AL29" s="1"/>
      <c r="AM29" s="1"/>
      <c r="AN29" s="1"/>
      <c r="AO29" s="1"/>
      <c r="AP29" s="1"/>
      <c r="AQ29" s="1"/>
      <c r="AR29" s="1"/>
      <c r="AS29" s="1"/>
      <c r="AT29" s="2"/>
      <c r="AU29" s="1"/>
      <c r="AV29" s="2">
        <v>0</v>
      </c>
      <c r="AW29" s="4"/>
      <c r="AX29" s="106"/>
      <c r="AY29" s="4"/>
      <c r="AZ29" s="1"/>
      <c r="BA29" s="1"/>
      <c r="BB29" s="1" t="s">
        <v>514</v>
      </c>
      <c r="BC29" s="4"/>
      <c r="BD29" s="1" t="s">
        <v>85</v>
      </c>
      <c r="BE29" s="4"/>
      <c r="BF29" s="2"/>
      <c r="BG29" s="4"/>
      <c r="BH29" s="1"/>
      <c r="BI29" s="1" t="s">
        <v>185</v>
      </c>
    </row>
    <row r="30" spans="1:61" ht="13.5" hidden="1" customHeight="1" x14ac:dyDescent="0.25">
      <c r="A30" s="2">
        <v>1893</v>
      </c>
      <c r="B30" s="1" t="s">
        <v>839</v>
      </c>
      <c r="C30" s="1" t="s">
        <v>47</v>
      </c>
      <c r="D30" s="1" t="s">
        <v>319</v>
      </c>
      <c r="E30" s="1" t="s">
        <v>741</v>
      </c>
      <c r="F30" s="1" t="s">
        <v>323</v>
      </c>
      <c r="G30" s="2"/>
      <c r="H30" s="103">
        <v>8</v>
      </c>
      <c r="I30" s="103"/>
      <c r="J30" s="39">
        <v>1</v>
      </c>
      <c r="K30" s="53" t="s">
        <v>1000</v>
      </c>
      <c r="L30" s="66">
        <v>0</v>
      </c>
      <c r="M30" s="8"/>
      <c r="N30" s="1" t="s">
        <v>178</v>
      </c>
      <c r="O30" s="7" t="s">
        <v>876</v>
      </c>
      <c r="P30" s="107">
        <v>46136.37872685185</v>
      </c>
      <c r="Q30" s="107">
        <v>46276.386504629627</v>
      </c>
      <c r="R30" s="107"/>
      <c r="S30" s="1" t="s">
        <v>157</v>
      </c>
      <c r="T30" s="1" t="s">
        <v>719</v>
      </c>
      <c r="U30" s="4"/>
      <c r="V30" s="2"/>
      <c r="W30" s="107"/>
      <c r="X30" s="1"/>
      <c r="Y30" s="1"/>
      <c r="Z30" s="107"/>
      <c r="AA30" s="1"/>
      <c r="AB30" s="4"/>
      <c r="AC30" s="4"/>
      <c r="AD30" s="1"/>
      <c r="AE30" s="1" t="s">
        <v>63</v>
      </c>
      <c r="AF30" s="1"/>
      <c r="AG30" s="2"/>
      <c r="AH30" s="1"/>
      <c r="AI30" s="1"/>
      <c r="AJ30" s="1" t="s">
        <v>157</v>
      </c>
      <c r="AK30" s="107">
        <v>46276.386504629627</v>
      </c>
      <c r="AL30" s="1"/>
      <c r="AM30" s="1"/>
      <c r="AN30" s="1"/>
      <c r="AO30" s="1"/>
      <c r="AP30" s="1"/>
      <c r="AQ30" s="1"/>
      <c r="AR30" s="1"/>
      <c r="AS30" s="1"/>
      <c r="AT30" s="2"/>
      <c r="AU30" s="1"/>
      <c r="AV30" s="2">
        <v>0</v>
      </c>
      <c r="AW30" s="4"/>
      <c r="AX30" s="107"/>
      <c r="AY30" s="4"/>
      <c r="AZ30" s="1"/>
      <c r="BA30" s="1"/>
      <c r="BB30" s="1" t="s">
        <v>514</v>
      </c>
      <c r="BC30" s="4"/>
      <c r="BD30" s="1" t="s">
        <v>85</v>
      </c>
      <c r="BE30" s="4"/>
      <c r="BF30" s="2"/>
      <c r="BG30" s="4"/>
      <c r="BH30" s="1"/>
      <c r="BI30" s="1" t="s">
        <v>185</v>
      </c>
    </row>
    <row r="31" spans="1:61" ht="13.5" hidden="1" customHeight="1" x14ac:dyDescent="0.25">
      <c r="A31" s="2">
        <v>1643</v>
      </c>
      <c r="B31" s="1" t="s">
        <v>717</v>
      </c>
      <c r="C31" s="1" t="s">
        <v>47</v>
      </c>
      <c r="D31" s="1" t="s">
        <v>319</v>
      </c>
      <c r="E31" s="1" t="s">
        <v>741</v>
      </c>
      <c r="F31" s="1" t="s">
        <v>323</v>
      </c>
      <c r="G31" s="2">
        <v>40</v>
      </c>
      <c r="H31" s="103">
        <v>49</v>
      </c>
      <c r="I31" s="4"/>
      <c r="J31" s="39">
        <v>1</v>
      </c>
      <c r="K31" s="53" t="s">
        <v>250</v>
      </c>
      <c r="L31" s="66">
        <v>0</v>
      </c>
      <c r="M31" s="8" t="s">
        <v>91</v>
      </c>
      <c r="N31" s="1" t="s">
        <v>177</v>
      </c>
      <c r="O31" s="7" t="s">
        <v>718</v>
      </c>
      <c r="P31" s="107">
        <v>46037.711296296293</v>
      </c>
      <c r="Q31" s="107">
        <v>46301.568645833337</v>
      </c>
      <c r="R31" s="107"/>
      <c r="S31" s="1" t="s">
        <v>91</v>
      </c>
      <c r="T31" s="1" t="s">
        <v>81</v>
      </c>
      <c r="U31" s="4" t="s">
        <v>819</v>
      </c>
      <c r="V31" s="2"/>
      <c r="W31" s="107"/>
      <c r="X31" s="1"/>
      <c r="Y31" s="1" t="s">
        <v>91</v>
      </c>
      <c r="Z31" s="107">
        <v>46295.585335648146</v>
      </c>
      <c r="AA31" s="1"/>
      <c r="AB31" s="4"/>
      <c r="AC31" s="4"/>
      <c r="AD31" s="1"/>
      <c r="AE31" s="1" t="s">
        <v>63</v>
      </c>
      <c r="AF31" s="1"/>
      <c r="AG31" s="2"/>
      <c r="AH31" s="1"/>
      <c r="AI31" s="1"/>
      <c r="AJ31" s="1" t="s">
        <v>91</v>
      </c>
      <c r="AK31" s="107">
        <v>46301.568645833337</v>
      </c>
      <c r="AL31" s="1"/>
      <c r="AM31" s="1"/>
      <c r="AN31" s="1"/>
      <c r="AO31" s="1"/>
      <c r="AP31" s="1"/>
      <c r="AQ31" s="1"/>
      <c r="AR31" s="1"/>
      <c r="AS31" s="1"/>
      <c r="AT31" s="2"/>
      <c r="AU31" s="1"/>
      <c r="AV31" s="2">
        <v>10</v>
      </c>
      <c r="AW31" s="4"/>
      <c r="AX31" s="107"/>
      <c r="AY31" s="4"/>
      <c r="AZ31" s="1"/>
      <c r="BA31" s="1"/>
      <c r="BB31" s="1" t="s">
        <v>514</v>
      </c>
      <c r="BC31" s="4"/>
      <c r="BD31" s="1" t="s">
        <v>85</v>
      </c>
      <c r="BE31" s="4"/>
      <c r="BF31" s="2"/>
      <c r="BG31" s="4"/>
      <c r="BH31" s="1"/>
      <c r="BI31" s="1" t="s">
        <v>191</v>
      </c>
    </row>
    <row r="32" spans="1:61" ht="13.5" hidden="1" customHeight="1" x14ac:dyDescent="0.25">
      <c r="A32" s="2">
        <v>1433</v>
      </c>
      <c r="B32" s="1" t="s">
        <v>520</v>
      </c>
      <c r="C32" s="1" t="s">
        <v>47</v>
      </c>
      <c r="D32" s="1" t="s">
        <v>319</v>
      </c>
      <c r="E32" s="1" t="s">
        <v>741</v>
      </c>
      <c r="F32" s="1" t="s">
        <v>323</v>
      </c>
      <c r="G32" s="2">
        <v>40</v>
      </c>
      <c r="H32" s="103">
        <v>38</v>
      </c>
      <c r="I32" s="103"/>
      <c r="J32" s="39">
        <v>1</v>
      </c>
      <c r="K32" s="53" t="s">
        <v>250</v>
      </c>
      <c r="L32" s="66">
        <v>0</v>
      </c>
      <c r="M32" s="8" t="s">
        <v>91</v>
      </c>
      <c r="N32" s="1" t="s">
        <v>177</v>
      </c>
      <c r="O32" s="7" t="s">
        <v>526</v>
      </c>
      <c r="P32" s="107">
        <v>45950.749525462961</v>
      </c>
      <c r="Q32" s="107">
        <v>46301.568032407406</v>
      </c>
      <c r="R32" s="107"/>
      <c r="S32" s="1" t="s">
        <v>91</v>
      </c>
      <c r="T32" s="1" t="s">
        <v>81</v>
      </c>
      <c r="U32" s="4"/>
      <c r="V32" s="2"/>
      <c r="W32" s="107"/>
      <c r="X32" s="1"/>
      <c r="Y32" s="1" t="s">
        <v>91</v>
      </c>
      <c r="Z32" s="107">
        <v>46296.435787037037</v>
      </c>
      <c r="AA32" s="1"/>
      <c r="AB32" s="4"/>
      <c r="AC32" s="4"/>
      <c r="AD32" s="1"/>
      <c r="AE32" s="1" t="s">
        <v>63</v>
      </c>
      <c r="AF32" s="1"/>
      <c r="AG32" s="2"/>
      <c r="AH32" s="1"/>
      <c r="AI32" s="1"/>
      <c r="AJ32" s="1" t="s">
        <v>91</v>
      </c>
      <c r="AK32" s="107">
        <v>46301.568032407406</v>
      </c>
      <c r="AL32" s="1"/>
      <c r="AM32" s="1"/>
      <c r="AN32" s="1"/>
      <c r="AO32" s="1"/>
      <c r="AP32" s="1"/>
      <c r="AQ32" s="1"/>
      <c r="AR32" s="1"/>
      <c r="AS32" s="1"/>
      <c r="AT32" s="2"/>
      <c r="AU32" s="1"/>
      <c r="AV32" s="2">
        <v>4</v>
      </c>
      <c r="AW32" s="4"/>
      <c r="AX32" s="107"/>
      <c r="AY32" s="4"/>
      <c r="AZ32" s="1"/>
      <c r="BA32" s="1"/>
      <c r="BB32" s="1" t="s">
        <v>61</v>
      </c>
      <c r="BC32" s="4"/>
      <c r="BD32" s="1" t="s">
        <v>85</v>
      </c>
      <c r="BE32" s="4"/>
      <c r="BF32" s="2"/>
      <c r="BG32" s="4"/>
      <c r="BH32" s="1"/>
      <c r="BI32" s="1" t="s">
        <v>191</v>
      </c>
    </row>
    <row r="33" spans="1:61" ht="13.5" hidden="1" customHeight="1" x14ac:dyDescent="0.25">
      <c r="A33" s="2">
        <v>2225</v>
      </c>
      <c r="B33" s="1" t="s">
        <v>1064</v>
      </c>
      <c r="C33" s="1" t="s">
        <v>47</v>
      </c>
      <c r="D33" s="1" t="s">
        <v>319</v>
      </c>
      <c r="E33" s="1" t="s">
        <v>741</v>
      </c>
      <c r="F33" s="1" t="s">
        <v>476</v>
      </c>
      <c r="G33" s="2">
        <v>39</v>
      </c>
      <c r="H33" s="103">
        <v>10</v>
      </c>
      <c r="I33" s="103"/>
      <c r="J33" s="39">
        <v>1</v>
      </c>
      <c r="K33" s="53" t="s">
        <v>250</v>
      </c>
      <c r="L33" s="66">
        <v>0</v>
      </c>
      <c r="M33" s="8" t="s">
        <v>810</v>
      </c>
      <c r="N33" s="1" t="s">
        <v>177</v>
      </c>
      <c r="O33" s="7" t="s">
        <v>1065</v>
      </c>
      <c r="P33" s="108">
        <v>46289.46675925926</v>
      </c>
      <c r="Q33" s="108">
        <v>46293.604907407411</v>
      </c>
      <c r="R33" s="108"/>
      <c r="S33" s="1" t="s">
        <v>719</v>
      </c>
      <c r="T33" s="1" t="s">
        <v>719</v>
      </c>
      <c r="U33" s="4"/>
      <c r="V33" s="2"/>
      <c r="W33" s="108"/>
      <c r="X33" s="1"/>
      <c r="Y33" s="1" t="s">
        <v>810</v>
      </c>
      <c r="Z33" s="108">
        <v>46290.616365740738</v>
      </c>
      <c r="AA33" s="1"/>
      <c r="AB33" s="4"/>
      <c r="AC33" s="4"/>
      <c r="AD33" s="1"/>
      <c r="AE33" s="1" t="s">
        <v>63</v>
      </c>
      <c r="AF33" s="1"/>
      <c r="AG33" s="2"/>
      <c r="AH33" s="1"/>
      <c r="AI33" s="1"/>
      <c r="AJ33" s="1" t="s">
        <v>719</v>
      </c>
      <c r="AK33" s="108">
        <v>46293.604907407411</v>
      </c>
      <c r="AL33" s="1"/>
      <c r="AM33" s="1"/>
      <c r="AN33" s="1"/>
      <c r="AO33" s="1"/>
      <c r="AP33" s="1"/>
      <c r="AQ33" s="1"/>
      <c r="AR33" s="1"/>
      <c r="AS33" s="1"/>
      <c r="AT33" s="2"/>
      <c r="AU33" s="1"/>
      <c r="AV33" s="2">
        <v>1</v>
      </c>
      <c r="AW33" s="4"/>
      <c r="AX33" s="108"/>
      <c r="AY33" s="4"/>
      <c r="AZ33" s="1"/>
      <c r="BA33" s="1"/>
      <c r="BB33" s="1" t="s">
        <v>514</v>
      </c>
      <c r="BC33" s="4"/>
      <c r="BD33" s="1" t="s">
        <v>85</v>
      </c>
      <c r="BE33" s="4"/>
      <c r="BF33" s="2"/>
      <c r="BG33" s="4"/>
      <c r="BH33" s="1"/>
      <c r="BI33" s="1" t="s">
        <v>191</v>
      </c>
    </row>
    <row r="34" spans="1:61" ht="13.5" hidden="1" customHeight="1" x14ac:dyDescent="0.25">
      <c r="A34" s="2">
        <v>2211</v>
      </c>
      <c r="B34" s="1" t="s">
        <v>1042</v>
      </c>
      <c r="C34" s="1" t="s">
        <v>47</v>
      </c>
      <c r="D34" s="1" t="s">
        <v>319</v>
      </c>
      <c r="E34" s="1" t="s">
        <v>741</v>
      </c>
      <c r="F34" s="1" t="s">
        <v>742</v>
      </c>
      <c r="G34" s="2">
        <v>39</v>
      </c>
      <c r="H34" s="103">
        <v>10</v>
      </c>
      <c r="I34" s="103"/>
      <c r="J34" s="39">
        <v>1</v>
      </c>
      <c r="K34" s="53" t="s">
        <v>250</v>
      </c>
      <c r="L34" s="66">
        <v>1</v>
      </c>
      <c r="M34" s="8" t="s">
        <v>91</v>
      </c>
      <c r="N34" s="1" t="s">
        <v>177</v>
      </c>
      <c r="O34" s="7" t="s">
        <v>1043</v>
      </c>
      <c r="P34" s="108">
        <v>46286.560347222221</v>
      </c>
      <c r="Q34" s="108">
        <v>46300.588425925926</v>
      </c>
      <c r="R34" s="108"/>
      <c r="S34" s="1" t="s">
        <v>81</v>
      </c>
      <c r="T34" s="1" t="s">
        <v>157</v>
      </c>
      <c r="U34" s="4" t="s">
        <v>553</v>
      </c>
      <c r="V34" s="2"/>
      <c r="W34" s="108"/>
      <c r="X34" s="1"/>
      <c r="Y34" s="1" t="s">
        <v>91</v>
      </c>
      <c r="Z34" s="108">
        <v>46286.662789351853</v>
      </c>
      <c r="AA34" s="1"/>
      <c r="AB34" s="4"/>
      <c r="AC34" s="4"/>
      <c r="AD34" s="1"/>
      <c r="AE34" s="1" t="s">
        <v>63</v>
      </c>
      <c r="AF34" s="1"/>
      <c r="AG34" s="2"/>
      <c r="AH34" s="1"/>
      <c r="AI34" s="1"/>
      <c r="AJ34" s="1" t="s">
        <v>81</v>
      </c>
      <c r="AK34" s="108">
        <v>46300.588425925926</v>
      </c>
      <c r="AL34" s="1"/>
      <c r="AM34" s="1"/>
      <c r="AN34" s="1"/>
      <c r="AO34" s="1"/>
      <c r="AP34" s="1"/>
      <c r="AQ34" s="1"/>
      <c r="AR34" s="1"/>
      <c r="AS34" s="1"/>
      <c r="AT34" s="2"/>
      <c r="AU34" s="1"/>
      <c r="AV34" s="2">
        <v>2</v>
      </c>
      <c r="AW34" s="4"/>
      <c r="AX34" s="108"/>
      <c r="AY34" s="4"/>
      <c r="AZ34" s="1"/>
      <c r="BA34" s="1"/>
      <c r="BB34" s="1" t="s">
        <v>514</v>
      </c>
      <c r="BC34" s="4"/>
      <c r="BD34" s="1" t="s">
        <v>85</v>
      </c>
      <c r="BE34" s="4"/>
      <c r="BF34" s="2"/>
      <c r="BG34" s="4"/>
      <c r="BH34" s="1"/>
      <c r="BI34" s="1" t="s">
        <v>191</v>
      </c>
    </row>
    <row r="35" spans="1:61" ht="13.5" customHeight="1" x14ac:dyDescent="0.25">
      <c r="A35" s="2">
        <v>1880</v>
      </c>
      <c r="B35" s="1" t="s">
        <v>840</v>
      </c>
      <c r="C35" s="1" t="s">
        <v>47</v>
      </c>
      <c r="D35" s="1" t="s">
        <v>319</v>
      </c>
      <c r="E35" s="1" t="s">
        <v>741</v>
      </c>
      <c r="F35" s="1" t="s">
        <v>742</v>
      </c>
      <c r="G35" s="2">
        <v>41</v>
      </c>
      <c r="H35" s="103">
        <v>40</v>
      </c>
      <c r="I35" s="4"/>
      <c r="J35" s="39">
        <v>2</v>
      </c>
      <c r="K35" s="53" t="s">
        <v>608</v>
      </c>
      <c r="L35" s="66">
        <v>0</v>
      </c>
      <c r="M35" s="8" t="s">
        <v>810</v>
      </c>
      <c r="N35" s="1" t="s">
        <v>178</v>
      </c>
      <c r="O35" s="7" t="s">
        <v>877</v>
      </c>
      <c r="P35" s="108">
        <v>46128.568553240744</v>
      </c>
      <c r="Q35" s="108">
        <v>46301.477638888886</v>
      </c>
      <c r="R35" s="108"/>
      <c r="S35" s="1" t="s">
        <v>719</v>
      </c>
      <c r="T35" s="1" t="s">
        <v>719</v>
      </c>
      <c r="U35" s="4" t="s">
        <v>608</v>
      </c>
      <c r="V35" s="2"/>
      <c r="W35" s="108"/>
      <c r="X35" s="1"/>
      <c r="Y35" s="1"/>
      <c r="Z35" s="108"/>
      <c r="AA35" s="1"/>
      <c r="AB35" s="4"/>
      <c r="AC35" s="4"/>
      <c r="AD35" s="1"/>
      <c r="AE35" s="1" t="s">
        <v>63</v>
      </c>
      <c r="AF35" s="1"/>
      <c r="AG35" s="2"/>
      <c r="AH35" s="1"/>
      <c r="AI35" s="1"/>
      <c r="AJ35" s="1" t="s">
        <v>719</v>
      </c>
      <c r="AK35" s="108">
        <v>46301.477638888886</v>
      </c>
      <c r="AL35" s="1"/>
      <c r="AM35" s="1"/>
      <c r="AN35" s="1"/>
      <c r="AO35" s="1"/>
      <c r="AP35" s="1"/>
      <c r="AQ35" s="1"/>
      <c r="AR35" s="1"/>
      <c r="AS35" s="1"/>
      <c r="AT35" s="2"/>
      <c r="AU35" s="1"/>
      <c r="AV35" s="2">
        <v>2</v>
      </c>
      <c r="AW35" s="4"/>
      <c r="AX35" s="108"/>
      <c r="AY35" s="4"/>
      <c r="AZ35" s="1"/>
      <c r="BA35" s="1"/>
      <c r="BB35" s="1" t="s">
        <v>514</v>
      </c>
      <c r="BC35" s="4"/>
      <c r="BD35" s="1" t="s">
        <v>85</v>
      </c>
      <c r="BE35" s="4"/>
      <c r="BF35" s="2">
        <v>2107</v>
      </c>
      <c r="BG35" s="4"/>
      <c r="BH35" s="1"/>
      <c r="BI35" s="1" t="s">
        <v>188</v>
      </c>
    </row>
    <row r="36" spans="1:61" ht="13.5" customHeight="1" x14ac:dyDescent="0.25">
      <c r="A36" s="2">
        <v>2140</v>
      </c>
      <c r="B36" s="1" t="s">
        <v>957</v>
      </c>
      <c r="C36" s="1" t="s">
        <v>47</v>
      </c>
      <c r="D36" s="1" t="s">
        <v>319</v>
      </c>
      <c r="E36" s="1" t="s">
        <v>741</v>
      </c>
      <c r="F36" s="1" t="s">
        <v>323</v>
      </c>
      <c r="G36" s="2"/>
      <c r="H36" s="103"/>
      <c r="I36" s="4"/>
      <c r="J36" s="39">
        <v>2</v>
      </c>
      <c r="K36" s="53" t="s">
        <v>468</v>
      </c>
      <c r="L36" s="66">
        <v>0</v>
      </c>
      <c r="M36" s="8" t="s">
        <v>81</v>
      </c>
      <c r="N36" s="1" t="s">
        <v>178</v>
      </c>
      <c r="O36" s="7"/>
      <c r="P36" s="108">
        <v>46253.449560185189</v>
      </c>
      <c r="Q36" s="108">
        <v>46297.391689814816</v>
      </c>
      <c r="R36" s="108"/>
      <c r="S36" s="1" t="s">
        <v>81</v>
      </c>
      <c r="T36" s="1" t="s">
        <v>81</v>
      </c>
      <c r="U36" s="4"/>
      <c r="V36" s="2"/>
      <c r="W36" s="108"/>
      <c r="X36" s="1"/>
      <c r="Y36" s="1"/>
      <c r="Z36" s="108"/>
      <c r="AA36" s="1"/>
      <c r="AB36" s="4"/>
      <c r="AC36" s="4"/>
      <c r="AD36" s="1"/>
      <c r="AE36" s="1" t="s">
        <v>63</v>
      </c>
      <c r="AF36" s="1"/>
      <c r="AG36" s="2"/>
      <c r="AH36" s="1"/>
      <c r="AI36" s="1"/>
      <c r="AJ36" s="1" t="s">
        <v>81</v>
      </c>
      <c r="AK36" s="108">
        <v>46297.391689814816</v>
      </c>
      <c r="AL36" s="1"/>
      <c r="AM36" s="1"/>
      <c r="AN36" s="1"/>
      <c r="AO36" s="1"/>
      <c r="AP36" s="1"/>
      <c r="AQ36" s="1"/>
      <c r="AR36" s="1"/>
      <c r="AS36" s="1"/>
      <c r="AT36" s="2"/>
      <c r="AU36" s="1"/>
      <c r="AV36" s="2">
        <v>0</v>
      </c>
      <c r="AW36" s="4"/>
      <c r="AX36" s="108"/>
      <c r="AY36" s="4"/>
      <c r="AZ36" s="1"/>
      <c r="BA36" s="1"/>
      <c r="BB36" s="1" t="s">
        <v>514</v>
      </c>
      <c r="BC36" s="4"/>
      <c r="BD36" s="1" t="s">
        <v>85</v>
      </c>
      <c r="BE36" s="4"/>
      <c r="BF36" s="2">
        <v>2107</v>
      </c>
      <c r="BG36" s="4"/>
      <c r="BH36" s="1"/>
      <c r="BI36" s="1" t="s">
        <v>185</v>
      </c>
    </row>
    <row r="37" spans="1:61" ht="13.5" hidden="1" customHeight="1" x14ac:dyDescent="0.25">
      <c r="A37" s="2">
        <v>1899</v>
      </c>
      <c r="B37" s="1" t="s">
        <v>843</v>
      </c>
      <c r="C37" s="1" t="s">
        <v>47</v>
      </c>
      <c r="D37" s="1" t="s">
        <v>319</v>
      </c>
      <c r="E37" s="1" t="s">
        <v>741</v>
      </c>
      <c r="F37" s="1" t="s">
        <v>323</v>
      </c>
      <c r="G37" s="2"/>
      <c r="H37" s="103">
        <v>4</v>
      </c>
      <c r="I37" s="103"/>
      <c r="J37" s="39">
        <v>2</v>
      </c>
      <c r="K37" s="53" t="s">
        <v>1000</v>
      </c>
      <c r="L37" s="66">
        <v>0</v>
      </c>
      <c r="M37" s="8"/>
      <c r="N37" s="1" t="s">
        <v>178</v>
      </c>
      <c r="O37" s="7" t="s">
        <v>880</v>
      </c>
      <c r="P37" s="108">
        <v>46139.418032407404</v>
      </c>
      <c r="Q37" s="108">
        <v>46276.384722222225</v>
      </c>
      <c r="R37" s="108"/>
      <c r="S37" s="1" t="s">
        <v>157</v>
      </c>
      <c r="T37" s="1" t="s">
        <v>719</v>
      </c>
      <c r="U37" s="4"/>
      <c r="V37" s="2"/>
      <c r="W37" s="108"/>
      <c r="X37" s="1"/>
      <c r="Y37" s="1"/>
      <c r="Z37" s="108"/>
      <c r="AA37" s="1"/>
      <c r="AB37" s="4"/>
      <c r="AC37" s="4"/>
      <c r="AD37" s="1"/>
      <c r="AE37" s="1" t="s">
        <v>63</v>
      </c>
      <c r="AF37" s="1"/>
      <c r="AG37" s="2"/>
      <c r="AH37" s="1"/>
      <c r="AI37" s="1"/>
      <c r="AJ37" s="1" t="s">
        <v>157</v>
      </c>
      <c r="AK37" s="108">
        <v>46276.384722222225</v>
      </c>
      <c r="AL37" s="1"/>
      <c r="AM37" s="1"/>
      <c r="AN37" s="1"/>
      <c r="AO37" s="1"/>
      <c r="AP37" s="1"/>
      <c r="AQ37" s="1"/>
      <c r="AR37" s="1"/>
      <c r="AS37" s="1"/>
      <c r="AT37" s="2"/>
      <c r="AU37" s="1"/>
      <c r="AV37" s="2">
        <v>1</v>
      </c>
      <c r="AW37" s="4"/>
      <c r="AX37" s="108"/>
      <c r="AY37" s="4"/>
      <c r="AZ37" s="1"/>
      <c r="BA37" s="1"/>
      <c r="BB37" s="1" t="s">
        <v>514</v>
      </c>
      <c r="BC37" s="4"/>
      <c r="BD37" s="1" t="s">
        <v>85</v>
      </c>
      <c r="BE37" s="4"/>
      <c r="BF37" s="2"/>
      <c r="BG37" s="4"/>
      <c r="BH37" s="1"/>
      <c r="BI37" s="1" t="s">
        <v>185</v>
      </c>
    </row>
    <row r="38" spans="1:61" ht="13.5" customHeight="1" x14ac:dyDescent="0.25">
      <c r="A38" s="2">
        <v>2234</v>
      </c>
      <c r="B38" s="1" t="s">
        <v>1099</v>
      </c>
      <c r="C38" s="1" t="s">
        <v>47</v>
      </c>
      <c r="D38" s="1" t="s">
        <v>319</v>
      </c>
      <c r="E38" s="1" t="s">
        <v>734</v>
      </c>
      <c r="F38" s="1" t="s">
        <v>323</v>
      </c>
      <c r="G38" s="2">
        <v>43</v>
      </c>
      <c r="H38" s="103">
        <v>10</v>
      </c>
      <c r="I38" s="103"/>
      <c r="J38" s="39">
        <v>2</v>
      </c>
      <c r="K38" s="53" t="s">
        <v>245</v>
      </c>
      <c r="L38" s="66">
        <v>0</v>
      </c>
      <c r="M38" s="8" t="s">
        <v>810</v>
      </c>
      <c r="N38" s="1" t="s">
        <v>178</v>
      </c>
      <c r="O38" s="7" t="s">
        <v>1100</v>
      </c>
      <c r="P38" s="109">
        <v>46300.581111111111</v>
      </c>
      <c r="Q38" s="109">
        <v>46301.33488425926</v>
      </c>
      <c r="R38" s="109"/>
      <c r="S38" s="1" t="s">
        <v>380</v>
      </c>
      <c r="T38" s="1" t="s">
        <v>81</v>
      </c>
      <c r="U38" s="4"/>
      <c r="V38" s="2"/>
      <c r="W38" s="109"/>
      <c r="X38" s="1"/>
      <c r="Y38" s="1"/>
      <c r="Z38" s="109"/>
      <c r="AA38" s="1"/>
      <c r="AB38" s="4"/>
      <c r="AC38" s="4"/>
      <c r="AD38" s="1"/>
      <c r="AE38" s="1" t="s">
        <v>63</v>
      </c>
      <c r="AF38" s="1"/>
      <c r="AG38" s="2"/>
      <c r="AH38" s="1"/>
      <c r="AI38" s="1"/>
      <c r="AJ38" s="1" t="s">
        <v>380</v>
      </c>
      <c r="AK38" s="109">
        <v>46301.33488425926</v>
      </c>
      <c r="AL38" s="1"/>
      <c r="AM38" s="1"/>
      <c r="AN38" s="1"/>
      <c r="AO38" s="1"/>
      <c r="AP38" s="1"/>
      <c r="AQ38" s="1"/>
      <c r="AR38" s="1"/>
      <c r="AS38" s="1"/>
      <c r="AT38" s="2"/>
      <c r="AU38" s="1"/>
      <c r="AV38" s="2">
        <v>0</v>
      </c>
      <c r="AW38" s="4"/>
      <c r="AX38" s="109"/>
      <c r="AY38" s="4"/>
      <c r="AZ38" s="1"/>
      <c r="BA38" s="1"/>
      <c r="BB38" s="1" t="s">
        <v>514</v>
      </c>
      <c r="BC38" s="4"/>
      <c r="BD38" s="1" t="s">
        <v>85</v>
      </c>
      <c r="BE38" s="4"/>
      <c r="BF38" s="2">
        <v>2107</v>
      </c>
      <c r="BG38" s="4"/>
      <c r="BH38" s="1"/>
      <c r="BI38" s="1" t="s">
        <v>185</v>
      </c>
    </row>
    <row r="39" spans="1:61" ht="13.5" customHeight="1" x14ac:dyDescent="0.25">
      <c r="A39" s="2">
        <v>2229</v>
      </c>
      <c r="B39" s="1" t="s">
        <v>1086</v>
      </c>
      <c r="C39" s="1" t="s">
        <v>47</v>
      </c>
      <c r="D39" s="1" t="s">
        <v>319</v>
      </c>
      <c r="E39" s="1" t="s">
        <v>741</v>
      </c>
      <c r="F39" s="1" t="s">
        <v>742</v>
      </c>
      <c r="G39" s="2"/>
      <c r="H39" s="103"/>
      <c r="I39" s="103"/>
      <c r="J39" s="39">
        <v>2</v>
      </c>
      <c r="K39" s="53" t="s">
        <v>249</v>
      </c>
      <c r="L39" s="66">
        <v>0</v>
      </c>
      <c r="M39" s="8"/>
      <c r="N39" s="1" t="s">
        <v>178</v>
      </c>
      <c r="O39" s="7" t="s">
        <v>1087</v>
      </c>
      <c r="P39" s="109">
        <v>46295.405775462961</v>
      </c>
      <c r="Q39" s="109">
        <v>46295.426805555559</v>
      </c>
      <c r="R39" s="109"/>
      <c r="S39" s="1" t="s">
        <v>157</v>
      </c>
      <c r="T39" s="1" t="s">
        <v>157</v>
      </c>
      <c r="U39" s="4"/>
      <c r="V39" s="2"/>
      <c r="W39" s="109"/>
      <c r="X39" s="1"/>
      <c r="Y39" s="1"/>
      <c r="Z39" s="109"/>
      <c r="AA39" s="1"/>
      <c r="AB39" s="4"/>
      <c r="AC39" s="4"/>
      <c r="AD39" s="1"/>
      <c r="AE39" s="1" t="s">
        <v>63</v>
      </c>
      <c r="AF39" s="1"/>
      <c r="AG39" s="2"/>
      <c r="AH39" s="1"/>
      <c r="AI39" s="1"/>
      <c r="AJ39" s="1" t="s">
        <v>157</v>
      </c>
      <c r="AK39" s="109">
        <v>46295.426805555559</v>
      </c>
      <c r="AL39" s="1"/>
      <c r="AM39" s="1"/>
      <c r="AN39" s="1"/>
      <c r="AO39" s="1"/>
      <c r="AP39" s="1"/>
      <c r="AQ39" s="1"/>
      <c r="AR39" s="1"/>
      <c r="AS39" s="1"/>
      <c r="AT39" s="2"/>
      <c r="AU39" s="1"/>
      <c r="AV39" s="2">
        <v>1</v>
      </c>
      <c r="AW39" s="4"/>
      <c r="AX39" s="109"/>
      <c r="AY39" s="4"/>
      <c r="AZ39" s="1"/>
      <c r="BA39" s="1"/>
      <c r="BB39" s="1" t="s">
        <v>514</v>
      </c>
      <c r="BC39" s="4"/>
      <c r="BD39" s="1" t="s">
        <v>85</v>
      </c>
      <c r="BE39" s="4"/>
      <c r="BF39" s="2"/>
      <c r="BG39" s="4"/>
      <c r="BH39" s="1"/>
      <c r="BI39" s="1" t="s">
        <v>185</v>
      </c>
    </row>
    <row r="40" spans="1:61" ht="13.5" customHeight="1" x14ac:dyDescent="0.25">
      <c r="A40" s="2">
        <v>2200</v>
      </c>
      <c r="B40" s="1" t="s">
        <v>1032</v>
      </c>
      <c r="C40" s="1" t="s">
        <v>47</v>
      </c>
      <c r="D40" s="1" t="s">
        <v>319</v>
      </c>
      <c r="E40" s="1" t="s">
        <v>741</v>
      </c>
      <c r="F40" s="1" t="s">
        <v>323</v>
      </c>
      <c r="G40" s="2"/>
      <c r="H40" s="103"/>
      <c r="I40" s="103"/>
      <c r="J40" s="39">
        <v>2</v>
      </c>
      <c r="K40" s="53" t="s">
        <v>249</v>
      </c>
      <c r="L40" s="66">
        <v>0</v>
      </c>
      <c r="M40" s="8"/>
      <c r="N40" s="1" t="s">
        <v>178</v>
      </c>
      <c r="O40" s="7" t="s">
        <v>1033</v>
      </c>
      <c r="P40" s="109">
        <v>46282.358136574076</v>
      </c>
      <c r="Q40" s="109">
        <v>46282.36</v>
      </c>
      <c r="R40" s="109"/>
      <c r="S40" s="1" t="s">
        <v>719</v>
      </c>
      <c r="T40" s="1" t="s">
        <v>719</v>
      </c>
      <c r="U40" s="4"/>
      <c r="V40" s="2"/>
      <c r="W40" s="109"/>
      <c r="X40" s="1"/>
      <c r="Y40" s="1"/>
      <c r="Z40" s="109"/>
      <c r="AA40" s="1"/>
      <c r="AB40" s="4"/>
      <c r="AC40" s="4"/>
      <c r="AD40" s="1"/>
      <c r="AE40" s="1" t="s">
        <v>63</v>
      </c>
      <c r="AF40" s="1"/>
      <c r="AG40" s="2"/>
      <c r="AH40" s="1"/>
      <c r="AI40" s="1"/>
      <c r="AJ40" s="1" t="s">
        <v>719</v>
      </c>
      <c r="AK40" s="109">
        <v>46282.36</v>
      </c>
      <c r="AL40" s="1"/>
      <c r="AM40" s="1"/>
      <c r="AN40" s="1"/>
      <c r="AO40" s="1"/>
      <c r="AP40" s="1"/>
      <c r="AQ40" s="1"/>
      <c r="AR40" s="1"/>
      <c r="AS40" s="1"/>
      <c r="AT40" s="2"/>
      <c r="AU40" s="1"/>
      <c r="AV40" s="2">
        <v>0</v>
      </c>
      <c r="AW40" s="4"/>
      <c r="AX40" s="109"/>
      <c r="AY40" s="4"/>
      <c r="AZ40" s="1"/>
      <c r="BA40" s="1"/>
      <c r="BB40" s="1" t="s">
        <v>514</v>
      </c>
      <c r="BC40" s="4"/>
      <c r="BD40" s="1" t="s">
        <v>85</v>
      </c>
      <c r="BE40" s="4"/>
      <c r="BF40" s="2"/>
      <c r="BG40" s="4"/>
      <c r="BH40" s="1"/>
      <c r="BI40" s="1" t="s">
        <v>185</v>
      </c>
    </row>
    <row r="41" spans="1:61" ht="13.5" hidden="1" customHeight="1" x14ac:dyDescent="0.25">
      <c r="A41" s="2">
        <v>2238</v>
      </c>
      <c r="B41" s="1" t="s">
        <v>1105</v>
      </c>
      <c r="C41" s="1" t="s">
        <v>47</v>
      </c>
      <c r="D41" s="1" t="s">
        <v>319</v>
      </c>
      <c r="E41" s="1" t="s">
        <v>741</v>
      </c>
      <c r="F41" s="1" t="s">
        <v>476</v>
      </c>
      <c r="G41" s="2"/>
      <c r="H41" s="103"/>
      <c r="I41" s="103"/>
      <c r="J41" s="39">
        <v>2</v>
      </c>
      <c r="K41" s="53" t="s">
        <v>256</v>
      </c>
      <c r="L41" s="66">
        <v>0</v>
      </c>
      <c r="M41" s="8" t="s">
        <v>91</v>
      </c>
      <c r="N41" s="1" t="s">
        <v>177</v>
      </c>
      <c r="O41" s="7" t="s">
        <v>1106</v>
      </c>
      <c r="P41" s="109">
        <v>46303.480578703704</v>
      </c>
      <c r="Q41" s="109">
        <v>46303.484074074076</v>
      </c>
      <c r="R41" s="109"/>
      <c r="S41" s="1" t="s">
        <v>719</v>
      </c>
      <c r="T41" s="1" t="s">
        <v>719</v>
      </c>
      <c r="U41" s="4" t="s">
        <v>1092</v>
      </c>
      <c r="V41" s="2"/>
      <c r="W41" s="109"/>
      <c r="X41" s="1"/>
      <c r="Y41" s="1" t="s">
        <v>719</v>
      </c>
      <c r="Z41" s="109">
        <v>46303.483217592591</v>
      </c>
      <c r="AA41" s="1"/>
      <c r="AB41" s="4"/>
      <c r="AC41" s="4"/>
      <c r="AD41" s="1"/>
      <c r="AE41" s="1" t="s">
        <v>63</v>
      </c>
      <c r="AF41" s="1"/>
      <c r="AG41" s="2"/>
      <c r="AH41" s="1"/>
      <c r="AI41" s="1"/>
      <c r="AJ41" s="1" t="s">
        <v>719</v>
      </c>
      <c r="AK41" s="109">
        <v>46303.484074074076</v>
      </c>
      <c r="AL41" s="1"/>
      <c r="AM41" s="1"/>
      <c r="AN41" s="1"/>
      <c r="AO41" s="1"/>
      <c r="AP41" s="1"/>
      <c r="AQ41" s="1"/>
      <c r="AR41" s="1"/>
      <c r="AS41" s="1"/>
      <c r="AT41" s="2"/>
      <c r="AU41" s="1"/>
      <c r="AV41" s="2">
        <v>0</v>
      </c>
      <c r="AW41" s="4"/>
      <c r="AX41" s="109"/>
      <c r="AY41" s="4"/>
      <c r="AZ41" s="1"/>
      <c r="BA41" s="1"/>
      <c r="BB41" s="1" t="s">
        <v>514</v>
      </c>
      <c r="BC41" s="4"/>
      <c r="BD41" s="1" t="s">
        <v>85</v>
      </c>
      <c r="BE41" s="4"/>
      <c r="BF41" s="2"/>
      <c r="BG41" s="4"/>
      <c r="BH41" s="1"/>
      <c r="BI41" s="1" t="s">
        <v>191</v>
      </c>
    </row>
    <row r="42" spans="1:61" ht="13.5" hidden="1" customHeight="1" x14ac:dyDescent="0.25">
      <c r="A42" s="2">
        <v>2177</v>
      </c>
      <c r="B42" s="1" t="s">
        <v>999</v>
      </c>
      <c r="C42" s="1" t="s">
        <v>47</v>
      </c>
      <c r="D42" s="1" t="s">
        <v>319</v>
      </c>
      <c r="E42" s="1" t="s">
        <v>741</v>
      </c>
      <c r="F42" s="1" t="s">
        <v>476</v>
      </c>
      <c r="G42" s="2"/>
      <c r="H42" s="103"/>
      <c r="I42" s="103"/>
      <c r="J42" s="39">
        <v>2</v>
      </c>
      <c r="K42" s="53" t="s">
        <v>1000</v>
      </c>
      <c r="L42" s="66">
        <v>0</v>
      </c>
      <c r="M42" s="8"/>
      <c r="N42" s="1" t="s">
        <v>178</v>
      </c>
      <c r="O42" s="7" t="s">
        <v>1007</v>
      </c>
      <c r="P42" s="109">
        <v>46267.529340277775</v>
      </c>
      <c r="Q42" s="109">
        <v>46283.646354166667</v>
      </c>
      <c r="R42" s="109"/>
      <c r="S42" s="1" t="s">
        <v>380</v>
      </c>
      <c r="T42" s="1" t="s">
        <v>719</v>
      </c>
      <c r="U42" s="4"/>
      <c r="V42" s="2"/>
      <c r="W42" s="109"/>
      <c r="X42" s="1"/>
      <c r="Y42" s="1"/>
      <c r="Z42" s="109"/>
      <c r="AA42" s="1"/>
      <c r="AB42" s="4"/>
      <c r="AC42" s="4"/>
      <c r="AD42" s="1"/>
      <c r="AE42" s="1" t="s">
        <v>63</v>
      </c>
      <c r="AF42" s="1"/>
      <c r="AG42" s="2"/>
      <c r="AH42" s="1"/>
      <c r="AI42" s="1"/>
      <c r="AJ42" s="1" t="s">
        <v>380</v>
      </c>
      <c r="AK42" s="109">
        <v>46283.646354166667</v>
      </c>
      <c r="AL42" s="1"/>
      <c r="AM42" s="1"/>
      <c r="AN42" s="1"/>
      <c r="AO42" s="1"/>
      <c r="AP42" s="1"/>
      <c r="AQ42" s="1"/>
      <c r="AR42" s="1"/>
      <c r="AS42" s="1"/>
      <c r="AT42" s="2"/>
      <c r="AU42" s="1"/>
      <c r="AV42" s="2">
        <v>0</v>
      </c>
      <c r="AW42" s="4"/>
      <c r="AX42" s="109"/>
      <c r="AY42" s="4"/>
      <c r="AZ42" s="1"/>
      <c r="BA42" s="1"/>
      <c r="BB42" s="1" t="s">
        <v>514</v>
      </c>
      <c r="BC42" s="4"/>
      <c r="BD42" s="1" t="s">
        <v>85</v>
      </c>
      <c r="BE42" s="4"/>
      <c r="BF42" s="2"/>
      <c r="BG42" s="4"/>
      <c r="BH42" s="1"/>
      <c r="BI42" s="1" t="s">
        <v>185</v>
      </c>
    </row>
    <row r="43" spans="1:61" ht="13.5" hidden="1" customHeight="1" x14ac:dyDescent="0.25">
      <c r="A43" s="2">
        <v>2020</v>
      </c>
      <c r="B43" s="1" t="s">
        <v>844</v>
      </c>
      <c r="C43" s="1" t="s">
        <v>47</v>
      </c>
      <c r="D43" s="1" t="s">
        <v>319</v>
      </c>
      <c r="E43" s="1" t="s">
        <v>741</v>
      </c>
      <c r="F43" s="1" t="s">
        <v>476</v>
      </c>
      <c r="G43" s="2"/>
      <c r="H43" s="103">
        <v>10</v>
      </c>
      <c r="I43" s="103"/>
      <c r="J43" s="39">
        <v>2</v>
      </c>
      <c r="K43" s="53" t="s">
        <v>1000</v>
      </c>
      <c r="L43" s="66">
        <v>0</v>
      </c>
      <c r="M43" s="8"/>
      <c r="N43" s="1" t="s">
        <v>178</v>
      </c>
      <c r="O43" s="7" t="s">
        <v>881</v>
      </c>
      <c r="P43" s="109">
        <v>46189.732407407406</v>
      </c>
      <c r="Q43" s="109">
        <v>46276.388171296298</v>
      </c>
      <c r="R43" s="109"/>
      <c r="S43" s="1" t="s">
        <v>157</v>
      </c>
      <c r="T43" s="1" t="s">
        <v>719</v>
      </c>
      <c r="U43" s="4"/>
      <c r="V43" s="2"/>
      <c r="W43" s="109"/>
      <c r="X43" s="1"/>
      <c r="Y43" s="1"/>
      <c r="Z43" s="109"/>
      <c r="AA43" s="1"/>
      <c r="AB43" s="4"/>
      <c r="AC43" s="4"/>
      <c r="AD43" s="1"/>
      <c r="AE43" s="1" t="s">
        <v>63</v>
      </c>
      <c r="AF43" s="1"/>
      <c r="AG43" s="2"/>
      <c r="AH43" s="1"/>
      <c r="AI43" s="1"/>
      <c r="AJ43" s="1" t="s">
        <v>157</v>
      </c>
      <c r="AK43" s="109">
        <v>46276.388171296298</v>
      </c>
      <c r="AL43" s="1"/>
      <c r="AM43" s="1"/>
      <c r="AN43" s="1"/>
      <c r="AO43" s="1"/>
      <c r="AP43" s="1"/>
      <c r="AQ43" s="1"/>
      <c r="AR43" s="1"/>
      <c r="AS43" s="1"/>
      <c r="AT43" s="2"/>
      <c r="AU43" s="1"/>
      <c r="AV43" s="2">
        <v>1</v>
      </c>
      <c r="AW43" s="4"/>
      <c r="AX43" s="109"/>
      <c r="AY43" s="4"/>
      <c r="AZ43" s="1"/>
      <c r="BA43" s="1"/>
      <c r="BB43" s="1" t="s">
        <v>514</v>
      </c>
      <c r="BC43" s="4"/>
      <c r="BD43" s="1" t="s">
        <v>85</v>
      </c>
      <c r="BE43" s="4"/>
      <c r="BF43" s="2"/>
      <c r="BG43" s="4"/>
      <c r="BH43" s="1"/>
      <c r="BI43" s="1" t="s">
        <v>185</v>
      </c>
    </row>
    <row r="44" spans="1:61" ht="13.5" hidden="1" customHeight="1" x14ac:dyDescent="0.25">
      <c r="A44" s="2">
        <v>1816</v>
      </c>
      <c r="B44" s="1" t="s">
        <v>835</v>
      </c>
      <c r="C44" s="1" t="s">
        <v>47</v>
      </c>
      <c r="D44" s="1" t="s">
        <v>319</v>
      </c>
      <c r="E44" s="1" t="s">
        <v>741</v>
      </c>
      <c r="F44" s="1" t="s">
        <v>323</v>
      </c>
      <c r="G44" s="2"/>
      <c r="H44" s="103">
        <v>40</v>
      </c>
      <c r="I44" s="103"/>
      <c r="J44" s="39">
        <v>2</v>
      </c>
      <c r="K44" s="53" t="s">
        <v>1000</v>
      </c>
      <c r="L44" s="66">
        <v>0</v>
      </c>
      <c r="M44" s="8"/>
      <c r="N44" s="1" t="s">
        <v>178</v>
      </c>
      <c r="O44" s="7" t="s">
        <v>874</v>
      </c>
      <c r="P44" s="110">
        <v>46105.54415509259</v>
      </c>
      <c r="Q44" s="110">
        <v>46276.392650462964</v>
      </c>
      <c r="R44" s="110"/>
      <c r="S44" s="1" t="s">
        <v>157</v>
      </c>
      <c r="T44" s="1" t="s">
        <v>719</v>
      </c>
      <c r="U44" s="4"/>
      <c r="V44" s="2"/>
      <c r="W44" s="110"/>
      <c r="X44" s="1"/>
      <c r="Y44" s="1"/>
      <c r="Z44" s="110"/>
      <c r="AA44" s="1"/>
      <c r="AB44" s="4"/>
      <c r="AC44" s="4"/>
      <c r="AD44" s="1"/>
      <c r="AE44" s="1" t="s">
        <v>63</v>
      </c>
      <c r="AF44" s="1"/>
      <c r="AG44" s="2"/>
      <c r="AH44" s="1"/>
      <c r="AI44" s="1"/>
      <c r="AJ44" s="1" t="s">
        <v>157</v>
      </c>
      <c r="AK44" s="110">
        <v>46276.392650462964</v>
      </c>
      <c r="AL44" s="1"/>
      <c r="AM44" s="1"/>
      <c r="AN44" s="1"/>
      <c r="AO44" s="1"/>
      <c r="AP44" s="1"/>
      <c r="AQ44" s="1"/>
      <c r="AR44" s="1"/>
      <c r="AS44" s="1"/>
      <c r="AT44" s="2"/>
      <c r="AU44" s="1"/>
      <c r="AV44" s="2">
        <v>0</v>
      </c>
      <c r="AW44" s="4"/>
      <c r="AX44" s="110"/>
      <c r="AY44" s="4"/>
      <c r="AZ44" s="1"/>
      <c r="BA44" s="1"/>
      <c r="BB44" s="1" t="s">
        <v>514</v>
      </c>
      <c r="BC44" s="4"/>
      <c r="BD44" s="1" t="s">
        <v>85</v>
      </c>
      <c r="BE44" s="4"/>
      <c r="BF44" s="2"/>
      <c r="BG44" s="4"/>
      <c r="BH44" s="1"/>
      <c r="BI44" s="1" t="s">
        <v>185</v>
      </c>
    </row>
    <row r="45" spans="1:61" ht="13.5" hidden="1" customHeight="1" x14ac:dyDescent="0.25">
      <c r="A45" s="2">
        <v>1769</v>
      </c>
      <c r="B45" s="1" t="s">
        <v>837</v>
      </c>
      <c r="C45" s="1" t="s">
        <v>47</v>
      </c>
      <c r="D45" s="1" t="s">
        <v>319</v>
      </c>
      <c r="E45" s="1" t="s">
        <v>741</v>
      </c>
      <c r="F45" s="1" t="s">
        <v>323</v>
      </c>
      <c r="G45" s="2"/>
      <c r="H45" s="103">
        <v>4</v>
      </c>
      <c r="I45" s="103"/>
      <c r="J45" s="39">
        <v>2</v>
      </c>
      <c r="K45" s="53" t="s">
        <v>1000</v>
      </c>
      <c r="L45" s="66">
        <v>0</v>
      </c>
      <c r="M45" s="8" t="s">
        <v>810</v>
      </c>
      <c r="N45" s="1" t="s">
        <v>178</v>
      </c>
      <c r="O45" s="7" t="s">
        <v>838</v>
      </c>
      <c r="P45" s="110">
        <v>46085.722939814812</v>
      </c>
      <c r="Q45" s="110">
        <v>46276.383645833332</v>
      </c>
      <c r="R45" s="110"/>
      <c r="S45" s="1" t="s">
        <v>157</v>
      </c>
      <c r="T45" s="1" t="s">
        <v>719</v>
      </c>
      <c r="U45" s="4"/>
      <c r="V45" s="2"/>
      <c r="W45" s="110"/>
      <c r="X45" s="1"/>
      <c r="Y45" s="1"/>
      <c r="Z45" s="110"/>
      <c r="AA45" s="1"/>
      <c r="AB45" s="4"/>
      <c r="AC45" s="4"/>
      <c r="AD45" s="1"/>
      <c r="AE45" s="1" t="s">
        <v>63</v>
      </c>
      <c r="AF45" s="1"/>
      <c r="AG45" s="2"/>
      <c r="AH45" s="1"/>
      <c r="AI45" s="1"/>
      <c r="AJ45" s="1" t="s">
        <v>157</v>
      </c>
      <c r="AK45" s="110">
        <v>46276.383645833332</v>
      </c>
      <c r="AL45" s="1"/>
      <c r="AM45" s="1"/>
      <c r="AN45" s="1"/>
      <c r="AO45" s="1"/>
      <c r="AP45" s="1"/>
      <c r="AQ45" s="1"/>
      <c r="AR45" s="1"/>
      <c r="AS45" s="1"/>
      <c r="AT45" s="2"/>
      <c r="AU45" s="1"/>
      <c r="AV45" s="2">
        <v>2</v>
      </c>
      <c r="AW45" s="4"/>
      <c r="AX45" s="110"/>
      <c r="AY45" s="4"/>
      <c r="AZ45" s="1"/>
      <c r="BA45" s="1"/>
      <c r="BB45" s="1" t="s">
        <v>514</v>
      </c>
      <c r="BC45" s="4"/>
      <c r="BD45" s="1" t="s">
        <v>85</v>
      </c>
      <c r="BE45" s="4"/>
      <c r="BF45" s="2"/>
      <c r="BG45" s="4"/>
      <c r="BH45" s="1"/>
      <c r="BI45" s="1" t="s">
        <v>185</v>
      </c>
    </row>
    <row r="46" spans="1:61" ht="13.5" hidden="1" customHeight="1" x14ac:dyDescent="0.25">
      <c r="A46" s="2">
        <v>2213</v>
      </c>
      <c r="B46" s="1" t="s">
        <v>1047</v>
      </c>
      <c r="C46" s="1" t="s">
        <v>47</v>
      </c>
      <c r="D46" s="1" t="s">
        <v>319</v>
      </c>
      <c r="E46" s="1" t="s">
        <v>741</v>
      </c>
      <c r="F46" s="1" t="s">
        <v>476</v>
      </c>
      <c r="G46" s="2"/>
      <c r="H46" s="103">
        <v>4</v>
      </c>
      <c r="I46" s="103"/>
      <c r="J46" s="39">
        <v>2</v>
      </c>
      <c r="K46" s="53" t="s">
        <v>250</v>
      </c>
      <c r="L46" s="66">
        <v>1</v>
      </c>
      <c r="M46" s="8" t="s">
        <v>810</v>
      </c>
      <c r="N46" s="1" t="s">
        <v>177</v>
      </c>
      <c r="O46" s="7" t="s">
        <v>1048</v>
      </c>
      <c r="P46" s="110">
        <v>46287.585416666669</v>
      </c>
      <c r="Q46" s="110">
        <v>46303.690405092595</v>
      </c>
      <c r="R46" s="110"/>
      <c r="S46" s="1" t="s">
        <v>81</v>
      </c>
      <c r="T46" s="1" t="s">
        <v>719</v>
      </c>
      <c r="U46" s="4"/>
      <c r="V46" s="2"/>
      <c r="W46" s="110"/>
      <c r="X46" s="1"/>
      <c r="Y46" s="1" t="s">
        <v>810</v>
      </c>
      <c r="Z46" s="110">
        <v>46288.575254629628</v>
      </c>
      <c r="AA46" s="1"/>
      <c r="AB46" s="4"/>
      <c r="AC46" s="4"/>
      <c r="AD46" s="1"/>
      <c r="AE46" s="1" t="s">
        <v>63</v>
      </c>
      <c r="AF46" s="1"/>
      <c r="AG46" s="2"/>
      <c r="AH46" s="1"/>
      <c r="AI46" s="1"/>
      <c r="AJ46" s="1" t="s">
        <v>81</v>
      </c>
      <c r="AK46" s="110">
        <v>46303.690405092595</v>
      </c>
      <c r="AL46" s="1"/>
      <c r="AM46" s="1"/>
      <c r="AN46" s="1"/>
      <c r="AO46" s="1"/>
      <c r="AP46" s="1"/>
      <c r="AQ46" s="1"/>
      <c r="AR46" s="1"/>
      <c r="AS46" s="1"/>
      <c r="AT46" s="2"/>
      <c r="AU46" s="1"/>
      <c r="AV46" s="2">
        <v>2</v>
      </c>
      <c r="AW46" s="4"/>
      <c r="AX46" s="110"/>
      <c r="AY46" s="4"/>
      <c r="AZ46" s="1"/>
      <c r="BA46" s="1"/>
      <c r="BB46" s="1" t="s">
        <v>514</v>
      </c>
      <c r="BC46" s="4"/>
      <c r="BD46" s="1" t="s">
        <v>85</v>
      </c>
      <c r="BE46" s="4"/>
      <c r="BF46" s="2"/>
      <c r="BG46" s="4"/>
      <c r="BH46" s="1"/>
      <c r="BI46" s="1" t="s">
        <v>191</v>
      </c>
    </row>
    <row r="47" spans="1:61" ht="13.5" hidden="1" customHeight="1" x14ac:dyDescent="0.25">
      <c r="A47" s="2">
        <v>1888</v>
      </c>
      <c r="B47" s="1" t="s">
        <v>834</v>
      </c>
      <c r="C47" s="1" t="s">
        <v>47</v>
      </c>
      <c r="D47" s="1" t="s">
        <v>319</v>
      </c>
      <c r="E47" s="1" t="s">
        <v>741</v>
      </c>
      <c r="F47" s="1" t="s">
        <v>323</v>
      </c>
      <c r="G47" s="2"/>
      <c r="H47" s="103">
        <v>8</v>
      </c>
      <c r="I47" s="103"/>
      <c r="J47" s="39">
        <v>3</v>
      </c>
      <c r="K47" s="53" t="s">
        <v>1000</v>
      </c>
      <c r="L47" s="66">
        <v>0</v>
      </c>
      <c r="M47" s="8" t="s">
        <v>91</v>
      </c>
      <c r="N47" s="1" t="s">
        <v>178</v>
      </c>
      <c r="O47" s="7" t="s">
        <v>873</v>
      </c>
      <c r="P47" s="110">
        <v>46134.455914351849</v>
      </c>
      <c r="Q47" s="110">
        <v>46276.386238425926</v>
      </c>
      <c r="R47" s="110"/>
      <c r="S47" s="1" t="s">
        <v>157</v>
      </c>
      <c r="T47" s="1" t="s">
        <v>719</v>
      </c>
      <c r="U47" s="4"/>
      <c r="V47" s="2"/>
      <c r="W47" s="110"/>
      <c r="X47" s="1"/>
      <c r="Y47" s="1"/>
      <c r="Z47" s="110"/>
      <c r="AA47" s="1"/>
      <c r="AB47" s="4"/>
      <c r="AC47" s="4"/>
      <c r="AD47" s="1"/>
      <c r="AE47" s="1" t="s">
        <v>63</v>
      </c>
      <c r="AF47" s="1"/>
      <c r="AG47" s="2"/>
      <c r="AH47" s="1"/>
      <c r="AI47" s="1"/>
      <c r="AJ47" s="1" t="s">
        <v>157</v>
      </c>
      <c r="AK47" s="110">
        <v>46276.386238425926</v>
      </c>
      <c r="AL47" s="1"/>
      <c r="AM47" s="1"/>
      <c r="AN47" s="1"/>
      <c r="AO47" s="1"/>
      <c r="AP47" s="1"/>
      <c r="AQ47" s="1"/>
      <c r="AR47" s="1"/>
      <c r="AS47" s="1"/>
      <c r="AT47" s="2"/>
      <c r="AU47" s="1"/>
      <c r="AV47" s="2">
        <v>0</v>
      </c>
      <c r="AW47" s="4"/>
      <c r="AX47" s="110"/>
      <c r="AY47" s="4"/>
      <c r="AZ47" s="1"/>
      <c r="BA47" s="1"/>
      <c r="BB47" s="1" t="s">
        <v>514</v>
      </c>
      <c r="BC47" s="4"/>
      <c r="BD47" s="1" t="s">
        <v>85</v>
      </c>
      <c r="BE47" s="4"/>
      <c r="BF47" s="2"/>
      <c r="BG47" s="4"/>
      <c r="BH47" s="1"/>
      <c r="BI47" s="1" t="s">
        <v>185</v>
      </c>
    </row>
    <row r="48" spans="1:61" ht="13.5" hidden="1" customHeight="1" x14ac:dyDescent="0.25">
      <c r="A48" s="2">
        <v>1603</v>
      </c>
      <c r="B48" s="1" t="s">
        <v>696</v>
      </c>
      <c r="C48" s="1" t="s">
        <v>47</v>
      </c>
      <c r="D48" s="1" t="s">
        <v>319</v>
      </c>
      <c r="E48" s="1"/>
      <c r="F48" s="1" t="s">
        <v>323</v>
      </c>
      <c r="G48" s="2"/>
      <c r="H48" s="103">
        <v>100</v>
      </c>
      <c r="I48" s="103"/>
      <c r="J48" s="39">
        <v>3</v>
      </c>
      <c r="K48" s="53" t="s">
        <v>1000</v>
      </c>
      <c r="L48" s="66">
        <v>0</v>
      </c>
      <c r="M48" s="8"/>
      <c r="N48" s="1" t="s">
        <v>178</v>
      </c>
      <c r="O48" s="7" t="s">
        <v>697</v>
      </c>
      <c r="P48" s="110">
        <v>46020.646701388891</v>
      </c>
      <c r="Q48" s="110">
        <v>46276.395636574074</v>
      </c>
      <c r="R48" s="110"/>
      <c r="S48" s="1" t="s">
        <v>157</v>
      </c>
      <c r="T48" s="1" t="s">
        <v>81</v>
      </c>
      <c r="U48" s="4" t="s">
        <v>616</v>
      </c>
      <c r="V48" s="2"/>
      <c r="W48" s="110"/>
      <c r="X48" s="1"/>
      <c r="Y48" s="1"/>
      <c r="Z48" s="110"/>
      <c r="AA48" s="1"/>
      <c r="AB48" s="4"/>
      <c r="AC48" s="4"/>
      <c r="AD48" s="1"/>
      <c r="AE48" s="1" t="s">
        <v>63</v>
      </c>
      <c r="AF48" s="1"/>
      <c r="AG48" s="2"/>
      <c r="AH48" s="1"/>
      <c r="AI48" s="1"/>
      <c r="AJ48" s="1" t="s">
        <v>157</v>
      </c>
      <c r="AK48" s="110">
        <v>46276.395636574074</v>
      </c>
      <c r="AL48" s="1"/>
      <c r="AM48" s="1"/>
      <c r="AN48" s="1"/>
      <c r="AO48" s="1"/>
      <c r="AP48" s="1"/>
      <c r="AQ48" s="1"/>
      <c r="AR48" s="1"/>
      <c r="AS48" s="1"/>
      <c r="AT48" s="2"/>
      <c r="AU48" s="1"/>
      <c r="AV48" s="2">
        <v>0</v>
      </c>
      <c r="AW48" s="4"/>
      <c r="AX48" s="110"/>
      <c r="AY48" s="4"/>
      <c r="AZ48" s="1"/>
      <c r="BA48" s="1"/>
      <c r="BB48" s="1" t="s">
        <v>514</v>
      </c>
      <c r="BC48" s="4"/>
      <c r="BD48" s="1" t="s">
        <v>85</v>
      </c>
      <c r="BE48" s="4"/>
      <c r="BF48" s="2"/>
      <c r="BG48" s="4"/>
      <c r="BH48" s="1"/>
      <c r="BI48" s="1" t="s">
        <v>185</v>
      </c>
    </row>
    <row r="49" spans="1:61" ht="13.5" hidden="1" customHeight="1" x14ac:dyDescent="0.25">
      <c r="A49" s="2">
        <v>1680</v>
      </c>
      <c r="B49" s="1" t="s">
        <v>730</v>
      </c>
      <c r="C49" s="1" t="s">
        <v>47</v>
      </c>
      <c r="D49" s="1" t="s">
        <v>319</v>
      </c>
      <c r="E49" s="1" t="s">
        <v>741</v>
      </c>
      <c r="F49" s="1" t="s">
        <v>323</v>
      </c>
      <c r="G49" s="2"/>
      <c r="H49" s="103">
        <v>20</v>
      </c>
      <c r="I49" s="103"/>
      <c r="J49" s="39">
        <v>3</v>
      </c>
      <c r="K49" s="53" t="s">
        <v>1000</v>
      </c>
      <c r="L49" s="66">
        <v>0</v>
      </c>
      <c r="M49" s="8"/>
      <c r="N49" s="1" t="s">
        <v>178</v>
      </c>
      <c r="O49" s="7" t="s">
        <v>731</v>
      </c>
      <c r="P49" s="110">
        <v>46057.373877314814</v>
      </c>
      <c r="Q49" s="110">
        <v>46276.390648148146</v>
      </c>
      <c r="R49" s="110"/>
      <c r="S49" s="1" t="s">
        <v>157</v>
      </c>
      <c r="T49" s="1" t="s">
        <v>81</v>
      </c>
      <c r="U49" s="4"/>
      <c r="V49" s="2"/>
      <c r="W49" s="110"/>
      <c r="X49" s="1"/>
      <c r="Y49" s="1"/>
      <c r="Z49" s="110"/>
      <c r="AA49" s="1"/>
      <c r="AB49" s="4"/>
      <c r="AC49" s="4"/>
      <c r="AD49" s="1"/>
      <c r="AE49" s="1" t="s">
        <v>63</v>
      </c>
      <c r="AF49" s="1"/>
      <c r="AG49" s="2"/>
      <c r="AH49" s="1"/>
      <c r="AI49" s="1"/>
      <c r="AJ49" s="1" t="s">
        <v>157</v>
      </c>
      <c r="AK49" s="110">
        <v>46276.390648148146</v>
      </c>
      <c r="AL49" s="1"/>
      <c r="AM49" s="1"/>
      <c r="AN49" s="1"/>
      <c r="AO49" s="1"/>
      <c r="AP49" s="1"/>
      <c r="AQ49" s="1"/>
      <c r="AR49" s="1"/>
      <c r="AS49" s="1"/>
      <c r="AT49" s="2"/>
      <c r="AU49" s="1"/>
      <c r="AV49" s="2">
        <v>0</v>
      </c>
      <c r="AW49" s="4"/>
      <c r="AX49" s="110"/>
      <c r="AY49" s="4"/>
      <c r="AZ49" s="1"/>
      <c r="BA49" s="1"/>
      <c r="BB49" s="1" t="s">
        <v>514</v>
      </c>
      <c r="BC49" s="4"/>
      <c r="BD49" s="1" t="s">
        <v>85</v>
      </c>
      <c r="BE49" s="4"/>
      <c r="BF49" s="2"/>
      <c r="BG49" s="4"/>
      <c r="BH49" s="1"/>
      <c r="BI49" s="1" t="s">
        <v>185</v>
      </c>
    </row>
    <row r="50" spans="1:61" ht="13.5" hidden="1" customHeight="1" x14ac:dyDescent="0.25">
      <c r="A50" s="2">
        <v>1565</v>
      </c>
      <c r="B50" s="1" t="s">
        <v>790</v>
      </c>
      <c r="C50" s="1" t="s">
        <v>47</v>
      </c>
      <c r="D50" s="1" t="s">
        <v>319</v>
      </c>
      <c r="E50" s="1" t="s">
        <v>741</v>
      </c>
      <c r="F50" s="1" t="s">
        <v>323</v>
      </c>
      <c r="G50" s="2"/>
      <c r="H50" s="103">
        <v>300</v>
      </c>
      <c r="I50" s="4">
        <v>300</v>
      </c>
      <c r="J50" s="39">
        <v>3</v>
      </c>
      <c r="K50" s="53" t="s">
        <v>1000</v>
      </c>
      <c r="L50" s="66">
        <v>0</v>
      </c>
      <c r="M50" s="8"/>
      <c r="N50" s="1" t="s">
        <v>178</v>
      </c>
      <c r="O50" s="7" t="s">
        <v>798</v>
      </c>
      <c r="P50" s="110">
        <v>46001.647256944445</v>
      </c>
      <c r="Q50" s="110">
        <v>46287.404004629629</v>
      </c>
      <c r="R50" s="110"/>
      <c r="S50" s="1" t="s">
        <v>380</v>
      </c>
      <c r="T50" s="1" t="s">
        <v>81</v>
      </c>
      <c r="U50" s="4"/>
      <c r="V50" s="2"/>
      <c r="W50" s="110"/>
      <c r="X50" s="1"/>
      <c r="Y50" s="1"/>
      <c r="Z50" s="110"/>
      <c r="AA50" s="1"/>
      <c r="AB50" s="4"/>
      <c r="AC50" s="4"/>
      <c r="AD50" s="1"/>
      <c r="AE50" s="1" t="s">
        <v>63</v>
      </c>
      <c r="AF50" s="1"/>
      <c r="AG50" s="2"/>
      <c r="AH50" s="1"/>
      <c r="AI50" s="1"/>
      <c r="AJ50" s="1" t="s">
        <v>380</v>
      </c>
      <c r="AK50" s="110">
        <v>46287.404004629629</v>
      </c>
      <c r="AL50" s="1"/>
      <c r="AM50" s="1"/>
      <c r="AN50" s="1"/>
      <c r="AO50" s="1"/>
      <c r="AP50" s="1"/>
      <c r="AQ50" s="1"/>
      <c r="AR50" s="1"/>
      <c r="AS50" s="1"/>
      <c r="AT50" s="2"/>
      <c r="AU50" s="1"/>
      <c r="AV50" s="2">
        <v>0</v>
      </c>
      <c r="AW50" s="4"/>
      <c r="AX50" s="110"/>
      <c r="AY50" s="4"/>
      <c r="AZ50" s="1"/>
      <c r="BA50" s="1"/>
      <c r="BB50" s="1" t="s">
        <v>514</v>
      </c>
      <c r="BC50" s="4"/>
      <c r="BD50" s="1" t="s">
        <v>85</v>
      </c>
      <c r="BE50" s="4"/>
      <c r="BF50" s="2">
        <v>1709</v>
      </c>
      <c r="BG50" s="4"/>
      <c r="BH50" s="1"/>
      <c r="BI50" s="1" t="s">
        <v>185</v>
      </c>
    </row>
    <row r="51" spans="1:61" ht="13.5" hidden="1" customHeight="1" x14ac:dyDescent="0.25">
      <c r="A51" s="2">
        <v>1163</v>
      </c>
      <c r="B51" s="1" t="s">
        <v>772</v>
      </c>
      <c r="C51" s="1" t="s">
        <v>47</v>
      </c>
      <c r="D51" s="1" t="s">
        <v>319</v>
      </c>
      <c r="E51" s="1" t="s">
        <v>741</v>
      </c>
      <c r="F51" s="1" t="s">
        <v>323</v>
      </c>
      <c r="G51" s="2"/>
      <c r="H51" s="103">
        <v>300</v>
      </c>
      <c r="I51" s="4">
        <v>300</v>
      </c>
      <c r="J51" s="39">
        <v>4</v>
      </c>
      <c r="K51" s="53" t="s">
        <v>1000</v>
      </c>
      <c r="L51" s="66">
        <v>0</v>
      </c>
      <c r="M51" s="8"/>
      <c r="N51" s="1" t="s">
        <v>178</v>
      </c>
      <c r="O51" s="7" t="s">
        <v>773</v>
      </c>
      <c r="P51" s="110">
        <v>45832.666805555556</v>
      </c>
      <c r="Q51" s="110">
        <v>46287.401944444442</v>
      </c>
      <c r="R51" s="110"/>
      <c r="S51" s="1" t="s">
        <v>380</v>
      </c>
      <c r="T51" s="1" t="s">
        <v>88</v>
      </c>
      <c r="U51" s="4" t="s">
        <v>126</v>
      </c>
      <c r="V51" s="2"/>
      <c r="W51" s="110"/>
      <c r="X51" s="1"/>
      <c r="Y51" s="1"/>
      <c r="Z51" s="110"/>
      <c r="AA51" s="1"/>
      <c r="AB51" s="4"/>
      <c r="AC51" s="4"/>
      <c r="AD51" s="1"/>
      <c r="AE51" s="1" t="s">
        <v>63</v>
      </c>
      <c r="AF51" s="1"/>
      <c r="AG51" s="2"/>
      <c r="AH51" s="1"/>
      <c r="AI51" s="1"/>
      <c r="AJ51" s="1" t="s">
        <v>380</v>
      </c>
      <c r="AK51" s="110">
        <v>46287.401944444442</v>
      </c>
      <c r="AL51" s="1"/>
      <c r="AM51" s="1"/>
      <c r="AN51" s="1"/>
      <c r="AO51" s="1"/>
      <c r="AP51" s="1"/>
      <c r="AQ51" s="1"/>
      <c r="AR51" s="1"/>
      <c r="AS51" s="1"/>
      <c r="AT51" s="2"/>
      <c r="AU51" s="1"/>
      <c r="AV51" s="2">
        <v>1</v>
      </c>
      <c r="AW51" s="4"/>
      <c r="AX51" s="110"/>
      <c r="AY51" s="4"/>
      <c r="AZ51" s="1"/>
      <c r="BA51" s="1"/>
      <c r="BB51" s="1" t="s">
        <v>61</v>
      </c>
      <c r="BC51" s="4"/>
      <c r="BD51" s="1" t="s">
        <v>85</v>
      </c>
      <c r="BE51" s="4"/>
      <c r="BF51" s="2">
        <v>1709</v>
      </c>
      <c r="BG51" s="4"/>
      <c r="BH51" s="1"/>
      <c r="BI51" s="1" t="s">
        <v>185</v>
      </c>
    </row>
    <row r="52" spans="1:61" ht="13.5" hidden="1" customHeight="1" x14ac:dyDescent="0.25">
      <c r="A52" s="2">
        <v>1706</v>
      </c>
      <c r="B52" s="1" t="s">
        <v>796</v>
      </c>
      <c r="C52" s="1" t="s">
        <v>47</v>
      </c>
      <c r="D52" s="1" t="s">
        <v>319</v>
      </c>
      <c r="E52" s="1"/>
      <c r="F52" s="1" t="s">
        <v>323</v>
      </c>
      <c r="G52" s="2"/>
      <c r="H52" s="103">
        <v>2</v>
      </c>
      <c r="I52" s="4">
        <v>2</v>
      </c>
      <c r="J52" s="39">
        <v>4</v>
      </c>
      <c r="K52" s="53" t="s">
        <v>1000</v>
      </c>
      <c r="L52" s="66">
        <v>0</v>
      </c>
      <c r="M52" s="8"/>
      <c r="N52" s="1" t="s">
        <v>178</v>
      </c>
      <c r="O52" s="7"/>
      <c r="P52" s="110">
        <v>46071.454340277778</v>
      </c>
      <c r="Q52" s="110">
        <v>46282.753171296295</v>
      </c>
      <c r="R52" s="110"/>
      <c r="S52" s="1" t="s">
        <v>380</v>
      </c>
      <c r="T52" s="1" t="s">
        <v>719</v>
      </c>
      <c r="U52" s="4"/>
      <c r="V52" s="2"/>
      <c r="W52" s="110"/>
      <c r="X52" s="1"/>
      <c r="Y52" s="1"/>
      <c r="Z52" s="110"/>
      <c r="AA52" s="1"/>
      <c r="AB52" s="4"/>
      <c r="AC52" s="4"/>
      <c r="AD52" s="1"/>
      <c r="AE52" s="1" t="s">
        <v>63</v>
      </c>
      <c r="AF52" s="1"/>
      <c r="AG52" s="2"/>
      <c r="AH52" s="1"/>
      <c r="AI52" s="1"/>
      <c r="AJ52" s="1" t="s">
        <v>380</v>
      </c>
      <c r="AK52" s="110">
        <v>46282.753171296295</v>
      </c>
      <c r="AL52" s="1"/>
      <c r="AM52" s="1"/>
      <c r="AN52" s="1"/>
      <c r="AO52" s="1"/>
      <c r="AP52" s="1"/>
      <c r="AQ52" s="1"/>
      <c r="AR52" s="1"/>
      <c r="AS52" s="1"/>
      <c r="AT52" s="2"/>
      <c r="AU52" s="1"/>
      <c r="AV52" s="2">
        <v>0</v>
      </c>
      <c r="AW52" s="4"/>
      <c r="AX52" s="110"/>
      <c r="AY52" s="4"/>
      <c r="AZ52" s="1"/>
      <c r="BA52" s="1"/>
      <c r="BB52" s="1" t="s">
        <v>514</v>
      </c>
      <c r="BC52" s="4"/>
      <c r="BD52" s="1" t="s">
        <v>85</v>
      </c>
      <c r="BE52" s="4"/>
      <c r="BF52" s="2">
        <v>1709</v>
      </c>
      <c r="BG52" s="4"/>
      <c r="BH52" s="1"/>
      <c r="BI52" s="1" t="s">
        <v>185</v>
      </c>
    </row>
    <row r="53" spans="1:61" ht="13.5" hidden="1" customHeight="1" x14ac:dyDescent="0.25">
      <c r="A53" s="2">
        <v>1630</v>
      </c>
      <c r="B53" s="1" t="s">
        <v>715</v>
      </c>
      <c r="C53" s="1" t="s">
        <v>47</v>
      </c>
      <c r="D53" s="1" t="s">
        <v>319</v>
      </c>
      <c r="E53" s="1" t="s">
        <v>741</v>
      </c>
      <c r="F53" s="1" t="s">
        <v>476</v>
      </c>
      <c r="G53" s="2"/>
      <c r="H53" s="103">
        <v>50</v>
      </c>
      <c r="I53" s="103"/>
      <c r="J53" s="39">
        <v>4</v>
      </c>
      <c r="K53" s="53" t="s">
        <v>1000</v>
      </c>
      <c r="L53" s="66">
        <v>0</v>
      </c>
      <c r="M53" s="8"/>
      <c r="N53" s="1" t="s">
        <v>178</v>
      </c>
      <c r="O53" s="7" t="s">
        <v>716</v>
      </c>
      <c r="P53" s="110">
        <v>46034.461319444446</v>
      </c>
      <c r="Q53" s="110">
        <v>46276.393090277779</v>
      </c>
      <c r="R53" s="110"/>
      <c r="S53" s="1" t="s">
        <v>157</v>
      </c>
      <c r="T53" s="1" t="s">
        <v>81</v>
      </c>
      <c r="U53" s="4" t="s">
        <v>711</v>
      </c>
      <c r="V53" s="2"/>
      <c r="W53" s="110"/>
      <c r="X53" s="1"/>
      <c r="Y53" s="1"/>
      <c r="Z53" s="110"/>
      <c r="AA53" s="1"/>
      <c r="AB53" s="4"/>
      <c r="AC53" s="4"/>
      <c r="AD53" s="1"/>
      <c r="AE53" s="1" t="s">
        <v>63</v>
      </c>
      <c r="AF53" s="1"/>
      <c r="AG53" s="2"/>
      <c r="AH53" s="1"/>
      <c r="AI53" s="1"/>
      <c r="AJ53" s="1" t="s">
        <v>157</v>
      </c>
      <c r="AK53" s="110">
        <v>46276.393090277779</v>
      </c>
      <c r="AL53" s="1"/>
      <c r="AM53" s="1"/>
      <c r="AN53" s="1"/>
      <c r="AO53" s="1"/>
      <c r="AP53" s="1"/>
      <c r="AQ53" s="1"/>
      <c r="AR53" s="1"/>
      <c r="AS53" s="1"/>
      <c r="AT53" s="2"/>
      <c r="AU53" s="1"/>
      <c r="AV53" s="2">
        <v>1</v>
      </c>
      <c r="AW53" s="4"/>
      <c r="AX53" s="110"/>
      <c r="AY53" s="4"/>
      <c r="AZ53" s="1"/>
      <c r="BA53" s="1"/>
      <c r="BB53" s="1" t="s">
        <v>514</v>
      </c>
      <c r="BC53" s="4"/>
      <c r="BD53" s="1" t="s">
        <v>85</v>
      </c>
      <c r="BE53" s="4"/>
      <c r="BF53" s="2"/>
      <c r="BG53" s="4"/>
      <c r="BH53" s="1"/>
      <c r="BI53" s="1" t="s">
        <v>185</v>
      </c>
    </row>
    <row r="54" spans="1:61" ht="13.5" hidden="1" customHeight="1" x14ac:dyDescent="0.25">
      <c r="A54" s="2">
        <v>1526</v>
      </c>
      <c r="B54" s="1" t="s">
        <v>815</v>
      </c>
      <c r="C54" s="1" t="s">
        <v>47</v>
      </c>
      <c r="D54" s="1" t="s">
        <v>746</v>
      </c>
      <c r="E54" s="1" t="s">
        <v>735</v>
      </c>
      <c r="F54" s="1" t="s">
        <v>323</v>
      </c>
      <c r="G54" s="2">
        <v>37</v>
      </c>
      <c r="H54" s="103">
        <v>100</v>
      </c>
      <c r="I54" s="103">
        <v>100</v>
      </c>
      <c r="J54" s="39">
        <v>1</v>
      </c>
      <c r="K54" s="53" t="s">
        <v>250</v>
      </c>
      <c r="L54" s="66">
        <v>1</v>
      </c>
      <c r="M54" s="8" t="s">
        <v>91</v>
      </c>
      <c r="N54" s="1" t="s">
        <v>177</v>
      </c>
      <c r="O54" s="7" t="s">
        <v>784</v>
      </c>
      <c r="P54" s="110">
        <v>45989.447268518517</v>
      </c>
      <c r="Q54" s="110">
        <v>46295.6016087963</v>
      </c>
      <c r="R54" s="110"/>
      <c r="S54" s="1" t="s">
        <v>91</v>
      </c>
      <c r="T54" s="1" t="s">
        <v>157</v>
      </c>
      <c r="U54" s="4" t="s">
        <v>1083</v>
      </c>
      <c r="V54" s="2"/>
      <c r="W54" s="110"/>
      <c r="X54" s="1"/>
      <c r="Y54" s="1" t="s">
        <v>91</v>
      </c>
      <c r="Z54" s="110">
        <v>46220.493611111109</v>
      </c>
      <c r="AA54" s="1"/>
      <c r="AB54" s="4"/>
      <c r="AC54" s="4"/>
      <c r="AD54" s="1"/>
      <c r="AE54" s="1" t="s">
        <v>63</v>
      </c>
      <c r="AF54" s="1"/>
      <c r="AG54" s="2"/>
      <c r="AH54" s="1"/>
      <c r="AI54" s="1"/>
      <c r="AJ54" s="1" t="s">
        <v>91</v>
      </c>
      <c r="AK54" s="110">
        <v>46295.6016087963</v>
      </c>
      <c r="AL54" s="1"/>
      <c r="AM54" s="1"/>
      <c r="AN54" s="1"/>
      <c r="AO54" s="1"/>
      <c r="AP54" s="1"/>
      <c r="AQ54" s="1"/>
      <c r="AR54" s="1"/>
      <c r="AS54" s="1"/>
      <c r="AT54" s="2"/>
      <c r="AU54" s="1"/>
      <c r="AV54" s="2">
        <v>21</v>
      </c>
      <c r="AW54" s="4"/>
      <c r="AX54" s="110"/>
      <c r="AY54" s="4"/>
      <c r="AZ54" s="1"/>
      <c r="BA54" s="1"/>
      <c r="BB54" s="1" t="s">
        <v>514</v>
      </c>
      <c r="BC54" s="4"/>
      <c r="BD54" s="1" t="s">
        <v>85</v>
      </c>
      <c r="BE54" s="4"/>
      <c r="BF54" s="2">
        <v>1713</v>
      </c>
      <c r="BG54" s="4"/>
      <c r="BH54" s="1"/>
      <c r="BI54" s="1" t="s">
        <v>191</v>
      </c>
    </row>
    <row r="55" spans="1:61" ht="13.5" hidden="1" customHeight="1" x14ac:dyDescent="0.25">
      <c r="A55" s="2">
        <v>2161</v>
      </c>
      <c r="B55" s="1" t="s">
        <v>959</v>
      </c>
      <c r="C55" s="1" t="s">
        <v>47</v>
      </c>
      <c r="D55" s="1" t="s">
        <v>746</v>
      </c>
      <c r="E55" s="1" t="s">
        <v>735</v>
      </c>
      <c r="F55" s="1" t="s">
        <v>323</v>
      </c>
      <c r="G55" s="2">
        <v>38</v>
      </c>
      <c r="H55" s="103">
        <v>40</v>
      </c>
      <c r="I55" s="4"/>
      <c r="J55" s="39">
        <v>1</v>
      </c>
      <c r="K55" s="53" t="s">
        <v>250</v>
      </c>
      <c r="L55" s="66">
        <v>1</v>
      </c>
      <c r="M55" s="8" t="s">
        <v>91</v>
      </c>
      <c r="N55" s="1" t="s">
        <v>177</v>
      </c>
      <c r="O55" s="7" t="s">
        <v>976</v>
      </c>
      <c r="P55" s="110">
        <v>46259.707986111112</v>
      </c>
      <c r="Q55" s="110">
        <v>46295.601770833331</v>
      </c>
      <c r="R55" s="110"/>
      <c r="S55" s="1" t="s">
        <v>91</v>
      </c>
      <c r="T55" s="1" t="s">
        <v>81</v>
      </c>
      <c r="U55" s="4" t="s">
        <v>1084</v>
      </c>
      <c r="V55" s="2"/>
      <c r="W55" s="110"/>
      <c r="X55" s="1"/>
      <c r="Y55" s="1" t="s">
        <v>91</v>
      </c>
      <c r="Z55" s="110">
        <v>46280.355810185189</v>
      </c>
      <c r="AA55" s="1"/>
      <c r="AB55" s="4"/>
      <c r="AC55" s="4"/>
      <c r="AD55" s="1"/>
      <c r="AE55" s="1" t="s">
        <v>63</v>
      </c>
      <c r="AF55" s="1"/>
      <c r="AG55" s="2"/>
      <c r="AH55" s="1"/>
      <c r="AI55" s="1"/>
      <c r="AJ55" s="1" t="s">
        <v>91</v>
      </c>
      <c r="AK55" s="110">
        <v>46295.601770833331</v>
      </c>
      <c r="AL55" s="1"/>
      <c r="AM55" s="1"/>
      <c r="AN55" s="1"/>
      <c r="AO55" s="1"/>
      <c r="AP55" s="1"/>
      <c r="AQ55" s="1"/>
      <c r="AR55" s="1"/>
      <c r="AS55" s="1"/>
      <c r="AT55" s="2"/>
      <c r="AU55" s="1"/>
      <c r="AV55" s="2">
        <v>4</v>
      </c>
      <c r="AW55" s="4"/>
      <c r="AX55" s="110"/>
      <c r="AY55" s="4"/>
      <c r="AZ55" s="1"/>
      <c r="BA55" s="1"/>
      <c r="BB55" s="1" t="s">
        <v>514</v>
      </c>
      <c r="BC55" s="4"/>
      <c r="BD55" s="1" t="s">
        <v>85</v>
      </c>
      <c r="BE55" s="4"/>
      <c r="BF55" s="2"/>
      <c r="BG55" s="4"/>
      <c r="BH55" s="1"/>
      <c r="BI55" s="1" t="s">
        <v>191</v>
      </c>
    </row>
    <row r="56" spans="1:61" ht="13.5" hidden="1" customHeight="1" x14ac:dyDescent="0.25">
      <c r="A56" s="2">
        <v>2163</v>
      </c>
      <c r="B56" s="1" t="s">
        <v>960</v>
      </c>
      <c r="C56" s="1" t="s">
        <v>47</v>
      </c>
      <c r="D56" s="1" t="s">
        <v>746</v>
      </c>
      <c r="E56" s="1" t="s">
        <v>735</v>
      </c>
      <c r="F56" s="1" t="s">
        <v>323</v>
      </c>
      <c r="G56" s="2">
        <v>38</v>
      </c>
      <c r="H56" s="103">
        <v>40</v>
      </c>
      <c r="I56" s="4"/>
      <c r="J56" s="39">
        <v>1</v>
      </c>
      <c r="K56" s="53" t="s">
        <v>1000</v>
      </c>
      <c r="L56" s="66">
        <v>0</v>
      </c>
      <c r="M56" s="8" t="s">
        <v>91</v>
      </c>
      <c r="N56" s="1" t="s">
        <v>178</v>
      </c>
      <c r="O56" s="7" t="s">
        <v>970</v>
      </c>
      <c r="P56" s="110">
        <v>46260.470532407409</v>
      </c>
      <c r="Q56" s="110">
        <v>46283.472361111111</v>
      </c>
      <c r="R56" s="110"/>
      <c r="S56" s="1" t="s">
        <v>157</v>
      </c>
      <c r="T56" s="1" t="s">
        <v>157</v>
      </c>
      <c r="U56" s="4"/>
      <c r="V56" s="2"/>
      <c r="W56" s="110"/>
      <c r="X56" s="1"/>
      <c r="Y56" s="1"/>
      <c r="Z56" s="110"/>
      <c r="AA56" s="1"/>
      <c r="AB56" s="4"/>
      <c r="AC56" s="4"/>
      <c r="AD56" s="1"/>
      <c r="AE56" s="1" t="s">
        <v>63</v>
      </c>
      <c r="AF56" s="1"/>
      <c r="AG56" s="2"/>
      <c r="AH56" s="1"/>
      <c r="AI56" s="1"/>
      <c r="AJ56" s="1" t="s">
        <v>157</v>
      </c>
      <c r="AK56" s="110">
        <v>46283.472361111111</v>
      </c>
      <c r="AL56" s="1"/>
      <c r="AM56" s="1"/>
      <c r="AN56" s="1"/>
      <c r="AO56" s="1"/>
      <c r="AP56" s="1"/>
      <c r="AQ56" s="1"/>
      <c r="AR56" s="1"/>
      <c r="AS56" s="1"/>
      <c r="AT56" s="2"/>
      <c r="AU56" s="1"/>
      <c r="AV56" s="2">
        <v>1</v>
      </c>
      <c r="AW56" s="4"/>
      <c r="AX56" s="110"/>
      <c r="AY56" s="4"/>
      <c r="AZ56" s="1"/>
      <c r="BA56" s="1"/>
      <c r="BB56" s="1" t="s">
        <v>514</v>
      </c>
      <c r="BC56" s="4"/>
      <c r="BD56" s="1" t="s">
        <v>85</v>
      </c>
      <c r="BE56" s="4"/>
      <c r="BF56" s="2"/>
      <c r="BG56" s="4"/>
      <c r="BH56" s="1"/>
      <c r="BI56" s="1" t="s">
        <v>188</v>
      </c>
    </row>
    <row r="57" spans="1:61" ht="13.5" hidden="1" customHeight="1" x14ac:dyDescent="0.25">
      <c r="A57" s="2">
        <v>1841</v>
      </c>
      <c r="B57" s="1" t="s">
        <v>1051</v>
      </c>
      <c r="C57" s="1" t="s">
        <v>47</v>
      </c>
      <c r="D57" s="1" t="s">
        <v>746</v>
      </c>
      <c r="E57" s="1" t="s">
        <v>735</v>
      </c>
      <c r="F57" s="1" t="s">
        <v>323</v>
      </c>
      <c r="G57" s="2">
        <v>39</v>
      </c>
      <c r="H57" s="103">
        <v>8</v>
      </c>
      <c r="I57" s="4"/>
      <c r="J57" s="39">
        <v>1</v>
      </c>
      <c r="K57" s="53" t="s">
        <v>250</v>
      </c>
      <c r="L57" s="66">
        <v>0</v>
      </c>
      <c r="M57" s="8" t="s">
        <v>91</v>
      </c>
      <c r="N57" s="1" t="s">
        <v>177</v>
      </c>
      <c r="O57" s="7" t="s">
        <v>849</v>
      </c>
      <c r="P57" s="110">
        <v>46119.45171296296</v>
      </c>
      <c r="Q57" s="110">
        <v>46290.424525462964</v>
      </c>
      <c r="R57" s="110"/>
      <c r="S57" s="1" t="s">
        <v>91</v>
      </c>
      <c r="T57" s="1" t="s">
        <v>157</v>
      </c>
      <c r="U57" s="4"/>
      <c r="V57" s="2"/>
      <c r="W57" s="110"/>
      <c r="X57" s="1"/>
      <c r="Y57" s="1" t="s">
        <v>91</v>
      </c>
      <c r="Z57" s="110">
        <v>46287.567407407405</v>
      </c>
      <c r="AA57" s="1"/>
      <c r="AB57" s="4"/>
      <c r="AC57" s="4"/>
      <c r="AD57" s="1"/>
      <c r="AE57" s="1" t="s">
        <v>63</v>
      </c>
      <c r="AF57" s="1"/>
      <c r="AG57" s="2"/>
      <c r="AH57" s="1"/>
      <c r="AI57" s="1"/>
      <c r="AJ57" s="1" t="s">
        <v>91</v>
      </c>
      <c r="AK57" s="110">
        <v>46290.424525462964</v>
      </c>
      <c r="AL57" s="1"/>
      <c r="AM57" s="1"/>
      <c r="AN57" s="1"/>
      <c r="AO57" s="1"/>
      <c r="AP57" s="1"/>
      <c r="AQ57" s="1"/>
      <c r="AR57" s="1"/>
      <c r="AS57" s="1"/>
      <c r="AT57" s="2"/>
      <c r="AU57" s="1"/>
      <c r="AV57" s="2">
        <v>4</v>
      </c>
      <c r="AW57" s="4"/>
      <c r="AX57" s="110"/>
      <c r="AY57" s="4"/>
      <c r="AZ57" s="1"/>
      <c r="BA57" s="1"/>
      <c r="BB57" s="1" t="s">
        <v>514</v>
      </c>
      <c r="BC57" s="4"/>
      <c r="BD57" s="1" t="s">
        <v>85</v>
      </c>
      <c r="BE57" s="4"/>
      <c r="BF57" s="2"/>
      <c r="BG57" s="4"/>
      <c r="BH57" s="1"/>
      <c r="BI57" s="1" t="s">
        <v>191</v>
      </c>
    </row>
    <row r="58" spans="1:61" ht="13.5" hidden="1" customHeight="1" x14ac:dyDescent="0.25">
      <c r="A58" s="2">
        <v>1814</v>
      </c>
      <c r="B58" s="1" t="s">
        <v>847</v>
      </c>
      <c r="C58" s="1" t="s">
        <v>47</v>
      </c>
      <c r="D58" s="1" t="s">
        <v>746</v>
      </c>
      <c r="E58" s="1" t="s">
        <v>735</v>
      </c>
      <c r="F58" s="1" t="s">
        <v>476</v>
      </c>
      <c r="G58" s="2">
        <v>38</v>
      </c>
      <c r="H58" s="103">
        <v>8</v>
      </c>
      <c r="I58" s="4"/>
      <c r="J58" s="39">
        <v>1</v>
      </c>
      <c r="K58" s="53" t="s">
        <v>250</v>
      </c>
      <c r="L58" s="66">
        <v>1</v>
      </c>
      <c r="M58" s="8" t="s">
        <v>810</v>
      </c>
      <c r="N58" s="1" t="s">
        <v>177</v>
      </c>
      <c r="O58" s="7" t="s">
        <v>848</v>
      </c>
      <c r="P58" s="110">
        <v>46104.717986111114</v>
      </c>
      <c r="Q58" s="110">
        <v>46308.372685185182</v>
      </c>
      <c r="R58" s="110"/>
      <c r="S58" s="1" t="s">
        <v>81</v>
      </c>
      <c r="T58" s="1" t="s">
        <v>157</v>
      </c>
      <c r="U58" s="4"/>
      <c r="V58" s="2"/>
      <c r="W58" s="110"/>
      <c r="X58" s="1"/>
      <c r="Y58" s="1" t="s">
        <v>810</v>
      </c>
      <c r="Z58" s="110">
        <v>46286.709537037037</v>
      </c>
      <c r="AA58" s="1"/>
      <c r="AB58" s="4"/>
      <c r="AC58" s="4"/>
      <c r="AD58" s="1"/>
      <c r="AE58" s="1" t="s">
        <v>63</v>
      </c>
      <c r="AF58" s="1"/>
      <c r="AG58" s="2"/>
      <c r="AH58" s="1"/>
      <c r="AI58" s="1"/>
      <c r="AJ58" s="1" t="s">
        <v>81</v>
      </c>
      <c r="AK58" s="110">
        <v>46308.372685185182</v>
      </c>
      <c r="AL58" s="1"/>
      <c r="AM58" s="1"/>
      <c r="AN58" s="1"/>
      <c r="AO58" s="1"/>
      <c r="AP58" s="1"/>
      <c r="AQ58" s="1"/>
      <c r="AR58" s="1"/>
      <c r="AS58" s="1"/>
      <c r="AT58" s="2"/>
      <c r="AU58" s="1"/>
      <c r="AV58" s="2">
        <v>5</v>
      </c>
      <c r="AW58" s="4"/>
      <c r="AX58" s="110"/>
      <c r="AY58" s="4"/>
      <c r="AZ58" s="1"/>
      <c r="BA58" s="1"/>
      <c r="BB58" s="1" t="s">
        <v>514</v>
      </c>
      <c r="BC58" s="4"/>
      <c r="BD58" s="1" t="s">
        <v>85</v>
      </c>
      <c r="BE58" s="4"/>
      <c r="BF58" s="2"/>
      <c r="BG58" s="4"/>
      <c r="BH58" s="1"/>
      <c r="BI58" s="1" t="s">
        <v>191</v>
      </c>
    </row>
    <row r="59" spans="1:61" ht="13.5" hidden="1" customHeight="1" x14ac:dyDescent="0.25">
      <c r="A59" s="2">
        <v>1907</v>
      </c>
      <c r="B59" s="1" t="s">
        <v>850</v>
      </c>
      <c r="C59" s="1" t="s">
        <v>47</v>
      </c>
      <c r="D59" s="1" t="s">
        <v>746</v>
      </c>
      <c r="E59" s="1" t="s">
        <v>735</v>
      </c>
      <c r="F59" s="1" t="s">
        <v>742</v>
      </c>
      <c r="G59" s="2"/>
      <c r="H59" s="103">
        <v>8</v>
      </c>
      <c r="I59" s="103"/>
      <c r="J59" s="39">
        <v>1</v>
      </c>
      <c r="K59" s="53" t="s">
        <v>1000</v>
      </c>
      <c r="L59" s="66">
        <v>0</v>
      </c>
      <c r="M59" s="8"/>
      <c r="N59" s="1" t="s">
        <v>178</v>
      </c>
      <c r="O59" s="7" t="s">
        <v>884</v>
      </c>
      <c r="P59" s="110">
        <v>46141.700185185182</v>
      </c>
      <c r="Q59" s="110">
        <v>46276.395636574074</v>
      </c>
      <c r="R59" s="110"/>
      <c r="S59" s="1" t="s">
        <v>157</v>
      </c>
      <c r="T59" s="1" t="s">
        <v>719</v>
      </c>
      <c r="U59" s="4"/>
      <c r="V59" s="2"/>
      <c r="W59" s="110"/>
      <c r="X59" s="1"/>
      <c r="Y59" s="1"/>
      <c r="Z59" s="110"/>
      <c r="AA59" s="1"/>
      <c r="AB59" s="4"/>
      <c r="AC59" s="4"/>
      <c r="AD59" s="1"/>
      <c r="AE59" s="1" t="s">
        <v>63</v>
      </c>
      <c r="AF59" s="1"/>
      <c r="AG59" s="2"/>
      <c r="AH59" s="1"/>
      <c r="AI59" s="1"/>
      <c r="AJ59" s="1" t="s">
        <v>157</v>
      </c>
      <c r="AK59" s="110">
        <v>46276.395636574074</v>
      </c>
      <c r="AL59" s="1"/>
      <c r="AM59" s="1"/>
      <c r="AN59" s="1"/>
      <c r="AO59" s="1"/>
      <c r="AP59" s="1"/>
      <c r="AQ59" s="1"/>
      <c r="AR59" s="1"/>
      <c r="AS59" s="1"/>
      <c r="AT59" s="2"/>
      <c r="AU59" s="1"/>
      <c r="AV59" s="2">
        <v>0</v>
      </c>
      <c r="AW59" s="4"/>
      <c r="AX59" s="110"/>
      <c r="AY59" s="4"/>
      <c r="AZ59" s="1"/>
      <c r="BA59" s="1"/>
      <c r="BB59" s="1" t="s">
        <v>514</v>
      </c>
      <c r="BC59" s="4"/>
      <c r="BD59" s="1" t="s">
        <v>85</v>
      </c>
      <c r="BE59" s="4"/>
      <c r="BF59" s="2"/>
      <c r="BG59" s="4"/>
      <c r="BH59" s="1"/>
      <c r="BI59" s="1" t="s">
        <v>185</v>
      </c>
    </row>
    <row r="60" spans="1:61" ht="13.5" hidden="1" customHeight="1" x14ac:dyDescent="0.25">
      <c r="A60" s="2">
        <v>1476</v>
      </c>
      <c r="B60" s="1" t="s">
        <v>770</v>
      </c>
      <c r="C60" s="1" t="s">
        <v>47</v>
      </c>
      <c r="D60" s="1" t="s">
        <v>746</v>
      </c>
      <c r="E60" s="1" t="s">
        <v>735</v>
      </c>
      <c r="F60" s="1" t="s">
        <v>323</v>
      </c>
      <c r="G60" s="2">
        <v>40</v>
      </c>
      <c r="H60" s="103">
        <v>40</v>
      </c>
      <c r="I60" s="4"/>
      <c r="J60" s="39">
        <v>1</v>
      </c>
      <c r="K60" s="53" t="s">
        <v>250</v>
      </c>
      <c r="L60" s="66">
        <v>0</v>
      </c>
      <c r="M60" s="8" t="s">
        <v>1030</v>
      </c>
      <c r="N60" s="1" t="s">
        <v>177</v>
      </c>
      <c r="O60" s="7" t="s">
        <v>533</v>
      </c>
      <c r="P60" s="110">
        <v>45974.650324074071</v>
      </c>
      <c r="Q60" s="110">
        <v>46301.357465277775</v>
      </c>
      <c r="R60" s="110"/>
      <c r="S60" s="1" t="s">
        <v>380</v>
      </c>
      <c r="T60" s="1" t="s">
        <v>89</v>
      </c>
      <c r="U60" s="4" t="s">
        <v>584</v>
      </c>
      <c r="V60" s="2"/>
      <c r="W60" s="110"/>
      <c r="X60" s="1"/>
      <c r="Y60" s="1" t="s">
        <v>1030</v>
      </c>
      <c r="Z60" s="110">
        <v>46294.408113425925</v>
      </c>
      <c r="AA60" s="1"/>
      <c r="AB60" s="4"/>
      <c r="AC60" s="4"/>
      <c r="AD60" s="1"/>
      <c r="AE60" s="1" t="s">
        <v>63</v>
      </c>
      <c r="AF60" s="1"/>
      <c r="AG60" s="2"/>
      <c r="AH60" s="1"/>
      <c r="AI60" s="1"/>
      <c r="AJ60" s="1" t="s">
        <v>380</v>
      </c>
      <c r="AK60" s="110">
        <v>46301.357465277775</v>
      </c>
      <c r="AL60" s="1"/>
      <c r="AM60" s="1"/>
      <c r="AN60" s="1"/>
      <c r="AO60" s="1"/>
      <c r="AP60" s="1"/>
      <c r="AQ60" s="1"/>
      <c r="AR60" s="1"/>
      <c r="AS60" s="1"/>
      <c r="AT60" s="2"/>
      <c r="AU60" s="1"/>
      <c r="AV60" s="2">
        <v>0</v>
      </c>
      <c r="AW60" s="4"/>
      <c r="AX60" s="110"/>
      <c r="AY60" s="4"/>
      <c r="AZ60" s="1"/>
      <c r="BA60" s="1"/>
      <c r="BB60" s="1" t="s">
        <v>514</v>
      </c>
      <c r="BC60" s="4"/>
      <c r="BD60" s="1" t="s">
        <v>85</v>
      </c>
      <c r="BE60" s="4"/>
      <c r="BF60" s="2"/>
      <c r="BG60" s="4"/>
      <c r="BH60" s="1"/>
      <c r="BI60" s="1" t="s">
        <v>191</v>
      </c>
    </row>
    <row r="61" spans="1:61" ht="13.5" hidden="1" customHeight="1" x14ac:dyDescent="0.25">
      <c r="A61" s="2">
        <v>1255</v>
      </c>
      <c r="B61" s="1" t="s">
        <v>777</v>
      </c>
      <c r="C61" s="1" t="s">
        <v>47</v>
      </c>
      <c r="D61" s="1" t="s">
        <v>746</v>
      </c>
      <c r="E61" s="1" t="s">
        <v>735</v>
      </c>
      <c r="F61" s="1" t="s">
        <v>323</v>
      </c>
      <c r="G61" s="2"/>
      <c r="H61" s="103">
        <v>13</v>
      </c>
      <c r="I61" s="103">
        <v>13</v>
      </c>
      <c r="J61" s="39">
        <v>1</v>
      </c>
      <c r="K61" s="53" t="s">
        <v>1000</v>
      </c>
      <c r="L61" s="66">
        <v>0</v>
      </c>
      <c r="M61" s="8"/>
      <c r="N61" s="1" t="s">
        <v>178</v>
      </c>
      <c r="O61" s="7" t="s">
        <v>778</v>
      </c>
      <c r="P61" s="110">
        <v>45867.36105324074</v>
      </c>
      <c r="Q61" s="110">
        <v>46276.395891203705</v>
      </c>
      <c r="R61" s="110"/>
      <c r="S61" s="1" t="s">
        <v>157</v>
      </c>
      <c r="T61" s="1" t="s">
        <v>81</v>
      </c>
      <c r="U61" s="4" t="s">
        <v>776</v>
      </c>
      <c r="V61" s="2"/>
      <c r="W61" s="110"/>
      <c r="X61" s="1"/>
      <c r="Y61" s="1"/>
      <c r="Z61" s="110"/>
      <c r="AA61" s="1"/>
      <c r="AB61" s="4"/>
      <c r="AC61" s="4"/>
      <c r="AD61" s="1"/>
      <c r="AE61" s="1" t="s">
        <v>63</v>
      </c>
      <c r="AF61" s="1"/>
      <c r="AG61" s="2"/>
      <c r="AH61" s="1"/>
      <c r="AI61" s="1"/>
      <c r="AJ61" s="1" t="s">
        <v>157</v>
      </c>
      <c r="AK61" s="110">
        <v>46276.395891203705</v>
      </c>
      <c r="AL61" s="1"/>
      <c r="AM61" s="1"/>
      <c r="AN61" s="1"/>
      <c r="AO61" s="1"/>
      <c r="AP61" s="1"/>
      <c r="AQ61" s="1"/>
      <c r="AR61" s="1"/>
      <c r="AS61" s="1"/>
      <c r="AT61" s="2"/>
      <c r="AU61" s="1"/>
      <c r="AV61" s="2">
        <v>1</v>
      </c>
      <c r="AW61" s="4"/>
      <c r="AX61" s="110"/>
      <c r="AY61" s="4"/>
      <c r="AZ61" s="1"/>
      <c r="BA61" s="1"/>
      <c r="BB61" s="1" t="s">
        <v>61</v>
      </c>
      <c r="BC61" s="4"/>
      <c r="BD61" s="1" t="s">
        <v>85</v>
      </c>
      <c r="BE61" s="4"/>
      <c r="BF61" s="2">
        <v>1712</v>
      </c>
      <c r="BG61" s="4"/>
      <c r="BH61" s="1"/>
      <c r="BI61" s="1" t="s">
        <v>185</v>
      </c>
    </row>
    <row r="62" spans="1:61" ht="13.5" hidden="1" customHeight="1" x14ac:dyDescent="0.25">
      <c r="A62" s="2">
        <v>1559</v>
      </c>
      <c r="B62" s="1" t="s">
        <v>788</v>
      </c>
      <c r="C62" s="1" t="s">
        <v>47</v>
      </c>
      <c r="D62" s="1" t="s">
        <v>746</v>
      </c>
      <c r="E62" s="1"/>
      <c r="F62" s="1" t="s">
        <v>323</v>
      </c>
      <c r="G62" s="2"/>
      <c r="H62" s="103">
        <v>13</v>
      </c>
      <c r="I62" s="103">
        <v>13</v>
      </c>
      <c r="J62" s="39">
        <v>1</v>
      </c>
      <c r="K62" s="53" t="s">
        <v>1000</v>
      </c>
      <c r="L62" s="66">
        <v>0</v>
      </c>
      <c r="M62" s="8"/>
      <c r="N62" s="1" t="s">
        <v>178</v>
      </c>
      <c r="O62" s="7" t="s">
        <v>789</v>
      </c>
      <c r="P62" s="110">
        <v>45996.668530092589</v>
      </c>
      <c r="Q62" s="110">
        <v>46276.396087962959</v>
      </c>
      <c r="R62" s="110"/>
      <c r="S62" s="1" t="s">
        <v>157</v>
      </c>
      <c r="T62" s="1" t="s">
        <v>81</v>
      </c>
      <c r="U62" s="4" t="s">
        <v>776</v>
      </c>
      <c r="V62" s="2"/>
      <c r="W62" s="110"/>
      <c r="X62" s="1"/>
      <c r="Y62" s="1"/>
      <c r="Z62" s="110"/>
      <c r="AA62" s="1"/>
      <c r="AB62" s="4"/>
      <c r="AC62" s="4"/>
      <c r="AD62" s="1"/>
      <c r="AE62" s="1" t="s">
        <v>63</v>
      </c>
      <c r="AF62" s="1"/>
      <c r="AG62" s="2"/>
      <c r="AH62" s="1"/>
      <c r="AI62" s="1"/>
      <c r="AJ62" s="1" t="s">
        <v>157</v>
      </c>
      <c r="AK62" s="110">
        <v>46276.396087962959</v>
      </c>
      <c r="AL62" s="1"/>
      <c r="AM62" s="1"/>
      <c r="AN62" s="1"/>
      <c r="AO62" s="1"/>
      <c r="AP62" s="1"/>
      <c r="AQ62" s="1"/>
      <c r="AR62" s="1"/>
      <c r="AS62" s="1"/>
      <c r="AT62" s="2"/>
      <c r="AU62" s="1"/>
      <c r="AV62" s="2">
        <v>1</v>
      </c>
      <c r="AW62" s="4"/>
      <c r="AX62" s="110"/>
      <c r="AY62" s="4"/>
      <c r="AZ62" s="1"/>
      <c r="BA62" s="1"/>
      <c r="BB62" s="1" t="s">
        <v>514</v>
      </c>
      <c r="BC62" s="4"/>
      <c r="BD62" s="1" t="s">
        <v>85</v>
      </c>
      <c r="BE62" s="4"/>
      <c r="BF62" s="2">
        <v>1712</v>
      </c>
      <c r="BG62" s="4"/>
      <c r="BH62" s="1"/>
      <c r="BI62" s="1" t="s">
        <v>185</v>
      </c>
    </row>
    <row r="63" spans="1:61" ht="13.5" hidden="1" customHeight="1" x14ac:dyDescent="0.25">
      <c r="A63" s="2">
        <v>1801</v>
      </c>
      <c r="B63" s="1" t="s">
        <v>846</v>
      </c>
      <c r="C63" s="1" t="s">
        <v>47</v>
      </c>
      <c r="D63" s="1" t="s">
        <v>746</v>
      </c>
      <c r="E63" s="1" t="s">
        <v>735</v>
      </c>
      <c r="F63" s="1" t="s">
        <v>323</v>
      </c>
      <c r="G63" s="2"/>
      <c r="H63" s="103">
        <v>80</v>
      </c>
      <c r="I63" s="103"/>
      <c r="J63" s="39">
        <v>1</v>
      </c>
      <c r="K63" s="53" t="s">
        <v>1000</v>
      </c>
      <c r="L63" s="66">
        <v>0</v>
      </c>
      <c r="M63" s="8" t="s">
        <v>811</v>
      </c>
      <c r="N63" s="1" t="s">
        <v>178</v>
      </c>
      <c r="O63" s="7" t="s">
        <v>883</v>
      </c>
      <c r="P63" s="110">
        <v>46099.621516203704</v>
      </c>
      <c r="Q63" s="110">
        <v>46276.396840277775</v>
      </c>
      <c r="R63" s="110"/>
      <c r="S63" s="1" t="s">
        <v>157</v>
      </c>
      <c r="T63" s="1" t="s">
        <v>719</v>
      </c>
      <c r="U63" s="4"/>
      <c r="V63" s="2"/>
      <c r="W63" s="110"/>
      <c r="X63" s="1"/>
      <c r="Y63" s="1"/>
      <c r="Z63" s="110"/>
      <c r="AA63" s="1"/>
      <c r="AB63" s="4"/>
      <c r="AC63" s="4"/>
      <c r="AD63" s="1"/>
      <c r="AE63" s="1" t="s">
        <v>63</v>
      </c>
      <c r="AF63" s="1"/>
      <c r="AG63" s="2"/>
      <c r="AH63" s="1"/>
      <c r="AI63" s="1"/>
      <c r="AJ63" s="1" t="s">
        <v>157</v>
      </c>
      <c r="AK63" s="110">
        <v>46276.396840277775</v>
      </c>
      <c r="AL63" s="1"/>
      <c r="AM63" s="1"/>
      <c r="AN63" s="1"/>
      <c r="AO63" s="1"/>
      <c r="AP63" s="1"/>
      <c r="AQ63" s="1"/>
      <c r="AR63" s="1"/>
      <c r="AS63" s="1"/>
      <c r="AT63" s="2"/>
      <c r="AU63" s="1"/>
      <c r="AV63" s="2">
        <v>1</v>
      </c>
      <c r="AW63" s="4"/>
      <c r="AX63" s="110"/>
      <c r="AY63" s="4"/>
      <c r="AZ63" s="1"/>
      <c r="BA63" s="1"/>
      <c r="BB63" s="1" t="s">
        <v>514</v>
      </c>
      <c r="BC63" s="4"/>
      <c r="BD63" s="1" t="s">
        <v>85</v>
      </c>
      <c r="BE63" s="4"/>
      <c r="BF63" s="2"/>
      <c r="BG63" s="4"/>
      <c r="BH63" s="1"/>
      <c r="BI63" s="1" t="s">
        <v>185</v>
      </c>
    </row>
    <row r="64" spans="1:61" ht="13.5" hidden="1" customHeight="1" x14ac:dyDescent="0.25">
      <c r="A64" s="2">
        <v>2209</v>
      </c>
      <c r="B64" s="1" t="s">
        <v>1071</v>
      </c>
      <c r="C64" s="1" t="s">
        <v>47</v>
      </c>
      <c r="D64" s="1" t="s">
        <v>746</v>
      </c>
      <c r="E64" s="1" t="s">
        <v>735</v>
      </c>
      <c r="F64" s="1" t="s">
        <v>476</v>
      </c>
      <c r="G64" s="2">
        <v>39</v>
      </c>
      <c r="H64" s="103">
        <v>4</v>
      </c>
      <c r="I64" s="103"/>
      <c r="J64" s="39">
        <v>1</v>
      </c>
      <c r="K64" s="53" t="s">
        <v>250</v>
      </c>
      <c r="L64" s="66">
        <v>0</v>
      </c>
      <c r="M64" s="8" t="s">
        <v>91</v>
      </c>
      <c r="N64" s="1" t="s">
        <v>177</v>
      </c>
      <c r="O64" s="7" t="s">
        <v>1038</v>
      </c>
      <c r="P64" s="110">
        <v>46286.413113425922</v>
      </c>
      <c r="Q64" s="110">
        <v>46293.369444444441</v>
      </c>
      <c r="R64" s="110"/>
      <c r="S64" s="1" t="s">
        <v>719</v>
      </c>
      <c r="T64" s="1" t="s">
        <v>157</v>
      </c>
      <c r="U64" s="4"/>
      <c r="V64" s="2"/>
      <c r="W64" s="110"/>
      <c r="X64" s="1"/>
      <c r="Y64" s="1" t="s">
        <v>91</v>
      </c>
      <c r="Z64" s="110">
        <v>46290.360497685186</v>
      </c>
      <c r="AA64" s="1"/>
      <c r="AB64" s="4"/>
      <c r="AC64" s="4"/>
      <c r="AD64" s="1"/>
      <c r="AE64" s="1" t="s">
        <v>63</v>
      </c>
      <c r="AF64" s="1"/>
      <c r="AG64" s="2"/>
      <c r="AH64" s="1"/>
      <c r="AI64" s="1"/>
      <c r="AJ64" s="1" t="s">
        <v>719</v>
      </c>
      <c r="AK64" s="110">
        <v>46293.369444444441</v>
      </c>
      <c r="AL64" s="1"/>
      <c r="AM64" s="1"/>
      <c r="AN64" s="1"/>
      <c r="AO64" s="1"/>
      <c r="AP64" s="1"/>
      <c r="AQ64" s="1"/>
      <c r="AR64" s="1"/>
      <c r="AS64" s="1"/>
      <c r="AT64" s="2"/>
      <c r="AU64" s="1"/>
      <c r="AV64" s="2">
        <v>5</v>
      </c>
      <c r="AW64" s="4"/>
      <c r="AX64" s="110"/>
      <c r="AY64" s="4"/>
      <c r="AZ64" s="1"/>
      <c r="BA64" s="1"/>
      <c r="BB64" s="1" t="s">
        <v>514</v>
      </c>
      <c r="BC64" s="4"/>
      <c r="BD64" s="1" t="s">
        <v>85</v>
      </c>
      <c r="BE64" s="4"/>
      <c r="BF64" s="2"/>
      <c r="BG64" s="4"/>
      <c r="BH64" s="1"/>
      <c r="BI64" s="1" t="s">
        <v>191</v>
      </c>
    </row>
    <row r="65" spans="1:61" ht="13.5" hidden="1" customHeight="1" x14ac:dyDescent="0.25">
      <c r="A65" s="2">
        <v>2210</v>
      </c>
      <c r="B65" s="1" t="s">
        <v>1044</v>
      </c>
      <c r="C65" s="1" t="s">
        <v>47</v>
      </c>
      <c r="D65" s="1" t="s">
        <v>746</v>
      </c>
      <c r="E65" s="1" t="s">
        <v>735</v>
      </c>
      <c r="F65" s="1" t="s">
        <v>323</v>
      </c>
      <c r="G65" s="2">
        <v>39</v>
      </c>
      <c r="H65" s="103">
        <v>16</v>
      </c>
      <c r="I65" s="103"/>
      <c r="J65" s="39">
        <v>1</v>
      </c>
      <c r="K65" s="53" t="s">
        <v>250</v>
      </c>
      <c r="L65" s="66">
        <v>0</v>
      </c>
      <c r="M65" s="8" t="s">
        <v>91</v>
      </c>
      <c r="N65" s="1" t="s">
        <v>177</v>
      </c>
      <c r="O65" s="7" t="s">
        <v>1045</v>
      </c>
      <c r="P65" s="110">
        <v>46286.543761574074</v>
      </c>
      <c r="Q65" s="110">
        <v>46293.380104166667</v>
      </c>
      <c r="R65" s="110"/>
      <c r="S65" s="1" t="s">
        <v>719</v>
      </c>
      <c r="T65" s="1" t="s">
        <v>157</v>
      </c>
      <c r="U65" s="4"/>
      <c r="V65" s="2"/>
      <c r="W65" s="110"/>
      <c r="X65" s="1"/>
      <c r="Y65" s="1" t="s">
        <v>91</v>
      </c>
      <c r="Z65" s="110">
        <v>46288.638749999998</v>
      </c>
      <c r="AA65" s="1"/>
      <c r="AB65" s="4"/>
      <c r="AC65" s="4"/>
      <c r="AD65" s="1"/>
      <c r="AE65" s="1" t="s">
        <v>63</v>
      </c>
      <c r="AF65" s="1"/>
      <c r="AG65" s="2"/>
      <c r="AH65" s="1"/>
      <c r="AI65" s="1"/>
      <c r="AJ65" s="1" t="s">
        <v>719</v>
      </c>
      <c r="AK65" s="110">
        <v>46293.380104166667</v>
      </c>
      <c r="AL65" s="1"/>
      <c r="AM65" s="1"/>
      <c r="AN65" s="1"/>
      <c r="AO65" s="1"/>
      <c r="AP65" s="1"/>
      <c r="AQ65" s="1"/>
      <c r="AR65" s="1"/>
      <c r="AS65" s="1"/>
      <c r="AT65" s="2"/>
      <c r="AU65" s="1"/>
      <c r="AV65" s="2">
        <v>3</v>
      </c>
      <c r="AW65" s="4"/>
      <c r="AX65" s="110"/>
      <c r="AY65" s="4"/>
      <c r="AZ65" s="1"/>
      <c r="BA65" s="1"/>
      <c r="BB65" s="1" t="s">
        <v>514</v>
      </c>
      <c r="BC65" s="4"/>
      <c r="BD65" s="1" t="s">
        <v>85</v>
      </c>
      <c r="BE65" s="4"/>
      <c r="BF65" s="2"/>
      <c r="BG65" s="4"/>
      <c r="BH65" s="1"/>
      <c r="BI65" s="1" t="s">
        <v>191</v>
      </c>
    </row>
    <row r="66" spans="1:61" ht="13.5" hidden="1" customHeight="1" x14ac:dyDescent="0.25">
      <c r="A66" s="2">
        <v>2160</v>
      </c>
      <c r="B66" s="1" t="s">
        <v>983</v>
      </c>
      <c r="C66" s="1" t="s">
        <v>47</v>
      </c>
      <c r="D66" s="1" t="s">
        <v>746</v>
      </c>
      <c r="E66" s="1" t="s">
        <v>735</v>
      </c>
      <c r="F66" s="1" t="s">
        <v>323</v>
      </c>
      <c r="G66" s="2">
        <v>38</v>
      </c>
      <c r="H66" s="103">
        <v>8</v>
      </c>
      <c r="I66" s="103"/>
      <c r="J66" s="39">
        <v>1</v>
      </c>
      <c r="K66" s="53" t="s">
        <v>250</v>
      </c>
      <c r="L66" s="66">
        <v>1</v>
      </c>
      <c r="M66" s="8" t="s">
        <v>91</v>
      </c>
      <c r="N66" s="1" t="s">
        <v>177</v>
      </c>
      <c r="O66" s="7" t="s">
        <v>977</v>
      </c>
      <c r="P66" s="110">
        <v>46258.500567129631</v>
      </c>
      <c r="Q66" s="110">
        <v>46295.601412037038</v>
      </c>
      <c r="R66" s="110"/>
      <c r="S66" s="1" t="s">
        <v>91</v>
      </c>
      <c r="T66" s="1" t="s">
        <v>157</v>
      </c>
      <c r="U66" s="4" t="s">
        <v>608</v>
      </c>
      <c r="V66" s="2"/>
      <c r="W66" s="110"/>
      <c r="X66" s="1"/>
      <c r="Y66" s="1" t="s">
        <v>91</v>
      </c>
      <c r="Z66" s="110">
        <v>46261.709652777776</v>
      </c>
      <c r="AA66" s="1"/>
      <c r="AB66" s="4"/>
      <c r="AC66" s="4"/>
      <c r="AD66" s="1"/>
      <c r="AE66" s="1" t="s">
        <v>63</v>
      </c>
      <c r="AF66" s="1"/>
      <c r="AG66" s="2"/>
      <c r="AH66" s="1"/>
      <c r="AI66" s="1"/>
      <c r="AJ66" s="1" t="s">
        <v>91</v>
      </c>
      <c r="AK66" s="110">
        <v>46295.601412037038</v>
      </c>
      <c r="AL66" s="1"/>
      <c r="AM66" s="1"/>
      <c r="AN66" s="1"/>
      <c r="AO66" s="1"/>
      <c r="AP66" s="1"/>
      <c r="AQ66" s="1"/>
      <c r="AR66" s="1"/>
      <c r="AS66" s="1"/>
      <c r="AT66" s="2"/>
      <c r="AU66" s="1"/>
      <c r="AV66" s="2">
        <v>3</v>
      </c>
      <c r="AW66" s="4"/>
      <c r="AX66" s="110"/>
      <c r="AY66" s="4"/>
      <c r="AZ66" s="1"/>
      <c r="BA66" s="1"/>
      <c r="BB66" s="1" t="s">
        <v>514</v>
      </c>
      <c r="BC66" s="4"/>
      <c r="BD66" s="1" t="s">
        <v>85</v>
      </c>
      <c r="BE66" s="4"/>
      <c r="BF66" s="2"/>
      <c r="BG66" s="4"/>
      <c r="BH66" s="1"/>
      <c r="BI66" s="1" t="s">
        <v>191</v>
      </c>
    </row>
    <row r="67" spans="1:61" ht="13.5" hidden="1" customHeight="1" x14ac:dyDescent="0.25">
      <c r="A67" s="2">
        <v>2138</v>
      </c>
      <c r="B67" s="1" t="s">
        <v>958</v>
      </c>
      <c r="C67" s="1" t="s">
        <v>47</v>
      </c>
      <c r="D67" s="1" t="s">
        <v>746</v>
      </c>
      <c r="E67" s="1" t="s">
        <v>735</v>
      </c>
      <c r="F67" s="1" t="s">
        <v>323</v>
      </c>
      <c r="G67" s="2"/>
      <c r="H67" s="103"/>
      <c r="I67" s="103"/>
      <c r="J67" s="39">
        <v>2</v>
      </c>
      <c r="K67" s="53" t="s">
        <v>1000</v>
      </c>
      <c r="L67" s="66">
        <v>0</v>
      </c>
      <c r="M67" s="8" t="s">
        <v>157</v>
      </c>
      <c r="N67" s="1" t="s">
        <v>178</v>
      </c>
      <c r="O67" s="7"/>
      <c r="P67" s="110">
        <v>46253.446030092593</v>
      </c>
      <c r="Q67" s="110">
        <v>46276.396319444444</v>
      </c>
      <c r="R67" s="110"/>
      <c r="S67" s="1" t="s">
        <v>157</v>
      </c>
      <c r="T67" s="1" t="s">
        <v>81</v>
      </c>
      <c r="U67" s="4"/>
      <c r="V67" s="2"/>
      <c r="W67" s="110"/>
      <c r="X67" s="1"/>
      <c r="Y67" s="1"/>
      <c r="Z67" s="110"/>
      <c r="AA67" s="1"/>
      <c r="AB67" s="4"/>
      <c r="AC67" s="4"/>
      <c r="AD67" s="1"/>
      <c r="AE67" s="1" t="s">
        <v>63</v>
      </c>
      <c r="AF67" s="1"/>
      <c r="AG67" s="2"/>
      <c r="AH67" s="1"/>
      <c r="AI67" s="1"/>
      <c r="AJ67" s="1" t="s">
        <v>157</v>
      </c>
      <c r="AK67" s="110">
        <v>46276.396319444444</v>
      </c>
      <c r="AL67" s="1"/>
      <c r="AM67" s="1"/>
      <c r="AN67" s="1"/>
      <c r="AO67" s="1"/>
      <c r="AP67" s="1"/>
      <c r="AQ67" s="1"/>
      <c r="AR67" s="1"/>
      <c r="AS67" s="1"/>
      <c r="AT67" s="2"/>
      <c r="AU67" s="1"/>
      <c r="AV67" s="2">
        <v>0</v>
      </c>
      <c r="AW67" s="4"/>
      <c r="AX67" s="110"/>
      <c r="AY67" s="4"/>
      <c r="AZ67" s="1"/>
      <c r="BA67" s="1"/>
      <c r="BB67" s="1" t="s">
        <v>514</v>
      </c>
      <c r="BC67" s="4"/>
      <c r="BD67" s="1" t="s">
        <v>85</v>
      </c>
      <c r="BE67" s="4"/>
      <c r="BF67" s="2">
        <v>2107</v>
      </c>
      <c r="BG67" s="4"/>
      <c r="BH67" s="1"/>
      <c r="BI67" s="1" t="s">
        <v>185</v>
      </c>
    </row>
    <row r="68" spans="1:61" ht="13.5" hidden="1" customHeight="1" x14ac:dyDescent="0.25">
      <c r="A68" s="2">
        <v>2021</v>
      </c>
      <c r="B68" s="1" t="s">
        <v>851</v>
      </c>
      <c r="C68" s="1" t="s">
        <v>47</v>
      </c>
      <c r="D68" s="1" t="s">
        <v>746</v>
      </c>
      <c r="E68" s="1" t="s">
        <v>735</v>
      </c>
      <c r="F68" s="1" t="s">
        <v>323</v>
      </c>
      <c r="G68" s="2">
        <v>43</v>
      </c>
      <c r="H68" s="103">
        <v>80</v>
      </c>
      <c r="I68" s="4">
        <v>22</v>
      </c>
      <c r="J68" s="39">
        <v>2</v>
      </c>
      <c r="K68" s="53" t="s">
        <v>250</v>
      </c>
      <c r="L68" s="66">
        <v>0</v>
      </c>
      <c r="M68" s="8" t="s">
        <v>810</v>
      </c>
      <c r="N68" s="1" t="s">
        <v>177</v>
      </c>
      <c r="O68" s="7" t="s">
        <v>885</v>
      </c>
      <c r="P68" s="110">
        <v>46190.687372685185</v>
      </c>
      <c r="Q68" s="110">
        <v>46304.38480324074</v>
      </c>
      <c r="R68" s="110"/>
      <c r="S68" s="1" t="s">
        <v>810</v>
      </c>
      <c r="T68" s="1" t="s">
        <v>719</v>
      </c>
      <c r="U68" s="4"/>
      <c r="V68" s="2"/>
      <c r="W68" s="110"/>
      <c r="X68" s="1"/>
      <c r="Y68" s="1" t="s">
        <v>810</v>
      </c>
      <c r="Z68" s="110">
        <v>46303.425775462965</v>
      </c>
      <c r="AA68" s="1"/>
      <c r="AB68" s="4"/>
      <c r="AC68" s="4"/>
      <c r="AD68" s="1"/>
      <c r="AE68" s="1" t="s">
        <v>63</v>
      </c>
      <c r="AF68" s="1"/>
      <c r="AG68" s="2"/>
      <c r="AH68" s="1"/>
      <c r="AI68" s="1"/>
      <c r="AJ68" s="1" t="s">
        <v>810</v>
      </c>
      <c r="AK68" s="110">
        <v>46304.38480324074</v>
      </c>
      <c r="AL68" s="1"/>
      <c r="AM68" s="1"/>
      <c r="AN68" s="1"/>
      <c r="AO68" s="1"/>
      <c r="AP68" s="1"/>
      <c r="AQ68" s="1"/>
      <c r="AR68" s="1"/>
      <c r="AS68" s="1"/>
      <c r="AT68" s="2"/>
      <c r="AU68" s="1"/>
      <c r="AV68" s="2">
        <v>1</v>
      </c>
      <c r="AW68" s="4"/>
      <c r="AX68" s="110"/>
      <c r="AY68" s="4"/>
      <c r="AZ68" s="1"/>
      <c r="BA68" s="1"/>
      <c r="BB68" s="1" t="s">
        <v>514</v>
      </c>
      <c r="BC68" s="4"/>
      <c r="BD68" s="1" t="s">
        <v>85</v>
      </c>
      <c r="BE68" s="4"/>
      <c r="BF68" s="2"/>
      <c r="BG68" s="4"/>
      <c r="BH68" s="1"/>
      <c r="BI68" s="1" t="s">
        <v>191</v>
      </c>
    </row>
    <row r="69" spans="1:61" ht="13.5" customHeight="1" x14ac:dyDescent="0.25">
      <c r="A69" s="2">
        <v>1254</v>
      </c>
      <c r="B69" s="1" t="s">
        <v>774</v>
      </c>
      <c r="C69" s="1" t="s">
        <v>47</v>
      </c>
      <c r="D69" s="1" t="s">
        <v>746</v>
      </c>
      <c r="E69" s="1" t="s">
        <v>735</v>
      </c>
      <c r="F69" s="1" t="s">
        <v>323</v>
      </c>
      <c r="G69" s="2"/>
      <c r="H69" s="103">
        <v>13</v>
      </c>
      <c r="I69" s="4">
        <v>13</v>
      </c>
      <c r="J69" s="39">
        <v>2</v>
      </c>
      <c r="K69" s="53" t="s">
        <v>245</v>
      </c>
      <c r="L69" s="66">
        <v>0</v>
      </c>
      <c r="M69" s="8" t="s">
        <v>81</v>
      </c>
      <c r="N69" s="1" t="s">
        <v>178</v>
      </c>
      <c r="O69" s="7" t="s">
        <v>775</v>
      </c>
      <c r="P69" s="110">
        <v>45867.36042824074</v>
      </c>
      <c r="Q69" s="110">
        <v>46301.362476851849</v>
      </c>
      <c r="R69" s="110"/>
      <c r="S69" s="1" t="s">
        <v>380</v>
      </c>
      <c r="T69" s="1" t="s">
        <v>81</v>
      </c>
      <c r="U69" s="4" t="s">
        <v>776</v>
      </c>
      <c r="V69" s="2"/>
      <c r="W69" s="110"/>
      <c r="X69" s="1"/>
      <c r="Y69" s="1"/>
      <c r="Z69" s="110"/>
      <c r="AA69" s="1"/>
      <c r="AB69" s="4"/>
      <c r="AC69" s="4"/>
      <c r="AD69" s="1"/>
      <c r="AE69" s="1" t="s">
        <v>63</v>
      </c>
      <c r="AF69" s="1"/>
      <c r="AG69" s="2"/>
      <c r="AH69" s="1"/>
      <c r="AI69" s="1"/>
      <c r="AJ69" s="1" t="s">
        <v>380</v>
      </c>
      <c r="AK69" s="110">
        <v>46301.362476851849</v>
      </c>
      <c r="AL69" s="1"/>
      <c r="AM69" s="1"/>
      <c r="AN69" s="1"/>
      <c r="AO69" s="1"/>
      <c r="AP69" s="1"/>
      <c r="AQ69" s="1"/>
      <c r="AR69" s="1"/>
      <c r="AS69" s="1"/>
      <c r="AT69" s="2"/>
      <c r="AU69" s="1"/>
      <c r="AV69" s="2">
        <v>1</v>
      </c>
      <c r="AW69" s="4"/>
      <c r="AX69" s="110"/>
      <c r="AY69" s="4"/>
      <c r="AZ69" s="1"/>
      <c r="BA69" s="1"/>
      <c r="BB69" s="1" t="s">
        <v>61</v>
      </c>
      <c r="BC69" s="4"/>
      <c r="BD69" s="1" t="s">
        <v>85</v>
      </c>
      <c r="BE69" s="4"/>
      <c r="BF69" s="2">
        <v>1712</v>
      </c>
      <c r="BG69" s="4"/>
      <c r="BH69" s="1"/>
      <c r="BI69" s="1" t="s">
        <v>185</v>
      </c>
    </row>
    <row r="70" spans="1:61" ht="13.5" customHeight="1" x14ac:dyDescent="0.25">
      <c r="A70" s="2">
        <v>2207</v>
      </c>
      <c r="B70" s="1" t="s">
        <v>1037</v>
      </c>
      <c r="C70" s="1" t="s">
        <v>47</v>
      </c>
      <c r="D70" s="1" t="s">
        <v>746</v>
      </c>
      <c r="E70" s="1" t="s">
        <v>735</v>
      </c>
      <c r="F70" s="1" t="s">
        <v>742</v>
      </c>
      <c r="G70" s="2">
        <v>40</v>
      </c>
      <c r="H70" s="103">
        <v>12</v>
      </c>
      <c r="I70" s="103"/>
      <c r="J70" s="39">
        <v>2</v>
      </c>
      <c r="K70" s="53" t="s">
        <v>468</v>
      </c>
      <c r="L70" s="66">
        <v>0</v>
      </c>
      <c r="M70" s="8" t="s">
        <v>157</v>
      </c>
      <c r="N70" s="1" t="s">
        <v>178</v>
      </c>
      <c r="O70" s="7"/>
      <c r="P70" s="110">
        <v>46283.680949074071</v>
      </c>
      <c r="Q70" s="110">
        <v>46300.420636574076</v>
      </c>
      <c r="R70" s="110"/>
      <c r="S70" s="1" t="s">
        <v>157</v>
      </c>
      <c r="T70" s="1" t="s">
        <v>157</v>
      </c>
      <c r="U70" s="4"/>
      <c r="V70" s="2"/>
      <c r="W70" s="110"/>
      <c r="X70" s="1"/>
      <c r="Y70" s="1"/>
      <c r="Z70" s="110"/>
      <c r="AA70" s="1"/>
      <c r="AB70" s="4"/>
      <c r="AC70" s="4"/>
      <c r="AD70" s="1"/>
      <c r="AE70" s="1" t="s">
        <v>63</v>
      </c>
      <c r="AF70" s="1"/>
      <c r="AG70" s="2"/>
      <c r="AH70" s="1"/>
      <c r="AI70" s="1"/>
      <c r="AJ70" s="1" t="s">
        <v>157</v>
      </c>
      <c r="AK70" s="110">
        <v>46300.420636574076</v>
      </c>
      <c r="AL70" s="1"/>
      <c r="AM70" s="1"/>
      <c r="AN70" s="1"/>
      <c r="AO70" s="1"/>
      <c r="AP70" s="1"/>
      <c r="AQ70" s="1"/>
      <c r="AR70" s="1"/>
      <c r="AS70" s="1"/>
      <c r="AT70" s="2"/>
      <c r="AU70" s="1"/>
      <c r="AV70" s="2">
        <v>1</v>
      </c>
      <c r="AW70" s="4"/>
      <c r="AX70" s="110"/>
      <c r="AY70" s="4"/>
      <c r="AZ70" s="1"/>
      <c r="BA70" s="1"/>
      <c r="BB70" s="1" t="s">
        <v>514</v>
      </c>
      <c r="BC70" s="4"/>
      <c r="BD70" s="1" t="s">
        <v>85</v>
      </c>
      <c r="BE70" s="4"/>
      <c r="BF70" s="2"/>
      <c r="BG70" s="4"/>
      <c r="BH70" s="1"/>
      <c r="BI70" s="1" t="s">
        <v>185</v>
      </c>
    </row>
    <row r="71" spans="1:61" ht="13.5" customHeight="1" x14ac:dyDescent="0.25">
      <c r="A71" s="2">
        <v>2038</v>
      </c>
      <c r="B71" s="1" t="s">
        <v>924</v>
      </c>
      <c r="C71" s="1" t="s">
        <v>47</v>
      </c>
      <c r="D71" s="1" t="s">
        <v>746</v>
      </c>
      <c r="E71" s="1" t="s">
        <v>735</v>
      </c>
      <c r="F71" s="1" t="s">
        <v>323</v>
      </c>
      <c r="G71" s="2"/>
      <c r="H71" s="103">
        <v>8</v>
      </c>
      <c r="I71" s="4"/>
      <c r="J71" s="39">
        <v>2</v>
      </c>
      <c r="K71" s="53" t="s">
        <v>245</v>
      </c>
      <c r="L71" s="66">
        <v>0</v>
      </c>
      <c r="M71" s="8"/>
      <c r="N71" s="1" t="s">
        <v>178</v>
      </c>
      <c r="O71" s="7" t="s">
        <v>886</v>
      </c>
      <c r="P71" s="110">
        <v>46197.607268518521</v>
      </c>
      <c r="Q71" s="110">
        <v>46266.662094907406</v>
      </c>
      <c r="R71" s="110"/>
      <c r="S71" s="1" t="s">
        <v>81</v>
      </c>
      <c r="T71" s="1" t="s">
        <v>719</v>
      </c>
      <c r="U71" s="4"/>
      <c r="V71" s="2"/>
      <c r="W71" s="110"/>
      <c r="X71" s="1"/>
      <c r="Y71" s="1"/>
      <c r="Z71" s="110"/>
      <c r="AA71" s="1"/>
      <c r="AB71" s="4"/>
      <c r="AC71" s="4"/>
      <c r="AD71" s="1"/>
      <c r="AE71" s="1" t="s">
        <v>63</v>
      </c>
      <c r="AF71" s="1"/>
      <c r="AG71" s="2"/>
      <c r="AH71" s="1"/>
      <c r="AI71" s="1"/>
      <c r="AJ71" s="1" t="s">
        <v>81</v>
      </c>
      <c r="AK71" s="110">
        <v>46266.662094907406</v>
      </c>
      <c r="AL71" s="1"/>
      <c r="AM71" s="1"/>
      <c r="AN71" s="1"/>
      <c r="AO71" s="1"/>
      <c r="AP71" s="1"/>
      <c r="AQ71" s="1"/>
      <c r="AR71" s="1"/>
      <c r="AS71" s="1"/>
      <c r="AT71" s="2"/>
      <c r="AU71" s="1"/>
      <c r="AV71" s="2">
        <v>0</v>
      </c>
      <c r="AW71" s="4"/>
      <c r="AX71" s="110"/>
      <c r="AY71" s="4"/>
      <c r="AZ71" s="1"/>
      <c r="BA71" s="1"/>
      <c r="BB71" s="1" t="s">
        <v>514</v>
      </c>
      <c r="BC71" s="4"/>
      <c r="BD71" s="1" t="s">
        <v>85</v>
      </c>
      <c r="BE71" s="4"/>
      <c r="BF71" s="2"/>
      <c r="BG71" s="4"/>
      <c r="BH71" s="1"/>
      <c r="BI71" s="1" t="s">
        <v>185</v>
      </c>
    </row>
    <row r="72" spans="1:61" ht="13.5" customHeight="1" x14ac:dyDescent="0.25">
      <c r="A72" s="2">
        <v>2198</v>
      </c>
      <c r="B72" s="1" t="s">
        <v>1002</v>
      </c>
      <c r="C72" s="1" t="s">
        <v>47</v>
      </c>
      <c r="D72" s="1" t="s">
        <v>746</v>
      </c>
      <c r="E72" s="1" t="s">
        <v>735</v>
      </c>
      <c r="F72" s="1" t="s">
        <v>742</v>
      </c>
      <c r="G72" s="2"/>
      <c r="H72" s="103"/>
      <c r="I72" s="103"/>
      <c r="J72" s="39">
        <v>2</v>
      </c>
      <c r="K72" s="53" t="s">
        <v>249</v>
      </c>
      <c r="L72" s="66">
        <v>0</v>
      </c>
      <c r="M72" s="8"/>
      <c r="N72" s="1" t="s">
        <v>178</v>
      </c>
      <c r="O72" s="7" t="s">
        <v>1003</v>
      </c>
      <c r="P72" s="110">
        <v>46276.631631944445</v>
      </c>
      <c r="Q72" s="110">
        <v>46279.688379629632</v>
      </c>
      <c r="R72" s="110"/>
      <c r="S72" s="1" t="s">
        <v>380</v>
      </c>
      <c r="T72" s="1" t="s">
        <v>157</v>
      </c>
      <c r="U72" s="4"/>
      <c r="V72" s="2"/>
      <c r="W72" s="110"/>
      <c r="X72" s="1"/>
      <c r="Y72" s="1"/>
      <c r="Z72" s="110"/>
      <c r="AA72" s="1"/>
      <c r="AB72" s="4"/>
      <c r="AC72" s="4"/>
      <c r="AD72" s="1"/>
      <c r="AE72" s="1" t="s">
        <v>63</v>
      </c>
      <c r="AF72" s="1"/>
      <c r="AG72" s="2"/>
      <c r="AH72" s="1"/>
      <c r="AI72" s="1"/>
      <c r="AJ72" s="1" t="s">
        <v>380</v>
      </c>
      <c r="AK72" s="110">
        <v>46279.688379629632</v>
      </c>
      <c r="AL72" s="1"/>
      <c r="AM72" s="1"/>
      <c r="AN72" s="1"/>
      <c r="AO72" s="1"/>
      <c r="AP72" s="1"/>
      <c r="AQ72" s="1"/>
      <c r="AR72" s="1"/>
      <c r="AS72" s="1"/>
      <c r="AT72" s="2"/>
      <c r="AU72" s="1"/>
      <c r="AV72" s="2">
        <v>1</v>
      </c>
      <c r="AW72" s="4"/>
      <c r="AX72" s="110"/>
      <c r="AY72" s="4"/>
      <c r="AZ72" s="1"/>
      <c r="BA72" s="1"/>
      <c r="BB72" s="1" t="s">
        <v>514</v>
      </c>
      <c r="BC72" s="4"/>
      <c r="BD72" s="1" t="s">
        <v>85</v>
      </c>
      <c r="BE72" s="4"/>
      <c r="BF72" s="2"/>
      <c r="BG72" s="4"/>
      <c r="BH72" s="1"/>
      <c r="BI72" s="1" t="s">
        <v>185</v>
      </c>
    </row>
    <row r="73" spans="1:61" ht="13.5" hidden="1" customHeight="1" x14ac:dyDescent="0.25">
      <c r="A73" s="2">
        <v>2217</v>
      </c>
      <c r="B73" s="1" t="s">
        <v>1054</v>
      </c>
      <c r="C73" s="1" t="s">
        <v>47</v>
      </c>
      <c r="D73" s="1" t="s">
        <v>746</v>
      </c>
      <c r="E73" s="1" t="s">
        <v>735</v>
      </c>
      <c r="F73" s="1" t="s">
        <v>476</v>
      </c>
      <c r="G73" s="2">
        <v>40</v>
      </c>
      <c r="H73" s="103">
        <v>4</v>
      </c>
      <c r="I73" s="103"/>
      <c r="J73" s="39">
        <v>2</v>
      </c>
      <c r="K73" s="53" t="s">
        <v>256</v>
      </c>
      <c r="L73" s="66">
        <v>1</v>
      </c>
      <c r="M73" s="8" t="s">
        <v>1030</v>
      </c>
      <c r="N73" s="1" t="s">
        <v>177</v>
      </c>
      <c r="O73" s="7" t="s">
        <v>1055</v>
      </c>
      <c r="P73" s="110">
        <v>46288.57980324074</v>
      </c>
      <c r="Q73" s="110">
        <v>46304.582766203705</v>
      </c>
      <c r="R73" s="110"/>
      <c r="S73" s="1" t="s">
        <v>1030</v>
      </c>
      <c r="T73" s="1" t="s">
        <v>157</v>
      </c>
      <c r="U73" s="4"/>
      <c r="V73" s="2"/>
      <c r="W73" s="110"/>
      <c r="X73" s="1"/>
      <c r="Y73" s="1" t="s">
        <v>1030</v>
      </c>
      <c r="Z73" s="110">
        <v>46303.665590277778</v>
      </c>
      <c r="AA73" s="1"/>
      <c r="AB73" s="4"/>
      <c r="AC73" s="4"/>
      <c r="AD73" s="1"/>
      <c r="AE73" s="1" t="s">
        <v>63</v>
      </c>
      <c r="AF73" s="1"/>
      <c r="AG73" s="2"/>
      <c r="AH73" s="1"/>
      <c r="AI73" s="1"/>
      <c r="AJ73" s="1" t="s">
        <v>1030</v>
      </c>
      <c r="AK73" s="110">
        <v>46304.582766203705</v>
      </c>
      <c r="AL73" s="1"/>
      <c r="AM73" s="1"/>
      <c r="AN73" s="1"/>
      <c r="AO73" s="1"/>
      <c r="AP73" s="1"/>
      <c r="AQ73" s="1"/>
      <c r="AR73" s="1"/>
      <c r="AS73" s="1"/>
      <c r="AT73" s="2"/>
      <c r="AU73" s="1"/>
      <c r="AV73" s="2">
        <v>0</v>
      </c>
      <c r="AW73" s="4"/>
      <c r="AX73" s="110"/>
      <c r="AY73" s="4"/>
      <c r="AZ73" s="1"/>
      <c r="BA73" s="1"/>
      <c r="BB73" s="1" t="s">
        <v>514</v>
      </c>
      <c r="BC73" s="4"/>
      <c r="BD73" s="1" t="s">
        <v>85</v>
      </c>
      <c r="BE73" s="4"/>
      <c r="BF73" s="2"/>
      <c r="BG73" s="4"/>
      <c r="BH73" s="1"/>
      <c r="BI73" s="1" t="s">
        <v>191</v>
      </c>
    </row>
    <row r="74" spans="1:61" ht="13.5" hidden="1" customHeight="1" x14ac:dyDescent="0.25">
      <c r="A74" s="2">
        <v>2084</v>
      </c>
      <c r="B74" s="1" t="s">
        <v>1097</v>
      </c>
      <c r="C74" s="1" t="s">
        <v>47</v>
      </c>
      <c r="D74" s="1" t="s">
        <v>746</v>
      </c>
      <c r="E74" s="1" t="s">
        <v>802</v>
      </c>
      <c r="F74" s="1" t="s">
        <v>323</v>
      </c>
      <c r="G74" s="2">
        <v>41</v>
      </c>
      <c r="H74" s="103">
        <v>8</v>
      </c>
      <c r="I74" s="4"/>
      <c r="J74" s="39">
        <v>2</v>
      </c>
      <c r="K74" s="53" t="s">
        <v>256</v>
      </c>
      <c r="L74" s="66">
        <v>0</v>
      </c>
      <c r="M74" s="8" t="s">
        <v>91</v>
      </c>
      <c r="N74" s="1" t="s">
        <v>177</v>
      </c>
      <c r="O74" s="7" t="s">
        <v>933</v>
      </c>
      <c r="P74" s="110">
        <v>46224.452870370369</v>
      </c>
      <c r="Q74" s="110">
        <v>46308.347928240742</v>
      </c>
      <c r="R74" s="110"/>
      <c r="S74" s="1" t="s">
        <v>91</v>
      </c>
      <c r="T74" s="1" t="s">
        <v>157</v>
      </c>
      <c r="U74" s="4" t="s">
        <v>683</v>
      </c>
      <c r="V74" s="2"/>
      <c r="W74" s="110"/>
      <c r="X74" s="1"/>
      <c r="Y74" s="1" t="s">
        <v>91</v>
      </c>
      <c r="Z74" s="110">
        <v>46308.347928240742</v>
      </c>
      <c r="AA74" s="1"/>
      <c r="AB74" s="4"/>
      <c r="AC74" s="4"/>
      <c r="AD74" s="1"/>
      <c r="AE74" s="1" t="s">
        <v>63</v>
      </c>
      <c r="AF74" s="1"/>
      <c r="AG74" s="2"/>
      <c r="AH74" s="1"/>
      <c r="AI74" s="1"/>
      <c r="AJ74" s="1" t="s">
        <v>91</v>
      </c>
      <c r="AK74" s="110">
        <v>46308.347928240742</v>
      </c>
      <c r="AL74" s="1"/>
      <c r="AM74" s="1"/>
      <c r="AN74" s="1"/>
      <c r="AO74" s="1"/>
      <c r="AP74" s="1"/>
      <c r="AQ74" s="1"/>
      <c r="AR74" s="1"/>
      <c r="AS74" s="1"/>
      <c r="AT74" s="2"/>
      <c r="AU74" s="1"/>
      <c r="AV74" s="2">
        <v>2</v>
      </c>
      <c r="AW74" s="4"/>
      <c r="AX74" s="110"/>
      <c r="AY74" s="4"/>
      <c r="AZ74" s="1"/>
      <c r="BA74" s="1"/>
      <c r="BB74" s="1" t="s">
        <v>514</v>
      </c>
      <c r="BC74" s="4"/>
      <c r="BD74" s="1" t="s">
        <v>85</v>
      </c>
      <c r="BE74" s="4"/>
      <c r="BF74" s="2"/>
      <c r="BG74" s="4"/>
      <c r="BH74" s="1"/>
      <c r="BI74" s="1" t="s">
        <v>191</v>
      </c>
    </row>
    <row r="75" spans="1:61" ht="13.5" hidden="1" customHeight="1" x14ac:dyDescent="0.25">
      <c r="A75" s="2">
        <v>1689</v>
      </c>
      <c r="B75" s="1" t="s">
        <v>743</v>
      </c>
      <c r="C75" s="1" t="s">
        <v>47</v>
      </c>
      <c r="D75" s="1" t="s">
        <v>746</v>
      </c>
      <c r="E75" s="1" t="s">
        <v>735</v>
      </c>
      <c r="F75" s="1" t="s">
        <v>323</v>
      </c>
      <c r="G75" s="2"/>
      <c r="H75" s="103">
        <v>8</v>
      </c>
      <c r="I75" s="103"/>
      <c r="J75" s="39">
        <v>2</v>
      </c>
      <c r="K75" s="53" t="s">
        <v>1000</v>
      </c>
      <c r="L75" s="66">
        <v>0</v>
      </c>
      <c r="M75" s="8"/>
      <c r="N75" s="1" t="s">
        <v>178</v>
      </c>
      <c r="O75" s="7" t="s">
        <v>744</v>
      </c>
      <c r="P75" s="110">
        <v>46062.493252314816</v>
      </c>
      <c r="Q75" s="110">
        <v>46276.395636574074</v>
      </c>
      <c r="R75" s="110"/>
      <c r="S75" s="1" t="s">
        <v>157</v>
      </c>
      <c r="T75" s="1" t="s">
        <v>157</v>
      </c>
      <c r="U75" s="4" t="s">
        <v>760</v>
      </c>
      <c r="V75" s="2"/>
      <c r="W75" s="110"/>
      <c r="X75" s="1"/>
      <c r="Y75" s="1"/>
      <c r="Z75" s="110"/>
      <c r="AA75" s="1"/>
      <c r="AB75" s="4"/>
      <c r="AC75" s="4"/>
      <c r="AD75" s="1"/>
      <c r="AE75" s="1" t="s">
        <v>63</v>
      </c>
      <c r="AF75" s="1"/>
      <c r="AG75" s="2"/>
      <c r="AH75" s="1"/>
      <c r="AI75" s="1"/>
      <c r="AJ75" s="1" t="s">
        <v>157</v>
      </c>
      <c r="AK75" s="110">
        <v>46276.395636574074</v>
      </c>
      <c r="AL75" s="1"/>
      <c r="AM75" s="1"/>
      <c r="AN75" s="1"/>
      <c r="AO75" s="1"/>
      <c r="AP75" s="1"/>
      <c r="AQ75" s="1"/>
      <c r="AR75" s="1"/>
      <c r="AS75" s="1"/>
      <c r="AT75" s="2"/>
      <c r="AU75" s="1"/>
      <c r="AV75" s="2">
        <v>1</v>
      </c>
      <c r="AW75" s="4"/>
      <c r="AX75" s="110"/>
      <c r="AY75" s="4"/>
      <c r="AZ75" s="1"/>
      <c r="BA75" s="1"/>
      <c r="BB75" s="1" t="s">
        <v>514</v>
      </c>
      <c r="BC75" s="4"/>
      <c r="BD75" s="1" t="s">
        <v>85</v>
      </c>
      <c r="BE75" s="4"/>
      <c r="BF75" s="2"/>
      <c r="BG75" s="4"/>
      <c r="BH75" s="1"/>
      <c r="BI75" s="1" t="s">
        <v>185</v>
      </c>
    </row>
    <row r="76" spans="1:61" ht="13.5" hidden="1" customHeight="1" x14ac:dyDescent="0.25">
      <c r="A76" s="2">
        <v>1844</v>
      </c>
      <c r="B76" s="1" t="s">
        <v>852</v>
      </c>
      <c r="C76" s="1" t="s">
        <v>47</v>
      </c>
      <c r="D76" s="1" t="s">
        <v>746</v>
      </c>
      <c r="E76" s="1" t="s">
        <v>735</v>
      </c>
      <c r="F76" s="1" t="s">
        <v>323</v>
      </c>
      <c r="G76" s="2">
        <v>40</v>
      </c>
      <c r="H76" s="103">
        <v>4</v>
      </c>
      <c r="I76" s="4"/>
      <c r="J76" s="39">
        <v>2</v>
      </c>
      <c r="K76" s="53" t="s">
        <v>250</v>
      </c>
      <c r="L76" s="66">
        <v>0</v>
      </c>
      <c r="M76" s="8" t="s">
        <v>1072</v>
      </c>
      <c r="N76" s="1" t="s">
        <v>177</v>
      </c>
      <c r="O76" s="7" t="s">
        <v>853</v>
      </c>
      <c r="P76" s="110">
        <v>46119.471284722225</v>
      </c>
      <c r="Q76" s="110">
        <v>46295.576388888891</v>
      </c>
      <c r="R76" s="110"/>
      <c r="S76" s="1" t="s">
        <v>1072</v>
      </c>
      <c r="T76" s="1" t="s">
        <v>157</v>
      </c>
      <c r="U76" s="4" t="s">
        <v>1078</v>
      </c>
      <c r="V76" s="2"/>
      <c r="W76" s="110"/>
      <c r="X76" s="1"/>
      <c r="Y76" s="1" t="s">
        <v>1072</v>
      </c>
      <c r="Z76" s="110">
        <v>46293.433344907404</v>
      </c>
      <c r="AA76" s="1"/>
      <c r="AB76" s="4"/>
      <c r="AC76" s="4"/>
      <c r="AD76" s="1"/>
      <c r="AE76" s="1" t="s">
        <v>63</v>
      </c>
      <c r="AF76" s="1"/>
      <c r="AG76" s="2"/>
      <c r="AH76" s="1"/>
      <c r="AI76" s="1"/>
      <c r="AJ76" s="1" t="s">
        <v>1072</v>
      </c>
      <c r="AK76" s="110">
        <v>46295.576388888891</v>
      </c>
      <c r="AL76" s="1"/>
      <c r="AM76" s="1"/>
      <c r="AN76" s="1"/>
      <c r="AO76" s="1"/>
      <c r="AP76" s="1"/>
      <c r="AQ76" s="1"/>
      <c r="AR76" s="1"/>
      <c r="AS76" s="1"/>
      <c r="AT76" s="2"/>
      <c r="AU76" s="1"/>
      <c r="AV76" s="2">
        <v>1</v>
      </c>
      <c r="AW76" s="4"/>
      <c r="AX76" s="110"/>
      <c r="AY76" s="4"/>
      <c r="AZ76" s="1"/>
      <c r="BA76" s="1"/>
      <c r="BB76" s="1" t="s">
        <v>514</v>
      </c>
      <c r="BC76" s="4"/>
      <c r="BD76" s="1" t="s">
        <v>85</v>
      </c>
      <c r="BE76" s="4"/>
      <c r="BF76" s="2"/>
      <c r="BG76" s="4"/>
      <c r="BH76" s="1"/>
      <c r="BI76" s="1" t="s">
        <v>191</v>
      </c>
    </row>
    <row r="77" spans="1:61" ht="13.5" hidden="1" customHeight="1" x14ac:dyDescent="0.25">
      <c r="A77" s="2">
        <v>2159</v>
      </c>
      <c r="B77" s="1" t="s">
        <v>966</v>
      </c>
      <c r="C77" s="1" t="s">
        <v>47</v>
      </c>
      <c r="D77" s="1" t="s">
        <v>746</v>
      </c>
      <c r="E77" s="1" t="s">
        <v>735</v>
      </c>
      <c r="F77" s="1" t="s">
        <v>323</v>
      </c>
      <c r="G77" s="2">
        <v>40</v>
      </c>
      <c r="H77" s="103">
        <v>4</v>
      </c>
      <c r="I77" s="4"/>
      <c r="J77" s="39">
        <v>2</v>
      </c>
      <c r="K77" s="53" t="s">
        <v>250</v>
      </c>
      <c r="L77" s="66">
        <v>0</v>
      </c>
      <c r="M77" s="8" t="s">
        <v>1030</v>
      </c>
      <c r="N77" s="1" t="s">
        <v>177</v>
      </c>
      <c r="O77" s="7" t="s">
        <v>972</v>
      </c>
      <c r="P77" s="110">
        <v>46258.483773148146</v>
      </c>
      <c r="Q77" s="110">
        <v>46303.457245370373</v>
      </c>
      <c r="R77" s="110"/>
      <c r="S77" s="1" t="s">
        <v>157</v>
      </c>
      <c r="T77" s="1" t="s">
        <v>157</v>
      </c>
      <c r="U77" s="4"/>
      <c r="V77" s="2"/>
      <c r="W77" s="110"/>
      <c r="X77" s="1"/>
      <c r="Y77" s="1" t="s">
        <v>1030</v>
      </c>
      <c r="Z77" s="110">
        <v>46293.609456018516</v>
      </c>
      <c r="AA77" s="1"/>
      <c r="AB77" s="4"/>
      <c r="AC77" s="4"/>
      <c r="AD77" s="1"/>
      <c r="AE77" s="1" t="s">
        <v>63</v>
      </c>
      <c r="AF77" s="1"/>
      <c r="AG77" s="2"/>
      <c r="AH77" s="1"/>
      <c r="AI77" s="1"/>
      <c r="AJ77" s="1" t="s">
        <v>157</v>
      </c>
      <c r="AK77" s="110">
        <v>46303.457245370373</v>
      </c>
      <c r="AL77" s="1"/>
      <c r="AM77" s="1"/>
      <c r="AN77" s="1"/>
      <c r="AO77" s="1"/>
      <c r="AP77" s="1"/>
      <c r="AQ77" s="1"/>
      <c r="AR77" s="1"/>
      <c r="AS77" s="1"/>
      <c r="AT77" s="2"/>
      <c r="AU77" s="1"/>
      <c r="AV77" s="2">
        <v>2</v>
      </c>
      <c r="AW77" s="4"/>
      <c r="AX77" s="110"/>
      <c r="AY77" s="4"/>
      <c r="AZ77" s="1"/>
      <c r="BA77" s="1"/>
      <c r="BB77" s="1" t="s">
        <v>514</v>
      </c>
      <c r="BC77" s="4"/>
      <c r="BD77" s="1" t="s">
        <v>85</v>
      </c>
      <c r="BE77" s="4"/>
      <c r="BF77" s="2"/>
      <c r="BG77" s="4"/>
      <c r="BH77" s="1"/>
      <c r="BI77" s="1" t="s">
        <v>191</v>
      </c>
    </row>
    <row r="78" spans="1:61" ht="13.5" hidden="1" customHeight="1" x14ac:dyDescent="0.25">
      <c r="A78" s="2">
        <v>2216</v>
      </c>
      <c r="B78" s="1" t="s">
        <v>1053</v>
      </c>
      <c r="C78" s="1" t="s">
        <v>47</v>
      </c>
      <c r="D78" s="1" t="s">
        <v>746</v>
      </c>
      <c r="E78" s="1" t="s">
        <v>735</v>
      </c>
      <c r="F78" s="1" t="s">
        <v>323</v>
      </c>
      <c r="G78" s="2">
        <v>39</v>
      </c>
      <c r="H78" s="103">
        <v>16</v>
      </c>
      <c r="I78" s="103"/>
      <c r="J78" s="39">
        <v>2</v>
      </c>
      <c r="K78" s="53" t="s">
        <v>250</v>
      </c>
      <c r="L78" s="66">
        <v>0</v>
      </c>
      <c r="M78" s="8" t="s">
        <v>91</v>
      </c>
      <c r="N78" s="1" t="s">
        <v>177</v>
      </c>
      <c r="O78" s="7" t="s">
        <v>1056</v>
      </c>
      <c r="P78" s="111">
        <v>46288.451192129629</v>
      </c>
      <c r="Q78" s="111">
        <v>46308.34783564815</v>
      </c>
      <c r="R78" s="111"/>
      <c r="S78" s="1" t="s">
        <v>91</v>
      </c>
      <c r="T78" s="1" t="s">
        <v>157</v>
      </c>
      <c r="U78" s="4" t="s">
        <v>1078</v>
      </c>
      <c r="V78" s="2"/>
      <c r="W78" s="111"/>
      <c r="X78" s="1"/>
      <c r="Y78" s="1" t="s">
        <v>91</v>
      </c>
      <c r="Z78" s="111">
        <v>46301.514016203706</v>
      </c>
      <c r="AA78" s="1"/>
      <c r="AB78" s="4"/>
      <c r="AC78" s="4"/>
      <c r="AD78" s="1"/>
      <c r="AE78" s="1" t="s">
        <v>63</v>
      </c>
      <c r="AF78" s="1"/>
      <c r="AG78" s="2"/>
      <c r="AH78" s="1"/>
      <c r="AI78" s="1"/>
      <c r="AJ78" s="1" t="s">
        <v>91</v>
      </c>
      <c r="AK78" s="111">
        <v>46308.34783564815</v>
      </c>
      <c r="AL78" s="1"/>
      <c r="AM78" s="1"/>
      <c r="AN78" s="1"/>
      <c r="AO78" s="1"/>
      <c r="AP78" s="1"/>
      <c r="AQ78" s="1"/>
      <c r="AR78" s="1"/>
      <c r="AS78" s="1"/>
      <c r="AT78" s="2"/>
      <c r="AU78" s="1"/>
      <c r="AV78" s="2">
        <v>3</v>
      </c>
      <c r="AW78" s="4"/>
      <c r="AX78" s="111"/>
      <c r="AY78" s="4"/>
      <c r="AZ78" s="1"/>
      <c r="BA78" s="1"/>
      <c r="BB78" s="1" t="s">
        <v>514</v>
      </c>
      <c r="BC78" s="4"/>
      <c r="BD78" s="1" t="s">
        <v>85</v>
      </c>
      <c r="BE78" s="4"/>
      <c r="BF78" s="2"/>
      <c r="BG78" s="4"/>
      <c r="BH78" s="1"/>
      <c r="BI78" s="1" t="s">
        <v>191</v>
      </c>
    </row>
    <row r="79" spans="1:61" ht="13.5" hidden="1" customHeight="1" x14ac:dyDescent="0.25">
      <c r="A79" s="2">
        <v>2227</v>
      </c>
      <c r="B79" s="1" t="s">
        <v>1076</v>
      </c>
      <c r="C79" s="1" t="s">
        <v>47</v>
      </c>
      <c r="D79" s="1" t="s">
        <v>746</v>
      </c>
      <c r="E79" s="1" t="s">
        <v>735</v>
      </c>
      <c r="F79" s="1" t="s">
        <v>323</v>
      </c>
      <c r="G79" s="2">
        <v>40</v>
      </c>
      <c r="H79" s="103">
        <v>6</v>
      </c>
      <c r="I79" s="103"/>
      <c r="J79" s="39">
        <v>2</v>
      </c>
      <c r="K79" s="53" t="s">
        <v>250</v>
      </c>
      <c r="L79" s="66">
        <v>0</v>
      </c>
      <c r="M79" s="8" t="s">
        <v>1030</v>
      </c>
      <c r="N79" s="1" t="s">
        <v>177</v>
      </c>
      <c r="O79" s="7" t="s">
        <v>1077</v>
      </c>
      <c r="P79" s="111">
        <v>46294.371180555558</v>
      </c>
      <c r="Q79" s="111">
        <v>46301.550497685188</v>
      </c>
      <c r="R79" s="111"/>
      <c r="S79" s="1" t="s">
        <v>719</v>
      </c>
      <c r="T79" s="1" t="s">
        <v>157</v>
      </c>
      <c r="U79" s="4"/>
      <c r="V79" s="2"/>
      <c r="W79" s="111"/>
      <c r="X79" s="1"/>
      <c r="Y79" s="1" t="s">
        <v>1030</v>
      </c>
      <c r="Z79" s="111">
        <v>46300.421631944446</v>
      </c>
      <c r="AA79" s="1"/>
      <c r="AB79" s="4"/>
      <c r="AC79" s="4"/>
      <c r="AD79" s="1"/>
      <c r="AE79" s="1" t="s">
        <v>63</v>
      </c>
      <c r="AF79" s="1"/>
      <c r="AG79" s="2"/>
      <c r="AH79" s="1"/>
      <c r="AI79" s="1"/>
      <c r="AJ79" s="1" t="s">
        <v>719</v>
      </c>
      <c r="AK79" s="111">
        <v>46301.550497685188</v>
      </c>
      <c r="AL79" s="1"/>
      <c r="AM79" s="1"/>
      <c r="AN79" s="1"/>
      <c r="AO79" s="1"/>
      <c r="AP79" s="1"/>
      <c r="AQ79" s="1"/>
      <c r="AR79" s="1"/>
      <c r="AS79" s="1"/>
      <c r="AT79" s="2"/>
      <c r="AU79" s="1"/>
      <c r="AV79" s="2">
        <v>0</v>
      </c>
      <c r="AW79" s="4"/>
      <c r="AX79" s="111"/>
      <c r="AY79" s="4"/>
      <c r="AZ79" s="1"/>
      <c r="BA79" s="1"/>
      <c r="BB79" s="1" t="s">
        <v>514</v>
      </c>
      <c r="BC79" s="4"/>
      <c r="BD79" s="1" t="s">
        <v>85</v>
      </c>
      <c r="BE79" s="4"/>
      <c r="BF79" s="2"/>
      <c r="BG79" s="4"/>
      <c r="BH79" s="1"/>
      <c r="BI79" s="1" t="s">
        <v>191</v>
      </c>
    </row>
    <row r="80" spans="1:61" ht="13.5" customHeight="1" x14ac:dyDescent="0.25">
      <c r="A80" s="2">
        <v>2224</v>
      </c>
      <c r="B80" s="1" t="s">
        <v>1068</v>
      </c>
      <c r="C80" s="1" t="s">
        <v>47</v>
      </c>
      <c r="D80" s="1" t="s">
        <v>746</v>
      </c>
      <c r="E80" s="1" t="s">
        <v>802</v>
      </c>
      <c r="F80" s="1" t="s">
        <v>323</v>
      </c>
      <c r="G80" s="2">
        <v>40</v>
      </c>
      <c r="H80" s="103">
        <v>4</v>
      </c>
      <c r="I80" s="103"/>
      <c r="J80" s="39">
        <v>2</v>
      </c>
      <c r="K80" s="53" t="s">
        <v>724</v>
      </c>
      <c r="L80" s="66">
        <v>0</v>
      </c>
      <c r="M80" s="8" t="s">
        <v>157</v>
      </c>
      <c r="N80" s="1" t="s">
        <v>178</v>
      </c>
      <c r="O80" s="7" t="s">
        <v>1069</v>
      </c>
      <c r="P80" s="111">
        <v>46289.410451388889</v>
      </c>
      <c r="Q80" s="111">
        <v>46301.620729166665</v>
      </c>
      <c r="R80" s="111"/>
      <c r="S80" s="1" t="s">
        <v>157</v>
      </c>
      <c r="T80" s="1" t="s">
        <v>157</v>
      </c>
      <c r="U80" s="4"/>
      <c r="V80" s="2"/>
      <c r="W80" s="111"/>
      <c r="X80" s="1"/>
      <c r="Y80" s="1"/>
      <c r="Z80" s="111"/>
      <c r="AA80" s="1"/>
      <c r="AB80" s="4"/>
      <c r="AC80" s="4"/>
      <c r="AD80" s="1"/>
      <c r="AE80" s="1" t="s">
        <v>63</v>
      </c>
      <c r="AF80" s="1"/>
      <c r="AG80" s="2"/>
      <c r="AH80" s="1"/>
      <c r="AI80" s="1"/>
      <c r="AJ80" s="1" t="s">
        <v>157</v>
      </c>
      <c r="AK80" s="111">
        <v>46301.620729166665</v>
      </c>
      <c r="AL80" s="1"/>
      <c r="AM80" s="1"/>
      <c r="AN80" s="1"/>
      <c r="AO80" s="1"/>
      <c r="AP80" s="1"/>
      <c r="AQ80" s="1"/>
      <c r="AR80" s="1"/>
      <c r="AS80" s="1"/>
      <c r="AT80" s="2"/>
      <c r="AU80" s="1"/>
      <c r="AV80" s="2">
        <v>0</v>
      </c>
      <c r="AW80" s="4"/>
      <c r="AX80" s="111"/>
      <c r="AY80" s="4"/>
      <c r="AZ80" s="1"/>
      <c r="BA80" s="1"/>
      <c r="BB80" s="1" t="s">
        <v>514</v>
      </c>
      <c r="BC80" s="4"/>
      <c r="BD80" s="1" t="s">
        <v>85</v>
      </c>
      <c r="BE80" s="4"/>
      <c r="BF80" s="2"/>
      <c r="BG80" s="4"/>
      <c r="BH80" s="1"/>
      <c r="BI80" s="1" t="s">
        <v>185</v>
      </c>
    </row>
    <row r="81" spans="1:61" ht="13.5" hidden="1" customHeight="1" x14ac:dyDescent="0.25">
      <c r="A81" s="2">
        <v>2094</v>
      </c>
      <c r="B81" s="1" t="s">
        <v>931</v>
      </c>
      <c r="C81" s="1" t="s">
        <v>47</v>
      </c>
      <c r="D81" s="1" t="s">
        <v>746</v>
      </c>
      <c r="E81" s="1" t="s">
        <v>802</v>
      </c>
      <c r="F81" s="1" t="s">
        <v>323</v>
      </c>
      <c r="G81" s="2">
        <v>42</v>
      </c>
      <c r="H81" s="103">
        <v>8</v>
      </c>
      <c r="I81" s="4"/>
      <c r="J81" s="39">
        <v>3</v>
      </c>
      <c r="K81" s="53" t="s">
        <v>245</v>
      </c>
      <c r="L81" s="66">
        <v>0</v>
      </c>
      <c r="M81" s="8" t="s">
        <v>157</v>
      </c>
      <c r="N81" s="1" t="s">
        <v>178</v>
      </c>
      <c r="O81" s="7" t="s">
        <v>932</v>
      </c>
      <c r="P81" s="111">
        <v>46231.616053240738</v>
      </c>
      <c r="Q81" s="111">
        <v>46301.33488425926</v>
      </c>
      <c r="R81" s="111"/>
      <c r="S81" s="1" t="s">
        <v>380</v>
      </c>
      <c r="T81" s="1" t="s">
        <v>157</v>
      </c>
      <c r="U81" s="4"/>
      <c r="V81" s="2"/>
      <c r="W81" s="111"/>
      <c r="X81" s="1"/>
      <c r="Y81" s="1"/>
      <c r="Z81" s="111"/>
      <c r="AA81" s="1"/>
      <c r="AB81" s="4"/>
      <c r="AC81" s="4"/>
      <c r="AD81" s="1"/>
      <c r="AE81" s="1" t="s">
        <v>63</v>
      </c>
      <c r="AF81" s="1"/>
      <c r="AG81" s="2"/>
      <c r="AH81" s="1"/>
      <c r="AI81" s="1"/>
      <c r="AJ81" s="1" t="s">
        <v>380</v>
      </c>
      <c r="AK81" s="111">
        <v>46301.33488425926</v>
      </c>
      <c r="AL81" s="1"/>
      <c r="AM81" s="1"/>
      <c r="AN81" s="1"/>
      <c r="AO81" s="1"/>
      <c r="AP81" s="1"/>
      <c r="AQ81" s="1"/>
      <c r="AR81" s="1"/>
      <c r="AS81" s="1"/>
      <c r="AT81" s="2"/>
      <c r="AU81" s="1"/>
      <c r="AV81" s="2">
        <v>1</v>
      </c>
      <c r="AW81" s="4"/>
      <c r="AX81" s="111"/>
      <c r="AY81" s="4"/>
      <c r="AZ81" s="1"/>
      <c r="BA81" s="1"/>
      <c r="BB81" s="1" t="s">
        <v>514</v>
      </c>
      <c r="BC81" s="4"/>
      <c r="BD81" s="1" t="s">
        <v>85</v>
      </c>
      <c r="BE81" s="4"/>
      <c r="BF81" s="2"/>
      <c r="BG81" s="4"/>
      <c r="BH81" s="1"/>
      <c r="BI81" s="1" t="s">
        <v>185</v>
      </c>
    </row>
    <row r="82" spans="1:61" ht="13.5" hidden="1" customHeight="1" x14ac:dyDescent="0.25">
      <c r="A82" s="2">
        <v>2061</v>
      </c>
      <c r="B82" s="1" t="s">
        <v>904</v>
      </c>
      <c r="C82" s="1" t="s">
        <v>47</v>
      </c>
      <c r="D82" s="1" t="s">
        <v>746</v>
      </c>
      <c r="E82" s="1" t="s">
        <v>735</v>
      </c>
      <c r="F82" s="1" t="s">
        <v>476</v>
      </c>
      <c r="G82" s="2">
        <v>39</v>
      </c>
      <c r="H82" s="103">
        <v>8</v>
      </c>
      <c r="I82" s="4"/>
      <c r="J82" s="39">
        <v>4</v>
      </c>
      <c r="K82" s="53" t="s">
        <v>250</v>
      </c>
      <c r="L82" s="66">
        <v>1</v>
      </c>
      <c r="M82" s="8" t="s">
        <v>1030</v>
      </c>
      <c r="N82" s="1" t="s">
        <v>177</v>
      </c>
      <c r="O82" s="7" t="s">
        <v>908</v>
      </c>
      <c r="P82" s="111">
        <v>46203.372314814813</v>
      </c>
      <c r="Q82" s="111">
        <v>46308.373206018521</v>
      </c>
      <c r="R82" s="111"/>
      <c r="S82" s="1" t="s">
        <v>81</v>
      </c>
      <c r="T82" s="1" t="s">
        <v>81</v>
      </c>
      <c r="U82" s="4"/>
      <c r="V82" s="2"/>
      <c r="W82" s="111"/>
      <c r="X82" s="1"/>
      <c r="Y82" s="1" t="s">
        <v>157</v>
      </c>
      <c r="Z82" s="111">
        <v>46290.454722222225</v>
      </c>
      <c r="AA82" s="1"/>
      <c r="AB82" s="4"/>
      <c r="AC82" s="4"/>
      <c r="AD82" s="1"/>
      <c r="AE82" s="1" t="s">
        <v>63</v>
      </c>
      <c r="AF82" s="1"/>
      <c r="AG82" s="2"/>
      <c r="AH82" s="1"/>
      <c r="AI82" s="1"/>
      <c r="AJ82" s="1" t="s">
        <v>81</v>
      </c>
      <c r="AK82" s="111">
        <v>46308.373206018521</v>
      </c>
      <c r="AL82" s="1"/>
      <c r="AM82" s="1"/>
      <c r="AN82" s="1"/>
      <c r="AO82" s="1"/>
      <c r="AP82" s="1"/>
      <c r="AQ82" s="1"/>
      <c r="AR82" s="1"/>
      <c r="AS82" s="1"/>
      <c r="AT82" s="2"/>
      <c r="AU82" s="1"/>
      <c r="AV82" s="2">
        <v>1</v>
      </c>
      <c r="AW82" s="4"/>
      <c r="AX82" s="111"/>
      <c r="AY82" s="4"/>
      <c r="AZ82" s="1"/>
      <c r="BA82" s="1"/>
      <c r="BB82" s="1" t="s">
        <v>514</v>
      </c>
      <c r="BC82" s="4"/>
      <c r="BD82" s="1" t="s">
        <v>85</v>
      </c>
      <c r="BE82" s="4"/>
      <c r="BF82" s="2"/>
      <c r="BG82" s="4"/>
      <c r="BH82" s="1"/>
      <c r="BI82" s="1" t="s">
        <v>191</v>
      </c>
    </row>
    <row r="83" spans="1:61" ht="13.5" customHeight="1" x14ac:dyDescent="0.25">
      <c r="A83" s="2">
        <v>1661</v>
      </c>
      <c r="B83" s="1" t="s">
        <v>720</v>
      </c>
      <c r="C83" s="1" t="s">
        <v>47</v>
      </c>
      <c r="D83" s="1" t="s">
        <v>321</v>
      </c>
      <c r="E83" s="1" t="s">
        <v>735</v>
      </c>
      <c r="F83" s="1" t="s">
        <v>323</v>
      </c>
      <c r="G83" s="2"/>
      <c r="H83" s="103">
        <v>60</v>
      </c>
      <c r="I83" s="4"/>
      <c r="J83" s="39">
        <v>2</v>
      </c>
      <c r="K83" s="53" t="s">
        <v>245</v>
      </c>
      <c r="L83" s="66">
        <v>0</v>
      </c>
      <c r="M83" s="8"/>
      <c r="N83" s="1" t="s">
        <v>178</v>
      </c>
      <c r="O83" s="7" t="s">
        <v>721</v>
      </c>
      <c r="P83" s="111">
        <v>46050.389664351853</v>
      </c>
      <c r="Q83" s="111">
        <v>46266.668182870373</v>
      </c>
      <c r="R83" s="111"/>
      <c r="S83" s="1" t="s">
        <v>81</v>
      </c>
      <c r="T83" s="1" t="s">
        <v>719</v>
      </c>
      <c r="U83" s="4" t="s">
        <v>759</v>
      </c>
      <c r="V83" s="2"/>
      <c r="W83" s="111"/>
      <c r="X83" s="1"/>
      <c r="Y83" s="1"/>
      <c r="Z83" s="111"/>
      <c r="AA83" s="1"/>
      <c r="AB83" s="4"/>
      <c r="AC83" s="4"/>
      <c r="AD83" s="1"/>
      <c r="AE83" s="1" t="s">
        <v>63</v>
      </c>
      <c r="AF83" s="1"/>
      <c r="AG83" s="2"/>
      <c r="AH83" s="1"/>
      <c r="AI83" s="1"/>
      <c r="AJ83" s="1" t="s">
        <v>81</v>
      </c>
      <c r="AK83" s="111">
        <v>46266.668182870373</v>
      </c>
      <c r="AL83" s="1"/>
      <c r="AM83" s="1"/>
      <c r="AN83" s="1"/>
      <c r="AO83" s="1"/>
      <c r="AP83" s="1"/>
      <c r="AQ83" s="1"/>
      <c r="AR83" s="1"/>
      <c r="AS83" s="1"/>
      <c r="AT83" s="2"/>
      <c r="AU83" s="1"/>
      <c r="AV83" s="2">
        <v>0</v>
      </c>
      <c r="AW83" s="4"/>
      <c r="AX83" s="111"/>
      <c r="AY83" s="4"/>
      <c r="AZ83" s="1"/>
      <c r="BA83" s="1"/>
      <c r="BB83" s="1" t="s">
        <v>514</v>
      </c>
      <c r="BC83" s="4"/>
      <c r="BD83" s="1" t="s">
        <v>85</v>
      </c>
      <c r="BE83" s="4"/>
      <c r="BF83" s="2"/>
      <c r="BG83" s="4"/>
      <c r="BH83" s="1"/>
      <c r="BI83" s="1" t="s">
        <v>185</v>
      </c>
    </row>
    <row r="84" spans="1:61" ht="13.5" hidden="1" customHeight="1" x14ac:dyDescent="0.25">
      <c r="A84" s="2">
        <v>1280</v>
      </c>
      <c r="B84" s="1" t="s">
        <v>779</v>
      </c>
      <c r="C84" s="1" t="s">
        <v>47</v>
      </c>
      <c r="D84" s="1" t="s">
        <v>321</v>
      </c>
      <c r="E84" s="1" t="s">
        <v>740</v>
      </c>
      <c r="F84" s="1" t="s">
        <v>323</v>
      </c>
      <c r="G84" s="2"/>
      <c r="H84" s="103">
        <v>300</v>
      </c>
      <c r="I84" s="103">
        <v>300</v>
      </c>
      <c r="J84" s="39">
        <v>3</v>
      </c>
      <c r="K84" s="53" t="s">
        <v>1000</v>
      </c>
      <c r="L84" s="66">
        <v>0</v>
      </c>
      <c r="M84" s="8"/>
      <c r="N84" s="1" t="s">
        <v>178</v>
      </c>
      <c r="O84" s="7"/>
      <c r="P84" s="111">
        <v>45874.499618055554</v>
      </c>
      <c r="Q84" s="111">
        <v>46276.397418981483</v>
      </c>
      <c r="R84" s="111"/>
      <c r="S84" s="1" t="s">
        <v>157</v>
      </c>
      <c r="T84" s="1" t="s">
        <v>147</v>
      </c>
      <c r="U84" s="4" t="s">
        <v>780</v>
      </c>
      <c r="V84" s="2"/>
      <c r="W84" s="111"/>
      <c r="X84" s="1"/>
      <c r="Y84" s="1"/>
      <c r="Z84" s="111"/>
      <c r="AA84" s="1"/>
      <c r="AB84" s="4"/>
      <c r="AC84" s="4"/>
      <c r="AD84" s="1"/>
      <c r="AE84" s="1" t="s">
        <v>63</v>
      </c>
      <c r="AF84" s="1"/>
      <c r="AG84" s="2"/>
      <c r="AH84" s="1"/>
      <c r="AI84" s="1"/>
      <c r="AJ84" s="1" t="s">
        <v>157</v>
      </c>
      <c r="AK84" s="111">
        <v>46276.397418981483</v>
      </c>
      <c r="AL84" s="1"/>
      <c r="AM84" s="1"/>
      <c r="AN84" s="1"/>
      <c r="AO84" s="1"/>
      <c r="AP84" s="1"/>
      <c r="AQ84" s="1"/>
      <c r="AR84" s="1"/>
      <c r="AS84" s="1"/>
      <c r="AT84" s="2"/>
      <c r="AU84" s="1"/>
      <c r="AV84" s="2">
        <v>1</v>
      </c>
      <c r="AW84" s="4"/>
      <c r="AX84" s="111"/>
      <c r="AY84" s="4"/>
      <c r="AZ84" s="1"/>
      <c r="BA84" s="1"/>
      <c r="BB84" s="1" t="s">
        <v>61</v>
      </c>
      <c r="BC84" s="4"/>
      <c r="BD84" s="1" t="s">
        <v>85</v>
      </c>
      <c r="BE84" s="4"/>
      <c r="BF84" s="2">
        <v>1711</v>
      </c>
      <c r="BG84" s="4"/>
      <c r="BH84" s="1"/>
      <c r="BI84" s="1" t="s">
        <v>188</v>
      </c>
    </row>
    <row r="85" spans="1:61" ht="13.5" hidden="1" customHeight="1" x14ac:dyDescent="0.25">
      <c r="A85" s="2">
        <v>1614</v>
      </c>
      <c r="B85" s="1" t="s">
        <v>712</v>
      </c>
      <c r="C85" s="1" t="s">
        <v>47</v>
      </c>
      <c r="D85" s="1" t="s">
        <v>747</v>
      </c>
      <c r="E85" s="1" t="s">
        <v>736</v>
      </c>
      <c r="F85" s="1" t="s">
        <v>323</v>
      </c>
      <c r="G85" s="2"/>
      <c r="H85" s="103">
        <v>20</v>
      </c>
      <c r="I85" s="103"/>
      <c r="J85" s="39">
        <v>1</v>
      </c>
      <c r="K85" s="53" t="s">
        <v>1000</v>
      </c>
      <c r="L85" s="66">
        <v>0</v>
      </c>
      <c r="M85" s="8" t="s">
        <v>810</v>
      </c>
      <c r="N85" s="1" t="s">
        <v>178</v>
      </c>
      <c r="O85" s="7" t="s">
        <v>713</v>
      </c>
      <c r="P85" s="111">
        <v>46027.453009259261</v>
      </c>
      <c r="Q85" s="111">
        <v>46276.39130787037</v>
      </c>
      <c r="R85" s="111"/>
      <c r="S85" s="1" t="s">
        <v>157</v>
      </c>
      <c r="T85" s="1" t="s">
        <v>81</v>
      </c>
      <c r="U85" s="4" t="s">
        <v>818</v>
      </c>
      <c r="V85" s="2"/>
      <c r="W85" s="111"/>
      <c r="X85" s="1"/>
      <c r="Y85" s="1"/>
      <c r="Z85" s="111"/>
      <c r="AA85" s="1"/>
      <c r="AB85" s="4"/>
      <c r="AC85" s="4"/>
      <c r="AD85" s="1"/>
      <c r="AE85" s="1" t="s">
        <v>63</v>
      </c>
      <c r="AF85" s="1"/>
      <c r="AG85" s="2"/>
      <c r="AH85" s="1"/>
      <c r="AI85" s="1"/>
      <c r="AJ85" s="1" t="s">
        <v>157</v>
      </c>
      <c r="AK85" s="111">
        <v>46276.39130787037</v>
      </c>
      <c r="AL85" s="1"/>
      <c r="AM85" s="1"/>
      <c r="AN85" s="1"/>
      <c r="AO85" s="1"/>
      <c r="AP85" s="1"/>
      <c r="AQ85" s="1"/>
      <c r="AR85" s="1"/>
      <c r="AS85" s="1"/>
      <c r="AT85" s="2"/>
      <c r="AU85" s="1"/>
      <c r="AV85" s="2">
        <v>2</v>
      </c>
      <c r="AW85" s="4"/>
      <c r="AX85" s="111"/>
      <c r="AY85" s="4"/>
      <c r="AZ85" s="1"/>
      <c r="BA85" s="1"/>
      <c r="BB85" s="1" t="s">
        <v>514</v>
      </c>
      <c r="BC85" s="4"/>
      <c r="BD85" s="1" t="s">
        <v>85</v>
      </c>
      <c r="BE85" s="4"/>
      <c r="BF85" s="2"/>
      <c r="BG85" s="4"/>
      <c r="BH85" s="1"/>
      <c r="BI85" s="1" t="s">
        <v>188</v>
      </c>
    </row>
    <row r="86" spans="1:61" ht="13.5" hidden="1" customHeight="1" x14ac:dyDescent="0.25">
      <c r="A86" s="2">
        <v>1778</v>
      </c>
      <c r="B86" s="1" t="s">
        <v>854</v>
      </c>
      <c r="C86" s="1" t="s">
        <v>47</v>
      </c>
      <c r="D86" s="1" t="s">
        <v>747</v>
      </c>
      <c r="E86" s="1" t="s">
        <v>734</v>
      </c>
      <c r="F86" s="1" t="s">
        <v>742</v>
      </c>
      <c r="G86" s="2">
        <v>37</v>
      </c>
      <c r="H86" s="103">
        <v>8</v>
      </c>
      <c r="I86" s="103"/>
      <c r="J86" s="39">
        <v>1</v>
      </c>
      <c r="K86" s="53" t="s">
        <v>250</v>
      </c>
      <c r="L86" s="66">
        <v>0</v>
      </c>
      <c r="M86" s="8" t="s">
        <v>810</v>
      </c>
      <c r="N86" s="1" t="s">
        <v>177</v>
      </c>
      <c r="O86" s="7" t="s">
        <v>887</v>
      </c>
      <c r="P86" s="111">
        <v>46092.37940972222</v>
      </c>
      <c r="Q86" s="111">
        <v>46283.699699074074</v>
      </c>
      <c r="R86" s="111"/>
      <c r="S86" s="1" t="s">
        <v>380</v>
      </c>
      <c r="T86" s="1" t="s">
        <v>81</v>
      </c>
      <c r="U86" s="4" t="s">
        <v>855</v>
      </c>
      <c r="V86" s="2"/>
      <c r="W86" s="111"/>
      <c r="X86" s="1"/>
      <c r="Y86" s="1" t="s">
        <v>810</v>
      </c>
      <c r="Z86" s="111">
        <v>46255.576817129629</v>
      </c>
      <c r="AA86" s="1"/>
      <c r="AB86" s="4"/>
      <c r="AC86" s="4"/>
      <c r="AD86" s="1"/>
      <c r="AE86" s="1" t="s">
        <v>63</v>
      </c>
      <c r="AF86" s="1"/>
      <c r="AG86" s="2"/>
      <c r="AH86" s="1"/>
      <c r="AI86" s="1"/>
      <c r="AJ86" s="1" t="s">
        <v>380</v>
      </c>
      <c r="AK86" s="111">
        <v>46283.699699074074</v>
      </c>
      <c r="AL86" s="1"/>
      <c r="AM86" s="1"/>
      <c r="AN86" s="1"/>
      <c r="AO86" s="1"/>
      <c r="AP86" s="1"/>
      <c r="AQ86" s="1"/>
      <c r="AR86" s="1"/>
      <c r="AS86" s="1"/>
      <c r="AT86" s="2"/>
      <c r="AU86" s="1"/>
      <c r="AV86" s="2">
        <v>2</v>
      </c>
      <c r="AW86" s="4"/>
      <c r="AX86" s="111"/>
      <c r="AY86" s="4"/>
      <c r="AZ86" s="1"/>
      <c r="BA86" s="1"/>
      <c r="BB86" s="1" t="s">
        <v>514</v>
      </c>
      <c r="BC86" s="4"/>
      <c r="BD86" s="1" t="s">
        <v>85</v>
      </c>
      <c r="BE86" s="4"/>
      <c r="BF86" s="2"/>
      <c r="BG86" s="4"/>
      <c r="BH86" s="1"/>
      <c r="BI86" s="1" t="s">
        <v>191</v>
      </c>
    </row>
    <row r="87" spans="1:61" ht="13.5" hidden="1" customHeight="1" x14ac:dyDescent="0.25">
      <c r="A87" s="2">
        <v>1584</v>
      </c>
      <c r="B87" s="1" t="s">
        <v>816</v>
      </c>
      <c r="C87" s="1" t="s">
        <v>47</v>
      </c>
      <c r="D87" s="1" t="s">
        <v>747</v>
      </c>
      <c r="E87" s="1" t="s">
        <v>739</v>
      </c>
      <c r="F87" s="1" t="s">
        <v>323</v>
      </c>
      <c r="G87" s="2"/>
      <c r="H87" s="103">
        <v>30</v>
      </c>
      <c r="I87" s="103"/>
      <c r="J87" s="39">
        <v>3</v>
      </c>
      <c r="K87" s="53" t="s">
        <v>1000</v>
      </c>
      <c r="L87" s="66">
        <v>0</v>
      </c>
      <c r="M87" s="8" t="s">
        <v>810</v>
      </c>
      <c r="N87" s="1" t="s">
        <v>178</v>
      </c>
      <c r="O87" s="7" t="s">
        <v>892</v>
      </c>
      <c r="P87" s="111">
        <v>46008.413634259261</v>
      </c>
      <c r="Q87" s="111">
        <v>46276.392650462964</v>
      </c>
      <c r="R87" s="111"/>
      <c r="S87" s="1" t="s">
        <v>157</v>
      </c>
      <c r="T87" s="1" t="s">
        <v>81</v>
      </c>
      <c r="U87" s="4" t="s">
        <v>817</v>
      </c>
      <c r="V87" s="2"/>
      <c r="W87" s="111"/>
      <c r="X87" s="1"/>
      <c r="Y87" s="1"/>
      <c r="Z87" s="111"/>
      <c r="AA87" s="1"/>
      <c r="AB87" s="4"/>
      <c r="AC87" s="4"/>
      <c r="AD87" s="1"/>
      <c r="AE87" s="1" t="s">
        <v>63</v>
      </c>
      <c r="AF87" s="1"/>
      <c r="AG87" s="2"/>
      <c r="AH87" s="1"/>
      <c r="AI87" s="1"/>
      <c r="AJ87" s="1" t="s">
        <v>157</v>
      </c>
      <c r="AK87" s="111">
        <v>46276.392650462964</v>
      </c>
      <c r="AL87" s="1"/>
      <c r="AM87" s="1"/>
      <c r="AN87" s="1"/>
      <c r="AO87" s="1"/>
      <c r="AP87" s="1"/>
      <c r="AQ87" s="1"/>
      <c r="AR87" s="1"/>
      <c r="AS87" s="1"/>
      <c r="AT87" s="2"/>
      <c r="AU87" s="1"/>
      <c r="AV87" s="2">
        <v>1</v>
      </c>
      <c r="AW87" s="4"/>
      <c r="AX87" s="111"/>
      <c r="AY87" s="4"/>
      <c r="AZ87" s="1"/>
      <c r="BA87" s="1"/>
      <c r="BB87" s="1" t="s">
        <v>514</v>
      </c>
      <c r="BC87" s="4"/>
      <c r="BD87" s="1" t="s">
        <v>85</v>
      </c>
      <c r="BE87" s="4"/>
      <c r="BF87" s="2"/>
      <c r="BG87" s="4"/>
      <c r="BH87" s="1"/>
      <c r="BI87" s="1" t="s">
        <v>188</v>
      </c>
    </row>
    <row r="88" spans="1:61" ht="13.5" hidden="1" customHeight="1" x14ac:dyDescent="0.25">
      <c r="A88" s="2">
        <v>2044</v>
      </c>
      <c r="B88" s="1" t="s">
        <v>893</v>
      </c>
      <c r="C88" s="1" t="s">
        <v>47</v>
      </c>
      <c r="D88" s="1" t="s">
        <v>747</v>
      </c>
      <c r="E88" s="1" t="s">
        <v>736</v>
      </c>
      <c r="F88" s="1" t="s">
        <v>323</v>
      </c>
      <c r="G88" s="2"/>
      <c r="H88" s="103">
        <v>8</v>
      </c>
      <c r="I88" s="103"/>
      <c r="J88" s="39">
        <v>3</v>
      </c>
      <c r="K88" s="53" t="s">
        <v>1000</v>
      </c>
      <c r="L88" s="66">
        <v>0</v>
      </c>
      <c r="M88" s="8"/>
      <c r="N88" s="1" t="s">
        <v>178</v>
      </c>
      <c r="O88" s="7" t="s">
        <v>898</v>
      </c>
      <c r="P88" s="111">
        <v>46198.404999999999</v>
      </c>
      <c r="Q88" s="111">
        <v>46276.387245370373</v>
      </c>
      <c r="R88" s="111"/>
      <c r="S88" s="1" t="s">
        <v>157</v>
      </c>
      <c r="T88" s="1" t="s">
        <v>719</v>
      </c>
      <c r="U88" s="4"/>
      <c r="V88" s="2"/>
      <c r="W88" s="111"/>
      <c r="X88" s="1"/>
      <c r="Y88" s="1"/>
      <c r="Z88" s="111"/>
      <c r="AA88" s="1"/>
      <c r="AB88" s="4"/>
      <c r="AC88" s="4"/>
      <c r="AD88" s="1"/>
      <c r="AE88" s="1" t="s">
        <v>63</v>
      </c>
      <c r="AF88" s="1"/>
      <c r="AG88" s="2"/>
      <c r="AH88" s="1"/>
      <c r="AI88" s="1"/>
      <c r="AJ88" s="1" t="s">
        <v>157</v>
      </c>
      <c r="AK88" s="111">
        <v>46276.387245370373</v>
      </c>
      <c r="AL88" s="1"/>
      <c r="AM88" s="1"/>
      <c r="AN88" s="1"/>
      <c r="AO88" s="1"/>
      <c r="AP88" s="1"/>
      <c r="AQ88" s="1"/>
      <c r="AR88" s="1"/>
      <c r="AS88" s="1"/>
      <c r="AT88" s="2"/>
      <c r="AU88" s="1"/>
      <c r="AV88" s="2">
        <v>0</v>
      </c>
      <c r="AW88" s="4"/>
      <c r="AX88" s="111"/>
      <c r="AY88" s="4"/>
      <c r="AZ88" s="1"/>
      <c r="BA88" s="1"/>
      <c r="BB88" s="1" t="s">
        <v>514</v>
      </c>
      <c r="BC88" s="4"/>
      <c r="BD88" s="1" t="s">
        <v>85</v>
      </c>
      <c r="BE88" s="4"/>
      <c r="BF88" s="2"/>
      <c r="BG88" s="4"/>
      <c r="BH88" s="1"/>
      <c r="BI88" s="1" t="s">
        <v>185</v>
      </c>
    </row>
    <row r="89" spans="1:61" ht="13.5" hidden="1" customHeight="1" x14ac:dyDescent="0.25">
      <c r="A89" s="2">
        <v>2110</v>
      </c>
      <c r="B89" s="1" t="s">
        <v>939</v>
      </c>
      <c r="C89" s="1" t="s">
        <v>47</v>
      </c>
      <c r="D89" s="1" t="s">
        <v>320</v>
      </c>
      <c r="E89" s="1" t="s">
        <v>734</v>
      </c>
      <c r="F89" s="1" t="s">
        <v>323</v>
      </c>
      <c r="G89" s="2">
        <v>37</v>
      </c>
      <c r="H89" s="103">
        <v>40</v>
      </c>
      <c r="I89" s="103"/>
      <c r="J89" s="39">
        <v>1</v>
      </c>
      <c r="K89" s="53" t="s">
        <v>250</v>
      </c>
      <c r="L89" s="66">
        <v>0</v>
      </c>
      <c r="M89" s="8" t="s">
        <v>81</v>
      </c>
      <c r="N89" s="1" t="s">
        <v>177</v>
      </c>
      <c r="O89" s="7"/>
      <c r="P89" s="111">
        <v>46238.400266203702</v>
      </c>
      <c r="Q89" s="111">
        <v>46301.367638888885</v>
      </c>
      <c r="R89" s="111"/>
      <c r="S89" s="1" t="s">
        <v>380</v>
      </c>
      <c r="T89" s="1" t="s">
        <v>719</v>
      </c>
      <c r="U89" s="4"/>
      <c r="V89" s="2"/>
      <c r="W89" s="111"/>
      <c r="X89" s="1"/>
      <c r="Y89" s="1" t="s">
        <v>81</v>
      </c>
      <c r="Z89" s="111">
        <v>46255.470335648148</v>
      </c>
      <c r="AA89" s="1"/>
      <c r="AB89" s="4"/>
      <c r="AC89" s="4"/>
      <c r="AD89" s="1"/>
      <c r="AE89" s="1" t="s">
        <v>63</v>
      </c>
      <c r="AF89" s="1"/>
      <c r="AG89" s="2"/>
      <c r="AH89" s="1"/>
      <c r="AI89" s="1"/>
      <c r="AJ89" s="1" t="s">
        <v>380</v>
      </c>
      <c r="AK89" s="111">
        <v>46301.367638888885</v>
      </c>
      <c r="AL89" s="1"/>
      <c r="AM89" s="1"/>
      <c r="AN89" s="1"/>
      <c r="AO89" s="1"/>
      <c r="AP89" s="1"/>
      <c r="AQ89" s="1"/>
      <c r="AR89" s="1"/>
      <c r="AS89" s="1"/>
      <c r="AT89" s="2"/>
      <c r="AU89" s="1"/>
      <c r="AV89" s="2">
        <v>0</v>
      </c>
      <c r="AW89" s="4"/>
      <c r="AX89" s="111"/>
      <c r="AY89" s="4"/>
      <c r="AZ89" s="1"/>
      <c r="BA89" s="1"/>
      <c r="BB89" s="1" t="s">
        <v>514</v>
      </c>
      <c r="BC89" s="4"/>
      <c r="BD89" s="1" t="s">
        <v>85</v>
      </c>
      <c r="BE89" s="4"/>
      <c r="BF89" s="2">
        <v>2107</v>
      </c>
      <c r="BG89" s="4"/>
      <c r="BH89" s="1"/>
      <c r="BI89" s="1" t="s">
        <v>191</v>
      </c>
    </row>
    <row r="90" spans="1:61" ht="13.5" hidden="1" customHeight="1" x14ac:dyDescent="0.25">
      <c r="A90" s="2">
        <v>1818</v>
      </c>
      <c r="B90" s="1" t="s">
        <v>856</v>
      </c>
      <c r="C90" s="1" t="s">
        <v>47</v>
      </c>
      <c r="D90" s="1" t="s">
        <v>320</v>
      </c>
      <c r="E90" s="1" t="s">
        <v>734</v>
      </c>
      <c r="F90" s="1" t="s">
        <v>323</v>
      </c>
      <c r="G90" s="2">
        <v>37</v>
      </c>
      <c r="H90" s="103">
        <v>8</v>
      </c>
      <c r="I90" s="103"/>
      <c r="J90" s="39">
        <v>1</v>
      </c>
      <c r="K90" s="53" t="s">
        <v>250</v>
      </c>
      <c r="L90" s="66">
        <v>1</v>
      </c>
      <c r="M90" s="8" t="s">
        <v>811</v>
      </c>
      <c r="N90" s="1" t="s">
        <v>177</v>
      </c>
      <c r="O90" s="7" t="s">
        <v>888</v>
      </c>
      <c r="P90" s="111">
        <v>46107.580185185187</v>
      </c>
      <c r="Q90" s="111">
        <v>46295.608298611114</v>
      </c>
      <c r="R90" s="111"/>
      <c r="S90" s="1" t="s">
        <v>719</v>
      </c>
      <c r="T90" s="1" t="s">
        <v>81</v>
      </c>
      <c r="U90" s="4" t="s">
        <v>1085</v>
      </c>
      <c r="V90" s="2"/>
      <c r="W90" s="111"/>
      <c r="X90" s="1"/>
      <c r="Y90" s="1" t="s">
        <v>811</v>
      </c>
      <c r="Z90" s="111">
        <v>46258.453067129631</v>
      </c>
      <c r="AA90" s="1"/>
      <c r="AB90" s="4"/>
      <c r="AC90" s="4"/>
      <c r="AD90" s="1"/>
      <c r="AE90" s="1" t="s">
        <v>63</v>
      </c>
      <c r="AF90" s="1"/>
      <c r="AG90" s="2"/>
      <c r="AH90" s="1"/>
      <c r="AI90" s="1"/>
      <c r="AJ90" s="1" t="s">
        <v>719</v>
      </c>
      <c r="AK90" s="111">
        <v>46295.608298611114</v>
      </c>
      <c r="AL90" s="1"/>
      <c r="AM90" s="1"/>
      <c r="AN90" s="1"/>
      <c r="AO90" s="1"/>
      <c r="AP90" s="1"/>
      <c r="AQ90" s="1"/>
      <c r="AR90" s="1"/>
      <c r="AS90" s="1"/>
      <c r="AT90" s="2"/>
      <c r="AU90" s="1"/>
      <c r="AV90" s="2">
        <v>9</v>
      </c>
      <c r="AW90" s="4"/>
      <c r="AX90" s="111"/>
      <c r="AY90" s="4"/>
      <c r="AZ90" s="1"/>
      <c r="BA90" s="1"/>
      <c r="BB90" s="1" t="s">
        <v>514</v>
      </c>
      <c r="BC90" s="4"/>
      <c r="BD90" s="1" t="s">
        <v>85</v>
      </c>
      <c r="BE90" s="4"/>
      <c r="BF90" s="2"/>
      <c r="BG90" s="4"/>
      <c r="BH90" s="1"/>
      <c r="BI90" s="1" t="s">
        <v>191</v>
      </c>
    </row>
    <row r="91" spans="1:61" ht="13.5" hidden="1" customHeight="1" x14ac:dyDescent="0.25">
      <c r="A91" s="2">
        <v>2116</v>
      </c>
      <c r="B91" s="1" t="s">
        <v>952</v>
      </c>
      <c r="C91" s="1" t="s">
        <v>47</v>
      </c>
      <c r="D91" s="1" t="s">
        <v>320</v>
      </c>
      <c r="E91" s="1" t="s">
        <v>734</v>
      </c>
      <c r="F91" s="1" t="s">
        <v>323</v>
      </c>
      <c r="G91" s="2">
        <v>39</v>
      </c>
      <c r="H91" s="103">
        <v>4</v>
      </c>
      <c r="I91" s="4"/>
      <c r="J91" s="39">
        <v>1</v>
      </c>
      <c r="K91" s="53" t="s">
        <v>250</v>
      </c>
      <c r="L91" s="66">
        <v>0</v>
      </c>
      <c r="M91" s="8" t="s">
        <v>1030</v>
      </c>
      <c r="N91" s="1" t="s">
        <v>177</v>
      </c>
      <c r="O91" s="7" t="s">
        <v>968</v>
      </c>
      <c r="P91" s="111">
        <v>46238.682233796295</v>
      </c>
      <c r="Q91" s="111">
        <v>46293.372569444444</v>
      </c>
      <c r="R91" s="111"/>
      <c r="S91" s="1" t="s">
        <v>719</v>
      </c>
      <c r="T91" s="1" t="s">
        <v>157</v>
      </c>
      <c r="U91" s="4"/>
      <c r="V91" s="2"/>
      <c r="W91" s="111"/>
      <c r="X91" s="1"/>
      <c r="Y91" s="1" t="s">
        <v>1030</v>
      </c>
      <c r="Z91" s="111">
        <v>46289.415324074071</v>
      </c>
      <c r="AA91" s="1"/>
      <c r="AB91" s="4"/>
      <c r="AC91" s="4"/>
      <c r="AD91" s="1"/>
      <c r="AE91" s="1" t="s">
        <v>63</v>
      </c>
      <c r="AF91" s="1"/>
      <c r="AG91" s="2"/>
      <c r="AH91" s="1"/>
      <c r="AI91" s="1"/>
      <c r="AJ91" s="1" t="s">
        <v>719</v>
      </c>
      <c r="AK91" s="111">
        <v>46293.372569444444</v>
      </c>
      <c r="AL91" s="1"/>
      <c r="AM91" s="1"/>
      <c r="AN91" s="1"/>
      <c r="AO91" s="1"/>
      <c r="AP91" s="1"/>
      <c r="AQ91" s="1"/>
      <c r="AR91" s="1"/>
      <c r="AS91" s="1"/>
      <c r="AT91" s="2"/>
      <c r="AU91" s="1"/>
      <c r="AV91" s="2">
        <v>2</v>
      </c>
      <c r="AW91" s="4"/>
      <c r="AX91" s="111"/>
      <c r="AY91" s="4"/>
      <c r="AZ91" s="1"/>
      <c r="BA91" s="1"/>
      <c r="BB91" s="1" t="s">
        <v>514</v>
      </c>
      <c r="BC91" s="4"/>
      <c r="BD91" s="1" t="s">
        <v>85</v>
      </c>
      <c r="BE91" s="4"/>
      <c r="BF91" s="2"/>
      <c r="BG91" s="4"/>
      <c r="BH91" s="1"/>
      <c r="BI91" s="1" t="s">
        <v>191</v>
      </c>
    </row>
    <row r="92" spans="1:61" ht="13.5" hidden="1" customHeight="1" x14ac:dyDescent="0.25">
      <c r="A92" s="2">
        <v>2043</v>
      </c>
      <c r="B92" s="1" t="s">
        <v>894</v>
      </c>
      <c r="C92" s="1" t="s">
        <v>47</v>
      </c>
      <c r="D92" s="1" t="s">
        <v>320</v>
      </c>
      <c r="E92" s="1" t="s">
        <v>734</v>
      </c>
      <c r="F92" s="1" t="s">
        <v>323</v>
      </c>
      <c r="G92" s="2">
        <v>41</v>
      </c>
      <c r="H92" s="103">
        <v>8</v>
      </c>
      <c r="I92" s="4"/>
      <c r="J92" s="39">
        <v>1</v>
      </c>
      <c r="K92" s="53" t="s">
        <v>245</v>
      </c>
      <c r="L92" s="66">
        <v>0</v>
      </c>
      <c r="M92" s="8" t="s">
        <v>91</v>
      </c>
      <c r="N92" s="1" t="s">
        <v>178</v>
      </c>
      <c r="O92" s="7" t="s">
        <v>899</v>
      </c>
      <c r="P92" s="111">
        <v>46198.376840277779</v>
      </c>
      <c r="Q92" s="111">
        <v>46290.647685185184</v>
      </c>
      <c r="R92" s="111"/>
      <c r="S92" s="1" t="s">
        <v>380</v>
      </c>
      <c r="T92" s="1" t="s">
        <v>719</v>
      </c>
      <c r="U92" s="4"/>
      <c r="V92" s="2"/>
      <c r="W92" s="111"/>
      <c r="X92" s="1"/>
      <c r="Y92" s="1"/>
      <c r="Z92" s="111"/>
      <c r="AA92" s="1"/>
      <c r="AB92" s="4"/>
      <c r="AC92" s="4"/>
      <c r="AD92" s="1"/>
      <c r="AE92" s="1" t="s">
        <v>63</v>
      </c>
      <c r="AF92" s="1"/>
      <c r="AG92" s="2"/>
      <c r="AH92" s="1"/>
      <c r="AI92" s="1"/>
      <c r="AJ92" s="1" t="s">
        <v>380</v>
      </c>
      <c r="AK92" s="111">
        <v>46290.647685185184</v>
      </c>
      <c r="AL92" s="1"/>
      <c r="AM92" s="1"/>
      <c r="AN92" s="1"/>
      <c r="AO92" s="1"/>
      <c r="AP92" s="1"/>
      <c r="AQ92" s="1"/>
      <c r="AR92" s="1"/>
      <c r="AS92" s="1"/>
      <c r="AT92" s="2"/>
      <c r="AU92" s="1"/>
      <c r="AV92" s="2">
        <v>0</v>
      </c>
      <c r="AW92" s="4"/>
      <c r="AX92" s="111"/>
      <c r="AY92" s="4"/>
      <c r="AZ92" s="1"/>
      <c r="BA92" s="1"/>
      <c r="BB92" s="1" t="s">
        <v>514</v>
      </c>
      <c r="BC92" s="4"/>
      <c r="BD92" s="1" t="s">
        <v>85</v>
      </c>
      <c r="BE92" s="4"/>
      <c r="BF92" s="2"/>
      <c r="BG92" s="4"/>
      <c r="BH92" s="1"/>
      <c r="BI92" s="1" t="s">
        <v>185</v>
      </c>
    </row>
    <row r="93" spans="1:61" ht="13.5" hidden="1" customHeight="1" x14ac:dyDescent="0.25">
      <c r="A93" s="2">
        <v>2068</v>
      </c>
      <c r="B93" s="1" t="s">
        <v>905</v>
      </c>
      <c r="C93" s="1" t="s">
        <v>47</v>
      </c>
      <c r="D93" s="1" t="s">
        <v>320</v>
      </c>
      <c r="E93" s="1" t="s">
        <v>734</v>
      </c>
      <c r="F93" s="1" t="s">
        <v>323</v>
      </c>
      <c r="G93" s="2">
        <v>44</v>
      </c>
      <c r="H93" s="103">
        <v>8</v>
      </c>
      <c r="I93" s="4"/>
      <c r="J93" s="39">
        <v>1</v>
      </c>
      <c r="K93" s="53" t="s">
        <v>245</v>
      </c>
      <c r="L93" s="66">
        <v>0</v>
      </c>
      <c r="M93" s="8" t="s">
        <v>81</v>
      </c>
      <c r="N93" s="1" t="s">
        <v>178</v>
      </c>
      <c r="O93" s="7" t="s">
        <v>909</v>
      </c>
      <c r="P93" s="111">
        <v>46206.580138888887</v>
      </c>
      <c r="Q93" s="111">
        <v>46301.359895833331</v>
      </c>
      <c r="R93" s="111"/>
      <c r="S93" s="1" t="s">
        <v>380</v>
      </c>
      <c r="T93" s="1" t="s">
        <v>81</v>
      </c>
      <c r="U93" s="4" t="s">
        <v>607</v>
      </c>
      <c r="V93" s="2"/>
      <c r="W93" s="111"/>
      <c r="X93" s="1"/>
      <c r="Y93" s="1"/>
      <c r="Z93" s="111"/>
      <c r="AA93" s="1"/>
      <c r="AB93" s="4"/>
      <c r="AC93" s="4"/>
      <c r="AD93" s="1"/>
      <c r="AE93" s="1" t="s">
        <v>63</v>
      </c>
      <c r="AF93" s="1"/>
      <c r="AG93" s="2"/>
      <c r="AH93" s="1"/>
      <c r="AI93" s="1"/>
      <c r="AJ93" s="1" t="s">
        <v>380</v>
      </c>
      <c r="AK93" s="111">
        <v>46301.359895833331</v>
      </c>
      <c r="AL93" s="1"/>
      <c r="AM93" s="1"/>
      <c r="AN93" s="1"/>
      <c r="AO93" s="1"/>
      <c r="AP93" s="1"/>
      <c r="AQ93" s="1"/>
      <c r="AR93" s="1"/>
      <c r="AS93" s="1"/>
      <c r="AT93" s="2"/>
      <c r="AU93" s="1"/>
      <c r="AV93" s="2">
        <v>0</v>
      </c>
      <c r="AW93" s="4"/>
      <c r="AX93" s="111"/>
      <c r="AY93" s="4"/>
      <c r="AZ93" s="1"/>
      <c r="BA93" s="1"/>
      <c r="BB93" s="1" t="s">
        <v>514</v>
      </c>
      <c r="BC93" s="4"/>
      <c r="BD93" s="1" t="s">
        <v>85</v>
      </c>
      <c r="BE93" s="4"/>
      <c r="BF93" s="2"/>
      <c r="BG93" s="4"/>
      <c r="BH93" s="1"/>
      <c r="BI93" s="1" t="s">
        <v>185</v>
      </c>
    </row>
    <row r="94" spans="1:61" ht="13.5" hidden="1" customHeight="1" x14ac:dyDescent="0.25">
      <c r="A94" s="2">
        <v>2237</v>
      </c>
      <c r="B94" s="1" t="s">
        <v>1103</v>
      </c>
      <c r="C94" s="1" t="s">
        <v>47</v>
      </c>
      <c r="D94" s="1" t="s">
        <v>320</v>
      </c>
      <c r="E94" s="1" t="s">
        <v>734</v>
      </c>
      <c r="F94" s="1" t="s">
        <v>323</v>
      </c>
      <c r="G94" s="2">
        <v>41</v>
      </c>
      <c r="H94" s="103">
        <v>6</v>
      </c>
      <c r="I94" s="103"/>
      <c r="J94" s="39">
        <v>1</v>
      </c>
      <c r="K94" s="53" t="s">
        <v>724</v>
      </c>
      <c r="L94" s="66">
        <v>0</v>
      </c>
      <c r="M94" s="8" t="s">
        <v>810</v>
      </c>
      <c r="N94" s="1" t="s">
        <v>178</v>
      </c>
      <c r="O94" s="7" t="s">
        <v>1104</v>
      </c>
      <c r="P94" s="111">
        <v>46302.780601851853</v>
      </c>
      <c r="Q94" s="111">
        <v>46303.667060185187</v>
      </c>
      <c r="R94" s="111"/>
      <c r="S94" s="1" t="s">
        <v>380</v>
      </c>
      <c r="T94" s="1" t="s">
        <v>81</v>
      </c>
      <c r="U94" s="4" t="s">
        <v>683</v>
      </c>
      <c r="V94" s="2"/>
      <c r="W94" s="111"/>
      <c r="X94" s="1"/>
      <c r="Y94" s="1"/>
      <c r="Z94" s="111"/>
      <c r="AA94" s="1"/>
      <c r="AB94" s="4"/>
      <c r="AC94" s="4"/>
      <c r="AD94" s="1"/>
      <c r="AE94" s="1" t="s">
        <v>63</v>
      </c>
      <c r="AF94" s="1"/>
      <c r="AG94" s="2"/>
      <c r="AH94" s="1"/>
      <c r="AI94" s="1"/>
      <c r="AJ94" s="1" t="s">
        <v>380</v>
      </c>
      <c r="AK94" s="111">
        <v>46303.667060185187</v>
      </c>
      <c r="AL94" s="1"/>
      <c r="AM94" s="1"/>
      <c r="AN94" s="1"/>
      <c r="AO94" s="1"/>
      <c r="AP94" s="1"/>
      <c r="AQ94" s="1"/>
      <c r="AR94" s="1"/>
      <c r="AS94" s="1"/>
      <c r="AT94" s="2"/>
      <c r="AU94" s="1"/>
      <c r="AV94" s="2">
        <v>1</v>
      </c>
      <c r="AW94" s="4"/>
      <c r="AX94" s="111"/>
      <c r="AY94" s="4"/>
      <c r="AZ94" s="1"/>
      <c r="BA94" s="1"/>
      <c r="BB94" s="1" t="s">
        <v>514</v>
      </c>
      <c r="BC94" s="4"/>
      <c r="BD94" s="1" t="s">
        <v>85</v>
      </c>
      <c r="BE94" s="4"/>
      <c r="BF94" s="2"/>
      <c r="BG94" s="4"/>
      <c r="BH94" s="1"/>
      <c r="BI94" s="1" t="s">
        <v>185</v>
      </c>
    </row>
    <row r="95" spans="1:61" ht="13.5" hidden="1" customHeight="1" x14ac:dyDescent="0.25">
      <c r="A95" s="2">
        <v>2112</v>
      </c>
      <c r="B95" s="1" t="s">
        <v>940</v>
      </c>
      <c r="C95" s="1" t="s">
        <v>47</v>
      </c>
      <c r="D95" s="1" t="s">
        <v>320</v>
      </c>
      <c r="E95" s="1" t="s">
        <v>734</v>
      </c>
      <c r="F95" s="1" t="s">
        <v>323</v>
      </c>
      <c r="G95" s="2"/>
      <c r="H95" s="103"/>
      <c r="I95" s="103"/>
      <c r="J95" s="39">
        <v>2</v>
      </c>
      <c r="K95" s="53" t="s">
        <v>1000</v>
      </c>
      <c r="L95" s="66">
        <v>0</v>
      </c>
      <c r="M95" s="8" t="s">
        <v>719</v>
      </c>
      <c r="N95" s="1" t="s">
        <v>178</v>
      </c>
      <c r="O95" s="7"/>
      <c r="P95" s="111">
        <v>46238.401944444442</v>
      </c>
      <c r="Q95" s="111">
        <v>46276.392650462964</v>
      </c>
      <c r="R95" s="111"/>
      <c r="S95" s="1" t="s">
        <v>157</v>
      </c>
      <c r="T95" s="1" t="s">
        <v>719</v>
      </c>
      <c r="U95" s="4"/>
      <c r="V95" s="2"/>
      <c r="W95" s="111"/>
      <c r="X95" s="1"/>
      <c r="Y95" s="1"/>
      <c r="Z95" s="111"/>
      <c r="AA95" s="1"/>
      <c r="AB95" s="4"/>
      <c r="AC95" s="4"/>
      <c r="AD95" s="1"/>
      <c r="AE95" s="1" t="s">
        <v>63</v>
      </c>
      <c r="AF95" s="1"/>
      <c r="AG95" s="2"/>
      <c r="AH95" s="1"/>
      <c r="AI95" s="1"/>
      <c r="AJ95" s="1" t="s">
        <v>157</v>
      </c>
      <c r="AK95" s="111">
        <v>46276.392650462964</v>
      </c>
      <c r="AL95" s="1"/>
      <c r="AM95" s="1"/>
      <c r="AN95" s="1"/>
      <c r="AO95" s="1"/>
      <c r="AP95" s="1"/>
      <c r="AQ95" s="1"/>
      <c r="AR95" s="1"/>
      <c r="AS95" s="1"/>
      <c r="AT95" s="2"/>
      <c r="AU95" s="1"/>
      <c r="AV95" s="2">
        <v>0</v>
      </c>
      <c r="AW95" s="4"/>
      <c r="AX95" s="111"/>
      <c r="AY95" s="4"/>
      <c r="AZ95" s="1"/>
      <c r="BA95" s="1"/>
      <c r="BB95" s="1" t="s">
        <v>514</v>
      </c>
      <c r="BC95" s="4"/>
      <c r="BD95" s="1" t="s">
        <v>85</v>
      </c>
      <c r="BE95" s="4"/>
      <c r="BF95" s="2">
        <v>2107</v>
      </c>
      <c r="BG95" s="4"/>
      <c r="BH95" s="1"/>
      <c r="BI95" s="1" t="s">
        <v>185</v>
      </c>
    </row>
    <row r="96" spans="1:61" ht="13.5" hidden="1" customHeight="1" x14ac:dyDescent="0.25">
      <c r="A96" s="2">
        <v>2139</v>
      </c>
      <c r="B96" s="1" t="s">
        <v>961</v>
      </c>
      <c r="C96" s="1" t="s">
        <v>47</v>
      </c>
      <c r="D96" s="1" t="s">
        <v>320</v>
      </c>
      <c r="E96" s="1" t="s">
        <v>734</v>
      </c>
      <c r="F96" s="1" t="s">
        <v>323</v>
      </c>
      <c r="G96" s="2"/>
      <c r="H96" s="103"/>
      <c r="I96" s="103"/>
      <c r="J96" s="39">
        <v>2</v>
      </c>
      <c r="K96" s="53" t="s">
        <v>1000</v>
      </c>
      <c r="L96" s="66">
        <v>0</v>
      </c>
      <c r="M96" s="8" t="s">
        <v>81</v>
      </c>
      <c r="N96" s="1" t="s">
        <v>178</v>
      </c>
      <c r="O96" s="7"/>
      <c r="P96" s="111">
        <v>46253.44902777778</v>
      </c>
      <c r="Q96" s="111">
        <v>46276.395636574074</v>
      </c>
      <c r="R96" s="111"/>
      <c r="S96" s="1" t="s">
        <v>157</v>
      </c>
      <c r="T96" s="1" t="s">
        <v>81</v>
      </c>
      <c r="U96" s="4"/>
      <c r="V96" s="2"/>
      <c r="W96" s="111"/>
      <c r="X96" s="1"/>
      <c r="Y96" s="1"/>
      <c r="Z96" s="111"/>
      <c r="AA96" s="1"/>
      <c r="AB96" s="4"/>
      <c r="AC96" s="4"/>
      <c r="AD96" s="1"/>
      <c r="AE96" s="1" t="s">
        <v>63</v>
      </c>
      <c r="AF96" s="1"/>
      <c r="AG96" s="2"/>
      <c r="AH96" s="1"/>
      <c r="AI96" s="1"/>
      <c r="AJ96" s="1" t="s">
        <v>157</v>
      </c>
      <c r="AK96" s="111">
        <v>46276.395636574074</v>
      </c>
      <c r="AL96" s="1"/>
      <c r="AM96" s="1"/>
      <c r="AN96" s="1"/>
      <c r="AO96" s="1"/>
      <c r="AP96" s="1"/>
      <c r="AQ96" s="1"/>
      <c r="AR96" s="1"/>
      <c r="AS96" s="1"/>
      <c r="AT96" s="2"/>
      <c r="AU96" s="1"/>
      <c r="AV96" s="2">
        <v>0</v>
      </c>
      <c r="AW96" s="4"/>
      <c r="AX96" s="111"/>
      <c r="AY96" s="4"/>
      <c r="AZ96" s="1"/>
      <c r="BA96" s="1"/>
      <c r="BB96" s="1" t="s">
        <v>514</v>
      </c>
      <c r="BC96" s="4"/>
      <c r="BD96" s="1" t="s">
        <v>85</v>
      </c>
      <c r="BE96" s="4"/>
      <c r="BF96" s="2">
        <v>2107</v>
      </c>
      <c r="BG96" s="4"/>
      <c r="BH96" s="1"/>
      <c r="BI96" s="1" t="s">
        <v>185</v>
      </c>
    </row>
    <row r="97" spans="1:61" ht="13.5" customHeight="1" x14ac:dyDescent="0.25">
      <c r="A97" s="2">
        <v>2086</v>
      </c>
      <c r="B97" s="1" t="s">
        <v>926</v>
      </c>
      <c r="C97" s="1" t="s">
        <v>47</v>
      </c>
      <c r="D97" s="1" t="s">
        <v>320</v>
      </c>
      <c r="E97" s="1" t="s">
        <v>734</v>
      </c>
      <c r="F97" s="1" t="s">
        <v>323</v>
      </c>
      <c r="G97" s="2"/>
      <c r="H97" s="103">
        <v>12</v>
      </c>
      <c r="I97" s="4"/>
      <c r="J97" s="39">
        <v>2</v>
      </c>
      <c r="K97" s="53" t="s">
        <v>468</v>
      </c>
      <c r="L97" s="66">
        <v>0</v>
      </c>
      <c r="M97" s="8" t="s">
        <v>81</v>
      </c>
      <c r="N97" s="1" t="s">
        <v>178</v>
      </c>
      <c r="O97" s="7" t="s">
        <v>937</v>
      </c>
      <c r="P97" s="111">
        <v>46225.733148148145</v>
      </c>
      <c r="Q97" s="111">
        <v>46290.623067129629</v>
      </c>
      <c r="R97" s="111"/>
      <c r="S97" s="1" t="s">
        <v>380</v>
      </c>
      <c r="T97" s="1" t="s">
        <v>81</v>
      </c>
      <c r="U97" s="4" t="s">
        <v>553</v>
      </c>
      <c r="V97" s="2"/>
      <c r="W97" s="111"/>
      <c r="X97" s="1"/>
      <c r="Y97" s="1"/>
      <c r="Z97" s="111"/>
      <c r="AA97" s="1"/>
      <c r="AB97" s="4"/>
      <c r="AC97" s="4"/>
      <c r="AD97" s="1"/>
      <c r="AE97" s="1" t="s">
        <v>63</v>
      </c>
      <c r="AF97" s="1"/>
      <c r="AG97" s="2"/>
      <c r="AH97" s="1"/>
      <c r="AI97" s="1"/>
      <c r="AJ97" s="1" t="s">
        <v>380</v>
      </c>
      <c r="AK97" s="111">
        <v>46290.623067129629</v>
      </c>
      <c r="AL97" s="1"/>
      <c r="AM97" s="1"/>
      <c r="AN97" s="1"/>
      <c r="AO97" s="1"/>
      <c r="AP97" s="1"/>
      <c r="AQ97" s="1"/>
      <c r="AR97" s="1"/>
      <c r="AS97" s="1"/>
      <c r="AT97" s="2"/>
      <c r="AU97" s="1"/>
      <c r="AV97" s="2">
        <v>3</v>
      </c>
      <c r="AW97" s="4"/>
      <c r="AX97" s="111"/>
      <c r="AY97" s="4"/>
      <c r="AZ97" s="1"/>
      <c r="BA97" s="1"/>
      <c r="BB97" s="1" t="s">
        <v>514</v>
      </c>
      <c r="BC97" s="4"/>
      <c r="BD97" s="1" t="s">
        <v>85</v>
      </c>
      <c r="BE97" s="4"/>
      <c r="BF97" s="2"/>
      <c r="BG97" s="4"/>
      <c r="BH97" s="1"/>
      <c r="BI97" s="1" t="s">
        <v>188</v>
      </c>
    </row>
    <row r="98" spans="1:61" ht="13.5" customHeight="1" x14ac:dyDescent="0.25">
      <c r="A98" s="2">
        <v>1463</v>
      </c>
      <c r="B98" s="1" t="s">
        <v>529</v>
      </c>
      <c r="C98" s="1" t="s">
        <v>47</v>
      </c>
      <c r="D98" s="1" t="s">
        <v>320</v>
      </c>
      <c r="E98" s="1"/>
      <c r="F98" s="1" t="s">
        <v>323</v>
      </c>
      <c r="G98" s="2"/>
      <c r="H98" s="103">
        <v>13</v>
      </c>
      <c r="I98" s="4">
        <v>13</v>
      </c>
      <c r="J98" s="39">
        <v>2</v>
      </c>
      <c r="K98" s="53" t="s">
        <v>245</v>
      </c>
      <c r="L98" s="66">
        <v>0</v>
      </c>
      <c r="M98" s="8"/>
      <c r="N98" s="1" t="s">
        <v>178</v>
      </c>
      <c r="O98" s="7" t="s">
        <v>534</v>
      </c>
      <c r="P98" s="111">
        <v>45964.606493055559</v>
      </c>
      <c r="Q98" s="111">
        <v>46247.53696759259</v>
      </c>
      <c r="R98" s="111"/>
      <c r="S98" s="1" t="s">
        <v>719</v>
      </c>
      <c r="T98" s="1" t="s">
        <v>81</v>
      </c>
      <c r="U98" s="4" t="s">
        <v>783</v>
      </c>
      <c r="V98" s="2"/>
      <c r="W98" s="111"/>
      <c r="X98" s="1"/>
      <c r="Y98" s="1"/>
      <c r="Z98" s="111"/>
      <c r="AA98" s="1"/>
      <c r="AB98" s="4"/>
      <c r="AC98" s="4"/>
      <c r="AD98" s="1"/>
      <c r="AE98" s="1" t="s">
        <v>63</v>
      </c>
      <c r="AF98" s="1"/>
      <c r="AG98" s="2"/>
      <c r="AH98" s="1"/>
      <c r="AI98" s="1"/>
      <c r="AJ98" s="1" t="s">
        <v>719</v>
      </c>
      <c r="AK98" s="111">
        <v>46247.53696759259</v>
      </c>
      <c r="AL98" s="1"/>
      <c r="AM98" s="1"/>
      <c r="AN98" s="1"/>
      <c r="AO98" s="1"/>
      <c r="AP98" s="1"/>
      <c r="AQ98" s="1"/>
      <c r="AR98" s="1"/>
      <c r="AS98" s="1"/>
      <c r="AT98" s="2"/>
      <c r="AU98" s="1"/>
      <c r="AV98" s="2">
        <v>3</v>
      </c>
      <c r="AW98" s="4"/>
      <c r="AX98" s="111"/>
      <c r="AY98" s="4"/>
      <c r="AZ98" s="1"/>
      <c r="BA98" s="1"/>
      <c r="BB98" s="1" t="s">
        <v>514</v>
      </c>
      <c r="BC98" s="4"/>
      <c r="BD98" s="1" t="s">
        <v>85</v>
      </c>
      <c r="BE98" s="4"/>
      <c r="BF98" s="2">
        <v>1712</v>
      </c>
      <c r="BG98" s="4"/>
      <c r="BH98" s="1"/>
      <c r="BI98" s="1" t="s">
        <v>188</v>
      </c>
    </row>
    <row r="99" spans="1:61" ht="13.5" customHeight="1" x14ac:dyDescent="0.25">
      <c r="A99" s="2">
        <v>1663</v>
      </c>
      <c r="B99" s="1" t="s">
        <v>794</v>
      </c>
      <c r="C99" s="1" t="s">
        <v>47</v>
      </c>
      <c r="D99" s="1" t="s">
        <v>320</v>
      </c>
      <c r="E99" s="1" t="s">
        <v>734</v>
      </c>
      <c r="F99" s="1" t="s">
        <v>323</v>
      </c>
      <c r="G99" s="2"/>
      <c r="H99" s="103">
        <v>13</v>
      </c>
      <c r="I99" s="4">
        <v>13</v>
      </c>
      <c r="J99" s="39">
        <v>2</v>
      </c>
      <c r="K99" s="53" t="s">
        <v>245</v>
      </c>
      <c r="L99" s="66">
        <v>0</v>
      </c>
      <c r="M99" s="8"/>
      <c r="N99" s="1" t="s">
        <v>178</v>
      </c>
      <c r="O99" s="7" t="s">
        <v>795</v>
      </c>
      <c r="P99" s="111">
        <v>46050.466666666667</v>
      </c>
      <c r="Q99" s="111">
        <v>46246.481666666667</v>
      </c>
      <c r="R99" s="111"/>
      <c r="S99" s="1" t="s">
        <v>719</v>
      </c>
      <c r="T99" s="1" t="s">
        <v>719</v>
      </c>
      <c r="U99" s="4" t="s">
        <v>787</v>
      </c>
      <c r="V99" s="2"/>
      <c r="W99" s="111"/>
      <c r="X99" s="1"/>
      <c r="Y99" s="1"/>
      <c r="Z99" s="111"/>
      <c r="AA99" s="1"/>
      <c r="AB99" s="4"/>
      <c r="AC99" s="4"/>
      <c r="AD99" s="1"/>
      <c r="AE99" s="1" t="s">
        <v>63</v>
      </c>
      <c r="AF99" s="1"/>
      <c r="AG99" s="2"/>
      <c r="AH99" s="1"/>
      <c r="AI99" s="1"/>
      <c r="AJ99" s="1" t="s">
        <v>719</v>
      </c>
      <c r="AK99" s="111">
        <v>46246.481666666667</v>
      </c>
      <c r="AL99" s="1"/>
      <c r="AM99" s="1"/>
      <c r="AN99" s="1"/>
      <c r="AO99" s="1"/>
      <c r="AP99" s="1"/>
      <c r="AQ99" s="1"/>
      <c r="AR99" s="1"/>
      <c r="AS99" s="1"/>
      <c r="AT99" s="2"/>
      <c r="AU99" s="1"/>
      <c r="AV99" s="2">
        <v>1</v>
      </c>
      <c r="AW99" s="4"/>
      <c r="AX99" s="111"/>
      <c r="AY99" s="4"/>
      <c r="AZ99" s="1"/>
      <c r="BA99" s="1"/>
      <c r="BB99" s="1" t="s">
        <v>514</v>
      </c>
      <c r="BC99" s="4"/>
      <c r="BD99" s="1" t="s">
        <v>85</v>
      </c>
      <c r="BE99" s="4"/>
      <c r="BF99" s="2">
        <v>1712</v>
      </c>
      <c r="BG99" s="4"/>
      <c r="BH99" s="1"/>
      <c r="BI99" s="1" t="s">
        <v>185</v>
      </c>
    </row>
    <row r="100" spans="1:61" ht="13.5" hidden="1" customHeight="1" x14ac:dyDescent="0.25">
      <c r="A100" s="2">
        <v>1650</v>
      </c>
      <c r="B100" s="1" t="s">
        <v>792</v>
      </c>
      <c r="C100" s="1" t="s">
        <v>47</v>
      </c>
      <c r="D100" s="1" t="s">
        <v>320</v>
      </c>
      <c r="E100" s="1" t="s">
        <v>734</v>
      </c>
      <c r="F100" s="1" t="s">
        <v>323</v>
      </c>
      <c r="G100" s="2"/>
      <c r="H100" s="103">
        <v>13</v>
      </c>
      <c r="I100" s="103">
        <v>13</v>
      </c>
      <c r="J100" s="39">
        <v>2</v>
      </c>
      <c r="K100" s="53" t="s">
        <v>1000</v>
      </c>
      <c r="L100" s="66">
        <v>0</v>
      </c>
      <c r="M100" s="8"/>
      <c r="N100" s="1" t="s">
        <v>178</v>
      </c>
      <c r="O100" s="7" t="s">
        <v>793</v>
      </c>
      <c r="P100" s="111">
        <v>46043.584641203706</v>
      </c>
      <c r="Q100" s="111">
        <v>46276.388449074075</v>
      </c>
      <c r="R100" s="111"/>
      <c r="S100" s="1" t="s">
        <v>157</v>
      </c>
      <c r="T100" s="1" t="s">
        <v>81</v>
      </c>
      <c r="U100" s="4" t="s">
        <v>95</v>
      </c>
      <c r="V100" s="2"/>
      <c r="W100" s="111"/>
      <c r="X100" s="1"/>
      <c r="Y100" s="1"/>
      <c r="Z100" s="111"/>
      <c r="AA100" s="1"/>
      <c r="AB100" s="4"/>
      <c r="AC100" s="4"/>
      <c r="AD100" s="1"/>
      <c r="AE100" s="1" t="s">
        <v>63</v>
      </c>
      <c r="AF100" s="1"/>
      <c r="AG100" s="2"/>
      <c r="AH100" s="1"/>
      <c r="AI100" s="1"/>
      <c r="AJ100" s="1" t="s">
        <v>157</v>
      </c>
      <c r="AK100" s="111">
        <v>46276.388449074075</v>
      </c>
      <c r="AL100" s="1"/>
      <c r="AM100" s="1"/>
      <c r="AN100" s="1"/>
      <c r="AO100" s="1"/>
      <c r="AP100" s="1"/>
      <c r="AQ100" s="1"/>
      <c r="AR100" s="1"/>
      <c r="AS100" s="1"/>
      <c r="AT100" s="2"/>
      <c r="AU100" s="1"/>
      <c r="AV100" s="2">
        <v>0</v>
      </c>
      <c r="AW100" s="4"/>
      <c r="AX100" s="111"/>
      <c r="AY100" s="4"/>
      <c r="AZ100" s="1"/>
      <c r="BA100" s="1"/>
      <c r="BB100" s="1" t="s">
        <v>514</v>
      </c>
      <c r="BC100" s="4"/>
      <c r="BD100" s="1" t="s">
        <v>85</v>
      </c>
      <c r="BE100" s="4"/>
      <c r="BF100" s="2">
        <v>1712</v>
      </c>
      <c r="BG100" s="4"/>
      <c r="BH100" s="1"/>
      <c r="BI100" s="1" t="s">
        <v>185</v>
      </c>
    </row>
    <row r="101" spans="1:61" ht="13.5" hidden="1" customHeight="1" x14ac:dyDescent="0.25">
      <c r="A101" s="2">
        <v>1443</v>
      </c>
      <c r="B101" s="1" t="s">
        <v>1041</v>
      </c>
      <c r="C101" s="1" t="s">
        <v>47</v>
      </c>
      <c r="D101" s="1" t="s">
        <v>320</v>
      </c>
      <c r="E101" s="1"/>
      <c r="F101" s="1" t="s">
        <v>323</v>
      </c>
      <c r="G101" s="2"/>
      <c r="H101" s="103">
        <v>500</v>
      </c>
      <c r="I101" s="103">
        <v>500</v>
      </c>
      <c r="J101" s="39">
        <v>2</v>
      </c>
      <c r="K101" s="53" t="s">
        <v>1000</v>
      </c>
      <c r="L101" s="66">
        <v>0</v>
      </c>
      <c r="M101" s="8"/>
      <c r="N101" s="1" t="s">
        <v>178</v>
      </c>
      <c r="O101" s="7" t="s">
        <v>1039</v>
      </c>
      <c r="P101" s="111">
        <v>45952.666689814818</v>
      </c>
      <c r="Q101" s="111">
        <v>46287.708333333336</v>
      </c>
      <c r="R101" s="111"/>
      <c r="S101" s="1" t="s">
        <v>380</v>
      </c>
      <c r="T101" s="1" t="s">
        <v>89</v>
      </c>
      <c r="U101" s="4" t="s">
        <v>1040</v>
      </c>
      <c r="V101" s="2"/>
      <c r="W101" s="111"/>
      <c r="X101" s="1"/>
      <c r="Y101" s="1"/>
      <c r="Z101" s="111"/>
      <c r="AA101" s="1"/>
      <c r="AB101" s="4"/>
      <c r="AC101" s="4"/>
      <c r="AD101" s="1"/>
      <c r="AE101" s="1" t="s">
        <v>63</v>
      </c>
      <c r="AF101" s="1"/>
      <c r="AG101" s="2"/>
      <c r="AH101" s="1"/>
      <c r="AI101" s="1"/>
      <c r="AJ101" s="1" t="s">
        <v>380</v>
      </c>
      <c r="AK101" s="111">
        <v>46287.708333333336</v>
      </c>
      <c r="AL101" s="1"/>
      <c r="AM101" s="1"/>
      <c r="AN101" s="1"/>
      <c r="AO101" s="1"/>
      <c r="AP101" s="1"/>
      <c r="AQ101" s="1"/>
      <c r="AR101" s="1"/>
      <c r="AS101" s="1"/>
      <c r="AT101" s="2"/>
      <c r="AU101" s="1"/>
      <c r="AV101" s="2">
        <v>1</v>
      </c>
      <c r="AW101" s="4"/>
      <c r="AX101" s="111"/>
      <c r="AY101" s="4"/>
      <c r="AZ101" s="1"/>
      <c r="BA101" s="1"/>
      <c r="BB101" s="1" t="s">
        <v>514</v>
      </c>
      <c r="BC101" s="4"/>
      <c r="BD101" s="1" t="s">
        <v>85</v>
      </c>
      <c r="BE101" s="4"/>
      <c r="BF101" s="2">
        <v>1710</v>
      </c>
      <c r="BG101" s="4"/>
      <c r="BH101" s="1"/>
      <c r="BI101" s="1" t="s">
        <v>185</v>
      </c>
    </row>
    <row r="102" spans="1:61" ht="13.5" hidden="1" customHeight="1" x14ac:dyDescent="0.25">
      <c r="A102" s="2">
        <v>2156</v>
      </c>
      <c r="B102" s="1" t="s">
        <v>962</v>
      </c>
      <c r="C102" s="1" t="s">
        <v>47</v>
      </c>
      <c r="D102" s="1" t="s">
        <v>320</v>
      </c>
      <c r="E102" s="1" t="s">
        <v>734</v>
      </c>
      <c r="F102" s="1" t="s">
        <v>323</v>
      </c>
      <c r="G102" s="2"/>
      <c r="H102" s="103">
        <v>4</v>
      </c>
      <c r="I102" s="103"/>
      <c r="J102" s="39">
        <v>2</v>
      </c>
      <c r="K102" s="53" t="s">
        <v>1000</v>
      </c>
      <c r="L102" s="66">
        <v>0</v>
      </c>
      <c r="M102" s="8"/>
      <c r="N102" s="1" t="s">
        <v>178</v>
      </c>
      <c r="O102" s="7" t="s">
        <v>978</v>
      </c>
      <c r="P102" s="111">
        <v>46255.78365740741</v>
      </c>
      <c r="Q102" s="111">
        <v>46276.384722222225</v>
      </c>
      <c r="R102" s="111"/>
      <c r="S102" s="1" t="s">
        <v>157</v>
      </c>
      <c r="T102" s="1" t="s">
        <v>81</v>
      </c>
      <c r="U102" s="4"/>
      <c r="V102" s="2"/>
      <c r="W102" s="111"/>
      <c r="X102" s="1"/>
      <c r="Y102" s="1"/>
      <c r="Z102" s="111"/>
      <c r="AA102" s="1"/>
      <c r="AB102" s="4"/>
      <c r="AC102" s="4"/>
      <c r="AD102" s="1"/>
      <c r="AE102" s="1" t="s">
        <v>63</v>
      </c>
      <c r="AF102" s="1"/>
      <c r="AG102" s="2"/>
      <c r="AH102" s="1"/>
      <c r="AI102" s="1"/>
      <c r="AJ102" s="1" t="s">
        <v>157</v>
      </c>
      <c r="AK102" s="111">
        <v>46276.384722222225</v>
      </c>
      <c r="AL102" s="1"/>
      <c r="AM102" s="1"/>
      <c r="AN102" s="1"/>
      <c r="AO102" s="1"/>
      <c r="AP102" s="1"/>
      <c r="AQ102" s="1"/>
      <c r="AR102" s="1"/>
      <c r="AS102" s="1"/>
      <c r="AT102" s="2"/>
      <c r="AU102" s="1"/>
      <c r="AV102" s="2">
        <v>0</v>
      </c>
      <c r="AW102" s="4"/>
      <c r="AX102" s="111"/>
      <c r="AY102" s="4"/>
      <c r="AZ102" s="1"/>
      <c r="BA102" s="1"/>
      <c r="BB102" s="1" t="s">
        <v>514</v>
      </c>
      <c r="BC102" s="4"/>
      <c r="BD102" s="1" t="s">
        <v>85</v>
      </c>
      <c r="BE102" s="4"/>
      <c r="BF102" s="2"/>
      <c r="BG102" s="4"/>
      <c r="BH102" s="1"/>
      <c r="BI102" s="1" t="s">
        <v>185</v>
      </c>
    </row>
    <row r="103" spans="1:61" ht="13.5" hidden="1" customHeight="1" x14ac:dyDescent="0.25">
      <c r="A103" s="2">
        <v>2145</v>
      </c>
      <c r="B103" s="1" t="s">
        <v>967</v>
      </c>
      <c r="C103" s="1" t="s">
        <v>47</v>
      </c>
      <c r="D103" s="1" t="s">
        <v>320</v>
      </c>
      <c r="E103" s="1" t="s">
        <v>734</v>
      </c>
      <c r="F103" s="1" t="s">
        <v>476</v>
      </c>
      <c r="G103" s="2">
        <v>39</v>
      </c>
      <c r="H103" s="103">
        <v>2</v>
      </c>
      <c r="I103" s="4"/>
      <c r="J103" s="39">
        <v>2</v>
      </c>
      <c r="K103" s="53" t="s">
        <v>250</v>
      </c>
      <c r="L103" s="66">
        <v>0</v>
      </c>
      <c r="M103" s="8" t="s">
        <v>1030</v>
      </c>
      <c r="N103" s="1" t="s">
        <v>177</v>
      </c>
      <c r="O103" s="7" t="s">
        <v>973</v>
      </c>
      <c r="P103" s="111">
        <v>46253.499166666668</v>
      </c>
      <c r="Q103" s="111">
        <v>46293.386064814818</v>
      </c>
      <c r="R103" s="111"/>
      <c r="S103" s="1" t="s">
        <v>719</v>
      </c>
      <c r="T103" s="1" t="s">
        <v>157</v>
      </c>
      <c r="U103" s="4"/>
      <c r="V103" s="2"/>
      <c r="W103" s="111"/>
      <c r="X103" s="1"/>
      <c r="Y103" s="1" t="s">
        <v>157</v>
      </c>
      <c r="Z103" s="111">
        <v>46290.421076388891</v>
      </c>
      <c r="AA103" s="1"/>
      <c r="AB103" s="4"/>
      <c r="AC103" s="4"/>
      <c r="AD103" s="1"/>
      <c r="AE103" s="1" t="s">
        <v>63</v>
      </c>
      <c r="AF103" s="1"/>
      <c r="AG103" s="2"/>
      <c r="AH103" s="1"/>
      <c r="AI103" s="1"/>
      <c r="AJ103" s="1" t="s">
        <v>719</v>
      </c>
      <c r="AK103" s="111">
        <v>46293.386064814818</v>
      </c>
      <c r="AL103" s="1"/>
      <c r="AM103" s="1"/>
      <c r="AN103" s="1"/>
      <c r="AO103" s="1"/>
      <c r="AP103" s="1"/>
      <c r="AQ103" s="1"/>
      <c r="AR103" s="1"/>
      <c r="AS103" s="1"/>
      <c r="AT103" s="2"/>
      <c r="AU103" s="1"/>
      <c r="AV103" s="2">
        <v>1</v>
      </c>
      <c r="AW103" s="4"/>
      <c r="AX103" s="111"/>
      <c r="AY103" s="4"/>
      <c r="AZ103" s="1"/>
      <c r="BA103" s="1"/>
      <c r="BB103" s="1" t="s">
        <v>514</v>
      </c>
      <c r="BC103" s="4"/>
      <c r="BD103" s="1" t="s">
        <v>85</v>
      </c>
      <c r="BE103" s="4"/>
      <c r="BF103" s="2"/>
      <c r="BG103" s="4"/>
      <c r="BH103" s="1"/>
      <c r="BI103" s="1" t="s">
        <v>191</v>
      </c>
    </row>
    <row r="104" spans="1:61" ht="13.5" hidden="1" customHeight="1" x14ac:dyDescent="0.25">
      <c r="A104" s="2">
        <v>1457</v>
      </c>
      <c r="B104" s="1" t="s">
        <v>814</v>
      </c>
      <c r="C104" s="1" t="s">
        <v>47</v>
      </c>
      <c r="D104" s="1" t="s">
        <v>320</v>
      </c>
      <c r="E104" s="1" t="s">
        <v>734</v>
      </c>
      <c r="F104" s="1" t="s">
        <v>323</v>
      </c>
      <c r="G104" s="2">
        <v>43</v>
      </c>
      <c r="H104" s="103">
        <v>30</v>
      </c>
      <c r="I104" s="4"/>
      <c r="J104" s="39">
        <v>3</v>
      </c>
      <c r="K104" s="53" t="s">
        <v>468</v>
      </c>
      <c r="L104" s="66">
        <v>0</v>
      </c>
      <c r="M104" s="8" t="s">
        <v>719</v>
      </c>
      <c r="N104" s="1" t="s">
        <v>178</v>
      </c>
      <c r="O104" s="7" t="s">
        <v>1061</v>
      </c>
      <c r="P104" s="111">
        <v>45960.755150462966</v>
      </c>
      <c r="Q104" s="111">
        <v>46300.702592592592</v>
      </c>
      <c r="R104" s="111"/>
      <c r="S104" s="1" t="s">
        <v>380</v>
      </c>
      <c r="T104" s="1" t="s">
        <v>81</v>
      </c>
      <c r="U104" s="4"/>
      <c r="V104" s="2"/>
      <c r="W104" s="111"/>
      <c r="X104" s="1"/>
      <c r="Y104" s="1"/>
      <c r="Z104" s="111"/>
      <c r="AA104" s="1"/>
      <c r="AB104" s="4"/>
      <c r="AC104" s="4"/>
      <c r="AD104" s="1"/>
      <c r="AE104" s="1" t="s">
        <v>63</v>
      </c>
      <c r="AF104" s="1"/>
      <c r="AG104" s="2"/>
      <c r="AH104" s="1"/>
      <c r="AI104" s="1"/>
      <c r="AJ104" s="1" t="s">
        <v>380</v>
      </c>
      <c r="AK104" s="111">
        <v>46300.702592592592</v>
      </c>
      <c r="AL104" s="1"/>
      <c r="AM104" s="1"/>
      <c r="AN104" s="1"/>
      <c r="AO104" s="1"/>
      <c r="AP104" s="1"/>
      <c r="AQ104" s="1"/>
      <c r="AR104" s="1"/>
      <c r="AS104" s="1"/>
      <c r="AT104" s="2"/>
      <c r="AU104" s="1"/>
      <c r="AV104" s="2">
        <v>1</v>
      </c>
      <c r="AW104" s="4"/>
      <c r="AX104" s="111"/>
      <c r="AY104" s="4"/>
      <c r="AZ104" s="1"/>
      <c r="BA104" s="1"/>
      <c r="BB104" s="1" t="s">
        <v>514</v>
      </c>
      <c r="BC104" s="4"/>
      <c r="BD104" s="1" t="s">
        <v>85</v>
      </c>
      <c r="BE104" s="4"/>
      <c r="BF104" s="2"/>
      <c r="BG104" s="4"/>
      <c r="BH104" s="1"/>
      <c r="BI104" s="1" t="s">
        <v>188</v>
      </c>
    </row>
    <row r="105" spans="1:61" ht="13.5" hidden="1" customHeight="1" x14ac:dyDescent="0.25">
      <c r="A105" s="2">
        <v>1103</v>
      </c>
      <c r="B105" s="1" t="s">
        <v>267</v>
      </c>
      <c r="C105" s="1" t="s">
        <v>47</v>
      </c>
      <c r="D105" s="1" t="s">
        <v>320</v>
      </c>
      <c r="E105" s="1" t="s">
        <v>734</v>
      </c>
      <c r="F105" s="1" t="s">
        <v>323</v>
      </c>
      <c r="G105" s="2"/>
      <c r="H105" s="103">
        <v>100</v>
      </c>
      <c r="I105" s="103"/>
      <c r="J105" s="39">
        <v>3</v>
      </c>
      <c r="K105" s="53" t="s">
        <v>1000</v>
      </c>
      <c r="L105" s="66">
        <v>0</v>
      </c>
      <c r="M105" s="8"/>
      <c r="N105" s="1" t="s">
        <v>178</v>
      </c>
      <c r="O105" s="7" t="s">
        <v>268</v>
      </c>
      <c r="P105" s="111">
        <v>45814.552002314813</v>
      </c>
      <c r="Q105" s="111">
        <v>46276.395636574074</v>
      </c>
      <c r="R105" s="111"/>
      <c r="S105" s="1" t="s">
        <v>157</v>
      </c>
      <c r="T105" s="1" t="s">
        <v>84</v>
      </c>
      <c r="U105" s="4" t="s">
        <v>756</v>
      </c>
      <c r="V105" s="2"/>
      <c r="W105" s="111"/>
      <c r="X105" s="1"/>
      <c r="Y105" s="1"/>
      <c r="Z105" s="111"/>
      <c r="AA105" s="1"/>
      <c r="AB105" s="4"/>
      <c r="AC105" s="4"/>
      <c r="AD105" s="1"/>
      <c r="AE105" s="1" t="s">
        <v>63</v>
      </c>
      <c r="AF105" s="1"/>
      <c r="AG105" s="2"/>
      <c r="AH105" s="1"/>
      <c r="AI105" s="1"/>
      <c r="AJ105" s="1" t="s">
        <v>157</v>
      </c>
      <c r="AK105" s="111">
        <v>46276.395636574074</v>
      </c>
      <c r="AL105" s="1"/>
      <c r="AM105" s="1"/>
      <c r="AN105" s="1"/>
      <c r="AO105" s="1"/>
      <c r="AP105" s="1"/>
      <c r="AQ105" s="1"/>
      <c r="AR105" s="1"/>
      <c r="AS105" s="1"/>
      <c r="AT105" s="2"/>
      <c r="AU105" s="1"/>
      <c r="AV105" s="2">
        <v>2</v>
      </c>
      <c r="AW105" s="4"/>
      <c r="AX105" s="111"/>
      <c r="AY105" s="4"/>
      <c r="AZ105" s="1"/>
      <c r="BA105" s="1"/>
      <c r="BB105" s="1" t="s">
        <v>61</v>
      </c>
      <c r="BC105" s="4"/>
      <c r="BD105" s="1" t="s">
        <v>85</v>
      </c>
      <c r="BE105" s="4"/>
      <c r="BF105" s="2"/>
      <c r="BG105" s="4"/>
      <c r="BH105" s="1"/>
      <c r="BI105" s="1" t="s">
        <v>188</v>
      </c>
    </row>
    <row r="106" spans="1:61" ht="13.5" hidden="1" customHeight="1" x14ac:dyDescent="0.25">
      <c r="A106" s="2">
        <v>1110</v>
      </c>
      <c r="B106" s="1" t="s">
        <v>269</v>
      </c>
      <c r="C106" s="1" t="s">
        <v>47</v>
      </c>
      <c r="D106" s="1" t="s">
        <v>320</v>
      </c>
      <c r="E106" s="1" t="s">
        <v>734</v>
      </c>
      <c r="F106" s="1" t="s">
        <v>323</v>
      </c>
      <c r="G106" s="2"/>
      <c r="H106" s="103">
        <v>13</v>
      </c>
      <c r="I106" s="103">
        <v>13</v>
      </c>
      <c r="J106" s="39">
        <v>3</v>
      </c>
      <c r="K106" s="53" t="s">
        <v>1000</v>
      </c>
      <c r="L106" s="66">
        <v>0</v>
      </c>
      <c r="M106" s="8"/>
      <c r="N106" s="1" t="s">
        <v>178</v>
      </c>
      <c r="O106" s="7" t="s">
        <v>528</v>
      </c>
      <c r="P106" s="111">
        <v>45819.590648148151</v>
      </c>
      <c r="Q106" s="111">
        <v>46276.388171296298</v>
      </c>
      <c r="R106" s="111"/>
      <c r="S106" s="1" t="s">
        <v>157</v>
      </c>
      <c r="T106" s="1" t="s">
        <v>81</v>
      </c>
      <c r="U106" s="4" t="s">
        <v>105</v>
      </c>
      <c r="V106" s="2"/>
      <c r="W106" s="111"/>
      <c r="X106" s="1"/>
      <c r="Y106" s="1"/>
      <c r="Z106" s="111"/>
      <c r="AA106" s="1"/>
      <c r="AB106" s="4"/>
      <c r="AC106" s="4"/>
      <c r="AD106" s="1"/>
      <c r="AE106" s="1" t="s">
        <v>63</v>
      </c>
      <c r="AF106" s="1"/>
      <c r="AG106" s="2"/>
      <c r="AH106" s="1"/>
      <c r="AI106" s="1"/>
      <c r="AJ106" s="1" t="s">
        <v>157</v>
      </c>
      <c r="AK106" s="111">
        <v>46276.388171296298</v>
      </c>
      <c r="AL106" s="1"/>
      <c r="AM106" s="1"/>
      <c r="AN106" s="1"/>
      <c r="AO106" s="1"/>
      <c r="AP106" s="1"/>
      <c r="AQ106" s="1"/>
      <c r="AR106" s="1"/>
      <c r="AS106" s="1"/>
      <c r="AT106" s="2"/>
      <c r="AU106" s="1"/>
      <c r="AV106" s="2">
        <v>1</v>
      </c>
      <c r="AW106" s="4"/>
      <c r="AX106" s="111"/>
      <c r="AY106" s="4"/>
      <c r="AZ106" s="1"/>
      <c r="BA106" s="1"/>
      <c r="BB106" s="1" t="s">
        <v>61</v>
      </c>
      <c r="BC106" s="4"/>
      <c r="BD106" s="1" t="s">
        <v>85</v>
      </c>
      <c r="BE106" s="4"/>
      <c r="BF106" s="2">
        <v>1712</v>
      </c>
      <c r="BG106" s="4"/>
      <c r="BH106" s="1"/>
      <c r="BI106" s="1" t="s">
        <v>185</v>
      </c>
    </row>
    <row r="107" spans="1:61" ht="13.5" hidden="1" customHeight="1" x14ac:dyDescent="0.25">
      <c r="A107" s="2">
        <v>1377</v>
      </c>
      <c r="B107" s="1" t="s">
        <v>482</v>
      </c>
      <c r="C107" s="1" t="s">
        <v>47</v>
      </c>
      <c r="D107" s="1" t="s">
        <v>320</v>
      </c>
      <c r="E107" s="1"/>
      <c r="F107" s="1" t="s">
        <v>323</v>
      </c>
      <c r="G107" s="2"/>
      <c r="H107" s="103">
        <v>8</v>
      </c>
      <c r="I107" s="103"/>
      <c r="J107" s="39">
        <v>3</v>
      </c>
      <c r="K107" s="53" t="s">
        <v>1000</v>
      </c>
      <c r="L107" s="66">
        <v>0</v>
      </c>
      <c r="M107" s="8"/>
      <c r="N107" s="1" t="s">
        <v>178</v>
      </c>
      <c r="O107" s="7"/>
      <c r="P107" s="111">
        <v>45916.414409722223</v>
      </c>
      <c r="Q107" s="111">
        <v>46276.387523148151</v>
      </c>
      <c r="R107" s="111"/>
      <c r="S107" s="1" t="s">
        <v>157</v>
      </c>
      <c r="T107" s="1" t="s">
        <v>81</v>
      </c>
      <c r="U107" s="4" t="s">
        <v>758</v>
      </c>
      <c r="V107" s="2"/>
      <c r="W107" s="111"/>
      <c r="X107" s="1"/>
      <c r="Y107" s="1"/>
      <c r="Z107" s="111"/>
      <c r="AA107" s="1"/>
      <c r="AB107" s="4"/>
      <c r="AC107" s="4"/>
      <c r="AD107" s="1"/>
      <c r="AE107" s="1" t="s">
        <v>63</v>
      </c>
      <c r="AF107" s="1"/>
      <c r="AG107" s="2"/>
      <c r="AH107" s="1"/>
      <c r="AI107" s="1"/>
      <c r="AJ107" s="1" t="s">
        <v>157</v>
      </c>
      <c r="AK107" s="111">
        <v>46276.387523148151</v>
      </c>
      <c r="AL107" s="1"/>
      <c r="AM107" s="1"/>
      <c r="AN107" s="1"/>
      <c r="AO107" s="1"/>
      <c r="AP107" s="1"/>
      <c r="AQ107" s="1"/>
      <c r="AR107" s="1"/>
      <c r="AS107" s="1"/>
      <c r="AT107" s="2"/>
      <c r="AU107" s="1"/>
      <c r="AV107" s="2">
        <v>0</v>
      </c>
      <c r="AW107" s="4"/>
      <c r="AX107" s="111"/>
      <c r="AY107" s="4"/>
      <c r="AZ107" s="1"/>
      <c r="BA107" s="1"/>
      <c r="BB107" s="1" t="s">
        <v>61</v>
      </c>
      <c r="BC107" s="4"/>
      <c r="BD107" s="1" t="s">
        <v>85</v>
      </c>
      <c r="BE107" s="4"/>
      <c r="BF107" s="2"/>
      <c r="BG107" s="4"/>
      <c r="BH107" s="1"/>
      <c r="BI107" s="1" t="s">
        <v>185</v>
      </c>
    </row>
    <row r="108" spans="1:61" ht="13.5" hidden="1" customHeight="1" x14ac:dyDescent="0.25">
      <c r="A108" s="2">
        <v>2087</v>
      </c>
      <c r="B108" s="1" t="s">
        <v>927</v>
      </c>
      <c r="C108" s="1" t="s">
        <v>47</v>
      </c>
      <c r="D108" s="1" t="s">
        <v>320</v>
      </c>
      <c r="E108" s="1" t="s">
        <v>734</v>
      </c>
      <c r="F108" s="1" t="s">
        <v>323</v>
      </c>
      <c r="G108" s="2">
        <v>40</v>
      </c>
      <c r="H108" s="103">
        <v>16</v>
      </c>
      <c r="I108" s="4"/>
      <c r="J108" s="39">
        <v>3</v>
      </c>
      <c r="K108" s="53" t="s">
        <v>250</v>
      </c>
      <c r="L108" s="66">
        <v>0</v>
      </c>
      <c r="M108" s="8" t="s">
        <v>1072</v>
      </c>
      <c r="N108" s="1" t="s">
        <v>177</v>
      </c>
      <c r="O108" s="7" t="s">
        <v>1001</v>
      </c>
      <c r="P108" s="111">
        <v>46225.736539351848</v>
      </c>
      <c r="Q108" s="111">
        <v>46300.556481481479</v>
      </c>
      <c r="R108" s="111"/>
      <c r="S108" s="1" t="s">
        <v>719</v>
      </c>
      <c r="T108" s="1" t="s">
        <v>81</v>
      </c>
      <c r="U108" s="4" t="s">
        <v>1098</v>
      </c>
      <c r="V108" s="2"/>
      <c r="W108" s="111"/>
      <c r="X108" s="1"/>
      <c r="Y108" s="1" t="s">
        <v>1072</v>
      </c>
      <c r="Z108" s="111">
        <v>46297.375532407408</v>
      </c>
      <c r="AA108" s="1"/>
      <c r="AB108" s="4"/>
      <c r="AC108" s="4"/>
      <c r="AD108" s="1"/>
      <c r="AE108" s="1" t="s">
        <v>63</v>
      </c>
      <c r="AF108" s="1"/>
      <c r="AG108" s="2"/>
      <c r="AH108" s="1"/>
      <c r="AI108" s="1"/>
      <c r="AJ108" s="1" t="s">
        <v>719</v>
      </c>
      <c r="AK108" s="111">
        <v>46300.556481481479</v>
      </c>
      <c r="AL108" s="1"/>
      <c r="AM108" s="1"/>
      <c r="AN108" s="1"/>
      <c r="AO108" s="1"/>
      <c r="AP108" s="1"/>
      <c r="AQ108" s="1"/>
      <c r="AR108" s="1"/>
      <c r="AS108" s="1"/>
      <c r="AT108" s="2"/>
      <c r="AU108" s="1"/>
      <c r="AV108" s="2">
        <v>1</v>
      </c>
      <c r="AW108" s="4"/>
      <c r="AX108" s="111"/>
      <c r="AY108" s="4"/>
      <c r="AZ108" s="1"/>
      <c r="BA108" s="1"/>
      <c r="BB108" s="1" t="s">
        <v>514</v>
      </c>
      <c r="BC108" s="4"/>
      <c r="BD108" s="1" t="s">
        <v>85</v>
      </c>
      <c r="BE108" s="4"/>
      <c r="BF108" s="2"/>
      <c r="BG108" s="4"/>
      <c r="BH108" s="1"/>
      <c r="BI108" s="1" t="s">
        <v>191</v>
      </c>
    </row>
    <row r="109" spans="1:61" ht="13.5" hidden="1" customHeight="1" x14ac:dyDescent="0.25">
      <c r="A109" s="2">
        <v>1336</v>
      </c>
      <c r="B109" s="1" t="s">
        <v>463</v>
      </c>
      <c r="C109" s="1" t="s">
        <v>47</v>
      </c>
      <c r="D109" s="1" t="s">
        <v>320</v>
      </c>
      <c r="E109" s="1" t="s">
        <v>734</v>
      </c>
      <c r="F109" s="1" t="s">
        <v>323</v>
      </c>
      <c r="G109" s="2"/>
      <c r="H109" s="103">
        <v>13</v>
      </c>
      <c r="I109" s="4">
        <v>13</v>
      </c>
      <c r="J109" s="39">
        <v>4</v>
      </c>
      <c r="K109" s="53" t="s">
        <v>245</v>
      </c>
      <c r="L109" s="66">
        <v>0</v>
      </c>
      <c r="M109" s="8" t="s">
        <v>81</v>
      </c>
      <c r="N109" s="1" t="s">
        <v>178</v>
      </c>
      <c r="O109" s="7" t="s">
        <v>466</v>
      </c>
      <c r="P109" s="111">
        <v>45894.442418981482</v>
      </c>
      <c r="Q109" s="111">
        <v>46301.36178240741</v>
      </c>
      <c r="R109" s="111"/>
      <c r="S109" s="1" t="s">
        <v>380</v>
      </c>
      <c r="T109" s="1" t="s">
        <v>81</v>
      </c>
      <c r="U109" s="4" t="s">
        <v>782</v>
      </c>
      <c r="V109" s="2"/>
      <c r="W109" s="111"/>
      <c r="X109" s="1"/>
      <c r="Y109" s="1"/>
      <c r="Z109" s="111"/>
      <c r="AA109" s="1"/>
      <c r="AB109" s="4"/>
      <c r="AC109" s="4"/>
      <c r="AD109" s="1"/>
      <c r="AE109" s="1" t="s">
        <v>63</v>
      </c>
      <c r="AF109" s="1"/>
      <c r="AG109" s="2"/>
      <c r="AH109" s="1"/>
      <c r="AI109" s="1"/>
      <c r="AJ109" s="1" t="s">
        <v>380</v>
      </c>
      <c r="AK109" s="111">
        <v>46301.36178240741</v>
      </c>
      <c r="AL109" s="1"/>
      <c r="AM109" s="1"/>
      <c r="AN109" s="1"/>
      <c r="AO109" s="1"/>
      <c r="AP109" s="1"/>
      <c r="AQ109" s="1"/>
      <c r="AR109" s="1"/>
      <c r="AS109" s="1"/>
      <c r="AT109" s="2"/>
      <c r="AU109" s="1"/>
      <c r="AV109" s="2">
        <v>0</v>
      </c>
      <c r="AW109" s="4"/>
      <c r="AX109" s="111"/>
      <c r="AY109" s="4"/>
      <c r="AZ109" s="1"/>
      <c r="BA109" s="1"/>
      <c r="BB109" s="1" t="s">
        <v>61</v>
      </c>
      <c r="BC109" s="4"/>
      <c r="BD109" s="1" t="s">
        <v>85</v>
      </c>
      <c r="BE109" s="4"/>
      <c r="BF109" s="2">
        <v>1712</v>
      </c>
      <c r="BG109" s="4"/>
      <c r="BH109" s="1"/>
      <c r="BI109" s="1" t="s">
        <v>185</v>
      </c>
    </row>
    <row r="110" spans="1:61" ht="13.5" hidden="1" customHeight="1" x14ac:dyDescent="0.25">
      <c r="A110" s="2">
        <v>1235</v>
      </c>
      <c r="B110" s="1" t="s">
        <v>470</v>
      </c>
      <c r="C110" s="1" t="s">
        <v>47</v>
      </c>
      <c r="D110" s="1" t="s">
        <v>320</v>
      </c>
      <c r="E110" s="1"/>
      <c r="F110" s="1" t="s">
        <v>323</v>
      </c>
      <c r="G110" s="2"/>
      <c r="H110" s="103">
        <v>200</v>
      </c>
      <c r="I110" s="4">
        <v>200</v>
      </c>
      <c r="J110" s="39">
        <v>4</v>
      </c>
      <c r="K110" s="53" t="s">
        <v>245</v>
      </c>
      <c r="L110" s="66">
        <v>0</v>
      </c>
      <c r="M110" s="8"/>
      <c r="N110" s="1" t="s">
        <v>178</v>
      </c>
      <c r="O110" s="7"/>
      <c r="P110" s="111">
        <v>45860.607083333336</v>
      </c>
      <c r="Q110" s="111">
        <v>46121.455682870372</v>
      </c>
      <c r="R110" s="111"/>
      <c r="S110" s="1" t="s">
        <v>719</v>
      </c>
      <c r="T110" s="1" t="s">
        <v>81</v>
      </c>
      <c r="U110" s="4" t="s">
        <v>757</v>
      </c>
      <c r="V110" s="2"/>
      <c r="W110" s="111"/>
      <c r="X110" s="1"/>
      <c r="Y110" s="1"/>
      <c r="Z110" s="111"/>
      <c r="AA110" s="1"/>
      <c r="AB110" s="4"/>
      <c r="AC110" s="4"/>
      <c r="AD110" s="1"/>
      <c r="AE110" s="1" t="s">
        <v>63</v>
      </c>
      <c r="AF110" s="1"/>
      <c r="AG110" s="2"/>
      <c r="AH110" s="1"/>
      <c r="AI110" s="1"/>
      <c r="AJ110" s="1" t="s">
        <v>719</v>
      </c>
      <c r="AK110" s="111">
        <v>46121.455682870372</v>
      </c>
      <c r="AL110" s="1"/>
      <c r="AM110" s="1"/>
      <c r="AN110" s="1"/>
      <c r="AO110" s="1"/>
      <c r="AP110" s="1"/>
      <c r="AQ110" s="1"/>
      <c r="AR110" s="1"/>
      <c r="AS110" s="1"/>
      <c r="AT110" s="2"/>
      <c r="AU110" s="1"/>
      <c r="AV110" s="2">
        <v>1</v>
      </c>
      <c r="AW110" s="4"/>
      <c r="AX110" s="111"/>
      <c r="AY110" s="4"/>
      <c r="AZ110" s="1"/>
      <c r="BA110" s="1"/>
      <c r="BB110" s="1" t="s">
        <v>61</v>
      </c>
      <c r="BC110" s="4"/>
      <c r="BD110" s="1" t="s">
        <v>85</v>
      </c>
      <c r="BE110" s="4"/>
      <c r="BF110" s="2">
        <v>1757</v>
      </c>
      <c r="BG110" s="4"/>
      <c r="BH110" s="1"/>
      <c r="BI110" s="1" t="s">
        <v>188</v>
      </c>
    </row>
    <row r="111" spans="1:61" ht="13.5" hidden="1" customHeight="1" x14ac:dyDescent="0.25">
      <c r="A111" s="2">
        <v>1732</v>
      </c>
      <c r="B111" s="1" t="s">
        <v>797</v>
      </c>
      <c r="C111" s="1" t="s">
        <v>47</v>
      </c>
      <c r="D111" s="1" t="s">
        <v>801</v>
      </c>
      <c r="E111" s="1" t="s">
        <v>741</v>
      </c>
      <c r="F111" s="1" t="s">
        <v>323</v>
      </c>
      <c r="G111" s="2"/>
      <c r="H111" s="103">
        <v>40</v>
      </c>
      <c r="I111" s="103"/>
      <c r="J111" s="39">
        <v>1</v>
      </c>
      <c r="K111" s="53" t="s">
        <v>1000</v>
      </c>
      <c r="L111" s="66">
        <v>0</v>
      </c>
      <c r="M111" s="8" t="s">
        <v>810</v>
      </c>
      <c r="N111" s="1" t="s">
        <v>178</v>
      </c>
      <c r="O111" s="7" t="s">
        <v>800</v>
      </c>
      <c r="P111" s="111">
        <v>46077.449537037035</v>
      </c>
      <c r="Q111" s="111">
        <v>46276.392893518518</v>
      </c>
      <c r="R111" s="111"/>
      <c r="S111" s="1" t="s">
        <v>157</v>
      </c>
      <c r="T111" s="1" t="s">
        <v>719</v>
      </c>
      <c r="U111" s="4"/>
      <c r="V111" s="2"/>
      <c r="W111" s="111"/>
      <c r="X111" s="1"/>
      <c r="Y111" s="1"/>
      <c r="Z111" s="111"/>
      <c r="AA111" s="1"/>
      <c r="AB111" s="4"/>
      <c r="AC111" s="4"/>
      <c r="AD111" s="1"/>
      <c r="AE111" s="1" t="s">
        <v>63</v>
      </c>
      <c r="AF111" s="1"/>
      <c r="AG111" s="2"/>
      <c r="AH111" s="1"/>
      <c r="AI111" s="1"/>
      <c r="AJ111" s="1" t="s">
        <v>157</v>
      </c>
      <c r="AK111" s="111">
        <v>46276.392893518518</v>
      </c>
      <c r="AL111" s="1"/>
      <c r="AM111" s="1"/>
      <c r="AN111" s="1"/>
      <c r="AO111" s="1"/>
      <c r="AP111" s="1"/>
      <c r="AQ111" s="1"/>
      <c r="AR111" s="1"/>
      <c r="AS111" s="1"/>
      <c r="AT111" s="2"/>
      <c r="AU111" s="1"/>
      <c r="AV111" s="2">
        <v>1</v>
      </c>
      <c r="AW111" s="4"/>
      <c r="AX111" s="111"/>
      <c r="AY111" s="4"/>
      <c r="AZ111" s="1"/>
      <c r="BA111" s="1"/>
      <c r="BB111" s="1" t="s">
        <v>514</v>
      </c>
      <c r="BC111" s="4"/>
      <c r="BD111" s="1" t="s">
        <v>85</v>
      </c>
      <c r="BE111" s="4"/>
      <c r="BF111" s="2"/>
      <c r="BG111" s="4"/>
      <c r="BH111" s="1"/>
      <c r="BI111" s="1" t="s">
        <v>185</v>
      </c>
    </row>
    <row r="112" spans="1:61" ht="13.5" hidden="1" customHeight="1" x14ac:dyDescent="0.25">
      <c r="A112" s="2">
        <v>1785</v>
      </c>
      <c r="B112" s="1" t="s">
        <v>857</v>
      </c>
      <c r="C112" s="1" t="s">
        <v>47</v>
      </c>
      <c r="D112" s="1" t="s">
        <v>801</v>
      </c>
      <c r="E112" s="1" t="s">
        <v>741</v>
      </c>
      <c r="F112" s="1" t="s">
        <v>323</v>
      </c>
      <c r="G112" s="2"/>
      <c r="H112" s="103">
        <v>6</v>
      </c>
      <c r="I112" s="103"/>
      <c r="J112" s="39">
        <v>1</v>
      </c>
      <c r="K112" s="53" t="s">
        <v>1000</v>
      </c>
      <c r="L112" s="66">
        <v>0</v>
      </c>
      <c r="M112" s="8"/>
      <c r="N112" s="1" t="s">
        <v>178</v>
      </c>
      <c r="O112" s="7" t="s">
        <v>858</v>
      </c>
      <c r="P112" s="111">
        <v>46092.770474537036</v>
      </c>
      <c r="Q112" s="111">
        <v>46276.385428240741</v>
      </c>
      <c r="R112" s="111"/>
      <c r="S112" s="1" t="s">
        <v>157</v>
      </c>
      <c r="T112" s="1" t="s">
        <v>81</v>
      </c>
      <c r="U112" s="4" t="s">
        <v>607</v>
      </c>
      <c r="V112" s="2"/>
      <c r="W112" s="111"/>
      <c r="X112" s="1"/>
      <c r="Y112" s="1"/>
      <c r="Z112" s="111"/>
      <c r="AA112" s="1"/>
      <c r="AB112" s="4"/>
      <c r="AC112" s="4"/>
      <c r="AD112" s="1"/>
      <c r="AE112" s="1" t="s">
        <v>63</v>
      </c>
      <c r="AF112" s="1"/>
      <c r="AG112" s="2"/>
      <c r="AH112" s="1"/>
      <c r="AI112" s="1"/>
      <c r="AJ112" s="1" t="s">
        <v>157</v>
      </c>
      <c r="AK112" s="111">
        <v>46276.385428240741</v>
      </c>
      <c r="AL112" s="1"/>
      <c r="AM112" s="1"/>
      <c r="AN112" s="1"/>
      <c r="AO112" s="1"/>
      <c r="AP112" s="1"/>
      <c r="AQ112" s="1"/>
      <c r="AR112" s="1"/>
      <c r="AS112" s="1"/>
      <c r="AT112" s="2"/>
      <c r="AU112" s="1"/>
      <c r="AV112" s="2">
        <v>0</v>
      </c>
      <c r="AW112" s="4"/>
      <c r="AX112" s="111"/>
      <c r="AY112" s="4"/>
      <c r="AZ112" s="1"/>
      <c r="BA112" s="1"/>
      <c r="BB112" s="1" t="s">
        <v>514</v>
      </c>
      <c r="BC112" s="4"/>
      <c r="BD112" s="1" t="s">
        <v>85</v>
      </c>
      <c r="BE112" s="4"/>
      <c r="BF112" s="2"/>
      <c r="BG112" s="4"/>
      <c r="BH112" s="1"/>
      <c r="BI112" s="1" t="s">
        <v>185</v>
      </c>
    </row>
    <row r="113" spans="1:61" ht="13.5" hidden="1" customHeight="1" x14ac:dyDescent="0.25">
      <c r="A113" s="2">
        <v>2222</v>
      </c>
      <c r="B113" s="1" t="s">
        <v>1066</v>
      </c>
      <c r="C113" s="1" t="s">
        <v>47</v>
      </c>
      <c r="D113" s="1" t="s">
        <v>801</v>
      </c>
      <c r="E113" s="1" t="s">
        <v>802</v>
      </c>
      <c r="F113" s="1" t="s">
        <v>323</v>
      </c>
      <c r="G113" s="2">
        <v>41</v>
      </c>
      <c r="H113" s="103">
        <v>14</v>
      </c>
      <c r="I113" s="103"/>
      <c r="J113" s="39">
        <v>1</v>
      </c>
      <c r="K113" s="53" t="s">
        <v>250</v>
      </c>
      <c r="L113" s="66">
        <v>0</v>
      </c>
      <c r="M113" s="8" t="s">
        <v>1072</v>
      </c>
      <c r="N113" s="1" t="s">
        <v>177</v>
      </c>
      <c r="O113" s="7" t="s">
        <v>1096</v>
      </c>
      <c r="P113" s="111">
        <v>46289.381273148145</v>
      </c>
      <c r="Q113" s="111">
        <v>46303.44190972222</v>
      </c>
      <c r="R113" s="111"/>
      <c r="S113" s="1" t="s">
        <v>719</v>
      </c>
      <c r="T113" s="1" t="s">
        <v>719</v>
      </c>
      <c r="U113" s="4"/>
      <c r="V113" s="2"/>
      <c r="W113" s="111"/>
      <c r="X113" s="1"/>
      <c r="Y113" s="1" t="s">
        <v>1072</v>
      </c>
      <c r="Z113" s="111">
        <v>46297.557013888887</v>
      </c>
      <c r="AA113" s="1"/>
      <c r="AB113" s="4"/>
      <c r="AC113" s="4"/>
      <c r="AD113" s="1"/>
      <c r="AE113" s="1" t="s">
        <v>63</v>
      </c>
      <c r="AF113" s="1"/>
      <c r="AG113" s="2"/>
      <c r="AH113" s="1"/>
      <c r="AI113" s="1"/>
      <c r="AJ113" s="1" t="s">
        <v>719</v>
      </c>
      <c r="AK113" s="111">
        <v>46303.44190972222</v>
      </c>
      <c r="AL113" s="1"/>
      <c r="AM113" s="1"/>
      <c r="AN113" s="1"/>
      <c r="AO113" s="1"/>
      <c r="AP113" s="1"/>
      <c r="AQ113" s="1"/>
      <c r="AR113" s="1"/>
      <c r="AS113" s="1"/>
      <c r="AT113" s="2"/>
      <c r="AU113" s="1"/>
      <c r="AV113" s="2">
        <v>1</v>
      </c>
      <c r="AW113" s="4"/>
      <c r="AX113" s="111"/>
      <c r="AY113" s="4"/>
      <c r="AZ113" s="1"/>
      <c r="BA113" s="1"/>
      <c r="BB113" s="1" t="s">
        <v>514</v>
      </c>
      <c r="BC113" s="4"/>
      <c r="BD113" s="1" t="s">
        <v>85</v>
      </c>
      <c r="BE113" s="4"/>
      <c r="BF113" s="2">
        <v>2220</v>
      </c>
      <c r="BG113" s="4"/>
      <c r="BH113" s="1"/>
      <c r="BI113" s="1" t="s">
        <v>191</v>
      </c>
    </row>
    <row r="114" spans="1:61" ht="13.5" hidden="1" customHeight="1" x14ac:dyDescent="0.25">
      <c r="A114" s="2">
        <v>2164</v>
      </c>
      <c r="B114" s="1" t="s">
        <v>963</v>
      </c>
      <c r="C114" s="1" t="s">
        <v>47</v>
      </c>
      <c r="D114" s="1" t="s">
        <v>801</v>
      </c>
      <c r="E114" s="1" t="s">
        <v>741</v>
      </c>
      <c r="F114" s="1" t="s">
        <v>323</v>
      </c>
      <c r="G114" s="2">
        <v>39</v>
      </c>
      <c r="H114" s="103">
        <v>24</v>
      </c>
      <c r="I114" s="4"/>
      <c r="J114" s="39">
        <v>1</v>
      </c>
      <c r="K114" s="53" t="s">
        <v>724</v>
      </c>
      <c r="L114" s="66">
        <v>0</v>
      </c>
      <c r="M114" s="8" t="s">
        <v>719</v>
      </c>
      <c r="N114" s="1" t="s">
        <v>178</v>
      </c>
      <c r="O114" s="7" t="s">
        <v>979</v>
      </c>
      <c r="P114" s="112">
        <v>46260.592893518522</v>
      </c>
      <c r="Q114" s="112">
        <v>46303.379803240743</v>
      </c>
      <c r="R114" s="112"/>
      <c r="S114" s="1" t="s">
        <v>719</v>
      </c>
      <c r="T114" s="1" t="s">
        <v>81</v>
      </c>
      <c r="U114" s="4" t="s">
        <v>964</v>
      </c>
      <c r="V114" s="2"/>
      <c r="W114" s="112"/>
      <c r="X114" s="1"/>
      <c r="Y114" s="1"/>
      <c r="Z114" s="112"/>
      <c r="AA114" s="1"/>
      <c r="AB114" s="4"/>
      <c r="AC114" s="4"/>
      <c r="AD114" s="1"/>
      <c r="AE114" s="1" t="s">
        <v>63</v>
      </c>
      <c r="AF114" s="1"/>
      <c r="AG114" s="2"/>
      <c r="AH114" s="1"/>
      <c r="AI114" s="1"/>
      <c r="AJ114" s="1" t="s">
        <v>719</v>
      </c>
      <c r="AK114" s="112">
        <v>46303.379803240743</v>
      </c>
      <c r="AL114" s="1"/>
      <c r="AM114" s="1"/>
      <c r="AN114" s="1"/>
      <c r="AO114" s="1"/>
      <c r="AP114" s="1"/>
      <c r="AQ114" s="1"/>
      <c r="AR114" s="1"/>
      <c r="AS114" s="1"/>
      <c r="AT114" s="2"/>
      <c r="AU114" s="1"/>
      <c r="AV114" s="2">
        <v>3</v>
      </c>
      <c r="AW114" s="4"/>
      <c r="AX114" s="112"/>
      <c r="AY114" s="4"/>
      <c r="AZ114" s="1"/>
      <c r="BA114" s="1"/>
      <c r="BB114" s="1" t="s">
        <v>514</v>
      </c>
      <c r="BC114" s="4"/>
      <c r="BD114" s="1" t="s">
        <v>85</v>
      </c>
      <c r="BE114" s="4"/>
      <c r="BF114" s="2">
        <v>1712</v>
      </c>
      <c r="BG114" s="4"/>
      <c r="BH114" s="1"/>
      <c r="BI114" s="1" t="s">
        <v>188</v>
      </c>
    </row>
    <row r="115" spans="1:61" ht="13.5" customHeight="1" x14ac:dyDescent="0.25">
      <c r="A115" s="2">
        <v>2101</v>
      </c>
      <c r="B115" s="1" t="s">
        <v>953</v>
      </c>
      <c r="C115" s="1" t="s">
        <v>47</v>
      </c>
      <c r="D115" s="1" t="s">
        <v>801</v>
      </c>
      <c r="E115" s="1" t="s">
        <v>741</v>
      </c>
      <c r="F115" s="1" t="s">
        <v>476</v>
      </c>
      <c r="G115" s="2">
        <v>42</v>
      </c>
      <c r="H115" s="103">
        <v>4</v>
      </c>
      <c r="I115" s="4"/>
      <c r="J115" s="39">
        <v>2</v>
      </c>
      <c r="K115" s="53" t="s">
        <v>468</v>
      </c>
      <c r="L115" s="66">
        <v>0</v>
      </c>
      <c r="M115" s="8" t="s">
        <v>719</v>
      </c>
      <c r="N115" s="1" t="s">
        <v>178</v>
      </c>
      <c r="O115" s="7" t="s">
        <v>984</v>
      </c>
      <c r="P115" s="113">
        <v>46234.382974537039</v>
      </c>
      <c r="Q115" s="113">
        <v>46303.379965277774</v>
      </c>
      <c r="R115" s="113"/>
      <c r="S115" s="1" t="s">
        <v>719</v>
      </c>
      <c r="T115" s="1" t="s">
        <v>157</v>
      </c>
      <c r="U115" s="4"/>
      <c r="V115" s="2"/>
      <c r="W115" s="113"/>
      <c r="X115" s="1"/>
      <c r="Y115" s="1"/>
      <c r="Z115" s="113"/>
      <c r="AA115" s="1"/>
      <c r="AB115" s="4"/>
      <c r="AC115" s="4"/>
      <c r="AD115" s="1"/>
      <c r="AE115" s="1" t="s">
        <v>63</v>
      </c>
      <c r="AF115" s="1"/>
      <c r="AG115" s="2"/>
      <c r="AH115" s="1"/>
      <c r="AI115" s="1"/>
      <c r="AJ115" s="1" t="s">
        <v>719</v>
      </c>
      <c r="AK115" s="113">
        <v>46303.379965277774</v>
      </c>
      <c r="AL115" s="1"/>
      <c r="AM115" s="1"/>
      <c r="AN115" s="1"/>
      <c r="AO115" s="1"/>
      <c r="AP115" s="1"/>
      <c r="AQ115" s="1"/>
      <c r="AR115" s="1"/>
      <c r="AS115" s="1"/>
      <c r="AT115" s="2"/>
      <c r="AU115" s="1"/>
      <c r="AV115" s="2">
        <v>2</v>
      </c>
      <c r="AW115" s="4"/>
      <c r="AX115" s="113"/>
      <c r="AY115" s="4"/>
      <c r="AZ115" s="1"/>
      <c r="BA115" s="1"/>
      <c r="BB115" s="1" t="s">
        <v>514</v>
      </c>
      <c r="BC115" s="4"/>
      <c r="BD115" s="1" t="s">
        <v>85</v>
      </c>
      <c r="BE115" s="4"/>
      <c r="BF115" s="2"/>
      <c r="BG115" s="4"/>
      <c r="BH115" s="1"/>
      <c r="BI115" s="1" t="s">
        <v>185</v>
      </c>
    </row>
    <row r="116" spans="1:61" ht="13.5" customHeight="1" x14ac:dyDescent="0.25">
      <c r="A116" s="2">
        <v>2106</v>
      </c>
      <c r="B116" s="1" t="s">
        <v>929</v>
      </c>
      <c r="C116" s="1" t="s">
        <v>47</v>
      </c>
      <c r="D116" s="1" t="s">
        <v>801</v>
      </c>
      <c r="E116" s="1" t="s">
        <v>803</v>
      </c>
      <c r="F116" s="1" t="s">
        <v>742</v>
      </c>
      <c r="G116" s="2"/>
      <c r="H116" s="103">
        <v>4</v>
      </c>
      <c r="I116" s="4"/>
      <c r="J116" s="39">
        <v>2</v>
      </c>
      <c r="K116" s="53" t="s">
        <v>245</v>
      </c>
      <c r="L116" s="66">
        <v>0</v>
      </c>
      <c r="M116" s="8"/>
      <c r="N116" s="1" t="s">
        <v>178</v>
      </c>
      <c r="O116" s="7" t="s">
        <v>930</v>
      </c>
      <c r="P116" s="113">
        <v>46237.578912037039</v>
      </c>
      <c r="Q116" s="113">
        <v>46266.690659722219</v>
      </c>
      <c r="R116" s="113"/>
      <c r="S116" s="1" t="s">
        <v>81</v>
      </c>
      <c r="T116" s="1" t="s">
        <v>719</v>
      </c>
      <c r="U116" s="4"/>
      <c r="V116" s="2"/>
      <c r="W116" s="113"/>
      <c r="X116" s="1"/>
      <c r="Y116" s="1"/>
      <c r="Z116" s="113"/>
      <c r="AA116" s="1"/>
      <c r="AB116" s="4"/>
      <c r="AC116" s="4"/>
      <c r="AD116" s="1"/>
      <c r="AE116" s="1" t="s">
        <v>63</v>
      </c>
      <c r="AF116" s="1"/>
      <c r="AG116" s="2"/>
      <c r="AH116" s="1"/>
      <c r="AI116" s="1"/>
      <c r="AJ116" s="1" t="s">
        <v>81</v>
      </c>
      <c r="AK116" s="113">
        <v>46266.690659722219</v>
      </c>
      <c r="AL116" s="1"/>
      <c r="AM116" s="1"/>
      <c r="AN116" s="1"/>
      <c r="AO116" s="1"/>
      <c r="AP116" s="1"/>
      <c r="AQ116" s="1"/>
      <c r="AR116" s="1"/>
      <c r="AS116" s="1"/>
      <c r="AT116" s="2"/>
      <c r="AU116" s="1"/>
      <c r="AV116" s="2">
        <v>0</v>
      </c>
      <c r="AW116" s="4"/>
      <c r="AX116" s="113"/>
      <c r="AY116" s="4"/>
      <c r="AZ116" s="1"/>
      <c r="BA116" s="1"/>
      <c r="BB116" s="1" t="s">
        <v>514</v>
      </c>
      <c r="BC116" s="4"/>
      <c r="BD116" s="1" t="s">
        <v>85</v>
      </c>
      <c r="BE116" s="4"/>
      <c r="BF116" s="2"/>
      <c r="BG116" s="4"/>
      <c r="BH116" s="1"/>
      <c r="BI116" s="1" t="s">
        <v>185</v>
      </c>
    </row>
    <row r="117" spans="1:61" ht="13.5" customHeight="1" x14ac:dyDescent="0.25">
      <c r="A117" s="2">
        <v>2218</v>
      </c>
      <c r="B117" s="1" t="s">
        <v>1059</v>
      </c>
      <c r="C117" s="1" t="s">
        <v>47</v>
      </c>
      <c r="D117" s="1" t="s">
        <v>801</v>
      </c>
      <c r="E117" s="1" t="s">
        <v>805</v>
      </c>
      <c r="F117" s="1" t="s">
        <v>476</v>
      </c>
      <c r="G117" s="2">
        <v>43</v>
      </c>
      <c r="H117" s="103">
        <v>6</v>
      </c>
      <c r="I117" s="103"/>
      <c r="J117" s="39">
        <v>2</v>
      </c>
      <c r="K117" s="53" t="s">
        <v>245</v>
      </c>
      <c r="L117" s="66">
        <v>0</v>
      </c>
      <c r="M117" s="8" t="s">
        <v>719</v>
      </c>
      <c r="N117" s="1" t="s">
        <v>178</v>
      </c>
      <c r="O117" s="7" t="s">
        <v>1060</v>
      </c>
      <c r="P117" s="113">
        <v>46288.723449074074</v>
      </c>
      <c r="Q117" s="113">
        <v>46303.380300925928</v>
      </c>
      <c r="R117" s="113"/>
      <c r="S117" s="1" t="s">
        <v>380</v>
      </c>
      <c r="T117" s="1" t="s">
        <v>157</v>
      </c>
      <c r="U117" s="4"/>
      <c r="V117" s="2"/>
      <c r="W117" s="113"/>
      <c r="X117" s="1"/>
      <c r="Y117" s="1"/>
      <c r="Z117" s="113"/>
      <c r="AA117" s="1"/>
      <c r="AB117" s="4"/>
      <c r="AC117" s="4"/>
      <c r="AD117" s="1"/>
      <c r="AE117" s="1" t="s">
        <v>63</v>
      </c>
      <c r="AF117" s="1"/>
      <c r="AG117" s="2"/>
      <c r="AH117" s="1"/>
      <c r="AI117" s="1"/>
      <c r="AJ117" s="1" t="s">
        <v>380</v>
      </c>
      <c r="AK117" s="113">
        <v>46303.380300925928</v>
      </c>
      <c r="AL117" s="1"/>
      <c r="AM117" s="1"/>
      <c r="AN117" s="1"/>
      <c r="AO117" s="1"/>
      <c r="AP117" s="1"/>
      <c r="AQ117" s="1"/>
      <c r="AR117" s="1"/>
      <c r="AS117" s="1"/>
      <c r="AT117" s="2"/>
      <c r="AU117" s="1"/>
      <c r="AV117" s="2">
        <v>0</v>
      </c>
      <c r="AW117" s="4"/>
      <c r="AX117" s="113"/>
      <c r="AY117" s="4"/>
      <c r="AZ117" s="1"/>
      <c r="BA117" s="1"/>
      <c r="BB117" s="1" t="s">
        <v>514</v>
      </c>
      <c r="BC117" s="4"/>
      <c r="BD117" s="1" t="s">
        <v>85</v>
      </c>
      <c r="BE117" s="4"/>
      <c r="BF117" s="2">
        <v>1712</v>
      </c>
      <c r="BG117" s="4"/>
      <c r="BH117" s="1"/>
      <c r="BI117" s="1" t="s">
        <v>185</v>
      </c>
    </row>
    <row r="118" spans="1:61" ht="13.5" customHeight="1" x14ac:dyDescent="0.25">
      <c r="A118" s="2">
        <v>1332</v>
      </c>
      <c r="B118" s="1" t="s">
        <v>455</v>
      </c>
      <c r="C118" s="1" t="s">
        <v>47</v>
      </c>
      <c r="D118" s="1" t="s">
        <v>801</v>
      </c>
      <c r="E118" s="1"/>
      <c r="F118" s="1" t="s">
        <v>323</v>
      </c>
      <c r="G118" s="2"/>
      <c r="H118" s="103">
        <v>13</v>
      </c>
      <c r="I118" s="4">
        <v>13</v>
      </c>
      <c r="J118" s="39">
        <v>2</v>
      </c>
      <c r="K118" s="53" t="s">
        <v>245</v>
      </c>
      <c r="L118" s="66">
        <v>0</v>
      </c>
      <c r="M118" s="8"/>
      <c r="N118" s="1" t="s">
        <v>178</v>
      </c>
      <c r="O118" s="7"/>
      <c r="P118" s="113">
        <v>45894.418553240743</v>
      </c>
      <c r="Q118" s="113">
        <v>46247.481423611112</v>
      </c>
      <c r="R118" s="113"/>
      <c r="S118" s="1" t="s">
        <v>719</v>
      </c>
      <c r="T118" s="1" t="s">
        <v>82</v>
      </c>
      <c r="U118" s="4" t="s">
        <v>781</v>
      </c>
      <c r="V118" s="2"/>
      <c r="W118" s="113"/>
      <c r="X118" s="1"/>
      <c r="Y118" s="1"/>
      <c r="Z118" s="113"/>
      <c r="AA118" s="1"/>
      <c r="AB118" s="4"/>
      <c r="AC118" s="4"/>
      <c r="AD118" s="1"/>
      <c r="AE118" s="1" t="s">
        <v>63</v>
      </c>
      <c r="AF118" s="1"/>
      <c r="AG118" s="2"/>
      <c r="AH118" s="1"/>
      <c r="AI118" s="1"/>
      <c r="AJ118" s="1" t="s">
        <v>719</v>
      </c>
      <c r="AK118" s="113">
        <v>46247.481423611112</v>
      </c>
      <c r="AL118" s="1"/>
      <c r="AM118" s="1"/>
      <c r="AN118" s="1"/>
      <c r="AO118" s="1"/>
      <c r="AP118" s="1"/>
      <c r="AQ118" s="1"/>
      <c r="AR118" s="1"/>
      <c r="AS118" s="1"/>
      <c r="AT118" s="2"/>
      <c r="AU118" s="1"/>
      <c r="AV118" s="2">
        <v>2</v>
      </c>
      <c r="AW118" s="4"/>
      <c r="AX118" s="113"/>
      <c r="AY118" s="4"/>
      <c r="AZ118" s="1"/>
      <c r="BA118" s="1"/>
      <c r="BB118" s="1" t="s">
        <v>61</v>
      </c>
      <c r="BC118" s="4"/>
      <c r="BD118" s="1" t="s">
        <v>85</v>
      </c>
      <c r="BE118" s="4"/>
      <c r="BF118" s="2">
        <v>1712</v>
      </c>
      <c r="BG118" s="4"/>
      <c r="BH118" s="1"/>
      <c r="BI118" s="1" t="s">
        <v>188</v>
      </c>
    </row>
    <row r="119" spans="1:61" ht="13.5" hidden="1" customHeight="1" x14ac:dyDescent="0.25">
      <c r="A119" s="2">
        <v>2082</v>
      </c>
      <c r="B119" s="1" t="s">
        <v>928</v>
      </c>
      <c r="C119" s="1" t="s">
        <v>47</v>
      </c>
      <c r="D119" s="1" t="s">
        <v>801</v>
      </c>
      <c r="E119" s="1" t="s">
        <v>741</v>
      </c>
      <c r="F119" s="1" t="s">
        <v>742</v>
      </c>
      <c r="G119" s="2">
        <v>40</v>
      </c>
      <c r="H119" s="103">
        <v>4</v>
      </c>
      <c r="I119" s="4"/>
      <c r="J119" s="39">
        <v>2</v>
      </c>
      <c r="K119" s="53" t="s">
        <v>256</v>
      </c>
      <c r="L119" s="66">
        <v>1</v>
      </c>
      <c r="M119" s="8" t="s">
        <v>719</v>
      </c>
      <c r="N119" s="1" t="s">
        <v>177</v>
      </c>
      <c r="O119" s="7" t="s">
        <v>938</v>
      </c>
      <c r="P119" s="113">
        <v>46223.581076388888</v>
      </c>
      <c r="Q119" s="113">
        <v>46303.483217592591</v>
      </c>
      <c r="R119" s="113"/>
      <c r="S119" s="1" t="s">
        <v>719</v>
      </c>
      <c r="T119" s="1" t="s">
        <v>157</v>
      </c>
      <c r="U119" s="4"/>
      <c r="V119" s="2"/>
      <c r="W119" s="113"/>
      <c r="X119" s="1"/>
      <c r="Y119" s="1" t="s">
        <v>719</v>
      </c>
      <c r="Z119" s="113">
        <v>46301.566504629627</v>
      </c>
      <c r="AA119" s="1"/>
      <c r="AB119" s="4"/>
      <c r="AC119" s="4"/>
      <c r="AD119" s="1"/>
      <c r="AE119" s="1" t="s">
        <v>63</v>
      </c>
      <c r="AF119" s="1"/>
      <c r="AG119" s="2"/>
      <c r="AH119" s="1"/>
      <c r="AI119" s="1"/>
      <c r="AJ119" s="1" t="s">
        <v>719</v>
      </c>
      <c r="AK119" s="113">
        <v>46303.483217592591</v>
      </c>
      <c r="AL119" s="1"/>
      <c r="AM119" s="1"/>
      <c r="AN119" s="1"/>
      <c r="AO119" s="1"/>
      <c r="AP119" s="1"/>
      <c r="AQ119" s="1"/>
      <c r="AR119" s="1"/>
      <c r="AS119" s="1"/>
      <c r="AT119" s="2"/>
      <c r="AU119" s="1"/>
      <c r="AV119" s="2">
        <v>0</v>
      </c>
      <c r="AW119" s="4"/>
      <c r="AX119" s="113"/>
      <c r="AY119" s="4"/>
      <c r="AZ119" s="1"/>
      <c r="BA119" s="1"/>
      <c r="BB119" s="1" t="s">
        <v>514</v>
      </c>
      <c r="BC119" s="4"/>
      <c r="BD119" s="1" t="s">
        <v>85</v>
      </c>
      <c r="BE119" s="4"/>
      <c r="BF119" s="2"/>
      <c r="BG119" s="4"/>
      <c r="BH119" s="1"/>
      <c r="BI119" s="1" t="s">
        <v>191</v>
      </c>
    </row>
    <row r="120" spans="1:61" ht="13.5" hidden="1" customHeight="1" x14ac:dyDescent="0.25">
      <c r="A120" s="2">
        <v>1590</v>
      </c>
      <c r="B120" s="1" t="s">
        <v>791</v>
      </c>
      <c r="C120" s="1" t="s">
        <v>47</v>
      </c>
      <c r="D120" s="1" t="s">
        <v>801</v>
      </c>
      <c r="E120" s="1"/>
      <c r="F120" s="1" t="s">
        <v>323</v>
      </c>
      <c r="G120" s="2"/>
      <c r="H120" s="103">
        <v>13</v>
      </c>
      <c r="I120" s="4">
        <v>13</v>
      </c>
      <c r="J120" s="39">
        <v>4</v>
      </c>
      <c r="K120" s="53" t="s">
        <v>245</v>
      </c>
      <c r="L120" s="66">
        <v>0</v>
      </c>
      <c r="M120" s="8"/>
      <c r="N120" s="1" t="s">
        <v>178</v>
      </c>
      <c r="O120" s="7" t="s">
        <v>799</v>
      </c>
      <c r="P120" s="114">
        <v>46013.367372685185</v>
      </c>
      <c r="Q120" s="114">
        <v>46247.481423611112</v>
      </c>
      <c r="R120" s="114"/>
      <c r="S120" s="1" t="s">
        <v>719</v>
      </c>
      <c r="T120" s="1" t="s">
        <v>81</v>
      </c>
      <c r="U120" s="4" t="s">
        <v>781</v>
      </c>
      <c r="V120" s="2"/>
      <c r="W120" s="114"/>
      <c r="X120" s="1"/>
      <c r="Y120" s="1"/>
      <c r="Z120" s="114"/>
      <c r="AA120" s="1"/>
      <c r="AB120" s="4"/>
      <c r="AC120" s="4"/>
      <c r="AD120" s="1"/>
      <c r="AE120" s="1" t="s">
        <v>63</v>
      </c>
      <c r="AF120" s="1"/>
      <c r="AG120" s="2"/>
      <c r="AH120" s="1"/>
      <c r="AI120" s="1"/>
      <c r="AJ120" s="1" t="s">
        <v>719</v>
      </c>
      <c r="AK120" s="114">
        <v>46247.481423611112</v>
      </c>
      <c r="AL120" s="1"/>
      <c r="AM120" s="1"/>
      <c r="AN120" s="1"/>
      <c r="AO120" s="1"/>
      <c r="AP120" s="1"/>
      <c r="AQ120" s="1"/>
      <c r="AR120" s="1"/>
      <c r="AS120" s="1"/>
      <c r="AT120" s="2"/>
      <c r="AU120" s="1"/>
      <c r="AV120" s="2">
        <v>0</v>
      </c>
      <c r="AW120" s="4"/>
      <c r="AX120" s="114"/>
      <c r="AY120" s="4"/>
      <c r="AZ120" s="1"/>
      <c r="BA120" s="1"/>
      <c r="BB120" s="1" t="s">
        <v>514</v>
      </c>
      <c r="BC120" s="4"/>
      <c r="BD120" s="1" t="s">
        <v>85</v>
      </c>
      <c r="BE120" s="4"/>
      <c r="BF120" s="2">
        <v>1712</v>
      </c>
      <c r="BG120" s="4"/>
      <c r="BH120" s="1"/>
      <c r="BI120" s="1" t="s">
        <v>185</v>
      </c>
    </row>
    <row r="121" spans="1:61" ht="13.5" hidden="1" customHeight="1" x14ac:dyDescent="0.25">
      <c r="A121" s="2">
        <v>1534</v>
      </c>
      <c r="B121" s="1" t="s">
        <v>785</v>
      </c>
      <c r="C121" s="1" t="s">
        <v>47</v>
      </c>
      <c r="D121" s="1" t="s">
        <v>801</v>
      </c>
      <c r="E121" s="1"/>
      <c r="F121" s="1" t="s">
        <v>323</v>
      </c>
      <c r="G121" s="2"/>
      <c r="H121" s="103">
        <v>13</v>
      </c>
      <c r="I121" s="103">
        <v>13</v>
      </c>
      <c r="J121" s="39">
        <v>4</v>
      </c>
      <c r="K121" s="53" t="s">
        <v>1000</v>
      </c>
      <c r="L121" s="66">
        <v>0</v>
      </c>
      <c r="M121" s="8"/>
      <c r="N121" s="1" t="s">
        <v>178</v>
      </c>
      <c r="O121" s="7" t="s">
        <v>786</v>
      </c>
      <c r="P121" s="115">
        <v>45993.722743055558</v>
      </c>
      <c r="Q121" s="115">
        <v>46276.388668981483</v>
      </c>
      <c r="R121" s="115"/>
      <c r="S121" s="1" t="s">
        <v>157</v>
      </c>
      <c r="T121" s="1" t="s">
        <v>81</v>
      </c>
      <c r="U121" s="4" t="s">
        <v>787</v>
      </c>
      <c r="V121" s="2"/>
      <c r="W121" s="115"/>
      <c r="X121" s="1"/>
      <c r="Y121" s="1"/>
      <c r="Z121" s="115"/>
      <c r="AA121" s="1"/>
      <c r="AB121" s="4"/>
      <c r="AC121" s="4"/>
      <c r="AD121" s="1"/>
      <c r="AE121" s="1" t="s">
        <v>63</v>
      </c>
      <c r="AF121" s="1"/>
      <c r="AG121" s="2"/>
      <c r="AH121" s="1"/>
      <c r="AI121" s="1"/>
      <c r="AJ121" s="1" t="s">
        <v>157</v>
      </c>
      <c r="AK121" s="115">
        <v>46276.388668981483</v>
      </c>
      <c r="AL121" s="1"/>
      <c r="AM121" s="1"/>
      <c r="AN121" s="1"/>
      <c r="AO121" s="1"/>
      <c r="AP121" s="1"/>
      <c r="AQ121" s="1"/>
      <c r="AR121" s="1"/>
      <c r="AS121" s="1"/>
      <c r="AT121" s="2"/>
      <c r="AU121" s="1"/>
      <c r="AV121" s="2">
        <v>0</v>
      </c>
      <c r="AW121" s="4"/>
      <c r="AX121" s="115"/>
      <c r="AY121" s="4"/>
      <c r="AZ121" s="1"/>
      <c r="BA121" s="1"/>
      <c r="BB121" s="1" t="s">
        <v>514</v>
      </c>
      <c r="BC121" s="4"/>
      <c r="BD121" s="1" t="s">
        <v>85</v>
      </c>
      <c r="BE121" s="4"/>
      <c r="BF121" s="2">
        <v>1712</v>
      </c>
      <c r="BG121" s="4"/>
      <c r="BH121" s="1"/>
      <c r="BI121" s="1" t="s">
        <v>185</v>
      </c>
    </row>
    <row r="122" spans="1:61" ht="13.5" hidden="1" customHeight="1" x14ac:dyDescent="0.25">
      <c r="A122" s="2">
        <v>1072</v>
      </c>
      <c r="B122" s="1" t="s">
        <v>265</v>
      </c>
      <c r="C122" s="1" t="s">
        <v>47</v>
      </c>
      <c r="D122" s="1" t="s">
        <v>801</v>
      </c>
      <c r="E122" s="1"/>
      <c r="F122" s="1" t="s">
        <v>323</v>
      </c>
      <c r="G122" s="2"/>
      <c r="H122" s="103">
        <v>30</v>
      </c>
      <c r="I122" s="103"/>
      <c r="J122" s="39">
        <v>4</v>
      </c>
      <c r="K122" s="53" t="s">
        <v>1000</v>
      </c>
      <c r="L122" s="66">
        <v>0</v>
      </c>
      <c r="M122" s="8"/>
      <c r="N122" s="1" t="s">
        <v>178</v>
      </c>
      <c r="O122" s="7" t="s">
        <v>100</v>
      </c>
      <c r="P122" s="116">
        <v>45804.657766203702</v>
      </c>
      <c r="Q122" s="116">
        <v>46276.392650462964</v>
      </c>
      <c r="R122" s="116"/>
      <c r="S122" s="1" t="s">
        <v>157</v>
      </c>
      <c r="T122" s="1" t="s">
        <v>81</v>
      </c>
      <c r="U122" s="4" t="s">
        <v>754</v>
      </c>
      <c r="V122" s="2"/>
      <c r="W122" s="116"/>
      <c r="X122" s="1"/>
      <c r="Y122" s="1"/>
      <c r="Z122" s="116"/>
      <c r="AA122" s="1"/>
      <c r="AB122" s="4"/>
      <c r="AC122" s="4"/>
      <c r="AD122" s="1"/>
      <c r="AE122" s="1" t="s">
        <v>63</v>
      </c>
      <c r="AF122" s="1"/>
      <c r="AG122" s="2"/>
      <c r="AH122" s="1"/>
      <c r="AI122" s="1"/>
      <c r="AJ122" s="1" t="s">
        <v>157</v>
      </c>
      <c r="AK122" s="116">
        <v>46276.392650462964</v>
      </c>
      <c r="AL122" s="1"/>
      <c r="AM122" s="1"/>
      <c r="AN122" s="1"/>
      <c r="AO122" s="1"/>
      <c r="AP122" s="1"/>
      <c r="AQ122" s="1"/>
      <c r="AR122" s="1"/>
      <c r="AS122" s="1"/>
      <c r="AT122" s="2"/>
      <c r="AU122" s="1"/>
      <c r="AV122" s="2">
        <v>7</v>
      </c>
      <c r="AW122" s="4"/>
      <c r="AX122" s="116"/>
      <c r="AY122" s="4"/>
      <c r="AZ122" s="1"/>
      <c r="BA122" s="1"/>
      <c r="BB122" s="1" t="s">
        <v>61</v>
      </c>
      <c r="BC122" s="4"/>
      <c r="BD122" s="1" t="s">
        <v>85</v>
      </c>
      <c r="BE122" s="4"/>
      <c r="BF122" s="2"/>
      <c r="BG122" s="4"/>
      <c r="BH122" s="1"/>
      <c r="BI122" s="1" t="s">
        <v>188</v>
      </c>
    </row>
    <row r="123" spans="1:61" ht="13.5" hidden="1" customHeight="1" x14ac:dyDescent="0.25">
      <c r="A123" s="2">
        <v>1673</v>
      </c>
      <c r="B123" s="1" t="s">
        <v>722</v>
      </c>
      <c r="C123" s="1" t="s">
        <v>47</v>
      </c>
      <c r="D123" s="1" t="s">
        <v>729</v>
      </c>
      <c r="E123" s="1" t="s">
        <v>752</v>
      </c>
      <c r="F123" s="1" t="s">
        <v>323</v>
      </c>
      <c r="G123" s="2">
        <v>39</v>
      </c>
      <c r="H123" s="103">
        <v>20</v>
      </c>
      <c r="I123" s="4"/>
      <c r="J123" s="39">
        <v>4</v>
      </c>
      <c r="K123" s="53" t="s">
        <v>608</v>
      </c>
      <c r="L123" s="66">
        <v>0</v>
      </c>
      <c r="M123" s="8" t="s">
        <v>719</v>
      </c>
      <c r="N123" s="1" t="s">
        <v>178</v>
      </c>
      <c r="O123" s="7" t="s">
        <v>723</v>
      </c>
      <c r="P123" s="116">
        <v>46052.589409722219</v>
      </c>
      <c r="Q123" s="116">
        <v>46300.701412037037</v>
      </c>
      <c r="R123" s="116"/>
      <c r="S123" s="1" t="s">
        <v>380</v>
      </c>
      <c r="T123" s="1" t="s">
        <v>719</v>
      </c>
      <c r="U123" s="4" t="s">
        <v>1101</v>
      </c>
      <c r="V123" s="2"/>
      <c r="W123" s="116"/>
      <c r="X123" s="1"/>
      <c r="Y123" s="1"/>
      <c r="Z123" s="116"/>
      <c r="AA123" s="1"/>
      <c r="AB123" s="4"/>
      <c r="AC123" s="4"/>
      <c r="AD123" s="1"/>
      <c r="AE123" s="1" t="s">
        <v>63</v>
      </c>
      <c r="AF123" s="1"/>
      <c r="AG123" s="2"/>
      <c r="AH123" s="1"/>
      <c r="AI123" s="1"/>
      <c r="AJ123" s="1" t="s">
        <v>380</v>
      </c>
      <c r="AK123" s="116">
        <v>46300.701412037037</v>
      </c>
      <c r="AL123" s="1"/>
      <c r="AM123" s="1"/>
      <c r="AN123" s="1"/>
      <c r="AO123" s="1"/>
      <c r="AP123" s="1"/>
      <c r="AQ123" s="1"/>
      <c r="AR123" s="1"/>
      <c r="AS123" s="1"/>
      <c r="AT123" s="2"/>
      <c r="AU123" s="1"/>
      <c r="AV123" s="2">
        <v>1</v>
      </c>
      <c r="AW123" s="4"/>
      <c r="AX123" s="116"/>
      <c r="AY123" s="4"/>
      <c r="AZ123" s="1"/>
      <c r="BA123" s="1"/>
      <c r="BB123" s="1" t="s">
        <v>514</v>
      </c>
      <c r="BC123" s="4"/>
      <c r="BD123" s="1" t="s">
        <v>85</v>
      </c>
      <c r="BE123" s="4"/>
      <c r="BF123" s="2"/>
      <c r="BG123" s="4"/>
      <c r="BH123" s="1"/>
      <c r="BI123" s="1" t="s">
        <v>185</v>
      </c>
    </row>
    <row r="124" spans="1:61" ht="13.5" hidden="1" customHeight="1" x14ac:dyDescent="0.25">
      <c r="A124" s="2">
        <v>1896</v>
      </c>
      <c r="B124" s="1" t="s">
        <v>862</v>
      </c>
      <c r="C124" s="1" t="s">
        <v>47</v>
      </c>
      <c r="D124" s="1" t="s">
        <v>318</v>
      </c>
      <c r="E124" s="1" t="s">
        <v>734</v>
      </c>
      <c r="F124" s="1" t="s">
        <v>323</v>
      </c>
      <c r="G124" s="2">
        <v>37</v>
      </c>
      <c r="H124" s="103">
        <v>8</v>
      </c>
      <c r="I124" s="103"/>
      <c r="J124" s="39">
        <v>1</v>
      </c>
      <c r="K124" s="53" t="s">
        <v>250</v>
      </c>
      <c r="L124" s="66">
        <v>0</v>
      </c>
      <c r="M124" s="8" t="s">
        <v>811</v>
      </c>
      <c r="N124" s="1" t="s">
        <v>177</v>
      </c>
      <c r="O124" s="7" t="s">
        <v>863</v>
      </c>
      <c r="P124" s="117">
        <v>46136.483912037038</v>
      </c>
      <c r="Q124" s="117">
        <v>46283.703599537039</v>
      </c>
      <c r="R124" s="117"/>
      <c r="S124" s="1" t="s">
        <v>380</v>
      </c>
      <c r="T124" s="1" t="s">
        <v>81</v>
      </c>
      <c r="U124" s="4" t="s">
        <v>922</v>
      </c>
      <c r="V124" s="2"/>
      <c r="W124" s="117"/>
      <c r="X124" s="1"/>
      <c r="Y124" s="1" t="s">
        <v>811</v>
      </c>
      <c r="Z124" s="117">
        <v>46244.477118055554</v>
      </c>
      <c r="AA124" s="1"/>
      <c r="AB124" s="4"/>
      <c r="AC124" s="4"/>
      <c r="AD124" s="1"/>
      <c r="AE124" s="1" t="s">
        <v>63</v>
      </c>
      <c r="AF124" s="1"/>
      <c r="AG124" s="2"/>
      <c r="AH124" s="1"/>
      <c r="AI124" s="1"/>
      <c r="AJ124" s="1" t="s">
        <v>380</v>
      </c>
      <c r="AK124" s="117">
        <v>46283.703599537039</v>
      </c>
      <c r="AL124" s="1"/>
      <c r="AM124" s="1"/>
      <c r="AN124" s="1"/>
      <c r="AO124" s="1"/>
      <c r="AP124" s="1"/>
      <c r="AQ124" s="1"/>
      <c r="AR124" s="1"/>
      <c r="AS124" s="1"/>
      <c r="AT124" s="2"/>
      <c r="AU124" s="1"/>
      <c r="AV124" s="2">
        <v>7</v>
      </c>
      <c r="AW124" s="4"/>
      <c r="AX124" s="117"/>
      <c r="AY124" s="4"/>
      <c r="AZ124" s="1"/>
      <c r="BA124" s="1"/>
      <c r="BB124" s="1" t="s">
        <v>514</v>
      </c>
      <c r="BC124" s="4"/>
      <c r="BD124" s="1" t="s">
        <v>85</v>
      </c>
      <c r="BE124" s="4"/>
      <c r="BF124" s="2">
        <v>1856</v>
      </c>
      <c r="BG124" s="4"/>
      <c r="BH124" s="1"/>
      <c r="BI124" s="1" t="s">
        <v>191</v>
      </c>
    </row>
    <row r="125" spans="1:61" ht="13.5" hidden="1" customHeight="1" x14ac:dyDescent="0.25">
      <c r="A125" s="2">
        <v>2125</v>
      </c>
      <c r="B125" s="1" t="s">
        <v>948</v>
      </c>
      <c r="C125" s="1" t="s">
        <v>47</v>
      </c>
      <c r="D125" s="1" t="s">
        <v>318</v>
      </c>
      <c r="E125" s="1" t="s">
        <v>802</v>
      </c>
      <c r="F125" s="1" t="s">
        <v>476</v>
      </c>
      <c r="G125" s="2">
        <v>37</v>
      </c>
      <c r="H125" s="103">
        <v>14</v>
      </c>
      <c r="I125" s="103"/>
      <c r="J125" s="39">
        <v>1</v>
      </c>
      <c r="K125" s="53" t="s">
        <v>250</v>
      </c>
      <c r="L125" s="66">
        <v>0</v>
      </c>
      <c r="M125" s="8" t="s">
        <v>811</v>
      </c>
      <c r="N125" s="1" t="s">
        <v>177</v>
      </c>
      <c r="O125" s="7" t="s">
        <v>980</v>
      </c>
      <c r="P125" s="118">
        <v>46244.724421296298</v>
      </c>
      <c r="Q125" s="118">
        <v>46301.370023148149</v>
      </c>
      <c r="R125" s="118"/>
      <c r="S125" s="1" t="s">
        <v>380</v>
      </c>
      <c r="T125" s="1" t="s">
        <v>446</v>
      </c>
      <c r="U125" s="4" t="s">
        <v>606</v>
      </c>
      <c r="V125" s="2"/>
      <c r="W125" s="118"/>
      <c r="X125" s="1"/>
      <c r="Y125" s="1" t="s">
        <v>811</v>
      </c>
      <c r="Z125" s="118">
        <v>46248.495740740742</v>
      </c>
      <c r="AA125" s="1"/>
      <c r="AB125" s="4"/>
      <c r="AC125" s="4"/>
      <c r="AD125" s="1"/>
      <c r="AE125" s="1" t="s">
        <v>63</v>
      </c>
      <c r="AF125" s="1"/>
      <c r="AG125" s="2"/>
      <c r="AH125" s="1"/>
      <c r="AI125" s="1"/>
      <c r="AJ125" s="1" t="s">
        <v>380</v>
      </c>
      <c r="AK125" s="118">
        <v>46301.370023148149</v>
      </c>
      <c r="AL125" s="1"/>
      <c r="AM125" s="1"/>
      <c r="AN125" s="1"/>
      <c r="AO125" s="1"/>
      <c r="AP125" s="1"/>
      <c r="AQ125" s="1"/>
      <c r="AR125" s="1"/>
      <c r="AS125" s="1"/>
      <c r="AT125" s="2"/>
      <c r="AU125" s="1"/>
      <c r="AV125" s="2">
        <v>1</v>
      </c>
      <c r="AW125" s="4"/>
      <c r="AX125" s="118"/>
      <c r="AY125" s="4"/>
      <c r="AZ125" s="1"/>
      <c r="BA125" s="1"/>
      <c r="BB125" s="1" t="s">
        <v>514</v>
      </c>
      <c r="BC125" s="4"/>
      <c r="BD125" s="1" t="s">
        <v>85</v>
      </c>
      <c r="BE125" s="4"/>
      <c r="BF125" s="2">
        <v>2114</v>
      </c>
      <c r="BG125" s="4"/>
      <c r="BH125" s="1"/>
      <c r="BI125" s="1" t="s">
        <v>191</v>
      </c>
    </row>
    <row r="126" spans="1:61" ht="13.5" hidden="1" customHeight="1" x14ac:dyDescent="0.25">
      <c r="A126" s="2">
        <v>2187</v>
      </c>
      <c r="B126" s="1" t="s">
        <v>1094</v>
      </c>
      <c r="C126" s="1" t="s">
        <v>47</v>
      </c>
      <c r="D126" s="1" t="s">
        <v>318</v>
      </c>
      <c r="E126" s="1" t="s">
        <v>734</v>
      </c>
      <c r="F126" s="1" t="s">
        <v>323</v>
      </c>
      <c r="G126" s="2">
        <v>42</v>
      </c>
      <c r="H126" s="103">
        <v>8</v>
      </c>
      <c r="I126" s="103"/>
      <c r="J126" s="39">
        <v>1</v>
      </c>
      <c r="K126" s="53" t="s">
        <v>468</v>
      </c>
      <c r="L126" s="66">
        <v>0</v>
      </c>
      <c r="M126" s="8" t="s">
        <v>81</v>
      </c>
      <c r="N126" s="1" t="s">
        <v>178</v>
      </c>
      <c r="O126" s="7"/>
      <c r="P126" s="119">
        <v>46273.49800925926</v>
      </c>
      <c r="Q126" s="119">
        <v>46301.363680555558</v>
      </c>
      <c r="R126" s="119"/>
      <c r="S126" s="1" t="s">
        <v>380</v>
      </c>
      <c r="T126" s="1" t="s">
        <v>81</v>
      </c>
      <c r="U126" s="4"/>
      <c r="V126" s="2"/>
      <c r="W126" s="119"/>
      <c r="X126" s="1"/>
      <c r="Y126" s="1"/>
      <c r="Z126" s="119"/>
      <c r="AA126" s="1"/>
      <c r="AB126" s="4"/>
      <c r="AC126" s="4"/>
      <c r="AD126" s="1"/>
      <c r="AE126" s="1" t="s">
        <v>63</v>
      </c>
      <c r="AF126" s="1"/>
      <c r="AG126" s="2"/>
      <c r="AH126" s="1"/>
      <c r="AI126" s="1"/>
      <c r="AJ126" s="1" t="s">
        <v>380</v>
      </c>
      <c r="AK126" s="119">
        <v>46301.363680555558</v>
      </c>
      <c r="AL126" s="1"/>
      <c r="AM126" s="1"/>
      <c r="AN126" s="1"/>
      <c r="AO126" s="1"/>
      <c r="AP126" s="1"/>
      <c r="AQ126" s="1"/>
      <c r="AR126" s="1"/>
      <c r="AS126" s="1"/>
      <c r="AT126" s="2"/>
      <c r="AU126" s="1"/>
      <c r="AV126" s="2">
        <v>0</v>
      </c>
      <c r="AW126" s="4"/>
      <c r="AX126" s="119"/>
      <c r="AY126" s="4"/>
      <c r="AZ126" s="1"/>
      <c r="BA126" s="1"/>
      <c r="BB126" s="1" t="s">
        <v>514</v>
      </c>
      <c r="BC126" s="4"/>
      <c r="BD126" s="1" t="s">
        <v>85</v>
      </c>
      <c r="BE126" s="4"/>
      <c r="BF126" s="2">
        <v>2107</v>
      </c>
      <c r="BG126" s="4"/>
      <c r="BH126" s="1"/>
      <c r="BI126" s="1" t="s">
        <v>185</v>
      </c>
    </row>
    <row r="127" spans="1:61" ht="13.5" hidden="1" customHeight="1" x14ac:dyDescent="0.25">
      <c r="A127" s="2">
        <v>2190</v>
      </c>
      <c r="B127" s="1" t="s">
        <v>1095</v>
      </c>
      <c r="C127" s="1" t="s">
        <v>47</v>
      </c>
      <c r="D127" s="1" t="s">
        <v>318</v>
      </c>
      <c r="E127" s="1" t="s">
        <v>734</v>
      </c>
      <c r="F127" s="1" t="s">
        <v>323</v>
      </c>
      <c r="G127" s="2">
        <v>43</v>
      </c>
      <c r="H127" s="103">
        <v>8</v>
      </c>
      <c r="I127" s="103"/>
      <c r="J127" s="39">
        <v>1</v>
      </c>
      <c r="K127" s="53" t="s">
        <v>468</v>
      </c>
      <c r="L127" s="66">
        <v>0</v>
      </c>
      <c r="M127" s="8" t="s">
        <v>81</v>
      </c>
      <c r="N127" s="1" t="s">
        <v>178</v>
      </c>
      <c r="O127" s="7"/>
      <c r="P127" s="120">
        <v>46273.49800925926</v>
      </c>
      <c r="Q127" s="120">
        <v>46301.363819444443</v>
      </c>
      <c r="R127" s="120"/>
      <c r="S127" s="1" t="s">
        <v>380</v>
      </c>
      <c r="T127" s="1" t="s">
        <v>81</v>
      </c>
      <c r="U127" s="4"/>
      <c r="V127" s="2"/>
      <c r="W127" s="120"/>
      <c r="X127" s="1"/>
      <c r="Y127" s="1"/>
      <c r="Z127" s="120"/>
      <c r="AA127" s="1"/>
      <c r="AB127" s="4"/>
      <c r="AC127" s="4"/>
      <c r="AD127" s="1"/>
      <c r="AE127" s="1" t="s">
        <v>63</v>
      </c>
      <c r="AF127" s="1"/>
      <c r="AG127" s="2"/>
      <c r="AH127" s="1"/>
      <c r="AI127" s="1"/>
      <c r="AJ127" s="1" t="s">
        <v>380</v>
      </c>
      <c r="AK127" s="120">
        <v>46301.363819444443</v>
      </c>
      <c r="AL127" s="1"/>
      <c r="AM127" s="1"/>
      <c r="AN127" s="1"/>
      <c r="AO127" s="1"/>
      <c r="AP127" s="1"/>
      <c r="AQ127" s="1"/>
      <c r="AR127" s="1"/>
      <c r="AS127" s="1"/>
      <c r="AT127" s="2"/>
      <c r="AU127" s="1"/>
      <c r="AV127" s="2">
        <v>0</v>
      </c>
      <c r="AW127" s="4"/>
      <c r="AX127" s="120"/>
      <c r="AY127" s="4"/>
      <c r="AZ127" s="1"/>
      <c r="BA127" s="1"/>
      <c r="BB127" s="1" t="s">
        <v>514</v>
      </c>
      <c r="BC127" s="4"/>
      <c r="BD127" s="1" t="s">
        <v>85</v>
      </c>
      <c r="BE127" s="4"/>
      <c r="BF127" s="2">
        <v>2107</v>
      </c>
      <c r="BG127" s="4"/>
      <c r="BH127" s="1"/>
      <c r="BI127" s="1" t="s">
        <v>185</v>
      </c>
    </row>
    <row r="128" spans="1:61" ht="13.5" hidden="1" customHeight="1" x14ac:dyDescent="0.25">
      <c r="A128" s="2">
        <v>2055</v>
      </c>
      <c r="B128" s="1" t="s">
        <v>902</v>
      </c>
      <c r="C128" s="1" t="s">
        <v>47</v>
      </c>
      <c r="D128" s="1" t="s">
        <v>318</v>
      </c>
      <c r="E128" s="1" t="s">
        <v>802</v>
      </c>
      <c r="F128" s="1" t="s">
        <v>476</v>
      </c>
      <c r="G128" s="2">
        <v>37</v>
      </c>
      <c r="H128" s="103">
        <v>16</v>
      </c>
      <c r="I128" s="103"/>
      <c r="J128" s="39">
        <v>1</v>
      </c>
      <c r="K128" s="53" t="s">
        <v>256</v>
      </c>
      <c r="L128" s="66">
        <v>1</v>
      </c>
      <c r="M128" s="8" t="s">
        <v>81</v>
      </c>
      <c r="N128" s="1" t="s">
        <v>177</v>
      </c>
      <c r="O128" s="7" t="s">
        <v>895</v>
      </c>
      <c r="P128" s="120">
        <v>46199.710474537038</v>
      </c>
      <c r="Q128" s="120">
        <v>46304.389826388891</v>
      </c>
      <c r="R128" s="120"/>
      <c r="S128" s="1" t="s">
        <v>81</v>
      </c>
      <c r="T128" s="1" t="s">
        <v>81</v>
      </c>
      <c r="U128" s="4" t="s">
        <v>683</v>
      </c>
      <c r="V128" s="2"/>
      <c r="W128" s="120"/>
      <c r="X128" s="1"/>
      <c r="Y128" s="1" t="s">
        <v>81</v>
      </c>
      <c r="Z128" s="120">
        <v>46304.389791666668</v>
      </c>
      <c r="AA128" s="1"/>
      <c r="AB128" s="4"/>
      <c r="AC128" s="4"/>
      <c r="AD128" s="1"/>
      <c r="AE128" s="1" t="s">
        <v>63</v>
      </c>
      <c r="AF128" s="1"/>
      <c r="AG128" s="2"/>
      <c r="AH128" s="1"/>
      <c r="AI128" s="1"/>
      <c r="AJ128" s="1" t="s">
        <v>81</v>
      </c>
      <c r="AK128" s="120">
        <v>46304.389826388891</v>
      </c>
      <c r="AL128" s="1"/>
      <c r="AM128" s="1"/>
      <c r="AN128" s="1"/>
      <c r="AO128" s="1"/>
      <c r="AP128" s="1"/>
      <c r="AQ128" s="1"/>
      <c r="AR128" s="1"/>
      <c r="AS128" s="1"/>
      <c r="AT128" s="2"/>
      <c r="AU128" s="1"/>
      <c r="AV128" s="2">
        <v>9</v>
      </c>
      <c r="AW128" s="4"/>
      <c r="AX128" s="120"/>
      <c r="AY128" s="4"/>
      <c r="AZ128" s="1"/>
      <c r="BA128" s="1"/>
      <c r="BB128" s="1" t="s">
        <v>514</v>
      </c>
      <c r="BC128" s="4"/>
      <c r="BD128" s="1" t="s">
        <v>85</v>
      </c>
      <c r="BE128" s="4"/>
      <c r="BF128" s="2">
        <v>1856</v>
      </c>
      <c r="BG128" s="4"/>
      <c r="BH128" s="1"/>
      <c r="BI128" s="1" t="s">
        <v>191</v>
      </c>
    </row>
    <row r="129" spans="1:61" ht="13.5" hidden="1" customHeight="1" x14ac:dyDescent="0.25">
      <c r="A129" s="2">
        <v>1926</v>
      </c>
      <c r="B129" s="1" t="s">
        <v>859</v>
      </c>
      <c r="C129" s="1" t="s">
        <v>47</v>
      </c>
      <c r="D129" s="1" t="s">
        <v>318</v>
      </c>
      <c r="E129" s="1" t="s">
        <v>802</v>
      </c>
      <c r="F129" s="1" t="s">
        <v>476</v>
      </c>
      <c r="G129" s="2">
        <v>37</v>
      </c>
      <c r="H129" s="103">
        <v>4</v>
      </c>
      <c r="I129" s="4"/>
      <c r="J129" s="39">
        <v>1</v>
      </c>
      <c r="K129" s="53" t="s">
        <v>250</v>
      </c>
      <c r="L129" s="66">
        <v>1</v>
      </c>
      <c r="M129" s="8" t="s">
        <v>81</v>
      </c>
      <c r="N129" s="1" t="s">
        <v>177</v>
      </c>
      <c r="O129" s="7" t="s">
        <v>860</v>
      </c>
      <c r="P129" s="121">
        <v>46148.378518518519</v>
      </c>
      <c r="Q129" s="121">
        <v>46297.480694444443</v>
      </c>
      <c r="R129" s="121"/>
      <c r="S129" s="1" t="s">
        <v>380</v>
      </c>
      <c r="T129" s="1" t="s">
        <v>81</v>
      </c>
      <c r="U129" s="4" t="s">
        <v>861</v>
      </c>
      <c r="V129" s="2"/>
      <c r="W129" s="121"/>
      <c r="X129" s="1"/>
      <c r="Y129" s="1" t="s">
        <v>380</v>
      </c>
      <c r="Z129" s="121">
        <v>46297.480694444443</v>
      </c>
      <c r="AA129" s="1"/>
      <c r="AB129" s="4"/>
      <c r="AC129" s="4"/>
      <c r="AD129" s="1"/>
      <c r="AE129" s="1" t="s">
        <v>63</v>
      </c>
      <c r="AF129" s="1"/>
      <c r="AG129" s="2"/>
      <c r="AH129" s="1"/>
      <c r="AI129" s="1"/>
      <c r="AJ129" s="1" t="s">
        <v>380</v>
      </c>
      <c r="AK129" s="121">
        <v>46297.480694444443</v>
      </c>
      <c r="AL129" s="1"/>
      <c r="AM129" s="1"/>
      <c r="AN129" s="1"/>
      <c r="AO129" s="1"/>
      <c r="AP129" s="1"/>
      <c r="AQ129" s="1"/>
      <c r="AR129" s="1"/>
      <c r="AS129" s="1"/>
      <c r="AT129" s="2"/>
      <c r="AU129" s="1"/>
      <c r="AV129" s="2">
        <v>5</v>
      </c>
      <c r="AW129" s="4"/>
      <c r="AX129" s="121"/>
      <c r="AY129" s="4"/>
      <c r="AZ129" s="1"/>
      <c r="BA129" s="1"/>
      <c r="BB129" s="1" t="s">
        <v>61</v>
      </c>
      <c r="BC129" s="4"/>
      <c r="BD129" s="1" t="s">
        <v>85</v>
      </c>
      <c r="BE129" s="4"/>
      <c r="BF129" s="2">
        <v>1856</v>
      </c>
      <c r="BG129" s="4"/>
      <c r="BH129" s="1"/>
      <c r="BI129" s="1" t="s">
        <v>191</v>
      </c>
    </row>
    <row r="130" spans="1:61" ht="13.5" hidden="1" customHeight="1" x14ac:dyDescent="0.25">
      <c r="A130" s="2">
        <v>2073</v>
      </c>
      <c r="B130" s="1" t="s">
        <v>906</v>
      </c>
      <c r="C130" s="1" t="s">
        <v>47</v>
      </c>
      <c r="D130" s="1" t="s">
        <v>318</v>
      </c>
      <c r="E130" s="1" t="s">
        <v>802</v>
      </c>
      <c r="F130" s="1" t="s">
        <v>476</v>
      </c>
      <c r="G130" s="2">
        <v>37</v>
      </c>
      <c r="H130" s="103">
        <v>8</v>
      </c>
      <c r="I130" s="103"/>
      <c r="J130" s="39">
        <v>1</v>
      </c>
      <c r="K130" s="53" t="s">
        <v>250</v>
      </c>
      <c r="L130" s="66">
        <v>0</v>
      </c>
      <c r="M130" s="8" t="s">
        <v>811</v>
      </c>
      <c r="N130" s="1" t="s">
        <v>177</v>
      </c>
      <c r="O130" s="7" t="s">
        <v>910</v>
      </c>
      <c r="P130" s="122">
        <v>46212.374456018515</v>
      </c>
      <c r="Q130" s="122">
        <v>46301.33488425926</v>
      </c>
      <c r="R130" s="122"/>
      <c r="S130" s="1" t="s">
        <v>380</v>
      </c>
      <c r="T130" s="1" t="s">
        <v>81</v>
      </c>
      <c r="U130" s="4" t="s">
        <v>923</v>
      </c>
      <c r="V130" s="2"/>
      <c r="W130" s="122"/>
      <c r="X130" s="1"/>
      <c r="Y130" s="1" t="s">
        <v>811</v>
      </c>
      <c r="Z130" s="122">
        <v>46232.366041666668</v>
      </c>
      <c r="AA130" s="1"/>
      <c r="AB130" s="4"/>
      <c r="AC130" s="4"/>
      <c r="AD130" s="1"/>
      <c r="AE130" s="1" t="s">
        <v>63</v>
      </c>
      <c r="AF130" s="1"/>
      <c r="AG130" s="2"/>
      <c r="AH130" s="1"/>
      <c r="AI130" s="1"/>
      <c r="AJ130" s="1" t="s">
        <v>380</v>
      </c>
      <c r="AK130" s="122">
        <v>46301.33488425926</v>
      </c>
      <c r="AL130" s="1"/>
      <c r="AM130" s="1"/>
      <c r="AN130" s="1"/>
      <c r="AO130" s="1"/>
      <c r="AP130" s="1"/>
      <c r="AQ130" s="1"/>
      <c r="AR130" s="1"/>
      <c r="AS130" s="1"/>
      <c r="AT130" s="2"/>
      <c r="AU130" s="1"/>
      <c r="AV130" s="2">
        <v>4</v>
      </c>
      <c r="AW130" s="4"/>
      <c r="AX130" s="122"/>
      <c r="AY130" s="4"/>
      <c r="AZ130" s="1"/>
      <c r="BA130" s="1"/>
      <c r="BB130" s="1" t="s">
        <v>514</v>
      </c>
      <c r="BC130" s="4"/>
      <c r="BD130" s="1" t="s">
        <v>85</v>
      </c>
      <c r="BE130" s="4"/>
      <c r="BF130" s="2">
        <v>1856</v>
      </c>
      <c r="BG130" s="4"/>
      <c r="BH130" s="1"/>
      <c r="BI130" s="1" t="s">
        <v>191</v>
      </c>
    </row>
    <row r="131" spans="1:61" ht="13.5" hidden="1" customHeight="1" x14ac:dyDescent="0.25">
      <c r="A131" s="2">
        <v>2046</v>
      </c>
      <c r="B131" s="1" t="s">
        <v>896</v>
      </c>
      <c r="C131" s="1" t="s">
        <v>47</v>
      </c>
      <c r="D131" s="1" t="s">
        <v>318</v>
      </c>
      <c r="E131" s="1" t="s">
        <v>802</v>
      </c>
      <c r="F131" s="1" t="s">
        <v>323</v>
      </c>
      <c r="G131" s="2">
        <v>39</v>
      </c>
      <c r="H131" s="103">
        <v>4</v>
      </c>
      <c r="I131" s="4"/>
      <c r="J131" s="39">
        <v>1</v>
      </c>
      <c r="K131" s="53" t="s">
        <v>250</v>
      </c>
      <c r="L131" s="66">
        <v>1</v>
      </c>
      <c r="M131" s="8" t="s">
        <v>81</v>
      </c>
      <c r="N131" s="1" t="s">
        <v>177</v>
      </c>
      <c r="O131" s="7" t="s">
        <v>897</v>
      </c>
      <c r="P131" s="122">
        <v>46198.444791666669</v>
      </c>
      <c r="Q131" s="122">
        <v>46303.601238425923</v>
      </c>
      <c r="R131" s="122"/>
      <c r="S131" s="1" t="s">
        <v>81</v>
      </c>
      <c r="T131" s="1" t="s">
        <v>81</v>
      </c>
      <c r="U131" s="4"/>
      <c r="V131" s="2"/>
      <c r="W131" s="122"/>
      <c r="X131" s="1"/>
      <c r="Y131" s="1" t="s">
        <v>380</v>
      </c>
      <c r="Z131" s="122">
        <v>46296.722361111111</v>
      </c>
      <c r="AA131" s="1"/>
      <c r="AB131" s="4"/>
      <c r="AC131" s="4"/>
      <c r="AD131" s="1"/>
      <c r="AE131" s="1" t="s">
        <v>63</v>
      </c>
      <c r="AF131" s="1"/>
      <c r="AG131" s="2"/>
      <c r="AH131" s="1"/>
      <c r="AI131" s="1"/>
      <c r="AJ131" s="1" t="s">
        <v>81</v>
      </c>
      <c r="AK131" s="122">
        <v>46303.601238425923</v>
      </c>
      <c r="AL131" s="1"/>
      <c r="AM131" s="1"/>
      <c r="AN131" s="1"/>
      <c r="AO131" s="1"/>
      <c r="AP131" s="1"/>
      <c r="AQ131" s="1"/>
      <c r="AR131" s="1"/>
      <c r="AS131" s="1"/>
      <c r="AT131" s="2"/>
      <c r="AU131" s="1"/>
      <c r="AV131" s="2">
        <v>5</v>
      </c>
      <c r="AW131" s="4"/>
      <c r="AX131" s="122"/>
      <c r="AY131" s="4"/>
      <c r="AZ131" s="1"/>
      <c r="BA131" s="1"/>
      <c r="BB131" s="1" t="s">
        <v>514</v>
      </c>
      <c r="BC131" s="4"/>
      <c r="BD131" s="1" t="s">
        <v>85</v>
      </c>
      <c r="BE131" s="4"/>
      <c r="BF131" s="2">
        <v>1856</v>
      </c>
      <c r="BG131" s="4"/>
      <c r="BH131" s="1"/>
      <c r="BI131" s="1" t="s">
        <v>191</v>
      </c>
    </row>
    <row r="132" spans="1:61" ht="13.5" customHeight="1" x14ac:dyDescent="0.25">
      <c r="A132" s="2">
        <v>2239</v>
      </c>
      <c r="B132" s="1" t="s">
        <v>1107</v>
      </c>
      <c r="C132" s="1" t="s">
        <v>47</v>
      </c>
      <c r="D132" s="1" t="s">
        <v>318</v>
      </c>
      <c r="E132" s="1" t="s">
        <v>802</v>
      </c>
      <c r="F132" s="1" t="s">
        <v>323</v>
      </c>
      <c r="G132" s="2"/>
      <c r="H132" s="103"/>
      <c r="I132" s="103"/>
      <c r="J132" s="39">
        <v>2</v>
      </c>
      <c r="K132" s="53" t="s">
        <v>249</v>
      </c>
      <c r="L132" s="66">
        <v>0</v>
      </c>
      <c r="M132" s="8" t="s">
        <v>719</v>
      </c>
      <c r="N132" s="1" t="s">
        <v>178</v>
      </c>
      <c r="O132" s="7" t="s">
        <v>1108</v>
      </c>
      <c r="P132" s="123">
        <v>46304.70957175926</v>
      </c>
      <c r="Q132" s="123">
        <v>46304.737453703703</v>
      </c>
      <c r="R132" s="123"/>
      <c r="S132" s="1" t="s">
        <v>446</v>
      </c>
      <c r="T132" s="1" t="s">
        <v>446</v>
      </c>
      <c r="U132" s="4" t="s">
        <v>606</v>
      </c>
      <c r="V132" s="2"/>
      <c r="W132" s="123"/>
      <c r="X132" s="1"/>
      <c r="Y132" s="1"/>
      <c r="Z132" s="123"/>
      <c r="AA132" s="1"/>
      <c r="AB132" s="4"/>
      <c r="AC132" s="4"/>
      <c r="AD132" s="1"/>
      <c r="AE132" s="1" t="s">
        <v>63</v>
      </c>
      <c r="AF132" s="1"/>
      <c r="AG132" s="2"/>
      <c r="AH132" s="1"/>
      <c r="AI132" s="1"/>
      <c r="AJ132" s="1" t="s">
        <v>446</v>
      </c>
      <c r="AK132" s="123">
        <v>46304.737453703703</v>
      </c>
      <c r="AL132" s="1"/>
      <c r="AM132" s="1"/>
      <c r="AN132" s="1"/>
      <c r="AO132" s="1"/>
      <c r="AP132" s="1"/>
      <c r="AQ132" s="1"/>
      <c r="AR132" s="1"/>
      <c r="AS132" s="1"/>
      <c r="AT132" s="2"/>
      <c r="AU132" s="1"/>
      <c r="AV132" s="2">
        <v>0</v>
      </c>
      <c r="AW132" s="4"/>
      <c r="AX132" s="123"/>
      <c r="AY132" s="4"/>
      <c r="AZ132" s="1"/>
      <c r="BA132" s="1"/>
      <c r="BB132" s="1" t="s">
        <v>514</v>
      </c>
      <c r="BC132" s="4"/>
      <c r="BD132" s="1" t="s">
        <v>85</v>
      </c>
      <c r="BE132" s="4"/>
      <c r="BF132" s="2">
        <v>2114</v>
      </c>
      <c r="BG132" s="4"/>
      <c r="BH132" s="1"/>
      <c r="BI132" s="1" t="s">
        <v>185</v>
      </c>
    </row>
    <row r="133" spans="1:61" ht="13.5" hidden="1" customHeight="1" x14ac:dyDescent="0.25">
      <c r="A133" s="2">
        <v>1914</v>
      </c>
      <c r="B133" s="1" t="s">
        <v>812</v>
      </c>
      <c r="C133" s="1" t="s">
        <v>47</v>
      </c>
      <c r="D133" s="1" t="s">
        <v>318</v>
      </c>
      <c r="E133" s="1" t="s">
        <v>802</v>
      </c>
      <c r="F133" s="1" t="s">
        <v>323</v>
      </c>
      <c r="G133" s="2"/>
      <c r="H133" s="103">
        <v>80</v>
      </c>
      <c r="I133" s="4"/>
      <c r="J133" s="39">
        <v>3</v>
      </c>
      <c r="K133" s="53" t="s">
        <v>245</v>
      </c>
      <c r="L133" s="66">
        <v>0</v>
      </c>
      <c r="M133" s="8" t="s">
        <v>81</v>
      </c>
      <c r="N133" s="1" t="s">
        <v>178</v>
      </c>
      <c r="O133" s="7"/>
      <c r="P133" s="123">
        <v>46147.43072916667</v>
      </c>
      <c r="Q133" s="123">
        <v>46295.361250000002</v>
      </c>
      <c r="R133" s="123"/>
      <c r="S133" s="1" t="s">
        <v>380</v>
      </c>
      <c r="T133" s="1" t="s">
        <v>81</v>
      </c>
      <c r="U133" s="4"/>
      <c r="V133" s="2"/>
      <c r="W133" s="123"/>
      <c r="X133" s="1"/>
      <c r="Y133" s="1"/>
      <c r="Z133" s="123"/>
      <c r="AA133" s="1"/>
      <c r="AB133" s="4"/>
      <c r="AC133" s="4"/>
      <c r="AD133" s="1"/>
      <c r="AE133" s="1" t="s">
        <v>63</v>
      </c>
      <c r="AF133" s="1"/>
      <c r="AG133" s="2"/>
      <c r="AH133" s="1"/>
      <c r="AI133" s="1"/>
      <c r="AJ133" s="1" t="s">
        <v>380</v>
      </c>
      <c r="AK133" s="123">
        <v>46295.361250000002</v>
      </c>
      <c r="AL133" s="1"/>
      <c r="AM133" s="1"/>
      <c r="AN133" s="1"/>
      <c r="AO133" s="1"/>
      <c r="AP133" s="1"/>
      <c r="AQ133" s="1"/>
      <c r="AR133" s="1"/>
      <c r="AS133" s="1"/>
      <c r="AT133" s="2"/>
      <c r="AU133" s="1"/>
      <c r="AV133" s="2">
        <v>3</v>
      </c>
      <c r="AW133" s="4"/>
      <c r="AX133" s="123"/>
      <c r="AY133" s="4"/>
      <c r="AZ133" s="1"/>
      <c r="BA133" s="1"/>
      <c r="BB133" s="1" t="s">
        <v>514</v>
      </c>
      <c r="BC133" s="4"/>
      <c r="BD133" s="1" t="s">
        <v>85</v>
      </c>
      <c r="BE133" s="4"/>
      <c r="BF133" s="2">
        <v>2114</v>
      </c>
      <c r="BG133" s="4"/>
      <c r="BH133" s="1"/>
      <c r="BI133" s="1" t="s">
        <v>188</v>
      </c>
    </row>
    <row r="134" spans="1:61" ht="13.5" hidden="1" customHeight="1" x14ac:dyDescent="0.25">
      <c r="A134" s="2">
        <v>2147</v>
      </c>
      <c r="B134" s="1" t="s">
        <v>965</v>
      </c>
      <c r="C134" s="1" t="s">
        <v>47</v>
      </c>
      <c r="D134" s="1" t="s">
        <v>318</v>
      </c>
      <c r="E134" s="1" t="s">
        <v>802</v>
      </c>
      <c r="F134" s="1" t="s">
        <v>476</v>
      </c>
      <c r="G134" s="2">
        <v>40</v>
      </c>
      <c r="H134" s="103">
        <v>8</v>
      </c>
      <c r="I134" s="4"/>
      <c r="J134" s="39">
        <v>3</v>
      </c>
      <c r="K134" s="53" t="s">
        <v>724</v>
      </c>
      <c r="L134" s="66">
        <v>0</v>
      </c>
      <c r="M134" s="8" t="s">
        <v>91</v>
      </c>
      <c r="N134" s="1" t="s">
        <v>178</v>
      </c>
      <c r="O134" s="7" t="s">
        <v>971</v>
      </c>
      <c r="P134" s="123">
        <v>46254.411041666666</v>
      </c>
      <c r="Q134" s="123">
        <v>46295.398657407408</v>
      </c>
      <c r="R134" s="123"/>
      <c r="S134" s="1" t="s">
        <v>91</v>
      </c>
      <c r="T134" s="1" t="s">
        <v>81</v>
      </c>
      <c r="U134" s="4"/>
      <c r="V134" s="2"/>
      <c r="W134" s="123"/>
      <c r="X134" s="1"/>
      <c r="Y134" s="1"/>
      <c r="Z134" s="123"/>
      <c r="AA134" s="1"/>
      <c r="AB134" s="4"/>
      <c r="AC134" s="4"/>
      <c r="AD134" s="1"/>
      <c r="AE134" s="1" t="s">
        <v>63</v>
      </c>
      <c r="AF134" s="1"/>
      <c r="AG134" s="2"/>
      <c r="AH134" s="1"/>
      <c r="AI134" s="1"/>
      <c r="AJ134" s="1" t="s">
        <v>91</v>
      </c>
      <c r="AK134" s="123">
        <v>46295.398657407408</v>
      </c>
      <c r="AL134" s="1"/>
      <c r="AM134" s="1"/>
      <c r="AN134" s="1"/>
      <c r="AO134" s="1"/>
      <c r="AP134" s="1"/>
      <c r="AQ134" s="1"/>
      <c r="AR134" s="1"/>
      <c r="AS134" s="1"/>
      <c r="AT134" s="2"/>
      <c r="AU134" s="1"/>
      <c r="AV134" s="2">
        <v>0</v>
      </c>
      <c r="AW134" s="4"/>
      <c r="AX134" s="123"/>
      <c r="AY134" s="4"/>
      <c r="AZ134" s="1"/>
      <c r="BA134" s="1"/>
      <c r="BB134" s="1" t="s">
        <v>514</v>
      </c>
      <c r="BC134" s="4"/>
      <c r="BD134" s="1" t="s">
        <v>85</v>
      </c>
      <c r="BE134" s="4"/>
      <c r="BF134" s="2">
        <v>2114</v>
      </c>
      <c r="BG134" s="4"/>
      <c r="BH134" s="1"/>
      <c r="BI134" s="1" t="s">
        <v>188</v>
      </c>
    </row>
    <row r="135" spans="1:61" ht="13.5" hidden="1" customHeight="1" x14ac:dyDescent="0.25">
      <c r="A135" s="2">
        <v>2223</v>
      </c>
      <c r="B135" s="1" t="s">
        <v>1067</v>
      </c>
      <c r="C135" s="1" t="s">
        <v>47</v>
      </c>
      <c r="D135" s="1" t="s">
        <v>728</v>
      </c>
      <c r="E135" s="1" t="s">
        <v>802</v>
      </c>
      <c r="F135" s="1" t="s">
        <v>323</v>
      </c>
      <c r="G135" s="2">
        <v>43</v>
      </c>
      <c r="H135" s="103">
        <v>10</v>
      </c>
      <c r="I135" s="103"/>
      <c r="J135" s="39">
        <v>2</v>
      </c>
      <c r="K135" s="53" t="s">
        <v>256</v>
      </c>
      <c r="L135" s="66">
        <v>0</v>
      </c>
      <c r="M135" s="8" t="s">
        <v>1072</v>
      </c>
      <c r="N135" s="1" t="s">
        <v>177</v>
      </c>
      <c r="O135" s="7" t="s">
        <v>1070</v>
      </c>
      <c r="P135" s="123">
        <v>46289.384074074071</v>
      </c>
      <c r="Q135" s="123">
        <v>46303.483217592591</v>
      </c>
      <c r="R135" s="123"/>
      <c r="S135" s="1" t="s">
        <v>719</v>
      </c>
      <c r="T135" s="1" t="s">
        <v>719</v>
      </c>
      <c r="U135" s="4"/>
      <c r="V135" s="2"/>
      <c r="W135" s="123"/>
      <c r="X135" s="1"/>
      <c r="Y135" s="1" t="s">
        <v>1072</v>
      </c>
      <c r="Z135" s="123">
        <v>46302.662152777775</v>
      </c>
      <c r="AA135" s="1"/>
      <c r="AB135" s="4"/>
      <c r="AC135" s="4"/>
      <c r="AD135" s="1"/>
      <c r="AE135" s="1" t="s">
        <v>63</v>
      </c>
      <c r="AF135" s="1"/>
      <c r="AG135" s="2"/>
      <c r="AH135" s="1"/>
      <c r="AI135" s="1"/>
      <c r="AJ135" s="1" t="s">
        <v>719</v>
      </c>
      <c r="AK135" s="123">
        <v>46303.483217592591</v>
      </c>
      <c r="AL135" s="1"/>
      <c r="AM135" s="1"/>
      <c r="AN135" s="1"/>
      <c r="AO135" s="1"/>
      <c r="AP135" s="1"/>
      <c r="AQ135" s="1"/>
      <c r="AR135" s="1"/>
      <c r="AS135" s="1"/>
      <c r="AT135" s="2"/>
      <c r="AU135" s="1"/>
      <c r="AV135" s="2">
        <v>0</v>
      </c>
      <c r="AW135" s="4"/>
      <c r="AX135" s="123"/>
      <c r="AY135" s="4"/>
      <c r="AZ135" s="1"/>
      <c r="BA135" s="1"/>
      <c r="BB135" s="1" t="s">
        <v>514</v>
      </c>
      <c r="BC135" s="4"/>
      <c r="BD135" s="1" t="s">
        <v>85</v>
      </c>
      <c r="BE135" s="4"/>
      <c r="BF135" s="2">
        <v>2220</v>
      </c>
      <c r="BG135" s="4"/>
      <c r="BH135" s="1"/>
      <c r="BI135" s="1" t="s">
        <v>191</v>
      </c>
    </row>
    <row r="136" spans="1:61" ht="13.5" hidden="1" customHeight="1" x14ac:dyDescent="0.25">
      <c r="A136" s="2">
        <v>2097</v>
      </c>
      <c r="B136" s="1" t="s">
        <v>954</v>
      </c>
      <c r="C136" s="1" t="s">
        <v>47</v>
      </c>
      <c r="D136" s="1" t="s">
        <v>316</v>
      </c>
      <c r="E136" s="1" t="s">
        <v>802</v>
      </c>
      <c r="F136" s="1" t="s">
        <v>323</v>
      </c>
      <c r="G136" s="2"/>
      <c r="H136" s="103">
        <v>4</v>
      </c>
      <c r="I136" s="103"/>
      <c r="J136" s="39">
        <v>1</v>
      </c>
      <c r="K136" s="53" t="s">
        <v>1000</v>
      </c>
      <c r="L136" s="66">
        <v>0</v>
      </c>
      <c r="M136" s="8" t="s">
        <v>811</v>
      </c>
      <c r="N136" s="1" t="s">
        <v>178</v>
      </c>
      <c r="O136" s="7" t="s">
        <v>934</v>
      </c>
      <c r="P136" s="124">
        <v>46233.378576388888</v>
      </c>
      <c r="Q136" s="124">
        <v>46283.478472222225</v>
      </c>
      <c r="R136" s="124"/>
      <c r="S136" s="1" t="s">
        <v>91</v>
      </c>
      <c r="T136" s="1" t="s">
        <v>157</v>
      </c>
      <c r="U136" s="4" t="s">
        <v>608</v>
      </c>
      <c r="V136" s="2"/>
      <c r="W136" s="124"/>
      <c r="X136" s="1"/>
      <c r="Y136" s="1"/>
      <c r="Z136" s="124"/>
      <c r="AA136" s="1"/>
      <c r="AB136" s="4"/>
      <c r="AC136" s="4"/>
      <c r="AD136" s="1"/>
      <c r="AE136" s="1" t="s">
        <v>63</v>
      </c>
      <c r="AF136" s="1"/>
      <c r="AG136" s="2"/>
      <c r="AH136" s="1"/>
      <c r="AI136" s="1"/>
      <c r="AJ136" s="1" t="s">
        <v>91</v>
      </c>
      <c r="AK136" s="124">
        <v>46283.478472222225</v>
      </c>
      <c r="AL136" s="1"/>
      <c r="AM136" s="1"/>
      <c r="AN136" s="1"/>
      <c r="AO136" s="1"/>
      <c r="AP136" s="1"/>
      <c r="AQ136" s="1"/>
      <c r="AR136" s="1"/>
      <c r="AS136" s="1"/>
      <c r="AT136" s="2"/>
      <c r="AU136" s="1"/>
      <c r="AV136" s="2">
        <v>2</v>
      </c>
      <c r="AW136" s="4"/>
      <c r="AX136" s="124"/>
      <c r="AY136" s="4"/>
      <c r="AZ136" s="1"/>
      <c r="BA136" s="1"/>
      <c r="BB136" s="1" t="s">
        <v>514</v>
      </c>
      <c r="BC136" s="4"/>
      <c r="BD136" s="1" t="s">
        <v>85</v>
      </c>
      <c r="BE136" s="4"/>
      <c r="BF136" s="2"/>
      <c r="BG136" s="4"/>
      <c r="BH136" s="1"/>
      <c r="BI136" s="1" t="s">
        <v>188</v>
      </c>
    </row>
    <row r="137" spans="1:61" ht="13.5" hidden="1" customHeight="1" x14ac:dyDescent="0.25">
      <c r="A137" s="2">
        <v>2096</v>
      </c>
      <c r="B137" s="1" t="s">
        <v>942</v>
      </c>
      <c r="C137" s="1" t="s">
        <v>47</v>
      </c>
      <c r="D137" s="1" t="s">
        <v>316</v>
      </c>
      <c r="E137" s="1" t="s">
        <v>802</v>
      </c>
      <c r="F137" s="1" t="s">
        <v>476</v>
      </c>
      <c r="G137" s="2">
        <v>37</v>
      </c>
      <c r="H137" s="103">
        <v>20</v>
      </c>
      <c r="I137" s="103"/>
      <c r="J137" s="39">
        <v>1</v>
      </c>
      <c r="K137" s="53" t="s">
        <v>250</v>
      </c>
      <c r="L137" s="66">
        <v>1</v>
      </c>
      <c r="M137" s="8" t="s">
        <v>91</v>
      </c>
      <c r="N137" s="1" t="s">
        <v>177</v>
      </c>
      <c r="O137" s="7" t="s">
        <v>944</v>
      </c>
      <c r="P137" s="125">
        <v>46232.444282407407</v>
      </c>
      <c r="Q137" s="125">
        <v>46301.33488425926</v>
      </c>
      <c r="R137" s="125"/>
      <c r="S137" s="1" t="s">
        <v>380</v>
      </c>
      <c r="T137" s="1" t="s">
        <v>91</v>
      </c>
      <c r="U137" s="4" t="s">
        <v>951</v>
      </c>
      <c r="V137" s="2"/>
      <c r="W137" s="125"/>
      <c r="X137" s="1"/>
      <c r="Y137" s="1" t="s">
        <v>91</v>
      </c>
      <c r="Z137" s="125">
        <v>46232.4452662037</v>
      </c>
      <c r="AA137" s="1"/>
      <c r="AB137" s="4"/>
      <c r="AC137" s="4"/>
      <c r="AD137" s="1"/>
      <c r="AE137" s="1" t="s">
        <v>63</v>
      </c>
      <c r="AF137" s="1"/>
      <c r="AG137" s="2"/>
      <c r="AH137" s="1"/>
      <c r="AI137" s="1"/>
      <c r="AJ137" s="1" t="s">
        <v>380</v>
      </c>
      <c r="AK137" s="125">
        <v>46301.33488425926</v>
      </c>
      <c r="AL137" s="1"/>
      <c r="AM137" s="1"/>
      <c r="AN137" s="1"/>
      <c r="AO137" s="1"/>
      <c r="AP137" s="1"/>
      <c r="AQ137" s="1"/>
      <c r="AR137" s="1"/>
      <c r="AS137" s="1"/>
      <c r="AT137" s="2"/>
      <c r="AU137" s="1"/>
      <c r="AV137" s="2">
        <v>2</v>
      </c>
      <c r="AW137" s="4"/>
      <c r="AX137" s="125"/>
      <c r="AY137" s="4"/>
      <c r="AZ137" s="1"/>
      <c r="BA137" s="1"/>
      <c r="BB137" s="1" t="s">
        <v>514</v>
      </c>
      <c r="BC137" s="4"/>
      <c r="BD137" s="1" t="s">
        <v>85</v>
      </c>
      <c r="BE137" s="4"/>
      <c r="BF137" s="2"/>
      <c r="BG137" s="4"/>
      <c r="BH137" s="1"/>
      <c r="BI137" s="1" t="s">
        <v>191</v>
      </c>
    </row>
    <row r="138" spans="1:61" ht="13.5" hidden="1" customHeight="1" x14ac:dyDescent="0.25">
      <c r="A138" s="2">
        <v>2118</v>
      </c>
      <c r="B138" s="1" t="s">
        <v>943</v>
      </c>
      <c r="C138" s="1" t="s">
        <v>47</v>
      </c>
      <c r="D138" s="1" t="s">
        <v>316</v>
      </c>
      <c r="E138" s="1" t="s">
        <v>802</v>
      </c>
      <c r="F138" s="1" t="s">
        <v>476</v>
      </c>
      <c r="G138" s="2">
        <v>37</v>
      </c>
      <c r="H138" s="103">
        <v>6</v>
      </c>
      <c r="I138" s="103"/>
      <c r="J138" s="39">
        <v>1</v>
      </c>
      <c r="K138" s="53" t="s">
        <v>250</v>
      </c>
      <c r="L138" s="66">
        <v>1</v>
      </c>
      <c r="M138" s="8" t="s">
        <v>91</v>
      </c>
      <c r="N138" s="1" t="s">
        <v>177</v>
      </c>
      <c r="O138" s="7" t="s">
        <v>946</v>
      </c>
      <c r="P138" s="126">
        <v>46239.595960648148</v>
      </c>
      <c r="Q138" s="126">
        <v>46301.371203703704</v>
      </c>
      <c r="R138" s="126"/>
      <c r="S138" s="1" t="s">
        <v>380</v>
      </c>
      <c r="T138" s="1" t="s">
        <v>91</v>
      </c>
      <c r="U138" s="4" t="s">
        <v>951</v>
      </c>
      <c r="V138" s="2"/>
      <c r="W138" s="126"/>
      <c r="X138" s="1"/>
      <c r="Y138" s="1" t="s">
        <v>91</v>
      </c>
      <c r="Z138" s="126">
        <v>46239.596192129633</v>
      </c>
      <c r="AA138" s="1"/>
      <c r="AB138" s="4"/>
      <c r="AC138" s="4"/>
      <c r="AD138" s="1"/>
      <c r="AE138" s="1" t="s">
        <v>63</v>
      </c>
      <c r="AF138" s="1"/>
      <c r="AG138" s="2"/>
      <c r="AH138" s="1"/>
      <c r="AI138" s="1"/>
      <c r="AJ138" s="1" t="s">
        <v>380</v>
      </c>
      <c r="AK138" s="126">
        <v>46301.371203703704</v>
      </c>
      <c r="AL138" s="1"/>
      <c r="AM138" s="1"/>
      <c r="AN138" s="1"/>
      <c r="AO138" s="1"/>
      <c r="AP138" s="1"/>
      <c r="AQ138" s="1"/>
      <c r="AR138" s="1"/>
      <c r="AS138" s="1"/>
      <c r="AT138" s="2"/>
      <c r="AU138" s="1"/>
      <c r="AV138" s="2">
        <v>2</v>
      </c>
      <c r="AW138" s="4"/>
      <c r="AX138" s="126"/>
      <c r="AY138" s="4"/>
      <c r="AZ138" s="1"/>
      <c r="BA138" s="1"/>
      <c r="BB138" s="1" t="s">
        <v>514</v>
      </c>
      <c r="BC138" s="4"/>
      <c r="BD138" s="1" t="s">
        <v>85</v>
      </c>
      <c r="BE138" s="4"/>
      <c r="BF138" s="2"/>
      <c r="BG138" s="4"/>
      <c r="BH138" s="1"/>
      <c r="BI138" s="1" t="s">
        <v>191</v>
      </c>
    </row>
    <row r="139" spans="1:61" ht="13.5" hidden="1" customHeight="1" x14ac:dyDescent="0.25">
      <c r="A139" s="2">
        <v>2228</v>
      </c>
      <c r="B139" s="1" t="s">
        <v>1079</v>
      </c>
      <c r="C139" s="1" t="s">
        <v>47</v>
      </c>
      <c r="D139" s="1" t="s">
        <v>316</v>
      </c>
      <c r="E139" s="1" t="s">
        <v>802</v>
      </c>
      <c r="F139" s="1" t="s">
        <v>742</v>
      </c>
      <c r="G139" s="2">
        <v>40</v>
      </c>
      <c r="H139" s="103">
        <v>4</v>
      </c>
      <c r="I139" s="103"/>
      <c r="J139" s="39">
        <v>1</v>
      </c>
      <c r="K139" s="53" t="s">
        <v>250</v>
      </c>
      <c r="L139" s="66">
        <v>0</v>
      </c>
      <c r="M139" s="8" t="s">
        <v>1030</v>
      </c>
      <c r="N139" s="1" t="s">
        <v>177</v>
      </c>
      <c r="O139" s="7" t="s">
        <v>1080</v>
      </c>
      <c r="P139" s="127">
        <v>46294.671678240738</v>
      </c>
      <c r="Q139" s="127">
        <v>46296.591412037036</v>
      </c>
      <c r="R139" s="127"/>
      <c r="S139" s="1" t="s">
        <v>719</v>
      </c>
      <c r="T139" s="1" t="s">
        <v>157</v>
      </c>
      <c r="U139" s="4"/>
      <c r="V139" s="2"/>
      <c r="W139" s="127"/>
      <c r="X139" s="1"/>
      <c r="Y139" s="1" t="s">
        <v>1030</v>
      </c>
      <c r="Z139" s="127">
        <v>46295.425775462965</v>
      </c>
      <c r="AA139" s="1"/>
      <c r="AB139" s="4"/>
      <c r="AC139" s="4"/>
      <c r="AD139" s="1"/>
      <c r="AE139" s="1" t="s">
        <v>63</v>
      </c>
      <c r="AF139" s="1"/>
      <c r="AG139" s="2"/>
      <c r="AH139" s="1"/>
      <c r="AI139" s="1"/>
      <c r="AJ139" s="1" t="s">
        <v>719</v>
      </c>
      <c r="AK139" s="127">
        <v>46296.591412037036</v>
      </c>
      <c r="AL139" s="1"/>
      <c r="AM139" s="1"/>
      <c r="AN139" s="1"/>
      <c r="AO139" s="1"/>
      <c r="AP139" s="1"/>
      <c r="AQ139" s="1"/>
      <c r="AR139" s="1"/>
      <c r="AS139" s="1"/>
      <c r="AT139" s="2"/>
      <c r="AU139" s="1"/>
      <c r="AV139" s="2">
        <v>0</v>
      </c>
      <c r="AW139" s="4"/>
      <c r="AX139" s="127"/>
      <c r="AY139" s="4"/>
      <c r="AZ139" s="1"/>
      <c r="BA139" s="1"/>
      <c r="BB139" s="1" t="s">
        <v>514</v>
      </c>
      <c r="BC139" s="4"/>
      <c r="BD139" s="1" t="s">
        <v>85</v>
      </c>
      <c r="BE139" s="4"/>
      <c r="BF139" s="2">
        <v>2205</v>
      </c>
      <c r="BG139" s="4"/>
      <c r="BH139" s="1"/>
      <c r="BI139" s="1" t="s">
        <v>191</v>
      </c>
    </row>
    <row r="140" spans="1:61" ht="13.5" hidden="1" customHeight="1" x14ac:dyDescent="0.25">
      <c r="A140" s="2">
        <v>2203</v>
      </c>
      <c r="B140" s="1" t="s">
        <v>1034</v>
      </c>
      <c r="C140" s="1" t="s">
        <v>47</v>
      </c>
      <c r="D140" s="1" t="s">
        <v>316</v>
      </c>
      <c r="E140" s="1" t="s">
        <v>802</v>
      </c>
      <c r="F140" s="1" t="s">
        <v>323</v>
      </c>
      <c r="G140" s="2">
        <v>38</v>
      </c>
      <c r="H140" s="103"/>
      <c r="I140" s="103"/>
      <c r="J140" s="39">
        <v>2</v>
      </c>
      <c r="K140" s="53" t="s">
        <v>256</v>
      </c>
      <c r="L140" s="66">
        <v>1</v>
      </c>
      <c r="M140" s="8" t="s">
        <v>719</v>
      </c>
      <c r="N140" s="1" t="s">
        <v>177</v>
      </c>
      <c r="O140" s="7"/>
      <c r="P140" s="127">
        <v>46282.60837962963</v>
      </c>
      <c r="Q140" s="127">
        <v>46303.483217592591</v>
      </c>
      <c r="R140" s="127"/>
      <c r="S140" s="1" t="s">
        <v>719</v>
      </c>
      <c r="T140" s="1" t="s">
        <v>719</v>
      </c>
      <c r="U140" s="4"/>
      <c r="V140" s="2"/>
      <c r="W140" s="127"/>
      <c r="X140" s="1"/>
      <c r="Y140" s="1" t="s">
        <v>719</v>
      </c>
      <c r="Z140" s="127">
        <v>46282.609050925923</v>
      </c>
      <c r="AA140" s="1"/>
      <c r="AB140" s="4"/>
      <c r="AC140" s="4"/>
      <c r="AD140" s="1"/>
      <c r="AE140" s="1" t="s">
        <v>63</v>
      </c>
      <c r="AF140" s="1"/>
      <c r="AG140" s="2"/>
      <c r="AH140" s="1"/>
      <c r="AI140" s="1"/>
      <c r="AJ140" s="1" t="s">
        <v>719</v>
      </c>
      <c r="AK140" s="127">
        <v>46303.483217592591</v>
      </c>
      <c r="AL140" s="1"/>
      <c r="AM140" s="1"/>
      <c r="AN140" s="1"/>
      <c r="AO140" s="1"/>
      <c r="AP140" s="1"/>
      <c r="AQ140" s="1"/>
      <c r="AR140" s="1"/>
      <c r="AS140" s="1"/>
      <c r="AT140" s="2"/>
      <c r="AU140" s="1"/>
      <c r="AV140" s="2">
        <v>0</v>
      </c>
      <c r="AW140" s="4"/>
      <c r="AX140" s="127"/>
      <c r="AY140" s="4"/>
      <c r="AZ140" s="1"/>
      <c r="BA140" s="1"/>
      <c r="BB140" s="1" t="s">
        <v>514</v>
      </c>
      <c r="BC140" s="4"/>
      <c r="BD140" s="1" t="s">
        <v>85</v>
      </c>
      <c r="BE140" s="4"/>
      <c r="BF140" s="2">
        <v>2107</v>
      </c>
      <c r="BG140" s="4"/>
      <c r="BH140" s="1"/>
      <c r="BI140" s="1" t="s">
        <v>191</v>
      </c>
    </row>
    <row r="141" spans="1:61" ht="13.5" hidden="1" customHeight="1" x14ac:dyDescent="0.25">
      <c r="A141" s="2">
        <v>2098</v>
      </c>
      <c r="B141" s="1" t="s">
        <v>935</v>
      </c>
      <c r="C141" s="1" t="s">
        <v>47</v>
      </c>
      <c r="D141" s="1" t="s">
        <v>316</v>
      </c>
      <c r="E141" s="1" t="s">
        <v>802</v>
      </c>
      <c r="F141" s="1" t="s">
        <v>323</v>
      </c>
      <c r="G141" s="2"/>
      <c r="H141" s="103"/>
      <c r="I141" s="4"/>
      <c r="J141" s="39">
        <v>2</v>
      </c>
      <c r="K141" s="53" t="s">
        <v>1000</v>
      </c>
      <c r="L141" s="66">
        <v>0</v>
      </c>
      <c r="M141" s="8" t="s">
        <v>907</v>
      </c>
      <c r="N141" s="1" t="s">
        <v>178</v>
      </c>
      <c r="O141" s="7" t="s">
        <v>936</v>
      </c>
      <c r="P141" s="128">
        <v>46233.399976851855</v>
      </c>
      <c r="Q141" s="128">
        <v>46280.357800925929</v>
      </c>
      <c r="R141" s="128"/>
      <c r="S141" s="1" t="s">
        <v>380</v>
      </c>
      <c r="T141" s="1" t="s">
        <v>907</v>
      </c>
      <c r="U141" s="4"/>
      <c r="V141" s="2"/>
      <c r="W141" s="128"/>
      <c r="X141" s="1"/>
      <c r="Y141" s="1"/>
      <c r="Z141" s="128"/>
      <c r="AA141" s="1"/>
      <c r="AB141" s="4"/>
      <c r="AC141" s="4"/>
      <c r="AD141" s="1"/>
      <c r="AE141" s="1" t="s">
        <v>63</v>
      </c>
      <c r="AF141" s="1"/>
      <c r="AG141" s="2"/>
      <c r="AH141" s="1"/>
      <c r="AI141" s="1"/>
      <c r="AJ141" s="1" t="s">
        <v>380</v>
      </c>
      <c r="AK141" s="128">
        <v>46280.357800925929</v>
      </c>
      <c r="AL141" s="1"/>
      <c r="AM141" s="1"/>
      <c r="AN141" s="1"/>
      <c r="AO141" s="1"/>
      <c r="AP141" s="1"/>
      <c r="AQ141" s="1"/>
      <c r="AR141" s="1"/>
      <c r="AS141" s="1"/>
      <c r="AT141" s="2"/>
      <c r="AU141" s="1"/>
      <c r="AV141" s="2">
        <v>0</v>
      </c>
      <c r="AW141" s="4"/>
      <c r="AX141" s="128"/>
      <c r="AY141" s="4"/>
      <c r="AZ141" s="1"/>
      <c r="BA141" s="1"/>
      <c r="BB141" s="1" t="s">
        <v>514</v>
      </c>
      <c r="BC141" s="4"/>
      <c r="BD141" s="1" t="s">
        <v>85</v>
      </c>
      <c r="BE141" s="4"/>
      <c r="BF141" s="2"/>
      <c r="BG141" s="4"/>
      <c r="BH141" s="1"/>
      <c r="BI141" s="1" t="s">
        <v>188</v>
      </c>
    </row>
    <row r="142" spans="1:61" ht="13.5" hidden="1" customHeight="1" x14ac:dyDescent="0.25">
      <c r="A142" s="2">
        <v>1782</v>
      </c>
      <c r="B142" s="1" t="s">
        <v>865</v>
      </c>
      <c r="C142" s="1" t="s">
        <v>47</v>
      </c>
      <c r="D142" s="1" t="s">
        <v>316</v>
      </c>
      <c r="E142" s="1" t="s">
        <v>802</v>
      </c>
      <c r="F142" s="1" t="s">
        <v>323</v>
      </c>
      <c r="G142" s="2">
        <v>37</v>
      </c>
      <c r="H142" s="103">
        <v>16</v>
      </c>
      <c r="I142" s="103"/>
      <c r="J142" s="39">
        <v>2</v>
      </c>
      <c r="K142" s="53" t="s">
        <v>250</v>
      </c>
      <c r="L142" s="66">
        <v>0</v>
      </c>
      <c r="M142" s="8" t="s">
        <v>81</v>
      </c>
      <c r="N142" s="1" t="s">
        <v>177</v>
      </c>
      <c r="O142" s="7" t="s">
        <v>866</v>
      </c>
      <c r="P142" s="129">
        <v>46092.528622685182</v>
      </c>
      <c r="Q142" s="129">
        <v>46283.697685185187</v>
      </c>
      <c r="R142" s="129"/>
      <c r="S142" s="1" t="s">
        <v>380</v>
      </c>
      <c r="T142" s="1" t="s">
        <v>81</v>
      </c>
      <c r="U142" s="4"/>
      <c r="V142" s="2"/>
      <c r="W142" s="129"/>
      <c r="X142" s="1"/>
      <c r="Y142" s="1" t="s">
        <v>81</v>
      </c>
      <c r="Z142" s="129">
        <v>46219.801469907405</v>
      </c>
      <c r="AA142" s="1"/>
      <c r="AB142" s="4"/>
      <c r="AC142" s="4"/>
      <c r="AD142" s="1"/>
      <c r="AE142" s="1" t="s">
        <v>63</v>
      </c>
      <c r="AF142" s="1"/>
      <c r="AG142" s="2"/>
      <c r="AH142" s="1"/>
      <c r="AI142" s="1"/>
      <c r="AJ142" s="1" t="s">
        <v>380</v>
      </c>
      <c r="AK142" s="129">
        <v>46283.697685185187</v>
      </c>
      <c r="AL142" s="1"/>
      <c r="AM142" s="1"/>
      <c r="AN142" s="1"/>
      <c r="AO142" s="1"/>
      <c r="AP142" s="1"/>
      <c r="AQ142" s="1"/>
      <c r="AR142" s="1"/>
      <c r="AS142" s="1"/>
      <c r="AT142" s="2"/>
      <c r="AU142" s="1"/>
      <c r="AV142" s="2">
        <v>1</v>
      </c>
      <c r="AW142" s="4"/>
      <c r="AX142" s="129"/>
      <c r="AY142" s="4"/>
      <c r="AZ142" s="1"/>
      <c r="BA142" s="1"/>
      <c r="BB142" s="1" t="s">
        <v>514</v>
      </c>
      <c r="BC142" s="4"/>
      <c r="BD142" s="1" t="s">
        <v>85</v>
      </c>
      <c r="BE142" s="4"/>
      <c r="BF142" s="2"/>
      <c r="BG142" s="4"/>
      <c r="BH142" s="1"/>
      <c r="BI142" s="1" t="s">
        <v>191</v>
      </c>
    </row>
    <row r="143" spans="1:61" ht="13.5" hidden="1" customHeight="1" x14ac:dyDescent="0.25">
      <c r="A143" s="2">
        <v>1185</v>
      </c>
      <c r="B143" s="1" t="s">
        <v>156</v>
      </c>
      <c r="C143" s="1" t="s">
        <v>47</v>
      </c>
      <c r="D143" s="1" t="s">
        <v>316</v>
      </c>
      <c r="E143" s="1" t="s">
        <v>802</v>
      </c>
      <c r="F143" s="1" t="s">
        <v>742</v>
      </c>
      <c r="G143" s="2">
        <v>42</v>
      </c>
      <c r="H143" s="103">
        <v>20</v>
      </c>
      <c r="I143" s="4"/>
      <c r="J143" s="39">
        <v>3</v>
      </c>
      <c r="K143" s="53" t="s">
        <v>245</v>
      </c>
      <c r="L143" s="66">
        <v>0</v>
      </c>
      <c r="M143" s="8" t="s">
        <v>91</v>
      </c>
      <c r="N143" s="1" t="s">
        <v>178</v>
      </c>
      <c r="O143" s="7" t="s">
        <v>273</v>
      </c>
      <c r="P143" s="130">
        <v>45841.38003472222</v>
      </c>
      <c r="Q143" s="130">
        <v>46301.33488425926</v>
      </c>
      <c r="R143" s="130"/>
      <c r="S143" s="1" t="s">
        <v>380</v>
      </c>
      <c r="T143" s="1" t="s">
        <v>88</v>
      </c>
      <c r="U143" s="4" t="s">
        <v>1093</v>
      </c>
      <c r="V143" s="2"/>
      <c r="W143" s="130"/>
      <c r="X143" s="1"/>
      <c r="Y143" s="1"/>
      <c r="Z143" s="130"/>
      <c r="AA143" s="1"/>
      <c r="AB143" s="4"/>
      <c r="AC143" s="4"/>
      <c r="AD143" s="1"/>
      <c r="AE143" s="1" t="s">
        <v>63</v>
      </c>
      <c r="AF143" s="1"/>
      <c r="AG143" s="2"/>
      <c r="AH143" s="1"/>
      <c r="AI143" s="1"/>
      <c r="AJ143" s="1" t="s">
        <v>380</v>
      </c>
      <c r="AK143" s="130">
        <v>46301.33488425926</v>
      </c>
      <c r="AL143" s="1"/>
      <c r="AM143" s="1"/>
      <c r="AN143" s="1"/>
      <c r="AO143" s="1"/>
      <c r="AP143" s="1"/>
      <c r="AQ143" s="1"/>
      <c r="AR143" s="1"/>
      <c r="AS143" s="1"/>
      <c r="AT143" s="2"/>
      <c r="AU143" s="1"/>
      <c r="AV143" s="2">
        <v>5</v>
      </c>
      <c r="AW143" s="4"/>
      <c r="AX143" s="130"/>
      <c r="AY143" s="4"/>
      <c r="AZ143" s="1"/>
      <c r="BA143" s="1"/>
      <c r="BB143" s="1" t="s">
        <v>61</v>
      </c>
      <c r="BC143" s="4"/>
      <c r="BD143" s="1" t="s">
        <v>85</v>
      </c>
      <c r="BE143" s="4"/>
      <c r="BF143" s="2"/>
      <c r="BG143" s="4"/>
      <c r="BH143" s="1"/>
      <c r="BI143" s="1" t="s">
        <v>188</v>
      </c>
    </row>
    <row r="144" spans="1:61" ht="13.5" hidden="1" customHeight="1" x14ac:dyDescent="0.25">
      <c r="A144" s="2">
        <v>1869</v>
      </c>
      <c r="B144" s="1" t="s">
        <v>864</v>
      </c>
      <c r="C144" s="1" t="s">
        <v>47</v>
      </c>
      <c r="D144" s="1" t="s">
        <v>316</v>
      </c>
      <c r="E144" s="1" t="s">
        <v>802</v>
      </c>
      <c r="F144" s="1" t="s">
        <v>742</v>
      </c>
      <c r="G144" s="2"/>
      <c r="H144" s="103">
        <v>8</v>
      </c>
      <c r="I144" s="103"/>
      <c r="J144" s="39">
        <v>4</v>
      </c>
      <c r="K144" s="53" t="s">
        <v>1000</v>
      </c>
      <c r="L144" s="66">
        <v>0</v>
      </c>
      <c r="M144" s="8"/>
      <c r="N144" s="1" t="s">
        <v>178</v>
      </c>
      <c r="O144" s="7" t="s">
        <v>889</v>
      </c>
      <c r="P144" s="131">
        <v>46126.355567129627</v>
      </c>
      <c r="Q144" s="131">
        <v>46276.387766203705</v>
      </c>
      <c r="R144" s="131"/>
      <c r="S144" s="1" t="s">
        <v>157</v>
      </c>
      <c r="T144" s="1" t="s">
        <v>719</v>
      </c>
      <c r="U144" s="4"/>
      <c r="V144" s="2"/>
      <c r="W144" s="131"/>
      <c r="X144" s="1"/>
      <c r="Y144" s="1"/>
      <c r="Z144" s="131"/>
      <c r="AA144" s="1"/>
      <c r="AB144" s="4"/>
      <c r="AC144" s="4"/>
      <c r="AD144" s="1"/>
      <c r="AE144" s="1" t="s">
        <v>63</v>
      </c>
      <c r="AF144" s="1"/>
      <c r="AG144" s="2"/>
      <c r="AH144" s="1"/>
      <c r="AI144" s="1"/>
      <c r="AJ144" s="1" t="s">
        <v>157</v>
      </c>
      <c r="AK144" s="131">
        <v>46276.387766203705</v>
      </c>
      <c r="AL144" s="1"/>
      <c r="AM144" s="1"/>
      <c r="AN144" s="1"/>
      <c r="AO144" s="1"/>
      <c r="AP144" s="1"/>
      <c r="AQ144" s="1"/>
      <c r="AR144" s="1"/>
      <c r="AS144" s="1"/>
      <c r="AT144" s="2"/>
      <c r="AU144" s="1"/>
      <c r="AV144" s="2">
        <v>0</v>
      </c>
      <c r="AW144" s="4"/>
      <c r="AX144" s="131"/>
      <c r="AY144" s="4"/>
      <c r="AZ144" s="1"/>
      <c r="BA144" s="1"/>
      <c r="BB144" s="1" t="s">
        <v>514</v>
      </c>
      <c r="BC144" s="4"/>
      <c r="BD144" s="1" t="s">
        <v>85</v>
      </c>
      <c r="BE144" s="4"/>
      <c r="BF144" s="2"/>
      <c r="BG144" s="4"/>
      <c r="BH144" s="1"/>
      <c r="BI144" s="1" t="s">
        <v>185</v>
      </c>
    </row>
    <row r="145" spans="1:61" ht="13.5" hidden="1" customHeight="1" x14ac:dyDescent="0.25">
      <c r="A145" s="2">
        <v>593</v>
      </c>
      <c r="B145" s="1" t="s">
        <v>257</v>
      </c>
      <c r="C145" s="1" t="s">
        <v>47</v>
      </c>
      <c r="D145" s="1" t="s">
        <v>316</v>
      </c>
      <c r="E145" s="1"/>
      <c r="F145" s="1" t="s">
        <v>323</v>
      </c>
      <c r="G145" s="2"/>
      <c r="H145" s="103">
        <v>20</v>
      </c>
      <c r="I145" s="103"/>
      <c r="J145" s="39">
        <v>4</v>
      </c>
      <c r="K145" s="53" t="s">
        <v>1000</v>
      </c>
      <c r="L145" s="66">
        <v>0</v>
      </c>
      <c r="M145" s="8" t="s">
        <v>89</v>
      </c>
      <c r="N145" s="1" t="s">
        <v>178</v>
      </c>
      <c r="O145" s="7" t="s">
        <v>258</v>
      </c>
      <c r="P145" s="132">
        <v>45700.537928240738</v>
      </c>
      <c r="Q145" s="132">
        <v>46276.380636574075</v>
      </c>
      <c r="R145" s="132"/>
      <c r="S145" s="1" t="s">
        <v>157</v>
      </c>
      <c r="T145" s="1" t="s">
        <v>84</v>
      </c>
      <c r="U145" s="4" t="s">
        <v>755</v>
      </c>
      <c r="V145" s="2"/>
      <c r="W145" s="132"/>
      <c r="X145" s="1"/>
      <c r="Y145" s="1"/>
      <c r="Z145" s="132"/>
      <c r="AA145" s="1"/>
      <c r="AB145" s="4"/>
      <c r="AC145" s="4"/>
      <c r="AD145" s="1"/>
      <c r="AE145" s="1" t="s">
        <v>63</v>
      </c>
      <c r="AF145" s="1"/>
      <c r="AG145" s="2"/>
      <c r="AH145" s="1"/>
      <c r="AI145" s="1"/>
      <c r="AJ145" s="1" t="s">
        <v>157</v>
      </c>
      <c r="AK145" s="132">
        <v>46276.380636574075</v>
      </c>
      <c r="AL145" s="1"/>
      <c r="AM145" s="1"/>
      <c r="AN145" s="1"/>
      <c r="AO145" s="1"/>
      <c r="AP145" s="1"/>
      <c r="AQ145" s="1"/>
      <c r="AR145" s="1"/>
      <c r="AS145" s="1"/>
      <c r="AT145" s="2"/>
      <c r="AU145" s="1"/>
      <c r="AV145" s="2">
        <v>5</v>
      </c>
      <c r="AW145" s="4"/>
      <c r="AX145" s="132"/>
      <c r="AY145" s="4"/>
      <c r="AZ145" s="1"/>
      <c r="BA145" s="1"/>
      <c r="BB145" s="1" t="s">
        <v>61</v>
      </c>
      <c r="BC145" s="4"/>
      <c r="BD145" s="1" t="s">
        <v>85</v>
      </c>
      <c r="BE145" s="4"/>
      <c r="BF145" s="2"/>
      <c r="BG145" s="4"/>
      <c r="BH145" s="1"/>
      <c r="BI145" s="1" t="s">
        <v>188</v>
      </c>
    </row>
    <row r="146" spans="1:61" ht="13.5" hidden="1" customHeight="1" x14ac:dyDescent="0.25">
      <c r="A146" s="2">
        <v>1071</v>
      </c>
      <c r="B146" s="1" t="s">
        <v>264</v>
      </c>
      <c r="C146" s="1" t="s">
        <v>47</v>
      </c>
      <c r="D146" s="1" t="s">
        <v>316</v>
      </c>
      <c r="E146" s="1" t="s">
        <v>802</v>
      </c>
      <c r="F146" s="1" t="s">
        <v>323</v>
      </c>
      <c r="G146" s="2"/>
      <c r="H146" s="103">
        <v>13</v>
      </c>
      <c r="I146" s="4">
        <v>13</v>
      </c>
      <c r="J146" s="39">
        <v>4</v>
      </c>
      <c r="K146" s="53" t="s">
        <v>1000</v>
      </c>
      <c r="L146" s="66">
        <v>0</v>
      </c>
      <c r="M146" s="8"/>
      <c r="N146" s="1" t="s">
        <v>178</v>
      </c>
      <c r="O146" s="7"/>
      <c r="P146" s="133">
        <v>45804.657152777778</v>
      </c>
      <c r="Q146" s="133">
        <v>46287.397314814814</v>
      </c>
      <c r="R146" s="133"/>
      <c r="S146" s="1" t="s">
        <v>380</v>
      </c>
      <c r="T146" s="1" t="s">
        <v>81</v>
      </c>
      <c r="U146" s="4" t="s">
        <v>771</v>
      </c>
      <c r="V146" s="2"/>
      <c r="W146" s="133"/>
      <c r="X146" s="1"/>
      <c r="Y146" s="1"/>
      <c r="Z146" s="133"/>
      <c r="AA146" s="1"/>
      <c r="AB146" s="4"/>
      <c r="AC146" s="4"/>
      <c r="AD146" s="1"/>
      <c r="AE146" s="1" t="s">
        <v>63</v>
      </c>
      <c r="AF146" s="1"/>
      <c r="AG146" s="2"/>
      <c r="AH146" s="1"/>
      <c r="AI146" s="1"/>
      <c r="AJ146" s="1" t="s">
        <v>380</v>
      </c>
      <c r="AK146" s="133">
        <v>46287.397314814814</v>
      </c>
      <c r="AL146" s="1"/>
      <c r="AM146" s="1"/>
      <c r="AN146" s="1"/>
      <c r="AO146" s="1"/>
      <c r="AP146" s="1"/>
      <c r="AQ146" s="1"/>
      <c r="AR146" s="1"/>
      <c r="AS146" s="1"/>
      <c r="AT146" s="2"/>
      <c r="AU146" s="1"/>
      <c r="AV146" s="2">
        <v>0</v>
      </c>
      <c r="AW146" s="4"/>
      <c r="AX146" s="133"/>
      <c r="AY146" s="4"/>
      <c r="AZ146" s="1"/>
      <c r="BA146" s="1"/>
      <c r="BB146" s="1" t="s">
        <v>61</v>
      </c>
      <c r="BC146" s="4"/>
      <c r="BD146" s="1" t="s">
        <v>85</v>
      </c>
      <c r="BE146" s="4"/>
      <c r="BF146" s="2">
        <v>1712</v>
      </c>
      <c r="BG146" s="4"/>
      <c r="BH146" s="1"/>
      <c r="BI146" s="1" t="s">
        <v>185</v>
      </c>
    </row>
    <row r="147" spans="1:61" ht="13.5" customHeight="1" x14ac:dyDescent="0.25">
      <c r="A147" s="9"/>
      <c r="B147" s="9"/>
      <c r="C147" s="50"/>
      <c r="D147" s="65"/>
      <c r="E147" s="50"/>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row>
    <row r="148" spans="1:61" ht="13.5" customHeight="1" x14ac:dyDescent="0.25">
      <c r="A148" s="9"/>
      <c r="B148" s="9"/>
      <c r="C148" s="50"/>
      <c r="D148" s="65"/>
      <c r="E148" s="50"/>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row>
    <row r="149" spans="1:61" ht="13.5" customHeight="1" x14ac:dyDescent="0.25">
      <c r="A149" s="9"/>
      <c r="B149" s="9"/>
      <c r="C149" s="50"/>
      <c r="D149" s="65"/>
      <c r="E149" s="50"/>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row>
    <row r="150" spans="1:61" ht="13.5" customHeight="1" x14ac:dyDescent="0.25">
      <c r="A150" s="9"/>
      <c r="B150" s="9"/>
      <c r="C150" s="50"/>
      <c r="D150" s="65"/>
      <c r="E150" s="50"/>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row>
    <row r="151" spans="1:61" ht="13.5" customHeight="1" x14ac:dyDescent="0.25">
      <c r="A151" s="9"/>
      <c r="B151" s="9"/>
      <c r="C151" s="50"/>
      <c r="D151" s="65"/>
      <c r="E151" s="50"/>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row>
    <row r="152" spans="1:61" ht="13.5" customHeight="1" x14ac:dyDescent="0.25">
      <c r="A152" s="9"/>
      <c r="B152" s="9"/>
      <c r="C152" s="50"/>
      <c r="D152" s="65"/>
      <c r="E152" s="50"/>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row>
    <row r="153" spans="1:61" ht="13.5" customHeight="1" x14ac:dyDescent="0.25">
      <c r="A153" s="9"/>
      <c r="B153" s="9"/>
      <c r="C153" s="50"/>
      <c r="D153" s="65"/>
      <c r="E153" s="50"/>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row>
    <row r="154" spans="1:61" ht="13.5" customHeight="1" x14ac:dyDescent="0.25">
      <c r="A154" s="9"/>
      <c r="B154" s="9"/>
      <c r="C154" s="50"/>
      <c r="D154" s="65"/>
      <c r="E154" s="50"/>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row>
    <row r="155" spans="1:61" ht="13.5" customHeight="1" x14ac:dyDescent="0.25">
      <c r="A155" s="9"/>
      <c r="B155" s="9"/>
      <c r="C155" s="50"/>
      <c r="D155" s="65"/>
      <c r="E155" s="50"/>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row>
    <row r="156" spans="1:61" ht="13.5" customHeight="1" x14ac:dyDescent="0.25">
      <c r="A156" s="9"/>
      <c r="B156" s="9"/>
      <c r="C156" s="50"/>
      <c r="D156" s="65"/>
      <c r="E156" s="50"/>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row>
    <row r="157" spans="1:61" ht="13.5" customHeight="1" x14ac:dyDescent="0.25">
      <c r="A157" s="9"/>
      <c r="B157" s="9"/>
      <c r="C157" s="50"/>
      <c r="D157" s="65"/>
      <c r="E157" s="50"/>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row>
    <row r="158" spans="1:61" ht="13.5" customHeight="1" x14ac:dyDescent="0.25">
      <c r="A158" s="9"/>
      <c r="B158" s="9"/>
      <c r="C158" s="50"/>
      <c r="D158" s="65"/>
      <c r="E158" s="50"/>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row>
    <row r="159" spans="1:61" ht="13.5" customHeight="1" x14ac:dyDescent="0.25">
      <c r="A159" s="9"/>
      <c r="B159" s="9"/>
      <c r="C159" s="50"/>
      <c r="D159" s="65"/>
      <c r="E159" s="50"/>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row>
    <row r="160" spans="1:61" ht="13.5" customHeight="1" x14ac:dyDescent="0.25">
      <c r="A160" s="9"/>
      <c r="B160" s="9"/>
      <c r="C160" s="50"/>
      <c r="D160" s="65"/>
      <c r="E160" s="50"/>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row>
    <row r="161" spans="1:61" ht="13.5" customHeight="1" x14ac:dyDescent="0.25">
      <c r="A161" s="9"/>
      <c r="B161" s="9"/>
      <c r="C161" s="50"/>
      <c r="D161" s="65"/>
      <c r="E161" s="50"/>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row>
    <row r="162" spans="1:61" ht="13.5" customHeight="1" x14ac:dyDescent="0.25">
      <c r="A162" s="9"/>
      <c r="B162" s="9"/>
      <c r="C162" s="50"/>
      <c r="D162" s="65"/>
      <c r="E162" s="50"/>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row>
    <row r="163" spans="1:61" ht="13.5" customHeight="1" x14ac:dyDescent="0.25">
      <c r="A163" s="9"/>
      <c r="B163" s="9"/>
      <c r="C163" s="50"/>
      <c r="D163" s="65"/>
      <c r="E163" s="50"/>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row>
    <row r="164" spans="1:61" ht="13.5" customHeight="1" x14ac:dyDescent="0.25">
      <c r="A164" s="9"/>
      <c r="B164" s="9"/>
      <c r="C164" s="50"/>
      <c r="D164" s="65"/>
      <c r="E164" s="50"/>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row>
    <row r="165" spans="1:61" ht="13.5" customHeight="1" x14ac:dyDescent="0.25">
      <c r="A165" s="9"/>
      <c r="B165" s="9"/>
      <c r="C165" s="50"/>
      <c r="D165" s="65"/>
      <c r="E165" s="50"/>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row>
    <row r="166" spans="1:61" ht="13.5" customHeight="1" x14ac:dyDescent="0.25">
      <c r="A166" s="9"/>
      <c r="B166" s="9"/>
      <c r="C166" s="50"/>
      <c r="D166" s="65"/>
      <c r="E166" s="50"/>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row>
    <row r="167" spans="1:61" ht="13.5" customHeight="1" x14ac:dyDescent="0.25">
      <c r="A167" s="9"/>
      <c r="B167" s="9"/>
      <c r="C167" s="50"/>
      <c r="D167" s="65"/>
      <c r="E167" s="50"/>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row>
    <row r="168" spans="1:61" ht="13.5" customHeight="1" x14ac:dyDescent="0.25">
      <c r="A168" s="9"/>
      <c r="B168" s="9"/>
      <c r="C168" s="50"/>
      <c r="D168" s="65"/>
      <c r="E168" s="50"/>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row>
    <row r="169" spans="1:61" ht="13.5" customHeight="1" x14ac:dyDescent="0.25">
      <c r="A169" s="9"/>
      <c r="B169" s="9"/>
      <c r="C169" s="50"/>
      <c r="D169" s="65"/>
      <c r="E169" s="50"/>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row>
    <row r="170" spans="1:61" ht="13.5" customHeight="1" x14ac:dyDescent="0.25">
      <c r="A170" s="9"/>
      <c r="B170" s="9"/>
      <c r="C170" s="50"/>
      <c r="D170" s="65"/>
      <c r="E170" s="50"/>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row>
    <row r="171" spans="1:61" ht="13.5" customHeight="1" x14ac:dyDescent="0.25">
      <c r="A171" s="9"/>
      <c r="B171" s="9"/>
      <c r="C171" s="50"/>
      <c r="D171" s="65"/>
      <c r="E171" s="50"/>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row>
    <row r="172" spans="1:61" ht="13.5" customHeight="1" x14ac:dyDescent="0.25">
      <c r="A172" s="9"/>
      <c r="B172" s="9"/>
      <c r="C172" s="50"/>
      <c r="D172" s="65"/>
      <c r="E172" s="50"/>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row>
    <row r="173" spans="1:61" ht="13.5" customHeight="1" x14ac:dyDescent="0.25">
      <c r="A173" s="9"/>
      <c r="B173" s="9"/>
      <c r="C173" s="50"/>
      <c r="D173" s="65"/>
      <c r="E173" s="50"/>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row>
    <row r="174" spans="1:61" ht="13.5" customHeight="1" x14ac:dyDescent="0.25">
      <c r="A174" s="9"/>
      <c r="B174" s="9"/>
      <c r="C174" s="50"/>
      <c r="D174" s="65"/>
      <c r="E174" s="50"/>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row>
    <row r="175" spans="1:61" ht="13.5" customHeight="1" x14ac:dyDescent="0.25">
      <c r="A175" s="9"/>
      <c r="B175" s="9"/>
      <c r="C175" s="50"/>
      <c r="D175" s="65"/>
      <c r="E175" s="50"/>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row>
    <row r="176" spans="1:61" ht="13.5" customHeight="1" x14ac:dyDescent="0.25">
      <c r="A176" s="9"/>
      <c r="B176" s="9"/>
      <c r="C176" s="50"/>
      <c r="D176" s="65"/>
      <c r="E176" s="50"/>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row>
    <row r="177" spans="1:61" ht="13.5" customHeight="1" x14ac:dyDescent="0.25">
      <c r="A177" s="9"/>
      <c r="B177" s="9"/>
      <c r="C177" s="50"/>
      <c r="D177" s="65"/>
      <c r="E177" s="50"/>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row>
    <row r="178" spans="1:61" ht="13.5" customHeight="1" x14ac:dyDescent="0.25">
      <c r="A178" s="9"/>
      <c r="B178" s="9"/>
      <c r="C178" s="50"/>
      <c r="D178" s="65"/>
      <c r="E178" s="50"/>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row>
    <row r="179" spans="1:61" ht="13.5" customHeight="1" x14ac:dyDescent="0.25">
      <c r="A179" s="9"/>
      <c r="B179" s="9"/>
      <c r="C179" s="50"/>
      <c r="D179" s="65"/>
      <c r="E179" s="50"/>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row>
    <row r="180" spans="1:61" ht="13.5" customHeight="1" x14ac:dyDescent="0.25">
      <c r="A180" s="9"/>
      <c r="B180" s="9"/>
      <c r="C180" s="50"/>
      <c r="D180" s="65"/>
      <c r="E180" s="50"/>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row>
    <row r="181" spans="1:61" ht="13.5" customHeight="1" x14ac:dyDescent="0.25">
      <c r="A181" s="9"/>
      <c r="B181" s="9"/>
      <c r="C181" s="50"/>
      <c r="D181" s="65"/>
      <c r="E181" s="50"/>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row>
    <row r="182" spans="1:61" ht="13.5" customHeight="1" x14ac:dyDescent="0.25">
      <c r="A182" s="9"/>
      <c r="B182" s="9"/>
      <c r="C182" s="50"/>
      <c r="D182" s="65"/>
      <c r="E182" s="50"/>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row>
    <row r="183" spans="1:61" ht="13.5" customHeight="1" x14ac:dyDescent="0.25">
      <c r="A183" s="9"/>
      <c r="B183" s="9"/>
      <c r="C183" s="50"/>
      <c r="D183" s="65"/>
      <c r="E183" s="50"/>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row>
    <row r="184" spans="1:61" ht="13.5" customHeight="1" x14ac:dyDescent="0.25">
      <c r="A184" s="9"/>
      <c r="B184" s="9"/>
      <c r="C184" s="50"/>
      <c r="D184" s="65"/>
      <c r="E184" s="50"/>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row>
    <row r="185" spans="1:61" ht="13.5" customHeight="1" x14ac:dyDescent="0.25">
      <c r="A185" s="9"/>
      <c r="B185" s="9"/>
      <c r="C185" s="50"/>
      <c r="D185" s="65"/>
      <c r="E185" s="50"/>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row>
    <row r="186" spans="1:61" ht="13.5" customHeight="1" x14ac:dyDescent="0.25">
      <c r="A186" s="9"/>
      <c r="B186" s="9"/>
      <c r="C186" s="50"/>
      <c r="D186" s="65"/>
      <c r="E186" s="50"/>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row>
    <row r="187" spans="1:61" ht="13.5" customHeight="1" x14ac:dyDescent="0.25">
      <c r="A187" s="9"/>
      <c r="B187" s="9"/>
      <c r="C187" s="50"/>
      <c r="D187" s="65"/>
      <c r="E187" s="50"/>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row>
    <row r="188" spans="1:61" ht="13.5" customHeight="1" x14ac:dyDescent="0.25">
      <c r="A188" s="9"/>
      <c r="B188" s="9"/>
      <c r="C188" s="50"/>
      <c r="D188" s="65"/>
      <c r="E188" s="50"/>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row>
    <row r="189" spans="1:61" ht="13.5" customHeight="1" x14ac:dyDescent="0.25">
      <c r="A189" s="9"/>
      <c r="B189" s="9"/>
      <c r="C189" s="50"/>
      <c r="D189" s="65"/>
      <c r="E189" s="50"/>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row>
    <row r="190" spans="1:61" ht="13.5" customHeight="1" x14ac:dyDescent="0.25">
      <c r="A190" s="9"/>
      <c r="B190" s="9"/>
      <c r="C190" s="50"/>
      <c r="D190" s="65"/>
      <c r="E190" s="50"/>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row>
    <row r="191" spans="1:61" ht="13.5" customHeight="1" x14ac:dyDescent="0.25">
      <c r="A191" s="9"/>
      <c r="B191" s="9"/>
      <c r="C191" s="50"/>
      <c r="D191" s="65"/>
      <c r="E191" s="50"/>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row>
  </sheetData>
  <dataValidations xWindow="1110" yWindow="282" count="112">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2" xr:uid="{3718C7F1-1204-48AE-A05D-C1E81B79E197}">
      <formula1>"ID"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2" xr:uid="{81062C70-17EC-4F65-8523-A5991E2DF73B}">
      <formula1>"Title"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C2" xr:uid="{E53C2A03-EAD3-41CB-9580-BDEACB354CEA}">
      <formula1>"Work Item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D2" xr:uid="{91877FE4-B50C-4369-96AC-81AC6A7CB655}">
      <formula1>"Department"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E2" xr:uid="{72127F12-7223-45E5-98E8-632FC784670B}">
      <formula1>"Requester"</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F2" xr:uid="{C3D9D6FE-9BE0-4A56-863B-D8FC7A2E3BFB}">
      <formula1>"Type"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G2" xr:uid="{56224AA6-F5C3-48FB-8592-81568E973A65}">
      <formula1>"Week"</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H2" xr:uid="{82AE1EB0-35EA-4283-8154-4323D01C4EA9}">
      <formula1>"Hour"</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I2" xr:uid="{525FDE7A-AA44-471A-9C76-0ED0D280AAE6}">
      <formula1>"Effort"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J2" xr:uid="{D7B57219-455E-470C-A8B0-E80F5D9D9BDF}">
      <formula1>"Priority"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K2" xr:uid="{3DA2C604-2BCD-43A1-940C-7DEFB605EEA1}">
      <formula1>"Board Column"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L2" xr:uid="{3A4DC92F-CCAD-4518-9A9F-91B0D0616DCA}">
      <formula1>"Board Column Done"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M2" xr:uid="{7DC62CF3-6895-4129-8434-89959ED39D06}">
      <formula1>"Assigned To"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N2" xr:uid="{AE17B52F-05F3-4434-AB0F-AB633DDE69B2}">
      <formula1>"State"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O2" xr:uid="{47859088-22E4-4453-B5BA-1B3302727AAF}">
      <formula1>"Description"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P2" xr:uid="{DFBACFE6-E8DD-424C-A991-84D15D3AF305}">
      <formula1>"Created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Q2" xr:uid="{8605CFFA-07D7-4439-B336-18F2D5A0247B}">
      <formula1>"Changed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R2" xr:uid="{E4C7116B-4B02-4782-803D-A7432A282452}">
      <formula1>"Closed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S2" xr:uid="{91F19624-BF50-43DB-B705-7407331DD125}">
      <formula1>"Changed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T2" xr:uid="{1E83D25D-04B3-4786-B8BD-E59476E31554}">
      <formula1>"Created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U2" xr:uid="{D286172B-DC54-44F3-B56D-4017D086C13C}">
      <formula1>"Tags"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V2" xr:uid="{D691D947-3C84-4223-8155-6D534B7EA981}">
      <formula1>"State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W2" xr:uid="{E596AB5D-40AB-4253-942C-A557E27FB074}">
      <formula1>"Accepted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X2" xr:uid="{6794C8AB-64EF-43B3-BA04-A6CED73DAA1A}">
      <formula1>"Accepted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Y2" xr:uid="{03F8F656-E97C-483F-91C2-F10A7CCA19A2}">
      <formula1>"Activated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Z2" xr:uid="{6DB4CFDB-D0C7-4051-8C5C-7A699697DB73}">
      <formula1>"Activated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A2" xr:uid="{6BCE3BC9-0AA5-46FD-A629-5E64455C445E}">
      <formula1>"Activity"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B2" xr:uid="{ADF22159-F6A6-4FF6-973E-6CD848462F49}">
      <formula1>"Application Launch Instructions"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C2" xr:uid="{22918BEA-23B4-4112-BDD4-62BA750F00FC}">
      <formula1>"Application Start Information"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D2" xr:uid="{91C3701A-5F5A-4618-902C-9A61E4FB4CCA}">
      <formula1>"Application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E2" xr:uid="{49A169D8-BF76-4C94-88EF-DD2CA57B98B4}">
      <formula1>"Area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F2" xr:uid="{D63E1C8A-419C-4464-8F8A-64A0C5FD7E93}">
      <formula1>"Associated Context"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G2" xr:uid="{07242317-F283-4B2F-B73C-8A2259A532D9}">
      <formula1>"Associated Context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H2" xr:uid="{E0E6054F-B233-4548-9FC7-4B43E236B407}">
      <formula1>"Associated Context Owner"</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I2" xr:uid="{FC9349F4-9DD8-409D-BC3C-DBFCD56FA7ED}">
      <formula1>"Associated Context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J2" xr:uid="{A2B96CA6-E081-4153-85DB-32ABE902B7F7}">
      <formula1>"Authorized As"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K2" xr:uid="{9B46DAEE-4C02-460F-A197-286D7EC505FF}">
      <formula1>"Authorized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L2" xr:uid="{1B08CE89-93E9-4231-AC89-EF5F3FA0A259}">
      <formula1>"Automated Test 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M2" xr:uid="{4332A5F9-94FD-4AAE-A682-5A756170CEE2}">
      <formula1>"Automated Test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N2" xr:uid="{5213EB23-6C72-4329-B8E1-752B51346561}">
      <formula1>"Automated Test Storage"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O2" xr:uid="{1766759E-7730-4565-8EE7-64669197D0F4}">
      <formula1>"Automated Test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P2" xr:uid="{02AA0519-41CC-4808-B389-7BB57CE6806D}">
      <formula1>"Automation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Q2" xr:uid="{94F5AC8C-289B-4D24-8072-E218D3B4C2B0}">
      <formula1>"Board Lane"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R2" xr:uid="{EAF1F3C0-E84A-4C85-986C-54103B682FC3}">
      <formula1>"Closed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S2" xr:uid="{752B5E86-35AD-41E9-A39F-AAA5EF1729E7}">
      <formula1>"Closed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T2" xr:uid="{D1DDDCAD-2331-4B99-9798-9F6881BAFD31}">
      <formula1>"Closed Status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U2" xr:uid="{6CBBACCC-8DC9-4E09-80B0-93E4ECC754E8}">
      <formula1>"Closing Comment"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V2" xr:uid="{1C3B052F-9371-4447-BDA9-CE805DE030A5}">
      <formula1>"Comment Count"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W2" xr:uid="{001F02F6-6852-4248-8A1D-27C1E1ED0EE1}">
      <formula1>"Completed Work"</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X2" xr:uid="{5E43C09E-A715-43C2-9728-F8F467CE5146}">
      <formula1>"Finish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Y2" xr:uid="{D3E6D228-85D5-4192-9B86-09EE2A2C46F8}">
      <formula1>"History"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Z2" xr:uid="{69872801-09DD-45EC-97D7-044980F68576}">
      <formula1>"Integration Build"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2" xr:uid="{7B8CD825-CE63-42D3-B4CD-8504FE39BB3B}">
      <formula1>"Issue"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B2" xr:uid="{9D02701B-FC69-4FD4-98C7-6A8FE78C8C57}">
      <formula1>"Iteration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C2" xr:uid="{EFAC4743-65F7-4716-BB14-219691D9A239}">
      <formula1>"Local Data Source"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D2" xr:uid="{B7901858-B30F-440A-A118-E8866B533CA7}">
      <formula1>"Node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E2" xr:uid="{9B387336-B6B3-452A-8B91-ED421BA51B3C}">
      <formula1>"Parameters"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F2" xr:uid="{5334ED2C-8DA7-46A8-91D1-F97526BE218D}">
      <formula1>"Parent"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G2" xr:uid="{4A88D999-5E79-47C8-AC1E-3D71F3A87AF9}">
      <formula1>"Query 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H2" xr:uid="{3FE8CC07-8EF2-483B-9946-4B0FC80C62E5}">
      <formula1>"Rating"</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I2" xr:uid="{F4908B3D-81BB-4FFE-A45B-DB0389C1348D}">
      <formula1>"Reason"</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9" xr:uid="{DA4093B5-659A-4D5C-85A9-22B51311BF3C}">
      <formula1>"1846"</formula1>
    </dataValidation>
    <dataValidation type="textLength" showInputMessage="1" sqref="B9" xr:uid="{D31CD155-1C72-4EA0-8225-6015E1A934C0}">
      <formula1>1</formula1>
      <formula2>255</formula2>
    </dataValidation>
    <dataValidation type="list" operator="equal" showInputMessage="1" showErrorMessage="1" errorTitle="Read-only column" error="TF84013: You cannot modify a field that is read-only or a work item that restricts updates to valid users based on current permissions." prompt="Read-only" sqref="C9" xr:uid="{05037C74-8916-4F9F-B69E-89F4041D3E65}">
      <formula1>"Issue"</formula1>
    </dataValidation>
    <dataValidation type="list" operator="equal" allowBlank="1" showInputMessage="1" showErrorMessage="1" errorTitle="Microsoft Excel" error="TF84042: The value you entered is not supported in this field. Select a supported value from the list." sqref="D9" xr:uid="{A9A8054E-B9A5-4020-BE2B-F9EED8CA9B4F}">
      <formula1>VSTS_ValidationRange_856deddbffd54c71bb8cf49b7c9041a2</formula1>
    </dataValidation>
    <dataValidation type="list" operator="equal" allowBlank="1" showInputMessage="1" showErrorMessage="1" errorTitle="Microsoft Excel" error="TF84042: The value you entered is not supported in this field. Select a supported value from the list." sqref="E9" xr:uid="{27BE0EC1-8203-4F10-9731-82147EB6A287}">
      <formula1>VSTS_ValidationRange_77604218412d485397ca0584bd556bcd</formula1>
    </dataValidation>
    <dataValidation type="list" operator="equal" allowBlank="1" showInputMessage="1" showErrorMessage="1" errorTitle="Microsoft Excel" error="TF84042: The value you entered is not supported in this field. Select a supported value from the list." sqref="F9" xr:uid="{C12FAE82-B3F8-4A2B-9FDE-0945DAC63C12}">
      <formula1>VSTS_ValidationRange_23a106f121d24cebb7d2db7ccc9dc623</formula1>
    </dataValidation>
    <dataValidation type="whole" allowBlank="1" showInputMessage="1" sqref="G9" xr:uid="{CF081048-8E76-4612-9B31-7C0429EAE204}">
      <formula1>-2147483648</formula1>
      <formula2>2147483647</formula2>
    </dataValidation>
    <dataValidation type="list" operator="equal" allowBlank="1" showInputMessage="1" showErrorMessage="1" errorTitle="Microsoft Excel" error="TF84042: The value you entered is not supported in this field. Select a supported value from the list." sqref="J9" xr:uid="{B3569C44-8F25-48AF-A8F5-F73A23D65F15}">
      <formula1>VSTS_ValidationRange_54c6d9f9313f4327b32163244e2c8325</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K9" xr:uid="{EA04C637-DD34-4FC5-9A15-976BA410FF85}">
      <formula1>"Aprovado"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L9" xr:uid="{735319AF-505D-49BA-9444-2D74E7529D38}">
      <formula1>"FALSO"</formula1>
    </dataValidation>
    <dataValidation type="list" operator="equal" allowBlank="1" showInputMessage="1" sqref="M9" xr:uid="{FCA95ED4-6C8F-4208-A6E5-DBF5D73F6307}">
      <formula1>VSTS_ValidationRange_63b2463771164544a5d49a87b11f8ca0</formula1>
    </dataValidation>
    <dataValidation type="list" operator="equal" allowBlank="1" showInputMessage="1" showErrorMessage="1" errorTitle="Microsoft Excel" error="TF84042: The value you entered is not supported in this field. Select a supported value from the list." sqref="N9" xr:uid="{96E22A7D-5ED4-4CF3-9337-CE2E47006E85}">
      <formula1>VSTS_ValidationRange_adb8cfc0286a48eabe28fe37a14e14bd</formula1>
    </dataValidation>
    <dataValidation type="textLength" allowBlank="1" showInputMessage="1" sqref="O9" xr:uid="{4401F718-C9A6-4CDE-9D04-EF04AB6965DE}">
      <formula1>0</formula1>
      <formula2>32767</formula2>
    </dataValidation>
    <dataValidation type="list" operator="equal" allowBlank="1" showInputMessage="1" sqref="S9" xr:uid="{943BDB41-F86B-4BC0-B15D-D73E2A525B59}">
      <formula1>VSTS_ValidationRange_38b356516fc34b0791aef1efa8761588</formula1>
    </dataValidation>
    <dataValidation type="list" operator="equal" allowBlank="1" showInputMessage="1" sqref="T9" xr:uid="{130F27A8-8A03-4849-99AE-EB112101522B}">
      <formula1>VSTS_ValidationRange_77a90effa61b435198a992dda3099b7e</formula1>
    </dataValidation>
    <dataValidation type="textLength" allowBlank="1" showInputMessage="1" sqref="U9" xr:uid="{6F639FB4-60A0-4C48-990D-85529142C75F}">
      <formula1>0</formula1>
      <formula2>32767</formula2>
    </dataValidation>
    <dataValidation type="whole" allowBlank="1" showInputMessage="1" sqref="V9" xr:uid="{6A65E78A-B956-4AD2-AB95-4B3F86FB9285}">
      <formula1>-2147483648</formula1>
      <formula2>2147483647</formula2>
    </dataValidation>
    <dataValidation type="textLength" allowBlank="1" showInputMessage="1" sqref="X9" xr:uid="{3B7082B2-B758-4AF2-B981-61884D3B5274}">
      <formula1>0</formula1>
      <formula2>255</formula2>
    </dataValidation>
    <dataValidation type="list" operator="equal" allowBlank="1" showInputMessage="1" sqref="Y9" xr:uid="{A81EE117-2008-4386-A5A4-5098E2E0D331}">
      <formula1>VSTS_ValidationRange_3a23782404e54a58a3b75bc235386974</formula1>
    </dataValidation>
    <dataValidation type="textLength" allowBlank="1" showInputMessage="1" sqref="AA9" xr:uid="{E76FB530-FF41-4766-9C29-0FA64BD3092A}">
      <formula1>0</formula1>
      <formula2>255</formula2>
    </dataValidation>
    <dataValidation type="textLength" allowBlank="1" showInputMessage="1" sqref="AB9" xr:uid="{39255F72-3755-4E28-8A99-592F87CE8827}">
      <formula1>0</formula1>
      <formula2>32767</formula2>
    </dataValidation>
    <dataValidation type="textLength" allowBlank="1" showInputMessage="1" sqref="AC9" xr:uid="{58B51B0D-5B98-4983-B204-9AB90C89666D}">
      <formula1>0</formula1>
      <formula2>32767</formula2>
    </dataValidation>
    <dataValidation type="textLength" allowBlank="1" showInputMessage="1" sqref="AD9" xr:uid="{B467E5AC-9A8D-4254-8942-953A7C811727}">
      <formula1>0</formula1>
      <formula2>255</formula2>
    </dataValidation>
    <dataValidation type="list" operator="equal" allowBlank="1" showInputMessage="1" showErrorMessage="1" errorTitle="Microsoft Excel" error="TF84042: The value you entered is not supported in this field. Select a supported value from the list." sqref="AE9" xr:uid="{17D4B609-FDA2-4565-B76F-149381A23725}">
      <formula1>VSTS_ValidationRange_71ca3e79e8934a7a8386b65b7c04bcea</formula1>
    </dataValidation>
    <dataValidation type="textLength" allowBlank="1" showInputMessage="1" sqref="AF9" xr:uid="{8C3C9F3A-38BC-4A02-9010-2B11A102B978}">
      <formula1>0</formula1>
      <formula2>255</formula2>
    </dataValidation>
    <dataValidation type="whole" allowBlank="1" showInputMessage="1" sqref="AG9" xr:uid="{D34031F7-5782-44E5-8B87-26B8375709C9}">
      <formula1>-2147483648</formula1>
      <formula2>2147483647</formula2>
    </dataValidation>
    <dataValidation type="textLength" allowBlank="1" showInputMessage="1" sqref="AH9" xr:uid="{05430479-19A1-4D00-8652-F5ABF0FBDCA9}">
      <formula1>0</formula1>
      <formula2>255</formula2>
    </dataValidation>
    <dataValidation type="textLength" allowBlank="1" showInputMessage="1" sqref="AI9" xr:uid="{9E789701-793E-494F-B49B-417D487C76A6}">
      <formula1>0</formula1>
      <formula2>255</formula2>
    </dataValidation>
    <dataValidation type="textLength" allowBlank="1" showInputMessage="1" sqref="AJ9" xr:uid="{6F5A1397-C8DB-471F-A14B-C1876A359400}">
      <formula1>0</formula1>
      <formula2>255</formula2>
    </dataValidation>
    <dataValidation type="textLength" allowBlank="1" showInputMessage="1" sqref="AL9" xr:uid="{8988AD9A-ACE1-4C97-A6CC-0BABE978F3C7}">
      <formula1>0</formula1>
      <formula2>255</formula2>
    </dataValidation>
    <dataValidation type="textLength" allowBlank="1" showInputMessage="1" sqref="AM9" xr:uid="{49F71D9C-C554-4311-A877-82BCC6AF89EE}">
      <formula1>0</formula1>
      <formula2>255</formula2>
    </dataValidation>
    <dataValidation type="textLength" allowBlank="1" showInputMessage="1" sqref="AN9" xr:uid="{5F9B95B6-DC3D-43C6-AEBD-8D4E190B7FD9}">
      <formula1>0</formula1>
      <formula2>255</formula2>
    </dataValidation>
    <dataValidation type="textLength" allowBlank="1" showInputMessage="1" sqref="AO9" xr:uid="{2AF80F8C-CDA0-4B85-84E3-D138997EF9E5}">
      <formula1>0</formula1>
      <formula2>255</formula2>
    </dataValidation>
    <dataValidation type="textLength" allowBlank="1" showInputMessage="1" sqref="AP9" xr:uid="{2A912C43-7CD7-43FF-B3B7-2FB8CA31BA47}">
      <formula1>0</formula1>
      <formula2>255</formula2>
    </dataValidation>
    <dataValidation type="textLength" allowBlank="1" showInputMessage="1" sqref="AQ9" xr:uid="{E3594DDA-E6BE-488B-BF07-563EE99F5602}">
      <formula1>0</formula1>
      <formula2>255</formula2>
    </dataValidation>
    <dataValidation type="list" operator="equal" allowBlank="1" showInputMessage="1" sqref="AR9" xr:uid="{4470E5BD-7E0E-4946-AD1F-FEEFA0AA4198}">
      <formula1>VSTS_ValidationRange_dec80569f8864e20a0ce8ee3d9183501</formula1>
    </dataValidation>
    <dataValidation type="textLength" allowBlank="1" showInputMessage="1" sqref="AS9" xr:uid="{ED915C8B-A3B9-4009-BC96-944287058E72}">
      <formula1>0</formula1>
      <formula2>255</formula2>
    </dataValidation>
    <dataValidation type="whole" allowBlank="1" showInputMessage="1" sqref="AT9" xr:uid="{A6622E89-296E-4509-9AB2-FFF7EFA89750}">
      <formula1>-2147483648</formula1>
      <formula2>2147483647</formula2>
    </dataValidation>
    <dataValidation type="textLength" allowBlank="1" showInputMessage="1" sqref="AU9" xr:uid="{7E48DAE6-EBE8-4F6A-8655-431F37A0708E}">
      <formula1>0</formula1>
      <formula2>255</formula2>
    </dataValidation>
    <dataValidation type="whole" allowBlank="1" showInputMessage="1" sqref="AV9" xr:uid="{B4832DB3-6304-414C-90E0-B00EDD4F2466}">
      <formula1>-2147483648</formula1>
      <formula2>2147483647</formula2>
    </dataValidation>
    <dataValidation type="textLength" allowBlank="1" showInputMessage="1" prompt="Type a comment here and publish to add a new history entry. After publishing this cell will be cleared." sqref="AY9" xr:uid="{F692F7C0-5238-4D6B-8FB4-428E6873E2A0}">
      <formula1>0</formula1>
      <formula2>32767</formula2>
    </dataValidation>
    <dataValidation type="list" operator="equal" allowBlank="1" showInputMessage="1" sqref="AZ9" xr:uid="{2A726E6B-96A1-4D88-A081-7E6841559443}">
      <formula1>VSTS_ValidationRange_521214e612ac45e68591c90995034cbc</formula1>
    </dataValidation>
    <dataValidation type="textLength" allowBlank="1" showInputMessage="1" sqref="BA9" xr:uid="{E2960D6C-52AE-4A12-B550-C9F9C0F7E738}">
      <formula1>0</formula1>
      <formula2>255</formula2>
    </dataValidation>
    <dataValidation type="list" operator="equal" allowBlank="1" showInputMessage="1" showErrorMessage="1" errorTitle="Microsoft Excel" error="TF84042: The value you entered is not supported in this field. Select a supported value from the list." sqref="BB9" xr:uid="{70A6C287-376A-4D5D-84DE-7B7DA358886B}">
      <formula1>VSTS_ValidationRange_159e02a39b7f445b916540c625bb5cf0</formula1>
    </dataValidation>
    <dataValidation type="textLength" allowBlank="1" showInputMessage="1" sqref="BC9" xr:uid="{F1BE7253-F7B9-426E-84D8-4C7E6FF7D3A0}">
      <formula1>0</formula1>
      <formula2>32767</formula2>
    </dataValidation>
    <dataValidation type="textLength" allowBlank="1" showInputMessage="1" sqref="BD9" xr:uid="{55D2234E-50C7-423C-A41C-72F42C609B48}">
      <formula1>0</formula1>
      <formula2>255</formula2>
    </dataValidation>
    <dataValidation type="textLength" allowBlank="1" showInputMessage="1" sqref="BE9" xr:uid="{8B8C750B-68D5-415A-AAB5-CFAC0B0FA81A}">
      <formula1>0</formula1>
      <formula2>32767</formula2>
    </dataValidation>
    <dataValidation type="whole" allowBlank="1" showInputMessage="1" sqref="BF9" xr:uid="{B69676DA-C4EB-499D-A3EA-E6ED8F9AC6DC}">
      <formula1>-2147483648</formula1>
      <formula2>2147483647</formula2>
    </dataValidation>
    <dataValidation type="textLength" allowBlank="1" showInputMessage="1" sqref="BG9" xr:uid="{50F5D533-A8E1-447C-91A5-33CE5E6CE319}">
      <formula1>0</formula1>
      <formula2>32767</formula2>
    </dataValidation>
    <dataValidation type="textLength" allowBlank="1" showInputMessage="1" sqref="BH9" xr:uid="{C57A4CE6-62A6-4A31-B5E4-13B2896665BA}">
      <formula1>0</formula1>
      <formula2>255</formula2>
    </dataValidation>
    <dataValidation type="list" operator="equal" allowBlank="1" showInputMessage="1" showErrorMessage="1" errorTitle="Microsoft Excel" error="TF84042: The value you entered is not supported in this field. Select a supported value from the list." sqref="BI9" xr:uid="{F295FE0B-4F02-42E3-88BC-B047D7BD307F}">
      <formula1>VSTS_ValidationRange_55447dd8519948f8be0a0f680c8ef75f</formula1>
    </dataValidation>
  </dataValidations>
  <pageMargins left="0.511811024" right="0.511811024" top="0.78740157499999996" bottom="0.78740157499999996" header="0.31496062000000002" footer="0.31496062000000002"/>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FCB6E-CFD4-42C4-BC32-437B5DF2C7B2}">
  <dimension ref="A1:BD39"/>
  <sheetViews>
    <sheetView topLeftCell="I1" workbookViewId="0">
      <selection activeCell="N2" sqref="N2"/>
    </sheetView>
  </sheetViews>
  <sheetFormatPr defaultColWidth="134" defaultRowHeight="12.75" customHeight="1" x14ac:dyDescent="0.25"/>
  <cols>
    <col min="1" max="1" width="5" bestFit="1" customWidth="1"/>
    <col min="2" max="2" width="70" customWidth="1"/>
    <col min="3" max="3" width="7.5703125" bestFit="1" customWidth="1"/>
    <col min="4" max="4" width="20.140625" bestFit="1" customWidth="1"/>
    <col min="5" max="5" width="18.85546875" bestFit="1" customWidth="1"/>
    <col min="6" max="6" width="30.42578125" bestFit="1" customWidth="1"/>
    <col min="7" max="7" width="6.140625" bestFit="1" customWidth="1"/>
    <col min="9" max="10" width="15.85546875" bestFit="1" customWidth="1"/>
    <col min="11" max="11" width="11.5703125" bestFit="1" customWidth="1"/>
    <col min="12" max="12" width="30.42578125" bestFit="1" customWidth="1"/>
    <col min="13" max="13" width="32.28515625" bestFit="1" customWidth="1"/>
    <col min="14" max="14" width="90.28515625" bestFit="1" customWidth="1"/>
    <col min="15" max="15" width="15.28515625" bestFit="1" customWidth="1"/>
    <col min="16" max="16" width="10.5703125" bestFit="1" customWidth="1"/>
    <col min="17" max="17" width="14" bestFit="1" customWidth="1"/>
    <col min="18" max="18" width="11.85546875" bestFit="1" customWidth="1"/>
    <col min="19" max="19" width="23.85546875" bestFit="1" customWidth="1"/>
    <col min="20" max="20" width="15.85546875" bestFit="1" customWidth="1"/>
    <col min="21" max="21" width="7.7109375" bestFit="1" customWidth="1"/>
    <col min="22" max="22" width="29.140625" bestFit="1" customWidth="1"/>
    <col min="23" max="23" width="27.28515625" bestFit="1" customWidth="1"/>
    <col min="24" max="24" width="16" bestFit="1" customWidth="1"/>
    <col min="25" max="25" width="26.85546875" bestFit="1" customWidth="1"/>
    <col min="26" max="26" width="18.28515625" bestFit="1" customWidth="1"/>
    <col min="27" max="27" width="23.42578125" bestFit="1" customWidth="1"/>
    <col min="28" max="28" width="24.85546875" bestFit="1" customWidth="1"/>
    <col min="29" max="29" width="23.140625" bestFit="1" customWidth="1"/>
    <col min="30" max="30" width="30.42578125" bestFit="1" customWidth="1"/>
    <col min="31" max="31" width="15.85546875" bestFit="1" customWidth="1"/>
    <col min="32" max="32" width="17.5703125" bestFit="1" customWidth="1"/>
    <col min="33" max="33" width="21.140625" bestFit="1" customWidth="1"/>
    <col min="34" max="34" width="22.7109375" bestFit="1" customWidth="1"/>
    <col min="35" max="35" width="20.140625" bestFit="1" customWidth="1"/>
    <col min="36" max="36" width="17.5703125" bestFit="1" customWidth="1"/>
    <col min="37" max="37" width="10.7109375" bestFit="1" customWidth="1"/>
    <col min="38" max="38" width="9.5703125" bestFit="1" customWidth="1"/>
    <col min="39" max="39" width="12.85546875" bestFit="1" customWidth="1"/>
    <col min="40" max="40" width="18.140625" bestFit="1" customWidth="1"/>
    <col min="41" max="41" width="16.7109375" bestFit="1" customWidth="1"/>
    <col min="42" max="42" width="15.5703125" bestFit="1" customWidth="1"/>
    <col min="43" max="43" width="16.28515625" bestFit="1" customWidth="1"/>
    <col min="44" max="44" width="6" bestFit="1" customWidth="1"/>
    <col min="45" max="45" width="10.85546875" bestFit="1" customWidth="1"/>
    <col min="46" max="46" width="7.28515625" bestFit="1" customWidth="1"/>
    <col min="47" max="47" width="16" bestFit="1" customWidth="1"/>
    <col min="48" max="48" width="5.5703125" bestFit="1" customWidth="1"/>
    <col min="49" max="49" width="13.28515625" bestFit="1" customWidth="1"/>
    <col min="50" max="50" width="16.42578125" bestFit="1" customWidth="1"/>
    <col min="51" max="51" width="26" bestFit="1" customWidth="1"/>
    <col min="52" max="52" width="11.140625" bestFit="1" customWidth="1"/>
    <col min="53" max="53" width="6.85546875" bestFit="1" customWidth="1"/>
    <col min="54" max="54" width="10.7109375" bestFit="1" customWidth="1"/>
    <col min="55" max="55" width="6.5703125" bestFit="1" customWidth="1"/>
    <col min="56" max="56" width="16.7109375" bestFit="1" customWidth="1"/>
  </cols>
  <sheetData>
    <row r="1" spans="1:56" ht="12.75" customHeight="1" thickBot="1" x14ac:dyDescent="0.3">
      <c r="A1" s="67" t="s">
        <v>0</v>
      </c>
      <c r="B1" s="67" t="s">
        <v>1</v>
      </c>
      <c r="C1" s="67" t="s">
        <v>2</v>
      </c>
      <c r="D1" s="68" t="s">
        <v>3</v>
      </c>
      <c r="E1" s="68" t="s">
        <v>34</v>
      </c>
      <c r="F1" s="67" t="s">
        <v>7</v>
      </c>
      <c r="G1" s="67" t="s">
        <v>4</v>
      </c>
      <c r="H1" s="67" t="s">
        <v>42</v>
      </c>
      <c r="I1" s="67" t="s">
        <v>8</v>
      </c>
      <c r="J1" s="67" t="s">
        <v>5</v>
      </c>
      <c r="K1" s="67" t="s">
        <v>12</v>
      </c>
      <c r="L1" s="67" t="s">
        <v>6</v>
      </c>
      <c r="M1" s="67" t="s">
        <v>9</v>
      </c>
      <c r="N1" s="67" t="s">
        <v>13</v>
      </c>
      <c r="O1" s="67" t="s">
        <v>10</v>
      </c>
      <c r="P1" s="67" t="s">
        <v>11</v>
      </c>
      <c r="Q1" s="67" t="s">
        <v>14</v>
      </c>
      <c r="R1" s="67" t="s">
        <v>15</v>
      </c>
      <c r="S1" s="67" t="s">
        <v>16</v>
      </c>
      <c r="T1" s="67" t="s">
        <v>17</v>
      </c>
      <c r="U1" s="67" t="s">
        <v>18</v>
      </c>
      <c r="V1" s="67" t="s">
        <v>19</v>
      </c>
      <c r="W1" s="67" t="s">
        <v>20</v>
      </c>
      <c r="X1" s="67" t="s">
        <v>21</v>
      </c>
      <c r="Y1" s="67" t="s">
        <v>22</v>
      </c>
      <c r="Z1" s="67" t="s">
        <v>23</v>
      </c>
      <c r="AA1" s="67" t="s">
        <v>24</v>
      </c>
      <c r="AB1" s="67" t="s">
        <v>25</v>
      </c>
      <c r="AC1" s="67" t="s">
        <v>26</v>
      </c>
      <c r="AD1" s="67" t="s">
        <v>27</v>
      </c>
      <c r="AE1" s="67" t="s">
        <v>28</v>
      </c>
      <c r="AF1" s="67" t="s">
        <v>29</v>
      </c>
      <c r="AG1" s="67" t="s">
        <v>30</v>
      </c>
      <c r="AH1" s="67" t="s">
        <v>31</v>
      </c>
      <c r="AI1" s="67" t="s">
        <v>32</v>
      </c>
      <c r="AJ1" s="67" t="s">
        <v>33</v>
      </c>
      <c r="AK1" s="67" t="s">
        <v>35</v>
      </c>
      <c r="AL1" s="67" t="s">
        <v>36</v>
      </c>
      <c r="AM1" s="67" t="s">
        <v>37</v>
      </c>
      <c r="AN1" s="67" t="s">
        <v>38</v>
      </c>
      <c r="AO1" s="67" t="s">
        <v>39</v>
      </c>
      <c r="AP1" s="67" t="s">
        <v>40</v>
      </c>
      <c r="AQ1" s="67" t="s">
        <v>41</v>
      </c>
      <c r="AR1" s="67" t="s">
        <v>43</v>
      </c>
      <c r="AS1" s="67" t="s">
        <v>44</v>
      </c>
      <c r="AT1" s="67" t="s">
        <v>45</v>
      </c>
      <c r="AU1" s="67" t="s">
        <v>46</v>
      </c>
      <c r="AV1" s="67" t="s">
        <v>47</v>
      </c>
      <c r="AW1" s="67" t="s">
        <v>48</v>
      </c>
      <c r="AX1" s="67" t="s">
        <v>49</v>
      </c>
      <c r="AY1" s="67" t="s">
        <v>50</v>
      </c>
      <c r="AZ1" s="67" t="s">
        <v>51</v>
      </c>
      <c r="BA1" s="67" t="s">
        <v>52</v>
      </c>
      <c r="BB1" s="67" t="s">
        <v>53</v>
      </c>
      <c r="BC1" s="67" t="s">
        <v>54</v>
      </c>
      <c r="BD1" s="67" t="s">
        <v>55</v>
      </c>
    </row>
    <row r="2" spans="1:56" ht="12.75" customHeight="1" x14ac:dyDescent="0.25">
      <c r="A2" s="69">
        <v>309</v>
      </c>
      <c r="B2" s="70" t="s">
        <v>246</v>
      </c>
      <c r="C2" s="71">
        <v>1</v>
      </c>
      <c r="D2" s="72" t="s">
        <v>256</v>
      </c>
      <c r="E2" s="71">
        <v>0</v>
      </c>
      <c r="F2" s="70" t="s">
        <v>81</v>
      </c>
      <c r="G2" s="70" t="s">
        <v>177</v>
      </c>
      <c r="H2" s="73" t="s">
        <v>247</v>
      </c>
      <c r="I2" s="74">
        <v>45649.686331018522</v>
      </c>
      <c r="J2" s="74">
        <v>46020.436608796299</v>
      </c>
      <c r="K2" s="74"/>
      <c r="L2" s="70" t="s">
        <v>81</v>
      </c>
      <c r="M2" s="70" t="s">
        <v>84</v>
      </c>
      <c r="N2" s="75" t="s">
        <v>680</v>
      </c>
      <c r="O2" s="70" t="s">
        <v>47</v>
      </c>
      <c r="P2" s="69"/>
      <c r="Q2" s="74"/>
      <c r="R2" s="70"/>
      <c r="S2" s="70" t="s">
        <v>81</v>
      </c>
      <c r="T2" s="74">
        <v>46003.408067129632</v>
      </c>
      <c r="U2" s="70"/>
      <c r="V2" s="75"/>
      <c r="W2" s="75"/>
      <c r="X2" s="70"/>
      <c r="Y2" s="70" t="s">
        <v>63</v>
      </c>
      <c r="Z2" s="70"/>
      <c r="AA2" s="69"/>
      <c r="AB2" s="70"/>
      <c r="AC2" s="70"/>
      <c r="AD2" s="70" t="s">
        <v>81</v>
      </c>
      <c r="AE2" s="74">
        <v>46020.436608796299</v>
      </c>
      <c r="AF2" s="70"/>
      <c r="AG2" s="70"/>
      <c r="AH2" s="70"/>
      <c r="AI2" s="70"/>
      <c r="AJ2" s="70"/>
      <c r="AK2" s="70"/>
      <c r="AL2" s="70"/>
      <c r="AM2" s="70"/>
      <c r="AN2" s="69"/>
      <c r="AO2" s="70"/>
      <c r="AP2" s="69">
        <v>4</v>
      </c>
      <c r="AQ2" s="75"/>
      <c r="AR2" s="75"/>
      <c r="AS2" s="74"/>
      <c r="AT2" s="75"/>
      <c r="AU2" s="70"/>
      <c r="AV2" s="70"/>
      <c r="AW2" s="70" t="s">
        <v>61</v>
      </c>
      <c r="AX2" s="75"/>
      <c r="AY2" s="70" t="s">
        <v>85</v>
      </c>
      <c r="AZ2" s="75"/>
      <c r="BA2" s="69"/>
      <c r="BB2" s="75"/>
      <c r="BC2" s="70"/>
      <c r="BD2" s="70" t="s">
        <v>191</v>
      </c>
    </row>
    <row r="3" spans="1:56" ht="12.75" customHeight="1" x14ac:dyDescent="0.25">
      <c r="A3" s="76">
        <v>522</v>
      </c>
      <c r="B3" s="77" t="s">
        <v>255</v>
      </c>
      <c r="C3" s="78">
        <v>1</v>
      </c>
      <c r="D3" s="79" t="s">
        <v>256</v>
      </c>
      <c r="E3" s="78">
        <v>0</v>
      </c>
      <c r="F3" s="77" t="s">
        <v>90</v>
      </c>
      <c r="G3" s="77" t="s">
        <v>177</v>
      </c>
      <c r="H3" s="80"/>
      <c r="I3" s="81">
        <v>45687.442280092589</v>
      </c>
      <c r="J3" s="81">
        <v>46021.421666666669</v>
      </c>
      <c r="K3" s="81"/>
      <c r="L3" s="77" t="s">
        <v>81</v>
      </c>
      <c r="M3" s="77" t="s">
        <v>91</v>
      </c>
      <c r="N3" s="80" t="s">
        <v>698</v>
      </c>
      <c r="O3" s="77" t="s">
        <v>47</v>
      </c>
      <c r="P3" s="76"/>
      <c r="Q3" s="81"/>
      <c r="R3" s="77"/>
      <c r="S3" s="77" t="s">
        <v>90</v>
      </c>
      <c r="T3" s="81">
        <v>46021.421666666669</v>
      </c>
      <c r="U3" s="77"/>
      <c r="V3" s="80"/>
      <c r="W3" s="80"/>
      <c r="X3" s="77"/>
      <c r="Y3" s="77" t="s">
        <v>63</v>
      </c>
      <c r="Z3" s="77"/>
      <c r="AA3" s="76"/>
      <c r="AB3" s="77"/>
      <c r="AC3" s="77"/>
      <c r="AD3" s="77" t="s">
        <v>90</v>
      </c>
      <c r="AE3" s="81">
        <v>46021.421666666669</v>
      </c>
      <c r="AF3" s="77"/>
      <c r="AG3" s="77"/>
      <c r="AH3" s="77"/>
      <c r="AI3" s="77"/>
      <c r="AJ3" s="77"/>
      <c r="AK3" s="77"/>
      <c r="AL3" s="77"/>
      <c r="AM3" s="77"/>
      <c r="AN3" s="76"/>
      <c r="AO3" s="77"/>
      <c r="AP3" s="76">
        <v>1</v>
      </c>
      <c r="AQ3" s="80"/>
      <c r="AR3" s="80"/>
      <c r="AS3" s="81"/>
      <c r="AT3" s="80"/>
      <c r="AU3" s="77"/>
      <c r="AV3" s="77"/>
      <c r="AW3" s="77" t="s">
        <v>61</v>
      </c>
      <c r="AX3" s="80"/>
      <c r="AY3" s="77" t="s">
        <v>85</v>
      </c>
      <c r="AZ3" s="80"/>
      <c r="BA3" s="76"/>
      <c r="BB3" s="80"/>
      <c r="BC3" s="77"/>
      <c r="BD3" s="77" t="s">
        <v>191</v>
      </c>
    </row>
    <row r="4" spans="1:56" ht="12.75" customHeight="1" x14ac:dyDescent="0.25">
      <c r="A4" s="69">
        <v>1148</v>
      </c>
      <c r="B4" s="70" t="s">
        <v>571</v>
      </c>
      <c r="C4" s="71">
        <v>1</v>
      </c>
      <c r="D4" s="72" t="s">
        <v>245</v>
      </c>
      <c r="E4" s="71">
        <v>0</v>
      </c>
      <c r="F4" s="70" t="s">
        <v>81</v>
      </c>
      <c r="G4" s="70" t="s">
        <v>178</v>
      </c>
      <c r="H4" s="75"/>
      <c r="I4" s="74">
        <v>45825.642962962964</v>
      </c>
      <c r="J4" s="74">
        <v>46020.436990740738</v>
      </c>
      <c r="K4" s="74"/>
      <c r="L4" s="70" t="s">
        <v>81</v>
      </c>
      <c r="M4" s="70" t="s">
        <v>81</v>
      </c>
      <c r="N4" s="75" t="s">
        <v>681</v>
      </c>
      <c r="O4" s="70" t="s">
        <v>47</v>
      </c>
      <c r="P4" s="69"/>
      <c r="Q4" s="74"/>
      <c r="R4" s="70"/>
      <c r="S4" s="70"/>
      <c r="T4" s="74"/>
      <c r="U4" s="70"/>
      <c r="V4" s="75"/>
      <c r="W4" s="75"/>
      <c r="X4" s="70"/>
      <c r="Y4" s="70" t="s">
        <v>63</v>
      </c>
      <c r="Z4" s="70"/>
      <c r="AA4" s="69"/>
      <c r="AB4" s="70"/>
      <c r="AC4" s="70"/>
      <c r="AD4" s="70" t="s">
        <v>81</v>
      </c>
      <c r="AE4" s="74">
        <v>46020.436990740738</v>
      </c>
      <c r="AF4" s="70"/>
      <c r="AG4" s="70"/>
      <c r="AH4" s="70"/>
      <c r="AI4" s="70"/>
      <c r="AJ4" s="70"/>
      <c r="AK4" s="70"/>
      <c r="AL4" s="70"/>
      <c r="AM4" s="70"/>
      <c r="AN4" s="69"/>
      <c r="AO4" s="70"/>
      <c r="AP4" s="69">
        <v>2</v>
      </c>
      <c r="AQ4" s="75"/>
      <c r="AR4" s="75"/>
      <c r="AS4" s="74"/>
      <c r="AT4" s="75"/>
      <c r="AU4" s="70"/>
      <c r="AV4" s="70"/>
      <c r="AW4" s="70" t="s">
        <v>61</v>
      </c>
      <c r="AX4" s="75"/>
      <c r="AY4" s="70" t="s">
        <v>85</v>
      </c>
      <c r="AZ4" s="75"/>
      <c r="BA4" s="69"/>
      <c r="BB4" s="75"/>
      <c r="BC4" s="70"/>
      <c r="BD4" s="70" t="s">
        <v>185</v>
      </c>
    </row>
    <row r="5" spans="1:56" ht="12.75" customHeight="1" x14ac:dyDescent="0.25">
      <c r="A5" s="76">
        <v>1278</v>
      </c>
      <c r="B5" s="77" t="s">
        <v>699</v>
      </c>
      <c r="C5" s="78">
        <v>1</v>
      </c>
      <c r="D5" s="79" t="s">
        <v>469</v>
      </c>
      <c r="E5" s="78">
        <v>0</v>
      </c>
      <c r="F5" s="77"/>
      <c r="G5" s="77" t="s">
        <v>178</v>
      </c>
      <c r="H5" s="82" t="s">
        <v>454</v>
      </c>
      <c r="I5" s="81">
        <v>45874.404131944444</v>
      </c>
      <c r="J5" s="81">
        <v>46021.420960648145</v>
      </c>
      <c r="K5" s="81"/>
      <c r="L5" s="77" t="s">
        <v>81</v>
      </c>
      <c r="M5" s="77" t="s">
        <v>147</v>
      </c>
      <c r="N5" s="80" t="s">
        <v>645</v>
      </c>
      <c r="O5" s="77" t="s">
        <v>47</v>
      </c>
      <c r="P5" s="76"/>
      <c r="Q5" s="81"/>
      <c r="R5" s="77"/>
      <c r="S5" s="77"/>
      <c r="T5" s="81"/>
      <c r="U5" s="77"/>
      <c r="V5" s="80"/>
      <c r="W5" s="80"/>
      <c r="X5" s="77"/>
      <c r="Y5" s="77" t="s">
        <v>63</v>
      </c>
      <c r="Z5" s="77"/>
      <c r="AA5" s="76"/>
      <c r="AB5" s="77"/>
      <c r="AC5" s="77"/>
      <c r="AD5" s="77" t="s">
        <v>81</v>
      </c>
      <c r="AE5" s="81">
        <v>46021.420960648145</v>
      </c>
      <c r="AF5" s="77"/>
      <c r="AG5" s="77"/>
      <c r="AH5" s="77"/>
      <c r="AI5" s="77"/>
      <c r="AJ5" s="77"/>
      <c r="AK5" s="77"/>
      <c r="AL5" s="77"/>
      <c r="AM5" s="77"/>
      <c r="AN5" s="76"/>
      <c r="AO5" s="77"/>
      <c r="AP5" s="76">
        <v>5</v>
      </c>
      <c r="AQ5" s="80"/>
      <c r="AR5" s="80"/>
      <c r="AS5" s="81"/>
      <c r="AT5" s="80"/>
      <c r="AU5" s="77"/>
      <c r="AV5" s="77"/>
      <c r="AW5" s="77" t="s">
        <v>61</v>
      </c>
      <c r="AX5" s="80"/>
      <c r="AY5" s="77" t="s">
        <v>85</v>
      </c>
      <c r="AZ5" s="80"/>
      <c r="BA5" s="76"/>
      <c r="BB5" s="80"/>
      <c r="BC5" s="77"/>
      <c r="BD5" s="77" t="s">
        <v>188</v>
      </c>
    </row>
    <row r="6" spans="1:56" ht="12.75" customHeight="1" x14ac:dyDescent="0.25">
      <c r="A6" s="69">
        <v>1444</v>
      </c>
      <c r="B6" s="70" t="s">
        <v>523</v>
      </c>
      <c r="C6" s="71">
        <v>1</v>
      </c>
      <c r="D6" s="72" t="s">
        <v>250</v>
      </c>
      <c r="E6" s="71">
        <v>1</v>
      </c>
      <c r="F6" s="70" t="s">
        <v>89</v>
      </c>
      <c r="G6" s="70" t="s">
        <v>178</v>
      </c>
      <c r="H6" s="73" t="s">
        <v>524</v>
      </c>
      <c r="I6" s="74">
        <v>45952.729583333334</v>
      </c>
      <c r="J6" s="74">
        <v>46024.382650462961</v>
      </c>
      <c r="K6" s="74"/>
      <c r="L6" s="70" t="s">
        <v>81</v>
      </c>
      <c r="M6" s="70" t="s">
        <v>81</v>
      </c>
      <c r="N6" s="75" t="s">
        <v>639</v>
      </c>
      <c r="O6" s="70" t="s">
        <v>47</v>
      </c>
      <c r="P6" s="69"/>
      <c r="Q6" s="74"/>
      <c r="R6" s="70"/>
      <c r="S6" s="70"/>
      <c r="T6" s="74"/>
      <c r="U6" s="70"/>
      <c r="V6" s="75"/>
      <c r="W6" s="75"/>
      <c r="X6" s="70"/>
      <c r="Y6" s="70" t="s">
        <v>63</v>
      </c>
      <c r="Z6" s="70"/>
      <c r="AA6" s="69"/>
      <c r="AB6" s="70"/>
      <c r="AC6" s="70"/>
      <c r="AD6" s="70" t="s">
        <v>81</v>
      </c>
      <c r="AE6" s="74">
        <v>46024.382650462961</v>
      </c>
      <c r="AF6" s="70"/>
      <c r="AG6" s="70"/>
      <c r="AH6" s="70"/>
      <c r="AI6" s="70"/>
      <c r="AJ6" s="70"/>
      <c r="AK6" s="70"/>
      <c r="AL6" s="70"/>
      <c r="AM6" s="70"/>
      <c r="AN6" s="69"/>
      <c r="AO6" s="70"/>
      <c r="AP6" s="69">
        <v>1</v>
      </c>
      <c r="AQ6" s="75"/>
      <c r="AR6" s="75"/>
      <c r="AS6" s="74"/>
      <c r="AT6" s="75"/>
      <c r="AU6" s="70"/>
      <c r="AV6" s="70"/>
      <c r="AW6" s="70" t="s">
        <v>514</v>
      </c>
      <c r="AX6" s="75"/>
      <c r="AY6" s="70" t="s">
        <v>85</v>
      </c>
      <c r="AZ6" s="75"/>
      <c r="BA6" s="69"/>
      <c r="BB6" s="75"/>
      <c r="BC6" s="70"/>
      <c r="BD6" s="70" t="s">
        <v>188</v>
      </c>
    </row>
    <row r="7" spans="1:56" ht="12.75" customHeight="1" x14ac:dyDescent="0.25">
      <c r="A7" s="76">
        <v>1449</v>
      </c>
      <c r="B7" s="77" t="s">
        <v>619</v>
      </c>
      <c r="C7" s="78">
        <v>1</v>
      </c>
      <c r="D7" s="79" t="s">
        <v>250</v>
      </c>
      <c r="E7" s="78">
        <v>1</v>
      </c>
      <c r="F7" s="77" t="s">
        <v>97</v>
      </c>
      <c r="G7" s="77" t="s">
        <v>178</v>
      </c>
      <c r="H7" s="82" t="s">
        <v>525</v>
      </c>
      <c r="I7" s="81">
        <v>45954.5549537037</v>
      </c>
      <c r="J7" s="81">
        <v>46013.63108796296</v>
      </c>
      <c r="K7" s="81"/>
      <c r="L7" s="77" t="s">
        <v>81</v>
      </c>
      <c r="M7" s="77" t="s">
        <v>89</v>
      </c>
      <c r="N7" s="80" t="s">
        <v>657</v>
      </c>
      <c r="O7" s="77" t="s">
        <v>47</v>
      </c>
      <c r="P7" s="76"/>
      <c r="Q7" s="81"/>
      <c r="R7" s="77"/>
      <c r="S7" s="77"/>
      <c r="T7" s="81"/>
      <c r="U7" s="77"/>
      <c r="V7" s="80"/>
      <c r="W7" s="80"/>
      <c r="X7" s="77"/>
      <c r="Y7" s="77" t="s">
        <v>63</v>
      </c>
      <c r="Z7" s="77"/>
      <c r="AA7" s="76"/>
      <c r="AB7" s="77"/>
      <c r="AC7" s="77"/>
      <c r="AD7" s="77" t="s">
        <v>81</v>
      </c>
      <c r="AE7" s="81">
        <v>46013.63108796296</v>
      </c>
      <c r="AF7" s="77"/>
      <c r="AG7" s="77"/>
      <c r="AH7" s="77"/>
      <c r="AI7" s="77"/>
      <c r="AJ7" s="77"/>
      <c r="AK7" s="77"/>
      <c r="AL7" s="77"/>
      <c r="AM7" s="77"/>
      <c r="AN7" s="76"/>
      <c r="AO7" s="77"/>
      <c r="AP7" s="76">
        <v>2</v>
      </c>
      <c r="AQ7" s="80"/>
      <c r="AR7" s="80"/>
      <c r="AS7" s="81"/>
      <c r="AT7" s="80"/>
      <c r="AU7" s="77"/>
      <c r="AV7" s="77"/>
      <c r="AW7" s="77" t="s">
        <v>514</v>
      </c>
      <c r="AX7" s="80"/>
      <c r="AY7" s="77" t="s">
        <v>85</v>
      </c>
      <c r="AZ7" s="80"/>
      <c r="BA7" s="76"/>
      <c r="BB7" s="80"/>
      <c r="BC7" s="77"/>
      <c r="BD7" s="77" t="s">
        <v>188</v>
      </c>
    </row>
    <row r="8" spans="1:56" ht="12.75" customHeight="1" x14ac:dyDescent="0.25">
      <c r="A8" s="69">
        <v>1492</v>
      </c>
      <c r="B8" s="70" t="s">
        <v>543</v>
      </c>
      <c r="C8" s="71">
        <v>1</v>
      </c>
      <c r="D8" s="72" t="s">
        <v>250</v>
      </c>
      <c r="E8" s="71">
        <v>0</v>
      </c>
      <c r="F8" s="70" t="s">
        <v>91</v>
      </c>
      <c r="G8" s="70" t="s">
        <v>178</v>
      </c>
      <c r="H8" s="73" t="s">
        <v>544</v>
      </c>
      <c r="I8" s="74">
        <v>45980.646736111114</v>
      </c>
      <c r="J8" s="74">
        <v>46010.448344907411</v>
      </c>
      <c r="K8" s="74"/>
      <c r="L8" s="70" t="s">
        <v>91</v>
      </c>
      <c r="M8" s="70" t="s">
        <v>91</v>
      </c>
      <c r="N8" s="75" t="s">
        <v>642</v>
      </c>
      <c r="O8" s="70" t="s">
        <v>47</v>
      </c>
      <c r="P8" s="69"/>
      <c r="Q8" s="74"/>
      <c r="R8" s="70"/>
      <c r="S8" s="70"/>
      <c r="T8" s="74"/>
      <c r="U8" s="70"/>
      <c r="V8" s="75"/>
      <c r="W8" s="75"/>
      <c r="X8" s="70"/>
      <c r="Y8" s="70" t="s">
        <v>63</v>
      </c>
      <c r="Z8" s="70"/>
      <c r="AA8" s="69"/>
      <c r="AB8" s="70"/>
      <c r="AC8" s="70"/>
      <c r="AD8" s="70" t="s">
        <v>91</v>
      </c>
      <c r="AE8" s="74">
        <v>46010.448344907411</v>
      </c>
      <c r="AF8" s="70"/>
      <c r="AG8" s="70"/>
      <c r="AH8" s="70"/>
      <c r="AI8" s="70"/>
      <c r="AJ8" s="70"/>
      <c r="AK8" s="70"/>
      <c r="AL8" s="70"/>
      <c r="AM8" s="70"/>
      <c r="AN8" s="69"/>
      <c r="AO8" s="70"/>
      <c r="AP8" s="69">
        <v>2</v>
      </c>
      <c r="AQ8" s="75"/>
      <c r="AR8" s="75"/>
      <c r="AS8" s="74"/>
      <c r="AT8" s="75"/>
      <c r="AU8" s="70"/>
      <c r="AV8" s="70"/>
      <c r="AW8" s="70" t="s">
        <v>514</v>
      </c>
      <c r="AX8" s="75"/>
      <c r="AY8" s="70" t="s">
        <v>85</v>
      </c>
      <c r="AZ8" s="75"/>
      <c r="BA8" s="69"/>
      <c r="BB8" s="75"/>
      <c r="BC8" s="70"/>
      <c r="BD8" s="70" t="s">
        <v>188</v>
      </c>
    </row>
    <row r="9" spans="1:56" ht="12.75" customHeight="1" x14ac:dyDescent="0.25">
      <c r="A9" s="76">
        <v>1496</v>
      </c>
      <c r="B9" s="77" t="s">
        <v>550</v>
      </c>
      <c r="C9" s="78">
        <v>1</v>
      </c>
      <c r="D9" s="79" t="s">
        <v>469</v>
      </c>
      <c r="E9" s="78">
        <v>0</v>
      </c>
      <c r="F9" s="77" t="s">
        <v>82</v>
      </c>
      <c r="G9" s="77" t="s">
        <v>178</v>
      </c>
      <c r="H9" s="82" t="s">
        <v>100</v>
      </c>
      <c r="I9" s="81">
        <v>45982.450196759259</v>
      </c>
      <c r="J9" s="81">
        <v>46014.510011574072</v>
      </c>
      <c r="K9" s="81"/>
      <c r="L9" s="77" t="s">
        <v>82</v>
      </c>
      <c r="M9" s="77" t="s">
        <v>94</v>
      </c>
      <c r="N9" s="80" t="s">
        <v>663</v>
      </c>
      <c r="O9" s="77" t="s">
        <v>47</v>
      </c>
      <c r="P9" s="76"/>
      <c r="Q9" s="81"/>
      <c r="R9" s="77"/>
      <c r="S9" s="77"/>
      <c r="T9" s="81"/>
      <c r="U9" s="77"/>
      <c r="V9" s="80"/>
      <c r="W9" s="80"/>
      <c r="X9" s="77"/>
      <c r="Y9" s="77" t="s">
        <v>63</v>
      </c>
      <c r="Z9" s="77"/>
      <c r="AA9" s="76"/>
      <c r="AB9" s="77"/>
      <c r="AC9" s="77"/>
      <c r="AD9" s="77" t="s">
        <v>82</v>
      </c>
      <c r="AE9" s="81">
        <v>46014.510011574072</v>
      </c>
      <c r="AF9" s="77"/>
      <c r="AG9" s="77"/>
      <c r="AH9" s="77"/>
      <c r="AI9" s="77"/>
      <c r="AJ9" s="77"/>
      <c r="AK9" s="77"/>
      <c r="AL9" s="77"/>
      <c r="AM9" s="77"/>
      <c r="AN9" s="76"/>
      <c r="AO9" s="77"/>
      <c r="AP9" s="76">
        <v>7</v>
      </c>
      <c r="AQ9" s="80"/>
      <c r="AR9" s="80"/>
      <c r="AS9" s="81"/>
      <c r="AT9" s="80"/>
      <c r="AU9" s="77"/>
      <c r="AV9" s="77"/>
      <c r="AW9" s="77" t="s">
        <v>514</v>
      </c>
      <c r="AX9" s="80"/>
      <c r="AY9" s="77" t="s">
        <v>85</v>
      </c>
      <c r="AZ9" s="80"/>
      <c r="BA9" s="76"/>
      <c r="BB9" s="80"/>
      <c r="BC9" s="77"/>
      <c r="BD9" s="77" t="s">
        <v>188</v>
      </c>
    </row>
    <row r="10" spans="1:56" ht="12.75" customHeight="1" x14ac:dyDescent="0.25">
      <c r="A10" s="69">
        <v>1503</v>
      </c>
      <c r="B10" s="70" t="s">
        <v>555</v>
      </c>
      <c r="C10" s="71">
        <v>1</v>
      </c>
      <c r="D10" s="72" t="s">
        <v>250</v>
      </c>
      <c r="E10" s="71">
        <v>0</v>
      </c>
      <c r="F10" s="70" t="s">
        <v>89</v>
      </c>
      <c r="G10" s="70" t="s">
        <v>178</v>
      </c>
      <c r="H10" s="73"/>
      <c r="I10" s="74">
        <v>45982.516030092593</v>
      </c>
      <c r="J10" s="74">
        <v>46013.385578703703</v>
      </c>
      <c r="K10" s="74"/>
      <c r="L10" s="70" t="s">
        <v>89</v>
      </c>
      <c r="M10" s="70" t="s">
        <v>89</v>
      </c>
      <c r="N10" s="75" t="s">
        <v>598</v>
      </c>
      <c r="O10" s="70" t="s">
        <v>47</v>
      </c>
      <c r="P10" s="69"/>
      <c r="Q10" s="74"/>
      <c r="R10" s="70"/>
      <c r="S10" s="70"/>
      <c r="T10" s="74"/>
      <c r="U10" s="70"/>
      <c r="V10" s="75"/>
      <c r="W10" s="75"/>
      <c r="X10" s="70"/>
      <c r="Y10" s="70" t="s">
        <v>63</v>
      </c>
      <c r="Z10" s="70"/>
      <c r="AA10" s="69"/>
      <c r="AB10" s="70"/>
      <c r="AC10" s="70"/>
      <c r="AD10" s="70" t="s">
        <v>89</v>
      </c>
      <c r="AE10" s="74">
        <v>46013.385578703703</v>
      </c>
      <c r="AF10" s="70"/>
      <c r="AG10" s="70"/>
      <c r="AH10" s="70"/>
      <c r="AI10" s="70"/>
      <c r="AJ10" s="70"/>
      <c r="AK10" s="70"/>
      <c r="AL10" s="70"/>
      <c r="AM10" s="70"/>
      <c r="AN10" s="69"/>
      <c r="AO10" s="70"/>
      <c r="AP10" s="69">
        <v>2</v>
      </c>
      <c r="AQ10" s="75"/>
      <c r="AR10" s="75"/>
      <c r="AS10" s="74"/>
      <c r="AT10" s="75"/>
      <c r="AU10" s="70"/>
      <c r="AV10" s="70"/>
      <c r="AW10" s="70" t="s">
        <v>514</v>
      </c>
      <c r="AX10" s="75"/>
      <c r="AY10" s="70" t="s">
        <v>85</v>
      </c>
      <c r="AZ10" s="75"/>
      <c r="BA10" s="69"/>
      <c r="BB10" s="75"/>
      <c r="BC10" s="70"/>
      <c r="BD10" s="70" t="s">
        <v>188</v>
      </c>
    </row>
    <row r="11" spans="1:56" ht="12.75" customHeight="1" x14ac:dyDescent="0.25">
      <c r="A11" s="76">
        <v>1531</v>
      </c>
      <c r="B11" s="77" t="s">
        <v>620</v>
      </c>
      <c r="C11" s="78">
        <v>1</v>
      </c>
      <c r="D11" s="79" t="s">
        <v>250</v>
      </c>
      <c r="E11" s="78">
        <v>0</v>
      </c>
      <c r="F11" s="77" t="s">
        <v>90</v>
      </c>
      <c r="G11" s="77" t="s">
        <v>178</v>
      </c>
      <c r="H11" s="82" t="s">
        <v>621</v>
      </c>
      <c r="I11" s="81">
        <v>45992.662708333337</v>
      </c>
      <c r="J11" s="81">
        <v>46020.454479166663</v>
      </c>
      <c r="K11" s="81"/>
      <c r="L11" s="77" t="s">
        <v>90</v>
      </c>
      <c r="M11" s="77" t="s">
        <v>157</v>
      </c>
      <c r="N11" s="80" t="s">
        <v>644</v>
      </c>
      <c r="O11" s="77" t="s">
        <v>47</v>
      </c>
      <c r="P11" s="76"/>
      <c r="Q11" s="81"/>
      <c r="R11" s="77"/>
      <c r="S11" s="77"/>
      <c r="T11" s="81"/>
      <c r="U11" s="77"/>
      <c r="V11" s="80"/>
      <c r="W11" s="80"/>
      <c r="X11" s="77"/>
      <c r="Y11" s="77" t="s">
        <v>63</v>
      </c>
      <c r="Z11" s="77"/>
      <c r="AA11" s="76"/>
      <c r="AB11" s="77"/>
      <c r="AC11" s="77"/>
      <c r="AD11" s="77" t="s">
        <v>90</v>
      </c>
      <c r="AE11" s="81">
        <v>46020.454479166663</v>
      </c>
      <c r="AF11" s="77"/>
      <c r="AG11" s="77"/>
      <c r="AH11" s="77"/>
      <c r="AI11" s="77"/>
      <c r="AJ11" s="77"/>
      <c r="AK11" s="77"/>
      <c r="AL11" s="77"/>
      <c r="AM11" s="77"/>
      <c r="AN11" s="76"/>
      <c r="AO11" s="77"/>
      <c r="AP11" s="76">
        <v>5</v>
      </c>
      <c r="AQ11" s="80"/>
      <c r="AR11" s="80"/>
      <c r="AS11" s="81"/>
      <c r="AT11" s="80"/>
      <c r="AU11" s="77"/>
      <c r="AV11" s="77"/>
      <c r="AW11" s="77" t="s">
        <v>514</v>
      </c>
      <c r="AX11" s="80"/>
      <c r="AY11" s="77" t="s">
        <v>85</v>
      </c>
      <c r="AZ11" s="80"/>
      <c r="BA11" s="76"/>
      <c r="BB11" s="80"/>
      <c r="BC11" s="77"/>
      <c r="BD11" s="77" t="s">
        <v>188</v>
      </c>
    </row>
    <row r="12" spans="1:56" ht="12.75" customHeight="1" x14ac:dyDescent="0.25">
      <c r="A12" s="69">
        <v>1542</v>
      </c>
      <c r="B12" s="70" t="s">
        <v>622</v>
      </c>
      <c r="C12" s="71">
        <v>1</v>
      </c>
      <c r="D12" s="72" t="s">
        <v>250</v>
      </c>
      <c r="E12" s="71">
        <v>0</v>
      </c>
      <c r="F12" s="70" t="s">
        <v>90</v>
      </c>
      <c r="G12" s="70" t="s">
        <v>178</v>
      </c>
      <c r="H12" s="73" t="s">
        <v>623</v>
      </c>
      <c r="I12" s="74">
        <v>45994.603530092594</v>
      </c>
      <c r="J12" s="74">
        <v>46007.430543981478</v>
      </c>
      <c r="K12" s="74"/>
      <c r="L12" s="70" t="s">
        <v>81</v>
      </c>
      <c r="M12" s="70" t="s">
        <v>81</v>
      </c>
      <c r="N12" s="75" t="s">
        <v>652</v>
      </c>
      <c r="O12" s="70" t="s">
        <v>47</v>
      </c>
      <c r="P12" s="69"/>
      <c r="Q12" s="74"/>
      <c r="R12" s="70"/>
      <c r="S12" s="70"/>
      <c r="T12" s="74"/>
      <c r="U12" s="70"/>
      <c r="V12" s="75"/>
      <c r="W12" s="75"/>
      <c r="X12" s="70"/>
      <c r="Y12" s="70" t="s">
        <v>63</v>
      </c>
      <c r="Z12" s="70"/>
      <c r="AA12" s="69"/>
      <c r="AB12" s="70"/>
      <c r="AC12" s="70"/>
      <c r="AD12" s="70" t="s">
        <v>81</v>
      </c>
      <c r="AE12" s="74">
        <v>46007.430543981478</v>
      </c>
      <c r="AF12" s="70"/>
      <c r="AG12" s="70"/>
      <c r="AH12" s="70"/>
      <c r="AI12" s="70"/>
      <c r="AJ12" s="70"/>
      <c r="AK12" s="70"/>
      <c r="AL12" s="70"/>
      <c r="AM12" s="70"/>
      <c r="AN12" s="69"/>
      <c r="AO12" s="70"/>
      <c r="AP12" s="69">
        <v>3</v>
      </c>
      <c r="AQ12" s="75"/>
      <c r="AR12" s="75"/>
      <c r="AS12" s="74"/>
      <c r="AT12" s="75"/>
      <c r="AU12" s="70"/>
      <c r="AV12" s="70"/>
      <c r="AW12" s="70" t="s">
        <v>514</v>
      </c>
      <c r="AX12" s="75"/>
      <c r="AY12" s="70" t="s">
        <v>85</v>
      </c>
      <c r="AZ12" s="75"/>
      <c r="BA12" s="69"/>
      <c r="BB12" s="75"/>
      <c r="BC12" s="70"/>
      <c r="BD12" s="70" t="s">
        <v>188</v>
      </c>
    </row>
    <row r="13" spans="1:56" ht="12.75" customHeight="1" x14ac:dyDescent="0.25">
      <c r="A13" s="76">
        <v>1546</v>
      </c>
      <c r="B13" s="77" t="s">
        <v>624</v>
      </c>
      <c r="C13" s="78">
        <v>1</v>
      </c>
      <c r="D13" s="79" t="s">
        <v>200</v>
      </c>
      <c r="E13" s="78">
        <v>0</v>
      </c>
      <c r="F13" s="77" t="s">
        <v>89</v>
      </c>
      <c r="G13" s="77" t="s">
        <v>178</v>
      </c>
      <c r="H13" s="82" t="s">
        <v>625</v>
      </c>
      <c r="I13" s="81">
        <v>45994.736215277779</v>
      </c>
      <c r="J13" s="81">
        <v>46021.674988425926</v>
      </c>
      <c r="K13" s="81"/>
      <c r="L13" s="77" t="s">
        <v>81</v>
      </c>
      <c r="M13" s="77" t="s">
        <v>81</v>
      </c>
      <c r="N13" s="80" t="s">
        <v>664</v>
      </c>
      <c r="O13" s="77" t="s">
        <v>47</v>
      </c>
      <c r="P13" s="76"/>
      <c r="Q13" s="81"/>
      <c r="R13" s="77"/>
      <c r="S13" s="77"/>
      <c r="T13" s="81"/>
      <c r="U13" s="77"/>
      <c r="V13" s="80"/>
      <c r="W13" s="80"/>
      <c r="X13" s="77"/>
      <c r="Y13" s="77" t="s">
        <v>63</v>
      </c>
      <c r="Z13" s="77"/>
      <c r="AA13" s="76"/>
      <c r="AB13" s="77"/>
      <c r="AC13" s="77"/>
      <c r="AD13" s="77" t="s">
        <v>81</v>
      </c>
      <c r="AE13" s="81">
        <v>46021.674988425926</v>
      </c>
      <c r="AF13" s="77"/>
      <c r="AG13" s="77"/>
      <c r="AH13" s="77"/>
      <c r="AI13" s="77"/>
      <c r="AJ13" s="77"/>
      <c r="AK13" s="77"/>
      <c r="AL13" s="77"/>
      <c r="AM13" s="77"/>
      <c r="AN13" s="76"/>
      <c r="AO13" s="77"/>
      <c r="AP13" s="76">
        <v>4</v>
      </c>
      <c r="AQ13" s="80"/>
      <c r="AR13" s="80"/>
      <c r="AS13" s="81"/>
      <c r="AT13" s="80"/>
      <c r="AU13" s="77"/>
      <c r="AV13" s="77"/>
      <c r="AW13" s="77" t="s">
        <v>514</v>
      </c>
      <c r="AX13" s="80"/>
      <c r="AY13" s="77" t="s">
        <v>85</v>
      </c>
      <c r="AZ13" s="80"/>
      <c r="BA13" s="76"/>
      <c r="BB13" s="80"/>
      <c r="BC13" s="77"/>
      <c r="BD13" s="77" t="s">
        <v>188</v>
      </c>
    </row>
    <row r="14" spans="1:56" ht="12.75" customHeight="1" x14ac:dyDescent="0.25">
      <c r="A14" s="69">
        <v>1549</v>
      </c>
      <c r="B14" s="70" t="s">
        <v>626</v>
      </c>
      <c r="C14" s="71">
        <v>1</v>
      </c>
      <c r="D14" s="72" t="s">
        <v>250</v>
      </c>
      <c r="E14" s="71">
        <v>0</v>
      </c>
      <c r="F14" s="70" t="s">
        <v>82</v>
      </c>
      <c r="G14" s="70" t="s">
        <v>178</v>
      </c>
      <c r="H14" s="73" t="s">
        <v>627</v>
      </c>
      <c r="I14" s="74">
        <v>45995.466064814813</v>
      </c>
      <c r="J14" s="74">
        <v>46001.412777777776</v>
      </c>
      <c r="K14" s="74"/>
      <c r="L14" s="70" t="s">
        <v>82</v>
      </c>
      <c r="M14" s="70" t="s">
        <v>81</v>
      </c>
      <c r="N14" s="75" t="s">
        <v>637</v>
      </c>
      <c r="O14" s="70" t="s">
        <v>47</v>
      </c>
      <c r="P14" s="69"/>
      <c r="Q14" s="74"/>
      <c r="R14" s="70"/>
      <c r="S14" s="70"/>
      <c r="T14" s="74"/>
      <c r="U14" s="70"/>
      <c r="V14" s="75"/>
      <c r="W14" s="75"/>
      <c r="X14" s="70"/>
      <c r="Y14" s="70" t="s">
        <v>63</v>
      </c>
      <c r="Z14" s="70"/>
      <c r="AA14" s="69"/>
      <c r="AB14" s="70"/>
      <c r="AC14" s="70"/>
      <c r="AD14" s="70" t="s">
        <v>82</v>
      </c>
      <c r="AE14" s="74">
        <v>46001.412777777776</v>
      </c>
      <c r="AF14" s="70"/>
      <c r="AG14" s="70"/>
      <c r="AH14" s="70"/>
      <c r="AI14" s="70"/>
      <c r="AJ14" s="70"/>
      <c r="AK14" s="70"/>
      <c r="AL14" s="70"/>
      <c r="AM14" s="70"/>
      <c r="AN14" s="69"/>
      <c r="AO14" s="70"/>
      <c r="AP14" s="69">
        <v>7</v>
      </c>
      <c r="AQ14" s="75"/>
      <c r="AR14" s="75"/>
      <c r="AS14" s="74"/>
      <c r="AT14" s="75"/>
      <c r="AU14" s="70"/>
      <c r="AV14" s="70"/>
      <c r="AW14" s="70" t="s">
        <v>514</v>
      </c>
      <c r="AX14" s="75"/>
      <c r="AY14" s="70" t="s">
        <v>85</v>
      </c>
      <c r="AZ14" s="75"/>
      <c r="BA14" s="69"/>
      <c r="BB14" s="75"/>
      <c r="BC14" s="70"/>
      <c r="BD14" s="70" t="s">
        <v>188</v>
      </c>
    </row>
    <row r="15" spans="1:56" ht="12.75" customHeight="1" x14ac:dyDescent="0.25">
      <c r="A15" s="76">
        <v>1551</v>
      </c>
      <c r="B15" s="77" t="s">
        <v>628</v>
      </c>
      <c r="C15" s="78">
        <v>1</v>
      </c>
      <c r="D15" s="79" t="s">
        <v>469</v>
      </c>
      <c r="E15" s="78">
        <v>0</v>
      </c>
      <c r="F15" s="77" t="s">
        <v>90</v>
      </c>
      <c r="G15" s="77" t="s">
        <v>178</v>
      </c>
      <c r="H15" s="82" t="s">
        <v>629</v>
      </c>
      <c r="I15" s="81">
        <v>45995.494895833333</v>
      </c>
      <c r="J15" s="81">
        <v>46013.645856481482</v>
      </c>
      <c r="K15" s="81"/>
      <c r="L15" s="77" t="s">
        <v>81</v>
      </c>
      <c r="M15" s="77" t="s">
        <v>157</v>
      </c>
      <c r="N15" s="80" t="s">
        <v>636</v>
      </c>
      <c r="O15" s="77" t="s">
        <v>47</v>
      </c>
      <c r="P15" s="76"/>
      <c r="Q15" s="81"/>
      <c r="R15" s="77"/>
      <c r="S15" s="77"/>
      <c r="T15" s="81"/>
      <c r="U15" s="77"/>
      <c r="V15" s="80"/>
      <c r="W15" s="80"/>
      <c r="X15" s="77"/>
      <c r="Y15" s="77" t="s">
        <v>63</v>
      </c>
      <c r="Z15" s="77"/>
      <c r="AA15" s="76"/>
      <c r="AB15" s="77"/>
      <c r="AC15" s="77"/>
      <c r="AD15" s="77" t="s">
        <v>81</v>
      </c>
      <c r="AE15" s="81">
        <v>46013.645856481482</v>
      </c>
      <c r="AF15" s="77"/>
      <c r="AG15" s="77"/>
      <c r="AH15" s="77"/>
      <c r="AI15" s="77"/>
      <c r="AJ15" s="77"/>
      <c r="AK15" s="77"/>
      <c r="AL15" s="77"/>
      <c r="AM15" s="77"/>
      <c r="AN15" s="76"/>
      <c r="AO15" s="77"/>
      <c r="AP15" s="76">
        <v>2</v>
      </c>
      <c r="AQ15" s="80"/>
      <c r="AR15" s="80"/>
      <c r="AS15" s="81"/>
      <c r="AT15" s="80"/>
      <c r="AU15" s="77"/>
      <c r="AV15" s="77"/>
      <c r="AW15" s="77" t="s">
        <v>514</v>
      </c>
      <c r="AX15" s="80"/>
      <c r="AY15" s="77" t="s">
        <v>85</v>
      </c>
      <c r="AZ15" s="80"/>
      <c r="BA15" s="76"/>
      <c r="BB15" s="80"/>
      <c r="BC15" s="77"/>
      <c r="BD15" s="77" t="s">
        <v>188</v>
      </c>
    </row>
    <row r="16" spans="1:56" ht="12.75" customHeight="1" x14ac:dyDescent="0.25">
      <c r="A16" s="69">
        <v>1557</v>
      </c>
      <c r="B16" s="70" t="s">
        <v>632</v>
      </c>
      <c r="C16" s="71">
        <v>1</v>
      </c>
      <c r="D16" s="72" t="s">
        <v>250</v>
      </c>
      <c r="E16" s="71">
        <v>0</v>
      </c>
      <c r="F16" s="83" t="s">
        <v>90</v>
      </c>
      <c r="G16" s="70" t="s">
        <v>178</v>
      </c>
      <c r="H16" s="73" t="s">
        <v>633</v>
      </c>
      <c r="I16" s="74">
        <v>45996.587511574071</v>
      </c>
      <c r="J16" s="74">
        <v>46008.35796296296</v>
      </c>
      <c r="K16" s="74"/>
      <c r="L16" s="70" t="s">
        <v>81</v>
      </c>
      <c r="M16" s="70" t="s">
        <v>157</v>
      </c>
      <c r="N16" s="75" t="s">
        <v>631</v>
      </c>
      <c r="O16" s="70" t="s">
        <v>47</v>
      </c>
      <c r="P16" s="69"/>
      <c r="Q16" s="74"/>
      <c r="R16" s="70"/>
      <c r="S16" s="70"/>
      <c r="T16" s="74"/>
      <c r="U16" s="70"/>
      <c r="V16" s="75"/>
      <c r="W16" s="75"/>
      <c r="X16" s="70"/>
      <c r="Y16" s="70" t="s">
        <v>63</v>
      </c>
      <c r="Z16" s="70"/>
      <c r="AA16" s="69"/>
      <c r="AB16" s="70"/>
      <c r="AC16" s="70"/>
      <c r="AD16" s="70" t="s">
        <v>81</v>
      </c>
      <c r="AE16" s="74">
        <v>46008.35796296296</v>
      </c>
      <c r="AF16" s="70"/>
      <c r="AG16" s="70"/>
      <c r="AH16" s="70"/>
      <c r="AI16" s="70"/>
      <c r="AJ16" s="70"/>
      <c r="AK16" s="70"/>
      <c r="AL16" s="70"/>
      <c r="AM16" s="70"/>
      <c r="AN16" s="69"/>
      <c r="AO16" s="70"/>
      <c r="AP16" s="69">
        <v>2</v>
      </c>
      <c r="AQ16" s="75"/>
      <c r="AR16" s="75"/>
      <c r="AS16" s="74"/>
      <c r="AT16" s="75"/>
      <c r="AU16" s="70"/>
      <c r="AV16" s="70"/>
      <c r="AW16" s="70" t="s">
        <v>514</v>
      </c>
      <c r="AX16" s="75"/>
      <c r="AY16" s="70" t="s">
        <v>85</v>
      </c>
      <c r="AZ16" s="75"/>
      <c r="BA16" s="69"/>
      <c r="BB16" s="75"/>
      <c r="BC16" s="70"/>
      <c r="BD16" s="70" t="s">
        <v>188</v>
      </c>
    </row>
    <row r="17" spans="1:56" ht="12.75" customHeight="1" x14ac:dyDescent="0.25">
      <c r="A17" s="76">
        <v>1560</v>
      </c>
      <c r="B17" s="77" t="s">
        <v>634</v>
      </c>
      <c r="C17" s="78">
        <v>1</v>
      </c>
      <c r="D17" s="79" t="s">
        <v>250</v>
      </c>
      <c r="E17" s="78">
        <v>0</v>
      </c>
      <c r="F17" s="84" t="s">
        <v>91</v>
      </c>
      <c r="G17" s="77" t="s">
        <v>178</v>
      </c>
      <c r="H17" s="82" t="s">
        <v>635</v>
      </c>
      <c r="I17" s="81">
        <v>45996.758912037039</v>
      </c>
      <c r="J17" s="81">
        <v>46007.425000000003</v>
      </c>
      <c r="K17" s="81"/>
      <c r="L17" s="77" t="s">
        <v>81</v>
      </c>
      <c r="M17" s="77" t="s">
        <v>157</v>
      </c>
      <c r="N17" s="80" t="s">
        <v>638</v>
      </c>
      <c r="O17" s="77" t="s">
        <v>47</v>
      </c>
      <c r="P17" s="76"/>
      <c r="Q17" s="81"/>
      <c r="R17" s="77"/>
      <c r="S17" s="77"/>
      <c r="T17" s="81"/>
      <c r="U17" s="77"/>
      <c r="V17" s="80"/>
      <c r="W17" s="80"/>
      <c r="X17" s="77"/>
      <c r="Y17" s="77" t="s">
        <v>63</v>
      </c>
      <c r="Z17" s="77"/>
      <c r="AA17" s="76"/>
      <c r="AB17" s="77"/>
      <c r="AC17" s="77"/>
      <c r="AD17" s="77" t="s">
        <v>81</v>
      </c>
      <c r="AE17" s="81">
        <v>46007.425000000003</v>
      </c>
      <c r="AF17" s="77"/>
      <c r="AG17" s="77"/>
      <c r="AH17" s="77"/>
      <c r="AI17" s="77"/>
      <c r="AJ17" s="77"/>
      <c r="AK17" s="77"/>
      <c r="AL17" s="77"/>
      <c r="AM17" s="77"/>
      <c r="AN17" s="76"/>
      <c r="AO17" s="77"/>
      <c r="AP17" s="76">
        <v>3</v>
      </c>
      <c r="AQ17" s="80"/>
      <c r="AR17" s="80"/>
      <c r="AS17" s="81"/>
      <c r="AT17" s="80"/>
      <c r="AU17" s="77"/>
      <c r="AV17" s="77"/>
      <c r="AW17" s="77" t="s">
        <v>514</v>
      </c>
      <c r="AX17" s="80"/>
      <c r="AY17" s="77" t="s">
        <v>85</v>
      </c>
      <c r="AZ17" s="80"/>
      <c r="BA17" s="76"/>
      <c r="BB17" s="80"/>
      <c r="BC17" s="77"/>
      <c r="BD17" s="77" t="s">
        <v>188</v>
      </c>
    </row>
    <row r="18" spans="1:56" ht="12.75" customHeight="1" x14ac:dyDescent="0.25">
      <c r="A18" s="69">
        <v>1581</v>
      </c>
      <c r="B18" s="70" t="s">
        <v>649</v>
      </c>
      <c r="C18" s="71">
        <v>1</v>
      </c>
      <c r="D18" s="72" t="s">
        <v>250</v>
      </c>
      <c r="E18" s="85">
        <v>0</v>
      </c>
      <c r="F18" s="83" t="s">
        <v>91</v>
      </c>
      <c r="G18" s="70" t="s">
        <v>178</v>
      </c>
      <c r="H18" s="73" t="s">
        <v>651</v>
      </c>
      <c r="I18" s="74">
        <v>46006.728865740741</v>
      </c>
      <c r="J18" s="74">
        <v>46007.425000000003</v>
      </c>
      <c r="K18" s="74"/>
      <c r="L18" s="70" t="s">
        <v>81</v>
      </c>
      <c r="M18" s="70" t="s">
        <v>157</v>
      </c>
      <c r="N18" s="75" t="s">
        <v>650</v>
      </c>
      <c r="O18" s="70" t="s">
        <v>47</v>
      </c>
      <c r="P18" s="69"/>
      <c r="Q18" s="74"/>
      <c r="R18" s="70"/>
      <c r="S18" s="70"/>
      <c r="T18" s="74"/>
      <c r="U18" s="70"/>
      <c r="V18" s="75"/>
      <c r="W18" s="75"/>
      <c r="X18" s="70"/>
      <c r="Y18" s="70" t="s">
        <v>63</v>
      </c>
      <c r="Z18" s="70"/>
      <c r="AA18" s="69"/>
      <c r="AB18" s="70"/>
      <c r="AC18" s="70"/>
      <c r="AD18" s="70" t="s">
        <v>81</v>
      </c>
      <c r="AE18" s="74">
        <v>46007.425000000003</v>
      </c>
      <c r="AF18" s="70"/>
      <c r="AG18" s="70"/>
      <c r="AH18" s="70"/>
      <c r="AI18" s="70"/>
      <c r="AJ18" s="70"/>
      <c r="AK18" s="70"/>
      <c r="AL18" s="70"/>
      <c r="AM18" s="70"/>
      <c r="AN18" s="69"/>
      <c r="AO18" s="70"/>
      <c r="AP18" s="69">
        <v>1</v>
      </c>
      <c r="AQ18" s="75"/>
      <c r="AR18" s="75"/>
      <c r="AS18" s="74"/>
      <c r="AT18" s="75"/>
      <c r="AU18" s="70"/>
      <c r="AV18" s="70"/>
      <c r="AW18" s="70" t="s">
        <v>514</v>
      </c>
      <c r="AX18" s="75"/>
      <c r="AY18" s="70" t="s">
        <v>85</v>
      </c>
      <c r="AZ18" s="75"/>
      <c r="BA18" s="69"/>
      <c r="BB18" s="75"/>
      <c r="BC18" s="70"/>
      <c r="BD18" s="70" t="s">
        <v>188</v>
      </c>
    </row>
    <row r="19" spans="1:56" ht="12.75" customHeight="1" x14ac:dyDescent="0.25">
      <c r="A19" s="76">
        <v>1591</v>
      </c>
      <c r="B19" s="77" t="s">
        <v>654</v>
      </c>
      <c r="C19" s="78">
        <v>1</v>
      </c>
      <c r="D19" s="79" t="s">
        <v>200</v>
      </c>
      <c r="E19" s="86">
        <v>0</v>
      </c>
      <c r="F19" s="84" t="s">
        <v>89</v>
      </c>
      <c r="G19" s="77" t="s">
        <v>178</v>
      </c>
      <c r="H19" s="82" t="s">
        <v>665</v>
      </c>
      <c r="I19" s="81">
        <v>46013.491886574076</v>
      </c>
      <c r="J19" s="81">
        <v>46021.466180555559</v>
      </c>
      <c r="K19" s="81"/>
      <c r="L19" s="77" t="s">
        <v>81</v>
      </c>
      <c r="M19" s="77" t="s">
        <v>89</v>
      </c>
      <c r="N19" s="80" t="s">
        <v>666</v>
      </c>
      <c r="O19" s="77" t="s">
        <v>47</v>
      </c>
      <c r="P19" s="76"/>
      <c r="Q19" s="81"/>
      <c r="R19" s="77"/>
      <c r="S19" s="77"/>
      <c r="T19" s="81"/>
      <c r="U19" s="77"/>
      <c r="V19" s="80"/>
      <c r="W19" s="80"/>
      <c r="X19" s="77"/>
      <c r="Y19" s="77" t="s">
        <v>63</v>
      </c>
      <c r="Z19" s="77"/>
      <c r="AA19" s="76"/>
      <c r="AB19" s="77"/>
      <c r="AC19" s="77"/>
      <c r="AD19" s="77" t="s">
        <v>81</v>
      </c>
      <c r="AE19" s="81">
        <v>46021.466180555559</v>
      </c>
      <c r="AF19" s="77"/>
      <c r="AG19" s="77"/>
      <c r="AH19" s="77"/>
      <c r="AI19" s="77"/>
      <c r="AJ19" s="77"/>
      <c r="AK19" s="77"/>
      <c r="AL19" s="77"/>
      <c r="AM19" s="77"/>
      <c r="AN19" s="76"/>
      <c r="AO19" s="77"/>
      <c r="AP19" s="76">
        <v>1</v>
      </c>
      <c r="AQ19" s="80"/>
      <c r="AR19" s="80"/>
      <c r="AS19" s="81"/>
      <c r="AT19" s="80"/>
      <c r="AU19" s="77"/>
      <c r="AV19" s="77"/>
      <c r="AW19" s="77" t="s">
        <v>514</v>
      </c>
      <c r="AX19" s="80"/>
      <c r="AY19" s="77" t="s">
        <v>85</v>
      </c>
      <c r="AZ19" s="80"/>
      <c r="BA19" s="76"/>
      <c r="BB19" s="80"/>
      <c r="BC19" s="77"/>
      <c r="BD19" s="77" t="s">
        <v>188</v>
      </c>
    </row>
    <row r="20" spans="1:56" ht="12.75" customHeight="1" x14ac:dyDescent="0.25">
      <c r="A20" s="69">
        <v>1593</v>
      </c>
      <c r="B20" s="70" t="s">
        <v>659</v>
      </c>
      <c r="C20" s="71">
        <v>1</v>
      </c>
      <c r="D20" s="72" t="s">
        <v>245</v>
      </c>
      <c r="E20" s="85">
        <v>0</v>
      </c>
      <c r="F20" s="83"/>
      <c r="G20" s="70" t="s">
        <v>178</v>
      </c>
      <c r="H20" s="73" t="s">
        <v>660</v>
      </c>
      <c r="I20" s="74">
        <v>46013.686828703707</v>
      </c>
      <c r="J20" s="74">
        <v>46014.635439814818</v>
      </c>
      <c r="K20" s="74"/>
      <c r="L20" s="70" t="s">
        <v>81</v>
      </c>
      <c r="M20" s="70" t="s">
        <v>81</v>
      </c>
      <c r="N20" s="75" t="s">
        <v>667</v>
      </c>
      <c r="O20" s="70" t="s">
        <v>47</v>
      </c>
      <c r="P20" s="69"/>
      <c r="Q20" s="74"/>
      <c r="R20" s="70"/>
      <c r="S20" s="70"/>
      <c r="T20" s="74"/>
      <c r="U20" s="70"/>
      <c r="V20" s="75"/>
      <c r="W20" s="75"/>
      <c r="X20" s="70"/>
      <c r="Y20" s="70" t="s">
        <v>63</v>
      </c>
      <c r="Z20" s="70"/>
      <c r="AA20" s="69"/>
      <c r="AB20" s="70"/>
      <c r="AC20" s="70"/>
      <c r="AD20" s="70" t="s">
        <v>81</v>
      </c>
      <c r="AE20" s="74">
        <v>46014.635439814818</v>
      </c>
      <c r="AF20" s="70"/>
      <c r="AG20" s="70"/>
      <c r="AH20" s="70"/>
      <c r="AI20" s="70"/>
      <c r="AJ20" s="70"/>
      <c r="AK20" s="70"/>
      <c r="AL20" s="70"/>
      <c r="AM20" s="70"/>
      <c r="AN20" s="69"/>
      <c r="AO20" s="70"/>
      <c r="AP20" s="69">
        <v>1</v>
      </c>
      <c r="AQ20" s="75"/>
      <c r="AR20" s="75"/>
      <c r="AS20" s="74"/>
      <c r="AT20" s="75"/>
      <c r="AU20" s="70"/>
      <c r="AV20" s="70"/>
      <c r="AW20" s="70" t="s">
        <v>514</v>
      </c>
      <c r="AX20" s="75"/>
      <c r="AY20" s="70" t="s">
        <v>85</v>
      </c>
      <c r="AZ20" s="75"/>
      <c r="BA20" s="69"/>
      <c r="BB20" s="75"/>
      <c r="BC20" s="70"/>
      <c r="BD20" s="70" t="s">
        <v>185</v>
      </c>
    </row>
    <row r="21" spans="1:56" ht="12.75" customHeight="1" x14ac:dyDescent="0.25">
      <c r="A21" s="76">
        <v>1597</v>
      </c>
      <c r="B21" s="77" t="s">
        <v>668</v>
      </c>
      <c r="C21" s="78">
        <v>1</v>
      </c>
      <c r="D21" s="79" t="s">
        <v>200</v>
      </c>
      <c r="E21" s="86">
        <v>0</v>
      </c>
      <c r="F21" s="84" t="s">
        <v>81</v>
      </c>
      <c r="G21" s="77" t="s">
        <v>178</v>
      </c>
      <c r="H21" s="82" t="s">
        <v>669</v>
      </c>
      <c r="I21" s="81">
        <v>46014.488182870373</v>
      </c>
      <c r="J21" s="81">
        <v>46021.465914351851</v>
      </c>
      <c r="K21" s="81"/>
      <c r="L21" s="77" t="s">
        <v>81</v>
      </c>
      <c r="M21" s="77" t="s">
        <v>81</v>
      </c>
      <c r="N21" s="80" t="s">
        <v>684</v>
      </c>
      <c r="O21" s="77" t="s">
        <v>47</v>
      </c>
      <c r="P21" s="76"/>
      <c r="Q21" s="81"/>
      <c r="R21" s="77"/>
      <c r="S21" s="77"/>
      <c r="T21" s="81"/>
      <c r="U21" s="77"/>
      <c r="V21" s="80"/>
      <c r="W21" s="80"/>
      <c r="X21" s="77"/>
      <c r="Y21" s="77" t="s">
        <v>63</v>
      </c>
      <c r="Z21" s="77"/>
      <c r="AA21" s="76"/>
      <c r="AB21" s="77"/>
      <c r="AC21" s="77"/>
      <c r="AD21" s="77" t="s">
        <v>81</v>
      </c>
      <c r="AE21" s="81">
        <v>46021.465914351851</v>
      </c>
      <c r="AF21" s="77"/>
      <c r="AG21" s="77"/>
      <c r="AH21" s="77"/>
      <c r="AI21" s="77"/>
      <c r="AJ21" s="77"/>
      <c r="AK21" s="77"/>
      <c r="AL21" s="77"/>
      <c r="AM21" s="77"/>
      <c r="AN21" s="76"/>
      <c r="AO21" s="77"/>
      <c r="AP21" s="76">
        <v>1</v>
      </c>
      <c r="AQ21" s="80"/>
      <c r="AR21" s="80"/>
      <c r="AS21" s="81"/>
      <c r="AT21" s="80"/>
      <c r="AU21" s="77"/>
      <c r="AV21" s="77"/>
      <c r="AW21" s="77" t="s">
        <v>514</v>
      </c>
      <c r="AX21" s="80"/>
      <c r="AY21" s="77" t="s">
        <v>85</v>
      </c>
      <c r="AZ21" s="80"/>
      <c r="BA21" s="76"/>
      <c r="BB21" s="80"/>
      <c r="BC21" s="77"/>
      <c r="BD21" s="77" t="s">
        <v>188</v>
      </c>
    </row>
    <row r="22" spans="1:56" ht="12.75" customHeight="1" x14ac:dyDescent="0.25">
      <c r="A22" s="69">
        <v>1599</v>
      </c>
      <c r="B22" s="70" t="s">
        <v>670</v>
      </c>
      <c r="C22" s="71">
        <v>1</v>
      </c>
      <c r="D22" s="72" t="s">
        <v>200</v>
      </c>
      <c r="E22" s="85">
        <v>0</v>
      </c>
      <c r="F22" s="83" t="s">
        <v>90</v>
      </c>
      <c r="G22" s="70" t="s">
        <v>178</v>
      </c>
      <c r="H22" s="73" t="s">
        <v>671</v>
      </c>
      <c r="I22" s="74">
        <v>46017.408136574071</v>
      </c>
      <c r="J22" s="74">
        <v>46021.465555555558</v>
      </c>
      <c r="K22" s="74"/>
      <c r="L22" s="70" t="s">
        <v>81</v>
      </c>
      <c r="M22" s="70" t="s">
        <v>81</v>
      </c>
      <c r="N22" s="75" t="s">
        <v>675</v>
      </c>
      <c r="O22" s="70" t="s">
        <v>47</v>
      </c>
      <c r="P22" s="69"/>
      <c r="Q22" s="74"/>
      <c r="R22" s="70"/>
      <c r="S22" s="70"/>
      <c r="T22" s="74"/>
      <c r="U22" s="70"/>
      <c r="V22" s="75"/>
      <c r="W22" s="75"/>
      <c r="X22" s="70"/>
      <c r="Y22" s="70" t="s">
        <v>63</v>
      </c>
      <c r="Z22" s="70"/>
      <c r="AA22" s="69"/>
      <c r="AB22" s="70"/>
      <c r="AC22" s="70"/>
      <c r="AD22" s="70" t="s">
        <v>81</v>
      </c>
      <c r="AE22" s="74">
        <v>46021.465555555558</v>
      </c>
      <c r="AF22" s="70"/>
      <c r="AG22" s="70"/>
      <c r="AH22" s="70"/>
      <c r="AI22" s="70"/>
      <c r="AJ22" s="70"/>
      <c r="AK22" s="70"/>
      <c r="AL22" s="70"/>
      <c r="AM22" s="70"/>
      <c r="AN22" s="69"/>
      <c r="AO22" s="70"/>
      <c r="AP22" s="69">
        <v>0</v>
      </c>
      <c r="AQ22" s="75"/>
      <c r="AR22" s="75"/>
      <c r="AS22" s="74"/>
      <c r="AT22" s="75"/>
      <c r="AU22" s="70"/>
      <c r="AV22" s="70"/>
      <c r="AW22" s="70" t="s">
        <v>514</v>
      </c>
      <c r="AX22" s="75"/>
      <c r="AY22" s="70" t="s">
        <v>85</v>
      </c>
      <c r="AZ22" s="75"/>
      <c r="BA22" s="69"/>
      <c r="BB22" s="75"/>
      <c r="BC22" s="70"/>
      <c r="BD22" s="70" t="s">
        <v>188</v>
      </c>
    </row>
    <row r="23" spans="1:56" ht="12.75" customHeight="1" x14ac:dyDescent="0.25">
      <c r="A23" s="76">
        <v>1602</v>
      </c>
      <c r="B23" s="77" t="s">
        <v>677</v>
      </c>
      <c r="C23" s="78">
        <v>1</v>
      </c>
      <c r="D23" s="79" t="s">
        <v>469</v>
      </c>
      <c r="E23" s="86">
        <v>0</v>
      </c>
      <c r="F23" s="84" t="s">
        <v>90</v>
      </c>
      <c r="G23" s="77" t="s">
        <v>178</v>
      </c>
      <c r="H23" s="82" t="s">
        <v>678</v>
      </c>
      <c r="I23" s="81">
        <v>46020.420046296298</v>
      </c>
      <c r="J23" s="81">
        <v>46021.421469907407</v>
      </c>
      <c r="K23" s="81"/>
      <c r="L23" s="77" t="s">
        <v>90</v>
      </c>
      <c r="M23" s="77" t="s">
        <v>157</v>
      </c>
      <c r="N23" s="80" t="s">
        <v>679</v>
      </c>
      <c r="O23" s="77" t="s">
        <v>47</v>
      </c>
      <c r="P23" s="76"/>
      <c r="Q23" s="81"/>
      <c r="R23" s="77"/>
      <c r="S23" s="77"/>
      <c r="T23" s="81"/>
      <c r="U23" s="77"/>
      <c r="V23" s="80"/>
      <c r="W23" s="80"/>
      <c r="X23" s="77"/>
      <c r="Y23" s="77" t="s">
        <v>63</v>
      </c>
      <c r="Z23" s="77"/>
      <c r="AA23" s="76"/>
      <c r="AB23" s="77"/>
      <c r="AC23" s="77"/>
      <c r="AD23" s="77" t="s">
        <v>90</v>
      </c>
      <c r="AE23" s="81">
        <v>46021.421469907407</v>
      </c>
      <c r="AF23" s="77"/>
      <c r="AG23" s="77"/>
      <c r="AH23" s="77"/>
      <c r="AI23" s="77"/>
      <c r="AJ23" s="77"/>
      <c r="AK23" s="77"/>
      <c r="AL23" s="77"/>
      <c r="AM23" s="77"/>
      <c r="AN23" s="76"/>
      <c r="AO23" s="77"/>
      <c r="AP23" s="76">
        <v>1</v>
      </c>
      <c r="AQ23" s="80"/>
      <c r="AR23" s="80"/>
      <c r="AS23" s="81"/>
      <c r="AT23" s="80"/>
      <c r="AU23" s="77"/>
      <c r="AV23" s="77"/>
      <c r="AW23" s="77" t="s">
        <v>514</v>
      </c>
      <c r="AX23" s="80"/>
      <c r="AY23" s="77" t="s">
        <v>85</v>
      </c>
      <c r="AZ23" s="80"/>
      <c r="BA23" s="76"/>
      <c r="BB23" s="80"/>
      <c r="BC23" s="77"/>
      <c r="BD23" s="77" t="s">
        <v>188</v>
      </c>
    </row>
    <row r="24" spans="1:56" ht="12.75" customHeight="1" x14ac:dyDescent="0.25">
      <c r="A24" s="69">
        <v>1426</v>
      </c>
      <c r="B24" s="70" t="s">
        <v>512</v>
      </c>
      <c r="C24" s="71">
        <v>2</v>
      </c>
      <c r="D24" s="72" t="s">
        <v>250</v>
      </c>
      <c r="E24" s="71">
        <v>0</v>
      </c>
      <c r="F24" s="70" t="s">
        <v>91</v>
      </c>
      <c r="G24" s="70" t="s">
        <v>178</v>
      </c>
      <c r="H24" s="73" t="s">
        <v>511</v>
      </c>
      <c r="I24" s="74">
        <v>45946.730486111112</v>
      </c>
      <c r="J24" s="74">
        <v>46013.631712962961</v>
      </c>
      <c r="K24" s="74"/>
      <c r="L24" s="70" t="s">
        <v>81</v>
      </c>
      <c r="M24" s="70" t="s">
        <v>157</v>
      </c>
      <c r="N24" s="75" t="s">
        <v>656</v>
      </c>
      <c r="O24" s="70" t="s">
        <v>47</v>
      </c>
      <c r="P24" s="69"/>
      <c r="Q24" s="74"/>
      <c r="R24" s="70"/>
      <c r="S24" s="70"/>
      <c r="T24" s="74"/>
      <c r="U24" s="70"/>
      <c r="V24" s="75"/>
      <c r="W24" s="75"/>
      <c r="X24" s="70"/>
      <c r="Y24" s="70" t="s">
        <v>63</v>
      </c>
      <c r="Z24" s="70"/>
      <c r="AA24" s="69"/>
      <c r="AB24" s="70"/>
      <c r="AC24" s="70"/>
      <c r="AD24" s="70" t="s">
        <v>81</v>
      </c>
      <c r="AE24" s="74">
        <v>46013.631712962961</v>
      </c>
      <c r="AF24" s="70"/>
      <c r="AG24" s="70"/>
      <c r="AH24" s="70"/>
      <c r="AI24" s="70"/>
      <c r="AJ24" s="70"/>
      <c r="AK24" s="70"/>
      <c r="AL24" s="70"/>
      <c r="AM24" s="70"/>
      <c r="AN24" s="69"/>
      <c r="AO24" s="70"/>
      <c r="AP24" s="69">
        <v>1</v>
      </c>
      <c r="AQ24" s="75"/>
      <c r="AR24" s="75"/>
      <c r="AS24" s="74"/>
      <c r="AT24" s="75"/>
      <c r="AU24" s="70"/>
      <c r="AV24" s="70"/>
      <c r="AW24" s="70" t="s">
        <v>61</v>
      </c>
      <c r="AX24" s="75"/>
      <c r="AY24" s="70" t="s">
        <v>85</v>
      </c>
      <c r="AZ24" s="75"/>
      <c r="BA24" s="69"/>
      <c r="BB24" s="75"/>
      <c r="BC24" s="70"/>
      <c r="BD24" s="70" t="s">
        <v>188</v>
      </c>
    </row>
    <row r="25" spans="1:56" ht="12.75" customHeight="1" x14ac:dyDescent="0.25">
      <c r="A25" s="76">
        <v>1500</v>
      </c>
      <c r="B25" s="77" t="s">
        <v>551</v>
      </c>
      <c r="C25" s="78">
        <v>2</v>
      </c>
      <c r="D25" s="79" t="s">
        <v>469</v>
      </c>
      <c r="E25" s="78">
        <v>0</v>
      </c>
      <c r="F25" s="77" t="s">
        <v>82</v>
      </c>
      <c r="G25" s="77" t="s">
        <v>178</v>
      </c>
      <c r="H25" s="82" t="s">
        <v>572</v>
      </c>
      <c r="I25" s="81">
        <v>45982.514722222222</v>
      </c>
      <c r="J25" s="81">
        <v>46020.438877314817</v>
      </c>
      <c r="K25" s="81"/>
      <c r="L25" s="77" t="s">
        <v>81</v>
      </c>
      <c r="M25" s="77" t="s">
        <v>89</v>
      </c>
      <c r="N25" s="80" t="s">
        <v>682</v>
      </c>
      <c r="O25" s="77" t="s">
        <v>47</v>
      </c>
      <c r="P25" s="76"/>
      <c r="Q25" s="81"/>
      <c r="R25" s="77"/>
      <c r="S25" s="77"/>
      <c r="T25" s="81"/>
      <c r="U25" s="77"/>
      <c r="V25" s="80"/>
      <c r="W25" s="80"/>
      <c r="X25" s="77"/>
      <c r="Y25" s="77" t="s">
        <v>63</v>
      </c>
      <c r="Z25" s="77"/>
      <c r="AA25" s="76"/>
      <c r="AB25" s="77"/>
      <c r="AC25" s="77"/>
      <c r="AD25" s="77" t="s">
        <v>81</v>
      </c>
      <c r="AE25" s="81">
        <v>46020.438877314817</v>
      </c>
      <c r="AF25" s="77"/>
      <c r="AG25" s="77"/>
      <c r="AH25" s="77"/>
      <c r="AI25" s="77"/>
      <c r="AJ25" s="77"/>
      <c r="AK25" s="77"/>
      <c r="AL25" s="77"/>
      <c r="AM25" s="77"/>
      <c r="AN25" s="76"/>
      <c r="AO25" s="77"/>
      <c r="AP25" s="76">
        <v>2</v>
      </c>
      <c r="AQ25" s="80"/>
      <c r="AR25" s="80"/>
      <c r="AS25" s="81"/>
      <c r="AT25" s="80"/>
      <c r="AU25" s="77"/>
      <c r="AV25" s="77"/>
      <c r="AW25" s="77" t="s">
        <v>514</v>
      </c>
      <c r="AX25" s="80"/>
      <c r="AY25" s="77" t="s">
        <v>85</v>
      </c>
      <c r="AZ25" s="80"/>
      <c r="BA25" s="76"/>
      <c r="BB25" s="80"/>
      <c r="BC25" s="77"/>
      <c r="BD25" s="77" t="s">
        <v>188</v>
      </c>
    </row>
    <row r="26" spans="1:56" ht="12.75" customHeight="1" x14ac:dyDescent="0.25">
      <c r="A26" s="69">
        <v>1571</v>
      </c>
      <c r="B26" s="70" t="s">
        <v>640</v>
      </c>
      <c r="C26" s="71">
        <v>2</v>
      </c>
      <c r="D26" s="72" t="s">
        <v>250</v>
      </c>
      <c r="E26" s="85">
        <v>0</v>
      </c>
      <c r="F26" s="83" t="s">
        <v>90</v>
      </c>
      <c r="G26" s="70" t="s">
        <v>178</v>
      </c>
      <c r="H26" s="73" t="s">
        <v>641</v>
      </c>
      <c r="I26" s="74">
        <v>46002.56695601852</v>
      </c>
      <c r="J26" s="74">
        <v>46013.622303240743</v>
      </c>
      <c r="K26" s="74"/>
      <c r="L26" s="70" t="s">
        <v>90</v>
      </c>
      <c r="M26" s="70" t="s">
        <v>157</v>
      </c>
      <c r="N26" s="75" t="s">
        <v>643</v>
      </c>
      <c r="O26" s="70" t="s">
        <v>47</v>
      </c>
      <c r="P26" s="69"/>
      <c r="Q26" s="74"/>
      <c r="R26" s="70"/>
      <c r="S26" s="70"/>
      <c r="T26" s="74"/>
      <c r="U26" s="70"/>
      <c r="V26" s="75"/>
      <c r="W26" s="75"/>
      <c r="X26" s="70"/>
      <c r="Y26" s="70" t="s">
        <v>63</v>
      </c>
      <c r="Z26" s="70"/>
      <c r="AA26" s="69"/>
      <c r="AB26" s="70"/>
      <c r="AC26" s="70"/>
      <c r="AD26" s="70" t="s">
        <v>90</v>
      </c>
      <c r="AE26" s="74">
        <v>46013.622303240743</v>
      </c>
      <c r="AF26" s="70"/>
      <c r="AG26" s="70"/>
      <c r="AH26" s="70"/>
      <c r="AI26" s="70"/>
      <c r="AJ26" s="70"/>
      <c r="AK26" s="70"/>
      <c r="AL26" s="70"/>
      <c r="AM26" s="70"/>
      <c r="AN26" s="69"/>
      <c r="AO26" s="70"/>
      <c r="AP26" s="69">
        <v>4</v>
      </c>
      <c r="AQ26" s="75"/>
      <c r="AR26" s="75"/>
      <c r="AS26" s="74"/>
      <c r="AT26" s="75"/>
      <c r="AU26" s="70"/>
      <c r="AV26" s="70"/>
      <c r="AW26" s="70" t="s">
        <v>514</v>
      </c>
      <c r="AX26" s="75"/>
      <c r="AY26" s="70" t="s">
        <v>85</v>
      </c>
      <c r="AZ26" s="75"/>
      <c r="BA26" s="69"/>
      <c r="BB26" s="75"/>
      <c r="BC26" s="70"/>
      <c r="BD26" s="70" t="s">
        <v>188</v>
      </c>
    </row>
    <row r="27" spans="1:56" ht="12.75" customHeight="1" x14ac:dyDescent="0.25">
      <c r="A27" s="76">
        <v>1577</v>
      </c>
      <c r="B27" s="77" t="s">
        <v>646</v>
      </c>
      <c r="C27" s="78">
        <v>2</v>
      </c>
      <c r="D27" s="79" t="s">
        <v>250</v>
      </c>
      <c r="E27" s="86">
        <v>0</v>
      </c>
      <c r="F27" s="84" t="s">
        <v>91</v>
      </c>
      <c r="G27" s="77" t="s">
        <v>178</v>
      </c>
      <c r="H27" s="82" t="s">
        <v>647</v>
      </c>
      <c r="I27" s="81">
        <v>46006.398726851854</v>
      </c>
      <c r="J27" s="81">
        <v>46009.683749999997</v>
      </c>
      <c r="K27" s="81"/>
      <c r="L27" s="77" t="s">
        <v>91</v>
      </c>
      <c r="M27" s="77" t="s">
        <v>157</v>
      </c>
      <c r="N27" s="80" t="s">
        <v>648</v>
      </c>
      <c r="O27" s="77" t="s">
        <v>47</v>
      </c>
      <c r="P27" s="76"/>
      <c r="Q27" s="81"/>
      <c r="R27" s="77"/>
      <c r="S27" s="77"/>
      <c r="T27" s="81"/>
      <c r="U27" s="77"/>
      <c r="V27" s="80"/>
      <c r="W27" s="80"/>
      <c r="X27" s="77"/>
      <c r="Y27" s="77" t="s">
        <v>63</v>
      </c>
      <c r="Z27" s="77"/>
      <c r="AA27" s="76"/>
      <c r="AB27" s="77"/>
      <c r="AC27" s="77"/>
      <c r="AD27" s="77" t="s">
        <v>91</v>
      </c>
      <c r="AE27" s="81">
        <v>46009.683749999997</v>
      </c>
      <c r="AF27" s="77"/>
      <c r="AG27" s="77"/>
      <c r="AH27" s="77"/>
      <c r="AI27" s="77"/>
      <c r="AJ27" s="77"/>
      <c r="AK27" s="77"/>
      <c r="AL27" s="77"/>
      <c r="AM27" s="77"/>
      <c r="AN27" s="76"/>
      <c r="AO27" s="77"/>
      <c r="AP27" s="76">
        <v>4</v>
      </c>
      <c r="AQ27" s="80"/>
      <c r="AR27" s="80"/>
      <c r="AS27" s="81"/>
      <c r="AT27" s="80"/>
      <c r="AU27" s="77"/>
      <c r="AV27" s="77"/>
      <c r="AW27" s="77" t="s">
        <v>514</v>
      </c>
      <c r="AX27" s="80"/>
      <c r="AY27" s="77" t="s">
        <v>85</v>
      </c>
      <c r="AZ27" s="80"/>
      <c r="BA27" s="76"/>
      <c r="BB27" s="80"/>
      <c r="BC27" s="77"/>
      <c r="BD27" s="77" t="s">
        <v>188</v>
      </c>
    </row>
    <row r="28" spans="1:56" ht="12.75" customHeight="1" x14ac:dyDescent="0.25">
      <c r="A28" s="69">
        <v>1586</v>
      </c>
      <c r="B28" s="70" t="s">
        <v>653</v>
      </c>
      <c r="C28" s="71">
        <v>2</v>
      </c>
      <c r="D28" s="72" t="s">
        <v>469</v>
      </c>
      <c r="E28" s="85">
        <v>0</v>
      </c>
      <c r="F28" s="83" t="s">
        <v>90</v>
      </c>
      <c r="G28" s="70" t="s">
        <v>178</v>
      </c>
      <c r="H28" s="73" t="s">
        <v>676</v>
      </c>
      <c r="I28" s="74">
        <v>46008.765069444446</v>
      </c>
      <c r="J28" s="74">
        <v>46020.42597222222</v>
      </c>
      <c r="K28" s="74"/>
      <c r="L28" s="70" t="s">
        <v>90</v>
      </c>
      <c r="M28" s="70" t="s">
        <v>81</v>
      </c>
      <c r="N28" s="75" t="s">
        <v>655</v>
      </c>
      <c r="O28" s="70" t="s">
        <v>47</v>
      </c>
      <c r="P28" s="69"/>
      <c r="Q28" s="74"/>
      <c r="R28" s="70"/>
      <c r="S28" s="70"/>
      <c r="T28" s="74"/>
      <c r="U28" s="70"/>
      <c r="V28" s="75"/>
      <c r="W28" s="75"/>
      <c r="X28" s="70"/>
      <c r="Y28" s="70" t="s">
        <v>63</v>
      </c>
      <c r="Z28" s="70"/>
      <c r="AA28" s="69"/>
      <c r="AB28" s="70"/>
      <c r="AC28" s="70"/>
      <c r="AD28" s="70" t="s">
        <v>90</v>
      </c>
      <c r="AE28" s="74">
        <v>46020.42597222222</v>
      </c>
      <c r="AF28" s="70"/>
      <c r="AG28" s="70"/>
      <c r="AH28" s="70"/>
      <c r="AI28" s="70"/>
      <c r="AJ28" s="70"/>
      <c r="AK28" s="70"/>
      <c r="AL28" s="70"/>
      <c r="AM28" s="70"/>
      <c r="AN28" s="69"/>
      <c r="AO28" s="70"/>
      <c r="AP28" s="69">
        <v>2</v>
      </c>
      <c r="AQ28" s="75"/>
      <c r="AR28" s="75"/>
      <c r="AS28" s="74"/>
      <c r="AT28" s="75"/>
      <c r="AU28" s="70"/>
      <c r="AV28" s="70"/>
      <c r="AW28" s="70" t="s">
        <v>514</v>
      </c>
      <c r="AX28" s="75"/>
      <c r="AY28" s="70" t="s">
        <v>85</v>
      </c>
      <c r="AZ28" s="75"/>
      <c r="BA28" s="69"/>
      <c r="BB28" s="75"/>
      <c r="BC28" s="70"/>
      <c r="BD28" s="70" t="s">
        <v>188</v>
      </c>
    </row>
    <row r="29" spans="1:56" ht="12.75" customHeight="1" x14ac:dyDescent="0.25">
      <c r="A29" s="76">
        <v>1594</v>
      </c>
      <c r="B29" s="77" t="s">
        <v>661</v>
      </c>
      <c r="C29" s="78">
        <v>2</v>
      </c>
      <c r="D29" s="79" t="s">
        <v>200</v>
      </c>
      <c r="E29" s="86">
        <v>0</v>
      </c>
      <c r="F29" s="84" t="s">
        <v>81</v>
      </c>
      <c r="G29" s="77" t="s">
        <v>178</v>
      </c>
      <c r="H29" s="82" t="s">
        <v>662</v>
      </c>
      <c r="I29" s="81">
        <v>46014.357210648152</v>
      </c>
      <c r="J29" s="81">
        <v>46021.465740740743</v>
      </c>
      <c r="K29" s="81"/>
      <c r="L29" s="77" t="s">
        <v>81</v>
      </c>
      <c r="M29" s="77" t="s">
        <v>81</v>
      </c>
      <c r="N29" s="80" t="s">
        <v>685</v>
      </c>
      <c r="O29" s="77" t="s">
        <v>47</v>
      </c>
      <c r="P29" s="76"/>
      <c r="Q29" s="81"/>
      <c r="R29" s="77"/>
      <c r="S29" s="77"/>
      <c r="T29" s="81"/>
      <c r="U29" s="77"/>
      <c r="V29" s="80"/>
      <c r="W29" s="80"/>
      <c r="X29" s="77"/>
      <c r="Y29" s="77" t="s">
        <v>63</v>
      </c>
      <c r="Z29" s="77"/>
      <c r="AA29" s="76"/>
      <c r="AB29" s="77"/>
      <c r="AC29" s="77"/>
      <c r="AD29" s="77" t="s">
        <v>81</v>
      </c>
      <c r="AE29" s="81">
        <v>46021.465740740743</v>
      </c>
      <c r="AF29" s="77"/>
      <c r="AG29" s="77"/>
      <c r="AH29" s="77"/>
      <c r="AI29" s="77"/>
      <c r="AJ29" s="77"/>
      <c r="AK29" s="77"/>
      <c r="AL29" s="77"/>
      <c r="AM29" s="77"/>
      <c r="AN29" s="76"/>
      <c r="AO29" s="77"/>
      <c r="AP29" s="76">
        <v>1</v>
      </c>
      <c r="AQ29" s="80"/>
      <c r="AR29" s="80"/>
      <c r="AS29" s="81"/>
      <c r="AT29" s="80"/>
      <c r="AU29" s="77"/>
      <c r="AV29" s="77"/>
      <c r="AW29" s="77" t="s">
        <v>514</v>
      </c>
      <c r="AX29" s="80"/>
      <c r="AY29" s="77" t="s">
        <v>85</v>
      </c>
      <c r="AZ29" s="80"/>
      <c r="BA29" s="76"/>
      <c r="BB29" s="80"/>
      <c r="BC29" s="77"/>
      <c r="BD29" s="77" t="s">
        <v>188</v>
      </c>
    </row>
    <row r="30" spans="1:56" ht="12.75" customHeight="1" x14ac:dyDescent="0.25">
      <c r="A30" s="69">
        <v>1598</v>
      </c>
      <c r="B30" s="70" t="s">
        <v>672</v>
      </c>
      <c r="C30" s="71">
        <v>2</v>
      </c>
      <c r="D30" s="72" t="s">
        <v>200</v>
      </c>
      <c r="E30" s="85">
        <v>0</v>
      </c>
      <c r="F30" s="83" t="s">
        <v>90</v>
      </c>
      <c r="G30" s="70" t="s">
        <v>178</v>
      </c>
      <c r="H30" s="73" t="s">
        <v>673</v>
      </c>
      <c r="I30" s="74">
        <v>46014.669305555559</v>
      </c>
      <c r="J30" s="74">
        <v>46021.619664351849</v>
      </c>
      <c r="K30" s="74"/>
      <c r="L30" s="70" t="s">
        <v>81</v>
      </c>
      <c r="M30" s="70" t="s">
        <v>157</v>
      </c>
      <c r="N30" s="75" t="s">
        <v>674</v>
      </c>
      <c r="O30" s="70" t="s">
        <v>47</v>
      </c>
      <c r="P30" s="69"/>
      <c r="Q30" s="74"/>
      <c r="R30" s="70"/>
      <c r="S30" s="70"/>
      <c r="T30" s="74"/>
      <c r="U30" s="70"/>
      <c r="V30" s="75"/>
      <c r="W30" s="75"/>
      <c r="X30" s="70"/>
      <c r="Y30" s="70" t="s">
        <v>63</v>
      </c>
      <c r="Z30" s="70"/>
      <c r="AA30" s="69"/>
      <c r="AB30" s="70"/>
      <c r="AC30" s="70"/>
      <c r="AD30" s="70" t="s">
        <v>81</v>
      </c>
      <c r="AE30" s="74">
        <v>46021.619664351849</v>
      </c>
      <c r="AF30" s="70"/>
      <c r="AG30" s="70"/>
      <c r="AH30" s="70"/>
      <c r="AI30" s="70"/>
      <c r="AJ30" s="70"/>
      <c r="AK30" s="70"/>
      <c r="AL30" s="70"/>
      <c r="AM30" s="70"/>
      <c r="AN30" s="69"/>
      <c r="AO30" s="70"/>
      <c r="AP30" s="69">
        <v>3</v>
      </c>
      <c r="AQ30" s="75"/>
      <c r="AR30" s="75"/>
      <c r="AS30" s="74"/>
      <c r="AT30" s="75"/>
      <c r="AU30" s="70"/>
      <c r="AV30" s="70"/>
      <c r="AW30" s="70" t="s">
        <v>514</v>
      </c>
      <c r="AX30" s="75"/>
      <c r="AY30" s="70" t="s">
        <v>85</v>
      </c>
      <c r="AZ30" s="75"/>
      <c r="BA30" s="69"/>
      <c r="BB30" s="75"/>
      <c r="BC30" s="70"/>
      <c r="BD30" s="70" t="s">
        <v>188</v>
      </c>
    </row>
    <row r="31" spans="1:56" ht="12.75" customHeight="1" x14ac:dyDescent="0.25">
      <c r="A31" s="76">
        <v>1411</v>
      </c>
      <c r="B31" s="77" t="s">
        <v>505</v>
      </c>
      <c r="C31" s="78">
        <v>3</v>
      </c>
      <c r="D31" s="79" t="s">
        <v>250</v>
      </c>
      <c r="E31" s="78">
        <v>1</v>
      </c>
      <c r="F31" s="77" t="s">
        <v>81</v>
      </c>
      <c r="G31" s="77" t="s">
        <v>178</v>
      </c>
      <c r="H31" s="82" t="s">
        <v>506</v>
      </c>
      <c r="I31" s="81">
        <v>45939.496168981481</v>
      </c>
      <c r="J31" s="81">
        <v>46021.758275462962</v>
      </c>
      <c r="K31" s="81"/>
      <c r="L31" s="77" t="s">
        <v>81</v>
      </c>
      <c r="M31" s="77" t="s">
        <v>81</v>
      </c>
      <c r="N31" s="80" t="s">
        <v>658</v>
      </c>
      <c r="O31" s="77" t="s">
        <v>47</v>
      </c>
      <c r="P31" s="76"/>
      <c r="Q31" s="81"/>
      <c r="R31" s="77"/>
      <c r="S31" s="77"/>
      <c r="T31" s="81"/>
      <c r="U31" s="77"/>
      <c r="V31" s="80"/>
      <c r="W31" s="80"/>
      <c r="X31" s="77"/>
      <c r="Y31" s="77" t="s">
        <v>63</v>
      </c>
      <c r="Z31" s="77"/>
      <c r="AA31" s="76"/>
      <c r="AB31" s="77"/>
      <c r="AC31" s="77"/>
      <c r="AD31" s="77" t="s">
        <v>81</v>
      </c>
      <c r="AE31" s="81">
        <v>46021.758275462962</v>
      </c>
      <c r="AF31" s="77"/>
      <c r="AG31" s="77"/>
      <c r="AH31" s="77"/>
      <c r="AI31" s="77"/>
      <c r="AJ31" s="77"/>
      <c r="AK31" s="77"/>
      <c r="AL31" s="77"/>
      <c r="AM31" s="77"/>
      <c r="AN31" s="76"/>
      <c r="AO31" s="77"/>
      <c r="AP31" s="76">
        <v>9</v>
      </c>
      <c r="AQ31" s="80"/>
      <c r="AR31" s="80"/>
      <c r="AS31" s="81"/>
      <c r="AT31" s="80"/>
      <c r="AU31" s="77"/>
      <c r="AV31" s="77"/>
      <c r="AW31" s="77" t="s">
        <v>61</v>
      </c>
      <c r="AX31" s="80"/>
      <c r="AY31" s="77" t="s">
        <v>85</v>
      </c>
      <c r="AZ31" s="80"/>
      <c r="BA31" s="76"/>
      <c r="BB31" s="80"/>
      <c r="BC31" s="77"/>
      <c r="BD31" s="77" t="s">
        <v>188</v>
      </c>
    </row>
    <row r="32" spans="1:56" ht="12.75" customHeight="1" x14ac:dyDescent="0.25">
      <c r="A32" s="69">
        <v>1374</v>
      </c>
      <c r="B32" s="70" t="s">
        <v>480</v>
      </c>
      <c r="C32" s="71">
        <v>4</v>
      </c>
      <c r="D32" s="72" t="s">
        <v>469</v>
      </c>
      <c r="E32" s="71">
        <v>0</v>
      </c>
      <c r="F32" s="70" t="s">
        <v>82</v>
      </c>
      <c r="G32" s="70" t="s">
        <v>178</v>
      </c>
      <c r="H32" s="73" t="s">
        <v>481</v>
      </c>
      <c r="I32" s="74">
        <v>45915.541620370372</v>
      </c>
      <c r="J32" s="74">
        <v>46024.410254629627</v>
      </c>
      <c r="K32" s="74"/>
      <c r="L32" s="70" t="s">
        <v>89</v>
      </c>
      <c r="M32" s="70" t="s">
        <v>89</v>
      </c>
      <c r="N32" s="75" t="s">
        <v>707</v>
      </c>
      <c r="O32" s="70" t="s">
        <v>47</v>
      </c>
      <c r="P32" s="69"/>
      <c r="Q32" s="74"/>
      <c r="R32" s="70"/>
      <c r="S32" s="70"/>
      <c r="T32" s="74"/>
      <c r="U32" s="70"/>
      <c r="V32" s="75"/>
      <c r="W32" s="75"/>
      <c r="X32" s="70"/>
      <c r="Y32" s="70" t="s">
        <v>63</v>
      </c>
      <c r="Z32" s="70"/>
      <c r="AA32" s="69"/>
      <c r="AB32" s="70"/>
      <c r="AC32" s="70"/>
      <c r="AD32" s="70" t="s">
        <v>89</v>
      </c>
      <c r="AE32" s="74">
        <v>46024.410254629627</v>
      </c>
      <c r="AF32" s="70"/>
      <c r="AG32" s="70"/>
      <c r="AH32" s="70"/>
      <c r="AI32" s="70"/>
      <c r="AJ32" s="70"/>
      <c r="AK32" s="70"/>
      <c r="AL32" s="70"/>
      <c r="AM32" s="70"/>
      <c r="AN32" s="69"/>
      <c r="AO32" s="70"/>
      <c r="AP32" s="69">
        <v>7</v>
      </c>
      <c r="AQ32" s="75"/>
      <c r="AR32" s="75"/>
      <c r="AS32" s="74"/>
      <c r="AT32" s="75"/>
      <c r="AU32" s="70"/>
      <c r="AV32" s="70"/>
      <c r="AW32" s="70" t="s">
        <v>61</v>
      </c>
      <c r="AX32" s="75"/>
      <c r="AY32" s="70" t="s">
        <v>85</v>
      </c>
      <c r="AZ32" s="75"/>
      <c r="BA32" s="69"/>
      <c r="BB32" s="75"/>
      <c r="BC32" s="70"/>
      <c r="BD32" s="70" t="s">
        <v>188</v>
      </c>
    </row>
    <row r="33" spans="1:56" ht="12.75" customHeight="1" x14ac:dyDescent="0.25">
      <c r="A33" s="76">
        <v>1604</v>
      </c>
      <c r="B33" s="77" t="s">
        <v>686</v>
      </c>
      <c r="C33" s="78">
        <v>2</v>
      </c>
      <c r="D33" s="79" t="s">
        <v>200</v>
      </c>
      <c r="E33" s="86">
        <v>0</v>
      </c>
      <c r="F33" s="84" t="s">
        <v>90</v>
      </c>
      <c r="G33" s="77" t="s">
        <v>178</v>
      </c>
      <c r="H33" s="82" t="s">
        <v>687</v>
      </c>
      <c r="I33" s="81">
        <v>46020.7266087963</v>
      </c>
      <c r="J33" s="81">
        <v>46021.464942129627</v>
      </c>
      <c r="K33" s="81"/>
      <c r="L33" s="77" t="s">
        <v>81</v>
      </c>
      <c r="M33" s="77" t="s">
        <v>157</v>
      </c>
      <c r="N33" s="80" t="s">
        <v>688</v>
      </c>
      <c r="O33" s="77" t="s">
        <v>47</v>
      </c>
      <c r="P33" s="76"/>
      <c r="Q33" s="81"/>
      <c r="R33" s="77"/>
      <c r="S33" s="77"/>
      <c r="T33" s="81"/>
      <c r="U33" s="77"/>
      <c r="V33" s="80"/>
      <c r="W33" s="80"/>
      <c r="X33" s="77"/>
      <c r="Y33" s="77" t="s">
        <v>63</v>
      </c>
      <c r="Z33" s="77"/>
      <c r="AA33" s="76"/>
      <c r="AB33" s="77"/>
      <c r="AC33" s="77"/>
      <c r="AD33" s="77" t="s">
        <v>81</v>
      </c>
      <c r="AE33" s="81">
        <v>46021.464942129627</v>
      </c>
      <c r="AF33" s="77"/>
      <c r="AG33" s="77"/>
      <c r="AH33" s="77"/>
      <c r="AI33" s="77"/>
      <c r="AJ33" s="77"/>
      <c r="AK33" s="77"/>
      <c r="AL33" s="77"/>
      <c r="AM33" s="77"/>
      <c r="AN33" s="76"/>
      <c r="AO33" s="77"/>
      <c r="AP33" s="76">
        <v>1</v>
      </c>
      <c r="AQ33" s="80"/>
      <c r="AR33" s="80"/>
      <c r="AS33" s="81"/>
      <c r="AT33" s="80"/>
      <c r="AU33" s="77"/>
      <c r="AV33" s="77"/>
      <c r="AW33" s="77" t="s">
        <v>514</v>
      </c>
      <c r="AX33" s="80"/>
      <c r="AY33" s="77" t="s">
        <v>85</v>
      </c>
      <c r="AZ33" s="80"/>
      <c r="BA33" s="76"/>
      <c r="BB33" s="80"/>
      <c r="BC33" s="77"/>
      <c r="BD33" s="77" t="s">
        <v>185</v>
      </c>
    </row>
    <row r="34" spans="1:56" ht="12.75" customHeight="1" x14ac:dyDescent="0.25">
      <c r="A34" s="69">
        <v>1605</v>
      </c>
      <c r="B34" s="70" t="s">
        <v>689</v>
      </c>
      <c r="C34" s="71">
        <v>2</v>
      </c>
      <c r="D34" s="72" t="s">
        <v>200</v>
      </c>
      <c r="E34" s="85">
        <v>0</v>
      </c>
      <c r="F34" s="83" t="s">
        <v>90</v>
      </c>
      <c r="G34" s="70" t="s">
        <v>178</v>
      </c>
      <c r="H34" s="73" t="s">
        <v>690</v>
      </c>
      <c r="I34" s="74">
        <v>46020.739953703705</v>
      </c>
      <c r="J34" s="74">
        <v>46021.46502314815</v>
      </c>
      <c r="K34" s="74"/>
      <c r="L34" s="70" t="s">
        <v>81</v>
      </c>
      <c r="M34" s="70" t="s">
        <v>157</v>
      </c>
      <c r="N34" s="75" t="s">
        <v>688</v>
      </c>
      <c r="O34" s="70" t="s">
        <v>47</v>
      </c>
      <c r="P34" s="69"/>
      <c r="Q34" s="74"/>
      <c r="R34" s="70"/>
      <c r="S34" s="70"/>
      <c r="T34" s="74"/>
      <c r="U34" s="70"/>
      <c r="V34" s="75"/>
      <c r="W34" s="75"/>
      <c r="X34" s="70"/>
      <c r="Y34" s="70" t="s">
        <v>63</v>
      </c>
      <c r="Z34" s="70"/>
      <c r="AA34" s="69"/>
      <c r="AB34" s="70"/>
      <c r="AC34" s="70"/>
      <c r="AD34" s="70" t="s">
        <v>81</v>
      </c>
      <c r="AE34" s="74">
        <v>46021.46502314815</v>
      </c>
      <c r="AF34" s="70"/>
      <c r="AG34" s="70"/>
      <c r="AH34" s="70"/>
      <c r="AI34" s="70"/>
      <c r="AJ34" s="70"/>
      <c r="AK34" s="70"/>
      <c r="AL34" s="70"/>
      <c r="AM34" s="70"/>
      <c r="AN34" s="69"/>
      <c r="AO34" s="70"/>
      <c r="AP34" s="69">
        <v>1</v>
      </c>
      <c r="AQ34" s="75"/>
      <c r="AR34" s="75"/>
      <c r="AS34" s="74"/>
      <c r="AT34" s="75"/>
      <c r="AU34" s="70"/>
      <c r="AV34" s="70"/>
      <c r="AW34" s="70" t="s">
        <v>514</v>
      </c>
      <c r="AX34" s="75"/>
      <c r="AY34" s="70" t="s">
        <v>85</v>
      </c>
      <c r="AZ34" s="75"/>
      <c r="BA34" s="69"/>
      <c r="BB34" s="75"/>
      <c r="BC34" s="70"/>
      <c r="BD34" s="70" t="s">
        <v>185</v>
      </c>
    </row>
    <row r="35" spans="1:56" ht="12.75" customHeight="1" x14ac:dyDescent="0.25">
      <c r="A35" s="76">
        <v>1606</v>
      </c>
      <c r="B35" s="77" t="s">
        <v>691</v>
      </c>
      <c r="C35" s="78">
        <v>2</v>
      </c>
      <c r="D35" s="79" t="s">
        <v>250</v>
      </c>
      <c r="E35" s="86">
        <v>0</v>
      </c>
      <c r="F35" s="84" t="s">
        <v>89</v>
      </c>
      <c r="G35" s="77" t="s">
        <v>178</v>
      </c>
      <c r="H35" s="82" t="s">
        <v>700</v>
      </c>
      <c r="I35" s="81">
        <v>46020.759247685186</v>
      </c>
      <c r="J35" s="81">
        <v>46024.392060185186</v>
      </c>
      <c r="K35" s="81"/>
      <c r="L35" s="77" t="s">
        <v>89</v>
      </c>
      <c r="M35" s="77" t="s">
        <v>157</v>
      </c>
      <c r="N35" s="80" t="s">
        <v>692</v>
      </c>
      <c r="O35" s="77" t="s">
        <v>47</v>
      </c>
      <c r="P35" s="76"/>
      <c r="Q35" s="81"/>
      <c r="R35" s="77"/>
      <c r="S35" s="77"/>
      <c r="T35" s="81"/>
      <c r="U35" s="77"/>
      <c r="V35" s="80"/>
      <c r="W35" s="80"/>
      <c r="X35" s="77"/>
      <c r="Y35" s="77" t="s">
        <v>63</v>
      </c>
      <c r="Z35" s="77"/>
      <c r="AA35" s="76"/>
      <c r="AB35" s="77"/>
      <c r="AC35" s="77"/>
      <c r="AD35" s="77" t="s">
        <v>89</v>
      </c>
      <c r="AE35" s="81">
        <v>46024.392060185186</v>
      </c>
      <c r="AF35" s="77"/>
      <c r="AG35" s="77"/>
      <c r="AH35" s="77"/>
      <c r="AI35" s="77"/>
      <c r="AJ35" s="77"/>
      <c r="AK35" s="77"/>
      <c r="AL35" s="77"/>
      <c r="AM35" s="77"/>
      <c r="AN35" s="76"/>
      <c r="AO35" s="77"/>
      <c r="AP35" s="76">
        <v>3</v>
      </c>
      <c r="AQ35" s="80"/>
      <c r="AR35" s="80"/>
      <c r="AS35" s="81"/>
      <c r="AT35" s="80"/>
      <c r="AU35" s="77"/>
      <c r="AV35" s="77"/>
      <c r="AW35" s="77" t="s">
        <v>514</v>
      </c>
      <c r="AX35" s="80"/>
      <c r="AY35" s="77" t="s">
        <v>85</v>
      </c>
      <c r="AZ35" s="80"/>
      <c r="BA35" s="76"/>
      <c r="BB35" s="80"/>
      <c r="BC35" s="77"/>
      <c r="BD35" s="77" t="s">
        <v>188</v>
      </c>
    </row>
    <row r="36" spans="1:56" ht="12.75" customHeight="1" x14ac:dyDescent="0.25">
      <c r="A36" s="69">
        <v>1607</v>
      </c>
      <c r="B36" s="70" t="s">
        <v>693</v>
      </c>
      <c r="C36" s="71">
        <v>2</v>
      </c>
      <c r="D36" s="72" t="s">
        <v>249</v>
      </c>
      <c r="E36" s="85">
        <v>0</v>
      </c>
      <c r="F36" s="83" t="s">
        <v>81</v>
      </c>
      <c r="G36" s="70" t="s">
        <v>178</v>
      </c>
      <c r="H36" s="73" t="s">
        <v>694</v>
      </c>
      <c r="I36" s="74">
        <v>46020.766840277778</v>
      </c>
      <c r="J36" s="74">
        <v>46020.771701388891</v>
      </c>
      <c r="K36" s="74"/>
      <c r="L36" s="70" t="s">
        <v>157</v>
      </c>
      <c r="M36" s="70" t="s">
        <v>157</v>
      </c>
      <c r="N36" s="75" t="s">
        <v>695</v>
      </c>
      <c r="O36" s="70" t="s">
        <v>47</v>
      </c>
      <c r="P36" s="69"/>
      <c r="Q36" s="74"/>
      <c r="R36" s="70"/>
      <c r="S36" s="70"/>
      <c r="T36" s="74"/>
      <c r="U36" s="70"/>
      <c r="V36" s="75"/>
      <c r="W36" s="75"/>
      <c r="X36" s="70"/>
      <c r="Y36" s="70" t="s">
        <v>63</v>
      </c>
      <c r="Z36" s="70"/>
      <c r="AA36" s="69"/>
      <c r="AB36" s="70"/>
      <c r="AC36" s="70"/>
      <c r="AD36" s="70" t="s">
        <v>157</v>
      </c>
      <c r="AE36" s="74">
        <v>46020.771701388891</v>
      </c>
      <c r="AF36" s="70"/>
      <c r="AG36" s="70"/>
      <c r="AH36" s="70"/>
      <c r="AI36" s="70"/>
      <c r="AJ36" s="70"/>
      <c r="AK36" s="70"/>
      <c r="AL36" s="70"/>
      <c r="AM36" s="70"/>
      <c r="AN36" s="69"/>
      <c r="AO36" s="70"/>
      <c r="AP36" s="69">
        <v>0</v>
      </c>
      <c r="AQ36" s="75"/>
      <c r="AR36" s="75"/>
      <c r="AS36" s="74"/>
      <c r="AT36" s="75"/>
      <c r="AU36" s="70"/>
      <c r="AV36" s="70"/>
      <c r="AW36" s="70" t="s">
        <v>514</v>
      </c>
      <c r="AX36" s="75"/>
      <c r="AY36" s="70" t="s">
        <v>85</v>
      </c>
      <c r="AZ36" s="75"/>
      <c r="BA36" s="69"/>
      <c r="BB36" s="75"/>
      <c r="BC36" s="70"/>
      <c r="BD36" s="70" t="s">
        <v>185</v>
      </c>
    </row>
    <row r="37" spans="1:56" ht="12.75" customHeight="1" x14ac:dyDescent="0.25">
      <c r="A37" s="76">
        <v>1609</v>
      </c>
      <c r="B37" s="77" t="s">
        <v>701</v>
      </c>
      <c r="C37" s="78">
        <v>1</v>
      </c>
      <c r="D37" s="79" t="s">
        <v>245</v>
      </c>
      <c r="E37" s="86">
        <v>0</v>
      </c>
      <c r="F37" s="84"/>
      <c r="G37" s="77" t="s">
        <v>178</v>
      </c>
      <c r="H37" s="82" t="s">
        <v>702</v>
      </c>
      <c r="I37" s="81">
        <v>46021.42150462963</v>
      </c>
      <c r="J37" s="81">
        <v>46021.426724537036</v>
      </c>
      <c r="K37" s="81"/>
      <c r="L37" s="77" t="s">
        <v>81</v>
      </c>
      <c r="M37" s="77" t="s">
        <v>81</v>
      </c>
      <c r="N37" s="80" t="s">
        <v>703</v>
      </c>
      <c r="O37" s="77" t="s">
        <v>47</v>
      </c>
      <c r="P37" s="76"/>
      <c r="Q37" s="81"/>
      <c r="R37" s="77"/>
      <c r="S37" s="77"/>
      <c r="T37" s="81"/>
      <c r="U37" s="77"/>
      <c r="V37" s="80"/>
      <c r="W37" s="80"/>
      <c r="X37" s="77"/>
      <c r="Y37" s="77" t="s">
        <v>63</v>
      </c>
      <c r="Z37" s="77"/>
      <c r="AA37" s="76"/>
      <c r="AB37" s="77"/>
      <c r="AC37" s="77"/>
      <c r="AD37" s="77" t="s">
        <v>81</v>
      </c>
      <c r="AE37" s="81">
        <v>46021.426724537036</v>
      </c>
      <c r="AF37" s="77"/>
      <c r="AG37" s="77"/>
      <c r="AH37" s="77"/>
      <c r="AI37" s="77"/>
      <c r="AJ37" s="77"/>
      <c r="AK37" s="77"/>
      <c r="AL37" s="77"/>
      <c r="AM37" s="77"/>
      <c r="AN37" s="76"/>
      <c r="AO37" s="77"/>
      <c r="AP37" s="76">
        <v>0</v>
      </c>
      <c r="AQ37" s="80"/>
      <c r="AR37" s="80"/>
      <c r="AS37" s="81"/>
      <c r="AT37" s="80"/>
      <c r="AU37" s="77"/>
      <c r="AV37" s="77"/>
      <c r="AW37" s="77" t="s">
        <v>514</v>
      </c>
      <c r="AX37" s="80"/>
      <c r="AY37" s="77" t="s">
        <v>85</v>
      </c>
      <c r="AZ37" s="80"/>
      <c r="BA37" s="76"/>
      <c r="BB37" s="80"/>
      <c r="BC37" s="77"/>
      <c r="BD37" s="77" t="s">
        <v>185</v>
      </c>
    </row>
    <row r="38" spans="1:56" ht="12.75" customHeight="1" x14ac:dyDescent="0.25">
      <c r="A38" s="69">
        <v>1610</v>
      </c>
      <c r="B38" s="70" t="s">
        <v>704</v>
      </c>
      <c r="C38" s="71">
        <v>2</v>
      </c>
      <c r="D38" s="72" t="s">
        <v>200</v>
      </c>
      <c r="E38" s="85">
        <v>0</v>
      </c>
      <c r="F38" s="83" t="s">
        <v>81</v>
      </c>
      <c r="G38" s="70" t="s">
        <v>178</v>
      </c>
      <c r="H38" s="73" t="s">
        <v>705</v>
      </c>
      <c r="I38" s="74">
        <v>46021.551354166666</v>
      </c>
      <c r="J38" s="74">
        <v>46021.675219907411</v>
      </c>
      <c r="K38" s="74"/>
      <c r="L38" s="70" t="s">
        <v>81</v>
      </c>
      <c r="M38" s="70" t="s">
        <v>81</v>
      </c>
      <c r="N38" s="75" t="s">
        <v>706</v>
      </c>
      <c r="O38" s="70" t="s">
        <v>47</v>
      </c>
      <c r="P38" s="69"/>
      <c r="Q38" s="74"/>
      <c r="R38" s="70"/>
      <c r="S38" s="70"/>
      <c r="T38" s="74"/>
      <c r="U38" s="70"/>
      <c r="V38" s="75"/>
      <c r="W38" s="75"/>
      <c r="X38" s="70"/>
      <c r="Y38" s="70" t="s">
        <v>63</v>
      </c>
      <c r="Z38" s="70"/>
      <c r="AA38" s="69"/>
      <c r="AB38" s="70"/>
      <c r="AC38" s="70"/>
      <c r="AD38" s="70" t="s">
        <v>81</v>
      </c>
      <c r="AE38" s="74">
        <v>46021.675219907411</v>
      </c>
      <c r="AF38" s="70"/>
      <c r="AG38" s="70"/>
      <c r="AH38" s="70"/>
      <c r="AI38" s="70"/>
      <c r="AJ38" s="70"/>
      <c r="AK38" s="70"/>
      <c r="AL38" s="70"/>
      <c r="AM38" s="70"/>
      <c r="AN38" s="69"/>
      <c r="AO38" s="70"/>
      <c r="AP38" s="69">
        <v>1</v>
      </c>
      <c r="AQ38" s="75"/>
      <c r="AR38" s="75"/>
      <c r="AS38" s="74"/>
      <c r="AT38" s="75"/>
      <c r="AU38" s="70"/>
      <c r="AV38" s="70"/>
      <c r="AW38" s="70" t="s">
        <v>514</v>
      </c>
      <c r="AX38" s="75"/>
      <c r="AY38" s="70" t="s">
        <v>85</v>
      </c>
      <c r="AZ38" s="75"/>
      <c r="BA38" s="69"/>
      <c r="BB38" s="75"/>
      <c r="BC38" s="70"/>
      <c r="BD38" s="70" t="s">
        <v>188</v>
      </c>
    </row>
    <row r="39" spans="1:56" ht="12.75" customHeight="1" thickBot="1" x14ac:dyDescent="0.3">
      <c r="A39" s="87">
        <v>1611</v>
      </c>
      <c r="B39" s="88" t="s">
        <v>708</v>
      </c>
      <c r="C39" s="89">
        <v>2</v>
      </c>
      <c r="D39" s="90" t="s">
        <v>256</v>
      </c>
      <c r="E39" s="91">
        <v>1</v>
      </c>
      <c r="F39" s="92" t="s">
        <v>90</v>
      </c>
      <c r="G39" s="88" t="s">
        <v>177</v>
      </c>
      <c r="H39" s="93" t="s">
        <v>709</v>
      </c>
      <c r="I39" s="94">
        <v>46022.370324074072</v>
      </c>
      <c r="J39" s="94">
        <v>46022.379641203705</v>
      </c>
      <c r="K39" s="94"/>
      <c r="L39" s="88" t="s">
        <v>90</v>
      </c>
      <c r="M39" s="88" t="s">
        <v>157</v>
      </c>
      <c r="N39" s="95" t="s">
        <v>710</v>
      </c>
      <c r="O39" s="88" t="s">
        <v>47</v>
      </c>
      <c r="P39" s="87"/>
      <c r="Q39" s="94"/>
      <c r="R39" s="88"/>
      <c r="S39" s="88" t="s">
        <v>90</v>
      </c>
      <c r="T39" s="94">
        <v>46022.379641203705</v>
      </c>
      <c r="U39" s="88"/>
      <c r="V39" s="95"/>
      <c r="W39" s="95"/>
      <c r="X39" s="88"/>
      <c r="Y39" s="88" t="s">
        <v>63</v>
      </c>
      <c r="Z39" s="88"/>
      <c r="AA39" s="87"/>
      <c r="AB39" s="88"/>
      <c r="AC39" s="88"/>
      <c r="AD39" s="88" t="s">
        <v>90</v>
      </c>
      <c r="AE39" s="94">
        <v>46022.379641203705</v>
      </c>
      <c r="AF39" s="88"/>
      <c r="AG39" s="88"/>
      <c r="AH39" s="88"/>
      <c r="AI39" s="88"/>
      <c r="AJ39" s="88"/>
      <c r="AK39" s="88"/>
      <c r="AL39" s="88"/>
      <c r="AM39" s="88"/>
      <c r="AN39" s="87"/>
      <c r="AO39" s="88"/>
      <c r="AP39" s="87">
        <v>1</v>
      </c>
      <c r="AQ39" s="95"/>
      <c r="AR39" s="95"/>
      <c r="AS39" s="94"/>
      <c r="AT39" s="95"/>
      <c r="AU39" s="88"/>
      <c r="AV39" s="88"/>
      <c r="AW39" s="88" t="s">
        <v>514</v>
      </c>
      <c r="AX39" s="95"/>
      <c r="AY39" s="88" t="s">
        <v>85</v>
      </c>
      <c r="AZ39" s="95"/>
      <c r="BA39" s="87"/>
      <c r="BB39" s="95"/>
      <c r="BC39" s="88"/>
      <c r="BD39" s="88" t="s">
        <v>191</v>
      </c>
    </row>
  </sheetData>
  <dataValidations count="127">
    <dataValidation type="list" operator="equal" showInputMessage="1" showErrorMessage="1" errorTitle="Read-only column" error="TF84013: You cannot modify a field that is read-only or a work item that restricts updates to valid users based on current permissions." prompt="Read-only" sqref="BD2 BD39" xr:uid="{17036A15-7B10-4EB7-881D-6859A2F12F58}">
      <formula1>"Started"</formula1>
    </dataValidation>
    <dataValidation type="list" operator="equal" allowBlank="1" showDropDown="1" showInputMessage="1" showErrorMessage="1" errorTitle="Read-only column" error="TF84027: This field is not available for this type of work item and must be left blank." prompt="Read-only" sqref="BB2:BC2 AZ2 AX2 AU2:AV2 AS2 AQ2 AM2:AO2 AF2:AJ2 Z2:AC2 U2:X2 P2:R2 AZ25:AZ39 AX25:AX39 AS25:AS39 AQ25:AQ39 BB25:BC39 AU25:AV39 AM25:AO39 AF25:AJ39 Z25:AC39 U25:X39 P25:R39" xr:uid="{9FF000BC-F777-43C8-8270-A55A0B78069A}">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2 AK2:AL2 K2 BA25:BA39 K25:K39 S25:T38 AK25:AL39" xr:uid="{6326F727-7449-420D-889B-6F2DD813F161}">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Y2 AY25:AY39" xr:uid="{C1D56FF1-4DDA-47A1-8A43-934D96D6D266}">
      <formula1>"JBSTerminais Suporte TEAM"</formula1>
    </dataValidation>
    <dataValidation type="list" operator="equal" allowBlank="1" showInputMessage="1" showErrorMessage="1" errorTitle="Microsoft Excel" error="TF84042: The value you entered is not supported in this field. Select a supported value from the list." sqref="AW2 AW25:AW39" xr:uid="{C1AC9D58-6AD9-42B3-BC7F-EB95F65A27A6}">
      <formula1>VSTS_ValidationRange_f214eb40687c4b9898d4b06d75f9d22f</formula1>
    </dataValidation>
    <dataValidation type="textLength" allowBlank="1" showInputMessage="1" prompt="Type a comment here and publish to add a new history entry. After publishing this cell will be cleared." sqref="AT2 AT25:AT39" xr:uid="{D68D17B4-055C-4A36-90C0-748B45861F7C}">
      <formula1>0</formula1>
      <formula2>32767</formula2>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2 AP26:AP27" xr:uid="{FAA23C6D-8C67-435A-9241-A1DC984CF90D}">
      <formula1>"4"</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2" xr:uid="{0DB694A8-FFF7-48B3-8F50-40E33B56876E}">
      <formula1>"29/12/2025 10:28"</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2 S2 AD25 AD29:AD31 AD33:AD34 AD37:AD38" xr:uid="{A894EAF7-E6D3-4C35-B9CC-E80E8D5CC049}">
      <formula1>"DANTON DA ROSA ABREU"</formula1>
    </dataValidation>
    <dataValidation type="list" operator="equal" allowBlank="1" showInputMessage="1" showErrorMessage="1" errorTitle="Microsoft Excel" error="TF84042: The value you entered is not supported in this field. Select a supported value from the list." sqref="Y2 Y25:Y39" xr:uid="{94A82893-2B7A-4B2A-8AB3-4AF7D42BAFD9}">
      <formula1>VSTS_ValidationRange_5e7fe66a82d544a68d79ebecc3ba86a7</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T2" xr:uid="{EDE5C3B7-6ECE-49F9-8B6F-E058A72065BB}">
      <formula1>"12/12/2025 09:47"</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O2 O25:O39" xr:uid="{7CC9C55D-D15F-4592-87AE-913E3B659505}">
      <formula1>"Issue"</formula1>
    </dataValidation>
    <dataValidation type="textLength" allowBlank="1" showInputMessage="1" sqref="N2 H2 N25:N39 H25:H39" xr:uid="{E4DCC197-8B33-4A56-9BE8-7452CC21ED91}">
      <formula1>0</formula1>
      <formula2>32767</formula2>
    </dataValidation>
    <dataValidation type="list" operator="equal" showInputMessage="1" showErrorMessage="1" errorTitle="Read-only column" error="TF84013: You cannot modify a field that is read-only or a work item that restricts updates to valid users based on current permissions." prompt="Read-only" sqref="M2" xr:uid="{63256A20-95F7-4C8D-8223-16142A015CFC}">
      <formula1>"Vinícius Francisco de Sousa Pereira"</formula1>
    </dataValidation>
    <dataValidation type="list" operator="equal" allowBlank="1" showInputMessage="1" sqref="L2 F2 L25:L39 F25:F39" xr:uid="{719610BE-B2F9-4A75-9BE0-E25C0DB4A79E}">
      <formula1>VSTS_ValidationRange_7c0dc8fb14b14526a772f0fff1da6a8c</formula1>
    </dataValidation>
    <dataValidation type="list" operator="equal" showInputMessage="1" showErrorMessage="1" errorTitle="Microsoft Excel" error="TF84042: The value you entered is not supported in this field. Select a supported value from the list." sqref="G2 G25:G39" xr:uid="{679E1722-70AE-44F5-9851-AB7A2F3C9D4F}">
      <formula1>VSTS_ValidationRange_c169991a08a546cdb0931810a57f89d1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E2 E25:E30 E32:E38" xr:uid="{5087221E-197B-4144-9D0A-268F00DEDB71}">
      <formula1>"FALSO"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D2 D39" xr:uid="{F3236331-AE6B-4181-9D63-A7C626343273}">
      <formula1>"Em Desenvolvimento"</formula1>
    </dataValidation>
    <dataValidation type="list" operator="equal" allowBlank="1" showInputMessage="1" showErrorMessage="1" errorTitle="Microsoft Excel" error="TF84042: The value you entered is not supported in this field. Select a supported value from the list." sqref="C2 C25:C39" xr:uid="{972D7960-D23B-49C7-9D7A-A71AE3F5C909}">
      <formula1>VSTS_ValidationRange_8a5d37431faa4fada644471229d06c70</formula1>
    </dataValidation>
    <dataValidation type="textLength" showInputMessage="1" sqref="B2 B25:B39" xr:uid="{8A5427D7-C9D5-4878-AEDE-92C23C0201D9}">
      <formula1>1</formula1>
      <formula2>255</formula2>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 xr:uid="{8EECBF6F-F6E4-42AB-94CB-A447B8871A0B}">
      <formula1>"309"</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D1" xr:uid="{F44D563B-365D-49DD-B1D8-4E81ABF3A9A3}">
      <formula1>"Reason"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C1" xr:uid="{0BB08DCA-0BB0-4528-9200-CF65FEF33F58}">
      <formula1>"Rating"</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B1" xr:uid="{748C9DE4-10B0-4E8F-A4E4-0B4F6E192A72}">
      <formula1>"Query 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1" xr:uid="{EB873F86-D699-40B9-AD9A-76023B34AE08}">
      <formula1>"Parent"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Z1" xr:uid="{F6911977-F635-4D13-8D4A-45B06F22A697}">
      <formula1>"Parameters"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Y1" xr:uid="{905CF863-C4DE-4E37-8BDA-C281C674F4E0}">
      <formula1>"Node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X1" xr:uid="{ABEB07CB-E8F2-4771-AE33-E14B02CB3FCE}">
      <formula1>"Local Data Source"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W1" xr:uid="{9CCABE43-A707-40BE-BFBD-08AFD317972D}">
      <formula1>"Iteration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V1" xr:uid="{0A701FE0-CF60-46D4-92A7-F5BFC9E5FA34}">
      <formula1>"Issue"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U1" xr:uid="{B42899B1-611F-4EC3-80F5-C451AE545B39}">
      <formula1>"Integration Build"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T1" xr:uid="{336C836C-5911-483B-8C4E-C2042E44E637}">
      <formula1>"History"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S1" xr:uid="{48D1AEFB-A615-4742-B4D7-7B5324962F04}">
      <formula1>"Finish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R1" xr:uid="{8FE3D5EC-922C-4813-91E9-63425D7A9CB6}">
      <formula1>"Effort"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Q1" xr:uid="{AE561DAA-5CF8-4973-8E8E-697F81B0A5F4}">
      <formula1>"Completed Work"</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P1" xr:uid="{BB65B13E-C0E5-48FA-AC83-621D3D15A624}">
      <formula1>"Comment Count"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O1" xr:uid="{EACBB508-00FB-4909-A765-CF92403F8DEC}">
      <formula1>"Closing Comment"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N1" xr:uid="{3A50D925-F700-42BE-B85A-4DEB11B53288}">
      <formula1>"Closed Status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M1" xr:uid="{3CB00B02-109B-42C1-A36A-28CADA066965}">
      <formula1>"Closed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L1" xr:uid="{8BFB7053-7804-456E-BB35-34CE6203EB3A}">
      <formula1>"Closed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K1" xr:uid="{65A57AF3-B36F-49DB-88FD-D6CE5EB29A08}">
      <formula1>"Board Lane"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J1" xr:uid="{DEF9B697-4B6D-4917-944A-6E1EEF6FF694}">
      <formula1>"Automation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I1" xr:uid="{EAAAA961-5C26-44C4-A4B6-213DDD3F50E7}">
      <formula1>"Automated Test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H1" xr:uid="{59F238C1-2138-47B2-8F81-D3A37C9D84AA}">
      <formula1>"Automated Test Storage"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G1" xr:uid="{16B8CB58-3D95-48C4-AC8C-117D379E06E1}">
      <formula1>"Automated Test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F1" xr:uid="{DC7DE315-E027-468D-8495-EDFAD8565139}">
      <formula1>"Automated Test 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E1" xr:uid="{344930A0-48D7-4C3B-A555-0BCE47C00C88}">
      <formula1>"Authorized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D1" xr:uid="{613303BF-AAAB-40D5-BE6D-CE365267EB89}">
      <formula1>"Authorized As"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C1" xr:uid="{DED9C5FA-CBE6-4EB7-BD7F-35270870FEC3}">
      <formula1>"Associated Context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B1" xr:uid="{BEC8B52E-1AE6-4F0A-81C2-BDC20E0E2162}">
      <formula1>"Associated Context Owner"</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A1" xr:uid="{9CA70FE4-6D41-469D-96AD-469C1950AC84}">
      <formula1>"Associated Context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Z1" xr:uid="{9DD321B9-BE63-49E6-BA81-657481F20AFB}">
      <formula1>"Associated Context"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Y1" xr:uid="{ED917FA9-BB6F-4FD6-AB44-DCA3985A6ADB}">
      <formula1>"Area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X1" xr:uid="{7E016942-D111-4C37-B9D7-C49460473945}">
      <formula1>"Application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W1" xr:uid="{59073285-CCAA-4444-90CF-D53C0A1278EF}">
      <formula1>"Application Start Information"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V1" xr:uid="{55D38760-91ED-4B53-8468-A7B37F99008F}">
      <formula1>"Application Launch Instructions"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U1" xr:uid="{1289ED9A-C381-4872-B3BB-510D5FB4BACB}">
      <formula1>"Activity"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T1" xr:uid="{52BB7A1D-ECB7-4168-B8FA-31192D6B9036}">
      <formula1>"Activated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S1" xr:uid="{61235B5B-6A17-454E-BA55-2D78C19BDDED}">
      <formula1>"Activated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R1" xr:uid="{01D95145-291D-4853-80BC-85EA9498CE54}">
      <formula1>"Accepted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Q1" xr:uid="{D48A5FB4-2B73-4717-8A99-F8ED1CA30E8F}">
      <formula1>"Accepted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P1" xr:uid="{6E3D8037-58A8-4480-B9FE-014DC55D0123}">
      <formula1>"State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O1" xr:uid="{790EEE44-FAE6-4931-80A3-553141AB4116}">
      <formula1>"Work Item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N1" xr:uid="{F338BAB9-E66C-4874-A37D-C53F3AA80A95}">
      <formula1>"Tags"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M1" xr:uid="{C8103560-B07A-4125-989E-40AADA466CC8}">
      <formula1>"Created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L1" xr:uid="{524B9E70-ECAC-4532-A82C-ED5F7BAE61C5}">
      <formula1>"Changed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K1" xr:uid="{42D06976-F5F2-45C9-AC15-E66A8BBEBA08}">
      <formula1>"Closed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J1" xr:uid="{6C2EBF76-DB9D-4E02-8AF6-BF39F8056CEA}">
      <formula1>"Changed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I1" xr:uid="{D3199F8E-A0D8-4510-A3D0-95C427AE39A4}">
      <formula1>"Created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H1" xr:uid="{5F5DD078-DCD7-449C-8D1F-CA2D0368912C}">
      <formula1>"Description"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G1" xr:uid="{C62EA786-2B9D-49D2-B659-CBB2CC5F4E87}">
      <formula1>"State"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F1" xr:uid="{03133649-ADFC-411C-B147-4650C89F7C39}">
      <formula1>"Assigned To"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E1" xr:uid="{BB5BF27A-3CA3-43E0-BED8-FD13AB7D72CE}">
      <formula1>"Board Column Done"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D1" xr:uid="{22F6B8B3-FD61-4F17-852A-37D62D1E1EB1}">
      <formula1>"Board Column"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C1" xr:uid="{D868BA68-68C2-4DC0-B7AC-3F45E4BA26A5}">
      <formula1>"Priority"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1" xr:uid="{808C0295-F992-4D4B-9B86-185B2C416E81}">
      <formula1>"Title"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1" xr:uid="{93C4BAB3-0603-4CF7-AD36-31D449F2BF36}">
      <formula1>"ID"</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25:BD32 BD35 BD38" xr:uid="{230C8D59-E967-47A1-B19E-9A06696B37DD}">
      <formula1>"Moved to backlog"</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25 AP28" xr:uid="{18F9C8A4-78A7-4F5F-8647-EEBD61215A74}">
      <formula1>"2"</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25" xr:uid="{3456CBE6-44CC-4D67-9FB2-2649AC91E4E0}">
      <formula1>"29/12/2025 10:31"</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25 M32" xr:uid="{56262828-B680-4351-BA81-8B2BF80CB52F}">
      <formula1>"Vinícius Birsenek de Moraes"</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D25 D28 D32" xr:uid="{7E670EAF-A4E7-429D-AD7D-4A90C18564CE}">
      <formula1>"Pausado"</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5" xr:uid="{884DA5A7-F146-4A33-AF2A-F609EAA02F4E}">
      <formula1>"1500"</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26" xr:uid="{B9F61424-E3F4-48EB-9B4B-3C95DBF38D69}">
      <formula1>"22/12/2025 14:56"</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26 AD28 AD39 S39" xr:uid="{8450D838-FA4B-43C1-BDA7-8DD75DA0A877}">
      <formula1>"Pedro Marini Nave"</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26:M27 M30 M33:M36 M39" xr:uid="{D8E222EE-85E4-4487-B65F-747856E4B38C}">
      <formula1>"GABRIELI CAETANO FORTUNATO"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D26:D27 D31 D35" xr:uid="{5B47CC55-E0C9-4B97-B321-BC44D1F58BF1}">
      <formula1>"Homologação"</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6" xr:uid="{771FB0E6-4072-45EF-9B96-69EF67DA831F}">
      <formula1>"1571"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27" xr:uid="{7A1BBBA6-6FDF-4BF5-B50C-E9BB29B14049}">
      <formula1>"18/12/2025 16:24"</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27" xr:uid="{D58403E7-F5F6-49D6-9D2F-380E5138F60C}">
      <formula1>"Rafael Marcello"</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7" xr:uid="{F7AAEFB9-2647-49F5-A3B4-3EDFEE8299BB}">
      <formula1>"1577"</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28" xr:uid="{8B02B2B9-A8FE-421B-8752-0B0397DE1E95}">
      <formula1>"29/12/2025 10:13"</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28:M29 M31 M37:M38" xr:uid="{176B7235-A0F7-4BCE-9595-5FA8AB4BB483}">
      <formula1>"DANTON DA ROSA ABREU"</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8" xr:uid="{612295F0-396B-46CF-8F37-DB4E6FA3BFA6}">
      <formula1>"1586"</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29 AP33:AP34 AP38:AP39" xr:uid="{05B64DDD-34EB-4BC8-8A7D-70986384E2DC}">
      <formula1>"1"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29" xr:uid="{4E3B6ECD-8BFA-44A7-B271-CB58D2903125}">
      <formula1>"30/12/2025 11:10"</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D29:D30 D33:D34 D38" xr:uid="{4CD10397-69A0-44D6-BAB0-860A2F7D0883}">
      <formula1>"Release"</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9" xr:uid="{30AFF02F-2BD7-4071-92B5-A68C3071266C}">
      <formula1>"1594"</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30 AP35" xr:uid="{5C5992F9-8727-4A9B-AAE5-2C0E09DCCF88}">
      <formula1>"3"</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30" xr:uid="{D3A98388-1ECD-43C8-B5B9-F2607E7E3F46}">
      <formula1>"30/12/2025 14:52"</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0" xr:uid="{FA226B83-52A3-4316-9DF1-43E5C95603CF}">
      <formula1>"1598"</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31" xr:uid="{7FA29BD1-A48D-425E-90A7-C9FE7001A52D}">
      <formula1>"9"</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31" xr:uid="{DA32DFD8-0618-4E61-B636-3FB2D3159C65}">
      <formula1>"30/12/2025 18:11"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E31 E39" xr:uid="{33BB0927-30EB-4B7D-A1AB-20278F657F64}">
      <formula1>"VERDADEIRO"</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1" xr:uid="{F66CFE2F-223F-421B-9F7D-B6FAC911351F}">
      <formula1>"1411"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32" xr:uid="{B7E61100-0A1D-458F-9C6E-11C23B87E67B}">
      <formula1>"7"</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32" xr:uid="{23EA1376-628E-4C93-AC2E-0CF6475D87FE}">
      <formula1>"02/01/2026 09:50"</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32 AD35" xr:uid="{0FFB551A-2E7F-4785-86F8-9076438207CB}">
      <formula1>"Vinícius Birsenek de Moraes"</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2" xr:uid="{4CF6EBD0-7E8A-49CD-A98B-E0BBBDA8E81D}">
      <formula1>"1374"</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33:BD34 BD36:BD37" xr:uid="{9B68EEAE-3C3E-4E8A-A7CA-D1203C28FFF1}">
      <formula1>"Added to backlog"</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33:AE34" xr:uid="{2F07049A-E6C1-4E54-90C2-2945D0EF6320}">
      <formula1>"30/12/2025 11:09"</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3" xr:uid="{418C2EA9-2374-4A51-BE1B-EEF99F025D0B}">
      <formula1>"1604"</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4" xr:uid="{19BF2E33-16E0-4E56-B41D-9BA8CD5BE079}">
      <formula1>"1605"</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35" xr:uid="{6E76F69B-343C-4A4D-BD6F-80478F4689AF}">
      <formula1>"02/01/2026 09:24"</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5" xr:uid="{03459BB5-542B-4C6F-A5C1-20DA44A400DA}">
      <formula1>"1606"</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36:AP37" xr:uid="{1A2E0DD8-6672-46EE-B9FA-D6D37AD80B5D}">
      <formula1>"0"</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36" xr:uid="{5D485128-8577-4A70-8D8A-7421A9F65F22}">
      <formula1>"29/12/2025 18:31"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36" xr:uid="{5B2DB26B-4272-48D7-8181-E8210731E847}">
      <formula1>"GABRIELI CAETANO FORTUNATO"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D36" xr:uid="{15495A3E-DE54-4DF4-B648-F72CED8104A3}">
      <formula1>"Backlog"</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6" xr:uid="{82C1072C-CF55-4652-8529-CFA9C71EC70D}">
      <formula1>"1607"</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37" xr:uid="{8A42464F-D3CB-4F30-95E3-3B426916576F}">
      <formula1>"30/12/2025 10:14"</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D37" xr:uid="{3D7EA28D-5893-4813-BBA4-CA5ADCEFB8C3}">
      <formula1>"Aprovado"</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7" xr:uid="{23A503C5-3818-4B55-B666-D9449C1C471B}">
      <formula1>"1609"</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38" xr:uid="{366B58A7-BE4A-4AEE-9F98-FC0DEDAE0E1A}">
      <formula1>"30/12/2025 16:12"</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8" xr:uid="{71C1A1AC-22CA-4578-A764-FD9ECF637E42}">
      <formula1>"1610"</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39 T39" xr:uid="{832B5A85-008F-4D84-9992-821F1683D81A}">
      <formula1>"31/12/2025 09:06"</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9" xr:uid="{E05CC176-22B1-40C0-89FC-B6C6AAB3BD66}">
      <formula1>"1611"</formula1>
    </dataValidation>
  </dataValidation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7A5F8-5CEF-4AB6-8B8E-3E7B6EF18036}">
  <dimension ref="A1:BH112"/>
  <sheetViews>
    <sheetView workbookViewId="0">
      <selection activeCell="B11" sqref="B11"/>
    </sheetView>
  </sheetViews>
  <sheetFormatPr defaultRowHeight="15" customHeight="1" x14ac:dyDescent="0.25"/>
  <cols>
    <col min="1" max="1" width="6.28515625" customWidth="1"/>
    <col min="2" max="2" width="85.7109375" customWidth="1"/>
    <col min="3" max="4" width="19.5703125" customWidth="1"/>
    <col min="5" max="5" width="80.5703125" customWidth="1"/>
    <col min="6" max="6" width="30.5703125" customWidth="1"/>
    <col min="7" max="7" width="9.5703125" customWidth="1"/>
    <col min="8" max="8" width="20.42578125" customWidth="1"/>
    <col min="9" max="9" width="15.7109375" customWidth="1"/>
    <col min="10" max="10" width="20.7109375" customWidth="1"/>
    <col min="11" max="11" width="15.7109375" customWidth="1"/>
    <col min="12" max="12" width="26.85546875" customWidth="1"/>
    <col min="13" max="13" width="20.7109375" customWidth="1"/>
    <col min="14" max="14" width="36.28515625" customWidth="1"/>
    <col min="16" max="16" width="17.42578125" customWidth="1"/>
    <col min="17" max="17" width="18.42578125" customWidth="1"/>
    <col min="18" max="18" width="81.5703125" customWidth="1"/>
    <col min="19" max="19" width="20.7109375" customWidth="1"/>
    <col min="20" max="20" width="18.7109375" customWidth="1"/>
    <col min="21" max="21" width="18.85546875" customWidth="1"/>
    <col min="22" max="22" width="21" customWidth="1"/>
    <col min="23" max="23" width="14.7109375" customWidth="1"/>
    <col min="24" max="24" width="35.5703125" customWidth="1"/>
    <col min="25" max="25" width="33.7109375" customWidth="1"/>
    <col min="26" max="26" width="22.7109375" customWidth="1"/>
    <col min="27" max="27" width="31.140625" customWidth="1"/>
    <col min="28" max="28" width="25" customWidth="1"/>
    <col min="29" max="29" width="30" customWidth="1"/>
    <col min="30" max="30" width="31.28515625" customWidth="1"/>
    <col min="31" max="31" width="29.7109375" customWidth="1"/>
    <col min="32" max="32" width="30.5703125" customWidth="1"/>
    <col min="33" max="33" width="22.28515625" customWidth="1"/>
    <col min="34" max="34" width="24.28515625" customWidth="1"/>
    <col min="35" max="35" width="27.7109375" customWidth="1"/>
    <col min="36" max="36" width="29.28515625" customWidth="1"/>
    <col min="37" max="37" width="26.7109375" customWidth="1"/>
    <col min="38" max="38" width="24.28515625" customWidth="1"/>
    <col min="39" max="39" width="25.5703125" customWidth="1"/>
    <col min="40" max="40" width="17.7109375" customWidth="1"/>
    <col min="41" max="41" width="16.5703125" customWidth="1"/>
    <col min="42" max="42" width="19.7109375" customWidth="1"/>
    <col min="43" max="43" width="24.85546875" customWidth="1"/>
    <col min="44" max="44" width="23.42578125" customWidth="1"/>
    <col min="45" max="45" width="22.28515625" customWidth="1"/>
    <col min="46" max="46" width="23" customWidth="1"/>
    <col min="47" max="47" width="18.140625" customWidth="1"/>
    <col min="48" max="48" width="13" customWidth="1"/>
    <col min="49" max="49" width="17.7109375" customWidth="1"/>
    <col min="50" max="50" width="14.28515625" customWidth="1"/>
    <col min="51" max="51" width="22.7109375" customWidth="1"/>
    <col min="52" max="52" width="12.7109375" customWidth="1"/>
    <col min="53" max="53" width="20.140625" customWidth="1"/>
    <col min="54" max="54" width="23.28515625" customWidth="1"/>
    <col min="55" max="55" width="30.28515625" customWidth="1"/>
    <col min="56" max="56" width="18" customWidth="1"/>
    <col min="57" max="57" width="13.85546875" customWidth="1"/>
    <col min="58" max="58" width="17.7109375" customWidth="1"/>
    <col min="59" max="59" width="13.5703125" customWidth="1"/>
    <col min="60" max="60" width="21.28515625" customWidth="1"/>
  </cols>
  <sheetData>
    <row r="1" spans="1:56" ht="30" customHeight="1" x14ac:dyDescent="0.25">
      <c r="A1" s="5" t="s">
        <v>1013</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row>
    <row r="2" spans="1:56" ht="15" customHeight="1" x14ac:dyDescent="0.25">
      <c r="A2" s="1" t="s">
        <v>0</v>
      </c>
      <c r="B2" s="1" t="s">
        <v>1</v>
      </c>
      <c r="C2" s="1" t="s">
        <v>3</v>
      </c>
      <c r="D2" s="1" t="s">
        <v>7</v>
      </c>
      <c r="E2" s="1" t="s">
        <v>13</v>
      </c>
      <c r="F2" s="1" t="s">
        <v>2</v>
      </c>
      <c r="G2" s="1" t="s">
        <v>4</v>
      </c>
      <c r="H2" s="1" t="s">
        <v>5</v>
      </c>
      <c r="I2" s="1" t="s">
        <v>6</v>
      </c>
      <c r="J2" s="1" t="s">
        <v>8</v>
      </c>
      <c r="K2" s="1" t="s">
        <v>9</v>
      </c>
      <c r="L2" s="1" t="s">
        <v>10</v>
      </c>
      <c r="M2" s="1" t="s">
        <v>11</v>
      </c>
      <c r="N2" s="1" t="s">
        <v>12</v>
      </c>
      <c r="O2" s="1" t="s">
        <v>14</v>
      </c>
      <c r="P2" s="1" t="s">
        <v>15</v>
      </c>
      <c r="Q2" s="1" t="s">
        <v>16</v>
      </c>
      <c r="R2" s="1" t="s">
        <v>17</v>
      </c>
      <c r="S2" s="1" t="s">
        <v>18</v>
      </c>
      <c r="T2" s="1" t="s">
        <v>19</v>
      </c>
      <c r="U2" s="1" t="s">
        <v>20</v>
      </c>
      <c r="V2" s="1" t="s">
        <v>21</v>
      </c>
      <c r="W2" s="1" t="s">
        <v>22</v>
      </c>
      <c r="X2" s="1" t="s">
        <v>23</v>
      </c>
      <c r="Y2" s="1" t="s">
        <v>24</v>
      </c>
      <c r="Z2" s="1" t="s">
        <v>25</v>
      </c>
      <c r="AA2" s="1" t="s">
        <v>26</v>
      </c>
      <c r="AB2" s="1" t="s">
        <v>27</v>
      </c>
      <c r="AC2" s="1" t="s">
        <v>28</v>
      </c>
      <c r="AD2" s="1" t="s">
        <v>29</v>
      </c>
      <c r="AE2" s="1" t="s">
        <v>30</v>
      </c>
      <c r="AF2" s="1" t="s">
        <v>31</v>
      </c>
      <c r="AG2" s="1" t="s">
        <v>32</v>
      </c>
      <c r="AH2" s="1" t="s">
        <v>33</v>
      </c>
      <c r="AI2" s="1" t="s">
        <v>34</v>
      </c>
      <c r="AJ2" s="1" t="s">
        <v>35</v>
      </c>
      <c r="AK2" s="1" t="s">
        <v>36</v>
      </c>
      <c r="AL2" s="1" t="s">
        <v>37</v>
      </c>
      <c r="AM2" s="1" t="s">
        <v>38</v>
      </c>
      <c r="AN2" s="1" t="s">
        <v>39</v>
      </c>
      <c r="AO2" s="1" t="s">
        <v>40</v>
      </c>
      <c r="AP2" s="1" t="s">
        <v>41</v>
      </c>
      <c r="AQ2" s="1" t="s">
        <v>42</v>
      </c>
      <c r="AR2" s="1" t="s">
        <v>43</v>
      </c>
      <c r="AS2" s="1" t="s">
        <v>44</v>
      </c>
      <c r="AT2" s="1" t="s">
        <v>45</v>
      </c>
      <c r="AU2" s="1" t="s">
        <v>46</v>
      </c>
      <c r="AV2" s="1" t="s">
        <v>47</v>
      </c>
      <c r="AW2" s="1" t="s">
        <v>48</v>
      </c>
      <c r="AX2" s="1" t="s">
        <v>49</v>
      </c>
      <c r="AY2" s="1" t="s">
        <v>50</v>
      </c>
      <c r="AZ2" s="1" t="s">
        <v>51</v>
      </c>
      <c r="BA2" s="1" t="s">
        <v>52</v>
      </c>
      <c r="BB2" s="1" t="s">
        <v>53</v>
      </c>
      <c r="BC2" s="1" t="s">
        <v>54</v>
      </c>
      <c r="BD2" s="1" t="s">
        <v>55</v>
      </c>
    </row>
    <row r="3" spans="1:56" ht="15" customHeight="1" x14ac:dyDescent="0.25">
      <c r="A3" s="2">
        <v>1429</v>
      </c>
      <c r="B3" s="1" t="s">
        <v>517</v>
      </c>
      <c r="C3" s="1" t="s">
        <v>256</v>
      </c>
      <c r="D3" s="1" t="s">
        <v>81</v>
      </c>
      <c r="E3" s="4" t="s">
        <v>595</v>
      </c>
      <c r="F3" s="2">
        <v>1</v>
      </c>
      <c r="G3" s="1" t="s">
        <v>177</v>
      </c>
      <c r="H3" s="31">
        <v>45992.435115740744</v>
      </c>
      <c r="I3" s="1" t="s">
        <v>81</v>
      </c>
      <c r="J3" s="31">
        <v>45950.410532407404</v>
      </c>
      <c r="K3" s="1" t="s">
        <v>81</v>
      </c>
      <c r="L3" s="1" t="s">
        <v>47</v>
      </c>
      <c r="M3" s="2"/>
      <c r="N3" s="31"/>
      <c r="O3" s="31"/>
      <c r="P3" s="1"/>
      <c r="Q3" s="1" t="s">
        <v>81</v>
      </c>
      <c r="R3" s="31">
        <v>45992.360023148147</v>
      </c>
      <c r="S3" s="1"/>
      <c r="T3" s="4"/>
      <c r="U3" s="4"/>
      <c r="V3" s="1"/>
      <c r="W3" s="1" t="s">
        <v>63</v>
      </c>
      <c r="X3" s="1"/>
      <c r="Y3" s="2"/>
      <c r="Z3" s="1"/>
      <c r="AA3" s="1"/>
      <c r="AB3" s="1" t="s">
        <v>81</v>
      </c>
      <c r="AC3" s="31">
        <v>45992.435115740744</v>
      </c>
      <c r="AD3" s="1"/>
      <c r="AE3" s="1"/>
      <c r="AF3" s="1"/>
      <c r="AG3" s="1"/>
      <c r="AH3" s="1"/>
      <c r="AI3" s="2">
        <v>0</v>
      </c>
      <c r="AJ3" s="1"/>
      <c r="AK3" s="1"/>
      <c r="AL3" s="1"/>
      <c r="AM3" s="2"/>
      <c r="AN3" s="1"/>
      <c r="AO3" s="2">
        <v>0</v>
      </c>
      <c r="AP3" s="4"/>
      <c r="AQ3" s="7"/>
      <c r="AR3" s="4"/>
      <c r="AS3" s="31"/>
      <c r="AT3" s="4"/>
      <c r="AU3" s="1"/>
      <c r="AV3" s="1"/>
      <c r="AW3" s="1" t="s">
        <v>61</v>
      </c>
      <c r="AX3" s="4"/>
      <c r="AY3" s="1" t="s">
        <v>85</v>
      </c>
      <c r="AZ3" s="4"/>
      <c r="BA3" s="2"/>
      <c r="BB3" s="4"/>
      <c r="BC3" s="1"/>
      <c r="BD3" s="1" t="s">
        <v>191</v>
      </c>
    </row>
    <row r="4" spans="1:56" ht="15" customHeight="1" x14ac:dyDescent="0.25">
      <c r="A4" s="2">
        <v>1357</v>
      </c>
      <c r="B4" s="1" t="s">
        <v>536</v>
      </c>
      <c r="C4" s="1" t="s">
        <v>256</v>
      </c>
      <c r="D4" s="1" t="s">
        <v>89</v>
      </c>
      <c r="E4" s="4" t="s">
        <v>593</v>
      </c>
      <c r="F4" s="2">
        <v>1</v>
      </c>
      <c r="G4" s="1" t="s">
        <v>177</v>
      </c>
      <c r="H4" s="32">
        <v>45992.436354166668</v>
      </c>
      <c r="I4" s="1" t="s">
        <v>81</v>
      </c>
      <c r="J4" s="32">
        <v>45909.651689814818</v>
      </c>
      <c r="K4" s="1" t="s">
        <v>89</v>
      </c>
      <c r="L4" s="1" t="s">
        <v>47</v>
      </c>
      <c r="M4" s="2"/>
      <c r="N4" s="32"/>
      <c r="O4" s="32"/>
      <c r="P4" s="1"/>
      <c r="Q4" s="1" t="s">
        <v>81</v>
      </c>
      <c r="R4" s="32">
        <v>45992.359895833331</v>
      </c>
      <c r="S4" s="1"/>
      <c r="T4" s="4"/>
      <c r="U4" s="4"/>
      <c r="V4" s="1"/>
      <c r="W4" s="1" t="s">
        <v>63</v>
      </c>
      <c r="X4" s="1"/>
      <c r="Y4" s="2"/>
      <c r="Z4" s="1"/>
      <c r="AA4" s="1"/>
      <c r="AB4" s="1" t="s">
        <v>81</v>
      </c>
      <c r="AC4" s="32">
        <v>45992.436354166668</v>
      </c>
      <c r="AD4" s="1"/>
      <c r="AE4" s="1"/>
      <c r="AF4" s="1"/>
      <c r="AG4" s="1"/>
      <c r="AH4" s="1"/>
      <c r="AI4" s="2">
        <v>0</v>
      </c>
      <c r="AJ4" s="1"/>
      <c r="AK4" s="1"/>
      <c r="AL4" s="1"/>
      <c r="AM4" s="2"/>
      <c r="AN4" s="1"/>
      <c r="AO4" s="2">
        <v>2</v>
      </c>
      <c r="AP4" s="4"/>
      <c r="AQ4" s="7" t="s">
        <v>504</v>
      </c>
      <c r="AR4" s="4"/>
      <c r="AS4" s="32"/>
      <c r="AT4" s="4"/>
      <c r="AU4" s="1"/>
      <c r="AV4" s="1"/>
      <c r="AW4" s="1" t="s">
        <v>61</v>
      </c>
      <c r="AX4" s="4"/>
      <c r="AY4" s="1" t="s">
        <v>85</v>
      </c>
      <c r="AZ4" s="4"/>
      <c r="BA4" s="2"/>
      <c r="BB4" s="4"/>
      <c r="BC4" s="1"/>
      <c r="BD4" s="1" t="s">
        <v>191</v>
      </c>
    </row>
    <row r="5" spans="1:56" ht="15" customHeight="1" x14ac:dyDescent="0.25">
      <c r="A5" s="2">
        <v>309</v>
      </c>
      <c r="B5" s="1" t="s">
        <v>246</v>
      </c>
      <c r="C5" s="1" t="s">
        <v>256</v>
      </c>
      <c r="D5" s="1" t="s">
        <v>81</v>
      </c>
      <c r="E5" s="4" t="s">
        <v>592</v>
      </c>
      <c r="F5" s="2">
        <v>1</v>
      </c>
      <c r="G5" s="1" t="s">
        <v>177</v>
      </c>
      <c r="H5" s="33">
        <v>45992.436412037037</v>
      </c>
      <c r="I5" s="1" t="s">
        <v>81</v>
      </c>
      <c r="J5" s="33">
        <v>45649.686331018522</v>
      </c>
      <c r="K5" s="1" t="s">
        <v>84</v>
      </c>
      <c r="L5" s="1" t="s">
        <v>47</v>
      </c>
      <c r="M5" s="2"/>
      <c r="N5" s="33"/>
      <c r="O5" s="33"/>
      <c r="P5" s="1"/>
      <c r="Q5" s="1" t="s">
        <v>81</v>
      </c>
      <c r="R5" s="33">
        <v>45992.359826388885</v>
      </c>
      <c r="S5" s="1"/>
      <c r="T5" s="4"/>
      <c r="U5" s="4"/>
      <c r="V5" s="1"/>
      <c r="W5" s="1" t="s">
        <v>63</v>
      </c>
      <c r="X5" s="1"/>
      <c r="Y5" s="2"/>
      <c r="Z5" s="1"/>
      <c r="AA5" s="1"/>
      <c r="AB5" s="1" t="s">
        <v>81</v>
      </c>
      <c r="AC5" s="33">
        <v>45992.436412037037</v>
      </c>
      <c r="AD5" s="1"/>
      <c r="AE5" s="1"/>
      <c r="AF5" s="1"/>
      <c r="AG5" s="1"/>
      <c r="AH5" s="1"/>
      <c r="AI5" s="2">
        <v>0</v>
      </c>
      <c r="AJ5" s="1"/>
      <c r="AK5" s="1"/>
      <c r="AL5" s="1"/>
      <c r="AM5" s="2"/>
      <c r="AN5" s="1"/>
      <c r="AO5" s="2">
        <v>4</v>
      </c>
      <c r="AP5" s="4"/>
      <c r="AQ5" s="7" t="s">
        <v>247</v>
      </c>
      <c r="AR5" s="4"/>
      <c r="AS5" s="33"/>
      <c r="AT5" s="4"/>
      <c r="AU5" s="1"/>
      <c r="AV5" s="1"/>
      <c r="AW5" s="1" t="s">
        <v>61</v>
      </c>
      <c r="AX5" s="4"/>
      <c r="AY5" s="1" t="s">
        <v>85</v>
      </c>
      <c r="AZ5" s="4"/>
      <c r="BA5" s="2"/>
      <c r="BB5" s="4"/>
      <c r="BC5" s="1"/>
      <c r="BD5" s="1" t="s">
        <v>191</v>
      </c>
    </row>
    <row r="6" spans="1:56" ht="15" customHeight="1" x14ac:dyDescent="0.25">
      <c r="A6" s="2">
        <v>1382</v>
      </c>
      <c r="B6" s="1" t="s">
        <v>483</v>
      </c>
      <c r="C6" s="1" t="s">
        <v>256</v>
      </c>
      <c r="D6" s="1" t="s">
        <v>82</v>
      </c>
      <c r="E6" s="4" t="s">
        <v>594</v>
      </c>
      <c r="F6" s="2">
        <v>2</v>
      </c>
      <c r="G6" s="1" t="s">
        <v>177</v>
      </c>
      <c r="H6" s="33">
        <v>45992.435243055559</v>
      </c>
      <c r="I6" s="1" t="s">
        <v>81</v>
      </c>
      <c r="J6" s="33">
        <v>45922.41369212963</v>
      </c>
      <c r="K6" s="1" t="s">
        <v>157</v>
      </c>
      <c r="L6" s="1" t="s">
        <v>47</v>
      </c>
      <c r="M6" s="2"/>
      <c r="N6" s="33"/>
      <c r="O6" s="33"/>
      <c r="P6" s="1"/>
      <c r="Q6" s="1" t="s">
        <v>81</v>
      </c>
      <c r="R6" s="33">
        <v>45992.432881944442</v>
      </c>
      <c r="S6" s="1"/>
      <c r="T6" s="4"/>
      <c r="U6" s="4"/>
      <c r="V6" s="1"/>
      <c r="W6" s="1" t="s">
        <v>63</v>
      </c>
      <c r="X6" s="1"/>
      <c r="Y6" s="2"/>
      <c r="Z6" s="1"/>
      <c r="AA6" s="1"/>
      <c r="AB6" s="1" t="s">
        <v>81</v>
      </c>
      <c r="AC6" s="33">
        <v>45992.435243055559</v>
      </c>
      <c r="AD6" s="1"/>
      <c r="AE6" s="1"/>
      <c r="AF6" s="1"/>
      <c r="AG6" s="1"/>
      <c r="AH6" s="1"/>
      <c r="AI6" s="2">
        <v>0</v>
      </c>
      <c r="AJ6" s="1"/>
      <c r="AK6" s="1"/>
      <c r="AL6" s="1"/>
      <c r="AM6" s="2"/>
      <c r="AN6" s="1"/>
      <c r="AO6" s="2">
        <v>0</v>
      </c>
      <c r="AP6" s="4"/>
      <c r="AQ6" s="7"/>
      <c r="AR6" s="4"/>
      <c r="AS6" s="33"/>
      <c r="AT6" s="4"/>
      <c r="AU6" s="1"/>
      <c r="AV6" s="1"/>
      <c r="AW6" s="1" t="s">
        <v>61</v>
      </c>
      <c r="AX6" s="4"/>
      <c r="AY6" s="1" t="s">
        <v>85</v>
      </c>
      <c r="AZ6" s="4"/>
      <c r="BA6" s="2"/>
      <c r="BB6" s="4"/>
      <c r="BC6" s="1"/>
      <c r="BD6" s="1" t="s">
        <v>191</v>
      </c>
    </row>
    <row r="7" spans="1:56" ht="15" customHeight="1" x14ac:dyDescent="0.25">
      <c r="A7" s="2">
        <v>1475</v>
      </c>
      <c r="B7" s="1" t="s">
        <v>532</v>
      </c>
      <c r="C7" s="1" t="s">
        <v>256</v>
      </c>
      <c r="D7" s="1" t="s">
        <v>82</v>
      </c>
      <c r="E7" s="4" t="s">
        <v>596</v>
      </c>
      <c r="F7" s="2">
        <v>1</v>
      </c>
      <c r="G7" s="1" t="s">
        <v>177</v>
      </c>
      <c r="H7" s="33">
        <v>45992.436238425929</v>
      </c>
      <c r="I7" s="1" t="s">
        <v>81</v>
      </c>
      <c r="J7" s="33">
        <v>45974.6253125</v>
      </c>
      <c r="K7" s="1" t="s">
        <v>89</v>
      </c>
      <c r="L7" s="1" t="s">
        <v>47</v>
      </c>
      <c r="M7" s="2"/>
      <c r="N7" s="33"/>
      <c r="O7" s="33"/>
      <c r="P7" s="1"/>
      <c r="Q7" s="1" t="s">
        <v>81</v>
      </c>
      <c r="R7" s="33">
        <v>45992.360393518517</v>
      </c>
      <c r="S7" s="1"/>
      <c r="T7" s="4"/>
      <c r="U7" s="4"/>
      <c r="V7" s="1"/>
      <c r="W7" s="1" t="s">
        <v>63</v>
      </c>
      <c r="X7" s="1"/>
      <c r="Y7" s="2"/>
      <c r="Z7" s="1"/>
      <c r="AA7" s="1"/>
      <c r="AB7" s="1" t="s">
        <v>81</v>
      </c>
      <c r="AC7" s="33">
        <v>45992.436238425929</v>
      </c>
      <c r="AD7" s="1"/>
      <c r="AE7" s="1"/>
      <c r="AF7" s="1"/>
      <c r="AG7" s="1"/>
      <c r="AH7" s="1"/>
      <c r="AI7" s="2">
        <v>0</v>
      </c>
      <c r="AJ7" s="1"/>
      <c r="AK7" s="1"/>
      <c r="AL7" s="1"/>
      <c r="AM7" s="2"/>
      <c r="AN7" s="1"/>
      <c r="AO7" s="2">
        <v>0</v>
      </c>
      <c r="AP7" s="4"/>
      <c r="AQ7" s="7" t="s">
        <v>100</v>
      </c>
      <c r="AR7" s="4"/>
      <c r="AS7" s="33"/>
      <c r="AT7" s="4"/>
      <c r="AU7" s="1"/>
      <c r="AV7" s="1"/>
      <c r="AW7" s="1" t="s">
        <v>514</v>
      </c>
      <c r="AX7" s="4"/>
      <c r="AY7" s="1" t="s">
        <v>85</v>
      </c>
      <c r="AZ7" s="4"/>
      <c r="BA7" s="2"/>
      <c r="BB7" s="4"/>
      <c r="BC7" s="1"/>
      <c r="BD7" s="1" t="s">
        <v>191</v>
      </c>
    </row>
    <row r="8" spans="1:56" ht="15" customHeight="1" x14ac:dyDescent="0.25">
      <c r="A8" s="2">
        <v>1502</v>
      </c>
      <c r="B8" s="1" t="s">
        <v>573</v>
      </c>
      <c r="C8" s="1" t="s">
        <v>256</v>
      </c>
      <c r="D8" s="1" t="s">
        <v>82</v>
      </c>
      <c r="E8" s="4" t="s">
        <v>597</v>
      </c>
      <c r="F8" s="2">
        <v>1</v>
      </c>
      <c r="G8" s="1" t="s">
        <v>177</v>
      </c>
      <c r="H8" s="34">
        <v>45992.435613425929</v>
      </c>
      <c r="I8" s="1" t="s">
        <v>81</v>
      </c>
      <c r="J8" s="34">
        <v>45982.515509259261</v>
      </c>
      <c r="K8" s="1" t="s">
        <v>89</v>
      </c>
      <c r="L8" s="1" t="s">
        <v>47</v>
      </c>
      <c r="M8" s="2"/>
      <c r="N8" s="34"/>
      <c r="O8" s="34"/>
      <c r="P8" s="1"/>
      <c r="Q8" s="1" t="s">
        <v>81</v>
      </c>
      <c r="R8" s="34">
        <v>45992.361273148148</v>
      </c>
      <c r="S8" s="1"/>
      <c r="T8" s="4"/>
      <c r="U8" s="4"/>
      <c r="V8" s="1"/>
      <c r="W8" s="1" t="s">
        <v>63</v>
      </c>
      <c r="X8" s="1"/>
      <c r="Y8" s="2"/>
      <c r="Z8" s="1"/>
      <c r="AA8" s="1"/>
      <c r="AB8" s="1" t="s">
        <v>81</v>
      </c>
      <c r="AC8" s="34">
        <v>45992.435613425929</v>
      </c>
      <c r="AD8" s="1"/>
      <c r="AE8" s="1"/>
      <c r="AF8" s="1"/>
      <c r="AG8" s="1"/>
      <c r="AH8" s="1"/>
      <c r="AI8" s="2">
        <v>0</v>
      </c>
      <c r="AJ8" s="1"/>
      <c r="AK8" s="1"/>
      <c r="AL8" s="1"/>
      <c r="AM8" s="2"/>
      <c r="AN8" s="1"/>
      <c r="AO8" s="2">
        <v>0</v>
      </c>
      <c r="AP8" s="4"/>
      <c r="AQ8" s="7" t="s">
        <v>574</v>
      </c>
      <c r="AR8" s="4"/>
      <c r="AS8" s="34"/>
      <c r="AT8" s="4"/>
      <c r="AU8" s="1"/>
      <c r="AV8" s="1"/>
      <c r="AW8" s="1" t="s">
        <v>514</v>
      </c>
      <c r="AX8" s="4"/>
      <c r="AY8" s="1" t="s">
        <v>85</v>
      </c>
      <c r="AZ8" s="4"/>
      <c r="BA8" s="2"/>
      <c r="BB8" s="4"/>
      <c r="BC8" s="1"/>
      <c r="BD8" s="1" t="s">
        <v>191</v>
      </c>
    </row>
    <row r="9" spans="1:56" ht="15" customHeight="1" x14ac:dyDescent="0.25">
      <c r="A9" s="2">
        <v>1503</v>
      </c>
      <c r="B9" s="1" t="s">
        <v>555</v>
      </c>
      <c r="C9" s="1" t="s">
        <v>256</v>
      </c>
      <c r="D9" s="1" t="s">
        <v>89</v>
      </c>
      <c r="E9" s="4" t="s">
        <v>598</v>
      </c>
      <c r="F9" s="2">
        <v>1</v>
      </c>
      <c r="G9" s="1" t="s">
        <v>177</v>
      </c>
      <c r="H9" s="34">
        <v>45992.435497685183</v>
      </c>
      <c r="I9" s="1" t="s">
        <v>81</v>
      </c>
      <c r="J9" s="34">
        <v>45982.516030092593</v>
      </c>
      <c r="K9" s="1" t="s">
        <v>89</v>
      </c>
      <c r="L9" s="1" t="s">
        <v>47</v>
      </c>
      <c r="M9" s="2"/>
      <c r="N9" s="34"/>
      <c r="O9" s="34"/>
      <c r="P9" s="1"/>
      <c r="Q9" s="1" t="s">
        <v>81</v>
      </c>
      <c r="R9" s="34">
        <v>45992.361435185187</v>
      </c>
      <c r="S9" s="1"/>
      <c r="T9" s="4"/>
      <c r="U9" s="4"/>
      <c r="V9" s="1"/>
      <c r="W9" s="1" t="s">
        <v>63</v>
      </c>
      <c r="X9" s="1"/>
      <c r="Y9" s="2"/>
      <c r="Z9" s="1"/>
      <c r="AA9" s="1"/>
      <c r="AB9" s="1" t="s">
        <v>81</v>
      </c>
      <c r="AC9" s="34">
        <v>45992.435497685183</v>
      </c>
      <c r="AD9" s="1"/>
      <c r="AE9" s="1"/>
      <c r="AF9" s="1"/>
      <c r="AG9" s="1"/>
      <c r="AH9" s="1"/>
      <c r="AI9" s="2">
        <v>0</v>
      </c>
      <c r="AJ9" s="1"/>
      <c r="AK9" s="1"/>
      <c r="AL9" s="1"/>
      <c r="AM9" s="2"/>
      <c r="AN9" s="1"/>
      <c r="AO9" s="2">
        <v>0</v>
      </c>
      <c r="AP9" s="4"/>
      <c r="AQ9" s="7"/>
      <c r="AR9" s="4"/>
      <c r="AS9" s="34"/>
      <c r="AT9" s="4"/>
      <c r="AU9" s="1"/>
      <c r="AV9" s="1"/>
      <c r="AW9" s="1" t="s">
        <v>514</v>
      </c>
      <c r="AX9" s="4"/>
      <c r="AY9" s="1" t="s">
        <v>85</v>
      </c>
      <c r="AZ9" s="4"/>
      <c r="BA9" s="2"/>
      <c r="BB9" s="4"/>
      <c r="BC9" s="1"/>
      <c r="BD9" s="1" t="s">
        <v>191</v>
      </c>
    </row>
    <row r="10" spans="1:56" ht="15" customHeight="1" x14ac:dyDescent="0.25">
      <c r="A10" s="2">
        <v>1530</v>
      </c>
      <c r="B10" s="1" t="s">
        <v>601</v>
      </c>
      <c r="C10" s="1" t="s">
        <v>256</v>
      </c>
      <c r="D10" s="1" t="s">
        <v>91</v>
      </c>
      <c r="E10" s="4" t="s">
        <v>603</v>
      </c>
      <c r="F10" s="2">
        <v>2</v>
      </c>
      <c r="G10" s="1" t="s">
        <v>177</v>
      </c>
      <c r="H10" s="34">
        <v>45992.489895833336</v>
      </c>
      <c r="I10" s="1" t="s">
        <v>157</v>
      </c>
      <c r="J10" s="34">
        <v>45992.46974537037</v>
      </c>
      <c r="K10" s="1" t="s">
        <v>157</v>
      </c>
      <c r="L10" s="1" t="s">
        <v>47</v>
      </c>
      <c r="M10" s="2"/>
      <c r="N10" s="34"/>
      <c r="O10" s="34"/>
      <c r="P10" s="1"/>
      <c r="Q10" s="1" t="s">
        <v>157</v>
      </c>
      <c r="R10" s="34">
        <v>45992.470879629633</v>
      </c>
      <c r="S10" s="1"/>
      <c r="T10" s="4"/>
      <c r="U10" s="4"/>
      <c r="V10" s="1"/>
      <c r="W10" s="1" t="s">
        <v>63</v>
      </c>
      <c r="X10" s="1"/>
      <c r="Y10" s="2"/>
      <c r="Z10" s="1"/>
      <c r="AA10" s="1"/>
      <c r="AB10" s="1" t="s">
        <v>157</v>
      </c>
      <c r="AC10" s="34">
        <v>45992.489895833336</v>
      </c>
      <c r="AD10" s="1"/>
      <c r="AE10" s="1"/>
      <c r="AF10" s="1"/>
      <c r="AG10" s="1"/>
      <c r="AH10" s="1"/>
      <c r="AI10" s="2">
        <v>0</v>
      </c>
      <c r="AJ10" s="1"/>
      <c r="AK10" s="1"/>
      <c r="AL10" s="1"/>
      <c r="AM10" s="2"/>
      <c r="AN10" s="1"/>
      <c r="AO10" s="2">
        <v>0</v>
      </c>
      <c r="AP10" s="4"/>
      <c r="AQ10" s="7" t="s">
        <v>602</v>
      </c>
      <c r="AR10" s="4"/>
      <c r="AS10" s="34"/>
      <c r="AT10" s="4"/>
      <c r="AU10" s="1"/>
      <c r="AV10" s="1"/>
      <c r="AW10" s="1" t="s">
        <v>514</v>
      </c>
      <c r="AX10" s="4"/>
      <c r="AY10" s="1" t="s">
        <v>85</v>
      </c>
      <c r="AZ10" s="4"/>
      <c r="BA10" s="2"/>
      <c r="BB10" s="4"/>
      <c r="BC10" s="1"/>
      <c r="BD10" s="1" t="s">
        <v>191</v>
      </c>
    </row>
    <row r="11" spans="1:56" ht="15" customHeight="1" x14ac:dyDescent="0.25">
      <c r="A11" s="2">
        <v>1374</v>
      </c>
      <c r="B11" s="1" t="s">
        <v>480</v>
      </c>
      <c r="C11" s="1" t="s">
        <v>250</v>
      </c>
      <c r="D11" s="1" t="s">
        <v>82</v>
      </c>
      <c r="E11" s="4" t="s">
        <v>477</v>
      </c>
      <c r="F11" s="2">
        <v>2</v>
      </c>
      <c r="G11" s="1" t="s">
        <v>178</v>
      </c>
      <c r="H11" s="34">
        <v>45992.36246527778</v>
      </c>
      <c r="I11" s="1" t="s">
        <v>81</v>
      </c>
      <c r="J11" s="34">
        <v>45915.541620370372</v>
      </c>
      <c r="K11" s="1" t="s">
        <v>89</v>
      </c>
      <c r="L11" s="1" t="s">
        <v>47</v>
      </c>
      <c r="M11" s="2"/>
      <c r="N11" s="34"/>
      <c r="O11" s="34"/>
      <c r="P11" s="1"/>
      <c r="Q11" s="1"/>
      <c r="R11" s="34"/>
      <c r="S11" s="1"/>
      <c r="T11" s="4"/>
      <c r="U11" s="4"/>
      <c r="V11" s="1"/>
      <c r="W11" s="1" t="s">
        <v>63</v>
      </c>
      <c r="X11" s="1"/>
      <c r="Y11" s="2"/>
      <c r="Z11" s="1"/>
      <c r="AA11" s="1"/>
      <c r="AB11" s="1" t="s">
        <v>81</v>
      </c>
      <c r="AC11" s="34">
        <v>45992.36246527778</v>
      </c>
      <c r="AD11" s="1"/>
      <c r="AE11" s="1"/>
      <c r="AF11" s="1"/>
      <c r="AG11" s="1"/>
      <c r="AH11" s="1"/>
      <c r="AI11" s="2">
        <v>0</v>
      </c>
      <c r="AJ11" s="1"/>
      <c r="AK11" s="1"/>
      <c r="AL11" s="1"/>
      <c r="AM11" s="2"/>
      <c r="AN11" s="1"/>
      <c r="AO11" s="2">
        <v>3</v>
      </c>
      <c r="AP11" s="4"/>
      <c r="AQ11" s="7" t="s">
        <v>481</v>
      </c>
      <c r="AR11" s="4"/>
      <c r="AS11" s="34"/>
      <c r="AT11" s="4"/>
      <c r="AU11" s="1"/>
      <c r="AV11" s="1"/>
      <c r="AW11" s="1" t="s">
        <v>61</v>
      </c>
      <c r="AX11" s="4"/>
      <c r="AY11" s="1" t="s">
        <v>85</v>
      </c>
      <c r="AZ11" s="4"/>
      <c r="BA11" s="2"/>
      <c r="BB11" s="4"/>
      <c r="BC11" s="1"/>
      <c r="BD11" s="1" t="s">
        <v>188</v>
      </c>
    </row>
    <row r="12" spans="1:56" ht="15" customHeight="1" x14ac:dyDescent="0.25">
      <c r="A12" s="2">
        <v>1479</v>
      </c>
      <c r="B12" s="1" t="s">
        <v>537</v>
      </c>
      <c r="C12" s="1" t="s">
        <v>250</v>
      </c>
      <c r="D12" s="1" t="s">
        <v>81</v>
      </c>
      <c r="E12" s="4" t="s">
        <v>558</v>
      </c>
      <c r="F12" s="2">
        <v>2</v>
      </c>
      <c r="G12" s="1" t="s">
        <v>178</v>
      </c>
      <c r="H12" s="34">
        <v>45992.3596875</v>
      </c>
      <c r="I12" s="1" t="s">
        <v>81</v>
      </c>
      <c r="J12" s="34">
        <v>45978.522696759261</v>
      </c>
      <c r="K12" s="1" t="s">
        <v>84</v>
      </c>
      <c r="L12" s="1" t="s">
        <v>47</v>
      </c>
      <c r="M12" s="2"/>
      <c r="N12" s="34"/>
      <c r="O12" s="34"/>
      <c r="P12" s="1"/>
      <c r="Q12" s="1"/>
      <c r="R12" s="34"/>
      <c r="S12" s="1"/>
      <c r="T12" s="4"/>
      <c r="U12" s="4"/>
      <c r="V12" s="1"/>
      <c r="W12" s="1" t="s">
        <v>63</v>
      </c>
      <c r="X12" s="1"/>
      <c r="Y12" s="2"/>
      <c r="Z12" s="1"/>
      <c r="AA12" s="1"/>
      <c r="AB12" s="1" t="s">
        <v>81</v>
      </c>
      <c r="AC12" s="34">
        <v>45992.3596875</v>
      </c>
      <c r="AD12" s="1"/>
      <c r="AE12" s="1"/>
      <c r="AF12" s="1"/>
      <c r="AG12" s="1"/>
      <c r="AH12" s="1"/>
      <c r="AI12" s="2">
        <v>0</v>
      </c>
      <c r="AJ12" s="1"/>
      <c r="AK12" s="1"/>
      <c r="AL12" s="1"/>
      <c r="AM12" s="2"/>
      <c r="AN12" s="1"/>
      <c r="AO12" s="2">
        <v>3</v>
      </c>
      <c r="AP12" s="4"/>
      <c r="AQ12" s="7" t="s">
        <v>538</v>
      </c>
      <c r="AR12" s="4"/>
      <c r="AS12" s="34"/>
      <c r="AT12" s="4"/>
      <c r="AU12" s="1"/>
      <c r="AV12" s="1"/>
      <c r="AW12" s="1" t="s">
        <v>514</v>
      </c>
      <c r="AX12" s="4"/>
      <c r="AY12" s="1" t="s">
        <v>85</v>
      </c>
      <c r="AZ12" s="4"/>
      <c r="BA12" s="2"/>
      <c r="BB12" s="4"/>
      <c r="BC12" s="1"/>
      <c r="BD12" s="1" t="s">
        <v>188</v>
      </c>
    </row>
    <row r="13" spans="1:56" ht="15" customHeight="1" x14ac:dyDescent="0.25">
      <c r="A13" s="2">
        <v>1490</v>
      </c>
      <c r="B13" s="1" t="s">
        <v>540</v>
      </c>
      <c r="C13" s="1" t="s">
        <v>250</v>
      </c>
      <c r="D13" s="1" t="s">
        <v>91</v>
      </c>
      <c r="E13" s="4" t="s">
        <v>541</v>
      </c>
      <c r="F13" s="2">
        <v>2</v>
      </c>
      <c r="G13" s="1" t="s">
        <v>178</v>
      </c>
      <c r="H13" s="34">
        <v>45988.378923611112</v>
      </c>
      <c r="I13" s="1" t="s">
        <v>91</v>
      </c>
      <c r="J13" s="34">
        <v>45980.484293981484</v>
      </c>
      <c r="K13" s="1" t="s">
        <v>157</v>
      </c>
      <c r="L13" s="1" t="s">
        <v>47</v>
      </c>
      <c r="M13" s="2"/>
      <c r="N13" s="34"/>
      <c r="O13" s="34"/>
      <c r="P13" s="1"/>
      <c r="Q13" s="1"/>
      <c r="R13" s="34"/>
      <c r="S13" s="1"/>
      <c r="T13" s="4"/>
      <c r="U13" s="4"/>
      <c r="V13" s="1"/>
      <c r="W13" s="1" t="s">
        <v>63</v>
      </c>
      <c r="X13" s="1"/>
      <c r="Y13" s="2"/>
      <c r="Z13" s="1"/>
      <c r="AA13" s="1"/>
      <c r="AB13" s="1" t="s">
        <v>91</v>
      </c>
      <c r="AC13" s="34">
        <v>45988.378923611112</v>
      </c>
      <c r="AD13" s="1"/>
      <c r="AE13" s="1"/>
      <c r="AF13" s="1"/>
      <c r="AG13" s="1"/>
      <c r="AH13" s="1"/>
      <c r="AI13" s="2">
        <v>0</v>
      </c>
      <c r="AJ13" s="1"/>
      <c r="AK13" s="1"/>
      <c r="AL13" s="1"/>
      <c r="AM13" s="2"/>
      <c r="AN13" s="1"/>
      <c r="AO13" s="2">
        <v>0</v>
      </c>
      <c r="AP13" s="4"/>
      <c r="AQ13" s="7" t="s">
        <v>542</v>
      </c>
      <c r="AR13" s="4"/>
      <c r="AS13" s="34"/>
      <c r="AT13" s="4"/>
      <c r="AU13" s="1"/>
      <c r="AV13" s="1"/>
      <c r="AW13" s="1" t="s">
        <v>514</v>
      </c>
      <c r="AX13" s="4"/>
      <c r="AY13" s="1" t="s">
        <v>85</v>
      </c>
      <c r="AZ13" s="4"/>
      <c r="BA13" s="2"/>
      <c r="BB13" s="4"/>
      <c r="BC13" s="1"/>
      <c r="BD13" s="1" t="s">
        <v>188</v>
      </c>
    </row>
    <row r="14" spans="1:56" ht="15" customHeight="1" x14ac:dyDescent="0.25">
      <c r="A14" s="2">
        <v>1373</v>
      </c>
      <c r="B14" s="1" t="s">
        <v>478</v>
      </c>
      <c r="C14" s="1" t="s">
        <v>250</v>
      </c>
      <c r="D14" s="1" t="s">
        <v>82</v>
      </c>
      <c r="E14" s="4" t="s">
        <v>477</v>
      </c>
      <c r="F14" s="2">
        <v>2</v>
      </c>
      <c r="G14" s="1" t="s">
        <v>178</v>
      </c>
      <c r="H14" s="35">
        <v>45986.703379629631</v>
      </c>
      <c r="I14" s="1" t="s">
        <v>81</v>
      </c>
      <c r="J14" s="35">
        <v>45915.541087962964</v>
      </c>
      <c r="K14" s="1" t="s">
        <v>89</v>
      </c>
      <c r="L14" s="1" t="s">
        <v>47</v>
      </c>
      <c r="M14" s="2"/>
      <c r="N14" s="35"/>
      <c r="O14" s="35"/>
      <c r="P14" s="1"/>
      <c r="Q14" s="1"/>
      <c r="R14" s="35"/>
      <c r="S14" s="1"/>
      <c r="T14" s="4"/>
      <c r="U14" s="4"/>
      <c r="V14" s="1"/>
      <c r="W14" s="1" t="s">
        <v>63</v>
      </c>
      <c r="X14" s="1"/>
      <c r="Y14" s="2"/>
      <c r="Z14" s="1"/>
      <c r="AA14" s="1"/>
      <c r="AB14" s="1" t="s">
        <v>81</v>
      </c>
      <c r="AC14" s="35">
        <v>45986.703379629631</v>
      </c>
      <c r="AD14" s="1"/>
      <c r="AE14" s="1"/>
      <c r="AF14" s="1"/>
      <c r="AG14" s="1"/>
      <c r="AH14" s="1"/>
      <c r="AI14" s="2">
        <v>0</v>
      </c>
      <c r="AJ14" s="1"/>
      <c r="AK14" s="1"/>
      <c r="AL14" s="1"/>
      <c r="AM14" s="2"/>
      <c r="AN14" s="1"/>
      <c r="AO14" s="2">
        <v>3</v>
      </c>
      <c r="AP14" s="4"/>
      <c r="AQ14" s="7" t="s">
        <v>479</v>
      </c>
      <c r="AR14" s="4"/>
      <c r="AS14" s="35"/>
      <c r="AT14" s="4"/>
      <c r="AU14" s="1"/>
      <c r="AV14" s="1"/>
      <c r="AW14" s="1" t="s">
        <v>61</v>
      </c>
      <c r="AX14" s="4"/>
      <c r="AY14" s="1" t="s">
        <v>85</v>
      </c>
      <c r="AZ14" s="4"/>
      <c r="BA14" s="2"/>
      <c r="BB14" s="4"/>
      <c r="BC14" s="1"/>
      <c r="BD14" s="1" t="s">
        <v>188</v>
      </c>
    </row>
    <row r="15" spans="1:56" ht="15" customHeight="1" x14ac:dyDescent="0.25">
      <c r="A15" s="2">
        <v>1411</v>
      </c>
      <c r="B15" s="1" t="s">
        <v>505</v>
      </c>
      <c r="C15" s="1" t="s">
        <v>250</v>
      </c>
      <c r="D15" s="1" t="s">
        <v>81</v>
      </c>
      <c r="E15" s="4" t="s">
        <v>484</v>
      </c>
      <c r="F15" s="2">
        <v>2</v>
      </c>
      <c r="G15" s="1" t="s">
        <v>178</v>
      </c>
      <c r="H15" s="35">
        <v>45986.703379629631</v>
      </c>
      <c r="I15" s="1" t="s">
        <v>81</v>
      </c>
      <c r="J15" s="35">
        <v>45939.496168981481</v>
      </c>
      <c r="K15" s="1" t="s">
        <v>81</v>
      </c>
      <c r="L15" s="1" t="s">
        <v>47</v>
      </c>
      <c r="M15" s="2"/>
      <c r="N15" s="35"/>
      <c r="O15" s="35"/>
      <c r="P15" s="1"/>
      <c r="Q15" s="1"/>
      <c r="R15" s="35"/>
      <c r="S15" s="1"/>
      <c r="T15" s="4"/>
      <c r="U15" s="4"/>
      <c r="V15" s="1"/>
      <c r="W15" s="1" t="s">
        <v>63</v>
      </c>
      <c r="X15" s="1"/>
      <c r="Y15" s="2"/>
      <c r="Z15" s="1"/>
      <c r="AA15" s="1"/>
      <c r="AB15" s="1" t="s">
        <v>81</v>
      </c>
      <c r="AC15" s="35">
        <v>45986.703379629631</v>
      </c>
      <c r="AD15" s="1"/>
      <c r="AE15" s="1"/>
      <c r="AF15" s="1"/>
      <c r="AG15" s="1"/>
      <c r="AH15" s="1"/>
      <c r="AI15" s="2">
        <v>0</v>
      </c>
      <c r="AJ15" s="1"/>
      <c r="AK15" s="1"/>
      <c r="AL15" s="1"/>
      <c r="AM15" s="2"/>
      <c r="AN15" s="1"/>
      <c r="AO15" s="2">
        <v>5</v>
      </c>
      <c r="AP15" s="4"/>
      <c r="AQ15" s="7" t="s">
        <v>506</v>
      </c>
      <c r="AR15" s="4"/>
      <c r="AS15" s="35"/>
      <c r="AT15" s="4"/>
      <c r="AU15" s="1"/>
      <c r="AV15" s="1"/>
      <c r="AW15" s="1" t="s">
        <v>61</v>
      </c>
      <c r="AX15" s="4"/>
      <c r="AY15" s="1" t="s">
        <v>85</v>
      </c>
      <c r="AZ15" s="4"/>
      <c r="BA15" s="2"/>
      <c r="BB15" s="4"/>
      <c r="BC15" s="1"/>
      <c r="BD15" s="1" t="s">
        <v>188</v>
      </c>
    </row>
    <row r="16" spans="1:56" ht="15" customHeight="1" x14ac:dyDescent="0.25">
      <c r="A16" s="2">
        <v>1416</v>
      </c>
      <c r="B16" s="1" t="s">
        <v>510</v>
      </c>
      <c r="C16" s="1" t="s">
        <v>250</v>
      </c>
      <c r="D16" s="1" t="s">
        <v>82</v>
      </c>
      <c r="E16" s="4" t="s">
        <v>567</v>
      </c>
      <c r="F16" s="2">
        <v>2</v>
      </c>
      <c r="G16" s="1" t="s">
        <v>178</v>
      </c>
      <c r="H16" s="35">
        <v>45987.582418981481</v>
      </c>
      <c r="I16" s="1" t="s">
        <v>82</v>
      </c>
      <c r="J16" s="35">
        <v>45940.541562500002</v>
      </c>
      <c r="K16" s="1" t="s">
        <v>89</v>
      </c>
      <c r="L16" s="1" t="s">
        <v>47</v>
      </c>
      <c r="M16" s="2"/>
      <c r="N16" s="35"/>
      <c r="O16" s="35"/>
      <c r="P16" s="1"/>
      <c r="Q16" s="1"/>
      <c r="R16" s="35"/>
      <c r="S16" s="1"/>
      <c r="T16" s="4"/>
      <c r="U16" s="4"/>
      <c r="V16" s="1"/>
      <c r="W16" s="1" t="s">
        <v>63</v>
      </c>
      <c r="X16" s="1"/>
      <c r="Y16" s="2"/>
      <c r="Z16" s="1"/>
      <c r="AA16" s="1"/>
      <c r="AB16" s="1" t="s">
        <v>82</v>
      </c>
      <c r="AC16" s="35">
        <v>45987.582418981481</v>
      </c>
      <c r="AD16" s="1"/>
      <c r="AE16" s="1"/>
      <c r="AF16" s="1"/>
      <c r="AG16" s="1"/>
      <c r="AH16" s="1"/>
      <c r="AI16" s="2">
        <v>1</v>
      </c>
      <c r="AJ16" s="1"/>
      <c r="AK16" s="1"/>
      <c r="AL16" s="1"/>
      <c r="AM16" s="2"/>
      <c r="AN16" s="1"/>
      <c r="AO16" s="2">
        <v>1</v>
      </c>
      <c r="AP16" s="4"/>
      <c r="AQ16" s="7" t="s">
        <v>100</v>
      </c>
      <c r="AR16" s="4"/>
      <c r="AS16" s="35"/>
      <c r="AT16" s="4"/>
      <c r="AU16" s="1"/>
      <c r="AV16" s="1"/>
      <c r="AW16" s="1" t="s">
        <v>61</v>
      </c>
      <c r="AX16" s="4"/>
      <c r="AY16" s="1" t="s">
        <v>85</v>
      </c>
      <c r="AZ16" s="4"/>
      <c r="BA16" s="2"/>
      <c r="BB16" s="4"/>
      <c r="BC16" s="1"/>
      <c r="BD16" s="1" t="s">
        <v>188</v>
      </c>
    </row>
    <row r="17" spans="1:56" ht="15" customHeight="1" x14ac:dyDescent="0.25">
      <c r="A17" s="2">
        <v>1426</v>
      </c>
      <c r="B17" s="1" t="s">
        <v>512</v>
      </c>
      <c r="C17" s="1" t="s">
        <v>250</v>
      </c>
      <c r="D17" s="1" t="s">
        <v>91</v>
      </c>
      <c r="E17" s="4" t="s">
        <v>513</v>
      </c>
      <c r="F17" s="2">
        <v>2</v>
      </c>
      <c r="G17" s="1" t="s">
        <v>178</v>
      </c>
      <c r="H17" s="35">
        <v>45947.716678240744</v>
      </c>
      <c r="I17" s="1" t="s">
        <v>81</v>
      </c>
      <c r="J17" s="35">
        <v>45946.730486111112</v>
      </c>
      <c r="K17" s="1" t="s">
        <v>157</v>
      </c>
      <c r="L17" s="1" t="s">
        <v>47</v>
      </c>
      <c r="M17" s="2"/>
      <c r="N17" s="35"/>
      <c r="O17" s="35"/>
      <c r="P17" s="1"/>
      <c r="Q17" s="1"/>
      <c r="R17" s="35"/>
      <c r="S17" s="1"/>
      <c r="T17" s="4"/>
      <c r="U17" s="4"/>
      <c r="V17" s="1"/>
      <c r="W17" s="1" t="s">
        <v>63</v>
      </c>
      <c r="X17" s="1"/>
      <c r="Y17" s="2"/>
      <c r="Z17" s="1"/>
      <c r="AA17" s="1"/>
      <c r="AB17" s="1" t="s">
        <v>81</v>
      </c>
      <c r="AC17" s="35">
        <v>45947.716678240744</v>
      </c>
      <c r="AD17" s="1"/>
      <c r="AE17" s="1"/>
      <c r="AF17" s="1"/>
      <c r="AG17" s="1"/>
      <c r="AH17" s="1"/>
      <c r="AI17" s="2">
        <v>0</v>
      </c>
      <c r="AJ17" s="1"/>
      <c r="AK17" s="1"/>
      <c r="AL17" s="1"/>
      <c r="AM17" s="2"/>
      <c r="AN17" s="1"/>
      <c r="AO17" s="2">
        <v>0</v>
      </c>
      <c r="AP17" s="4"/>
      <c r="AQ17" s="7" t="s">
        <v>511</v>
      </c>
      <c r="AR17" s="4"/>
      <c r="AS17" s="35"/>
      <c r="AT17" s="4"/>
      <c r="AU17" s="1"/>
      <c r="AV17" s="1"/>
      <c r="AW17" s="1" t="s">
        <v>61</v>
      </c>
      <c r="AX17" s="4"/>
      <c r="AY17" s="1" t="s">
        <v>85</v>
      </c>
      <c r="AZ17" s="4"/>
      <c r="BA17" s="2"/>
      <c r="BB17" s="4"/>
      <c r="BC17" s="1"/>
      <c r="BD17" s="1" t="s">
        <v>188</v>
      </c>
    </row>
    <row r="18" spans="1:56" ht="15" customHeight="1" x14ac:dyDescent="0.25">
      <c r="A18" s="2">
        <v>1485</v>
      </c>
      <c r="B18" s="1" t="s">
        <v>556</v>
      </c>
      <c r="C18" s="1" t="s">
        <v>250</v>
      </c>
      <c r="D18" s="1" t="s">
        <v>94</v>
      </c>
      <c r="E18" s="4" t="s">
        <v>568</v>
      </c>
      <c r="F18" s="2">
        <v>2</v>
      </c>
      <c r="G18" s="1" t="s">
        <v>178</v>
      </c>
      <c r="H18" s="37">
        <v>45988.664525462962</v>
      </c>
      <c r="I18" s="1" t="s">
        <v>81</v>
      </c>
      <c r="J18" s="37">
        <v>45979.621921296297</v>
      </c>
      <c r="K18" s="1" t="s">
        <v>94</v>
      </c>
      <c r="L18" s="1" t="s">
        <v>47</v>
      </c>
      <c r="M18" s="2"/>
      <c r="N18" s="37"/>
      <c r="O18" s="37"/>
      <c r="P18" s="1"/>
      <c r="Q18" s="1"/>
      <c r="R18" s="37"/>
      <c r="S18" s="1"/>
      <c r="T18" s="4"/>
      <c r="U18" s="4"/>
      <c r="V18" s="1"/>
      <c r="W18" s="1" t="s">
        <v>63</v>
      </c>
      <c r="X18" s="1"/>
      <c r="Y18" s="2"/>
      <c r="Z18" s="1"/>
      <c r="AA18" s="1"/>
      <c r="AB18" s="1" t="s">
        <v>81</v>
      </c>
      <c r="AC18" s="37">
        <v>45988.664525462962</v>
      </c>
      <c r="AD18" s="1"/>
      <c r="AE18" s="1"/>
      <c r="AF18" s="1"/>
      <c r="AG18" s="1"/>
      <c r="AH18" s="1"/>
      <c r="AI18" s="2">
        <v>0</v>
      </c>
      <c r="AJ18" s="1"/>
      <c r="AK18" s="1"/>
      <c r="AL18" s="1"/>
      <c r="AM18" s="2"/>
      <c r="AN18" s="1"/>
      <c r="AO18" s="2">
        <v>1</v>
      </c>
      <c r="AP18" s="4"/>
      <c r="AQ18" s="7" t="s">
        <v>586</v>
      </c>
      <c r="AR18" s="4"/>
      <c r="AS18" s="37"/>
      <c r="AT18" s="4"/>
      <c r="AU18" s="1"/>
      <c r="AV18" s="1"/>
      <c r="AW18" s="1" t="s">
        <v>514</v>
      </c>
      <c r="AX18" s="4"/>
      <c r="AY18" s="1" t="s">
        <v>85</v>
      </c>
      <c r="AZ18" s="4"/>
      <c r="BA18" s="2"/>
      <c r="BB18" s="4"/>
      <c r="BC18" s="1"/>
      <c r="BD18" s="1" t="s">
        <v>188</v>
      </c>
    </row>
    <row r="19" spans="1:56" ht="15" customHeight="1" x14ac:dyDescent="0.25">
      <c r="A19" s="2">
        <v>1494</v>
      </c>
      <c r="B19" s="1" t="s">
        <v>545</v>
      </c>
      <c r="C19" s="1" t="s">
        <v>250</v>
      </c>
      <c r="D19" s="1" t="s">
        <v>82</v>
      </c>
      <c r="E19" s="4" t="s">
        <v>546</v>
      </c>
      <c r="F19" s="2">
        <v>2</v>
      </c>
      <c r="G19" s="1" t="s">
        <v>178</v>
      </c>
      <c r="H19" s="37">
        <v>45987.551388888889</v>
      </c>
      <c r="I19" s="1" t="s">
        <v>82</v>
      </c>
      <c r="J19" s="37">
        <v>45980.751504629632</v>
      </c>
      <c r="K19" s="1" t="s">
        <v>82</v>
      </c>
      <c r="L19" s="1" t="s">
        <v>47</v>
      </c>
      <c r="M19" s="2"/>
      <c r="N19" s="37"/>
      <c r="O19" s="37"/>
      <c r="P19" s="1"/>
      <c r="Q19" s="1"/>
      <c r="R19" s="37"/>
      <c r="S19" s="1"/>
      <c r="T19" s="4"/>
      <c r="U19" s="4"/>
      <c r="V19" s="1"/>
      <c r="W19" s="1" t="s">
        <v>63</v>
      </c>
      <c r="X19" s="1"/>
      <c r="Y19" s="2"/>
      <c r="Z19" s="1"/>
      <c r="AA19" s="1"/>
      <c r="AB19" s="1" t="s">
        <v>82</v>
      </c>
      <c r="AC19" s="37">
        <v>45987.551388888889</v>
      </c>
      <c r="AD19" s="1"/>
      <c r="AE19" s="1"/>
      <c r="AF19" s="1"/>
      <c r="AG19" s="1"/>
      <c r="AH19" s="1"/>
      <c r="AI19" s="2">
        <v>1</v>
      </c>
      <c r="AJ19" s="1"/>
      <c r="AK19" s="1"/>
      <c r="AL19" s="1"/>
      <c r="AM19" s="2"/>
      <c r="AN19" s="1"/>
      <c r="AO19" s="2">
        <v>2</v>
      </c>
      <c r="AP19" s="4"/>
      <c r="AQ19" s="7" t="s">
        <v>100</v>
      </c>
      <c r="AR19" s="4"/>
      <c r="AS19" s="37"/>
      <c r="AT19" s="4"/>
      <c r="AU19" s="1"/>
      <c r="AV19" s="1"/>
      <c r="AW19" s="1" t="s">
        <v>514</v>
      </c>
      <c r="AX19" s="4"/>
      <c r="AY19" s="1" t="s">
        <v>85</v>
      </c>
      <c r="AZ19" s="4"/>
      <c r="BA19" s="2"/>
      <c r="BB19" s="4"/>
      <c r="BC19" s="1"/>
      <c r="BD19" s="1" t="s">
        <v>188</v>
      </c>
    </row>
    <row r="20" spans="1:56" ht="15" customHeight="1" x14ac:dyDescent="0.25">
      <c r="A20" s="2">
        <v>1363</v>
      </c>
      <c r="B20" s="1" t="s">
        <v>473</v>
      </c>
      <c r="C20" s="1" t="s">
        <v>250</v>
      </c>
      <c r="D20" s="1" t="s">
        <v>82</v>
      </c>
      <c r="E20" s="4" t="s">
        <v>577</v>
      </c>
      <c r="F20" s="2">
        <v>2</v>
      </c>
      <c r="G20" s="1" t="s">
        <v>178</v>
      </c>
      <c r="H20" s="37">
        <v>45992.479618055557</v>
      </c>
      <c r="I20" s="1" t="s">
        <v>82</v>
      </c>
      <c r="J20" s="37">
        <v>45910.578460648147</v>
      </c>
      <c r="K20" s="1" t="s">
        <v>157</v>
      </c>
      <c r="L20" s="1" t="s">
        <v>47</v>
      </c>
      <c r="M20" s="2"/>
      <c r="N20" s="37"/>
      <c r="O20" s="37"/>
      <c r="P20" s="1"/>
      <c r="Q20" s="1"/>
      <c r="R20" s="37"/>
      <c r="S20" s="1"/>
      <c r="T20" s="4"/>
      <c r="U20" s="4"/>
      <c r="V20" s="1"/>
      <c r="W20" s="1" t="s">
        <v>63</v>
      </c>
      <c r="X20" s="1"/>
      <c r="Y20" s="2"/>
      <c r="Z20" s="1"/>
      <c r="AA20" s="1"/>
      <c r="AB20" s="1" t="s">
        <v>82</v>
      </c>
      <c r="AC20" s="37">
        <v>45992.479618055557</v>
      </c>
      <c r="AD20" s="1"/>
      <c r="AE20" s="1"/>
      <c r="AF20" s="1"/>
      <c r="AG20" s="1"/>
      <c r="AH20" s="1"/>
      <c r="AI20" s="2">
        <v>1</v>
      </c>
      <c r="AJ20" s="1"/>
      <c r="AK20" s="1"/>
      <c r="AL20" s="1"/>
      <c r="AM20" s="2"/>
      <c r="AN20" s="1"/>
      <c r="AO20" s="2">
        <v>5</v>
      </c>
      <c r="AP20" s="4"/>
      <c r="AQ20" s="7" t="s">
        <v>474</v>
      </c>
      <c r="AR20" s="4"/>
      <c r="AS20" s="37"/>
      <c r="AT20" s="4"/>
      <c r="AU20" s="1"/>
      <c r="AV20" s="1"/>
      <c r="AW20" s="1" t="s">
        <v>61</v>
      </c>
      <c r="AX20" s="4"/>
      <c r="AY20" s="1" t="s">
        <v>85</v>
      </c>
      <c r="AZ20" s="4"/>
      <c r="BA20" s="2"/>
      <c r="BB20" s="4"/>
      <c r="BC20" s="1"/>
      <c r="BD20" s="1" t="s">
        <v>188</v>
      </c>
    </row>
    <row r="21" spans="1:56" ht="15" customHeight="1" x14ac:dyDescent="0.25">
      <c r="A21" s="2">
        <v>1508</v>
      </c>
      <c r="B21" s="1" t="s">
        <v>585</v>
      </c>
      <c r="C21" s="1" t="s">
        <v>250</v>
      </c>
      <c r="D21" s="1" t="s">
        <v>89</v>
      </c>
      <c r="E21" s="4" t="s">
        <v>566</v>
      </c>
      <c r="F21" s="2">
        <v>2</v>
      </c>
      <c r="G21" s="1" t="s">
        <v>178</v>
      </c>
      <c r="H21" s="37">
        <v>45988.560798611114</v>
      </c>
      <c r="I21" s="1" t="s">
        <v>91</v>
      </c>
      <c r="J21" s="37">
        <v>45985.571712962963</v>
      </c>
      <c r="K21" s="1" t="s">
        <v>89</v>
      </c>
      <c r="L21" s="1" t="s">
        <v>47</v>
      </c>
      <c r="M21" s="2"/>
      <c r="N21" s="37"/>
      <c r="O21" s="37"/>
      <c r="P21" s="1"/>
      <c r="Q21" s="1"/>
      <c r="R21" s="37"/>
      <c r="S21" s="1"/>
      <c r="T21" s="4"/>
      <c r="U21" s="4"/>
      <c r="V21" s="1"/>
      <c r="W21" s="1" t="s">
        <v>63</v>
      </c>
      <c r="X21" s="1"/>
      <c r="Y21" s="2"/>
      <c r="Z21" s="1"/>
      <c r="AA21" s="1"/>
      <c r="AB21" s="1" t="s">
        <v>91</v>
      </c>
      <c r="AC21" s="37">
        <v>45988.560798611114</v>
      </c>
      <c r="AD21" s="1"/>
      <c r="AE21" s="1"/>
      <c r="AF21" s="1"/>
      <c r="AG21" s="1"/>
      <c r="AH21" s="1"/>
      <c r="AI21" s="2">
        <v>1</v>
      </c>
      <c r="AJ21" s="1"/>
      <c r="AK21" s="1"/>
      <c r="AL21" s="1"/>
      <c r="AM21" s="2"/>
      <c r="AN21" s="1"/>
      <c r="AO21" s="2">
        <v>1</v>
      </c>
      <c r="AP21" s="4"/>
      <c r="AQ21" s="7" t="s">
        <v>557</v>
      </c>
      <c r="AR21" s="4"/>
      <c r="AS21" s="37"/>
      <c r="AT21" s="4"/>
      <c r="AU21" s="1"/>
      <c r="AV21" s="1"/>
      <c r="AW21" s="1" t="s">
        <v>514</v>
      </c>
      <c r="AX21" s="4"/>
      <c r="AY21" s="1" t="s">
        <v>85</v>
      </c>
      <c r="AZ21" s="4"/>
      <c r="BA21" s="2"/>
      <c r="BB21" s="4"/>
      <c r="BC21" s="1"/>
      <c r="BD21" s="1" t="s">
        <v>188</v>
      </c>
    </row>
    <row r="22" spans="1:56" ht="15" customHeight="1" x14ac:dyDescent="0.25">
      <c r="A22" s="2">
        <v>1516</v>
      </c>
      <c r="B22" s="1" t="s">
        <v>563</v>
      </c>
      <c r="C22" s="1" t="s">
        <v>250</v>
      </c>
      <c r="D22" s="1" t="s">
        <v>84</v>
      </c>
      <c r="E22" s="4" t="s">
        <v>569</v>
      </c>
      <c r="F22" s="2">
        <v>2</v>
      </c>
      <c r="G22" s="1" t="s">
        <v>178</v>
      </c>
      <c r="H22" s="37">
        <v>45986.693807870368</v>
      </c>
      <c r="I22" s="1" t="s">
        <v>81</v>
      </c>
      <c r="J22" s="37">
        <v>45986.447928240741</v>
      </c>
      <c r="K22" s="1" t="s">
        <v>84</v>
      </c>
      <c r="L22" s="1" t="s">
        <v>47</v>
      </c>
      <c r="M22" s="2"/>
      <c r="N22" s="37"/>
      <c r="O22" s="37"/>
      <c r="P22" s="1"/>
      <c r="Q22" s="1"/>
      <c r="R22" s="37"/>
      <c r="S22" s="1"/>
      <c r="T22" s="4"/>
      <c r="U22" s="4"/>
      <c r="V22" s="1"/>
      <c r="W22" s="1" t="s">
        <v>63</v>
      </c>
      <c r="X22" s="1"/>
      <c r="Y22" s="2"/>
      <c r="Z22" s="1"/>
      <c r="AA22" s="1"/>
      <c r="AB22" s="1" t="s">
        <v>81</v>
      </c>
      <c r="AC22" s="37">
        <v>45986.693807870368</v>
      </c>
      <c r="AD22" s="1"/>
      <c r="AE22" s="1"/>
      <c r="AF22" s="1"/>
      <c r="AG22" s="1"/>
      <c r="AH22" s="1"/>
      <c r="AI22" s="2">
        <v>1</v>
      </c>
      <c r="AJ22" s="1"/>
      <c r="AK22" s="1"/>
      <c r="AL22" s="1"/>
      <c r="AM22" s="2"/>
      <c r="AN22" s="1"/>
      <c r="AO22" s="2">
        <v>2</v>
      </c>
      <c r="AP22" s="4"/>
      <c r="AQ22" s="7" t="s">
        <v>564</v>
      </c>
      <c r="AR22" s="4"/>
      <c r="AS22" s="37"/>
      <c r="AT22" s="4"/>
      <c r="AU22" s="1"/>
      <c r="AV22" s="1"/>
      <c r="AW22" s="1" t="s">
        <v>514</v>
      </c>
      <c r="AX22" s="4"/>
      <c r="AY22" s="1" t="s">
        <v>85</v>
      </c>
      <c r="AZ22" s="4"/>
      <c r="BA22" s="2"/>
      <c r="BB22" s="4"/>
      <c r="BC22" s="1"/>
      <c r="BD22" s="1" t="s">
        <v>188</v>
      </c>
    </row>
    <row r="23" spans="1:56" ht="15" customHeight="1" x14ac:dyDescent="0.25">
      <c r="A23" s="2">
        <v>1518</v>
      </c>
      <c r="B23" s="1" t="s">
        <v>565</v>
      </c>
      <c r="C23" s="1" t="s">
        <v>250</v>
      </c>
      <c r="D23" s="1" t="s">
        <v>89</v>
      </c>
      <c r="E23" s="4" t="s">
        <v>566</v>
      </c>
      <c r="F23" s="2">
        <v>2</v>
      </c>
      <c r="G23" s="1" t="s">
        <v>178</v>
      </c>
      <c r="H23" s="37">
        <v>45986.697141203702</v>
      </c>
      <c r="I23" s="1" t="s">
        <v>81</v>
      </c>
      <c r="J23" s="37">
        <v>45986.64607638889</v>
      </c>
      <c r="K23" s="1" t="s">
        <v>89</v>
      </c>
      <c r="L23" s="1" t="s">
        <v>47</v>
      </c>
      <c r="M23" s="2"/>
      <c r="N23" s="37"/>
      <c r="O23" s="37"/>
      <c r="P23" s="1"/>
      <c r="Q23" s="1"/>
      <c r="R23" s="37"/>
      <c r="S23" s="1"/>
      <c r="T23" s="4"/>
      <c r="U23" s="4"/>
      <c r="V23" s="1"/>
      <c r="W23" s="1" t="s">
        <v>63</v>
      </c>
      <c r="X23" s="1"/>
      <c r="Y23" s="2"/>
      <c r="Z23" s="1"/>
      <c r="AA23" s="1"/>
      <c r="AB23" s="1" t="s">
        <v>81</v>
      </c>
      <c r="AC23" s="37">
        <v>45986.697141203702</v>
      </c>
      <c r="AD23" s="1"/>
      <c r="AE23" s="1"/>
      <c r="AF23" s="1"/>
      <c r="AG23" s="1"/>
      <c r="AH23" s="1"/>
      <c r="AI23" s="2">
        <v>1</v>
      </c>
      <c r="AJ23" s="1"/>
      <c r="AK23" s="1"/>
      <c r="AL23" s="1"/>
      <c r="AM23" s="2"/>
      <c r="AN23" s="1"/>
      <c r="AO23" s="2">
        <v>0</v>
      </c>
      <c r="AP23" s="4"/>
      <c r="AQ23" s="7"/>
      <c r="AR23" s="4"/>
      <c r="AS23" s="37"/>
      <c r="AT23" s="4"/>
      <c r="AU23" s="1"/>
      <c r="AV23" s="1"/>
      <c r="AW23" s="1" t="s">
        <v>514</v>
      </c>
      <c r="AX23" s="4"/>
      <c r="AY23" s="1" t="s">
        <v>85</v>
      </c>
      <c r="AZ23" s="4"/>
      <c r="BA23" s="2"/>
      <c r="BB23" s="4"/>
      <c r="BC23" s="1"/>
      <c r="BD23" s="1" t="s">
        <v>188</v>
      </c>
    </row>
    <row r="24" spans="1:56" ht="15" customHeight="1" x14ac:dyDescent="0.25">
      <c r="A24" s="2">
        <v>1521</v>
      </c>
      <c r="B24" s="1" t="s">
        <v>587</v>
      </c>
      <c r="C24" s="1" t="s">
        <v>250</v>
      </c>
      <c r="D24" s="1" t="s">
        <v>84</v>
      </c>
      <c r="E24" s="4" t="s">
        <v>591</v>
      </c>
      <c r="F24" s="2">
        <v>2</v>
      </c>
      <c r="G24" s="1" t="s">
        <v>178</v>
      </c>
      <c r="H24" s="37">
        <v>45989.448854166665</v>
      </c>
      <c r="I24" s="1" t="s">
        <v>81</v>
      </c>
      <c r="J24" s="37">
        <v>45987.535185185188</v>
      </c>
      <c r="K24" s="1" t="s">
        <v>84</v>
      </c>
      <c r="L24" s="1" t="s">
        <v>47</v>
      </c>
      <c r="M24" s="2"/>
      <c r="N24" s="37"/>
      <c r="O24" s="37"/>
      <c r="P24" s="1"/>
      <c r="Q24" s="1"/>
      <c r="R24" s="37"/>
      <c r="S24" s="1"/>
      <c r="T24" s="4"/>
      <c r="U24" s="4"/>
      <c r="V24" s="1"/>
      <c r="W24" s="1" t="s">
        <v>63</v>
      </c>
      <c r="X24" s="1"/>
      <c r="Y24" s="2"/>
      <c r="Z24" s="1"/>
      <c r="AA24" s="1"/>
      <c r="AB24" s="1" t="s">
        <v>81</v>
      </c>
      <c r="AC24" s="37">
        <v>45989.448854166665</v>
      </c>
      <c r="AD24" s="1"/>
      <c r="AE24" s="1"/>
      <c r="AF24" s="1"/>
      <c r="AG24" s="1"/>
      <c r="AH24" s="1"/>
      <c r="AI24" s="2">
        <v>1</v>
      </c>
      <c r="AJ24" s="1"/>
      <c r="AK24" s="1"/>
      <c r="AL24" s="1"/>
      <c r="AM24" s="2"/>
      <c r="AN24" s="1"/>
      <c r="AO24" s="2">
        <v>1</v>
      </c>
      <c r="AP24" s="4"/>
      <c r="AQ24" s="7" t="s">
        <v>588</v>
      </c>
      <c r="AR24" s="4"/>
      <c r="AS24" s="37"/>
      <c r="AT24" s="4"/>
      <c r="AU24" s="1"/>
      <c r="AV24" s="1"/>
      <c r="AW24" s="1" t="s">
        <v>514</v>
      </c>
      <c r="AX24" s="4"/>
      <c r="AY24" s="1" t="s">
        <v>85</v>
      </c>
      <c r="AZ24" s="4"/>
      <c r="BA24" s="2"/>
      <c r="BB24" s="4"/>
      <c r="BC24" s="1"/>
      <c r="BD24" s="1" t="s">
        <v>185</v>
      </c>
    </row>
    <row r="29" spans="1:56" ht="15" customHeight="1" x14ac:dyDescent="0.25">
      <c r="B29" s="18"/>
      <c r="D29" s="9"/>
      <c r="E29" s="9"/>
      <c r="F29" s="9"/>
      <c r="G29" s="9"/>
      <c r="H29" s="9"/>
      <c r="I29" s="9"/>
      <c r="J29" s="9"/>
      <c r="L29" s="9"/>
      <c r="M29" s="9"/>
      <c r="N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row>
    <row r="30" spans="1:56" ht="15" customHeight="1" x14ac:dyDescent="0.25">
      <c r="B30" s="1"/>
      <c r="D30" s="1"/>
      <c r="E30" s="1"/>
      <c r="F30" s="1"/>
      <c r="G30" s="1"/>
      <c r="H30" s="1"/>
      <c r="I30" s="1"/>
      <c r="J30" s="1"/>
      <c r="L30" s="1"/>
      <c r="M30" s="1"/>
      <c r="N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row>
    <row r="31" spans="1:56" ht="15" customHeight="1" x14ac:dyDescent="0.25">
      <c r="B31" s="2"/>
      <c r="D31" s="2"/>
      <c r="E31" s="1"/>
      <c r="F31" s="1"/>
      <c r="G31" s="1"/>
      <c r="H31" s="1"/>
      <c r="I31" s="1"/>
      <c r="J31" s="17"/>
      <c r="L31" s="1"/>
      <c r="M31" s="17"/>
      <c r="N31" s="1"/>
      <c r="P31" s="2"/>
      <c r="Q31" s="17"/>
      <c r="R31" s="4"/>
      <c r="S31" s="17"/>
      <c r="T31" s="1"/>
      <c r="U31" s="1"/>
      <c r="V31" s="17"/>
      <c r="W31" s="1"/>
      <c r="X31" s="4"/>
      <c r="Y31" s="4"/>
      <c r="Z31" s="1"/>
      <c r="AA31" s="1"/>
      <c r="AB31" s="1"/>
      <c r="AC31" s="2"/>
      <c r="AD31" s="1"/>
      <c r="AE31" s="1"/>
      <c r="AF31" s="1"/>
      <c r="AG31" s="17"/>
      <c r="AH31" s="1"/>
      <c r="AI31" s="1"/>
      <c r="AJ31" s="1"/>
      <c r="AK31" s="1"/>
      <c r="AL31" s="1"/>
      <c r="AM31" s="2"/>
      <c r="AN31" s="1"/>
      <c r="AO31" s="1"/>
      <c r="AP31" s="1"/>
      <c r="AQ31" s="2"/>
      <c r="AR31" s="1"/>
      <c r="AS31" s="2"/>
      <c r="AT31" s="4"/>
      <c r="AU31" s="7"/>
      <c r="AV31" s="4"/>
      <c r="AW31" s="17"/>
      <c r="AX31" s="4"/>
      <c r="AY31" s="1"/>
      <c r="AZ31" s="1"/>
      <c r="BA31" s="1"/>
      <c r="BB31" s="4"/>
      <c r="BC31" s="1"/>
      <c r="BD31" s="4"/>
    </row>
    <row r="32" spans="1:56" ht="15" customHeight="1" x14ac:dyDescent="0.25">
      <c r="B32" s="2"/>
      <c r="D32" s="2"/>
      <c r="E32" s="1"/>
      <c r="F32" s="1"/>
      <c r="G32" s="1"/>
      <c r="H32" s="1"/>
      <c r="I32" s="1"/>
      <c r="J32" s="17"/>
      <c r="L32" s="1"/>
      <c r="M32" s="17"/>
      <c r="N32" s="1"/>
      <c r="P32" s="2"/>
      <c r="Q32" s="17"/>
      <c r="R32" s="4"/>
      <c r="S32" s="17"/>
      <c r="T32" s="1"/>
      <c r="U32" s="1"/>
      <c r="V32" s="17"/>
      <c r="W32" s="1"/>
      <c r="X32" s="4"/>
      <c r="Y32" s="4"/>
      <c r="Z32" s="1"/>
      <c r="AA32" s="1"/>
      <c r="AB32" s="1"/>
      <c r="AC32" s="2"/>
      <c r="AD32" s="1"/>
      <c r="AE32" s="1"/>
      <c r="AF32" s="1"/>
      <c r="AG32" s="17"/>
      <c r="AH32" s="1"/>
      <c r="AI32" s="1"/>
      <c r="AJ32" s="1"/>
      <c r="AK32" s="1"/>
      <c r="AL32" s="1"/>
      <c r="AM32" s="2"/>
      <c r="AN32" s="1"/>
      <c r="AO32" s="1"/>
      <c r="AP32" s="1"/>
      <c r="AQ32" s="2"/>
      <c r="AR32" s="1"/>
      <c r="AS32" s="2"/>
      <c r="AT32" s="4"/>
      <c r="AU32" s="7"/>
      <c r="AV32" s="4"/>
      <c r="AW32" s="17"/>
      <c r="AX32" s="4"/>
      <c r="AY32" s="1"/>
      <c r="AZ32" s="1"/>
      <c r="BA32" s="1"/>
      <c r="BB32" s="4"/>
      <c r="BC32" s="1"/>
      <c r="BD32" s="4"/>
    </row>
    <row r="91" spans="57:57" ht="15" customHeight="1" x14ac:dyDescent="0.25">
      <c r="BE91" s="9"/>
    </row>
    <row r="92" spans="57:57" ht="15" customHeight="1" x14ac:dyDescent="0.25">
      <c r="BE92" s="1"/>
    </row>
    <row r="93" spans="57:57" ht="15" customHeight="1" x14ac:dyDescent="0.25">
      <c r="BE93" s="2"/>
    </row>
    <row r="94" spans="57:57" ht="15" customHeight="1" x14ac:dyDescent="0.25">
      <c r="BE94" s="2"/>
    </row>
    <row r="107" spans="58:60" ht="15" customHeight="1" x14ac:dyDescent="0.25">
      <c r="BH107" s="9"/>
    </row>
    <row r="108" spans="58:60" ht="15" customHeight="1" x14ac:dyDescent="0.25">
      <c r="BG108" s="9"/>
      <c r="BH108" s="1"/>
    </row>
    <row r="109" spans="58:60" ht="15" customHeight="1" x14ac:dyDescent="0.25">
      <c r="BF109" s="9"/>
      <c r="BG109" s="1"/>
      <c r="BH109" s="1"/>
    </row>
    <row r="110" spans="58:60" ht="15" customHeight="1" x14ac:dyDescent="0.25">
      <c r="BF110" s="1"/>
      <c r="BG110" s="1"/>
      <c r="BH110" s="1"/>
    </row>
    <row r="111" spans="58:60" ht="15" customHeight="1" x14ac:dyDescent="0.25">
      <c r="BF111" s="4"/>
      <c r="BG111" s="1"/>
    </row>
    <row r="112" spans="58:60" ht="15" customHeight="1" x14ac:dyDescent="0.25">
      <c r="BF112" s="4"/>
    </row>
  </sheetData>
  <dataValidations count="170">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2" xr:uid="{5474BDAD-DF80-481E-AC11-02106C06976B}">
      <formula1>"ID"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2" xr:uid="{8F7D6399-F687-44B8-AD4F-DCF286EBC93F}">
      <formula1>"Title"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C2" xr:uid="{30FB8777-733C-4A23-8CCE-DBC7F65B84FD}">
      <formula1>"Board Column"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D2" xr:uid="{00A11F78-940E-4BB1-B179-1A51C2D6FBD2}">
      <formula1>"Assigned To"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E2" xr:uid="{20D43E81-7CF6-4080-A99E-AE98FCDC9C31}">
      <formula1>"Tags"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F2" xr:uid="{90AB76D6-FA3D-49BD-9E70-4B0F52DC6DFA}">
      <formula1>"Priority"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G2" xr:uid="{78CBD501-FA06-4EEF-801E-B9865D7C7507}">
      <formula1>"State"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H2" xr:uid="{C29312C1-1238-416B-932F-533EA3120C9E}">
      <formula1>"Changed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I2" xr:uid="{20AC69E5-1810-4D57-AB31-8948A6C58497}">
      <formula1>"Changed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J2" xr:uid="{C36E810B-AE18-4E7E-B91B-EB576E1623CE}">
      <formula1>"Created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K2" xr:uid="{D897B834-BE27-4781-A3EC-6D3D5FBDE608}">
      <formula1>"Created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L2" xr:uid="{4FFF7875-64D1-48BF-AD5E-B5E67D1A6903}">
      <formula1>"Work Item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M2" xr:uid="{CF3A094C-92E3-4AA4-B9A3-0A660175319C}">
      <formula1>"State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N2" xr:uid="{D4460DF0-8B48-432A-ABFF-1C966D39AA5B}">
      <formula1>"Closed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O2" xr:uid="{3DCC89DB-4C09-41A9-9725-AFA2A0075A11}">
      <formula1>"Accepted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P2" xr:uid="{F30C907B-DF8C-4AE9-B9C2-C4058AEC4A78}">
      <formula1>"Accepted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Q2" xr:uid="{2290AB19-1EE5-41AC-BC95-9D69CF8D9789}">
      <formula1>"Activated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R2" xr:uid="{7F45FBE6-B2EC-4112-BF50-9C332E1345C9}">
      <formula1>"Activated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S2" xr:uid="{B5507776-2635-4E96-BDC7-B39DCE45BD3A}">
      <formula1>"Activity"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T2" xr:uid="{C636FD56-A39A-4E87-A73D-4F296C416734}">
      <formula1>"Application Launch Instructions"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U2" xr:uid="{98EFADE7-7DF0-416B-B70F-1E2172BE80A0}">
      <formula1>"Application Start Information"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V2" xr:uid="{E50C8BEF-667F-453A-991E-4965FC7A5F05}">
      <formula1>"Application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W2" xr:uid="{A52405C7-F936-491F-B220-FA5873A9CCCB}">
      <formula1>"Area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X2" xr:uid="{203D5940-1EAF-421E-9789-0784B5EF0BD0}">
      <formula1>"Associated Context"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Y2" xr:uid="{BA562668-6395-47AC-AB35-448CE21DA8FB}">
      <formula1>"Associated Context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Z2" xr:uid="{7549D2CB-0BB1-4634-87AE-ACAE3A0E0787}">
      <formula1>"Associated Context Owner"</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A2" xr:uid="{9084C20C-146C-40BD-9ACB-9A5A058EC31B}">
      <formula1>"Associated Context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B2" xr:uid="{021900E1-6E6B-4E76-8702-CA875741C5CD}">
      <formula1>"Authorized As"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C2" xr:uid="{5803D6A6-955F-4DDC-B7D9-C8CAA09043BB}">
      <formula1>"Authorized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D2" xr:uid="{0661B2D5-FE11-425C-A1FE-27CF32867985}">
      <formula1>"Automated Test 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E2" xr:uid="{A22C0595-EBAE-41D3-B821-556187928E8F}">
      <formula1>"Automated Test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F2" xr:uid="{B4B48A51-446F-40A9-AFE8-9452B6182217}">
      <formula1>"Automated Test Storage"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G2" xr:uid="{CEFB3E64-B715-49AE-9995-97BB03CB138F}">
      <formula1>"Automated Test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H2" xr:uid="{DF5B0E85-1512-4F01-B372-6A6C5205DBD3}">
      <formula1>"Automation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I2" xr:uid="{FFB97BBD-09DD-4DDA-80EF-7A11189163A1}">
      <formula1>"Board Column Done"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J2" xr:uid="{85E2D107-26AA-4CBA-A65F-9812FFAC86F1}">
      <formula1>"Board Lane"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K2" xr:uid="{49B0C5E0-4E78-47E1-AF92-F325A46738F6}">
      <formula1>"Closed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L2" xr:uid="{53E8E2D2-CE47-4ED4-AF32-24AECC9F2F5D}">
      <formula1>"Closed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M2" xr:uid="{E230201A-B494-4D58-BCB5-A226CD0C8439}">
      <formula1>"Closed Status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N2" xr:uid="{6649447F-2E4E-4DA8-A046-F0F95B6A6DC5}">
      <formula1>"Closing Comment"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O2" xr:uid="{0808B06E-6F05-4A40-A1A6-CFEB5FA757F2}">
      <formula1>"Comment Count"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P2" xr:uid="{9BDF03F0-83B2-4219-9813-7396E623564C}">
      <formula1>"Completed Work"</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Q2" xr:uid="{54FEC90E-3712-4BFA-8AB3-088936A9D6FF}">
      <formula1>"Description"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R2" xr:uid="{01FC170C-1676-4E27-A429-7C617EAFA653}">
      <formula1>"Effort"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S2" xr:uid="{CB307DD4-FCBB-4856-8C3B-6EB448FD69AC}">
      <formula1>"Finish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T2" xr:uid="{5A4428FE-1EAC-477E-9A39-1CA11FFFBB33}">
      <formula1>"History"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U2" xr:uid="{81BDCAAC-4AFE-4B9F-8A62-06DF843E75B3}">
      <formula1>"Integration Build"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V2" xr:uid="{0F53DAE3-D6FC-4686-8029-48BA2498BD86}">
      <formula1>"Issue"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W2" xr:uid="{04A29EA0-73CC-4F75-9A63-65C2A5B9C86F}">
      <formula1>"Iteration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X2" xr:uid="{CC3A3E6A-1DD9-4DBE-890E-6F2CD41C6640}">
      <formula1>"Local Data Source"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Y2" xr:uid="{79A8E271-8795-4099-80BD-2F264661003C}">
      <formula1>"Node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Z2" xr:uid="{A9249712-0FF6-4C65-A4E4-0837100D9F69}">
      <formula1>"Parameters"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2" xr:uid="{6EFE9DA4-FE11-4C3B-B2D2-B4371EFEE533}">
      <formula1>"Parent"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B2" xr:uid="{791E6D57-CA1A-47F0-BA1B-90F8336E80C2}">
      <formula1>"Query 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C2" xr:uid="{0FACD757-1AAB-44BB-92FC-A109B09F6676}">
      <formula1>"Rating"</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D2" xr:uid="{606C0475-87BE-4FCA-9EA0-30AD2BE9F05E}">
      <formula1>"Reason"</formula1>
    </dataValidation>
    <dataValidation type="textLength" showInputMessage="1" sqref="B3 B21 B12:B19 B6:B8" xr:uid="{43909E9E-DA5E-43E5-80DE-F3D4C61E0E79}">
      <formula1>1</formula1>
      <formula2>255</formula2>
    </dataValidation>
    <dataValidation type="list" operator="equal" allowBlank="1" showInputMessage="1" sqref="D6 I6 I12 D12" xr:uid="{83F42BAD-A998-45BB-83D4-AC1E99CFC69A}">
      <formula1>VSTS_ValidationRange_33485e2b9bed435c884d65a1ef8fe25f</formula1>
    </dataValidation>
    <dataValidation type="textLength" allowBlank="1" showInputMessage="1" sqref="AQ3 E3 AQ21 E21 AQ12:AQ19 E12:E19 E6:E8 AQ6:AQ8" xr:uid="{EE516601-6C68-497F-9D84-0E8F84DB5191}">
      <formula1>0</formula1>
      <formula2>32767</formula2>
    </dataValidation>
    <dataValidation type="list" operator="equal" allowBlank="1" showInputMessage="1" showErrorMessage="1" errorTitle="Microsoft Excel" error="TF84042: The value you entered is not supported in this field. Select a supported value from the list." sqref="F3 F21 F12:F19 F6:F8" xr:uid="{7D0E2100-89FE-47B7-8261-7200DEAB1D18}">
      <formula1>VSTS_ValidationRange_a2f82078821243f89f99f3be25aca621</formula1>
    </dataValidation>
    <dataValidation type="list" operator="equal" showInputMessage="1" showErrorMessage="1" errorTitle="Microsoft Excel" error="TF84042: The value you entered is not supported in this field. Select a supported value from the list." sqref="G3 G21 G12:G19 G6:G8" xr:uid="{6FC537A7-92EF-482C-86F6-BA3625A453F8}">
      <formula1>VSTS_ValidationRange_c02053968ab74f079940981bcfcedf22</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14 K21 K16 K7:K8" xr:uid="{4E02488A-FD52-4549-8FA6-C8150DB308F9}">
      <formula1>"Vinícius Birsenek de Moraes"</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L3 L21 L12:L19 L6:L8" xr:uid="{56D7CB32-0903-448F-B4FC-1FC85326F451}">
      <formula1>"Issue"</formula1>
    </dataValidation>
    <dataValidation type="list" operator="equal" allowBlank="1" showDropDown="1" showInputMessage="1" showErrorMessage="1" errorTitle="Read-only column" error="TF84027: This field is not available for this type of work item and must be left blank." prompt="Read-only" sqref="BB3:BC3 AZ3 AX3 AU3:AV3 AS3 AP3 AL3:AN3 AD3:AH3 X3:AA3 S3:V3 O3:P3 M3 BB21:BC21 AZ21 AX21 AU21:AV21 AS21 AP21 AL21:AN21 AD21:AH21 X21:AA21 S21:V21 O21:P21 M21 O12:P19 S12:V19 X12:AA19 AD12:AH19 AL12:AN19 AU12:AV19 BB12:BC19 AZ12:AZ19 AX12:AX19 AS12:AS19 AP12:AP19 M12:M19 M6:M8 P6:P8 V6:V8 AA6:AA8 AH6:AH8 AS6:AS8 AZ6:AZ8 AX6:AX8 AV6:AV8 AP6:AP8 AN6:AN8 O6:O8 S6:S8 T6:T8 U6:U8 X6:X8 Y6:Y8 Z6:Z8 AD6:AD8 AE6:AE8 AF6:AF8 AG6:AG8 AL6:AL8 AM6:AM8 AU6:AU8 BB6:BB8 BC6:BC8" xr:uid="{BF6B9A98-8584-4241-8F00-D93C02A7FD9C}">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3 AJ3:AK3 N3 BA21 AJ21:AK21 Q21:R21 N21 Q12:R19 AJ12:AK19 BA12:BA19 N12:N19 N6:N8 AK6:AK8 AJ6:AJ8 BA6:BA8" xr:uid="{4C43AD60-7C11-41F6-87C2-803498333C59}">
      <formula1>" "</formula1>
    </dataValidation>
    <dataValidation type="list" operator="equal" allowBlank="1" showInputMessage="1" showErrorMessage="1" errorTitle="Microsoft Excel" error="TF84042: The value you entered is not supported in this field. Select a supported value from the list." sqref="W3 W21 W12:W19 W6:W8" xr:uid="{14D5DAEE-C4FB-49D2-AC52-B75FB31557BC}">
      <formula1>VSTS_ValidationRange_696b36c8fc8a4f8aad0ffa09dec06edd</formula1>
    </dataValidation>
    <dataValidation type="textLength" allowBlank="1" showInputMessage="1" prompt="Type a comment here and publish to add a new history entry. After publishing this cell will be cleared." sqref="AT3 AT21 AT12:AT19 AT6:AT8" xr:uid="{E04E308A-0A08-4237-BE39-A830D1648B3F}">
      <formula1>0</formula1>
      <formula2>32767</formula2>
    </dataValidation>
    <dataValidation type="list" operator="equal" allowBlank="1" showInputMessage="1" showErrorMessage="1" errorTitle="Microsoft Excel" error="TF84042: The value you entered is not supported in this field. Select a supported value from the list." sqref="AW3 AW21 AW12:AW19 AW6:AW8" xr:uid="{8845DDA0-2218-41D2-A677-2FD68EC9C858}">
      <formula1>VSTS_ValidationRange_fe94c387636240c09680a97fed9bb4bc</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Y3 AY21 AY12:AY19 AY6:AY8" xr:uid="{5E4CE18C-7012-4BF8-BF9B-90D5E46460AB}">
      <formula1>"JBSTerminais Suporte TEAM"</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C3 C6:C8" xr:uid="{C1145454-76A4-4F9B-9660-7EA4F563A191}">
      <formula1>"Em Desenvolvimento"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B12 AB3 Q3 AB17:AB18 AB14:AB15 Q6:Q8 AB6:AB8" xr:uid="{CC031266-B8D3-4AEB-AF75-F18D52FD6259}">
      <formula1>"DANTON DA ROSA ABREU"</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I3 AI17:AI18 AI12:AI15 AI6:AI8" xr:uid="{010ADF2C-32AA-4CC3-99D6-B0007B45AD3D}">
      <formula1>"FALSO"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3 AO17 AO13 AO6:AO8" xr:uid="{41D079CE-FA41-43E8-8B44-0355DFDC2EDC}">
      <formula1>"0"</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3 BD6:BD8" xr:uid="{6F12E979-5093-4DE4-A455-467B252E9E9C}">
      <formula1>"Started"</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C21 C12:C19" xr:uid="{6670035A-301B-4647-A3B8-4245ADBD31B7}">
      <formula1>"Homologação"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B19 AB16" xr:uid="{2232645F-8547-4BDB-B5A6-A4AFCC123A35}">
      <formula1>"Matheus Henrique Falcão Santos"</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I19 AI21 AI16" xr:uid="{79917924-9168-488C-BDA4-65CD922D4FAD}">
      <formula1>"VERDADEIRO"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18 AO21 AO16" xr:uid="{A132D4EA-6FD6-4718-923E-76298A723052}">
      <formula1>"1"</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21 BD12:BD19" xr:uid="{8DECD29D-59CA-4A94-85F1-6BD892E6AA32}">
      <formula1>"Moved to backlog"</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2" xr:uid="{9F7FA777-6273-4E7C-A4F8-5BF772D5BEC5}">
      <formula1>"1479"</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12" xr:uid="{EE0E6CB4-AA05-4576-B8F4-7E934FFFDC6F}">
      <formula1>"Vinícius Francisco de Sousa Pereira"</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2" xr:uid="{6EE5265A-5219-4F42-B532-560BA3DC96E8}">
      <formula1>"01/12/2025 08:37"</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12 AO14" xr:uid="{D46FD971-6C5F-47C0-BD96-95A790F65DCC}">
      <formula1>"3"</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6 AC3" xr:uid="{E5E16328-AE31-433B-AEEA-04D63A3C76D7}">
      <formula1>"01/12/2025 10:26"</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3 K15" xr:uid="{80CB676B-03F7-44E6-BC5A-5421C217AAFF}">
      <formula1>"DANTON DA ROSA ABREU"</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6" xr:uid="{D123FDB2-C1D9-4DFA-A646-5835EBB710BF}">
      <formula1>"1382"</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6 K17 K13" xr:uid="{4E4B9218-8913-44BE-A502-77570DB00615}">
      <formula1>"GABRIELI CAETANO FORTUNATO"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R6" xr:uid="{0FA8EA39-9A9A-48A3-B0B2-D85466177317}">
      <formula1>"01/12/2025 10:23"</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 xr:uid="{32017FC8-FEE7-411E-86E3-9086CCAB1F02}">
      <formula1>"1429"</formula1>
    </dataValidation>
    <dataValidation type="list" operator="equal" allowBlank="1" showInputMessage="1" sqref="D3 I3 I15 I17:I19 I7:I8 D7:D8 I21 D21 D17:D19 D15" xr:uid="{75BEC86C-352D-42C0-85F8-382EE3393822}">
      <formula1>VSTS_ValidationRange_87118c9785284fbc970395c409df0626</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R3 R7" xr:uid="{144AA90B-5D2F-4EC4-B74B-4AA84CFA8880}">
      <formula1>"01/12/2025 08:38"</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B21 AB13" xr:uid="{53A5A273-2D74-4E14-B4D0-7486DF7A826D}">
      <formula1>"Rafael Marcello"</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8" xr:uid="{DC632034-EB64-43E3-A091-9972951F7DD7}">
      <formula1>"1502"</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R8" xr:uid="{9A2FAB45-01FC-4104-86E9-6C1FE6BBD23A}">
      <formula1>"01/12/2025 08:40"</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8" xr:uid="{C59D8D68-E798-416F-8AAF-D508D1C1C952}">
      <formula1>"01/12/2025 10:27"</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9" xr:uid="{1601C57E-B5A6-417A-A711-42955FCEBE43}">
      <formula1>"1494"</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19" xr:uid="{0F194A9F-C902-4399-9CD0-FE33FE9BD017}">
      <formula1>"Matheus Henrique Falcão Santos"</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9" xr:uid="{D2651C62-D31C-40F4-B78D-CED2A605B40C}">
      <formula1>"26/11/2025 13:14"</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19" xr:uid="{ADD3BD39-4661-435E-A9D0-F57A72893B32}">
      <formula1>"2"</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8" xr:uid="{45AB9734-FF11-4E09-A96F-BA563CADAF5F}">
      <formula1>"1485"</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18" xr:uid="{50C7C286-38BD-458C-BC64-71D49A85B87E}">
      <formula1>"Weslley Gonçalves Silva"</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8" xr:uid="{FF8F6254-53FE-4D2C-810C-306C98067825}">
      <formula1>"27/11/2025 15:56"</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7" xr:uid="{7F280A4E-52DC-40F1-8C75-FD34D325CFB7}">
      <formula1>"1475"</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7" xr:uid="{7C5F2F0E-5DF5-4FDF-8012-9A69AC65B174}">
      <formula1>"01/12/2025 10:28"</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5" xr:uid="{E217FF50-7123-44FF-8562-DEC7EB939F7A}">
      <formula1>"1411"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4:AC15" xr:uid="{5370DF75-3286-47B8-92D5-9D9E8199D1EE}">
      <formula1>"25/11/2025 16:52"</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15" xr:uid="{2399B9EA-558C-4F67-BABF-8F5BC287A3F2}">
      <formula1>"5"</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1" xr:uid="{FF22AF39-22BE-4EAE-9F8B-17724E65AEF7}">
      <formula1>"1508"</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21" xr:uid="{5FD6DC34-2A24-4642-BBFF-7DE70D2C36F0}">
      <formula1>"27/11/2025 13:27"</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7" xr:uid="{F2C257C7-C463-4510-B5E9-F15A201BA887}">
      <formula1>"1426"</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7" xr:uid="{D440B0A7-8BBC-43E1-9326-3995B56F5420}">
      <formula1>"17/10/2025 17:12"</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4" xr:uid="{732A638C-17B5-4BA7-895C-90BE680356CD}">
      <formula1>"1373"</formula1>
    </dataValidation>
    <dataValidation type="list" operator="equal" allowBlank="1" showInputMessage="1" sqref="I16 D16 I13:I14 D13:D14" xr:uid="{7E60282C-8DA8-4E5C-AACF-FAD5ED3682AF}">
      <formula1>VSTS_ValidationRange_09a2802bf7ba4bc994ef83521166afcf</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6" xr:uid="{85CB5F0F-4D42-4C71-BA8E-40C65456DAC2}">
      <formula1>"1416"</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6" xr:uid="{468D8C37-194A-4C30-875B-C33C45075172}">
      <formula1>"26/11/2025 13:58"</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3" xr:uid="{9389F633-EBAE-4286-8D22-CFA49C375F84}">
      <formula1>"1490"</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3" xr:uid="{2F37EC58-22E7-417A-A184-6468FB90FC30}">
      <formula1>"27/11/2025 09:05"</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9" xr:uid="{3F6D9944-EC0C-4D24-BA09-7A75722D01F7}">
      <formula1>"1503"</formula1>
    </dataValidation>
    <dataValidation type="textLength" showInputMessage="1" sqref="B9" xr:uid="{41FC4926-DFA2-446B-86C9-6DE4A4385239}">
      <formula1>1</formula1>
      <formula2>255</formula2>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C9" xr:uid="{FE755302-2DCD-48F2-94DC-B48657E16315}">
      <formula1>"Em Desenvolvimento"</formula1>
    </dataValidation>
    <dataValidation type="list" operator="equal" allowBlank="1" showInputMessage="1" sqref="D9" xr:uid="{F363DD6E-2596-4DB1-9E46-8DB8EEF46301}">
      <formula1>VSTS_ValidationRange_09a2802bf7ba4bc994ef83521166afcf</formula1>
    </dataValidation>
    <dataValidation type="textLength" allowBlank="1" showInputMessage="1" sqref="E9" xr:uid="{232CAEC1-A6D4-4B28-A021-C42870098B52}">
      <formula1>0</formula1>
      <formula2>32767</formula2>
    </dataValidation>
    <dataValidation type="list" operator="equal" allowBlank="1" showInputMessage="1" showErrorMessage="1" errorTitle="Microsoft Excel" error="TF84042: The value you entered is not supported in this field. Select a supported value from the list." sqref="F9" xr:uid="{1559358F-61A3-4753-AA83-E0D2186D69CA}">
      <formula1>VSTS_ValidationRange_a2f82078821243f89f99f3be25aca621</formula1>
    </dataValidation>
    <dataValidation type="list" operator="equal" showInputMessage="1" showErrorMessage="1" errorTitle="Microsoft Excel" error="TF84042: The value you entered is not supported in this field. Select a supported value from the list." sqref="G9" xr:uid="{9E9D99E1-E469-4354-BA7B-4DDD16E62CA3}">
      <formula1>VSTS_ValidationRange_c02053968ab74f079940981bcfcedf22</formula1>
    </dataValidation>
    <dataValidation type="list" operator="equal" allowBlank="1" showInputMessage="1" sqref="I9" xr:uid="{5BFDFE09-E70D-4829-A29A-88BBC90C3AED}">
      <formula1>VSTS_ValidationRange_09a2802bf7ba4bc994ef83521166afcf</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9" xr:uid="{F75DD480-6550-403A-9596-F2BF93C592E0}">
      <formula1>"Vinícius Birsenek de Moraes"</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L9" xr:uid="{E43AE4F9-3675-40F5-A89B-EA570BE94A4B}">
      <formula1>"Issue"</formula1>
    </dataValidation>
    <dataValidation type="list" operator="equal" allowBlank="1" showDropDown="1" showInputMessage="1" showErrorMessage="1" errorTitle="Read-only column" error="TF84027: This field is not available for this type of work item and must be left blank." prompt="Read-only" sqref="M9" xr:uid="{15A84368-1FE4-4C1B-8BB4-D98B9C9798F8}">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N9" xr:uid="{563D9CB3-5361-45D7-9E1B-C5AB20D55924}">
      <formula1>" "</formula1>
    </dataValidation>
    <dataValidation type="list" operator="equal" allowBlank="1" showDropDown="1" showInputMessage="1" showErrorMessage="1" errorTitle="Read-only column" error="TF84027: This field is not available for this type of work item and must be left blank." prompt="Read-only" sqref="O9" xr:uid="{E17738E1-B00A-45F5-9A50-BEFF8AA11206}">
      <formula1>" "</formula1>
    </dataValidation>
    <dataValidation type="list" operator="equal" allowBlank="1" showDropDown="1" showInputMessage="1" showErrorMessage="1" errorTitle="Read-only column" error="TF84027: This field is not available for this type of work item and must be left blank." prompt="Read-only" sqref="P9" xr:uid="{02D98555-ED4A-4F2A-B8EE-D412D7B98CB2}">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Q9" xr:uid="{4103B932-AC54-427F-8439-D087448D28CC}">
      <formula1>"DANTON DA ROSA ABREU"</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R9" xr:uid="{4723E483-4053-4A3E-B249-E911333AB522}">
      <formula1>"01/12/2025 08:40"</formula1>
    </dataValidation>
    <dataValidation type="list" operator="equal" allowBlank="1" showDropDown="1" showInputMessage="1" showErrorMessage="1" errorTitle="Read-only column" error="TF84027: This field is not available for this type of work item and must be left blank." prompt="Read-only" sqref="S9" xr:uid="{3850E4A7-1E14-481E-AE44-21960C528596}">
      <formula1>" "</formula1>
    </dataValidation>
    <dataValidation type="list" operator="equal" allowBlank="1" showDropDown="1" showInputMessage="1" showErrorMessage="1" errorTitle="Read-only column" error="TF84027: This field is not available for this type of work item and must be left blank." prompt="Read-only" sqref="T9" xr:uid="{113C5376-9AA4-43AF-95C4-D667E6E661CC}">
      <formula1>" "</formula1>
    </dataValidation>
    <dataValidation type="list" operator="equal" allowBlank="1" showDropDown="1" showInputMessage="1" showErrorMessage="1" errorTitle="Read-only column" error="TF84027: This field is not available for this type of work item and must be left blank." prompt="Read-only" sqref="U9" xr:uid="{FC6DEC5D-B8A9-43C6-AB52-921C4D2E2E71}">
      <formula1>" "</formula1>
    </dataValidation>
    <dataValidation type="list" operator="equal" allowBlank="1" showDropDown="1" showInputMessage="1" showErrorMessage="1" errorTitle="Read-only column" error="TF84027: This field is not available for this type of work item and must be left blank." prompt="Read-only" sqref="V9" xr:uid="{2890F794-6FD9-4F2E-8858-ADD19C022D1D}">
      <formula1>" "</formula1>
    </dataValidation>
    <dataValidation type="list" operator="equal" allowBlank="1" showInputMessage="1" showErrorMessage="1" errorTitle="Microsoft Excel" error="TF84042: The value you entered is not supported in this field. Select a supported value from the list." sqref="W9" xr:uid="{58991CCF-C8E6-4EFC-AC54-048EB3797847}">
      <formula1>VSTS_ValidationRange_696b36c8fc8a4f8aad0ffa09dec06edd</formula1>
    </dataValidation>
    <dataValidation type="list" operator="equal" allowBlank="1" showDropDown="1" showInputMessage="1" showErrorMessage="1" errorTitle="Read-only column" error="TF84027: This field is not available for this type of work item and must be left blank." prompt="Read-only" sqref="X9" xr:uid="{88B8E04F-1672-44C5-A881-BD1AF18599AC}">
      <formula1>" "</formula1>
    </dataValidation>
    <dataValidation type="list" operator="equal" allowBlank="1" showDropDown="1" showInputMessage="1" showErrorMessage="1" errorTitle="Read-only column" error="TF84027: This field is not available for this type of work item and must be left blank." prompt="Read-only" sqref="Y9" xr:uid="{0F91091A-73F9-43A0-9A79-BB18B5DFD122}">
      <formula1>" "</formula1>
    </dataValidation>
    <dataValidation type="list" operator="equal" allowBlank="1" showDropDown="1" showInputMessage="1" showErrorMessage="1" errorTitle="Read-only column" error="TF84027: This field is not available for this type of work item and must be left blank." prompt="Read-only" sqref="Z9" xr:uid="{490921DE-B94E-4D0B-A882-CFBC1B5F95C8}">
      <formula1>" "</formula1>
    </dataValidation>
    <dataValidation type="list" operator="equal" allowBlank="1" showDropDown="1" showInputMessage="1" showErrorMessage="1" errorTitle="Read-only column" error="TF84027: This field is not available for this type of work item and must be left blank." prompt="Read-only" sqref="AA9" xr:uid="{FF90BC04-58F4-4DB6-8028-3EA8B64D4EB0}">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B9" xr:uid="{351278CF-8B4D-4CCF-885E-20F84BC8E5AB}">
      <formula1>"DANTON DA ROSA ABREU"</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9" xr:uid="{29104170-CFC5-4E06-817E-B61AD2008687}">
      <formula1>"01/12/2025 10:27"</formula1>
    </dataValidation>
    <dataValidation type="list" operator="equal" allowBlank="1" showDropDown="1" showInputMessage="1" showErrorMessage="1" errorTitle="Read-only column" error="TF84027: This field is not available for this type of work item and must be left blank." prompt="Read-only" sqref="AD9" xr:uid="{83B95961-AB59-4CF7-86ED-FDB8F40AF51A}">
      <formula1>" "</formula1>
    </dataValidation>
    <dataValidation type="list" operator="equal" allowBlank="1" showDropDown="1" showInputMessage="1" showErrorMessage="1" errorTitle="Read-only column" error="TF84027: This field is not available for this type of work item and must be left blank." prompt="Read-only" sqref="AE9" xr:uid="{30C29627-4ECF-4C0D-8D48-353BF99DCD33}">
      <formula1>" "</formula1>
    </dataValidation>
    <dataValidation type="list" operator="equal" allowBlank="1" showDropDown="1" showInputMessage="1" showErrorMessage="1" errorTitle="Read-only column" error="TF84027: This field is not available for this type of work item and must be left blank." prompt="Read-only" sqref="AF9" xr:uid="{2DAEB51D-0418-4647-8792-05BA7E1C7C1E}">
      <formula1>" "</formula1>
    </dataValidation>
    <dataValidation type="list" operator="equal" allowBlank="1" showDropDown="1" showInputMessage="1" showErrorMessage="1" errorTitle="Read-only column" error="TF84027: This field is not available for this type of work item and must be left blank." prompt="Read-only" sqref="AG9" xr:uid="{C556C3C9-040B-48E1-9FC2-7323DF1081B6}">
      <formula1>" "</formula1>
    </dataValidation>
    <dataValidation type="list" operator="equal" allowBlank="1" showDropDown="1" showInputMessage="1" showErrorMessage="1" errorTitle="Read-only column" error="TF84027: This field is not available for this type of work item and must be left blank." prompt="Read-only" sqref="AH9" xr:uid="{873FF3CE-512C-4B61-AD72-B6D7EEB3B2C2}">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I9" xr:uid="{9B0BD427-6E6C-40F7-96D2-FCDFF5F52F3F}">
      <formula1>"FALSO"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J9" xr:uid="{3C1EC126-0628-4628-917D-E62FADCAF102}">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K9" xr:uid="{507DF5AB-56DA-41CB-90D6-7097DD212A5D}">
      <formula1>" "</formula1>
    </dataValidation>
    <dataValidation type="list" operator="equal" allowBlank="1" showDropDown="1" showInputMessage="1" showErrorMessage="1" errorTitle="Read-only column" error="TF84027: This field is not available for this type of work item and must be left blank." prompt="Read-only" sqref="AL9" xr:uid="{D356DE91-1CF8-4B71-B302-1E79D4E0AF76}">
      <formula1>" "</formula1>
    </dataValidation>
    <dataValidation type="list" operator="equal" allowBlank="1" showDropDown="1" showInputMessage="1" showErrorMessage="1" errorTitle="Read-only column" error="TF84027: This field is not available for this type of work item and must be left blank." prompt="Read-only" sqref="AM9" xr:uid="{6498BEFE-E5F5-4DE1-8F24-D3E6A37CF184}">
      <formula1>" "</formula1>
    </dataValidation>
    <dataValidation type="list" operator="equal" allowBlank="1" showDropDown="1" showInputMessage="1" showErrorMessage="1" errorTitle="Read-only column" error="TF84027: This field is not available for this type of work item and must be left blank." prompt="Read-only" sqref="AN9" xr:uid="{4C8C8772-B665-4E03-8ECA-37E33EE9DA9F}">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9" xr:uid="{22CB5E0C-A14B-4136-9C55-8A3648A88DC5}">
      <formula1>"0"</formula1>
    </dataValidation>
    <dataValidation type="list" operator="equal" allowBlank="1" showDropDown="1" showInputMessage="1" showErrorMessage="1" errorTitle="Read-only column" error="TF84027: This field is not available for this type of work item and must be left blank." prompt="Read-only" sqref="AP9" xr:uid="{CA8C3DD6-364C-4240-A67E-08EE50DB584E}">
      <formula1>" "</formula1>
    </dataValidation>
    <dataValidation type="textLength" allowBlank="1" showInputMessage="1" sqref="AQ9" xr:uid="{50FB676F-6EBC-4831-A506-2B22F9C01FE3}">
      <formula1>0</formula1>
      <formula2>32767</formula2>
    </dataValidation>
    <dataValidation type="list" operator="equal" allowBlank="1" showDropDown="1" showInputMessage="1" showErrorMessage="1" errorTitle="Read-only column" error="TF84027: This field is not available for this type of work item and must be left blank." prompt="Read-only" sqref="AS9" xr:uid="{AC11363C-C062-42B7-9380-433F248D1538}">
      <formula1>" "</formula1>
    </dataValidation>
    <dataValidation type="textLength" allowBlank="1" showInputMessage="1" prompt="Type a comment here and publish to add a new history entry. After publishing this cell will be cleared." sqref="AT9" xr:uid="{9D6D94A2-94EA-46FF-B699-41EB1B9CA7CF}">
      <formula1>0</formula1>
      <formula2>32767</formula2>
    </dataValidation>
    <dataValidation type="list" operator="equal" allowBlank="1" showDropDown="1" showInputMessage="1" showErrorMessage="1" errorTitle="Read-only column" error="TF84027: This field is not available for this type of work item and must be left blank." prompt="Read-only" sqref="AU9" xr:uid="{15A7D214-B0FB-4AF6-9BDE-A80B0BDF3476}">
      <formula1>" "</formula1>
    </dataValidation>
    <dataValidation type="list" operator="equal" allowBlank="1" showDropDown="1" showInputMessage="1" showErrorMessage="1" errorTitle="Read-only column" error="TF84027: This field is not available for this type of work item and must be left blank." prompt="Read-only" sqref="AV9" xr:uid="{4D7C2F5F-5E8F-488C-ADC1-9966317D64CF}">
      <formula1>" "</formula1>
    </dataValidation>
    <dataValidation type="list" operator="equal" allowBlank="1" showInputMessage="1" showErrorMessage="1" errorTitle="Microsoft Excel" error="TF84042: The value you entered is not supported in this field. Select a supported value from the list." sqref="AW9" xr:uid="{CC191035-5F21-489B-BE22-D487602CFA48}">
      <formula1>VSTS_ValidationRange_fe94c387636240c09680a97fed9bb4bc</formula1>
    </dataValidation>
    <dataValidation type="list" operator="equal" allowBlank="1" showDropDown="1" showInputMessage="1" showErrorMessage="1" errorTitle="Read-only column" error="TF84027: This field is not available for this type of work item and must be left blank." prompt="Read-only" sqref="AX9" xr:uid="{173F045F-7F4B-4251-A445-5052F2870967}">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Y9" xr:uid="{076ACFA0-D582-48D8-95C6-7A5965F6B5C0}">
      <formula1>"JBSTerminais Suporte TEAM"</formula1>
    </dataValidation>
    <dataValidation type="list" operator="equal" allowBlank="1" showDropDown="1" showInputMessage="1" showErrorMessage="1" errorTitle="Read-only column" error="TF84027: This field is not available for this type of work item and must be left blank." prompt="Read-only" sqref="AZ9" xr:uid="{21C6BC83-9A06-43EF-B7DD-6AA1705283C4}">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9" xr:uid="{D3BA2300-DC05-45B0-9BF9-09C5BE752992}">
      <formula1>" "</formula1>
    </dataValidation>
    <dataValidation type="list" operator="equal" allowBlank="1" showDropDown="1" showInputMessage="1" showErrorMessage="1" errorTitle="Read-only column" error="TF84027: This field is not available for this type of work item and must be left blank." prompt="Read-only" sqref="BB9" xr:uid="{072229F2-A8BF-4502-A340-A72F3676B2AB}">
      <formula1>" "</formula1>
    </dataValidation>
    <dataValidation type="list" operator="equal" allowBlank="1" showDropDown="1" showInputMessage="1" showErrorMessage="1" errorTitle="Read-only column" error="TF84027: This field is not available for this type of work item and must be left blank." prompt="Read-only" sqref="BC9" xr:uid="{168A69AF-C3BE-4C71-9E14-9C71DC72290D}">
      <formula1>" "</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9" xr:uid="{6A4DEB1E-F679-4D36-8162-0B3F7811DA15}">
      <formula1>"Started"</formula1>
    </dataValidation>
  </dataValidations>
  <pageMargins left="0.511811024" right="0.511811024" top="0.78740157499999996" bottom="0.78740157499999996" header="0.31496062000000002" footer="0.31496062000000002"/>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A510-5008-4BF3-9BEC-9CEEE7150617}">
  <dimension ref="A1:BJ607"/>
  <sheetViews>
    <sheetView workbookViewId="0">
      <selection activeCell="B11" sqref="B11"/>
    </sheetView>
  </sheetViews>
  <sheetFormatPr defaultColWidth="20.28515625" defaultRowHeight="15" customHeight="1" x14ac:dyDescent="0.25"/>
  <cols>
    <col min="1" max="1" width="10.42578125" customWidth="1"/>
    <col min="2" max="2" width="72.28515625" customWidth="1"/>
    <col min="3" max="3" width="20.85546875" customWidth="1"/>
    <col min="4" max="4" width="37.28515625" customWidth="1"/>
    <col min="5" max="5" width="74" customWidth="1"/>
    <col min="6" max="6" width="12.85546875" customWidth="1"/>
    <col min="7" max="7" width="14.85546875" customWidth="1"/>
    <col min="8" max="8" width="20.85546875" customWidth="1"/>
    <col min="9" max="9" width="28.85546875" customWidth="1"/>
    <col min="10" max="10" width="20.85546875" customWidth="1"/>
    <col min="11" max="11" width="37.28515625" customWidth="1"/>
    <col min="12" max="12" width="22.5703125" customWidth="1"/>
    <col min="13" max="13" width="17.85546875" customWidth="1"/>
    <col min="14" max="14" width="18.85546875" customWidth="1"/>
    <col min="15" max="15" width="21.28515625" customWidth="1"/>
    <col min="16" max="16" width="19.140625" customWidth="1"/>
    <col min="17" max="17" width="19.28515625" customWidth="1"/>
    <col min="18" max="18" width="21.42578125" customWidth="1"/>
    <col min="19" max="19" width="15" customWidth="1"/>
    <col min="20" max="20" width="36.42578125" customWidth="1"/>
    <col min="21" max="21" width="34.5703125" customWidth="1"/>
    <col min="22" max="22" width="23.28515625" customWidth="1"/>
    <col min="23" max="23" width="31.85546875" customWidth="1"/>
    <col min="24" max="24" width="25.5703125" customWidth="1"/>
    <col min="25" max="25" width="30.7109375" customWidth="1"/>
    <col min="26" max="26" width="32.140625" customWidth="1"/>
    <col min="27" max="27" width="30.42578125" customWidth="1"/>
    <col min="28" max="28" width="28.85546875" customWidth="1"/>
    <col min="29" max="29" width="22.85546875" customWidth="1"/>
    <col min="30" max="30" width="24.85546875" customWidth="1"/>
    <col min="31" max="31" width="28.42578125" customWidth="1"/>
    <col min="32" max="32" width="30" customWidth="1"/>
    <col min="33" max="33" width="27.42578125" customWidth="1"/>
    <col min="34" max="34" width="24.85546875" customWidth="1"/>
    <col min="35" max="35" width="26.140625" customWidth="1"/>
    <col min="36" max="36" width="18" customWidth="1"/>
    <col min="37" max="37" width="16.85546875" customWidth="1"/>
    <col min="38" max="38" width="20.140625" customWidth="1"/>
    <col min="39" max="39" width="25.42578125" customWidth="1"/>
    <col min="40" max="40" width="24" customWidth="1"/>
    <col min="41" max="41" width="22.85546875" customWidth="1"/>
    <col min="42" max="42" width="23.5703125" customWidth="1"/>
    <col min="43" max="43" width="35.28515625" customWidth="1"/>
    <col min="44" max="44" width="13.28515625" customWidth="1"/>
    <col min="45" max="45" width="18.140625" customWidth="1"/>
    <col min="46" max="46" width="14.5703125" customWidth="1"/>
    <col min="47" max="47" width="23.28515625" customWidth="1"/>
    <col min="48" max="48" width="12.85546875" customWidth="1"/>
    <col min="49" max="49" width="20.5703125" customWidth="1"/>
    <col min="50" max="50" width="23.7109375" customWidth="1"/>
    <col min="51" max="51" width="31" customWidth="1"/>
    <col min="52" max="52" width="18.42578125" customWidth="1"/>
    <col min="53" max="53" width="14.140625" customWidth="1"/>
    <col min="54" max="54" width="18" customWidth="1"/>
    <col min="55" max="55" width="13.85546875" customWidth="1"/>
    <col min="56" max="56" width="21.7109375" customWidth="1"/>
  </cols>
  <sheetData>
    <row r="1" spans="1:57" ht="30" customHeight="1" x14ac:dyDescent="0.25">
      <c r="A1" s="5" t="s">
        <v>1014</v>
      </c>
      <c r="B1" s="5"/>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9"/>
    </row>
    <row r="2" spans="1:57" ht="15" customHeight="1" x14ac:dyDescent="0.25">
      <c r="A2" s="1" t="s">
        <v>0</v>
      </c>
      <c r="B2" s="1" t="s">
        <v>1</v>
      </c>
      <c r="C2" s="1" t="s">
        <v>3</v>
      </c>
      <c r="D2" s="1" t="s">
        <v>7</v>
      </c>
      <c r="E2" s="1" t="s">
        <v>13</v>
      </c>
      <c r="F2" s="1" t="s">
        <v>4</v>
      </c>
      <c r="G2" s="1" t="s">
        <v>2</v>
      </c>
      <c r="H2" s="1" t="s">
        <v>5</v>
      </c>
      <c r="I2" s="1" t="s">
        <v>6</v>
      </c>
      <c r="J2" s="1" t="s">
        <v>8</v>
      </c>
      <c r="K2" s="1" t="s">
        <v>9</v>
      </c>
      <c r="L2" s="1" t="s">
        <v>10</v>
      </c>
      <c r="M2" s="1" t="s">
        <v>11</v>
      </c>
      <c r="N2" s="1" t="s">
        <v>12</v>
      </c>
      <c r="O2" s="1" t="s">
        <v>14</v>
      </c>
      <c r="P2" s="1" t="s">
        <v>15</v>
      </c>
      <c r="Q2" s="1" t="s">
        <v>16</v>
      </c>
      <c r="R2" s="1" t="s">
        <v>17</v>
      </c>
      <c r="S2" s="1" t="s">
        <v>18</v>
      </c>
      <c r="T2" s="1" t="s">
        <v>19</v>
      </c>
      <c r="U2" s="1" t="s">
        <v>20</v>
      </c>
      <c r="V2" s="1" t="s">
        <v>21</v>
      </c>
      <c r="W2" s="1" t="s">
        <v>22</v>
      </c>
      <c r="X2" s="1" t="s">
        <v>23</v>
      </c>
      <c r="Y2" s="1" t="s">
        <v>24</v>
      </c>
      <c r="Z2" s="1" t="s">
        <v>25</v>
      </c>
      <c r="AA2" s="1" t="s">
        <v>26</v>
      </c>
      <c r="AB2" s="1" t="s">
        <v>27</v>
      </c>
      <c r="AC2" s="1" t="s">
        <v>28</v>
      </c>
      <c r="AD2" s="1" t="s">
        <v>29</v>
      </c>
      <c r="AE2" s="1" t="s">
        <v>30</v>
      </c>
      <c r="AF2" s="1" t="s">
        <v>31</v>
      </c>
      <c r="AG2" s="1" t="s">
        <v>32</v>
      </c>
      <c r="AH2" s="1" t="s">
        <v>33</v>
      </c>
      <c r="AI2" s="1" t="s">
        <v>34</v>
      </c>
      <c r="AJ2" s="1" t="s">
        <v>35</v>
      </c>
      <c r="AK2" s="1" t="s">
        <v>36</v>
      </c>
      <c r="AL2" s="1" t="s">
        <v>37</v>
      </c>
      <c r="AM2" s="1" t="s">
        <v>38</v>
      </c>
      <c r="AN2" s="1" t="s">
        <v>39</v>
      </c>
      <c r="AO2" s="1" t="s">
        <v>40</v>
      </c>
      <c r="AP2" s="1" t="s">
        <v>41</v>
      </c>
      <c r="AQ2" s="1" t="s">
        <v>42</v>
      </c>
      <c r="AR2" s="1" t="s">
        <v>43</v>
      </c>
      <c r="AS2" s="1" t="s">
        <v>44</v>
      </c>
      <c r="AT2" s="1" t="s">
        <v>45</v>
      </c>
      <c r="AU2" s="1" t="s">
        <v>46</v>
      </c>
      <c r="AV2" s="1" t="s">
        <v>47</v>
      </c>
      <c r="AW2" s="1" t="s">
        <v>48</v>
      </c>
      <c r="AX2" s="1" t="s">
        <v>49</v>
      </c>
      <c r="AY2" s="1" t="s">
        <v>50</v>
      </c>
      <c r="AZ2" s="1" t="s">
        <v>51</v>
      </c>
      <c r="BA2" s="1" t="s">
        <v>52</v>
      </c>
      <c r="BB2" s="1" t="s">
        <v>53</v>
      </c>
      <c r="BC2" s="1" t="s">
        <v>54</v>
      </c>
      <c r="BD2" s="1" t="s">
        <v>55</v>
      </c>
      <c r="BE2" s="1"/>
    </row>
    <row r="3" spans="1:57" ht="15" customHeight="1" x14ac:dyDescent="0.25">
      <c r="A3" s="2">
        <v>507</v>
      </c>
      <c r="B3" s="1" t="s">
        <v>253</v>
      </c>
      <c r="C3" s="1" t="s">
        <v>200</v>
      </c>
      <c r="D3" s="1" t="s">
        <v>84</v>
      </c>
      <c r="E3" s="4" t="s">
        <v>609</v>
      </c>
      <c r="F3" s="1" t="s">
        <v>178</v>
      </c>
      <c r="G3" s="2">
        <v>1</v>
      </c>
      <c r="H3" s="35">
        <v>45992.544270833336</v>
      </c>
      <c r="I3" s="1" t="s">
        <v>81</v>
      </c>
      <c r="J3" s="35">
        <v>45681.601400462961</v>
      </c>
      <c r="K3" s="1" t="s">
        <v>89</v>
      </c>
      <c r="L3" s="1" t="s">
        <v>47</v>
      </c>
      <c r="M3" s="2"/>
      <c r="N3" s="35"/>
      <c r="O3" s="35"/>
      <c r="P3" s="1"/>
      <c r="Q3" s="1"/>
      <c r="R3" s="35"/>
      <c r="S3" s="1"/>
      <c r="T3" s="4"/>
      <c r="U3" s="4"/>
      <c r="V3" s="1"/>
      <c r="W3" s="1" t="s">
        <v>63</v>
      </c>
      <c r="X3" s="1"/>
      <c r="Y3" s="2"/>
      <c r="Z3" s="1"/>
      <c r="AA3" s="1"/>
      <c r="AB3" s="1" t="s">
        <v>81</v>
      </c>
      <c r="AC3" s="35">
        <v>45992.544270833336</v>
      </c>
      <c r="AD3" s="1"/>
      <c r="AE3" s="1"/>
      <c r="AF3" s="1"/>
      <c r="AG3" s="1"/>
      <c r="AH3" s="1"/>
      <c r="AI3" s="2">
        <v>0</v>
      </c>
      <c r="AJ3" s="1"/>
      <c r="AK3" s="1"/>
      <c r="AL3" s="1"/>
      <c r="AM3" s="2"/>
      <c r="AN3" s="1"/>
      <c r="AO3" s="2">
        <v>0</v>
      </c>
      <c r="AP3" s="4"/>
      <c r="AQ3" s="7" t="s">
        <v>254</v>
      </c>
      <c r="AR3" s="7"/>
      <c r="AS3" s="35"/>
      <c r="AT3" s="4"/>
      <c r="AU3" s="1"/>
      <c r="AV3" s="1"/>
      <c r="AW3" s="1" t="s">
        <v>61</v>
      </c>
      <c r="AX3" s="4"/>
      <c r="AY3" s="1" t="s">
        <v>85</v>
      </c>
      <c r="AZ3" s="4"/>
      <c r="BA3" s="2"/>
      <c r="BB3" s="4"/>
      <c r="BC3" s="1"/>
      <c r="BD3" s="1" t="s">
        <v>185</v>
      </c>
      <c r="BE3" s="1"/>
    </row>
    <row r="4" spans="1:57" ht="15" customHeight="1" x14ac:dyDescent="0.25">
      <c r="A4" s="2">
        <v>773</v>
      </c>
      <c r="B4" s="1" t="s">
        <v>259</v>
      </c>
      <c r="C4" s="1" t="s">
        <v>200</v>
      </c>
      <c r="D4" s="1" t="s">
        <v>84</v>
      </c>
      <c r="E4" s="4" t="s">
        <v>610</v>
      </c>
      <c r="F4" s="1" t="s">
        <v>178</v>
      </c>
      <c r="G4" s="2">
        <v>4</v>
      </c>
      <c r="H4" s="35">
        <v>45992.544745370367</v>
      </c>
      <c r="I4" s="1" t="s">
        <v>81</v>
      </c>
      <c r="J4" s="35">
        <v>45729.675115740742</v>
      </c>
      <c r="K4" s="1" t="s">
        <v>89</v>
      </c>
      <c r="L4" s="1" t="s">
        <v>47</v>
      </c>
      <c r="M4" s="2"/>
      <c r="N4" s="35"/>
      <c r="O4" s="35"/>
      <c r="P4" s="1"/>
      <c r="Q4" s="1"/>
      <c r="R4" s="35"/>
      <c r="S4" s="1"/>
      <c r="T4" s="4"/>
      <c r="U4" s="4"/>
      <c r="V4" s="1"/>
      <c r="W4" s="1" t="s">
        <v>63</v>
      </c>
      <c r="X4" s="1"/>
      <c r="Y4" s="2"/>
      <c r="Z4" s="1"/>
      <c r="AA4" s="1"/>
      <c r="AB4" s="1" t="s">
        <v>81</v>
      </c>
      <c r="AC4" s="35">
        <v>45992.544745370367</v>
      </c>
      <c r="AD4" s="1"/>
      <c r="AE4" s="1"/>
      <c r="AF4" s="1"/>
      <c r="AG4" s="1"/>
      <c r="AH4" s="1"/>
      <c r="AI4" s="2">
        <v>0</v>
      </c>
      <c r="AJ4" s="1"/>
      <c r="AK4" s="1"/>
      <c r="AL4" s="1"/>
      <c r="AM4" s="2"/>
      <c r="AN4" s="1"/>
      <c r="AO4" s="2">
        <v>0</v>
      </c>
      <c r="AP4" s="4"/>
      <c r="AQ4" s="7" t="s">
        <v>260</v>
      </c>
      <c r="AR4" s="7"/>
      <c r="AS4" s="35"/>
      <c r="AT4" s="4"/>
      <c r="AU4" s="1"/>
      <c r="AV4" s="1"/>
      <c r="AW4" s="1" t="s">
        <v>61</v>
      </c>
      <c r="AX4" s="4"/>
      <c r="AY4" s="1" t="s">
        <v>85</v>
      </c>
      <c r="AZ4" s="4"/>
      <c r="BA4" s="2"/>
      <c r="BB4" s="4"/>
      <c r="BC4" s="1"/>
      <c r="BD4" s="1" t="s">
        <v>185</v>
      </c>
      <c r="BE4" s="1"/>
    </row>
    <row r="5" spans="1:57" ht="15" customHeight="1" x14ac:dyDescent="0.25">
      <c r="A5" s="2">
        <v>1121</v>
      </c>
      <c r="B5" s="1" t="s">
        <v>270</v>
      </c>
      <c r="C5" s="1" t="s">
        <v>200</v>
      </c>
      <c r="D5" s="1" t="s">
        <v>90</v>
      </c>
      <c r="E5" s="4" t="s">
        <v>580</v>
      </c>
      <c r="F5" s="1" t="s">
        <v>178</v>
      </c>
      <c r="G5" s="2">
        <v>1</v>
      </c>
      <c r="H5" s="35">
        <v>45986.703379629631</v>
      </c>
      <c r="I5" s="1" t="s">
        <v>81</v>
      </c>
      <c r="J5" s="35">
        <v>45820.728483796294</v>
      </c>
      <c r="K5" s="1" t="s">
        <v>88</v>
      </c>
      <c r="L5" s="1" t="s">
        <v>47</v>
      </c>
      <c r="M5" s="2"/>
      <c r="N5" s="35"/>
      <c r="O5" s="35"/>
      <c r="P5" s="1"/>
      <c r="Q5" s="1"/>
      <c r="R5" s="35"/>
      <c r="S5" s="1"/>
      <c r="T5" s="4"/>
      <c r="U5" s="4"/>
      <c r="V5" s="1"/>
      <c r="W5" s="1" t="s">
        <v>63</v>
      </c>
      <c r="X5" s="1"/>
      <c r="Y5" s="2"/>
      <c r="Z5" s="1"/>
      <c r="AA5" s="1"/>
      <c r="AB5" s="1" t="s">
        <v>81</v>
      </c>
      <c r="AC5" s="35">
        <v>45986.703379629631</v>
      </c>
      <c r="AD5" s="1"/>
      <c r="AE5" s="1"/>
      <c r="AF5" s="1"/>
      <c r="AG5" s="1"/>
      <c r="AH5" s="1"/>
      <c r="AI5" s="2">
        <v>0</v>
      </c>
      <c r="AJ5" s="1"/>
      <c r="AK5" s="1"/>
      <c r="AL5" s="1"/>
      <c r="AM5" s="2"/>
      <c r="AN5" s="1"/>
      <c r="AO5" s="2">
        <v>6</v>
      </c>
      <c r="AP5" s="4"/>
      <c r="AQ5" s="7" t="s">
        <v>271</v>
      </c>
      <c r="AR5" s="7"/>
      <c r="AS5" s="35"/>
      <c r="AT5" s="4"/>
      <c r="AU5" s="1"/>
      <c r="AV5" s="1"/>
      <c r="AW5" s="1" t="s">
        <v>61</v>
      </c>
      <c r="AX5" s="4"/>
      <c r="AY5" s="1" t="s">
        <v>85</v>
      </c>
      <c r="AZ5" s="4"/>
      <c r="BA5" s="2"/>
      <c r="BB5" s="4"/>
      <c r="BC5" s="1"/>
      <c r="BD5" s="1" t="s">
        <v>188</v>
      </c>
      <c r="BE5" s="1"/>
    </row>
    <row r="6" spans="1:57" ht="15" customHeight="1" x14ac:dyDescent="0.25">
      <c r="A6" s="2">
        <v>1352</v>
      </c>
      <c r="B6" s="1" t="s">
        <v>471</v>
      </c>
      <c r="C6" s="1" t="s">
        <v>200</v>
      </c>
      <c r="D6" s="1" t="s">
        <v>94</v>
      </c>
      <c r="E6" s="4" t="s">
        <v>501</v>
      </c>
      <c r="F6" s="1" t="s">
        <v>178</v>
      </c>
      <c r="G6" s="2">
        <v>3</v>
      </c>
      <c r="H6" s="35">
        <v>45986.703379629631</v>
      </c>
      <c r="I6" s="1" t="s">
        <v>81</v>
      </c>
      <c r="J6" s="35">
        <v>45909.641250000001</v>
      </c>
      <c r="K6" s="1" t="s">
        <v>89</v>
      </c>
      <c r="L6" s="1" t="s">
        <v>47</v>
      </c>
      <c r="M6" s="2"/>
      <c r="N6" s="35"/>
      <c r="O6" s="35"/>
      <c r="P6" s="1"/>
      <c r="Q6" s="1"/>
      <c r="R6" s="35"/>
      <c r="S6" s="1"/>
      <c r="T6" s="4"/>
      <c r="U6" s="4"/>
      <c r="V6" s="1"/>
      <c r="W6" s="1" t="s">
        <v>63</v>
      </c>
      <c r="X6" s="1"/>
      <c r="Y6" s="2"/>
      <c r="Z6" s="1"/>
      <c r="AA6" s="1"/>
      <c r="AB6" s="1" t="s">
        <v>81</v>
      </c>
      <c r="AC6" s="35">
        <v>45986.703379629631</v>
      </c>
      <c r="AD6" s="1"/>
      <c r="AE6" s="1"/>
      <c r="AF6" s="1"/>
      <c r="AG6" s="1"/>
      <c r="AH6" s="1"/>
      <c r="AI6" s="2">
        <v>0</v>
      </c>
      <c r="AJ6" s="1"/>
      <c r="AK6" s="1"/>
      <c r="AL6" s="1"/>
      <c r="AM6" s="2"/>
      <c r="AN6" s="1"/>
      <c r="AO6" s="2">
        <v>2</v>
      </c>
      <c r="AP6" s="4"/>
      <c r="AQ6" s="7" t="s">
        <v>502</v>
      </c>
      <c r="AR6" s="7"/>
      <c r="AS6" s="35"/>
      <c r="AT6" s="4"/>
      <c r="AU6" s="1"/>
      <c r="AV6" s="1"/>
      <c r="AW6" s="1" t="s">
        <v>61</v>
      </c>
      <c r="AX6" s="4"/>
      <c r="AY6" s="1" t="s">
        <v>85</v>
      </c>
      <c r="AZ6" s="4"/>
      <c r="BA6" s="2"/>
      <c r="BB6" s="4"/>
      <c r="BC6" s="1"/>
      <c r="BD6" s="1" t="s">
        <v>188</v>
      </c>
      <c r="BE6" s="1"/>
    </row>
    <row r="7" spans="1:57" ht="15" customHeight="1" x14ac:dyDescent="0.25">
      <c r="A7" s="2">
        <v>1432</v>
      </c>
      <c r="B7" s="1" t="s">
        <v>518</v>
      </c>
      <c r="C7" s="1" t="s">
        <v>200</v>
      </c>
      <c r="D7" s="1" t="s">
        <v>81</v>
      </c>
      <c r="E7" s="4" t="s">
        <v>611</v>
      </c>
      <c r="F7" s="1" t="s">
        <v>178</v>
      </c>
      <c r="G7" s="2">
        <v>2</v>
      </c>
      <c r="H7" s="35">
        <v>45992.545092592591</v>
      </c>
      <c r="I7" s="1" t="s">
        <v>81</v>
      </c>
      <c r="J7" s="35">
        <v>45950.636423611111</v>
      </c>
      <c r="K7" s="1" t="s">
        <v>81</v>
      </c>
      <c r="L7" s="1" t="s">
        <v>47</v>
      </c>
      <c r="M7" s="2"/>
      <c r="N7" s="35"/>
      <c r="O7" s="35"/>
      <c r="P7" s="1"/>
      <c r="Q7" s="1"/>
      <c r="R7" s="35"/>
      <c r="S7" s="1"/>
      <c r="T7" s="4"/>
      <c r="U7" s="4"/>
      <c r="V7" s="1"/>
      <c r="W7" s="1" t="s">
        <v>63</v>
      </c>
      <c r="X7" s="1"/>
      <c r="Y7" s="2"/>
      <c r="Z7" s="1"/>
      <c r="AA7" s="1"/>
      <c r="AB7" s="1" t="s">
        <v>81</v>
      </c>
      <c r="AC7" s="35">
        <v>45992.545092592591</v>
      </c>
      <c r="AD7" s="1"/>
      <c r="AE7" s="1"/>
      <c r="AF7" s="1"/>
      <c r="AG7" s="1"/>
      <c r="AH7" s="1"/>
      <c r="AI7" s="2">
        <v>0</v>
      </c>
      <c r="AJ7" s="1"/>
      <c r="AK7" s="1"/>
      <c r="AL7" s="1"/>
      <c r="AM7" s="2"/>
      <c r="AN7" s="1"/>
      <c r="AO7" s="2">
        <v>1</v>
      </c>
      <c r="AP7" s="4"/>
      <c r="AQ7" s="7" t="s">
        <v>519</v>
      </c>
      <c r="AR7" s="7"/>
      <c r="AS7" s="35"/>
      <c r="AT7" s="4"/>
      <c r="AU7" s="1"/>
      <c r="AV7" s="1"/>
      <c r="AW7" s="1" t="s">
        <v>61</v>
      </c>
      <c r="AX7" s="4"/>
      <c r="AY7" s="1" t="s">
        <v>85</v>
      </c>
      <c r="AZ7" s="4"/>
      <c r="BA7" s="2"/>
      <c r="BB7" s="4"/>
      <c r="BC7" s="1"/>
      <c r="BD7" s="1" t="s">
        <v>188</v>
      </c>
      <c r="BE7" s="1"/>
    </row>
    <row r="8" spans="1:57" ht="15" customHeight="1" x14ac:dyDescent="0.25">
      <c r="A8" s="2">
        <v>1440</v>
      </c>
      <c r="B8" s="1" t="s">
        <v>521</v>
      </c>
      <c r="C8" s="1" t="s">
        <v>200</v>
      </c>
      <c r="D8" s="1" t="s">
        <v>81</v>
      </c>
      <c r="E8" s="4" t="s">
        <v>612</v>
      </c>
      <c r="F8" s="1" t="s">
        <v>178</v>
      </c>
      <c r="G8" s="2">
        <v>2</v>
      </c>
      <c r="H8" s="35">
        <v>45992.545729166668</v>
      </c>
      <c r="I8" s="1" t="s">
        <v>81</v>
      </c>
      <c r="J8" s="35">
        <v>45951.677615740744</v>
      </c>
      <c r="K8" s="1" t="s">
        <v>81</v>
      </c>
      <c r="L8" s="1" t="s">
        <v>47</v>
      </c>
      <c r="M8" s="2"/>
      <c r="N8" s="35"/>
      <c r="O8" s="35"/>
      <c r="P8" s="1"/>
      <c r="Q8" s="1"/>
      <c r="R8" s="35"/>
      <c r="S8" s="1"/>
      <c r="T8" s="4"/>
      <c r="U8" s="4"/>
      <c r="V8" s="1"/>
      <c r="W8" s="1" t="s">
        <v>63</v>
      </c>
      <c r="X8" s="1"/>
      <c r="Y8" s="2"/>
      <c r="Z8" s="1"/>
      <c r="AA8" s="1"/>
      <c r="AB8" s="1" t="s">
        <v>81</v>
      </c>
      <c r="AC8" s="35">
        <v>45992.545729166668</v>
      </c>
      <c r="AD8" s="1"/>
      <c r="AE8" s="1"/>
      <c r="AF8" s="1"/>
      <c r="AG8" s="1"/>
      <c r="AH8" s="1"/>
      <c r="AI8" s="2">
        <v>0</v>
      </c>
      <c r="AJ8" s="1"/>
      <c r="AK8" s="1"/>
      <c r="AL8" s="1"/>
      <c r="AM8" s="2"/>
      <c r="AN8" s="1"/>
      <c r="AO8" s="2">
        <v>1</v>
      </c>
      <c r="AP8" s="4"/>
      <c r="AQ8" s="7" t="s">
        <v>522</v>
      </c>
      <c r="AR8" s="7"/>
      <c r="AS8" s="35"/>
      <c r="AT8" s="4"/>
      <c r="AU8" s="1"/>
      <c r="AV8" s="1"/>
      <c r="AW8" s="1" t="s">
        <v>61</v>
      </c>
      <c r="AX8" s="4"/>
      <c r="AY8" s="1" t="s">
        <v>85</v>
      </c>
      <c r="AZ8" s="4"/>
      <c r="BA8" s="2"/>
      <c r="BB8" s="4"/>
      <c r="BC8" s="1"/>
      <c r="BD8" s="1" t="s">
        <v>188</v>
      </c>
      <c r="BE8" s="1"/>
    </row>
    <row r="9" spans="1:57" ht="15" customHeight="1" x14ac:dyDescent="0.25">
      <c r="A9" s="2">
        <v>1469</v>
      </c>
      <c r="B9" s="1" t="s">
        <v>530</v>
      </c>
      <c r="C9" s="1" t="s">
        <v>200</v>
      </c>
      <c r="D9" s="1" t="s">
        <v>91</v>
      </c>
      <c r="E9" s="4" t="s">
        <v>582</v>
      </c>
      <c r="F9" s="1" t="s">
        <v>178</v>
      </c>
      <c r="G9" s="2">
        <v>2</v>
      </c>
      <c r="H9" s="35">
        <v>45986.704062500001</v>
      </c>
      <c r="I9" s="1" t="s">
        <v>81</v>
      </c>
      <c r="J9" s="35">
        <v>45972.398564814815</v>
      </c>
      <c r="K9" s="1" t="s">
        <v>91</v>
      </c>
      <c r="L9" s="1" t="s">
        <v>47</v>
      </c>
      <c r="M9" s="2"/>
      <c r="N9" s="35"/>
      <c r="O9" s="35"/>
      <c r="P9" s="1"/>
      <c r="Q9" s="1"/>
      <c r="R9" s="35"/>
      <c r="S9" s="1"/>
      <c r="T9" s="4"/>
      <c r="U9" s="4"/>
      <c r="V9" s="1"/>
      <c r="W9" s="1" t="s">
        <v>63</v>
      </c>
      <c r="X9" s="1"/>
      <c r="Y9" s="2"/>
      <c r="Z9" s="1"/>
      <c r="AA9" s="1"/>
      <c r="AB9" s="1" t="s">
        <v>81</v>
      </c>
      <c r="AC9" s="35">
        <v>45986.704062500001</v>
      </c>
      <c r="AD9" s="1"/>
      <c r="AE9" s="1"/>
      <c r="AF9" s="1"/>
      <c r="AG9" s="1"/>
      <c r="AH9" s="1"/>
      <c r="AI9" s="2">
        <v>0</v>
      </c>
      <c r="AJ9" s="1"/>
      <c r="AK9" s="1"/>
      <c r="AL9" s="1"/>
      <c r="AM9" s="2"/>
      <c r="AN9" s="1"/>
      <c r="AO9" s="2">
        <v>0</v>
      </c>
      <c r="AP9" s="4"/>
      <c r="AQ9" s="7" t="s">
        <v>531</v>
      </c>
      <c r="AR9" s="7"/>
      <c r="AS9" s="35"/>
      <c r="AT9" s="4"/>
      <c r="AU9" s="1"/>
      <c r="AV9" s="1"/>
      <c r="AW9" s="1" t="s">
        <v>514</v>
      </c>
      <c r="AX9" s="4"/>
      <c r="AY9" s="1" t="s">
        <v>85</v>
      </c>
      <c r="AZ9" s="4"/>
      <c r="BA9" s="2"/>
      <c r="BB9" s="4"/>
      <c r="BC9" s="1"/>
      <c r="BD9" s="1" t="s">
        <v>188</v>
      </c>
      <c r="BE9" s="1"/>
    </row>
    <row r="10" spans="1:57" ht="15" customHeight="1" x14ac:dyDescent="0.25">
      <c r="A10" s="2">
        <v>1486</v>
      </c>
      <c r="B10" s="1" t="s">
        <v>559</v>
      </c>
      <c r="C10" s="1" t="s">
        <v>200</v>
      </c>
      <c r="D10" s="1" t="s">
        <v>84</v>
      </c>
      <c r="E10" s="4" t="s">
        <v>613</v>
      </c>
      <c r="F10" s="1" t="s">
        <v>178</v>
      </c>
      <c r="G10" s="2">
        <v>2</v>
      </c>
      <c r="H10" s="35">
        <v>45992.545972222222</v>
      </c>
      <c r="I10" s="1" t="s">
        <v>81</v>
      </c>
      <c r="J10" s="35">
        <v>45979.660937499997</v>
      </c>
      <c r="K10" s="1" t="s">
        <v>84</v>
      </c>
      <c r="L10" s="1" t="s">
        <v>47</v>
      </c>
      <c r="M10" s="2"/>
      <c r="N10" s="35"/>
      <c r="O10" s="35"/>
      <c r="P10" s="1"/>
      <c r="Q10" s="1"/>
      <c r="R10" s="35"/>
      <c r="S10" s="1"/>
      <c r="T10" s="4"/>
      <c r="U10" s="4"/>
      <c r="V10" s="1"/>
      <c r="W10" s="1" t="s">
        <v>63</v>
      </c>
      <c r="X10" s="1"/>
      <c r="Y10" s="2"/>
      <c r="Z10" s="1"/>
      <c r="AA10" s="1"/>
      <c r="AB10" s="1" t="s">
        <v>81</v>
      </c>
      <c r="AC10" s="35">
        <v>45992.545972222222</v>
      </c>
      <c r="AD10" s="1"/>
      <c r="AE10" s="1"/>
      <c r="AF10" s="1"/>
      <c r="AG10" s="1"/>
      <c r="AH10" s="1"/>
      <c r="AI10" s="2">
        <v>0</v>
      </c>
      <c r="AJ10" s="1"/>
      <c r="AK10" s="1"/>
      <c r="AL10" s="1"/>
      <c r="AM10" s="2"/>
      <c r="AN10" s="1"/>
      <c r="AO10" s="2">
        <v>2</v>
      </c>
      <c r="AP10" s="4"/>
      <c r="AQ10" s="7" t="s">
        <v>539</v>
      </c>
      <c r="AR10" s="7"/>
      <c r="AS10" s="35"/>
      <c r="AT10" s="4"/>
      <c r="AU10" s="1"/>
      <c r="AV10" s="1"/>
      <c r="AW10" s="1" t="s">
        <v>514</v>
      </c>
      <c r="AX10" s="4"/>
      <c r="AY10" s="1" t="s">
        <v>85</v>
      </c>
      <c r="AZ10" s="4"/>
      <c r="BA10" s="2"/>
      <c r="BB10" s="4"/>
      <c r="BC10" s="1"/>
      <c r="BD10" s="1" t="s">
        <v>188</v>
      </c>
      <c r="BE10" s="1"/>
    </row>
    <row r="11" spans="1:57" ht="15" customHeight="1" x14ac:dyDescent="0.25">
      <c r="A11" s="2">
        <v>1501</v>
      </c>
      <c r="B11" s="1" t="s">
        <v>552</v>
      </c>
      <c r="C11" s="1" t="s">
        <v>200</v>
      </c>
      <c r="D11" s="1" t="s">
        <v>84</v>
      </c>
      <c r="E11" s="4" t="s">
        <v>614</v>
      </c>
      <c r="F11" s="1" t="s">
        <v>178</v>
      </c>
      <c r="G11" s="2">
        <v>2</v>
      </c>
      <c r="H11" s="35">
        <v>45992.546423611115</v>
      </c>
      <c r="I11" s="1" t="s">
        <v>81</v>
      </c>
      <c r="J11" s="35">
        <v>45982.515439814815</v>
      </c>
      <c r="K11" s="1" t="s">
        <v>84</v>
      </c>
      <c r="L11" s="1" t="s">
        <v>47</v>
      </c>
      <c r="M11" s="2"/>
      <c r="N11" s="35"/>
      <c r="O11" s="35"/>
      <c r="P11" s="1"/>
      <c r="Q11" s="1"/>
      <c r="R11" s="35"/>
      <c r="S11" s="1"/>
      <c r="T11" s="4"/>
      <c r="U11" s="4"/>
      <c r="V11" s="1"/>
      <c r="W11" s="1" t="s">
        <v>63</v>
      </c>
      <c r="X11" s="1"/>
      <c r="Y11" s="2"/>
      <c r="Z11" s="1"/>
      <c r="AA11" s="1"/>
      <c r="AB11" s="1" t="s">
        <v>81</v>
      </c>
      <c r="AC11" s="35">
        <v>45992.546423611115</v>
      </c>
      <c r="AD11" s="1"/>
      <c r="AE11" s="1"/>
      <c r="AF11" s="1"/>
      <c r="AG11" s="1"/>
      <c r="AH11" s="1"/>
      <c r="AI11" s="2">
        <v>0</v>
      </c>
      <c r="AJ11" s="1"/>
      <c r="AK11" s="1"/>
      <c r="AL11" s="1"/>
      <c r="AM11" s="2"/>
      <c r="AN11" s="1"/>
      <c r="AO11" s="2">
        <v>2</v>
      </c>
      <c r="AP11" s="4"/>
      <c r="AQ11" s="7" t="s">
        <v>554</v>
      </c>
      <c r="AR11" s="7"/>
      <c r="AS11" s="35"/>
      <c r="AT11" s="4"/>
      <c r="AU11" s="1"/>
      <c r="AV11" s="1"/>
      <c r="AW11" s="1" t="s">
        <v>514</v>
      </c>
      <c r="AX11" s="4"/>
      <c r="AY11" s="1" t="s">
        <v>85</v>
      </c>
      <c r="AZ11" s="4"/>
      <c r="BA11" s="2"/>
      <c r="BB11" s="4"/>
      <c r="BC11" s="1"/>
      <c r="BD11" s="1" t="s">
        <v>188</v>
      </c>
      <c r="BE11" s="1"/>
    </row>
    <row r="12" spans="1:57" ht="15" customHeight="1" x14ac:dyDescent="0.25">
      <c r="A12" s="2">
        <v>1510</v>
      </c>
      <c r="B12" s="1" t="s">
        <v>560</v>
      </c>
      <c r="C12" s="1" t="s">
        <v>200</v>
      </c>
      <c r="D12" s="1" t="s">
        <v>89</v>
      </c>
      <c r="E12" s="4" t="s">
        <v>498</v>
      </c>
      <c r="F12" s="1" t="s">
        <v>178</v>
      </c>
      <c r="G12" s="2">
        <v>2</v>
      </c>
      <c r="H12" s="34">
        <v>45992.547199074077</v>
      </c>
      <c r="I12" s="1" t="s">
        <v>81</v>
      </c>
      <c r="J12" s="34">
        <v>45985.643437500003</v>
      </c>
      <c r="K12" s="1" t="s">
        <v>89</v>
      </c>
      <c r="L12" s="1" t="s">
        <v>47</v>
      </c>
      <c r="M12" s="2"/>
      <c r="N12" s="34"/>
      <c r="O12" s="34"/>
      <c r="P12" s="1"/>
      <c r="Q12" s="1"/>
      <c r="R12" s="34"/>
      <c r="S12" s="1"/>
      <c r="T12" s="4"/>
      <c r="U12" s="4"/>
      <c r="V12" s="1"/>
      <c r="W12" s="1" t="s">
        <v>63</v>
      </c>
      <c r="X12" s="1"/>
      <c r="Y12" s="2"/>
      <c r="Z12" s="1"/>
      <c r="AA12" s="1"/>
      <c r="AB12" s="1" t="s">
        <v>81</v>
      </c>
      <c r="AC12" s="34">
        <v>45992.547199074077</v>
      </c>
      <c r="AD12" s="1"/>
      <c r="AE12" s="1"/>
      <c r="AF12" s="1"/>
      <c r="AG12" s="1"/>
      <c r="AH12" s="1"/>
      <c r="AI12" s="2">
        <v>0</v>
      </c>
      <c r="AJ12" s="1"/>
      <c r="AK12" s="1"/>
      <c r="AL12" s="1"/>
      <c r="AM12" s="2"/>
      <c r="AN12" s="1"/>
      <c r="AO12" s="2">
        <v>1</v>
      </c>
      <c r="AP12" s="4"/>
      <c r="AQ12" s="7" t="s">
        <v>561</v>
      </c>
      <c r="AR12" s="7"/>
      <c r="AS12" s="34"/>
      <c r="AT12" s="4"/>
      <c r="AU12" s="1"/>
      <c r="AV12" s="1"/>
      <c r="AW12" s="1" t="s">
        <v>514</v>
      </c>
      <c r="AX12" s="4"/>
      <c r="AY12" s="1" t="s">
        <v>85</v>
      </c>
      <c r="AZ12" s="4"/>
      <c r="BA12" s="2"/>
      <c r="BB12" s="4"/>
      <c r="BC12" s="1"/>
      <c r="BD12" s="1" t="s">
        <v>188</v>
      </c>
      <c r="BE12" s="1"/>
    </row>
    <row r="13" spans="1:57" ht="15" customHeight="1" x14ac:dyDescent="0.25">
      <c r="A13" s="2">
        <v>1515</v>
      </c>
      <c r="B13" s="1" t="s">
        <v>562</v>
      </c>
      <c r="C13" s="1" t="s">
        <v>200</v>
      </c>
      <c r="D13" s="1" t="s">
        <v>89</v>
      </c>
      <c r="E13" s="4" t="s">
        <v>615</v>
      </c>
      <c r="F13" s="1" t="s">
        <v>178</v>
      </c>
      <c r="G13" s="2">
        <v>2</v>
      </c>
      <c r="H13" s="35">
        <v>45992.547418981485</v>
      </c>
      <c r="I13" s="1" t="s">
        <v>81</v>
      </c>
      <c r="J13" s="35">
        <v>45986.388391203705</v>
      </c>
      <c r="K13" s="1" t="s">
        <v>89</v>
      </c>
      <c r="L13" s="1" t="s">
        <v>47</v>
      </c>
      <c r="M13" s="2"/>
      <c r="N13" s="35"/>
      <c r="O13" s="35"/>
      <c r="P13" s="1"/>
      <c r="Q13" s="1"/>
      <c r="R13" s="35"/>
      <c r="S13" s="1"/>
      <c r="T13" s="4"/>
      <c r="U13" s="4"/>
      <c r="V13" s="1"/>
      <c r="W13" s="1" t="s">
        <v>63</v>
      </c>
      <c r="X13" s="1"/>
      <c r="Y13" s="2"/>
      <c r="Z13" s="1"/>
      <c r="AA13" s="1"/>
      <c r="AB13" s="1" t="s">
        <v>81</v>
      </c>
      <c r="AC13" s="35">
        <v>45992.547418981485</v>
      </c>
      <c r="AD13" s="1"/>
      <c r="AE13" s="1"/>
      <c r="AF13" s="1"/>
      <c r="AG13" s="1"/>
      <c r="AH13" s="1"/>
      <c r="AI13" s="2">
        <v>0</v>
      </c>
      <c r="AJ13" s="1"/>
      <c r="AK13" s="1"/>
      <c r="AL13" s="1"/>
      <c r="AM13" s="2"/>
      <c r="AN13" s="1"/>
      <c r="AO13" s="2">
        <v>2</v>
      </c>
      <c r="AP13" s="4"/>
      <c r="AQ13" s="7"/>
      <c r="AR13" s="7"/>
      <c r="AS13" s="35"/>
      <c r="AT13" s="4"/>
      <c r="AU13" s="1"/>
      <c r="AV13" s="1"/>
      <c r="AW13" s="1" t="s">
        <v>514</v>
      </c>
      <c r="AX13" s="4"/>
      <c r="AY13" s="1" t="s">
        <v>85</v>
      </c>
      <c r="AZ13" s="4"/>
      <c r="BA13" s="2"/>
      <c r="BB13" s="4"/>
      <c r="BC13" s="1"/>
      <c r="BD13" s="1" t="s">
        <v>188</v>
      </c>
      <c r="BE13" s="1"/>
    </row>
    <row r="14" spans="1:57" ht="15" customHeight="1" x14ac:dyDescent="0.25">
      <c r="A14" s="2">
        <v>1192</v>
      </c>
      <c r="B14" s="1" t="s">
        <v>274</v>
      </c>
      <c r="C14" s="1" t="s">
        <v>200</v>
      </c>
      <c r="D14" s="1" t="s">
        <v>84</v>
      </c>
      <c r="E14" s="4" t="s">
        <v>583</v>
      </c>
      <c r="F14" s="1" t="s">
        <v>178</v>
      </c>
      <c r="G14" s="2">
        <v>1</v>
      </c>
      <c r="H14" s="37">
        <v>45989.452280092592</v>
      </c>
      <c r="I14" s="1" t="s">
        <v>81</v>
      </c>
      <c r="J14" s="37">
        <v>45842.497256944444</v>
      </c>
      <c r="K14" s="1" t="s">
        <v>84</v>
      </c>
      <c r="L14" s="1" t="s">
        <v>47</v>
      </c>
      <c r="M14" s="2"/>
      <c r="N14" s="37"/>
      <c r="O14" s="37"/>
      <c r="P14" s="1"/>
      <c r="Q14" s="1"/>
      <c r="R14" s="37"/>
      <c r="S14" s="1"/>
      <c r="T14" s="4"/>
      <c r="U14" s="4"/>
      <c r="V14" s="1"/>
      <c r="W14" s="1" t="s">
        <v>63</v>
      </c>
      <c r="X14" s="1"/>
      <c r="Y14" s="2"/>
      <c r="Z14" s="1"/>
      <c r="AA14" s="1"/>
      <c r="AB14" s="1" t="s">
        <v>81</v>
      </c>
      <c r="AC14" s="37">
        <v>45989.452280092592</v>
      </c>
      <c r="AD14" s="1"/>
      <c r="AE14" s="1"/>
      <c r="AF14" s="1"/>
      <c r="AG14" s="1"/>
      <c r="AH14" s="1"/>
      <c r="AI14" s="2">
        <v>0</v>
      </c>
      <c r="AJ14" s="1"/>
      <c r="AK14" s="1"/>
      <c r="AL14" s="1"/>
      <c r="AM14" s="2"/>
      <c r="AN14" s="1"/>
      <c r="AO14" s="2">
        <v>0</v>
      </c>
      <c r="AP14" s="4"/>
      <c r="AQ14" s="7"/>
      <c r="AR14" s="7"/>
      <c r="AS14" s="37"/>
      <c r="AT14" s="4"/>
      <c r="AU14" s="1"/>
      <c r="AV14" s="1"/>
      <c r="AW14" s="1" t="s">
        <v>61</v>
      </c>
      <c r="AX14" s="4"/>
      <c r="AY14" s="1" t="s">
        <v>85</v>
      </c>
      <c r="AZ14" s="4"/>
      <c r="BA14" s="2"/>
      <c r="BB14" s="4"/>
      <c r="BC14" s="1"/>
      <c r="BD14" s="1" t="s">
        <v>188</v>
      </c>
      <c r="BE14" s="1"/>
    </row>
    <row r="15" spans="1:57" ht="15" customHeight="1" x14ac:dyDescent="0.25">
      <c r="A15" s="2">
        <v>1495</v>
      </c>
      <c r="B15" s="1" t="s">
        <v>547</v>
      </c>
      <c r="C15" s="1" t="s">
        <v>200</v>
      </c>
      <c r="D15" s="1" t="s">
        <v>90</v>
      </c>
      <c r="E15" s="4" t="s">
        <v>548</v>
      </c>
      <c r="F15" s="1" t="s">
        <v>178</v>
      </c>
      <c r="G15" s="2">
        <v>1</v>
      </c>
      <c r="H15" s="37">
        <v>45992.431631944448</v>
      </c>
      <c r="I15" s="1" t="s">
        <v>81</v>
      </c>
      <c r="J15" s="37">
        <v>45982.444965277777</v>
      </c>
      <c r="K15" s="1" t="s">
        <v>84</v>
      </c>
      <c r="L15" s="1" t="s">
        <v>47</v>
      </c>
      <c r="M15" s="2"/>
      <c r="N15" s="37"/>
      <c r="O15" s="37"/>
      <c r="P15" s="1"/>
      <c r="Q15" s="1"/>
      <c r="R15" s="37"/>
      <c r="S15" s="1"/>
      <c r="T15" s="4"/>
      <c r="U15" s="4"/>
      <c r="V15" s="1"/>
      <c r="W15" s="1" t="s">
        <v>63</v>
      </c>
      <c r="X15" s="1"/>
      <c r="Y15" s="2"/>
      <c r="Z15" s="1"/>
      <c r="AA15" s="1"/>
      <c r="AB15" s="1" t="s">
        <v>81</v>
      </c>
      <c r="AC15" s="37">
        <v>45992.431631944448</v>
      </c>
      <c r="AD15" s="1"/>
      <c r="AE15" s="1"/>
      <c r="AF15" s="1"/>
      <c r="AG15" s="1"/>
      <c r="AH15" s="1"/>
      <c r="AI15" s="2">
        <v>0</v>
      </c>
      <c r="AJ15" s="1"/>
      <c r="AK15" s="1"/>
      <c r="AL15" s="1"/>
      <c r="AM15" s="2"/>
      <c r="AN15" s="1"/>
      <c r="AO15" s="2">
        <v>2</v>
      </c>
      <c r="AP15" s="4"/>
      <c r="AQ15" s="7" t="s">
        <v>549</v>
      </c>
      <c r="AR15" s="7"/>
      <c r="AS15" s="37"/>
      <c r="AT15" s="4"/>
      <c r="AU15" s="1"/>
      <c r="AV15" s="1"/>
      <c r="AW15" s="1" t="s">
        <v>514</v>
      </c>
      <c r="AX15" s="4"/>
      <c r="AY15" s="1" t="s">
        <v>85</v>
      </c>
      <c r="AZ15" s="4"/>
      <c r="BA15" s="2"/>
      <c r="BB15" s="4"/>
      <c r="BC15" s="1"/>
      <c r="BD15" s="1" t="s">
        <v>188</v>
      </c>
      <c r="BE15" s="1"/>
    </row>
    <row r="16" spans="1:57" ht="15" customHeight="1" x14ac:dyDescent="0.25">
      <c r="A16" s="2">
        <v>1523</v>
      </c>
      <c r="B16" s="1" t="s">
        <v>589</v>
      </c>
      <c r="C16" s="1" t="s">
        <v>200</v>
      </c>
      <c r="D16" s="1" t="s">
        <v>81</v>
      </c>
      <c r="E16" s="4" t="s">
        <v>590</v>
      </c>
      <c r="F16" s="1" t="s">
        <v>178</v>
      </c>
      <c r="G16" s="2">
        <v>2</v>
      </c>
      <c r="H16" s="37">
        <v>45988.413055555553</v>
      </c>
      <c r="I16" s="1" t="s">
        <v>81</v>
      </c>
      <c r="J16" s="37">
        <v>45988.401192129626</v>
      </c>
      <c r="K16" s="1" t="s">
        <v>81</v>
      </c>
      <c r="L16" s="1" t="s">
        <v>47</v>
      </c>
      <c r="M16" s="2"/>
      <c r="N16" s="37"/>
      <c r="O16" s="37"/>
      <c r="P16" s="1"/>
      <c r="Q16" s="1"/>
      <c r="R16" s="37"/>
      <c r="S16" s="1"/>
      <c r="T16" s="4"/>
      <c r="U16" s="4"/>
      <c r="V16" s="1"/>
      <c r="W16" s="1" t="s">
        <v>63</v>
      </c>
      <c r="X16" s="1"/>
      <c r="Y16" s="2"/>
      <c r="Z16" s="1"/>
      <c r="AA16" s="1"/>
      <c r="AB16" s="1" t="s">
        <v>81</v>
      </c>
      <c r="AC16" s="37">
        <v>45988.413055555553</v>
      </c>
      <c r="AD16" s="1"/>
      <c r="AE16" s="1"/>
      <c r="AF16" s="1"/>
      <c r="AG16" s="1"/>
      <c r="AH16" s="1"/>
      <c r="AI16" s="2">
        <v>0</v>
      </c>
      <c r="AJ16" s="1"/>
      <c r="AK16" s="1"/>
      <c r="AL16" s="1"/>
      <c r="AM16" s="2"/>
      <c r="AN16" s="1"/>
      <c r="AO16" s="2">
        <v>0</v>
      </c>
      <c r="AP16" s="4"/>
      <c r="AQ16" s="7"/>
      <c r="AR16" s="7"/>
      <c r="AS16" s="37"/>
      <c r="AT16" s="4"/>
      <c r="AU16" s="1"/>
      <c r="AV16" s="1"/>
      <c r="AW16" s="1" t="s">
        <v>514</v>
      </c>
      <c r="AX16" s="4"/>
      <c r="AY16" s="1" t="s">
        <v>85</v>
      </c>
      <c r="AZ16" s="4"/>
      <c r="BA16" s="2"/>
      <c r="BB16" s="4"/>
      <c r="BC16" s="1"/>
      <c r="BD16" s="1" t="s">
        <v>188</v>
      </c>
      <c r="BE16" s="1"/>
    </row>
    <row r="17" spans="1:57" ht="15" customHeight="1" x14ac:dyDescent="0.25">
      <c r="A17" s="2">
        <v>1529</v>
      </c>
      <c r="B17" s="1" t="s">
        <v>599</v>
      </c>
      <c r="C17" s="1" t="s">
        <v>200</v>
      </c>
      <c r="D17" s="1" t="s">
        <v>89</v>
      </c>
      <c r="E17" s="4" t="s">
        <v>516</v>
      </c>
      <c r="F17" s="1" t="s">
        <v>178</v>
      </c>
      <c r="G17" s="2">
        <v>2</v>
      </c>
      <c r="H17" s="37">
        <v>45992.433657407404</v>
      </c>
      <c r="I17" s="1" t="s">
        <v>81</v>
      </c>
      <c r="J17" s="37">
        <v>45989.554351851853</v>
      </c>
      <c r="K17" s="1" t="s">
        <v>89</v>
      </c>
      <c r="L17" s="1" t="s">
        <v>47</v>
      </c>
      <c r="M17" s="2"/>
      <c r="N17" s="37"/>
      <c r="O17" s="37"/>
      <c r="P17" s="1"/>
      <c r="Q17" s="1"/>
      <c r="R17" s="37"/>
      <c r="S17" s="1"/>
      <c r="T17" s="4"/>
      <c r="U17" s="4"/>
      <c r="V17" s="1"/>
      <c r="W17" s="1" t="s">
        <v>63</v>
      </c>
      <c r="X17" s="1"/>
      <c r="Y17" s="2"/>
      <c r="Z17" s="1"/>
      <c r="AA17" s="1"/>
      <c r="AB17" s="1" t="s">
        <v>81</v>
      </c>
      <c r="AC17" s="37">
        <v>45992.433657407404</v>
      </c>
      <c r="AD17" s="1"/>
      <c r="AE17" s="1"/>
      <c r="AF17" s="1"/>
      <c r="AG17" s="1"/>
      <c r="AH17" s="1"/>
      <c r="AI17" s="2">
        <v>0</v>
      </c>
      <c r="AJ17" s="1"/>
      <c r="AK17" s="1"/>
      <c r="AL17" s="1"/>
      <c r="AM17" s="2"/>
      <c r="AN17" s="1"/>
      <c r="AO17" s="2">
        <v>2</v>
      </c>
      <c r="AP17" s="4"/>
      <c r="AQ17" s="7" t="s">
        <v>600</v>
      </c>
      <c r="AR17" s="7"/>
      <c r="AS17" s="37"/>
      <c r="AT17" s="4"/>
      <c r="AU17" s="1"/>
      <c r="AV17" s="1"/>
      <c r="AW17" s="1" t="s">
        <v>514</v>
      </c>
      <c r="AX17" s="4"/>
      <c r="AY17" s="1" t="s">
        <v>85</v>
      </c>
      <c r="AZ17" s="4"/>
      <c r="BA17" s="2"/>
      <c r="BB17" s="4"/>
      <c r="BC17" s="1"/>
      <c r="BD17" s="1" t="s">
        <v>185</v>
      </c>
      <c r="BE17" s="1"/>
    </row>
    <row r="18" spans="1:57" ht="15" customHeight="1" x14ac:dyDescent="0.25">
      <c r="A18" s="2" t="s">
        <v>315</v>
      </c>
      <c r="B18" s="1"/>
      <c r="C18" s="1"/>
      <c r="D18" s="1"/>
      <c r="E18" s="4"/>
      <c r="F18" s="1"/>
      <c r="G18" s="2"/>
      <c r="H18" s="37"/>
      <c r="I18" s="1"/>
      <c r="J18" s="37"/>
      <c r="K18" s="1"/>
      <c r="L18" s="1"/>
      <c r="M18" s="2"/>
      <c r="N18" s="37"/>
      <c r="O18" s="37"/>
      <c r="P18" s="1"/>
      <c r="Q18" s="1"/>
      <c r="R18" s="37"/>
      <c r="S18" s="1"/>
      <c r="T18" s="4"/>
      <c r="U18" s="4"/>
      <c r="V18" s="1"/>
      <c r="W18" s="1"/>
      <c r="X18" s="1"/>
      <c r="Y18" s="2"/>
      <c r="Z18" s="1"/>
      <c r="AA18" s="1"/>
      <c r="AB18" s="1"/>
      <c r="AC18" s="37"/>
      <c r="AD18" s="1"/>
      <c r="AE18" s="1"/>
      <c r="AF18" s="1"/>
      <c r="AG18" s="1"/>
      <c r="AH18" s="1"/>
      <c r="AI18" s="2"/>
      <c r="AJ18" s="1"/>
      <c r="AK18" s="1"/>
      <c r="AL18" s="1"/>
      <c r="AM18" s="2"/>
      <c r="AN18" s="1"/>
      <c r="AO18" s="2"/>
      <c r="AP18" s="4"/>
      <c r="AQ18" s="7"/>
      <c r="AR18" s="7"/>
      <c r="AS18" s="37"/>
      <c r="AT18" s="4"/>
      <c r="AU18" s="1"/>
      <c r="AV18" s="1"/>
      <c r="AW18" s="1"/>
      <c r="AX18" s="4"/>
      <c r="AY18" s="1"/>
      <c r="AZ18" s="4"/>
      <c r="BA18" s="2"/>
      <c r="BB18" s="4"/>
      <c r="BC18" s="1"/>
      <c r="BD18" s="1">
        <f>SUBTOTAL(103,VSTS_c467189f_b1e3_4921_ac93_2d6d7014346c[Reason])</f>
        <v>15</v>
      </c>
      <c r="BE18" s="1"/>
    </row>
    <row r="19" spans="1:57" ht="15" customHeight="1" x14ac:dyDescent="0.25">
      <c r="A19" s="2"/>
      <c r="B19" s="2"/>
      <c r="E19" s="3"/>
      <c r="F19" s="2"/>
      <c r="G19" s="1"/>
      <c r="H19" s="1"/>
      <c r="J19" s="1"/>
      <c r="K19" s="1"/>
      <c r="L19" s="3"/>
      <c r="N19" s="1"/>
      <c r="P19" s="1"/>
      <c r="Q19" s="1"/>
      <c r="R19" s="2"/>
      <c r="S19" s="3"/>
      <c r="T19" s="4"/>
      <c r="U19" s="3"/>
      <c r="V19" s="1"/>
      <c r="W19" s="1"/>
      <c r="X19" s="3"/>
      <c r="Y19" s="1"/>
      <c r="Z19" s="4"/>
      <c r="AA19" s="4"/>
      <c r="AB19" s="1"/>
      <c r="AC19" s="1"/>
      <c r="AD19" s="1"/>
      <c r="AE19" s="2"/>
      <c r="AF19" s="1"/>
      <c r="AG19" s="1"/>
      <c r="AH19" s="1"/>
      <c r="AI19" s="3"/>
      <c r="AJ19" s="1"/>
      <c r="AK19" s="1"/>
      <c r="AL19" s="1"/>
      <c r="AM19" s="1"/>
      <c r="AN19" s="1"/>
      <c r="AO19" s="2"/>
      <c r="AP19" s="1"/>
      <c r="AQ19" s="1"/>
      <c r="AR19" s="1"/>
      <c r="AS19" s="2"/>
      <c r="AT19" s="1"/>
      <c r="AU19" s="2"/>
      <c r="AV19" s="7"/>
      <c r="AW19" s="4"/>
      <c r="AX19" s="4"/>
      <c r="AY19" s="3"/>
      <c r="AZ19" s="4"/>
      <c r="BA19" s="1"/>
      <c r="BB19" s="1"/>
      <c r="BC19" s="1"/>
      <c r="BD19" s="4"/>
      <c r="BE19" s="1"/>
    </row>
    <row r="20" spans="1:57" ht="15" customHeight="1" x14ac:dyDescent="0.25">
      <c r="A20" s="2"/>
      <c r="B20" s="2"/>
      <c r="E20" s="3"/>
      <c r="F20" s="2"/>
      <c r="G20" s="1"/>
      <c r="H20" s="1"/>
      <c r="J20" s="1"/>
      <c r="K20" s="1"/>
      <c r="L20" s="3"/>
      <c r="N20" s="1"/>
      <c r="P20" s="1"/>
      <c r="Q20" s="1"/>
      <c r="R20" s="2"/>
      <c r="S20" s="3"/>
      <c r="T20" s="4"/>
      <c r="U20" s="3"/>
      <c r="V20" s="1"/>
      <c r="W20" s="1"/>
      <c r="X20" s="3"/>
      <c r="Y20" s="1"/>
      <c r="Z20" s="4"/>
      <c r="AA20" s="4"/>
      <c r="AB20" s="1"/>
      <c r="AC20" s="1"/>
      <c r="AD20" s="1"/>
      <c r="AE20" s="2"/>
      <c r="AF20" s="1"/>
      <c r="AG20" s="1"/>
      <c r="AH20" s="1"/>
      <c r="AI20" s="3"/>
      <c r="AJ20" s="1"/>
      <c r="AK20" s="1"/>
      <c r="AL20" s="1"/>
      <c r="AM20" s="1"/>
      <c r="AN20" s="1"/>
      <c r="AO20" s="2"/>
      <c r="AP20" s="1"/>
      <c r="AQ20" s="1"/>
      <c r="AR20" s="1"/>
      <c r="AS20" s="2"/>
      <c r="AT20" s="1"/>
      <c r="AU20" s="2"/>
      <c r="AV20" s="7"/>
      <c r="AW20" s="7"/>
      <c r="AX20" s="4"/>
      <c r="AY20" s="3"/>
      <c r="AZ20" s="4"/>
      <c r="BA20" s="1"/>
      <c r="BB20" s="1"/>
      <c r="BC20" s="1"/>
      <c r="BD20" s="4"/>
      <c r="BE20" s="1"/>
    </row>
    <row r="21" spans="1:57" ht="15" customHeight="1" x14ac:dyDescent="0.25">
      <c r="A21" s="2"/>
      <c r="B21" s="2"/>
      <c r="E21" s="3"/>
      <c r="F21" s="2"/>
      <c r="G21" s="1"/>
      <c r="H21" s="1"/>
      <c r="J21" s="1"/>
      <c r="K21" s="1"/>
      <c r="L21" s="3"/>
      <c r="N21" s="1"/>
      <c r="P21" s="1"/>
      <c r="Q21" s="1"/>
      <c r="R21" s="2"/>
      <c r="S21" s="3"/>
      <c r="T21" s="4"/>
      <c r="U21" s="3"/>
      <c r="V21" s="1"/>
      <c r="W21" s="1"/>
      <c r="X21" s="3"/>
      <c r="Y21" s="1"/>
      <c r="Z21" s="4"/>
      <c r="AA21" s="4"/>
      <c r="AB21" s="1"/>
      <c r="AC21" s="1"/>
      <c r="AD21" s="1"/>
      <c r="AE21" s="2"/>
      <c r="AF21" s="1"/>
      <c r="AG21" s="1"/>
      <c r="AH21" s="1"/>
      <c r="AI21" s="3"/>
      <c r="AJ21" s="1"/>
      <c r="AK21" s="1"/>
      <c r="AL21" s="1"/>
      <c r="AM21" s="1"/>
      <c r="AN21" s="1"/>
      <c r="AO21" s="2"/>
      <c r="AP21" s="1"/>
      <c r="AQ21" s="1"/>
      <c r="AR21" s="1"/>
      <c r="AS21" s="2"/>
      <c r="AT21" s="1"/>
      <c r="AU21" s="2"/>
      <c r="AV21" s="7"/>
      <c r="AW21" s="7"/>
      <c r="AX21" s="4"/>
      <c r="AY21" s="3"/>
      <c r="AZ21" s="4"/>
      <c r="BA21" s="1"/>
      <c r="BB21" s="1"/>
      <c r="BC21" s="1"/>
      <c r="BD21" s="4"/>
      <c r="BE21" s="1"/>
    </row>
    <row r="22" spans="1:57" ht="15" customHeight="1" x14ac:dyDescent="0.25">
      <c r="A22" s="2"/>
      <c r="B22" s="2"/>
      <c r="E22" s="3"/>
      <c r="F22" s="2"/>
      <c r="G22" s="1"/>
      <c r="H22" s="1"/>
      <c r="J22" s="1"/>
      <c r="K22" s="1"/>
      <c r="L22" s="3"/>
      <c r="N22" s="1"/>
      <c r="P22" s="1"/>
      <c r="Q22" s="1"/>
      <c r="R22" s="2"/>
      <c r="S22" s="3"/>
      <c r="T22" s="4"/>
      <c r="U22" s="3"/>
      <c r="V22" s="1"/>
      <c r="W22" s="1"/>
      <c r="X22" s="3"/>
      <c r="Y22" s="1"/>
      <c r="Z22" s="4"/>
      <c r="AA22" s="4"/>
      <c r="AB22" s="1"/>
      <c r="AC22" s="1"/>
      <c r="AD22" s="1"/>
      <c r="AE22" s="2"/>
      <c r="AF22" s="1"/>
      <c r="AG22" s="1"/>
      <c r="AH22" s="1"/>
      <c r="AI22" s="3"/>
      <c r="AJ22" s="1"/>
      <c r="AK22" s="1"/>
      <c r="AL22" s="1"/>
      <c r="AM22" s="1"/>
      <c r="AN22" s="1"/>
      <c r="AO22" s="2"/>
      <c r="AP22" s="1"/>
      <c r="AQ22" s="1"/>
      <c r="AR22" s="1"/>
      <c r="AS22" s="2"/>
      <c r="AT22" s="1"/>
      <c r="AU22" s="2"/>
      <c r="AV22" s="7"/>
      <c r="AW22" s="7"/>
      <c r="AX22" s="4"/>
      <c r="AY22" s="3"/>
      <c r="AZ22" s="4"/>
      <c r="BA22" s="1"/>
      <c r="BB22" s="1"/>
      <c r="BC22" s="1"/>
      <c r="BD22" s="4"/>
      <c r="BE22" s="1"/>
    </row>
    <row r="23" spans="1:57" ht="15" customHeight="1" x14ac:dyDescent="0.25">
      <c r="A23" s="2"/>
      <c r="B23" s="2"/>
      <c r="E23" s="3"/>
      <c r="F23" s="2"/>
      <c r="G23" s="1"/>
      <c r="H23" s="1"/>
      <c r="J23" s="1"/>
      <c r="K23" s="1"/>
      <c r="L23" s="3"/>
      <c r="N23" s="1"/>
      <c r="P23" s="1"/>
      <c r="Q23" s="1"/>
      <c r="R23" s="2"/>
      <c r="S23" s="3"/>
      <c r="T23" s="4"/>
      <c r="U23" s="3"/>
      <c r="V23" s="1"/>
      <c r="W23" s="1"/>
      <c r="X23" s="3"/>
      <c r="Y23" s="1"/>
      <c r="Z23" s="4"/>
      <c r="AA23" s="4"/>
      <c r="AB23" s="1"/>
      <c r="AC23" s="1"/>
      <c r="AD23" s="1"/>
      <c r="AE23" s="2"/>
      <c r="AF23" s="1"/>
      <c r="AG23" s="1"/>
      <c r="AH23" s="1"/>
      <c r="AI23" s="3"/>
      <c r="AJ23" s="1"/>
      <c r="AK23" s="1"/>
      <c r="AL23" s="1"/>
      <c r="AM23" s="1"/>
      <c r="AN23" s="1"/>
      <c r="AO23" s="2"/>
      <c r="AP23" s="1"/>
      <c r="AQ23" s="1"/>
      <c r="AR23" s="1"/>
      <c r="AS23" s="2"/>
      <c r="AT23" s="1"/>
      <c r="AU23" s="2"/>
      <c r="AV23" s="7"/>
      <c r="AW23" s="4"/>
      <c r="AX23" s="4"/>
      <c r="AY23" s="3"/>
      <c r="AZ23" s="4"/>
      <c r="BA23" s="1"/>
      <c r="BB23" s="1"/>
      <c r="BC23" s="1"/>
      <c r="BD23" s="4"/>
      <c r="BE23" s="1"/>
    </row>
    <row r="24" spans="1:57" ht="15" customHeight="1" x14ac:dyDescent="0.25">
      <c r="A24" s="2"/>
      <c r="B24" s="2"/>
      <c r="E24" s="3"/>
      <c r="F24" s="2"/>
      <c r="G24" s="1"/>
      <c r="H24" s="1"/>
      <c r="J24" s="1"/>
      <c r="K24" s="1"/>
      <c r="L24" s="3"/>
      <c r="N24" s="1"/>
      <c r="P24" s="1"/>
      <c r="Q24" s="1"/>
      <c r="R24" s="2"/>
      <c r="S24" s="3"/>
      <c r="T24" s="4"/>
      <c r="U24" s="3"/>
      <c r="V24" s="1"/>
      <c r="W24" s="1"/>
      <c r="X24" s="3"/>
      <c r="Y24" s="1"/>
      <c r="Z24" s="4"/>
      <c r="AA24" s="4"/>
      <c r="AB24" s="1"/>
      <c r="AC24" s="1"/>
      <c r="AD24" s="1"/>
      <c r="AE24" s="2"/>
      <c r="AF24" s="1"/>
      <c r="AG24" s="1"/>
      <c r="AH24" s="1"/>
      <c r="AI24" s="3"/>
      <c r="AJ24" s="1"/>
      <c r="AK24" s="1"/>
      <c r="AL24" s="1"/>
      <c r="AM24" s="1"/>
      <c r="AN24" s="1"/>
      <c r="AO24" s="2"/>
      <c r="AP24" s="1"/>
      <c r="AQ24" s="1"/>
      <c r="AR24" s="1"/>
      <c r="AS24" s="2"/>
      <c r="AT24" s="1"/>
      <c r="AU24" s="2"/>
      <c r="AV24" s="7"/>
      <c r="AW24" s="7"/>
      <c r="AX24" s="4"/>
      <c r="AY24" s="3"/>
      <c r="AZ24" s="4"/>
      <c r="BA24" s="1"/>
      <c r="BB24" s="1"/>
      <c r="BC24" s="1"/>
      <c r="BD24" s="4"/>
      <c r="BE24" s="1"/>
    </row>
    <row r="25" spans="1:57" ht="15" customHeight="1" x14ac:dyDescent="0.25">
      <c r="A25" s="2"/>
      <c r="B25" s="1"/>
      <c r="E25" s="1"/>
      <c r="F25" s="1"/>
      <c r="G25" s="1"/>
      <c r="H25" s="1"/>
      <c r="J25" s="2"/>
      <c r="K25" s="3"/>
      <c r="L25" s="1"/>
      <c r="N25" s="3"/>
      <c r="P25" s="1"/>
      <c r="Q25" s="2"/>
      <c r="R25" s="3"/>
      <c r="S25" s="4"/>
      <c r="T25" s="3"/>
      <c r="U25" s="1"/>
      <c r="V25" s="1"/>
      <c r="W25" s="3"/>
      <c r="X25" s="1"/>
      <c r="Y25" s="4"/>
      <c r="Z25" s="4"/>
      <c r="AA25" s="1"/>
      <c r="AB25" s="1"/>
      <c r="AC25" s="1"/>
      <c r="AD25" s="2"/>
      <c r="AE25" s="1"/>
      <c r="AF25" s="1"/>
      <c r="AG25" s="1"/>
      <c r="AH25" s="3"/>
      <c r="AI25" s="1"/>
      <c r="AJ25" s="1"/>
      <c r="AK25" s="1"/>
      <c r="AL25" s="1"/>
      <c r="AM25" s="1"/>
      <c r="AN25" s="2"/>
      <c r="AO25" s="1"/>
      <c r="AP25" s="1"/>
      <c r="AQ25" s="1"/>
      <c r="AR25" s="2"/>
      <c r="AS25" s="1"/>
      <c r="AT25" s="2"/>
      <c r="AU25" s="4"/>
      <c r="AV25" s="4"/>
      <c r="AW25" s="4"/>
      <c r="AX25" s="3"/>
      <c r="AY25" s="4"/>
      <c r="AZ25" s="1"/>
      <c r="BA25" s="1"/>
      <c r="BB25" s="1"/>
      <c r="BC25" s="4"/>
      <c r="BD25" s="1"/>
      <c r="BE25" s="1"/>
    </row>
    <row r="26" spans="1:57" ht="15" customHeight="1" x14ac:dyDescent="0.25">
      <c r="A26" s="2"/>
      <c r="B26" s="1"/>
      <c r="E26" s="1"/>
      <c r="F26" s="1"/>
      <c r="G26" s="1"/>
      <c r="H26" s="1"/>
      <c r="J26" s="2"/>
      <c r="K26" s="3"/>
      <c r="L26" s="1"/>
      <c r="N26" s="3"/>
      <c r="P26" s="1"/>
      <c r="Q26" s="2"/>
      <c r="R26" s="3"/>
      <c r="S26" s="4"/>
      <c r="T26" s="3"/>
      <c r="U26" s="1"/>
      <c r="V26" s="1"/>
      <c r="W26" s="3"/>
      <c r="X26" s="1"/>
      <c r="Y26" s="4"/>
      <c r="Z26" s="4"/>
      <c r="AA26" s="1"/>
      <c r="AB26" s="1"/>
      <c r="AC26" s="1"/>
      <c r="AD26" s="2"/>
      <c r="AE26" s="1"/>
      <c r="AF26" s="1"/>
      <c r="AG26" s="1"/>
      <c r="AH26" s="3"/>
      <c r="AI26" s="1"/>
      <c r="AJ26" s="1"/>
      <c r="AK26" s="1"/>
      <c r="AL26" s="1"/>
      <c r="AM26" s="1"/>
      <c r="AN26" s="2"/>
      <c r="AO26" s="1"/>
      <c r="AP26" s="1"/>
      <c r="AQ26" s="1"/>
      <c r="AR26" s="2"/>
      <c r="AS26" s="1"/>
      <c r="AT26" s="2"/>
      <c r="AU26" s="4"/>
      <c r="AV26" s="7"/>
      <c r="AW26" s="4"/>
      <c r="AX26" s="3"/>
      <c r="AY26" s="4"/>
      <c r="AZ26" s="1"/>
      <c r="BA26" s="1"/>
      <c r="BB26" s="1"/>
      <c r="BC26" s="4"/>
      <c r="BD26" s="1"/>
      <c r="BE26" s="1"/>
    </row>
    <row r="27" spans="1:57" ht="15" customHeight="1" x14ac:dyDescent="0.25">
      <c r="A27" s="2"/>
      <c r="B27" s="1"/>
      <c r="E27" s="1"/>
      <c r="F27" s="1"/>
      <c r="G27" s="1"/>
      <c r="H27" s="1"/>
      <c r="J27" s="2"/>
      <c r="K27" s="3"/>
      <c r="L27" s="1"/>
      <c r="N27" s="3"/>
      <c r="P27" s="1"/>
      <c r="Q27" s="2"/>
      <c r="R27" s="3"/>
      <c r="S27" s="4"/>
      <c r="T27" s="3"/>
      <c r="U27" s="1"/>
      <c r="V27" s="1"/>
      <c r="W27" s="3"/>
      <c r="X27" s="1"/>
      <c r="Y27" s="4"/>
      <c r="Z27" s="4"/>
      <c r="AA27" s="1"/>
      <c r="AB27" s="1"/>
      <c r="AC27" s="1"/>
      <c r="AD27" s="2"/>
      <c r="AE27" s="1"/>
      <c r="AF27" s="1"/>
      <c r="AG27" s="1"/>
      <c r="AH27" s="3"/>
      <c r="AI27" s="1"/>
      <c r="AJ27" s="1"/>
      <c r="AK27" s="1"/>
      <c r="AL27" s="1"/>
      <c r="AM27" s="1"/>
      <c r="AN27" s="2"/>
      <c r="AO27" s="1"/>
      <c r="AP27" s="1"/>
      <c r="AQ27" s="1"/>
      <c r="AR27" s="2"/>
      <c r="AS27" s="1"/>
      <c r="AT27" s="2"/>
      <c r="AU27" s="4"/>
      <c r="AV27" s="7"/>
      <c r="AW27" s="4"/>
      <c r="AX27" s="3"/>
      <c r="AY27" s="4"/>
      <c r="AZ27" s="1"/>
      <c r="BA27" s="1"/>
      <c r="BB27" s="1"/>
      <c r="BC27" s="4"/>
      <c r="BD27" s="1"/>
      <c r="BE27" s="1"/>
    </row>
    <row r="28" spans="1:57" ht="15" customHeight="1" x14ac:dyDescent="0.25">
      <c r="A28" s="2"/>
      <c r="B28" s="1"/>
      <c r="E28" s="1"/>
      <c r="F28" s="1"/>
      <c r="G28" s="1"/>
      <c r="H28" s="1"/>
      <c r="J28" s="2"/>
      <c r="K28" s="3"/>
      <c r="L28" s="1"/>
      <c r="N28" s="3"/>
      <c r="P28" s="1"/>
      <c r="Q28" s="2"/>
      <c r="R28" s="3"/>
      <c r="S28" s="4"/>
      <c r="T28" s="3"/>
      <c r="U28" s="1"/>
      <c r="V28" s="1"/>
      <c r="W28" s="3"/>
      <c r="X28" s="1"/>
      <c r="Y28" s="4"/>
      <c r="Z28" s="4"/>
      <c r="AA28" s="1"/>
      <c r="AB28" s="1"/>
      <c r="AC28" s="1"/>
      <c r="AD28" s="2"/>
      <c r="AE28" s="1"/>
      <c r="AF28" s="1"/>
      <c r="AG28" s="1"/>
      <c r="AH28" s="3"/>
      <c r="AI28" s="1"/>
      <c r="AJ28" s="1"/>
      <c r="AK28" s="1"/>
      <c r="AL28" s="1"/>
      <c r="AM28" s="1"/>
      <c r="AN28" s="2"/>
      <c r="AO28" s="1"/>
      <c r="AP28" s="1"/>
      <c r="AQ28" s="1"/>
      <c r="AR28" s="2"/>
      <c r="AS28" s="1"/>
      <c r="AT28" s="2"/>
      <c r="AU28" s="4"/>
      <c r="AV28" s="7"/>
      <c r="AW28" s="4"/>
      <c r="AX28" s="3"/>
      <c r="AY28" s="4"/>
      <c r="AZ28" s="1"/>
      <c r="BA28" s="1"/>
      <c r="BB28" s="1"/>
      <c r="BC28" s="4"/>
      <c r="BD28" s="1"/>
      <c r="BE28" s="1"/>
    </row>
    <row r="29" spans="1:57" ht="15" customHeight="1" x14ac:dyDescent="0.25">
      <c r="A29" s="2"/>
      <c r="B29" s="1"/>
      <c r="E29" s="1"/>
      <c r="F29" s="1"/>
      <c r="G29" s="1"/>
      <c r="H29" s="1"/>
      <c r="J29" s="2"/>
      <c r="K29" s="3"/>
      <c r="L29" s="1"/>
      <c r="N29" s="3"/>
      <c r="P29" s="1"/>
      <c r="Q29" s="2"/>
      <c r="R29" s="3"/>
      <c r="S29" s="4"/>
      <c r="T29" s="3"/>
      <c r="U29" s="1"/>
      <c r="V29" s="1"/>
      <c r="W29" s="3"/>
      <c r="X29" s="1"/>
      <c r="Y29" s="4"/>
      <c r="Z29" s="4"/>
      <c r="AA29" s="1"/>
      <c r="AB29" s="1"/>
      <c r="AC29" s="1"/>
      <c r="AD29" s="2"/>
      <c r="AE29" s="1"/>
      <c r="AF29" s="1"/>
      <c r="AG29" s="1"/>
      <c r="AH29" s="3"/>
      <c r="AI29" s="1"/>
      <c r="AJ29" s="1"/>
      <c r="AK29" s="1"/>
      <c r="AL29" s="1"/>
      <c r="AM29" s="1"/>
      <c r="AN29" s="2"/>
      <c r="AO29" s="1"/>
      <c r="AP29" s="1"/>
      <c r="AQ29" s="1"/>
      <c r="AR29" s="2"/>
      <c r="AS29" s="1"/>
      <c r="AT29" s="2"/>
      <c r="AU29" s="4"/>
      <c r="AV29" s="7"/>
      <c r="AW29" s="4"/>
      <c r="AX29" s="3"/>
      <c r="AY29" s="4"/>
      <c r="AZ29" s="1"/>
      <c r="BA29" s="1"/>
      <c r="BB29" s="1"/>
      <c r="BC29" s="4"/>
      <c r="BD29" s="1"/>
      <c r="BE29" s="1"/>
    </row>
    <row r="30" spans="1:57" ht="15" customHeight="1" x14ac:dyDescent="0.25">
      <c r="A30" s="2"/>
      <c r="B30" s="1"/>
      <c r="E30" s="1"/>
      <c r="F30" s="1"/>
      <c r="G30" s="1"/>
      <c r="H30" s="1"/>
      <c r="J30" s="2"/>
      <c r="K30" s="3"/>
      <c r="L30" s="1"/>
      <c r="N30" s="3"/>
      <c r="P30" s="1"/>
      <c r="Q30" s="2"/>
      <c r="R30" s="3"/>
      <c r="S30" s="4"/>
      <c r="T30" s="3"/>
      <c r="U30" s="1"/>
      <c r="V30" s="1"/>
      <c r="W30" s="3"/>
      <c r="X30" s="1"/>
      <c r="Y30" s="4"/>
      <c r="Z30" s="4"/>
      <c r="AA30" s="1"/>
      <c r="AB30" s="1"/>
      <c r="AC30" s="1"/>
      <c r="AD30" s="2"/>
      <c r="AE30" s="1"/>
      <c r="AF30" s="1"/>
      <c r="AG30" s="1"/>
      <c r="AH30" s="3"/>
      <c r="AI30" s="1"/>
      <c r="AJ30" s="1"/>
      <c r="AK30" s="1"/>
      <c r="AL30" s="1"/>
      <c r="AM30" s="1"/>
      <c r="AN30" s="2"/>
      <c r="AO30" s="1"/>
      <c r="AP30" s="1"/>
      <c r="AQ30" s="1"/>
      <c r="AR30" s="2"/>
      <c r="AS30" s="1"/>
      <c r="AT30" s="2"/>
      <c r="AU30" s="4"/>
      <c r="AV30" s="7"/>
      <c r="AW30" s="4"/>
      <c r="AX30" s="3"/>
      <c r="AY30" s="4"/>
      <c r="AZ30" s="1"/>
      <c r="BA30" s="1"/>
      <c r="BB30" s="1"/>
      <c r="BC30" s="4"/>
      <c r="BD30" s="1"/>
      <c r="BE30" s="1"/>
    </row>
    <row r="31" spans="1:57" ht="15" customHeight="1" x14ac:dyDescent="0.25">
      <c r="A31" s="2"/>
      <c r="B31" s="1"/>
      <c r="E31" s="1"/>
      <c r="F31" s="1"/>
      <c r="G31" s="1"/>
      <c r="H31" s="1"/>
      <c r="J31" s="2"/>
      <c r="K31" s="3"/>
      <c r="L31" s="1"/>
      <c r="N31" s="3"/>
      <c r="P31" s="1"/>
      <c r="Q31" s="2"/>
      <c r="R31" s="3"/>
      <c r="S31" s="4"/>
      <c r="T31" s="3"/>
      <c r="U31" s="1"/>
      <c r="V31" s="1"/>
      <c r="W31" s="3"/>
      <c r="X31" s="1"/>
      <c r="Y31" s="4"/>
      <c r="Z31" s="4"/>
      <c r="AA31" s="1"/>
      <c r="AB31" s="1"/>
      <c r="AC31" s="1"/>
      <c r="AD31" s="2"/>
      <c r="AE31" s="1"/>
      <c r="AF31" s="1"/>
      <c r="AG31" s="1"/>
      <c r="AH31" s="3"/>
      <c r="AI31" s="1"/>
      <c r="AJ31" s="1"/>
      <c r="AK31" s="1"/>
      <c r="AL31" s="1"/>
      <c r="AM31" s="1"/>
      <c r="AN31" s="2"/>
      <c r="AO31" s="1"/>
      <c r="AP31" s="1"/>
      <c r="AQ31" s="1"/>
      <c r="AR31" s="2"/>
      <c r="AS31" s="1"/>
      <c r="AT31" s="2"/>
      <c r="AU31" s="4"/>
      <c r="AV31" s="7"/>
      <c r="AW31" s="4"/>
      <c r="AX31" s="3"/>
      <c r="AY31" s="4"/>
      <c r="AZ31" s="1"/>
      <c r="BA31" s="1"/>
      <c r="BB31" s="1"/>
      <c r="BC31" s="4"/>
      <c r="BD31" s="1"/>
      <c r="BE31" s="1"/>
    </row>
    <row r="32" spans="1:57" ht="15" customHeight="1" x14ac:dyDescent="0.25">
      <c r="A32" s="2"/>
      <c r="B32" s="1"/>
      <c r="E32" s="1"/>
      <c r="F32" s="1"/>
      <c r="G32" s="1"/>
      <c r="H32" s="1"/>
      <c r="J32" s="2"/>
      <c r="K32" s="3"/>
      <c r="L32" s="1"/>
      <c r="N32" s="3"/>
      <c r="P32" s="1"/>
      <c r="Q32" s="2"/>
      <c r="R32" s="3"/>
      <c r="S32" s="4"/>
      <c r="T32" s="3"/>
      <c r="U32" s="1"/>
      <c r="V32" s="1"/>
      <c r="W32" s="3"/>
      <c r="X32" s="1"/>
      <c r="Y32" s="4"/>
      <c r="Z32" s="4"/>
      <c r="AA32" s="1"/>
      <c r="AB32" s="1"/>
      <c r="AC32" s="1"/>
      <c r="AD32" s="2"/>
      <c r="AE32" s="1"/>
      <c r="AF32" s="1"/>
      <c r="AG32" s="1"/>
      <c r="AH32" s="3"/>
      <c r="AI32" s="1"/>
      <c r="AJ32" s="1"/>
      <c r="AK32" s="1"/>
      <c r="AL32" s="1"/>
      <c r="AM32" s="1"/>
      <c r="AN32" s="2"/>
      <c r="AO32" s="1"/>
      <c r="AP32" s="1"/>
      <c r="AQ32" s="1"/>
      <c r="AR32" s="2"/>
      <c r="AS32" s="1"/>
      <c r="AT32" s="2"/>
      <c r="AU32" s="4"/>
      <c r="AV32" s="7"/>
      <c r="AW32" s="4"/>
      <c r="AX32" s="3"/>
      <c r="AY32" s="4"/>
      <c r="AZ32" s="1"/>
      <c r="BA32" s="1"/>
      <c r="BB32" s="1"/>
      <c r="BC32" s="4"/>
      <c r="BD32" s="1"/>
      <c r="BE32" s="1"/>
    </row>
    <row r="33" spans="1:57" ht="15" customHeight="1" x14ac:dyDescent="0.25">
      <c r="A33" s="2"/>
      <c r="B33" s="1"/>
      <c r="E33" s="1"/>
      <c r="F33" s="1"/>
      <c r="G33" s="1"/>
      <c r="H33" s="1"/>
      <c r="J33" s="2"/>
      <c r="K33" s="3"/>
      <c r="L33" s="1"/>
      <c r="N33" s="3"/>
      <c r="P33" s="1"/>
      <c r="Q33" s="2"/>
      <c r="R33" s="3"/>
      <c r="S33" s="4"/>
      <c r="T33" s="3"/>
      <c r="U33" s="1"/>
      <c r="V33" s="1"/>
      <c r="W33" s="3"/>
      <c r="X33" s="1"/>
      <c r="Y33" s="4"/>
      <c r="Z33" s="4"/>
      <c r="AA33" s="1"/>
      <c r="AB33" s="1"/>
      <c r="AC33" s="1"/>
      <c r="AD33" s="2"/>
      <c r="AE33" s="1"/>
      <c r="AF33" s="1"/>
      <c r="AG33" s="1"/>
      <c r="AH33" s="3"/>
      <c r="AI33" s="1"/>
      <c r="AJ33" s="1"/>
      <c r="AK33" s="1"/>
      <c r="AL33" s="1"/>
      <c r="AM33" s="1"/>
      <c r="AN33" s="2"/>
      <c r="AO33" s="1"/>
      <c r="AP33" s="1"/>
      <c r="AQ33" s="1"/>
      <c r="AR33" s="2"/>
      <c r="AS33" s="1"/>
      <c r="AT33" s="2"/>
      <c r="AU33" s="4"/>
      <c r="AV33" s="7"/>
      <c r="AW33" s="4"/>
      <c r="AX33" s="3"/>
      <c r="AY33" s="4"/>
      <c r="AZ33" s="1"/>
      <c r="BA33" s="1"/>
      <c r="BB33" s="1"/>
      <c r="BC33" s="4"/>
      <c r="BD33" s="1"/>
      <c r="BE33" s="1"/>
    </row>
    <row r="34" spans="1:57" ht="15" customHeight="1" x14ac:dyDescent="0.25">
      <c r="A34" s="2"/>
      <c r="B34" s="1"/>
      <c r="E34" s="1"/>
      <c r="F34" s="1"/>
      <c r="G34" s="1"/>
      <c r="H34" s="1"/>
      <c r="J34" s="2"/>
      <c r="K34" s="3"/>
      <c r="L34" s="1"/>
      <c r="N34" s="3"/>
      <c r="P34" s="1"/>
      <c r="Q34" s="2"/>
      <c r="R34" s="3"/>
      <c r="S34" s="4"/>
      <c r="T34" s="3"/>
      <c r="U34" s="1"/>
      <c r="V34" s="1"/>
      <c r="W34" s="3"/>
      <c r="X34" s="1"/>
      <c r="Y34" s="4"/>
      <c r="Z34" s="4"/>
      <c r="AA34" s="1"/>
      <c r="AB34" s="1"/>
      <c r="AC34" s="1"/>
      <c r="AD34" s="2"/>
      <c r="AE34" s="1"/>
      <c r="AF34" s="1"/>
      <c r="AG34" s="1"/>
      <c r="AH34" s="3"/>
      <c r="AI34" s="1"/>
      <c r="AJ34" s="1"/>
      <c r="AK34" s="1"/>
      <c r="AL34" s="1"/>
      <c r="AM34" s="1"/>
      <c r="AN34" s="2"/>
      <c r="AO34" s="1"/>
      <c r="AP34" s="1"/>
      <c r="AQ34" s="1"/>
      <c r="AR34" s="2"/>
      <c r="AS34" s="1"/>
      <c r="AT34" s="2"/>
      <c r="AU34" s="4"/>
      <c r="AV34" s="7"/>
      <c r="AW34" s="4"/>
      <c r="AX34" s="3"/>
      <c r="AY34" s="4"/>
      <c r="AZ34" s="1"/>
      <c r="BA34" s="1"/>
      <c r="BB34" s="1"/>
      <c r="BC34" s="4"/>
      <c r="BD34" s="1"/>
      <c r="BE34" s="1"/>
    </row>
    <row r="35" spans="1:57" ht="15" customHeight="1" x14ac:dyDescent="0.25">
      <c r="A35" s="2"/>
      <c r="B35" s="1"/>
      <c r="E35" s="1"/>
      <c r="F35" s="1"/>
      <c r="G35" s="1"/>
      <c r="H35" s="1"/>
      <c r="J35" s="2"/>
      <c r="K35" s="3"/>
      <c r="L35" s="1"/>
      <c r="N35" s="3"/>
      <c r="P35" s="1"/>
      <c r="Q35" s="2"/>
      <c r="R35" s="3"/>
      <c r="S35" s="4"/>
      <c r="T35" s="3"/>
      <c r="U35" s="1"/>
      <c r="V35" s="1"/>
      <c r="W35" s="3"/>
      <c r="X35" s="1"/>
      <c r="Y35" s="4"/>
      <c r="Z35" s="4"/>
      <c r="AA35" s="1"/>
      <c r="AB35" s="1"/>
      <c r="AC35" s="1"/>
      <c r="AD35" s="2"/>
      <c r="AE35" s="1"/>
      <c r="AF35" s="1"/>
      <c r="AG35" s="1"/>
      <c r="AH35" s="3"/>
      <c r="AI35" s="1"/>
      <c r="AJ35" s="1"/>
      <c r="AK35" s="1"/>
      <c r="AL35" s="1"/>
      <c r="AM35" s="1"/>
      <c r="AN35" s="2"/>
      <c r="AO35" s="1"/>
      <c r="AP35" s="1"/>
      <c r="AQ35" s="1"/>
      <c r="AR35" s="2"/>
      <c r="AS35" s="1"/>
      <c r="AT35" s="2"/>
      <c r="AU35" s="4"/>
      <c r="AV35" s="7"/>
      <c r="AW35" s="4"/>
      <c r="AX35" s="3"/>
      <c r="AY35" s="4"/>
      <c r="AZ35" s="1"/>
      <c r="BA35" s="1"/>
      <c r="BB35" s="1"/>
      <c r="BC35" s="4"/>
      <c r="BD35" s="1"/>
      <c r="BE35" s="1"/>
    </row>
    <row r="36" spans="1:57" ht="15" customHeight="1" x14ac:dyDescent="0.25">
      <c r="A36" s="2"/>
      <c r="B36" s="1"/>
      <c r="E36" s="1"/>
      <c r="F36" s="1"/>
      <c r="G36" s="1"/>
      <c r="H36" s="1"/>
      <c r="J36" s="2"/>
      <c r="K36" s="3"/>
      <c r="L36" s="1"/>
      <c r="N36" s="3"/>
      <c r="P36" s="1"/>
      <c r="Q36" s="2"/>
      <c r="R36" s="3"/>
      <c r="S36" s="4"/>
      <c r="T36" s="3"/>
      <c r="U36" s="1"/>
      <c r="V36" s="1"/>
      <c r="W36" s="3"/>
      <c r="X36" s="1"/>
      <c r="Y36" s="4"/>
      <c r="Z36" s="4"/>
      <c r="AA36" s="1"/>
      <c r="AB36" s="1"/>
      <c r="AC36" s="1"/>
      <c r="AD36" s="2"/>
      <c r="AE36" s="1"/>
      <c r="AF36" s="1"/>
      <c r="AG36" s="1"/>
      <c r="AH36" s="3"/>
      <c r="AI36" s="1"/>
      <c r="AJ36" s="1"/>
      <c r="AK36" s="1"/>
      <c r="AL36" s="1"/>
      <c r="AM36" s="1"/>
      <c r="AN36" s="2"/>
      <c r="AO36" s="1"/>
      <c r="AP36" s="1"/>
      <c r="AQ36" s="1"/>
      <c r="AR36" s="2"/>
      <c r="AS36" s="1"/>
      <c r="AT36" s="2"/>
      <c r="AU36" s="4"/>
      <c r="AV36" s="7"/>
      <c r="AW36" s="4"/>
      <c r="AX36" s="3"/>
      <c r="AY36" s="4"/>
      <c r="AZ36" s="1"/>
      <c r="BA36" s="1"/>
      <c r="BB36" s="1"/>
      <c r="BC36" s="4"/>
      <c r="BD36" s="1"/>
      <c r="BE36" s="1"/>
    </row>
    <row r="37" spans="1:57" ht="15" customHeight="1" x14ac:dyDescent="0.25">
      <c r="A37" s="2"/>
      <c r="B37" s="1"/>
      <c r="E37" s="1"/>
      <c r="F37" s="1"/>
      <c r="G37" s="1"/>
      <c r="H37" s="1"/>
      <c r="J37" s="2"/>
      <c r="K37" s="3"/>
      <c r="L37" s="1"/>
      <c r="N37" s="3"/>
      <c r="P37" s="1"/>
      <c r="Q37" s="2"/>
      <c r="R37" s="3"/>
      <c r="S37" s="4"/>
      <c r="T37" s="3"/>
      <c r="U37" s="1"/>
      <c r="V37" s="1"/>
      <c r="W37" s="3"/>
      <c r="X37" s="1"/>
      <c r="Y37" s="4"/>
      <c r="Z37" s="4"/>
      <c r="AA37" s="1"/>
      <c r="AB37" s="1"/>
      <c r="AC37" s="1"/>
      <c r="AD37" s="2"/>
      <c r="AE37" s="1"/>
      <c r="AF37" s="1"/>
      <c r="AG37" s="1"/>
      <c r="AH37" s="3"/>
      <c r="AI37" s="1"/>
      <c r="AJ37" s="1"/>
      <c r="AK37" s="1"/>
      <c r="AL37" s="1"/>
      <c r="AM37" s="1"/>
      <c r="AN37" s="2"/>
      <c r="AO37" s="1"/>
      <c r="AP37" s="1"/>
      <c r="AQ37" s="1"/>
      <c r="AR37" s="2"/>
      <c r="AS37" s="1"/>
      <c r="AT37" s="2"/>
      <c r="AU37" s="4"/>
      <c r="AV37" s="7"/>
      <c r="AW37" s="4"/>
      <c r="AX37" s="3"/>
      <c r="AY37" s="4"/>
      <c r="AZ37" s="1"/>
      <c r="BA37" s="1"/>
      <c r="BB37" s="1"/>
      <c r="BC37" s="4"/>
      <c r="BD37" s="1"/>
      <c r="BE37" s="1"/>
    </row>
    <row r="38" spans="1:57" ht="15" customHeight="1" x14ac:dyDescent="0.25">
      <c r="A38" s="2"/>
      <c r="B38" s="1"/>
      <c r="E38" s="1"/>
      <c r="F38" s="1"/>
      <c r="G38" s="1"/>
      <c r="H38" s="1"/>
      <c r="J38" s="2"/>
      <c r="K38" s="3"/>
      <c r="L38" s="1"/>
      <c r="N38" s="3"/>
      <c r="P38" s="1"/>
      <c r="Q38" s="2"/>
      <c r="R38" s="3"/>
      <c r="S38" s="4"/>
      <c r="T38" s="3"/>
      <c r="U38" s="1"/>
      <c r="V38" s="1"/>
      <c r="W38" s="3"/>
      <c r="X38" s="1"/>
      <c r="Y38" s="4"/>
      <c r="Z38" s="4"/>
      <c r="AA38" s="1"/>
      <c r="AB38" s="1"/>
      <c r="AC38" s="1"/>
      <c r="AD38" s="2"/>
      <c r="AE38" s="1"/>
      <c r="AF38" s="1"/>
      <c r="AG38" s="1"/>
      <c r="AH38" s="3"/>
      <c r="AI38" s="1"/>
      <c r="AJ38" s="1"/>
      <c r="AK38" s="1"/>
      <c r="AL38" s="1"/>
      <c r="AM38" s="1"/>
      <c r="AN38" s="2"/>
      <c r="AO38" s="1"/>
      <c r="AP38" s="1"/>
      <c r="AQ38" s="1"/>
      <c r="AR38" s="2"/>
      <c r="AS38" s="1"/>
      <c r="AT38" s="2"/>
      <c r="AU38" s="4"/>
      <c r="AV38" s="7"/>
      <c r="AW38" s="4"/>
      <c r="AX38" s="3"/>
      <c r="AY38" s="4"/>
      <c r="AZ38" s="1"/>
      <c r="BA38" s="1"/>
      <c r="BB38" s="1"/>
      <c r="BC38" s="4"/>
      <c r="BD38" s="1"/>
      <c r="BE38" s="1"/>
    </row>
    <row r="39" spans="1:57" ht="15" customHeight="1" x14ac:dyDescent="0.25">
      <c r="A39" s="2"/>
      <c r="B39" s="1"/>
      <c r="E39" s="1"/>
      <c r="F39" s="1"/>
      <c r="G39" s="1"/>
      <c r="H39" s="1"/>
      <c r="J39" s="2"/>
      <c r="K39" s="3"/>
      <c r="L39" s="1"/>
      <c r="N39" s="3"/>
      <c r="P39" s="1"/>
      <c r="Q39" s="2"/>
      <c r="R39" s="3"/>
      <c r="S39" s="4"/>
      <c r="T39" s="3"/>
      <c r="U39" s="1"/>
      <c r="V39" s="1"/>
      <c r="W39" s="3"/>
      <c r="X39" s="1"/>
      <c r="Y39" s="4"/>
      <c r="Z39" s="4"/>
      <c r="AA39" s="1"/>
      <c r="AB39" s="1"/>
      <c r="AC39" s="1"/>
      <c r="AD39" s="2"/>
      <c r="AE39" s="1"/>
      <c r="AF39" s="1"/>
      <c r="AG39" s="1"/>
      <c r="AH39" s="3"/>
      <c r="AI39" s="1"/>
      <c r="AJ39" s="1"/>
      <c r="AK39" s="1"/>
      <c r="AL39" s="1"/>
      <c r="AM39" s="1"/>
      <c r="AN39" s="2"/>
      <c r="AO39" s="1"/>
      <c r="AP39" s="1"/>
      <c r="AQ39" s="1"/>
      <c r="AR39" s="2"/>
      <c r="AS39" s="1"/>
      <c r="AT39" s="2"/>
      <c r="AU39" s="4"/>
      <c r="AV39" s="7"/>
      <c r="AW39" s="4"/>
      <c r="AX39" s="3"/>
      <c r="AY39" s="4"/>
      <c r="AZ39" s="1"/>
      <c r="BA39" s="1"/>
      <c r="BB39" s="1"/>
      <c r="BC39" s="4"/>
      <c r="BD39" s="1"/>
      <c r="BE39" s="1"/>
    </row>
    <row r="40" spans="1:57" ht="15" customHeight="1" x14ac:dyDescent="0.25">
      <c r="A40" s="2"/>
      <c r="B40" s="1"/>
      <c r="E40" s="1"/>
      <c r="F40" s="1"/>
      <c r="G40" s="1"/>
      <c r="H40" s="1"/>
      <c r="J40" s="2"/>
      <c r="K40" s="3"/>
      <c r="L40" s="1"/>
      <c r="N40" s="3"/>
      <c r="P40" s="1"/>
      <c r="Q40" s="2"/>
      <c r="R40" s="3"/>
      <c r="S40" s="4"/>
      <c r="T40" s="3"/>
      <c r="U40" s="1"/>
      <c r="V40" s="1"/>
      <c r="W40" s="3"/>
      <c r="X40" s="1"/>
      <c r="Y40" s="4"/>
      <c r="Z40" s="4"/>
      <c r="AA40" s="1"/>
      <c r="AB40" s="1"/>
      <c r="AC40" s="1"/>
      <c r="AD40" s="2"/>
      <c r="AE40" s="1"/>
      <c r="AF40" s="1"/>
      <c r="AG40" s="1"/>
      <c r="AH40" s="3"/>
      <c r="AI40" s="1"/>
      <c r="AJ40" s="1"/>
      <c r="AK40" s="1"/>
      <c r="AL40" s="1"/>
      <c r="AM40" s="1"/>
      <c r="AN40" s="2"/>
      <c r="AO40" s="1"/>
      <c r="AP40" s="1"/>
      <c r="AQ40" s="1"/>
      <c r="AR40" s="2"/>
      <c r="AS40" s="1"/>
      <c r="AT40" s="2"/>
      <c r="AU40" s="4"/>
      <c r="AV40" s="7"/>
      <c r="AW40" s="4"/>
      <c r="AX40" s="3"/>
      <c r="AY40" s="4"/>
      <c r="AZ40" s="1"/>
      <c r="BA40" s="1"/>
      <c r="BB40" s="1"/>
      <c r="BC40" s="4"/>
      <c r="BD40" s="1"/>
      <c r="BE40" s="1"/>
    </row>
    <row r="41" spans="1:57" ht="15" customHeight="1" x14ac:dyDescent="0.25">
      <c r="A41" s="2"/>
      <c r="B41" s="1"/>
      <c r="E41" s="1"/>
      <c r="F41" s="1"/>
      <c r="G41" s="1"/>
      <c r="H41" s="1"/>
      <c r="J41" s="2"/>
      <c r="K41" s="3"/>
      <c r="L41" s="1"/>
      <c r="N41" s="3"/>
      <c r="P41" s="1"/>
      <c r="Q41" s="2"/>
      <c r="R41" s="3"/>
      <c r="S41" s="4"/>
      <c r="T41" s="3"/>
      <c r="U41" s="1"/>
      <c r="V41" s="1"/>
      <c r="W41" s="3"/>
      <c r="X41" s="1"/>
      <c r="Y41" s="4"/>
      <c r="Z41" s="4"/>
      <c r="AA41" s="1"/>
      <c r="AB41" s="1"/>
      <c r="AC41" s="1"/>
      <c r="AD41" s="2"/>
      <c r="AE41" s="1"/>
      <c r="AF41" s="1"/>
      <c r="AG41" s="1"/>
      <c r="AH41" s="3"/>
      <c r="AI41" s="1"/>
      <c r="AJ41" s="1"/>
      <c r="AK41" s="1"/>
      <c r="AL41" s="1"/>
      <c r="AM41" s="1"/>
      <c r="AN41" s="2"/>
      <c r="AO41" s="1"/>
      <c r="AP41" s="1"/>
      <c r="AQ41" s="1"/>
      <c r="AR41" s="2"/>
      <c r="AS41" s="1"/>
      <c r="AT41" s="2"/>
      <c r="AU41" s="4"/>
      <c r="AV41" s="7"/>
      <c r="AW41" s="4"/>
      <c r="AX41" s="3"/>
      <c r="AY41" s="4"/>
      <c r="AZ41" s="1"/>
      <c r="BA41" s="1"/>
      <c r="BB41" s="1"/>
      <c r="BC41" s="4"/>
      <c r="BD41" s="1"/>
      <c r="BE41" s="1"/>
    </row>
    <row r="42" spans="1:57" ht="15" customHeight="1" x14ac:dyDescent="0.25">
      <c r="A42" s="2"/>
      <c r="B42" s="1"/>
      <c r="E42" s="1"/>
      <c r="F42" s="1"/>
      <c r="G42" s="1"/>
      <c r="H42" s="1"/>
      <c r="J42" s="2"/>
      <c r="K42" s="3"/>
      <c r="L42" s="1"/>
      <c r="N42" s="3"/>
      <c r="P42" s="1"/>
      <c r="Q42" s="2"/>
      <c r="R42" s="3"/>
      <c r="S42" s="4"/>
      <c r="T42" s="3"/>
      <c r="U42" s="1"/>
      <c r="V42" s="1"/>
      <c r="W42" s="3"/>
      <c r="X42" s="1"/>
      <c r="Y42" s="4"/>
      <c r="Z42" s="4"/>
      <c r="AA42" s="1"/>
      <c r="AB42" s="1"/>
      <c r="AC42" s="1"/>
      <c r="AD42" s="2"/>
      <c r="AE42" s="1"/>
      <c r="AF42" s="1"/>
      <c r="AG42" s="1"/>
      <c r="AH42" s="3"/>
      <c r="AI42" s="1"/>
      <c r="AJ42" s="1"/>
      <c r="AK42" s="1"/>
      <c r="AL42" s="1"/>
      <c r="AM42" s="1"/>
      <c r="AN42" s="2"/>
      <c r="AO42" s="1"/>
      <c r="AP42" s="1"/>
      <c r="AQ42" s="1"/>
      <c r="AR42" s="2"/>
      <c r="AS42" s="1"/>
      <c r="AT42" s="2"/>
      <c r="AU42" s="4"/>
      <c r="AV42" s="7"/>
      <c r="AW42" s="4"/>
      <c r="AX42" s="3"/>
      <c r="AY42" s="4"/>
      <c r="AZ42" s="1"/>
      <c r="BA42" s="1"/>
      <c r="BB42" s="1"/>
      <c r="BC42" s="4"/>
      <c r="BD42" s="1"/>
      <c r="BE42" s="1"/>
    </row>
    <row r="43" spans="1:57" ht="15" customHeight="1" x14ac:dyDescent="0.25">
      <c r="A43" s="2"/>
      <c r="B43" s="1"/>
      <c r="E43" s="1"/>
      <c r="F43" s="1"/>
      <c r="G43" s="1"/>
      <c r="H43" s="1"/>
      <c r="J43" s="2"/>
      <c r="K43" s="3"/>
      <c r="L43" s="1"/>
      <c r="N43" s="3"/>
      <c r="P43" s="1"/>
      <c r="Q43" s="2"/>
      <c r="R43" s="3"/>
      <c r="S43" s="4"/>
      <c r="T43" s="3"/>
      <c r="U43" s="1"/>
      <c r="V43" s="1"/>
      <c r="W43" s="3"/>
      <c r="X43" s="1"/>
      <c r="Y43" s="4"/>
      <c r="Z43" s="4"/>
      <c r="AA43" s="1"/>
      <c r="AB43" s="1"/>
      <c r="AC43" s="1"/>
      <c r="AD43" s="2"/>
      <c r="AE43" s="1"/>
      <c r="AF43" s="1"/>
      <c r="AG43" s="1"/>
      <c r="AH43" s="3"/>
      <c r="AI43" s="1"/>
      <c r="AJ43" s="1"/>
      <c r="AK43" s="1"/>
      <c r="AL43" s="1"/>
      <c r="AM43" s="1"/>
      <c r="AN43" s="2"/>
      <c r="AO43" s="1"/>
      <c r="AP43" s="1"/>
      <c r="AQ43" s="1"/>
      <c r="AR43" s="2"/>
      <c r="AS43" s="1"/>
      <c r="AT43" s="2"/>
      <c r="AU43" s="4"/>
      <c r="AV43" s="7"/>
      <c r="AW43" s="4"/>
      <c r="AX43" s="3"/>
      <c r="AY43" s="4"/>
      <c r="AZ43" s="1"/>
      <c r="BA43" s="1"/>
      <c r="BB43" s="1"/>
      <c r="BC43" s="4"/>
      <c r="BD43" s="1"/>
      <c r="BE43" s="1"/>
    </row>
    <row r="44" spans="1:57" ht="15" customHeight="1" x14ac:dyDescent="0.25">
      <c r="A44" s="2"/>
      <c r="B44" s="1"/>
      <c r="E44" s="1"/>
      <c r="F44" s="1"/>
      <c r="G44" s="1"/>
      <c r="H44" s="1"/>
      <c r="J44" s="2"/>
      <c r="K44" s="3"/>
      <c r="L44" s="1"/>
      <c r="N44" s="3"/>
      <c r="P44" s="1"/>
      <c r="Q44" s="2"/>
      <c r="R44" s="3"/>
      <c r="S44" s="4"/>
      <c r="T44" s="3"/>
      <c r="U44" s="1"/>
      <c r="V44" s="1"/>
      <c r="W44" s="3"/>
      <c r="X44" s="1"/>
      <c r="Y44" s="4"/>
      <c r="Z44" s="4"/>
      <c r="AA44" s="1"/>
      <c r="AB44" s="1"/>
      <c r="AC44" s="1"/>
      <c r="AD44" s="2"/>
      <c r="AE44" s="1"/>
      <c r="AF44" s="1"/>
      <c r="AG44" s="1"/>
      <c r="AH44" s="3"/>
      <c r="AI44" s="1"/>
      <c r="AJ44" s="1"/>
      <c r="AK44" s="1"/>
      <c r="AL44" s="1"/>
      <c r="AM44" s="1"/>
      <c r="AN44" s="2"/>
      <c r="AO44" s="1"/>
      <c r="AP44" s="1"/>
      <c r="AQ44" s="1"/>
      <c r="AR44" s="2"/>
      <c r="AS44" s="1"/>
      <c r="AT44" s="2"/>
      <c r="AU44" s="4"/>
      <c r="AV44" s="7"/>
      <c r="AW44" s="4"/>
      <c r="AX44" s="3"/>
      <c r="AY44" s="4"/>
      <c r="AZ44" s="1"/>
      <c r="BA44" s="1"/>
      <c r="BB44" s="1"/>
      <c r="BC44" s="4"/>
      <c r="BD44" s="1"/>
      <c r="BE44" s="1"/>
    </row>
    <row r="45" spans="1:57" ht="15" customHeight="1" x14ac:dyDescent="0.25">
      <c r="A45" s="2"/>
      <c r="B45" s="1"/>
      <c r="E45" s="1"/>
      <c r="F45" s="1"/>
      <c r="G45" s="1"/>
      <c r="H45" s="1"/>
      <c r="J45" s="2"/>
      <c r="K45" s="3"/>
      <c r="L45" s="1"/>
      <c r="N45" s="3"/>
      <c r="P45" s="1"/>
      <c r="Q45" s="2"/>
      <c r="R45" s="3"/>
      <c r="S45" s="4"/>
      <c r="T45" s="3"/>
      <c r="U45" s="1"/>
      <c r="V45" s="1"/>
      <c r="W45" s="3"/>
      <c r="X45" s="1"/>
      <c r="Y45" s="4"/>
      <c r="Z45" s="4"/>
      <c r="AA45" s="1"/>
      <c r="AB45" s="1"/>
      <c r="AC45" s="1"/>
      <c r="AD45" s="2"/>
      <c r="AE45" s="1"/>
      <c r="AF45" s="1"/>
      <c r="AG45" s="1"/>
      <c r="AH45" s="3"/>
      <c r="AI45" s="1"/>
      <c r="AJ45" s="1"/>
      <c r="AK45" s="1"/>
      <c r="AL45" s="1"/>
      <c r="AM45" s="1"/>
      <c r="AN45" s="2"/>
      <c r="AO45" s="1"/>
      <c r="AP45" s="1"/>
      <c r="AQ45" s="1"/>
      <c r="AR45" s="2"/>
      <c r="AS45" s="1"/>
      <c r="AT45" s="2"/>
      <c r="AU45" s="4"/>
      <c r="AV45" s="7"/>
      <c r="AW45" s="4"/>
      <c r="AX45" s="3"/>
      <c r="AY45" s="4"/>
      <c r="AZ45" s="1"/>
      <c r="BA45" s="1"/>
      <c r="BB45" s="1"/>
      <c r="BC45" s="4"/>
      <c r="BD45" s="1"/>
      <c r="BE45" s="1"/>
    </row>
    <row r="46" spans="1:57" ht="15" customHeight="1" x14ac:dyDescent="0.25">
      <c r="A46" s="2"/>
      <c r="B46" s="1"/>
      <c r="E46" s="1"/>
      <c r="F46" s="1"/>
      <c r="G46" s="1"/>
      <c r="H46" s="1"/>
      <c r="J46" s="2"/>
      <c r="K46" s="3"/>
      <c r="L46" s="1"/>
      <c r="N46" s="3"/>
      <c r="P46" s="1"/>
      <c r="Q46" s="2"/>
      <c r="R46" s="3"/>
      <c r="S46" s="4"/>
      <c r="T46" s="3"/>
      <c r="U46" s="1"/>
      <c r="V46" s="1"/>
      <c r="W46" s="3"/>
      <c r="X46" s="1"/>
      <c r="Y46" s="4"/>
      <c r="Z46" s="4"/>
      <c r="AA46" s="1"/>
      <c r="AB46" s="1"/>
      <c r="AC46" s="1"/>
      <c r="AD46" s="2"/>
      <c r="AE46" s="1"/>
      <c r="AF46" s="1"/>
      <c r="AG46" s="1"/>
      <c r="AH46" s="3"/>
      <c r="AI46" s="1"/>
      <c r="AJ46" s="1"/>
      <c r="AK46" s="1"/>
      <c r="AL46" s="1"/>
      <c r="AM46" s="1"/>
      <c r="AN46" s="2"/>
      <c r="AO46" s="1"/>
      <c r="AP46" s="1"/>
      <c r="AQ46" s="1"/>
      <c r="AR46" s="2"/>
      <c r="AS46" s="1"/>
      <c r="AT46" s="2"/>
      <c r="AU46" s="4"/>
      <c r="AV46" s="7"/>
      <c r="AW46" s="4"/>
      <c r="AX46" s="3"/>
      <c r="AY46" s="4"/>
      <c r="AZ46" s="1"/>
      <c r="BA46" s="1"/>
      <c r="BB46" s="1"/>
      <c r="BC46" s="4"/>
      <c r="BD46" s="1"/>
      <c r="BE46" s="1"/>
    </row>
    <row r="47" spans="1:57" ht="15" customHeight="1" x14ac:dyDescent="0.25">
      <c r="A47" s="2"/>
      <c r="B47" s="1"/>
      <c r="E47" s="1"/>
      <c r="F47" s="1"/>
      <c r="G47" s="1"/>
      <c r="H47" s="1"/>
      <c r="J47" s="2"/>
      <c r="K47" s="3"/>
      <c r="L47" s="1"/>
      <c r="N47" s="3"/>
      <c r="P47" s="1"/>
      <c r="Q47" s="2"/>
      <c r="R47" s="3"/>
      <c r="S47" s="4"/>
      <c r="T47" s="3"/>
      <c r="U47" s="1"/>
      <c r="V47" s="1"/>
      <c r="W47" s="3"/>
      <c r="X47" s="1"/>
      <c r="Y47" s="4"/>
      <c r="Z47" s="4"/>
      <c r="AA47" s="1"/>
      <c r="AB47" s="1"/>
      <c r="AC47" s="1"/>
      <c r="AD47" s="2"/>
      <c r="AE47" s="1"/>
      <c r="AF47" s="1"/>
      <c r="AG47" s="1"/>
      <c r="AH47" s="3"/>
      <c r="AI47" s="1"/>
      <c r="AJ47" s="1"/>
      <c r="AK47" s="1"/>
      <c r="AL47" s="1"/>
      <c r="AM47" s="1"/>
      <c r="AN47" s="2"/>
      <c r="AO47" s="1"/>
      <c r="AP47" s="1"/>
      <c r="AQ47" s="1"/>
      <c r="AR47" s="2"/>
      <c r="AS47" s="1"/>
      <c r="AT47" s="2"/>
      <c r="AU47" s="4"/>
      <c r="AV47" s="7"/>
      <c r="AW47" s="4"/>
      <c r="AX47" s="3"/>
      <c r="AY47" s="4"/>
      <c r="AZ47" s="1"/>
      <c r="BA47" s="1"/>
      <c r="BB47" s="1"/>
      <c r="BC47" s="4"/>
      <c r="BD47" s="1"/>
      <c r="BE47" s="1"/>
    </row>
    <row r="48" spans="1:57" ht="15" customHeight="1" x14ac:dyDescent="0.25">
      <c r="A48" s="2"/>
      <c r="B48" s="1"/>
      <c r="E48" s="1"/>
      <c r="F48" s="1"/>
      <c r="G48" s="1"/>
      <c r="H48" s="1"/>
      <c r="J48" s="2"/>
      <c r="K48" s="3"/>
      <c r="L48" s="1"/>
      <c r="N48" s="3"/>
      <c r="P48" s="1"/>
      <c r="Q48" s="2"/>
      <c r="R48" s="3"/>
      <c r="S48" s="4"/>
      <c r="T48" s="3"/>
      <c r="U48" s="1"/>
      <c r="V48" s="1"/>
      <c r="W48" s="3"/>
      <c r="X48" s="1"/>
      <c r="Y48" s="4"/>
      <c r="Z48" s="4"/>
      <c r="AA48" s="1"/>
      <c r="AB48" s="1"/>
      <c r="AC48" s="1"/>
      <c r="AD48" s="2"/>
      <c r="AE48" s="1"/>
      <c r="AF48" s="1"/>
      <c r="AG48" s="1"/>
      <c r="AH48" s="3"/>
      <c r="AI48" s="1"/>
      <c r="AJ48" s="1"/>
      <c r="AK48" s="1"/>
      <c r="AL48" s="1"/>
      <c r="AM48" s="1"/>
      <c r="AN48" s="2"/>
      <c r="AO48" s="1"/>
      <c r="AP48" s="1"/>
      <c r="AQ48" s="1"/>
      <c r="AR48" s="2"/>
      <c r="AS48" s="1"/>
      <c r="AT48" s="2"/>
      <c r="AU48" s="4"/>
      <c r="AV48" s="7"/>
      <c r="AW48" s="4"/>
      <c r="AX48" s="3"/>
      <c r="AY48" s="4"/>
      <c r="AZ48" s="1"/>
      <c r="BA48" s="1"/>
      <c r="BB48" s="1"/>
      <c r="BC48" s="4"/>
      <c r="BD48" s="1"/>
      <c r="BE48" s="1"/>
    </row>
    <row r="49" spans="1:57" ht="15" customHeight="1" x14ac:dyDescent="0.25">
      <c r="A49" s="2"/>
      <c r="B49" s="1"/>
      <c r="E49" s="1"/>
      <c r="F49" s="1"/>
      <c r="G49" s="1"/>
      <c r="H49" s="1"/>
      <c r="J49" s="2"/>
      <c r="K49" s="3"/>
      <c r="L49" s="1"/>
      <c r="N49" s="3"/>
      <c r="P49" s="1"/>
      <c r="Q49" s="2"/>
      <c r="R49" s="3"/>
      <c r="S49" s="4"/>
      <c r="T49" s="3"/>
      <c r="U49" s="1"/>
      <c r="V49" s="1"/>
      <c r="W49" s="3"/>
      <c r="X49" s="1"/>
      <c r="Y49" s="4"/>
      <c r="Z49" s="4"/>
      <c r="AA49" s="1"/>
      <c r="AB49" s="1"/>
      <c r="AC49" s="1"/>
      <c r="AD49" s="2"/>
      <c r="AE49" s="1"/>
      <c r="AF49" s="1"/>
      <c r="AG49" s="1"/>
      <c r="AH49" s="3"/>
      <c r="AI49" s="1"/>
      <c r="AJ49" s="1"/>
      <c r="AK49" s="1"/>
      <c r="AL49" s="1"/>
      <c r="AM49" s="1"/>
      <c r="AN49" s="2"/>
      <c r="AO49" s="1"/>
      <c r="AP49" s="1"/>
      <c r="AQ49" s="1"/>
      <c r="AR49" s="2"/>
      <c r="AS49" s="1"/>
      <c r="AT49" s="2"/>
      <c r="AU49" s="4"/>
      <c r="AV49" s="7"/>
      <c r="AW49" s="4"/>
      <c r="AX49" s="3"/>
      <c r="AY49" s="4"/>
      <c r="AZ49" s="1"/>
      <c r="BA49" s="1"/>
      <c r="BB49" s="1"/>
      <c r="BC49" s="4"/>
      <c r="BD49" s="1"/>
      <c r="BE49" s="1"/>
    </row>
    <row r="50" spans="1:57" ht="15" customHeight="1" x14ac:dyDescent="0.25">
      <c r="A50" s="2"/>
      <c r="B50" s="1"/>
      <c r="E50" s="1"/>
      <c r="F50" s="1"/>
      <c r="G50" s="1"/>
      <c r="H50" s="1"/>
      <c r="J50" s="2"/>
      <c r="K50" s="3"/>
      <c r="L50" s="1"/>
      <c r="N50" s="3"/>
      <c r="P50" s="1"/>
      <c r="Q50" s="2"/>
      <c r="R50" s="3"/>
      <c r="S50" s="4"/>
      <c r="T50" s="3"/>
      <c r="U50" s="1"/>
      <c r="V50" s="1"/>
      <c r="W50" s="3"/>
      <c r="X50" s="1"/>
      <c r="Y50" s="4"/>
      <c r="Z50" s="4"/>
      <c r="AA50" s="1"/>
      <c r="AB50" s="1"/>
      <c r="AC50" s="1"/>
      <c r="AD50" s="2"/>
      <c r="AE50" s="1"/>
      <c r="AF50" s="1"/>
      <c r="AG50" s="1"/>
      <c r="AH50" s="3"/>
      <c r="AI50" s="1"/>
      <c r="AJ50" s="1"/>
      <c r="AK50" s="1"/>
      <c r="AL50" s="1"/>
      <c r="AM50" s="1"/>
      <c r="AN50" s="2"/>
      <c r="AO50" s="1"/>
      <c r="AP50" s="1"/>
      <c r="AQ50" s="1"/>
      <c r="AR50" s="2"/>
      <c r="AS50" s="1"/>
      <c r="AT50" s="2"/>
      <c r="AU50" s="4"/>
      <c r="AV50" s="4"/>
      <c r="AW50" s="4"/>
      <c r="AX50" s="3"/>
      <c r="AY50" s="4"/>
      <c r="AZ50" s="1"/>
      <c r="BA50" s="1"/>
      <c r="BB50" s="1"/>
      <c r="BC50" s="4"/>
      <c r="BD50" s="1"/>
      <c r="BE50" s="1"/>
    </row>
    <row r="51" spans="1:57" ht="15" customHeight="1" x14ac:dyDescent="0.25">
      <c r="A51" s="2"/>
      <c r="B51" s="1"/>
      <c r="E51" s="1"/>
      <c r="F51" s="1"/>
      <c r="G51" s="1"/>
      <c r="H51" s="1"/>
      <c r="J51" s="2"/>
      <c r="K51" s="3"/>
      <c r="L51" s="1"/>
      <c r="N51" s="3"/>
      <c r="P51" s="1"/>
      <c r="Q51" s="2"/>
      <c r="R51" s="3"/>
      <c r="S51" s="4"/>
      <c r="T51" s="3"/>
      <c r="U51" s="1"/>
      <c r="V51" s="1"/>
      <c r="W51" s="3"/>
      <c r="X51" s="1"/>
      <c r="Y51" s="4"/>
      <c r="Z51" s="4"/>
      <c r="AA51" s="1"/>
      <c r="AB51" s="1"/>
      <c r="AC51" s="1"/>
      <c r="AD51" s="2"/>
      <c r="AE51" s="1"/>
      <c r="AF51" s="1"/>
      <c r="AG51" s="1"/>
      <c r="AH51" s="3"/>
      <c r="AI51" s="1"/>
      <c r="AJ51" s="1"/>
      <c r="AK51" s="1"/>
      <c r="AL51" s="1"/>
      <c r="AM51" s="1"/>
      <c r="AN51" s="2"/>
      <c r="AO51" s="1"/>
      <c r="AP51" s="1"/>
      <c r="AQ51" s="1"/>
      <c r="AR51" s="2"/>
      <c r="AS51" s="1"/>
      <c r="AT51" s="2"/>
      <c r="AU51" s="4"/>
      <c r="AV51" s="7"/>
      <c r="AW51" s="4"/>
      <c r="AX51" s="3"/>
      <c r="AY51" s="4"/>
      <c r="AZ51" s="1"/>
      <c r="BA51" s="1"/>
      <c r="BB51" s="1"/>
      <c r="BC51" s="4"/>
      <c r="BD51" s="1"/>
      <c r="BE51" s="1"/>
    </row>
    <row r="52" spans="1:57" ht="15" customHeight="1" x14ac:dyDescent="0.25">
      <c r="A52" s="2"/>
      <c r="B52" s="1"/>
      <c r="E52" s="1"/>
      <c r="F52" s="1"/>
      <c r="G52" s="1"/>
      <c r="H52" s="1"/>
      <c r="J52" s="2"/>
      <c r="K52" s="3"/>
      <c r="L52" s="1"/>
      <c r="N52" s="3"/>
      <c r="P52" s="1"/>
      <c r="Q52" s="2"/>
      <c r="R52" s="3"/>
      <c r="S52" s="4"/>
      <c r="T52" s="3"/>
      <c r="U52" s="1"/>
      <c r="V52" s="1"/>
      <c r="W52" s="3"/>
      <c r="X52" s="1"/>
      <c r="Y52" s="4"/>
      <c r="Z52" s="4"/>
      <c r="AA52" s="1"/>
      <c r="AB52" s="1"/>
      <c r="AC52" s="1"/>
      <c r="AD52" s="2"/>
      <c r="AE52" s="1"/>
      <c r="AF52" s="1"/>
      <c r="AG52" s="1"/>
      <c r="AH52" s="3"/>
      <c r="AI52" s="1"/>
      <c r="AJ52" s="1"/>
      <c r="AK52" s="1"/>
      <c r="AL52" s="1"/>
      <c r="AM52" s="1"/>
      <c r="AN52" s="2"/>
      <c r="AO52" s="1"/>
      <c r="AP52" s="1"/>
      <c r="AQ52" s="1"/>
      <c r="AR52" s="2"/>
      <c r="AS52" s="1"/>
      <c r="AT52" s="2"/>
      <c r="AU52" s="4"/>
      <c r="AV52" s="7"/>
      <c r="AW52" s="4"/>
      <c r="AX52" s="3"/>
      <c r="AY52" s="4"/>
      <c r="AZ52" s="1"/>
      <c r="BA52" s="1"/>
      <c r="BB52" s="1"/>
      <c r="BC52" s="4"/>
      <c r="BD52" s="1"/>
      <c r="BE52" s="1"/>
    </row>
    <row r="53" spans="1:57" ht="15" customHeight="1" x14ac:dyDescent="0.25">
      <c r="A53" s="2"/>
      <c r="B53" s="1"/>
      <c r="E53" s="1"/>
      <c r="F53" s="1"/>
      <c r="G53" s="1"/>
      <c r="H53" s="1"/>
      <c r="J53" s="2"/>
      <c r="K53" s="3"/>
      <c r="L53" s="1"/>
      <c r="N53" s="3"/>
      <c r="P53" s="1"/>
      <c r="Q53" s="2"/>
      <c r="R53" s="3"/>
      <c r="S53" s="4"/>
      <c r="T53" s="3"/>
      <c r="U53" s="1"/>
      <c r="V53" s="1"/>
      <c r="W53" s="3"/>
      <c r="X53" s="1"/>
      <c r="Y53" s="4"/>
      <c r="Z53" s="4"/>
      <c r="AA53" s="1"/>
      <c r="AB53" s="1"/>
      <c r="AC53" s="1"/>
      <c r="AD53" s="2"/>
      <c r="AE53" s="1"/>
      <c r="AF53" s="1"/>
      <c r="AG53" s="1"/>
      <c r="AH53" s="3"/>
      <c r="AI53" s="1"/>
      <c r="AJ53" s="1"/>
      <c r="AK53" s="1"/>
      <c r="AL53" s="1"/>
      <c r="AM53" s="1"/>
      <c r="AN53" s="2"/>
      <c r="AO53" s="1"/>
      <c r="AP53" s="1"/>
      <c r="AQ53" s="1"/>
      <c r="AR53" s="2"/>
      <c r="AS53" s="1"/>
      <c r="AT53" s="2"/>
      <c r="AU53" s="4"/>
      <c r="AV53" s="7"/>
      <c r="AW53" s="4"/>
      <c r="AX53" s="3"/>
      <c r="AY53" s="4"/>
      <c r="AZ53" s="1"/>
      <c r="BA53" s="1"/>
      <c r="BB53" s="1"/>
      <c r="BC53" s="4"/>
      <c r="BD53" s="1"/>
      <c r="BE53" s="1"/>
    </row>
    <row r="54" spans="1:57" ht="15" customHeight="1" x14ac:dyDescent="0.25">
      <c r="A54" s="2"/>
      <c r="B54" s="1"/>
      <c r="E54" s="1"/>
      <c r="F54" s="1"/>
      <c r="G54" s="1"/>
      <c r="H54" s="1"/>
      <c r="J54" s="2"/>
      <c r="K54" s="3"/>
      <c r="L54" s="1"/>
      <c r="N54" s="3"/>
      <c r="P54" s="1"/>
      <c r="Q54" s="2"/>
      <c r="R54" s="3"/>
      <c r="S54" s="4"/>
      <c r="T54" s="3"/>
      <c r="U54" s="1"/>
      <c r="V54" s="1"/>
      <c r="W54" s="3"/>
      <c r="X54" s="1"/>
      <c r="Y54" s="4"/>
      <c r="Z54" s="4"/>
      <c r="AA54" s="1"/>
      <c r="AB54" s="1"/>
      <c r="AC54" s="1"/>
      <c r="AD54" s="2"/>
      <c r="AE54" s="1"/>
      <c r="AF54" s="1"/>
      <c r="AG54" s="1"/>
      <c r="AH54" s="3"/>
      <c r="AI54" s="1"/>
      <c r="AJ54" s="1"/>
      <c r="AK54" s="1"/>
      <c r="AL54" s="1"/>
      <c r="AM54" s="1"/>
      <c r="AN54" s="2"/>
      <c r="AO54" s="1"/>
      <c r="AP54" s="1"/>
      <c r="AQ54" s="1"/>
      <c r="AR54" s="2"/>
      <c r="AS54" s="1"/>
      <c r="AT54" s="2"/>
      <c r="AU54" s="4"/>
      <c r="AV54" s="7"/>
      <c r="AW54" s="4"/>
      <c r="AX54" s="3"/>
      <c r="AY54" s="4"/>
      <c r="AZ54" s="1"/>
      <c r="BA54" s="1"/>
      <c r="BB54" s="1"/>
      <c r="BC54" s="4"/>
      <c r="BD54" s="1"/>
      <c r="BE54" s="1"/>
    </row>
    <row r="55" spans="1:57" ht="15" customHeight="1" x14ac:dyDescent="0.25">
      <c r="A55" s="2"/>
      <c r="B55" s="1"/>
      <c r="E55" s="1"/>
      <c r="F55" s="1"/>
      <c r="G55" s="1"/>
      <c r="H55" s="1"/>
      <c r="J55" s="2"/>
      <c r="K55" s="3"/>
      <c r="L55" s="1"/>
      <c r="N55" s="3"/>
      <c r="P55" s="1"/>
      <c r="Q55" s="2"/>
      <c r="R55" s="3"/>
      <c r="S55" s="4"/>
      <c r="T55" s="3"/>
      <c r="U55" s="1"/>
      <c r="V55" s="1"/>
      <c r="W55" s="3"/>
      <c r="X55" s="1"/>
      <c r="Y55" s="4"/>
      <c r="Z55" s="4"/>
      <c r="AA55" s="1"/>
      <c r="AB55" s="1"/>
      <c r="AC55" s="1"/>
      <c r="AD55" s="2"/>
      <c r="AE55" s="1"/>
      <c r="AF55" s="1"/>
      <c r="AG55" s="1"/>
      <c r="AH55" s="3"/>
      <c r="AI55" s="1"/>
      <c r="AJ55" s="1"/>
      <c r="AK55" s="1"/>
      <c r="AL55" s="1"/>
      <c r="AM55" s="1"/>
      <c r="AN55" s="2"/>
      <c r="AO55" s="1"/>
      <c r="AP55" s="1"/>
      <c r="AQ55" s="1"/>
      <c r="AR55" s="2"/>
      <c r="AS55" s="1"/>
      <c r="AT55" s="2"/>
      <c r="AU55" s="4"/>
      <c r="AV55" s="7"/>
      <c r="AW55" s="4"/>
      <c r="AX55" s="3"/>
      <c r="AY55" s="4"/>
      <c r="AZ55" s="1"/>
      <c r="BA55" s="1"/>
      <c r="BB55" s="1"/>
      <c r="BC55" s="4"/>
      <c r="BD55" s="1"/>
      <c r="BE55" s="1"/>
    </row>
    <row r="56" spans="1:57" ht="15" customHeight="1" x14ac:dyDescent="0.25">
      <c r="A56" s="2"/>
      <c r="B56" s="1"/>
      <c r="E56" s="1"/>
      <c r="F56" s="1"/>
      <c r="G56" s="1"/>
      <c r="H56" s="1"/>
      <c r="J56" s="2"/>
      <c r="K56" s="3"/>
      <c r="L56" s="1"/>
      <c r="N56" s="3"/>
      <c r="P56" s="1"/>
      <c r="Q56" s="2"/>
      <c r="R56" s="3"/>
      <c r="S56" s="4"/>
      <c r="T56" s="3"/>
      <c r="U56" s="1"/>
      <c r="V56" s="1"/>
      <c r="W56" s="3"/>
      <c r="X56" s="1"/>
      <c r="Y56" s="4"/>
      <c r="Z56" s="4"/>
      <c r="AA56" s="1"/>
      <c r="AB56" s="1"/>
      <c r="AC56" s="1"/>
      <c r="AD56" s="2"/>
      <c r="AE56" s="1"/>
      <c r="AF56" s="1"/>
      <c r="AG56" s="1"/>
      <c r="AH56" s="3"/>
      <c r="AI56" s="1"/>
      <c r="AJ56" s="1"/>
      <c r="AK56" s="1"/>
      <c r="AL56" s="1"/>
      <c r="AM56" s="1"/>
      <c r="AN56" s="2"/>
      <c r="AO56" s="1"/>
      <c r="AP56" s="1"/>
      <c r="AQ56" s="1"/>
      <c r="AR56" s="2"/>
      <c r="AS56" s="1"/>
      <c r="AT56" s="2"/>
      <c r="AU56" s="4"/>
      <c r="AV56" s="7"/>
      <c r="AW56" s="4"/>
      <c r="AX56" s="3"/>
      <c r="AY56" s="4"/>
      <c r="AZ56" s="1"/>
      <c r="BA56" s="1"/>
      <c r="BB56" s="1"/>
      <c r="BC56" s="4"/>
      <c r="BD56" s="1"/>
      <c r="BE56" s="1"/>
    </row>
    <row r="57" spans="1:57" ht="15" customHeight="1" x14ac:dyDescent="0.25">
      <c r="A57" s="2"/>
      <c r="B57" s="1"/>
      <c r="E57" s="1"/>
      <c r="F57" s="1"/>
      <c r="G57" s="1"/>
      <c r="H57" s="1"/>
      <c r="J57" s="2"/>
      <c r="K57" s="3"/>
      <c r="L57" s="1"/>
      <c r="N57" s="3"/>
      <c r="P57" s="1"/>
      <c r="Q57" s="2"/>
      <c r="R57" s="3"/>
      <c r="S57" s="4"/>
      <c r="T57" s="3"/>
      <c r="U57" s="1"/>
      <c r="V57" s="1"/>
      <c r="W57" s="3"/>
      <c r="X57" s="1"/>
      <c r="Y57" s="4"/>
      <c r="Z57" s="4"/>
      <c r="AA57" s="1"/>
      <c r="AB57" s="1"/>
      <c r="AC57" s="1"/>
      <c r="AD57" s="2"/>
      <c r="AE57" s="1"/>
      <c r="AF57" s="1"/>
      <c r="AG57" s="1"/>
      <c r="AH57" s="3"/>
      <c r="AI57" s="1"/>
      <c r="AJ57" s="1"/>
      <c r="AK57" s="1"/>
      <c r="AL57" s="1"/>
      <c r="AM57" s="1"/>
      <c r="AN57" s="2"/>
      <c r="AO57" s="1"/>
      <c r="AP57" s="1"/>
      <c r="AQ57" s="1"/>
      <c r="AR57" s="2"/>
      <c r="AS57" s="1"/>
      <c r="AT57" s="2"/>
      <c r="AU57" s="4"/>
      <c r="AV57" s="7"/>
      <c r="AW57" s="4"/>
      <c r="AX57" s="3"/>
      <c r="AY57" s="4"/>
      <c r="AZ57" s="1"/>
      <c r="BA57" s="1"/>
      <c r="BB57" s="1"/>
      <c r="BC57" s="4"/>
      <c r="BD57" s="1"/>
      <c r="BE57" s="1"/>
    </row>
    <row r="58" spans="1:57" ht="15" customHeight="1" x14ac:dyDescent="0.25">
      <c r="A58" s="2"/>
      <c r="B58" s="1"/>
      <c r="E58" s="1"/>
      <c r="F58" s="1"/>
      <c r="G58" s="1"/>
      <c r="H58" s="1"/>
      <c r="J58" s="2"/>
      <c r="K58" s="3"/>
      <c r="L58" s="1"/>
      <c r="N58" s="3"/>
      <c r="P58" s="1"/>
      <c r="Q58" s="2"/>
      <c r="R58" s="3"/>
      <c r="S58" s="4"/>
      <c r="T58" s="3"/>
      <c r="U58" s="1"/>
      <c r="V58" s="1"/>
      <c r="W58" s="3"/>
      <c r="X58" s="1"/>
      <c r="Y58" s="4"/>
      <c r="Z58" s="4"/>
      <c r="AA58" s="1"/>
      <c r="AB58" s="1"/>
      <c r="AC58" s="1"/>
      <c r="AD58" s="2"/>
      <c r="AE58" s="1"/>
      <c r="AF58" s="1"/>
      <c r="AG58" s="1"/>
      <c r="AH58" s="3"/>
      <c r="AI58" s="1"/>
      <c r="AJ58" s="1"/>
      <c r="AK58" s="1"/>
      <c r="AL58" s="1"/>
      <c r="AM58" s="1"/>
      <c r="AN58" s="2"/>
      <c r="AO58" s="1"/>
      <c r="AP58" s="1"/>
      <c r="AQ58" s="1"/>
      <c r="AR58" s="2"/>
      <c r="AS58" s="1"/>
      <c r="AT58" s="2"/>
      <c r="AU58" s="4"/>
      <c r="AV58" s="7"/>
      <c r="AW58" s="4"/>
      <c r="AX58" s="3"/>
      <c r="AY58" s="4"/>
      <c r="AZ58" s="1"/>
      <c r="BA58" s="1"/>
      <c r="BB58" s="1"/>
      <c r="BC58" s="4"/>
      <c r="BD58" s="1"/>
      <c r="BE58" s="1"/>
    </row>
    <row r="59" spans="1:57" ht="15" customHeight="1" x14ac:dyDescent="0.25">
      <c r="A59" s="2"/>
      <c r="B59" s="1"/>
      <c r="E59" s="1"/>
      <c r="F59" s="1"/>
      <c r="G59" s="1"/>
      <c r="H59" s="1"/>
      <c r="J59" s="2"/>
      <c r="K59" s="3"/>
      <c r="L59" s="1"/>
      <c r="N59" s="3"/>
      <c r="P59" s="1"/>
      <c r="Q59" s="2"/>
      <c r="R59" s="3"/>
      <c r="S59" s="4"/>
      <c r="T59" s="3"/>
      <c r="U59" s="1"/>
      <c r="V59" s="1"/>
      <c r="W59" s="3"/>
      <c r="X59" s="1"/>
      <c r="Y59" s="4"/>
      <c r="Z59" s="4"/>
      <c r="AA59" s="1"/>
      <c r="AB59" s="1"/>
      <c r="AC59" s="1"/>
      <c r="AD59" s="2"/>
      <c r="AE59" s="1"/>
      <c r="AF59" s="1"/>
      <c r="AG59" s="1"/>
      <c r="AH59" s="3"/>
      <c r="AI59" s="1"/>
      <c r="AJ59" s="1"/>
      <c r="AK59" s="1"/>
      <c r="AL59" s="1"/>
      <c r="AM59" s="1"/>
      <c r="AN59" s="2"/>
      <c r="AO59" s="1"/>
      <c r="AP59" s="1"/>
      <c r="AQ59" s="1"/>
      <c r="AR59" s="2"/>
      <c r="AS59" s="1"/>
      <c r="AT59" s="2"/>
      <c r="AU59" s="4"/>
      <c r="AV59" s="7"/>
      <c r="AW59" s="4"/>
      <c r="AX59" s="3"/>
      <c r="AY59" s="4"/>
      <c r="AZ59" s="1"/>
      <c r="BA59" s="1"/>
      <c r="BB59" s="1"/>
      <c r="BC59" s="4"/>
      <c r="BD59" s="1"/>
      <c r="BE59" s="1"/>
    </row>
    <row r="60" spans="1:57" ht="15" customHeight="1" x14ac:dyDescent="0.25">
      <c r="A60" s="2"/>
      <c r="B60" s="1"/>
      <c r="E60" s="1"/>
      <c r="F60" s="1"/>
      <c r="G60" s="1"/>
      <c r="H60" s="1"/>
      <c r="J60" s="2"/>
      <c r="K60" s="3"/>
      <c r="L60" s="1"/>
      <c r="N60" s="3"/>
      <c r="P60" s="1"/>
      <c r="Q60" s="2"/>
      <c r="R60" s="3"/>
      <c r="S60" s="4"/>
      <c r="T60" s="3"/>
      <c r="U60" s="1"/>
      <c r="V60" s="1"/>
      <c r="W60" s="3"/>
      <c r="X60" s="1"/>
      <c r="Y60" s="4"/>
      <c r="Z60" s="4"/>
      <c r="AA60" s="1"/>
      <c r="AB60" s="1"/>
      <c r="AC60" s="1"/>
      <c r="AD60" s="2"/>
      <c r="AE60" s="1"/>
      <c r="AF60" s="1"/>
      <c r="AG60" s="1"/>
      <c r="AH60" s="3"/>
      <c r="AI60" s="1"/>
      <c r="AJ60" s="1"/>
      <c r="AK60" s="1"/>
      <c r="AL60" s="1"/>
      <c r="AM60" s="1"/>
      <c r="AN60" s="2"/>
      <c r="AO60" s="1"/>
      <c r="AP60" s="1"/>
      <c r="AQ60" s="1"/>
      <c r="AR60" s="2"/>
      <c r="AS60" s="1"/>
      <c r="AT60" s="2"/>
      <c r="AU60" s="4"/>
      <c r="AV60" s="7"/>
      <c r="AW60" s="4"/>
      <c r="AX60" s="3"/>
      <c r="AY60" s="4"/>
      <c r="AZ60" s="1"/>
      <c r="BA60" s="1"/>
      <c r="BB60" s="1"/>
      <c r="BC60" s="4"/>
      <c r="BD60" s="1"/>
      <c r="BE60" s="1"/>
    </row>
    <row r="61" spans="1:57" ht="15" customHeight="1" x14ac:dyDescent="0.25">
      <c r="A61" s="2"/>
      <c r="B61" s="1"/>
      <c r="E61" s="1"/>
      <c r="F61" s="1"/>
      <c r="G61" s="1"/>
      <c r="H61" s="1"/>
      <c r="J61" s="2"/>
      <c r="K61" s="3"/>
      <c r="L61" s="1"/>
      <c r="N61" s="3"/>
      <c r="P61" s="1"/>
      <c r="Q61" s="2"/>
      <c r="R61" s="3"/>
      <c r="S61" s="4"/>
      <c r="T61" s="3"/>
      <c r="U61" s="1"/>
      <c r="V61" s="1"/>
      <c r="W61" s="3"/>
      <c r="X61" s="1"/>
      <c r="Y61" s="4"/>
      <c r="Z61" s="4"/>
      <c r="AA61" s="1"/>
      <c r="AB61" s="1"/>
      <c r="AC61" s="1"/>
      <c r="AD61" s="2"/>
      <c r="AE61" s="1"/>
      <c r="AF61" s="1"/>
      <c r="AG61" s="1"/>
      <c r="AH61" s="3"/>
      <c r="AI61" s="1"/>
      <c r="AJ61" s="1"/>
      <c r="AK61" s="1"/>
      <c r="AL61" s="1"/>
      <c r="AM61" s="1"/>
      <c r="AN61" s="2"/>
      <c r="AO61" s="1"/>
      <c r="AP61" s="1"/>
      <c r="AQ61" s="1"/>
      <c r="AR61" s="2"/>
      <c r="AS61" s="1"/>
      <c r="AT61" s="2"/>
      <c r="AU61" s="4"/>
      <c r="AV61" s="7"/>
      <c r="AW61" s="4"/>
      <c r="AX61" s="3"/>
      <c r="AY61" s="4"/>
      <c r="AZ61" s="1"/>
      <c r="BA61" s="1"/>
      <c r="BB61" s="1"/>
      <c r="BC61" s="4"/>
      <c r="BD61" s="1"/>
      <c r="BE61" s="1"/>
    </row>
    <row r="62" spans="1:57" ht="15" customHeight="1" x14ac:dyDescent="0.25">
      <c r="A62" s="2"/>
      <c r="B62" s="1"/>
      <c r="E62" s="1"/>
      <c r="F62" s="1"/>
      <c r="G62" s="1"/>
      <c r="H62" s="1"/>
      <c r="J62" s="2"/>
      <c r="K62" s="3"/>
      <c r="L62" s="1"/>
      <c r="N62" s="3"/>
      <c r="P62" s="1"/>
      <c r="Q62" s="2"/>
      <c r="R62" s="3"/>
      <c r="S62" s="4"/>
      <c r="T62" s="3"/>
      <c r="U62" s="1"/>
      <c r="V62" s="1"/>
      <c r="W62" s="3"/>
      <c r="X62" s="1"/>
      <c r="Y62" s="4"/>
      <c r="Z62" s="4"/>
      <c r="AA62" s="1"/>
      <c r="AB62" s="1"/>
      <c r="AC62" s="1"/>
      <c r="AD62" s="2"/>
      <c r="AE62" s="1"/>
      <c r="AF62" s="1"/>
      <c r="AG62" s="1"/>
      <c r="AH62" s="3"/>
      <c r="AI62" s="1"/>
      <c r="AJ62" s="1"/>
      <c r="AK62" s="1"/>
      <c r="AL62" s="1"/>
      <c r="AM62" s="1"/>
      <c r="AN62" s="2"/>
      <c r="AO62" s="1"/>
      <c r="AP62" s="1"/>
      <c r="AQ62" s="1"/>
      <c r="AR62" s="2"/>
      <c r="AS62" s="1"/>
      <c r="AT62" s="2"/>
      <c r="AU62" s="4"/>
      <c r="AV62" s="7"/>
      <c r="AW62" s="4"/>
      <c r="AX62" s="3"/>
      <c r="AY62" s="4"/>
      <c r="AZ62" s="1"/>
      <c r="BA62" s="1"/>
      <c r="BB62" s="1"/>
      <c r="BC62" s="4"/>
      <c r="BD62" s="1"/>
      <c r="BE62" s="1"/>
    </row>
    <row r="63" spans="1:57" ht="15" customHeight="1" x14ac:dyDescent="0.25">
      <c r="A63" s="2"/>
      <c r="B63" s="1"/>
      <c r="E63" s="1"/>
      <c r="F63" s="1"/>
      <c r="G63" s="1"/>
      <c r="H63" s="1"/>
      <c r="J63" s="2"/>
      <c r="K63" s="3"/>
      <c r="L63" s="1"/>
      <c r="N63" s="3"/>
      <c r="P63" s="1"/>
      <c r="Q63" s="2"/>
      <c r="R63" s="3"/>
      <c r="S63" s="4"/>
      <c r="T63" s="3"/>
      <c r="U63" s="1"/>
      <c r="V63" s="1"/>
      <c r="W63" s="3"/>
      <c r="X63" s="1"/>
      <c r="Y63" s="4"/>
      <c r="Z63" s="4"/>
      <c r="AA63" s="1"/>
      <c r="AB63" s="1"/>
      <c r="AC63" s="1"/>
      <c r="AD63" s="2"/>
      <c r="AE63" s="1"/>
      <c r="AF63" s="1"/>
      <c r="AG63" s="1"/>
      <c r="AH63" s="3"/>
      <c r="AI63" s="1"/>
      <c r="AJ63" s="1"/>
      <c r="AK63" s="1"/>
      <c r="AL63" s="1"/>
      <c r="AM63" s="1"/>
      <c r="AN63" s="2"/>
      <c r="AO63" s="1"/>
      <c r="AP63" s="1"/>
      <c r="AQ63" s="1"/>
      <c r="AR63" s="2"/>
      <c r="AS63" s="1"/>
      <c r="AT63" s="2"/>
      <c r="AU63" s="4"/>
      <c r="AV63" s="7"/>
      <c r="AW63" s="4"/>
      <c r="AX63" s="3"/>
      <c r="AY63" s="4"/>
      <c r="AZ63" s="1"/>
      <c r="BA63" s="1"/>
      <c r="BB63" s="1"/>
      <c r="BC63" s="4"/>
      <c r="BD63" s="1"/>
      <c r="BE63" s="1"/>
    </row>
    <row r="64" spans="1:57" ht="15" customHeight="1" x14ac:dyDescent="0.25">
      <c r="A64" s="2"/>
      <c r="B64" s="1"/>
      <c r="E64" s="1"/>
      <c r="F64" s="1"/>
      <c r="G64" s="1"/>
      <c r="H64" s="1"/>
      <c r="J64" s="2"/>
      <c r="K64" s="3"/>
      <c r="L64" s="1"/>
      <c r="N64" s="3"/>
      <c r="P64" s="1"/>
      <c r="Q64" s="2"/>
      <c r="R64" s="3"/>
      <c r="S64" s="4"/>
      <c r="T64" s="3"/>
      <c r="U64" s="1"/>
      <c r="V64" s="1"/>
      <c r="W64" s="3"/>
      <c r="X64" s="1"/>
      <c r="Y64" s="4"/>
      <c r="Z64" s="4"/>
      <c r="AA64" s="1"/>
      <c r="AB64" s="1"/>
      <c r="AC64" s="1"/>
      <c r="AD64" s="2"/>
      <c r="AE64" s="1"/>
      <c r="AF64" s="1"/>
      <c r="AG64" s="1"/>
      <c r="AH64" s="3"/>
      <c r="AI64" s="1"/>
      <c r="AJ64" s="1"/>
      <c r="AK64" s="1"/>
      <c r="AL64" s="1"/>
      <c r="AM64" s="1"/>
      <c r="AN64" s="2"/>
      <c r="AO64" s="1"/>
      <c r="AP64" s="1"/>
      <c r="AQ64" s="1"/>
      <c r="AR64" s="2"/>
      <c r="AS64" s="1"/>
      <c r="AT64" s="2"/>
      <c r="AU64" s="4"/>
      <c r="AV64" s="7"/>
      <c r="AW64" s="4"/>
      <c r="AX64" s="3"/>
      <c r="AY64" s="4"/>
      <c r="AZ64" s="1"/>
      <c r="BA64" s="1"/>
      <c r="BB64" s="1"/>
      <c r="BC64" s="4"/>
      <c r="BD64" s="1"/>
      <c r="BE64" s="1"/>
    </row>
    <row r="65" spans="1:57" ht="15" customHeight="1" x14ac:dyDescent="0.25">
      <c r="A65" s="2"/>
      <c r="B65" s="1"/>
      <c r="E65" s="1"/>
      <c r="F65" s="1"/>
      <c r="G65" s="1"/>
      <c r="H65" s="1"/>
      <c r="J65" s="2"/>
      <c r="K65" s="3"/>
      <c r="L65" s="1"/>
      <c r="N65" s="3"/>
      <c r="P65" s="1"/>
      <c r="Q65" s="2"/>
      <c r="R65" s="3"/>
      <c r="S65" s="4"/>
      <c r="T65" s="3"/>
      <c r="U65" s="1"/>
      <c r="V65" s="1"/>
      <c r="W65" s="3"/>
      <c r="X65" s="1"/>
      <c r="Y65" s="4"/>
      <c r="Z65" s="4"/>
      <c r="AA65" s="1"/>
      <c r="AB65" s="1"/>
      <c r="AC65" s="1"/>
      <c r="AD65" s="2"/>
      <c r="AE65" s="1"/>
      <c r="AF65" s="1"/>
      <c r="AG65" s="1"/>
      <c r="AH65" s="3"/>
      <c r="AI65" s="1"/>
      <c r="AJ65" s="1"/>
      <c r="AK65" s="1"/>
      <c r="AL65" s="1"/>
      <c r="AM65" s="1"/>
      <c r="AN65" s="2"/>
      <c r="AO65" s="1"/>
      <c r="AP65" s="1"/>
      <c r="AQ65" s="1"/>
      <c r="AR65" s="2"/>
      <c r="AS65" s="1"/>
      <c r="AT65" s="2"/>
      <c r="AU65" s="4"/>
      <c r="AV65" s="7"/>
      <c r="AW65" s="4"/>
      <c r="AX65" s="3"/>
      <c r="AY65" s="4"/>
      <c r="AZ65" s="1"/>
      <c r="BA65" s="1"/>
      <c r="BB65" s="1"/>
      <c r="BC65" s="4"/>
      <c r="BD65" s="1"/>
      <c r="BE65" s="1"/>
    </row>
    <row r="66" spans="1:57" ht="15" customHeight="1" x14ac:dyDescent="0.25">
      <c r="A66" s="2"/>
      <c r="B66" s="1"/>
      <c r="E66" s="1"/>
      <c r="F66" s="1"/>
      <c r="G66" s="1"/>
      <c r="H66" s="1"/>
      <c r="J66" s="2"/>
      <c r="K66" s="3"/>
      <c r="L66" s="1"/>
      <c r="N66" s="3"/>
      <c r="P66" s="1"/>
      <c r="Q66" s="2"/>
      <c r="R66" s="3"/>
      <c r="S66" s="4"/>
      <c r="T66" s="3"/>
      <c r="U66" s="1"/>
      <c r="V66" s="1"/>
      <c r="W66" s="3"/>
      <c r="X66" s="1"/>
      <c r="Y66" s="4"/>
      <c r="Z66" s="4"/>
      <c r="AA66" s="1"/>
      <c r="AB66" s="1"/>
      <c r="AC66" s="1"/>
      <c r="AD66" s="2"/>
      <c r="AE66" s="1"/>
      <c r="AF66" s="1"/>
      <c r="AG66" s="1"/>
      <c r="AH66" s="3"/>
      <c r="AI66" s="1"/>
      <c r="AJ66" s="1"/>
      <c r="AK66" s="1"/>
      <c r="AL66" s="1"/>
      <c r="AM66" s="1"/>
      <c r="AN66" s="2"/>
      <c r="AO66" s="1"/>
      <c r="AP66" s="1"/>
      <c r="AQ66" s="1"/>
      <c r="AR66" s="2"/>
      <c r="AS66" s="1"/>
      <c r="AT66" s="2"/>
      <c r="AU66" s="4"/>
      <c r="AV66" s="7"/>
      <c r="AW66" s="4"/>
      <c r="AX66" s="3"/>
      <c r="AY66" s="4"/>
      <c r="AZ66" s="1"/>
      <c r="BA66" s="1"/>
      <c r="BB66" s="1"/>
      <c r="BC66" s="4"/>
      <c r="BD66" s="1"/>
      <c r="BE66" s="1"/>
    </row>
    <row r="67" spans="1:57" ht="15" customHeight="1" x14ac:dyDescent="0.25">
      <c r="A67" s="2"/>
      <c r="B67" s="1"/>
      <c r="E67" s="1"/>
      <c r="F67" s="1"/>
      <c r="G67" s="1"/>
      <c r="H67" s="1"/>
      <c r="J67" s="2"/>
      <c r="K67" s="3"/>
      <c r="L67" s="1"/>
      <c r="N67" s="3"/>
      <c r="P67" s="1"/>
      <c r="Q67" s="2"/>
      <c r="R67" s="3"/>
      <c r="S67" s="4"/>
      <c r="T67" s="3"/>
      <c r="U67" s="1"/>
      <c r="V67" s="1"/>
      <c r="W67" s="3"/>
      <c r="X67" s="1"/>
      <c r="Y67" s="4"/>
      <c r="Z67" s="4"/>
      <c r="AA67" s="1"/>
      <c r="AB67" s="1"/>
      <c r="AC67" s="1"/>
      <c r="AD67" s="2"/>
      <c r="AE67" s="1"/>
      <c r="AF67" s="1"/>
      <c r="AG67" s="1"/>
      <c r="AH67" s="3"/>
      <c r="AI67" s="1"/>
      <c r="AJ67" s="1"/>
      <c r="AK67" s="1"/>
      <c r="AL67" s="1"/>
      <c r="AM67" s="1"/>
      <c r="AN67" s="2"/>
      <c r="AO67" s="1"/>
      <c r="AP67" s="1"/>
      <c r="AQ67" s="1"/>
      <c r="AR67" s="2"/>
      <c r="AS67" s="1"/>
      <c r="AT67" s="2"/>
      <c r="AU67" s="4"/>
      <c r="AV67" s="7"/>
      <c r="AW67" s="4"/>
      <c r="AX67" s="3"/>
      <c r="AY67" s="4"/>
      <c r="AZ67" s="1"/>
      <c r="BA67" s="1"/>
      <c r="BB67" s="1"/>
      <c r="BC67" s="4"/>
      <c r="BD67" s="1"/>
      <c r="BE67" s="1"/>
    </row>
    <row r="68" spans="1:57" ht="15" customHeight="1" x14ac:dyDescent="0.25">
      <c r="A68" s="2"/>
      <c r="B68" s="1"/>
      <c r="E68" s="1"/>
      <c r="F68" s="1"/>
      <c r="G68" s="1"/>
      <c r="H68" s="1"/>
      <c r="J68" s="2"/>
      <c r="K68" s="3"/>
      <c r="L68" s="1"/>
      <c r="N68" s="3"/>
      <c r="P68" s="1"/>
      <c r="Q68" s="2"/>
      <c r="R68" s="3"/>
      <c r="S68" s="4"/>
      <c r="T68" s="3"/>
      <c r="U68" s="1"/>
      <c r="V68" s="1"/>
      <c r="W68" s="3"/>
      <c r="X68" s="1"/>
      <c r="Y68" s="4"/>
      <c r="Z68" s="4"/>
      <c r="AA68" s="1"/>
      <c r="AB68" s="1"/>
      <c r="AC68" s="1"/>
      <c r="AD68" s="2"/>
      <c r="AE68" s="1"/>
      <c r="AF68" s="1"/>
      <c r="AG68" s="1"/>
      <c r="AH68" s="3"/>
      <c r="AI68" s="1"/>
      <c r="AJ68" s="1"/>
      <c r="AK68" s="1"/>
      <c r="AL68" s="1"/>
      <c r="AM68" s="1"/>
      <c r="AN68" s="2"/>
      <c r="AO68" s="1"/>
      <c r="AP68" s="1"/>
      <c r="AQ68" s="1"/>
      <c r="AR68" s="2"/>
      <c r="AS68" s="1"/>
      <c r="AT68" s="2"/>
      <c r="AU68" s="4"/>
      <c r="AV68" s="7"/>
      <c r="AW68" s="4"/>
      <c r="AX68" s="3"/>
      <c r="AY68" s="4"/>
      <c r="AZ68" s="1"/>
      <c r="BA68" s="1"/>
      <c r="BB68" s="1"/>
      <c r="BC68" s="4"/>
      <c r="BD68" s="1"/>
      <c r="BE68" s="1"/>
    </row>
    <row r="69" spans="1:57" ht="15" customHeight="1" x14ac:dyDescent="0.25">
      <c r="A69" s="2"/>
      <c r="B69" s="1"/>
      <c r="E69" s="1"/>
      <c r="F69" s="1"/>
      <c r="G69" s="1"/>
      <c r="H69" s="1"/>
      <c r="J69" s="2"/>
      <c r="K69" s="3"/>
      <c r="L69" s="1"/>
      <c r="N69" s="3"/>
      <c r="P69" s="1"/>
      <c r="Q69" s="2"/>
      <c r="R69" s="3"/>
      <c r="S69" s="4"/>
      <c r="T69" s="3"/>
      <c r="U69" s="1"/>
      <c r="V69" s="1"/>
      <c r="W69" s="3"/>
      <c r="X69" s="1"/>
      <c r="Y69" s="4"/>
      <c r="Z69" s="4"/>
      <c r="AA69" s="1"/>
      <c r="AB69" s="1"/>
      <c r="AC69" s="1"/>
      <c r="AD69" s="2"/>
      <c r="AE69" s="1"/>
      <c r="AF69" s="1"/>
      <c r="AG69" s="1"/>
      <c r="AH69" s="3"/>
      <c r="AI69" s="1"/>
      <c r="AJ69" s="1"/>
      <c r="AK69" s="1"/>
      <c r="AL69" s="1"/>
      <c r="AM69" s="1"/>
      <c r="AN69" s="2"/>
      <c r="AO69" s="1"/>
      <c r="AP69" s="1"/>
      <c r="AQ69" s="1"/>
      <c r="AR69" s="2"/>
      <c r="AS69" s="1"/>
      <c r="AT69" s="2"/>
      <c r="AU69" s="4"/>
      <c r="AV69" s="7"/>
      <c r="AW69" s="4"/>
      <c r="AX69" s="3"/>
      <c r="AY69" s="4"/>
      <c r="AZ69" s="1"/>
      <c r="BA69" s="1"/>
      <c r="BB69" s="1"/>
      <c r="BC69" s="4"/>
      <c r="BD69" s="1"/>
      <c r="BE69" s="1"/>
    </row>
    <row r="70" spans="1:57" ht="15" customHeight="1" x14ac:dyDescent="0.25">
      <c r="A70" s="2"/>
      <c r="B70" s="1"/>
      <c r="E70" s="1"/>
      <c r="F70" s="1"/>
      <c r="G70" s="1"/>
      <c r="H70" s="1"/>
      <c r="J70" s="2"/>
      <c r="K70" s="3"/>
      <c r="L70" s="1"/>
      <c r="N70" s="3"/>
      <c r="P70" s="1"/>
      <c r="Q70" s="2"/>
      <c r="R70" s="3"/>
      <c r="S70" s="4"/>
      <c r="T70" s="3"/>
      <c r="U70" s="1"/>
      <c r="V70" s="1"/>
      <c r="W70" s="3"/>
      <c r="X70" s="1"/>
      <c r="Y70" s="4"/>
      <c r="Z70" s="4"/>
      <c r="AA70" s="1"/>
      <c r="AB70" s="1"/>
      <c r="AC70" s="1"/>
      <c r="AD70" s="2"/>
      <c r="AE70" s="1"/>
      <c r="AF70" s="1"/>
      <c r="AG70" s="1"/>
      <c r="AH70" s="3"/>
      <c r="AI70" s="1"/>
      <c r="AJ70" s="1"/>
      <c r="AK70" s="1"/>
      <c r="AL70" s="1"/>
      <c r="AM70" s="1"/>
      <c r="AN70" s="2"/>
      <c r="AO70" s="1"/>
      <c r="AP70" s="1"/>
      <c r="AQ70" s="1"/>
      <c r="AR70" s="2"/>
      <c r="AS70" s="1"/>
      <c r="AT70" s="2"/>
      <c r="AU70" s="4"/>
      <c r="AV70" s="7"/>
      <c r="AW70" s="4"/>
      <c r="AX70" s="3"/>
      <c r="AY70" s="4"/>
      <c r="AZ70" s="1"/>
      <c r="BA70" s="1"/>
      <c r="BB70" s="1"/>
      <c r="BC70" s="4"/>
      <c r="BD70" s="1"/>
      <c r="BE70" s="1"/>
    </row>
    <row r="71" spans="1:57" ht="15" customHeight="1" x14ac:dyDescent="0.25">
      <c r="A71" s="2"/>
      <c r="B71" s="1"/>
      <c r="E71" s="1"/>
      <c r="F71" s="1"/>
      <c r="G71" s="1"/>
      <c r="H71" s="1"/>
      <c r="J71" s="2"/>
      <c r="K71" s="3"/>
      <c r="L71" s="1"/>
      <c r="N71" s="3"/>
      <c r="P71" s="1"/>
      <c r="Q71" s="2"/>
      <c r="R71" s="3"/>
      <c r="S71" s="4"/>
      <c r="T71" s="3"/>
      <c r="U71" s="1"/>
      <c r="V71" s="1"/>
      <c r="W71" s="3"/>
      <c r="X71" s="1"/>
      <c r="Y71" s="4"/>
      <c r="Z71" s="4"/>
      <c r="AA71" s="1"/>
      <c r="AB71" s="1"/>
      <c r="AC71" s="1"/>
      <c r="AD71" s="2"/>
      <c r="AE71" s="1"/>
      <c r="AF71" s="1"/>
      <c r="AG71" s="1"/>
      <c r="AH71" s="3"/>
      <c r="AI71" s="1"/>
      <c r="AJ71" s="1"/>
      <c r="AK71" s="1"/>
      <c r="AL71" s="1"/>
      <c r="AM71" s="1"/>
      <c r="AN71" s="2"/>
      <c r="AO71" s="1"/>
      <c r="AP71" s="1"/>
      <c r="AQ71" s="1"/>
      <c r="AR71" s="2"/>
      <c r="AS71" s="1"/>
      <c r="AT71" s="2"/>
      <c r="AU71" s="4"/>
      <c r="AV71" s="7"/>
      <c r="AW71" s="4"/>
      <c r="AX71" s="3"/>
      <c r="AY71" s="4"/>
      <c r="AZ71" s="1"/>
      <c r="BA71" s="1"/>
      <c r="BB71" s="1"/>
      <c r="BC71" s="4"/>
      <c r="BD71" s="1"/>
      <c r="BE71" s="1"/>
    </row>
    <row r="72" spans="1:57" ht="15" customHeight="1" x14ac:dyDescent="0.25">
      <c r="A72" s="2"/>
      <c r="B72" s="1"/>
      <c r="E72" s="1"/>
      <c r="F72" s="1"/>
      <c r="G72" s="1"/>
      <c r="H72" s="1"/>
      <c r="J72" s="2"/>
      <c r="K72" s="3"/>
      <c r="L72" s="1"/>
      <c r="N72" s="3"/>
      <c r="P72" s="1"/>
      <c r="Q72" s="2"/>
      <c r="R72" s="3"/>
      <c r="S72" s="4"/>
      <c r="T72" s="3"/>
      <c r="U72" s="1"/>
      <c r="V72" s="1"/>
      <c r="W72" s="3"/>
      <c r="X72" s="1"/>
      <c r="Y72" s="4"/>
      <c r="Z72" s="4"/>
      <c r="AA72" s="1"/>
      <c r="AB72" s="1"/>
      <c r="AC72" s="1"/>
      <c r="AD72" s="2"/>
      <c r="AE72" s="1"/>
      <c r="AF72" s="1"/>
      <c r="AG72" s="1"/>
      <c r="AH72" s="3"/>
      <c r="AI72" s="1"/>
      <c r="AJ72" s="1"/>
      <c r="AK72" s="1"/>
      <c r="AL72" s="1"/>
      <c r="AM72" s="1"/>
      <c r="AN72" s="2"/>
      <c r="AO72" s="1"/>
      <c r="AP72" s="1"/>
      <c r="AQ72" s="1"/>
      <c r="AR72" s="2"/>
      <c r="AS72" s="1"/>
      <c r="AT72" s="2"/>
      <c r="AU72" s="4"/>
      <c r="AV72" s="7"/>
      <c r="AW72" s="4"/>
      <c r="AX72" s="3"/>
      <c r="AY72" s="4"/>
      <c r="AZ72" s="1"/>
      <c r="BA72" s="1"/>
      <c r="BB72" s="1"/>
      <c r="BC72" s="4"/>
      <c r="BD72" s="1"/>
      <c r="BE72" s="1"/>
    </row>
    <row r="73" spans="1:57" ht="15" customHeight="1" x14ac:dyDescent="0.25">
      <c r="A73" s="2"/>
      <c r="B73" s="1"/>
      <c r="E73" s="1"/>
      <c r="F73" s="1"/>
      <c r="G73" s="1"/>
      <c r="H73" s="1"/>
      <c r="J73" s="2"/>
      <c r="K73" s="3"/>
      <c r="L73" s="1"/>
      <c r="N73" s="3"/>
      <c r="P73" s="1"/>
      <c r="Q73" s="2"/>
      <c r="R73" s="3"/>
      <c r="S73" s="4"/>
      <c r="T73" s="3"/>
      <c r="U73" s="1"/>
      <c r="V73" s="1"/>
      <c r="W73" s="3"/>
      <c r="X73" s="1"/>
      <c r="Y73" s="4"/>
      <c r="Z73" s="4"/>
      <c r="AA73" s="1"/>
      <c r="AB73" s="1"/>
      <c r="AC73" s="1"/>
      <c r="AD73" s="2"/>
      <c r="AE73" s="1"/>
      <c r="AF73" s="1"/>
      <c r="AG73" s="1"/>
      <c r="AH73" s="3"/>
      <c r="AI73" s="1"/>
      <c r="AJ73" s="1"/>
      <c r="AK73" s="1"/>
      <c r="AL73" s="1"/>
      <c r="AM73" s="1"/>
      <c r="AN73" s="2"/>
      <c r="AO73" s="1"/>
      <c r="AP73" s="1"/>
      <c r="AQ73" s="1"/>
      <c r="AR73" s="2"/>
      <c r="AS73" s="1"/>
      <c r="AT73" s="2"/>
      <c r="AU73" s="4"/>
      <c r="AV73" s="7"/>
      <c r="AW73" s="4"/>
      <c r="AX73" s="3"/>
      <c r="AY73" s="4"/>
      <c r="AZ73" s="1"/>
      <c r="BA73" s="1"/>
      <c r="BB73" s="1"/>
      <c r="BC73" s="4"/>
      <c r="BD73" s="1"/>
      <c r="BE73" s="1"/>
    </row>
    <row r="74" spans="1:57" ht="15" customHeight="1" x14ac:dyDescent="0.25">
      <c r="A74" s="2"/>
      <c r="B74" s="1"/>
      <c r="E74" s="1"/>
      <c r="F74" s="1"/>
      <c r="G74" s="1"/>
      <c r="H74" s="1"/>
      <c r="J74" s="2"/>
      <c r="K74" s="3"/>
      <c r="L74" s="1"/>
      <c r="N74" s="3"/>
      <c r="P74" s="1"/>
      <c r="Q74" s="2"/>
      <c r="R74" s="3"/>
      <c r="S74" s="4"/>
      <c r="T74" s="3"/>
      <c r="U74" s="1"/>
      <c r="V74" s="1"/>
      <c r="W74" s="3"/>
      <c r="X74" s="1"/>
      <c r="Y74" s="4"/>
      <c r="Z74" s="4"/>
      <c r="AA74" s="1"/>
      <c r="AB74" s="1"/>
      <c r="AC74" s="1"/>
      <c r="AD74" s="2"/>
      <c r="AE74" s="1"/>
      <c r="AF74" s="1"/>
      <c r="AG74" s="1"/>
      <c r="AH74" s="3"/>
      <c r="AI74" s="1"/>
      <c r="AJ74" s="1"/>
      <c r="AK74" s="1"/>
      <c r="AL74" s="1"/>
      <c r="AM74" s="1"/>
      <c r="AN74" s="2"/>
      <c r="AO74" s="1"/>
      <c r="AP74" s="1"/>
      <c r="AQ74" s="1"/>
      <c r="AR74" s="2"/>
      <c r="AS74" s="1"/>
      <c r="AT74" s="2"/>
      <c r="AU74" s="4"/>
      <c r="AV74" s="7"/>
      <c r="AW74" s="4"/>
      <c r="AX74" s="3"/>
      <c r="AY74" s="4"/>
      <c r="AZ74" s="1"/>
      <c r="BA74" s="1"/>
      <c r="BB74" s="1"/>
      <c r="BC74" s="4"/>
      <c r="BD74" s="1"/>
      <c r="BE74" s="1"/>
    </row>
    <row r="75" spans="1:57" ht="15" customHeight="1" x14ac:dyDescent="0.25">
      <c r="A75" s="2"/>
      <c r="B75" s="1"/>
      <c r="E75" s="1"/>
      <c r="F75" s="1"/>
      <c r="G75" s="1"/>
      <c r="H75" s="1"/>
      <c r="J75" s="2"/>
      <c r="K75" s="3"/>
      <c r="L75" s="1"/>
      <c r="N75" s="3"/>
      <c r="P75" s="1"/>
      <c r="Q75" s="2"/>
      <c r="R75" s="3"/>
      <c r="S75" s="4"/>
      <c r="T75" s="3"/>
      <c r="U75" s="1"/>
      <c r="V75" s="1"/>
      <c r="W75" s="3"/>
      <c r="X75" s="1"/>
      <c r="Y75" s="4"/>
      <c r="Z75" s="4"/>
      <c r="AA75" s="1"/>
      <c r="AB75" s="1"/>
      <c r="AC75" s="1"/>
      <c r="AD75" s="2"/>
      <c r="AE75" s="1"/>
      <c r="AF75" s="1"/>
      <c r="AG75" s="1"/>
      <c r="AH75" s="3"/>
      <c r="AI75" s="1"/>
      <c r="AJ75" s="1"/>
      <c r="AK75" s="1"/>
      <c r="AL75" s="1"/>
      <c r="AM75" s="1"/>
      <c r="AN75" s="2"/>
      <c r="AO75" s="1"/>
      <c r="AP75" s="1"/>
      <c r="AQ75" s="1"/>
      <c r="AR75" s="2"/>
      <c r="AS75" s="1"/>
      <c r="AT75" s="2"/>
      <c r="AU75" s="4"/>
      <c r="AV75" s="7"/>
      <c r="AW75" s="4"/>
      <c r="AX75" s="3"/>
      <c r="AY75" s="4"/>
      <c r="AZ75" s="1"/>
      <c r="BA75" s="1"/>
      <c r="BB75" s="1"/>
      <c r="BC75" s="4"/>
      <c r="BD75" s="1"/>
      <c r="BE75" s="1"/>
    </row>
    <row r="76" spans="1:57" ht="15" customHeight="1" x14ac:dyDescent="0.25">
      <c r="A76" s="2"/>
      <c r="B76" s="1"/>
      <c r="E76" s="1"/>
      <c r="F76" s="1"/>
      <c r="G76" s="1"/>
      <c r="H76" s="1"/>
      <c r="J76" s="2"/>
      <c r="K76" s="3"/>
      <c r="L76" s="1"/>
      <c r="N76" s="3"/>
      <c r="P76" s="1"/>
      <c r="Q76" s="2"/>
      <c r="R76" s="3"/>
      <c r="S76" s="4"/>
      <c r="T76" s="3"/>
      <c r="U76" s="1"/>
      <c r="V76" s="1"/>
      <c r="W76" s="3"/>
      <c r="X76" s="1"/>
      <c r="Y76" s="4"/>
      <c r="Z76" s="4"/>
      <c r="AA76" s="1"/>
      <c r="AB76" s="1"/>
      <c r="AC76" s="1"/>
      <c r="AD76" s="2"/>
      <c r="AE76" s="1"/>
      <c r="AF76" s="1"/>
      <c r="AG76" s="1"/>
      <c r="AH76" s="3"/>
      <c r="AI76" s="1"/>
      <c r="AJ76" s="1"/>
      <c r="AK76" s="1"/>
      <c r="AL76" s="1"/>
      <c r="AM76" s="1"/>
      <c r="AN76" s="2"/>
      <c r="AO76" s="1"/>
      <c r="AP76" s="1"/>
      <c r="AQ76" s="1"/>
      <c r="AR76" s="2"/>
      <c r="AS76" s="1"/>
      <c r="AT76" s="2"/>
      <c r="AU76" s="4"/>
      <c r="AV76" s="7"/>
      <c r="AW76" s="4"/>
      <c r="AX76" s="3"/>
      <c r="AY76" s="4"/>
      <c r="AZ76" s="1"/>
      <c r="BA76" s="1"/>
      <c r="BB76" s="1"/>
      <c r="BC76" s="4"/>
      <c r="BD76" s="1"/>
      <c r="BE76" s="1"/>
    </row>
    <row r="77" spans="1:57" ht="15" customHeight="1" x14ac:dyDescent="0.25">
      <c r="A77" s="2"/>
      <c r="B77" s="1"/>
      <c r="E77" s="1"/>
      <c r="F77" s="1"/>
      <c r="G77" s="1"/>
      <c r="H77" s="1"/>
      <c r="J77" s="2"/>
      <c r="K77" s="3"/>
      <c r="L77" s="1"/>
      <c r="N77" s="3"/>
      <c r="P77" s="1"/>
      <c r="Q77" s="2"/>
      <c r="R77" s="3"/>
      <c r="S77" s="4"/>
      <c r="T77" s="3"/>
      <c r="U77" s="1"/>
      <c r="V77" s="1"/>
      <c r="W77" s="3"/>
      <c r="X77" s="1"/>
      <c r="Y77" s="4"/>
      <c r="Z77" s="4"/>
      <c r="AA77" s="1"/>
      <c r="AB77" s="1"/>
      <c r="AC77" s="1"/>
      <c r="AD77" s="2"/>
      <c r="AE77" s="1"/>
      <c r="AF77" s="1"/>
      <c r="AG77" s="1"/>
      <c r="AH77" s="3"/>
      <c r="AI77" s="1"/>
      <c r="AJ77" s="1"/>
      <c r="AK77" s="1"/>
      <c r="AL77" s="1"/>
      <c r="AM77" s="1"/>
      <c r="AN77" s="2"/>
      <c r="AO77" s="1"/>
      <c r="AP77" s="1"/>
      <c r="AQ77" s="1"/>
      <c r="AR77" s="2"/>
      <c r="AS77" s="1"/>
      <c r="AT77" s="2"/>
      <c r="AU77" s="4"/>
      <c r="AV77" s="7"/>
      <c r="AW77" s="4"/>
      <c r="AX77" s="3"/>
      <c r="AY77" s="4"/>
      <c r="AZ77" s="1"/>
      <c r="BA77" s="1"/>
      <c r="BB77" s="1"/>
      <c r="BC77" s="4"/>
      <c r="BD77" s="1"/>
      <c r="BE77" s="1"/>
    </row>
    <row r="78" spans="1:57" ht="15" customHeight="1" x14ac:dyDescent="0.25">
      <c r="A78" s="2"/>
      <c r="B78" s="1"/>
      <c r="E78" s="1"/>
      <c r="F78" s="1"/>
      <c r="G78" s="1"/>
      <c r="H78" s="1"/>
      <c r="J78" s="2"/>
      <c r="K78" s="3"/>
      <c r="L78" s="1"/>
      <c r="N78" s="3"/>
      <c r="P78" s="1"/>
      <c r="Q78" s="2"/>
      <c r="R78" s="3"/>
      <c r="S78" s="4"/>
      <c r="T78" s="3"/>
      <c r="U78" s="1"/>
      <c r="V78" s="1"/>
      <c r="W78" s="3"/>
      <c r="X78" s="1"/>
      <c r="Y78" s="4"/>
      <c r="Z78" s="4"/>
      <c r="AA78" s="1"/>
      <c r="AB78" s="1"/>
      <c r="AC78" s="1"/>
      <c r="AD78" s="2"/>
      <c r="AE78" s="1"/>
      <c r="AF78" s="1"/>
      <c r="AG78" s="1"/>
      <c r="AH78" s="3"/>
      <c r="AI78" s="1"/>
      <c r="AJ78" s="1"/>
      <c r="AK78" s="1"/>
      <c r="AL78" s="1"/>
      <c r="AM78" s="1"/>
      <c r="AN78" s="2"/>
      <c r="AO78" s="1"/>
      <c r="AP78" s="1"/>
      <c r="AQ78" s="1"/>
      <c r="AR78" s="2"/>
      <c r="AS78" s="1"/>
      <c r="AT78" s="2"/>
      <c r="AU78" s="4"/>
      <c r="AV78" s="7"/>
      <c r="AW78" s="4"/>
      <c r="AX78" s="3"/>
      <c r="AY78" s="4"/>
      <c r="AZ78" s="1"/>
      <c r="BA78" s="1"/>
      <c r="BB78" s="1"/>
      <c r="BC78" s="4"/>
      <c r="BD78" s="1"/>
      <c r="BE78" s="1"/>
    </row>
    <row r="79" spans="1:57" ht="15" customHeight="1" x14ac:dyDescent="0.25">
      <c r="A79" s="2"/>
      <c r="B79" s="1"/>
      <c r="E79" s="1"/>
      <c r="F79" s="1"/>
      <c r="G79" s="1"/>
      <c r="H79" s="1"/>
      <c r="J79" s="2"/>
      <c r="K79" s="3"/>
      <c r="L79" s="1"/>
      <c r="N79" s="3"/>
      <c r="P79" s="1"/>
      <c r="Q79" s="2"/>
      <c r="R79" s="3"/>
      <c r="S79" s="4"/>
      <c r="T79" s="3"/>
      <c r="U79" s="1"/>
      <c r="V79" s="1"/>
      <c r="W79" s="3"/>
      <c r="X79" s="1"/>
      <c r="Y79" s="4"/>
      <c r="Z79" s="4"/>
      <c r="AA79" s="1"/>
      <c r="AB79" s="1"/>
      <c r="AC79" s="1"/>
      <c r="AD79" s="2"/>
      <c r="AE79" s="1"/>
      <c r="AF79" s="1"/>
      <c r="AG79" s="1"/>
      <c r="AH79" s="3"/>
      <c r="AI79" s="1"/>
      <c r="AJ79" s="1"/>
      <c r="AK79" s="1"/>
      <c r="AL79" s="1"/>
      <c r="AM79" s="1"/>
      <c r="AN79" s="2"/>
      <c r="AO79" s="1"/>
      <c r="AP79" s="1"/>
      <c r="AQ79" s="1"/>
      <c r="AR79" s="2"/>
      <c r="AS79" s="1"/>
      <c r="AT79" s="2"/>
      <c r="AU79" s="4"/>
      <c r="AV79" s="7"/>
      <c r="AW79" s="4"/>
      <c r="AX79" s="3"/>
      <c r="AY79" s="4"/>
      <c r="AZ79" s="1"/>
      <c r="BA79" s="1"/>
      <c r="BB79" s="1"/>
      <c r="BC79" s="4"/>
      <c r="BD79" s="1"/>
      <c r="BE79" s="1"/>
    </row>
    <row r="80" spans="1:57" ht="15" customHeight="1" x14ac:dyDescent="0.25">
      <c r="A80" s="2"/>
      <c r="B80" s="1"/>
      <c r="E80" s="1"/>
      <c r="F80" s="1"/>
      <c r="G80" s="1"/>
      <c r="H80" s="1"/>
      <c r="J80" s="2"/>
      <c r="K80" s="3"/>
      <c r="L80" s="1"/>
      <c r="N80" s="3"/>
      <c r="P80" s="1"/>
      <c r="Q80" s="2"/>
      <c r="R80" s="3"/>
      <c r="S80" s="4"/>
      <c r="T80" s="3"/>
      <c r="U80" s="1"/>
      <c r="V80" s="1"/>
      <c r="W80" s="3"/>
      <c r="X80" s="1"/>
      <c r="Y80" s="4"/>
      <c r="Z80" s="4"/>
      <c r="AA80" s="1"/>
      <c r="AB80" s="1"/>
      <c r="AC80" s="1"/>
      <c r="AD80" s="2"/>
      <c r="AE80" s="1"/>
      <c r="AF80" s="1"/>
      <c r="AG80" s="1"/>
      <c r="AH80" s="3"/>
      <c r="AI80" s="1"/>
      <c r="AJ80" s="1"/>
      <c r="AK80" s="1"/>
      <c r="AL80" s="1"/>
      <c r="AM80" s="1"/>
      <c r="AN80" s="2"/>
      <c r="AO80" s="1"/>
      <c r="AP80" s="1"/>
      <c r="AQ80" s="1"/>
      <c r="AR80" s="2"/>
      <c r="AS80" s="1"/>
      <c r="AT80" s="2"/>
      <c r="AU80" s="4"/>
      <c r="AV80" s="7"/>
      <c r="AW80" s="4"/>
      <c r="AX80" s="3"/>
      <c r="AY80" s="4"/>
      <c r="AZ80" s="1"/>
      <c r="BA80" s="1"/>
      <c r="BB80" s="1"/>
      <c r="BC80" s="4"/>
      <c r="BD80" s="1"/>
      <c r="BE80" s="1"/>
    </row>
    <row r="81" spans="1:62" ht="15" customHeight="1" x14ac:dyDescent="0.25">
      <c r="A81" s="2"/>
      <c r="B81" s="1"/>
      <c r="E81" s="1"/>
      <c r="F81" s="1"/>
      <c r="G81" s="1"/>
      <c r="H81" s="1"/>
      <c r="J81" s="2"/>
      <c r="K81" s="3"/>
      <c r="L81" s="1"/>
      <c r="N81" s="3"/>
      <c r="P81" s="1"/>
      <c r="Q81" s="2"/>
      <c r="R81" s="3"/>
      <c r="S81" s="4"/>
      <c r="T81" s="3"/>
      <c r="U81" s="1"/>
      <c r="V81" s="1"/>
      <c r="W81" s="3"/>
      <c r="X81" s="1"/>
      <c r="Y81" s="4"/>
      <c r="Z81" s="4"/>
      <c r="AA81" s="1"/>
      <c r="AB81" s="1"/>
      <c r="AC81" s="1"/>
      <c r="AD81" s="2"/>
      <c r="AE81" s="1"/>
      <c r="AF81" s="1"/>
      <c r="AG81" s="1"/>
      <c r="AH81" s="3"/>
      <c r="AI81" s="1"/>
      <c r="AJ81" s="1"/>
      <c r="AK81" s="1"/>
      <c r="AL81" s="1"/>
      <c r="AM81" s="1"/>
      <c r="AN81" s="2"/>
      <c r="AO81" s="1"/>
      <c r="AP81" s="1"/>
      <c r="AQ81" s="1"/>
      <c r="AR81" s="2"/>
      <c r="AS81" s="1"/>
      <c r="AT81" s="2"/>
      <c r="AU81" s="4"/>
      <c r="AV81" s="7"/>
      <c r="AW81" s="4"/>
      <c r="AX81" s="3"/>
      <c r="AY81" s="4"/>
      <c r="AZ81" s="1"/>
      <c r="BA81" s="1"/>
      <c r="BB81" s="1"/>
      <c r="BC81" s="4"/>
      <c r="BD81" s="1"/>
      <c r="BE81" s="1"/>
    </row>
    <row r="82" spans="1:62" ht="15" customHeight="1" x14ac:dyDescent="0.25">
      <c r="A82" s="2"/>
      <c r="B82" s="1"/>
      <c r="E82" s="1"/>
      <c r="F82" s="1"/>
      <c r="G82" s="1"/>
      <c r="H82" s="1"/>
      <c r="J82" s="2"/>
      <c r="K82" s="3"/>
      <c r="L82" s="1"/>
      <c r="N82" s="3"/>
      <c r="P82" s="1"/>
      <c r="Q82" s="2"/>
      <c r="R82" s="3"/>
      <c r="S82" s="4"/>
      <c r="T82" s="3"/>
      <c r="U82" s="1"/>
      <c r="V82" s="1"/>
      <c r="W82" s="3"/>
      <c r="X82" s="1"/>
      <c r="Y82" s="4"/>
      <c r="Z82" s="4"/>
      <c r="AA82" s="1"/>
      <c r="AB82" s="1"/>
      <c r="AC82" s="1"/>
      <c r="AD82" s="2"/>
      <c r="AE82" s="1"/>
      <c r="AF82" s="1"/>
      <c r="AG82" s="1"/>
      <c r="AH82" s="3"/>
      <c r="AI82" s="1"/>
      <c r="AJ82" s="1"/>
      <c r="AK82" s="1"/>
      <c r="AL82" s="1"/>
      <c r="AM82" s="1"/>
      <c r="AN82" s="2"/>
      <c r="AO82" s="1"/>
      <c r="AP82" s="1"/>
      <c r="AQ82" s="1"/>
      <c r="AR82" s="2"/>
      <c r="AS82" s="1"/>
      <c r="AT82" s="2"/>
      <c r="AU82" s="4"/>
      <c r="AV82" s="7"/>
      <c r="AW82" s="4"/>
      <c r="AX82" s="3"/>
      <c r="AY82" s="4"/>
      <c r="AZ82" s="1"/>
      <c r="BA82" s="1"/>
      <c r="BB82" s="1"/>
      <c r="BC82" s="4"/>
      <c r="BD82" s="1"/>
      <c r="BE82" s="1"/>
    </row>
    <row r="83" spans="1:62" ht="15" customHeight="1" x14ac:dyDescent="0.25">
      <c r="A83" s="2"/>
      <c r="B83" s="1"/>
      <c r="E83" s="1"/>
      <c r="F83" s="1"/>
      <c r="G83" s="1"/>
      <c r="H83" s="1"/>
      <c r="J83" s="2"/>
      <c r="K83" s="3"/>
      <c r="L83" s="1"/>
      <c r="N83" s="3"/>
      <c r="P83" s="1"/>
      <c r="Q83" s="2"/>
      <c r="R83" s="3"/>
      <c r="S83" s="4"/>
      <c r="T83" s="3"/>
      <c r="U83" s="1"/>
      <c r="V83" s="1"/>
      <c r="W83" s="3"/>
      <c r="X83" s="1"/>
      <c r="Y83" s="4"/>
      <c r="Z83" s="4"/>
      <c r="AA83" s="1"/>
      <c r="AB83" s="1"/>
      <c r="AC83" s="1"/>
      <c r="AD83" s="2"/>
      <c r="AE83" s="1"/>
      <c r="AF83" s="1"/>
      <c r="AG83" s="1"/>
      <c r="AH83" s="3"/>
      <c r="AI83" s="1"/>
      <c r="AJ83" s="1"/>
      <c r="AK83" s="1"/>
      <c r="AL83" s="1"/>
      <c r="AM83" s="1"/>
      <c r="AN83" s="2"/>
      <c r="AO83" s="1"/>
      <c r="AP83" s="1"/>
      <c r="AQ83" s="1"/>
      <c r="AR83" s="2"/>
      <c r="AS83" s="1"/>
      <c r="AT83" s="2"/>
      <c r="AU83" s="4"/>
      <c r="AV83" s="7"/>
      <c r="AW83" s="4"/>
      <c r="AX83" s="3"/>
      <c r="AY83" s="4"/>
      <c r="AZ83" s="1"/>
      <c r="BA83" s="1"/>
      <c r="BB83" s="1"/>
      <c r="BC83" s="4"/>
      <c r="BD83" s="1"/>
      <c r="BE83" s="1"/>
    </row>
    <row r="84" spans="1:62" ht="15" customHeight="1" x14ac:dyDescent="0.25">
      <c r="A84" s="2"/>
      <c r="B84" s="1"/>
      <c r="E84" s="1"/>
      <c r="F84" s="1"/>
      <c r="G84" s="1"/>
      <c r="H84" s="1"/>
      <c r="J84" s="2"/>
      <c r="K84" s="3"/>
      <c r="L84" s="1"/>
      <c r="N84" s="3"/>
      <c r="P84" s="1"/>
      <c r="Q84" s="2"/>
      <c r="R84" s="3"/>
      <c r="S84" s="4"/>
      <c r="T84" s="3"/>
      <c r="U84" s="1"/>
      <c r="V84" s="1"/>
      <c r="W84" s="3"/>
      <c r="X84" s="1"/>
      <c r="Y84" s="4"/>
      <c r="Z84" s="4"/>
      <c r="AA84" s="1"/>
      <c r="AB84" s="1"/>
      <c r="AC84" s="1"/>
      <c r="AD84" s="2"/>
      <c r="AE84" s="1"/>
      <c r="AF84" s="1"/>
      <c r="AG84" s="1"/>
      <c r="AH84" s="3"/>
      <c r="AI84" s="1"/>
      <c r="AJ84" s="1"/>
      <c r="AK84" s="1"/>
      <c r="AL84" s="1"/>
      <c r="AM84" s="1"/>
      <c r="AN84" s="2"/>
      <c r="AO84" s="1"/>
      <c r="AP84" s="1"/>
      <c r="AQ84" s="1"/>
      <c r="AR84" s="2"/>
      <c r="AS84" s="1"/>
      <c r="AT84" s="2"/>
      <c r="AU84" s="4"/>
      <c r="AV84" s="7"/>
      <c r="AW84" s="4"/>
      <c r="AX84" s="3"/>
      <c r="AY84" s="4"/>
      <c r="AZ84" s="1"/>
      <c r="BA84" s="1"/>
      <c r="BB84" s="1"/>
      <c r="BC84" s="4"/>
      <c r="BD84" s="1"/>
      <c r="BE84" s="1"/>
    </row>
    <row r="85" spans="1:62" ht="15" customHeight="1" x14ac:dyDescent="0.25">
      <c r="A85" s="2"/>
      <c r="B85" s="1"/>
      <c r="E85" s="1"/>
      <c r="F85" s="1"/>
      <c r="G85" s="1"/>
      <c r="H85" s="1"/>
      <c r="J85" s="2"/>
      <c r="K85" s="3"/>
      <c r="L85" s="1"/>
      <c r="N85" s="3"/>
      <c r="P85" s="1"/>
      <c r="Q85" s="2"/>
      <c r="R85" s="3"/>
      <c r="S85" s="4"/>
      <c r="T85" s="3"/>
      <c r="U85" s="1"/>
      <c r="V85" s="1"/>
      <c r="W85" s="3"/>
      <c r="X85" s="1"/>
      <c r="Y85" s="4"/>
      <c r="Z85" s="4"/>
      <c r="AA85" s="1"/>
      <c r="AB85" s="1"/>
      <c r="AC85" s="1"/>
      <c r="AD85" s="2"/>
      <c r="AE85" s="1"/>
      <c r="AF85" s="1"/>
      <c r="AG85" s="1"/>
      <c r="AH85" s="3"/>
      <c r="AI85" s="1"/>
      <c r="AJ85" s="1"/>
      <c r="AK85" s="1"/>
      <c r="AL85" s="1"/>
      <c r="AM85" s="1"/>
      <c r="AN85" s="2"/>
      <c r="AO85" s="1"/>
      <c r="AP85" s="1"/>
      <c r="AQ85" s="1"/>
      <c r="AR85" s="2"/>
      <c r="AS85" s="1"/>
      <c r="AT85" s="2"/>
      <c r="AU85" s="4"/>
      <c r="AV85" s="7"/>
      <c r="AW85" s="4"/>
      <c r="AX85" s="3"/>
      <c r="AY85" s="4"/>
      <c r="AZ85" s="1"/>
      <c r="BA85" s="1"/>
      <c r="BB85" s="1"/>
      <c r="BC85" s="4"/>
      <c r="BD85" s="1"/>
      <c r="BE85" s="1"/>
    </row>
    <row r="86" spans="1:62" ht="15" customHeight="1" x14ac:dyDescent="0.25">
      <c r="A86" s="2"/>
      <c r="B86" s="1"/>
      <c r="E86" s="1"/>
      <c r="F86" s="1"/>
      <c r="G86" s="1"/>
      <c r="H86" s="1"/>
      <c r="J86" s="2"/>
      <c r="K86" s="3"/>
      <c r="L86" s="1"/>
      <c r="N86" s="3"/>
      <c r="P86" s="1"/>
      <c r="Q86" s="2"/>
      <c r="R86" s="3"/>
      <c r="S86" s="4"/>
      <c r="T86" s="3"/>
      <c r="U86" s="1"/>
      <c r="V86" s="1"/>
      <c r="W86" s="3"/>
      <c r="X86" s="1"/>
      <c r="Y86" s="4"/>
      <c r="Z86" s="4"/>
      <c r="AA86" s="1"/>
      <c r="AB86" s="1"/>
      <c r="AC86" s="1"/>
      <c r="AD86" s="2"/>
      <c r="AE86" s="1"/>
      <c r="AF86" s="1"/>
      <c r="AG86" s="1"/>
      <c r="AH86" s="3"/>
      <c r="AI86" s="1"/>
      <c r="AJ86" s="1"/>
      <c r="AK86" s="1"/>
      <c r="AL86" s="1"/>
      <c r="AM86" s="1"/>
      <c r="AN86" s="2"/>
      <c r="AO86" s="1"/>
      <c r="AP86" s="1"/>
      <c r="AQ86" s="1"/>
      <c r="AR86" s="2"/>
      <c r="AS86" s="1"/>
      <c r="AT86" s="2"/>
      <c r="AU86" s="4"/>
      <c r="AV86" s="7"/>
      <c r="AW86" s="4"/>
      <c r="AX86" s="3"/>
      <c r="AY86" s="4"/>
      <c r="AZ86" s="1"/>
      <c r="BA86" s="1"/>
      <c r="BB86" s="1"/>
      <c r="BC86" s="4"/>
      <c r="BD86" s="1"/>
      <c r="BE86" s="1"/>
    </row>
    <row r="87" spans="1:62" ht="15" customHeight="1" x14ac:dyDescent="0.25">
      <c r="A87" s="2"/>
      <c r="B87" s="1"/>
      <c r="E87" s="1"/>
      <c r="F87" s="1"/>
      <c r="G87" s="1"/>
      <c r="H87" s="1"/>
      <c r="J87" s="2"/>
      <c r="K87" s="3"/>
      <c r="L87" s="1"/>
      <c r="N87" s="3"/>
      <c r="P87" s="1"/>
      <c r="Q87" s="2"/>
      <c r="R87" s="3"/>
      <c r="S87" s="4"/>
      <c r="T87" s="3"/>
      <c r="U87" s="1"/>
      <c r="V87" s="1"/>
      <c r="W87" s="3"/>
      <c r="X87" s="1"/>
      <c r="Y87" s="4"/>
      <c r="Z87" s="4"/>
      <c r="AA87" s="1"/>
      <c r="AB87" s="1"/>
      <c r="AC87" s="1"/>
      <c r="AD87" s="2"/>
      <c r="AE87" s="1"/>
      <c r="AF87" s="1"/>
      <c r="AG87" s="1"/>
      <c r="AH87" s="3"/>
      <c r="AI87" s="1"/>
      <c r="AJ87" s="1"/>
      <c r="AK87" s="1"/>
      <c r="AL87" s="1"/>
      <c r="AM87" s="1"/>
      <c r="AN87" s="2"/>
      <c r="AO87" s="1"/>
      <c r="AP87" s="1"/>
      <c r="AQ87" s="1"/>
      <c r="AR87" s="2"/>
      <c r="AS87" s="1"/>
      <c r="AT87" s="2"/>
      <c r="AU87" s="4"/>
      <c r="AV87" s="7"/>
      <c r="AW87" s="4"/>
      <c r="AX87" s="3"/>
      <c r="AY87" s="4"/>
      <c r="AZ87" s="1"/>
      <c r="BA87" s="1"/>
      <c r="BB87" s="1"/>
      <c r="BC87" s="4"/>
      <c r="BD87" s="1"/>
      <c r="BE87" s="1"/>
    </row>
    <row r="88" spans="1:62" ht="15" customHeight="1" x14ac:dyDescent="0.25">
      <c r="A88" s="2"/>
      <c r="B88" s="1"/>
      <c r="E88" s="1"/>
      <c r="F88" s="1"/>
      <c r="G88" s="1"/>
      <c r="H88" s="1"/>
      <c r="J88" s="2"/>
      <c r="K88" s="3"/>
      <c r="L88" s="1"/>
      <c r="N88" s="3"/>
      <c r="P88" s="1"/>
      <c r="Q88" s="2"/>
      <c r="R88" s="3"/>
      <c r="S88" s="4"/>
      <c r="T88" s="3"/>
      <c r="U88" s="1"/>
      <c r="V88" s="1"/>
      <c r="W88" s="3"/>
      <c r="X88" s="1"/>
      <c r="Y88" s="4"/>
      <c r="Z88" s="4"/>
      <c r="AA88" s="1"/>
      <c r="AB88" s="1"/>
      <c r="AC88" s="1"/>
      <c r="AD88" s="2"/>
      <c r="AE88" s="1"/>
      <c r="AF88" s="1"/>
      <c r="AG88" s="1"/>
      <c r="AH88" s="3"/>
      <c r="AI88" s="1"/>
      <c r="AJ88" s="1"/>
      <c r="AK88" s="1"/>
      <c r="AL88" s="1"/>
      <c r="AM88" s="1"/>
      <c r="AN88" s="2"/>
      <c r="AO88" s="1"/>
      <c r="AP88" s="1"/>
      <c r="AQ88" s="1"/>
      <c r="AR88" s="2"/>
      <c r="AS88" s="1"/>
      <c r="AT88" s="2"/>
      <c r="AU88" s="4"/>
      <c r="AV88" s="7"/>
      <c r="AW88" s="4"/>
      <c r="AX88" s="3"/>
      <c r="AY88" s="4"/>
      <c r="AZ88" s="1"/>
      <c r="BA88" s="1"/>
      <c r="BB88" s="1"/>
      <c r="BC88" s="4"/>
      <c r="BD88" s="1"/>
      <c r="BE88" s="1"/>
      <c r="BF88" s="1"/>
    </row>
    <row r="89" spans="1:62" ht="15" customHeight="1" x14ac:dyDescent="0.25">
      <c r="A89" s="2"/>
      <c r="B89" s="1"/>
      <c r="E89" s="1"/>
      <c r="F89" s="1"/>
      <c r="G89" s="1"/>
      <c r="H89" s="1"/>
      <c r="J89" s="2"/>
      <c r="K89" s="3"/>
      <c r="L89" s="1"/>
      <c r="N89" s="3"/>
      <c r="P89" s="1"/>
      <c r="Q89" s="2"/>
      <c r="R89" s="3"/>
      <c r="S89" s="4"/>
      <c r="T89" s="3"/>
      <c r="U89" s="1"/>
      <c r="V89" s="1"/>
      <c r="W89" s="3"/>
      <c r="X89" s="1"/>
      <c r="Y89" s="4"/>
      <c r="Z89" s="4"/>
      <c r="AA89" s="1"/>
      <c r="AB89" s="1"/>
      <c r="AC89" s="1"/>
      <c r="AD89" s="2"/>
      <c r="AE89" s="1"/>
      <c r="AF89" s="1"/>
      <c r="AG89" s="1"/>
      <c r="AH89" s="3"/>
      <c r="AI89" s="1"/>
      <c r="AJ89" s="1"/>
      <c r="AK89" s="1"/>
      <c r="AL89" s="1"/>
      <c r="AM89" s="1"/>
      <c r="AN89" s="2"/>
      <c r="AO89" s="1"/>
      <c r="AP89" s="1"/>
      <c r="AQ89" s="1"/>
      <c r="AR89" s="2"/>
      <c r="AS89" s="1"/>
      <c r="AT89" s="2"/>
      <c r="AU89" s="4"/>
      <c r="AV89" s="7"/>
      <c r="AW89" s="4"/>
      <c r="AX89" s="3"/>
      <c r="AY89" s="4"/>
      <c r="AZ89" s="1"/>
      <c r="BA89" s="1"/>
      <c r="BB89" s="1"/>
      <c r="BC89" s="4"/>
      <c r="BD89" s="1"/>
      <c r="BE89" s="1"/>
      <c r="BF89" s="1"/>
    </row>
    <row r="90" spans="1:62" ht="15" customHeight="1" x14ac:dyDescent="0.25">
      <c r="A90" s="2"/>
      <c r="B90" s="1"/>
      <c r="E90" s="1"/>
      <c r="F90" s="1"/>
      <c r="G90" s="1"/>
      <c r="H90" s="1"/>
      <c r="J90" s="2"/>
      <c r="K90" s="3"/>
      <c r="L90" s="1"/>
      <c r="N90" s="3"/>
      <c r="P90" s="1"/>
      <c r="Q90" s="2"/>
      <c r="R90" s="3"/>
      <c r="S90" s="4"/>
      <c r="T90" s="3"/>
      <c r="U90" s="1"/>
      <c r="V90" s="1"/>
      <c r="W90" s="3"/>
      <c r="X90" s="1"/>
      <c r="Y90" s="4"/>
      <c r="Z90" s="4"/>
      <c r="AA90" s="1"/>
      <c r="AB90" s="1"/>
      <c r="AC90" s="1"/>
      <c r="AD90" s="2"/>
      <c r="AE90" s="1"/>
      <c r="AF90" s="1"/>
      <c r="AG90" s="1"/>
      <c r="AH90" s="3"/>
      <c r="AI90" s="1"/>
      <c r="AJ90" s="1"/>
      <c r="AK90" s="1"/>
      <c r="AL90" s="1"/>
      <c r="AM90" s="1"/>
      <c r="AN90" s="2"/>
      <c r="AO90" s="1"/>
      <c r="AP90" s="1"/>
      <c r="AQ90" s="1"/>
      <c r="AR90" s="2"/>
      <c r="AS90" s="1"/>
      <c r="AT90" s="2"/>
      <c r="AU90" s="4"/>
      <c r="AV90" s="7"/>
      <c r="AW90" s="4"/>
      <c r="AX90" s="3"/>
      <c r="AY90" s="4"/>
      <c r="AZ90" s="1"/>
      <c r="BA90" s="1"/>
      <c r="BB90" s="1"/>
      <c r="BC90" s="4"/>
      <c r="BD90" s="1"/>
      <c r="BE90" s="1"/>
      <c r="BF90" s="4"/>
      <c r="BG90" s="2"/>
      <c r="BH90" s="4"/>
      <c r="BI90" s="1"/>
      <c r="BJ90" s="1"/>
    </row>
    <row r="91" spans="1:62" ht="15" customHeight="1" x14ac:dyDescent="0.25">
      <c r="A91" s="2"/>
      <c r="B91" s="1"/>
      <c r="E91" s="1"/>
      <c r="F91" s="1"/>
      <c r="G91" s="1"/>
      <c r="H91" s="1"/>
      <c r="J91" s="2"/>
      <c r="K91" s="3"/>
      <c r="L91" s="1"/>
      <c r="N91" s="3"/>
      <c r="P91" s="1"/>
      <c r="Q91" s="2"/>
      <c r="R91" s="3"/>
      <c r="S91" s="4"/>
      <c r="T91" s="3"/>
      <c r="U91" s="1"/>
      <c r="V91" s="1"/>
      <c r="W91" s="3"/>
      <c r="X91" s="1"/>
      <c r="Y91" s="4"/>
      <c r="Z91" s="4"/>
      <c r="AA91" s="1"/>
      <c r="AB91" s="1"/>
      <c r="AC91" s="1"/>
      <c r="AD91" s="2"/>
      <c r="AE91" s="1"/>
      <c r="AF91" s="1"/>
      <c r="AG91" s="1"/>
      <c r="AH91" s="3"/>
      <c r="AI91" s="1"/>
      <c r="AJ91" s="1"/>
      <c r="AK91" s="1"/>
      <c r="AL91" s="1"/>
      <c r="AM91" s="1"/>
      <c r="AN91" s="2"/>
      <c r="AO91" s="1"/>
      <c r="AP91" s="1"/>
      <c r="AQ91" s="1"/>
      <c r="AR91" s="2"/>
      <c r="AS91" s="1"/>
      <c r="AT91" s="2"/>
      <c r="AU91" s="4"/>
      <c r="AV91" s="7"/>
      <c r="AW91" s="4"/>
      <c r="AX91" s="3"/>
      <c r="AY91" s="4"/>
      <c r="AZ91" s="1"/>
      <c r="BA91" s="1"/>
      <c r="BB91" s="1"/>
      <c r="BC91" s="4"/>
      <c r="BD91" s="1"/>
      <c r="BE91" s="1"/>
      <c r="BF91" s="4"/>
      <c r="BG91" s="2"/>
      <c r="BH91" s="4"/>
      <c r="BI91" s="1"/>
      <c r="BJ91" s="1"/>
    </row>
    <row r="92" spans="1:62" ht="15" customHeight="1" x14ac:dyDescent="0.25">
      <c r="A92" s="2"/>
      <c r="B92" s="1"/>
      <c r="E92" s="1"/>
      <c r="F92" s="1"/>
      <c r="G92" s="1"/>
      <c r="H92" s="1"/>
      <c r="J92" s="2"/>
      <c r="K92" s="3"/>
      <c r="L92" s="1"/>
      <c r="N92" s="3"/>
      <c r="P92" s="1"/>
      <c r="Q92" s="2"/>
      <c r="R92" s="3"/>
      <c r="S92" s="4"/>
      <c r="T92" s="3"/>
      <c r="U92" s="1"/>
      <c r="V92" s="1"/>
      <c r="W92" s="3"/>
      <c r="X92" s="1"/>
      <c r="Y92" s="4"/>
      <c r="Z92" s="4"/>
      <c r="AA92" s="1"/>
      <c r="AB92" s="1"/>
      <c r="AC92" s="1"/>
      <c r="AD92" s="2"/>
      <c r="AE92" s="1"/>
      <c r="AF92" s="1"/>
      <c r="AG92" s="1"/>
      <c r="AH92" s="3"/>
      <c r="AI92" s="1"/>
      <c r="AJ92" s="1"/>
      <c r="AK92" s="1"/>
      <c r="AL92" s="1"/>
      <c r="AM92" s="1"/>
      <c r="AN92" s="2"/>
      <c r="AO92" s="1"/>
      <c r="AP92" s="1"/>
      <c r="AQ92" s="1"/>
      <c r="AR92" s="2"/>
      <c r="AS92" s="1"/>
      <c r="AT92" s="2"/>
      <c r="AU92" s="4"/>
      <c r="AV92" s="7"/>
      <c r="AW92" s="4"/>
      <c r="AX92" s="3"/>
      <c r="AY92" s="4"/>
      <c r="AZ92" s="1"/>
      <c r="BA92" s="1"/>
      <c r="BB92" s="1"/>
      <c r="BC92" s="4"/>
      <c r="BD92" s="1"/>
      <c r="BE92" s="1"/>
      <c r="BF92" s="4"/>
      <c r="BG92" s="2"/>
      <c r="BH92" s="4"/>
      <c r="BI92" s="1"/>
      <c r="BJ92" s="1"/>
    </row>
    <row r="93" spans="1:62" ht="15" customHeight="1" x14ac:dyDescent="0.25">
      <c r="A93" s="2"/>
      <c r="B93" s="1"/>
      <c r="E93" s="1"/>
      <c r="F93" s="1"/>
      <c r="G93" s="1"/>
      <c r="H93" s="1"/>
      <c r="J93" s="2"/>
      <c r="K93" s="3"/>
      <c r="L93" s="1"/>
      <c r="N93" s="3"/>
      <c r="P93" s="1"/>
      <c r="Q93" s="2"/>
      <c r="R93" s="3"/>
      <c r="S93" s="4"/>
      <c r="T93" s="3"/>
      <c r="U93" s="1"/>
      <c r="V93" s="1"/>
      <c r="W93" s="3"/>
      <c r="X93" s="1"/>
      <c r="Y93" s="4"/>
      <c r="Z93" s="4"/>
      <c r="AA93" s="1"/>
      <c r="AB93" s="1"/>
      <c r="AC93" s="1"/>
      <c r="AD93" s="2"/>
      <c r="AE93" s="1"/>
      <c r="AF93" s="1"/>
      <c r="AG93" s="1"/>
      <c r="AH93" s="3"/>
      <c r="AI93" s="1"/>
      <c r="AJ93" s="1"/>
      <c r="AK93" s="1"/>
      <c r="AL93" s="1"/>
      <c r="AM93" s="1"/>
      <c r="AN93" s="2"/>
      <c r="AO93" s="1"/>
      <c r="AP93" s="1"/>
      <c r="AQ93" s="1"/>
      <c r="AR93" s="2"/>
      <c r="AS93" s="1"/>
      <c r="AT93" s="2"/>
      <c r="AU93" s="4"/>
      <c r="AV93" s="7"/>
      <c r="AW93" s="4"/>
      <c r="AX93" s="3"/>
      <c r="AY93" s="4"/>
      <c r="AZ93" s="1"/>
      <c r="BA93" s="1"/>
      <c r="BB93" s="1"/>
      <c r="BC93" s="4"/>
      <c r="BD93" s="1"/>
      <c r="BE93" s="1"/>
      <c r="BF93" s="4"/>
      <c r="BG93" s="2"/>
      <c r="BH93" s="4"/>
      <c r="BI93" s="1"/>
      <c r="BJ93" s="1"/>
    </row>
    <row r="94" spans="1:62" ht="15" customHeight="1" x14ac:dyDescent="0.25">
      <c r="A94" s="2"/>
      <c r="B94" s="1"/>
      <c r="E94" s="1"/>
      <c r="F94" s="1"/>
      <c r="G94" s="1"/>
      <c r="H94" s="1"/>
      <c r="J94" s="2"/>
      <c r="K94" s="3"/>
      <c r="L94" s="1"/>
      <c r="N94" s="3"/>
      <c r="P94" s="1"/>
      <c r="Q94" s="2"/>
      <c r="R94" s="3"/>
      <c r="S94" s="4"/>
      <c r="T94" s="3"/>
      <c r="U94" s="1"/>
      <c r="V94" s="1"/>
      <c r="W94" s="3"/>
      <c r="X94" s="1"/>
      <c r="Y94" s="4"/>
      <c r="Z94" s="4"/>
      <c r="AA94" s="1"/>
      <c r="AB94" s="1"/>
      <c r="AC94" s="1"/>
      <c r="AD94" s="2"/>
      <c r="AE94" s="1"/>
      <c r="AF94" s="1"/>
      <c r="AG94" s="1"/>
      <c r="AH94" s="3"/>
      <c r="AI94" s="1"/>
      <c r="AJ94" s="1"/>
      <c r="AK94" s="1"/>
      <c r="AL94" s="1"/>
      <c r="AM94" s="1"/>
      <c r="AN94" s="2"/>
      <c r="AO94" s="1"/>
      <c r="AP94" s="1"/>
      <c r="AQ94" s="1"/>
      <c r="AR94" s="2"/>
      <c r="AS94" s="1"/>
      <c r="AT94" s="2"/>
      <c r="AU94" s="4"/>
      <c r="AV94" s="7"/>
      <c r="AW94" s="4"/>
      <c r="AX94" s="3"/>
      <c r="AY94" s="4"/>
      <c r="AZ94" s="1"/>
      <c r="BA94" s="1"/>
      <c r="BB94" s="1"/>
      <c r="BC94" s="4"/>
      <c r="BD94" s="1"/>
      <c r="BE94" s="4"/>
      <c r="BF94" s="4"/>
      <c r="BG94" s="2"/>
      <c r="BH94" s="4"/>
      <c r="BI94" s="1"/>
      <c r="BJ94" s="1"/>
    </row>
    <row r="95" spans="1:62" ht="15" customHeight="1" x14ac:dyDescent="0.25">
      <c r="A95" s="2"/>
      <c r="B95" s="1"/>
      <c r="E95" s="1"/>
      <c r="F95" s="1"/>
      <c r="G95" s="1"/>
      <c r="H95" s="1"/>
      <c r="J95" s="2"/>
      <c r="K95" s="3"/>
      <c r="L95" s="1"/>
      <c r="N95" s="3"/>
      <c r="P95" s="1"/>
      <c r="Q95" s="2"/>
      <c r="R95" s="3"/>
      <c r="S95" s="4"/>
      <c r="T95" s="3"/>
      <c r="U95" s="1"/>
      <c r="V95" s="1"/>
      <c r="W95" s="3"/>
      <c r="X95" s="1"/>
      <c r="Y95" s="4"/>
      <c r="Z95" s="4"/>
      <c r="AA95" s="1"/>
      <c r="AB95" s="1"/>
      <c r="AC95" s="1"/>
      <c r="AD95" s="2"/>
      <c r="AE95" s="1"/>
      <c r="AF95" s="1"/>
      <c r="AG95" s="1"/>
      <c r="AH95" s="3"/>
      <c r="AI95" s="1"/>
      <c r="AJ95" s="1"/>
      <c r="AK95" s="1"/>
      <c r="AL95" s="1"/>
      <c r="AM95" s="1"/>
      <c r="AN95" s="2"/>
      <c r="AO95" s="1"/>
      <c r="AP95" s="1"/>
      <c r="AQ95" s="1"/>
      <c r="AR95" s="2"/>
      <c r="AS95" s="1"/>
      <c r="AT95" s="2"/>
      <c r="AU95" s="4"/>
      <c r="AV95" s="4"/>
      <c r="AW95" s="4"/>
      <c r="AX95" s="3"/>
      <c r="AY95" s="4"/>
      <c r="AZ95" s="1"/>
      <c r="BA95" s="1"/>
      <c r="BB95" s="1"/>
      <c r="BC95" s="4"/>
      <c r="BD95" s="1"/>
      <c r="BE95" s="4"/>
      <c r="BF95" s="4"/>
      <c r="BG95" s="2"/>
      <c r="BH95" s="4"/>
      <c r="BI95" s="1"/>
      <c r="BJ95" s="1"/>
    </row>
    <row r="96" spans="1:62" ht="15" customHeight="1" x14ac:dyDescent="0.25">
      <c r="A96" s="2"/>
      <c r="B96" s="1"/>
      <c r="E96" s="1"/>
      <c r="F96" s="1"/>
      <c r="G96" s="1"/>
      <c r="H96" s="1"/>
      <c r="J96" s="2"/>
      <c r="K96" s="3"/>
      <c r="L96" s="1"/>
      <c r="N96" s="3"/>
      <c r="P96" s="1"/>
      <c r="Q96" s="2"/>
      <c r="R96" s="3"/>
      <c r="S96" s="4"/>
      <c r="T96" s="3"/>
      <c r="U96" s="1"/>
      <c r="V96" s="1"/>
      <c r="W96" s="3"/>
      <c r="X96" s="1"/>
      <c r="Y96" s="4"/>
      <c r="Z96" s="4"/>
      <c r="AA96" s="1"/>
      <c r="AB96" s="1"/>
      <c r="AC96" s="1"/>
      <c r="AD96" s="2"/>
      <c r="AE96" s="1"/>
      <c r="AF96" s="1"/>
      <c r="AG96" s="1"/>
      <c r="AH96" s="3"/>
      <c r="AI96" s="1"/>
      <c r="AJ96" s="1"/>
      <c r="AK96" s="1"/>
      <c r="AL96" s="1"/>
      <c r="AM96" s="1"/>
      <c r="AN96" s="2"/>
      <c r="AO96" s="1"/>
      <c r="AP96" s="1"/>
      <c r="AQ96" s="1"/>
      <c r="AR96" s="2"/>
      <c r="AS96" s="1"/>
      <c r="AT96" s="2"/>
      <c r="AU96" s="4"/>
      <c r="AV96" s="7"/>
      <c r="AW96" s="4"/>
      <c r="AX96" s="3"/>
      <c r="AY96" s="4"/>
      <c r="AZ96" s="1"/>
      <c r="BA96" s="1"/>
      <c r="BB96" s="1"/>
      <c r="BC96" s="4"/>
      <c r="BD96" s="1"/>
      <c r="BE96" s="4"/>
      <c r="BF96" s="2"/>
      <c r="BG96" s="4"/>
      <c r="BH96" s="1"/>
      <c r="BI96" s="1"/>
      <c r="BJ96" s="1"/>
    </row>
    <row r="97" spans="1:62" ht="15" customHeight="1" x14ac:dyDescent="0.25">
      <c r="A97" s="2"/>
      <c r="B97" s="1"/>
      <c r="E97" s="1"/>
      <c r="F97" s="1"/>
      <c r="G97" s="1"/>
      <c r="H97" s="1"/>
      <c r="J97" s="2"/>
      <c r="K97" s="3"/>
      <c r="L97" s="1"/>
      <c r="N97" s="3"/>
      <c r="P97" s="1"/>
      <c r="Q97" s="2"/>
      <c r="R97" s="3"/>
      <c r="S97" s="4"/>
      <c r="T97" s="3"/>
      <c r="U97" s="1"/>
      <c r="V97" s="1"/>
      <c r="W97" s="3"/>
      <c r="X97" s="1"/>
      <c r="Y97" s="4"/>
      <c r="Z97" s="4"/>
      <c r="AA97" s="1"/>
      <c r="AB97" s="1"/>
      <c r="AC97" s="1"/>
      <c r="AD97" s="2"/>
      <c r="AE97" s="1"/>
      <c r="AF97" s="1"/>
      <c r="AG97" s="1"/>
      <c r="AH97" s="3"/>
      <c r="AI97" s="1"/>
      <c r="AJ97" s="1"/>
      <c r="AK97" s="1"/>
      <c r="AL97" s="1"/>
      <c r="AM97" s="1"/>
      <c r="AN97" s="2"/>
      <c r="AO97" s="1"/>
      <c r="AP97" s="1"/>
      <c r="AQ97" s="1"/>
      <c r="AR97" s="2"/>
      <c r="AS97" s="1"/>
      <c r="AT97" s="2"/>
      <c r="AU97" s="4"/>
      <c r="AV97" s="7"/>
      <c r="AW97" s="4"/>
      <c r="AX97" s="3"/>
      <c r="AY97" s="4"/>
      <c r="AZ97" s="1"/>
      <c r="BA97" s="1"/>
      <c r="BB97" s="1"/>
      <c r="BC97" s="4"/>
      <c r="BD97" s="1"/>
      <c r="BE97" s="4"/>
      <c r="BF97" s="2"/>
      <c r="BG97" s="4"/>
      <c r="BH97" s="1"/>
      <c r="BI97" s="1"/>
      <c r="BJ97" s="1"/>
    </row>
    <row r="98" spans="1:62" ht="15" customHeight="1" x14ac:dyDescent="0.25">
      <c r="A98" s="2"/>
      <c r="B98" s="1"/>
      <c r="E98" s="1"/>
      <c r="F98" s="1"/>
      <c r="G98" s="1"/>
      <c r="H98" s="1"/>
      <c r="J98" s="2"/>
      <c r="K98" s="3"/>
      <c r="L98" s="1"/>
      <c r="N98" s="3"/>
      <c r="P98" s="1"/>
      <c r="Q98" s="2"/>
      <c r="R98" s="3"/>
      <c r="S98" s="4"/>
      <c r="T98" s="3"/>
      <c r="U98" s="1"/>
      <c r="V98" s="1"/>
      <c r="W98" s="3"/>
      <c r="X98" s="1"/>
      <c r="Y98" s="4"/>
      <c r="Z98" s="4"/>
      <c r="AA98" s="1"/>
      <c r="AB98" s="1"/>
      <c r="AC98" s="1"/>
      <c r="AD98" s="2"/>
      <c r="AE98" s="1"/>
      <c r="AF98" s="1"/>
      <c r="AG98" s="1"/>
      <c r="AH98" s="3"/>
      <c r="AI98" s="1"/>
      <c r="AJ98" s="1"/>
      <c r="AK98" s="1"/>
      <c r="AL98" s="1"/>
      <c r="AM98" s="1"/>
      <c r="AN98" s="2"/>
      <c r="AO98" s="1"/>
      <c r="AP98" s="1"/>
      <c r="AQ98" s="1"/>
      <c r="AR98" s="2"/>
      <c r="AS98" s="1"/>
      <c r="AT98" s="2"/>
      <c r="AU98" s="4"/>
      <c r="AV98" s="7"/>
      <c r="AW98" s="4"/>
      <c r="AX98" s="3"/>
      <c r="AY98" s="4"/>
      <c r="AZ98" s="1"/>
      <c r="BA98" s="1"/>
      <c r="BB98" s="1"/>
      <c r="BC98" s="4"/>
      <c r="BD98" s="1"/>
      <c r="BE98" s="4"/>
      <c r="BF98" s="2"/>
      <c r="BG98" s="4"/>
      <c r="BH98" s="1"/>
      <c r="BI98" s="1"/>
      <c r="BJ98" s="1"/>
    </row>
    <row r="99" spans="1:62" ht="15" customHeight="1" x14ac:dyDescent="0.25">
      <c r="A99" s="2"/>
      <c r="B99" s="1"/>
      <c r="E99" s="1"/>
      <c r="F99" s="1"/>
      <c r="G99" s="1"/>
      <c r="H99" s="1"/>
      <c r="J99" s="2"/>
      <c r="K99" s="3"/>
      <c r="L99" s="1"/>
      <c r="N99" s="3"/>
      <c r="P99" s="1"/>
      <c r="Q99" s="2"/>
      <c r="R99" s="3"/>
      <c r="S99" s="4"/>
      <c r="T99" s="3"/>
      <c r="U99" s="1"/>
      <c r="V99" s="1"/>
      <c r="W99" s="3"/>
      <c r="X99" s="1"/>
      <c r="Y99" s="4"/>
      <c r="Z99" s="4"/>
      <c r="AA99" s="1"/>
      <c r="AB99" s="1"/>
      <c r="AC99" s="1"/>
      <c r="AD99" s="2"/>
      <c r="AE99" s="1"/>
      <c r="AF99" s="1"/>
      <c r="AG99" s="1"/>
      <c r="AH99" s="3"/>
      <c r="AI99" s="1"/>
      <c r="AJ99" s="1"/>
      <c r="AK99" s="1"/>
      <c r="AL99" s="1"/>
      <c r="AM99" s="1"/>
      <c r="AN99" s="2"/>
      <c r="AO99" s="1"/>
      <c r="AP99" s="1"/>
      <c r="AQ99" s="1"/>
      <c r="AR99" s="2"/>
      <c r="AS99" s="1"/>
      <c r="AT99" s="2"/>
      <c r="AU99" s="4"/>
      <c r="AV99" s="7"/>
      <c r="AW99" s="4"/>
      <c r="AX99" s="3"/>
      <c r="AY99" s="4"/>
      <c r="AZ99" s="1"/>
      <c r="BA99" s="1"/>
      <c r="BB99" s="1"/>
      <c r="BC99" s="4"/>
      <c r="BD99" s="1"/>
      <c r="BE99" s="4"/>
      <c r="BF99" s="2"/>
      <c r="BG99" s="4"/>
      <c r="BH99" s="1"/>
      <c r="BI99" s="1"/>
      <c r="BJ99" s="1"/>
    </row>
    <row r="100" spans="1:62" ht="15" customHeight="1" x14ac:dyDescent="0.25">
      <c r="A100" s="2"/>
      <c r="B100" s="1"/>
      <c r="E100" s="1"/>
      <c r="F100" s="1"/>
      <c r="G100" s="1"/>
      <c r="H100" s="1"/>
      <c r="J100" s="2"/>
      <c r="K100" s="3"/>
      <c r="L100" s="1"/>
      <c r="N100" s="3"/>
      <c r="P100" s="1"/>
      <c r="Q100" s="2"/>
      <c r="R100" s="3"/>
      <c r="S100" s="4"/>
      <c r="T100" s="3"/>
      <c r="U100" s="1"/>
      <c r="V100" s="1"/>
      <c r="W100" s="3"/>
      <c r="X100" s="1"/>
      <c r="Y100" s="4"/>
      <c r="Z100" s="4"/>
      <c r="AA100" s="1"/>
      <c r="AB100" s="1"/>
      <c r="AC100" s="1"/>
      <c r="AD100" s="2"/>
      <c r="AE100" s="1"/>
      <c r="AF100" s="1"/>
      <c r="AG100" s="1"/>
      <c r="AH100" s="3"/>
      <c r="AI100" s="1"/>
      <c r="AJ100" s="1"/>
      <c r="AK100" s="1"/>
      <c r="AL100" s="1"/>
      <c r="AM100" s="1"/>
      <c r="AN100" s="2"/>
      <c r="AO100" s="1"/>
      <c r="AP100" s="1"/>
      <c r="AQ100" s="1"/>
      <c r="AR100" s="2"/>
      <c r="AS100" s="1"/>
      <c r="AT100" s="2"/>
      <c r="AU100" s="4"/>
      <c r="AV100" s="7"/>
      <c r="AW100" s="4"/>
      <c r="AX100" s="3"/>
      <c r="AY100" s="4"/>
      <c r="AZ100" s="1"/>
      <c r="BA100" s="1"/>
      <c r="BB100" s="1"/>
      <c r="BC100" s="4"/>
      <c r="BD100" s="1"/>
      <c r="BE100" s="4"/>
      <c r="BF100" s="2"/>
      <c r="BG100" s="4"/>
      <c r="BH100" s="1"/>
      <c r="BI100" s="1"/>
    </row>
    <row r="101" spans="1:62" ht="15" customHeight="1" x14ac:dyDescent="0.25">
      <c r="A101" s="2"/>
      <c r="B101" s="1"/>
      <c r="E101" s="1"/>
      <c r="F101" s="1"/>
      <c r="G101" s="1"/>
      <c r="H101" s="1"/>
      <c r="J101" s="2"/>
      <c r="K101" s="3"/>
      <c r="L101" s="1"/>
      <c r="N101" s="3"/>
      <c r="P101" s="1"/>
      <c r="Q101" s="2"/>
      <c r="R101" s="3"/>
      <c r="S101" s="4"/>
      <c r="T101" s="3"/>
      <c r="U101" s="1"/>
      <c r="V101" s="1"/>
      <c r="W101" s="3"/>
      <c r="X101" s="1"/>
      <c r="Y101" s="4"/>
      <c r="Z101" s="4"/>
      <c r="AA101" s="1"/>
      <c r="AB101" s="1"/>
      <c r="AC101" s="1"/>
      <c r="AD101" s="2"/>
      <c r="AE101" s="1"/>
      <c r="AF101" s="1"/>
      <c r="AG101" s="1"/>
      <c r="AH101" s="3"/>
      <c r="AI101" s="1"/>
      <c r="AJ101" s="1"/>
      <c r="AK101" s="1"/>
      <c r="AL101" s="1"/>
      <c r="AM101" s="1"/>
      <c r="AN101" s="2"/>
      <c r="AO101" s="1"/>
      <c r="AP101" s="1"/>
      <c r="AQ101" s="1"/>
      <c r="AR101" s="2"/>
      <c r="AS101" s="1"/>
      <c r="AT101" s="2"/>
      <c r="AU101" s="4"/>
      <c r="AV101" s="7"/>
      <c r="AW101" s="4"/>
      <c r="AX101" s="3"/>
      <c r="AY101" s="4"/>
      <c r="AZ101" s="1"/>
      <c r="BA101" s="1"/>
      <c r="BB101" s="1"/>
      <c r="BC101" s="4"/>
      <c r="BD101" s="1"/>
      <c r="BE101" s="4"/>
      <c r="BF101" s="2"/>
      <c r="BG101" s="4"/>
      <c r="BH101" s="1"/>
      <c r="BI101" s="1"/>
    </row>
    <row r="102" spans="1:62" ht="15" customHeight="1" x14ac:dyDescent="0.25">
      <c r="A102" s="2"/>
      <c r="B102" s="1"/>
      <c r="E102" s="1"/>
      <c r="F102" s="1"/>
      <c r="G102" s="1"/>
      <c r="H102" s="1"/>
      <c r="J102" s="2"/>
      <c r="K102" s="3"/>
      <c r="L102" s="1"/>
      <c r="N102" s="3"/>
      <c r="P102" s="1"/>
      <c r="Q102" s="2"/>
      <c r="R102" s="3"/>
      <c r="S102" s="4"/>
      <c r="T102" s="3"/>
      <c r="U102" s="1"/>
      <c r="V102" s="1"/>
      <c r="W102" s="3"/>
      <c r="X102" s="1"/>
      <c r="Y102" s="4"/>
      <c r="Z102" s="4"/>
      <c r="AA102" s="1"/>
      <c r="AB102" s="1"/>
      <c r="AC102" s="1"/>
      <c r="AD102" s="2"/>
      <c r="AE102" s="1"/>
      <c r="AF102" s="1"/>
      <c r="AG102" s="1"/>
      <c r="AH102" s="3"/>
      <c r="AI102" s="1"/>
      <c r="AJ102" s="1"/>
      <c r="AK102" s="1"/>
      <c r="AL102" s="1"/>
      <c r="AM102" s="1"/>
      <c r="AN102" s="2"/>
      <c r="AO102" s="1"/>
      <c r="AP102" s="1"/>
      <c r="AQ102" s="1"/>
      <c r="AR102" s="2"/>
      <c r="AS102" s="1"/>
      <c r="AT102" s="2"/>
      <c r="AU102" s="4"/>
      <c r="AV102" s="7"/>
      <c r="AW102" s="4"/>
      <c r="AX102" s="3"/>
      <c r="AY102" s="4"/>
      <c r="AZ102" s="1"/>
      <c r="BA102" s="1"/>
      <c r="BB102" s="1"/>
      <c r="BC102" s="4"/>
      <c r="BD102" s="1"/>
      <c r="BE102" s="4"/>
      <c r="BF102" s="2"/>
      <c r="BG102" s="4"/>
      <c r="BH102" s="1"/>
      <c r="BI102" s="1"/>
    </row>
    <row r="103" spans="1:62" ht="15" customHeight="1" x14ac:dyDescent="0.25">
      <c r="A103" s="2"/>
      <c r="B103" s="1"/>
      <c r="E103" s="1"/>
      <c r="F103" s="1"/>
      <c r="G103" s="1"/>
      <c r="H103" s="1"/>
      <c r="J103" s="2"/>
      <c r="K103" s="3"/>
      <c r="L103" s="1"/>
      <c r="N103" s="3"/>
      <c r="P103" s="1"/>
      <c r="Q103" s="2"/>
      <c r="R103" s="3"/>
      <c r="S103" s="4"/>
      <c r="T103" s="3"/>
      <c r="U103" s="1"/>
      <c r="V103" s="1"/>
      <c r="W103" s="3"/>
      <c r="X103" s="1"/>
      <c r="Y103" s="4"/>
      <c r="Z103" s="4"/>
      <c r="AA103" s="1"/>
      <c r="AB103" s="1"/>
      <c r="AC103" s="1"/>
      <c r="AD103" s="2"/>
      <c r="AE103" s="1"/>
      <c r="AF103" s="1"/>
      <c r="AG103" s="1"/>
      <c r="AH103" s="3"/>
      <c r="AI103" s="1"/>
      <c r="AJ103" s="1"/>
      <c r="AK103" s="1"/>
      <c r="AL103" s="1"/>
      <c r="AM103" s="1"/>
      <c r="AN103" s="2"/>
      <c r="AO103" s="1"/>
      <c r="AP103" s="1"/>
      <c r="AQ103" s="1"/>
      <c r="AR103" s="2"/>
      <c r="AS103" s="1"/>
      <c r="AT103" s="2"/>
      <c r="AU103" s="4"/>
      <c r="AV103" s="7"/>
      <c r="AW103" s="4"/>
      <c r="AX103" s="3"/>
      <c r="AY103" s="4"/>
      <c r="AZ103" s="1"/>
      <c r="BA103" s="1"/>
      <c r="BB103" s="1"/>
      <c r="BC103" s="4"/>
      <c r="BD103" s="1"/>
      <c r="BE103" s="4"/>
      <c r="BF103" s="2"/>
      <c r="BG103" s="4"/>
      <c r="BH103" s="1"/>
      <c r="BI103" s="1"/>
    </row>
    <row r="104" spans="1:62" ht="15" customHeight="1" x14ac:dyDescent="0.25">
      <c r="A104" s="2"/>
      <c r="B104" s="1"/>
      <c r="E104" s="1"/>
      <c r="F104" s="1"/>
      <c r="G104" s="1"/>
      <c r="H104" s="1"/>
      <c r="J104" s="2"/>
      <c r="K104" s="3"/>
      <c r="L104" s="1"/>
      <c r="N104" s="3"/>
      <c r="P104" s="1"/>
      <c r="Q104" s="2"/>
      <c r="R104" s="3"/>
      <c r="S104" s="4"/>
      <c r="T104" s="3"/>
      <c r="U104" s="1"/>
      <c r="V104" s="1"/>
      <c r="W104" s="3"/>
      <c r="X104" s="1"/>
      <c r="Y104" s="4"/>
      <c r="Z104" s="4"/>
      <c r="AA104" s="1"/>
      <c r="AB104" s="1"/>
      <c r="AC104" s="1"/>
      <c r="AD104" s="2"/>
      <c r="AE104" s="1"/>
      <c r="AF104" s="1"/>
      <c r="AG104" s="1"/>
      <c r="AH104" s="3"/>
      <c r="AI104" s="1"/>
      <c r="AJ104" s="1"/>
      <c r="AK104" s="1"/>
      <c r="AL104" s="1"/>
      <c r="AM104" s="1"/>
      <c r="AN104" s="2"/>
      <c r="AO104" s="1"/>
      <c r="AP104" s="1"/>
      <c r="AQ104" s="1"/>
      <c r="AR104" s="2"/>
      <c r="AS104" s="1"/>
      <c r="AT104" s="2"/>
      <c r="AU104" s="4"/>
      <c r="AV104" s="7"/>
      <c r="AW104" s="4"/>
      <c r="AX104" s="3"/>
      <c r="AY104" s="4"/>
      <c r="AZ104" s="1"/>
      <c r="BA104" s="1"/>
      <c r="BB104" s="1"/>
      <c r="BC104" s="4"/>
      <c r="BD104" s="1"/>
      <c r="BE104" s="4"/>
      <c r="BF104" s="2"/>
      <c r="BG104" s="4"/>
      <c r="BH104" s="1"/>
      <c r="BI104" s="1"/>
    </row>
    <row r="105" spans="1:62" ht="15" customHeight="1" x14ac:dyDescent="0.25">
      <c r="A105" s="2"/>
      <c r="B105" s="1"/>
      <c r="E105" s="1"/>
      <c r="F105" s="1"/>
      <c r="G105" s="1"/>
      <c r="H105" s="1"/>
      <c r="J105" s="2"/>
      <c r="K105" s="3"/>
      <c r="L105" s="1"/>
      <c r="N105" s="3"/>
      <c r="P105" s="1"/>
      <c r="Q105" s="2"/>
      <c r="R105" s="3"/>
      <c r="S105" s="4"/>
      <c r="T105" s="3"/>
      <c r="U105" s="1"/>
      <c r="V105" s="1"/>
      <c r="W105" s="3"/>
      <c r="X105" s="1"/>
      <c r="Y105" s="4"/>
      <c r="Z105" s="4"/>
      <c r="AA105" s="1"/>
      <c r="AB105" s="1"/>
      <c r="AC105" s="1"/>
      <c r="AD105" s="2"/>
      <c r="AE105" s="1"/>
      <c r="AF105" s="1"/>
      <c r="AG105" s="1"/>
      <c r="AH105" s="3"/>
      <c r="AI105" s="1"/>
      <c r="AJ105" s="1"/>
      <c r="AK105" s="1"/>
      <c r="AL105" s="1"/>
      <c r="AM105" s="1"/>
      <c r="AN105" s="2"/>
      <c r="AO105" s="1"/>
      <c r="AP105" s="1"/>
      <c r="AQ105" s="1"/>
      <c r="AR105" s="2"/>
      <c r="AS105" s="1"/>
      <c r="AT105" s="2"/>
      <c r="AU105" s="4"/>
      <c r="AV105" s="7"/>
      <c r="AW105" s="4"/>
      <c r="AX105" s="3"/>
      <c r="AY105" s="4"/>
      <c r="AZ105" s="1"/>
      <c r="BA105" s="1"/>
      <c r="BB105" s="1"/>
      <c r="BC105" s="4"/>
      <c r="BD105" s="1"/>
      <c r="BE105" s="4"/>
      <c r="BF105" s="2"/>
      <c r="BG105" s="4"/>
      <c r="BH105" s="1"/>
      <c r="BI105" s="1"/>
    </row>
    <row r="106" spans="1:62" ht="15" customHeight="1" x14ac:dyDescent="0.25">
      <c r="A106" s="2"/>
      <c r="B106" s="1"/>
      <c r="E106" s="1"/>
      <c r="F106" s="1"/>
      <c r="G106" s="1"/>
      <c r="H106" s="1"/>
      <c r="J106" s="2"/>
      <c r="K106" s="3"/>
      <c r="L106" s="1"/>
      <c r="N106" s="3"/>
      <c r="P106" s="1"/>
      <c r="Q106" s="2"/>
      <c r="R106" s="3"/>
      <c r="S106" s="4"/>
      <c r="T106" s="3"/>
      <c r="U106" s="1"/>
      <c r="V106" s="1"/>
      <c r="W106" s="3"/>
      <c r="X106" s="1"/>
      <c r="Y106" s="4"/>
      <c r="Z106" s="4"/>
      <c r="AA106" s="1"/>
      <c r="AB106" s="1"/>
      <c r="AC106" s="1"/>
      <c r="AD106" s="2"/>
      <c r="AE106" s="1"/>
      <c r="AF106" s="1"/>
      <c r="AG106" s="1"/>
      <c r="AH106" s="3"/>
      <c r="AI106" s="1"/>
      <c r="AJ106" s="1"/>
      <c r="AK106" s="1"/>
      <c r="AL106" s="1"/>
      <c r="AM106" s="1"/>
      <c r="AN106" s="2"/>
      <c r="AO106" s="1"/>
      <c r="AP106" s="1"/>
      <c r="AQ106" s="1"/>
      <c r="AR106" s="2"/>
      <c r="AS106" s="1"/>
      <c r="AT106" s="2"/>
      <c r="AU106" s="4"/>
      <c r="AV106" s="7"/>
      <c r="AW106" s="4"/>
      <c r="AX106" s="3"/>
      <c r="AY106" s="4"/>
      <c r="AZ106" s="1"/>
      <c r="BA106" s="1"/>
      <c r="BB106" s="1"/>
      <c r="BC106" s="4"/>
      <c r="BD106" s="1"/>
      <c r="BE106" s="4"/>
      <c r="BF106" s="2"/>
      <c r="BG106" s="4"/>
      <c r="BH106" s="1"/>
      <c r="BI106" s="1"/>
    </row>
    <row r="107" spans="1:62" ht="15" customHeight="1" x14ac:dyDescent="0.25">
      <c r="A107" s="2"/>
      <c r="B107" s="1"/>
      <c r="E107" s="1"/>
      <c r="F107" s="1"/>
      <c r="G107" s="1"/>
      <c r="H107" s="1"/>
      <c r="J107" s="2"/>
      <c r="K107" s="3"/>
      <c r="L107" s="1"/>
      <c r="N107" s="3"/>
      <c r="P107" s="1"/>
      <c r="Q107" s="2"/>
      <c r="R107" s="3"/>
      <c r="S107" s="4"/>
      <c r="T107" s="3"/>
      <c r="U107" s="1"/>
      <c r="V107" s="1"/>
      <c r="W107" s="3"/>
      <c r="X107" s="1"/>
      <c r="Y107" s="4"/>
      <c r="Z107" s="4"/>
      <c r="AA107" s="1"/>
      <c r="AB107" s="1"/>
      <c r="AC107" s="1"/>
      <c r="AD107" s="2"/>
      <c r="AE107" s="1"/>
      <c r="AF107" s="1"/>
      <c r="AG107" s="1"/>
      <c r="AH107" s="3"/>
      <c r="AI107" s="1"/>
      <c r="AJ107" s="1"/>
      <c r="AK107" s="1"/>
      <c r="AL107" s="1"/>
      <c r="AM107" s="1"/>
      <c r="AN107" s="2"/>
      <c r="AO107" s="1"/>
      <c r="AP107" s="1"/>
      <c r="AQ107" s="1"/>
      <c r="AR107" s="2"/>
      <c r="AS107" s="1"/>
      <c r="AT107" s="2"/>
      <c r="AU107" s="4"/>
      <c r="AV107" s="7"/>
      <c r="AW107" s="4"/>
      <c r="AX107" s="3"/>
      <c r="AY107" s="4"/>
      <c r="AZ107" s="1"/>
      <c r="BA107" s="1"/>
      <c r="BB107" s="1"/>
      <c r="BC107" s="4"/>
      <c r="BD107" s="1"/>
      <c r="BE107" s="4"/>
      <c r="BF107" s="2"/>
      <c r="BG107" s="4"/>
      <c r="BH107" s="1"/>
      <c r="BI107" s="1"/>
    </row>
    <row r="108" spans="1:62" ht="15" customHeight="1" x14ac:dyDescent="0.25">
      <c r="A108" s="2"/>
      <c r="B108" s="1"/>
      <c r="E108" s="1"/>
      <c r="F108" s="1"/>
      <c r="G108" s="1"/>
      <c r="H108" s="1"/>
      <c r="J108" s="2"/>
      <c r="K108" s="3"/>
      <c r="L108" s="1"/>
      <c r="N108" s="3"/>
      <c r="P108" s="1"/>
      <c r="Q108" s="2"/>
      <c r="R108" s="3"/>
      <c r="S108" s="4"/>
      <c r="T108" s="3"/>
      <c r="U108" s="1"/>
      <c r="V108" s="1"/>
      <c r="W108" s="3"/>
      <c r="X108" s="1"/>
      <c r="Y108" s="4"/>
      <c r="Z108" s="4"/>
      <c r="AA108" s="1"/>
      <c r="AB108" s="1"/>
      <c r="AC108" s="1"/>
      <c r="AD108" s="2"/>
      <c r="AE108" s="1"/>
      <c r="AF108" s="1"/>
      <c r="AG108" s="1"/>
      <c r="AH108" s="3"/>
      <c r="AI108" s="1"/>
      <c r="AJ108" s="1"/>
      <c r="AK108" s="1"/>
      <c r="AL108" s="1"/>
      <c r="AM108" s="1"/>
      <c r="AN108" s="2"/>
      <c r="AO108" s="1"/>
      <c r="AP108" s="1"/>
      <c r="AQ108" s="1"/>
      <c r="AR108" s="2"/>
      <c r="AS108" s="1"/>
      <c r="AT108" s="2"/>
      <c r="AU108" s="4"/>
      <c r="AV108" s="7"/>
      <c r="AW108" s="4"/>
      <c r="AX108" s="3"/>
      <c r="AY108" s="4"/>
      <c r="AZ108" s="1"/>
      <c r="BA108" s="1"/>
      <c r="BB108" s="1"/>
      <c r="BC108" s="4"/>
      <c r="BD108" s="1"/>
      <c r="BE108" s="4"/>
      <c r="BF108" s="2"/>
      <c r="BG108" s="4"/>
      <c r="BH108" s="1"/>
      <c r="BI108" s="1"/>
    </row>
    <row r="109" spans="1:62" ht="15" customHeight="1" x14ac:dyDescent="0.25">
      <c r="A109" s="2"/>
      <c r="B109" s="1"/>
      <c r="E109" s="1"/>
      <c r="F109" s="1"/>
      <c r="G109" s="1"/>
      <c r="H109" s="1"/>
      <c r="J109" s="2"/>
      <c r="K109" s="3"/>
      <c r="L109" s="1"/>
      <c r="N109" s="3"/>
      <c r="P109" s="1"/>
      <c r="Q109" s="2"/>
      <c r="R109" s="3"/>
      <c r="S109" s="4"/>
      <c r="T109" s="3"/>
      <c r="U109" s="1"/>
      <c r="V109" s="1"/>
      <c r="W109" s="3"/>
      <c r="X109" s="1"/>
      <c r="Y109" s="4"/>
      <c r="Z109" s="4"/>
      <c r="AA109" s="1"/>
      <c r="AB109" s="1"/>
      <c r="AC109" s="1"/>
      <c r="AD109" s="2"/>
      <c r="AE109" s="1"/>
      <c r="AF109" s="1"/>
      <c r="AG109" s="1"/>
      <c r="AH109" s="3"/>
      <c r="AI109" s="1"/>
      <c r="AJ109" s="1"/>
      <c r="AK109" s="1"/>
      <c r="AL109" s="1"/>
      <c r="AM109" s="1"/>
      <c r="AN109" s="2"/>
      <c r="AO109" s="1"/>
      <c r="AP109" s="1"/>
      <c r="AQ109" s="1"/>
      <c r="AR109" s="2"/>
      <c r="AS109" s="1"/>
      <c r="AT109" s="2"/>
      <c r="AU109" s="4"/>
      <c r="AV109" s="7"/>
      <c r="AW109" s="4"/>
      <c r="AX109" s="3"/>
      <c r="AY109" s="4"/>
      <c r="AZ109" s="1"/>
      <c r="BA109" s="1"/>
      <c r="BB109" s="1"/>
      <c r="BC109" s="4"/>
      <c r="BD109" s="1"/>
      <c r="BE109" s="4"/>
      <c r="BF109" s="2"/>
      <c r="BG109" s="4"/>
      <c r="BH109" s="1"/>
      <c r="BI109" s="1"/>
    </row>
    <row r="110" spans="1:62" ht="15" customHeight="1" x14ac:dyDescent="0.25">
      <c r="A110" s="2"/>
      <c r="B110" s="1"/>
      <c r="E110" s="1"/>
      <c r="F110" s="1"/>
      <c r="G110" s="1"/>
      <c r="H110" s="1"/>
      <c r="J110" s="2"/>
      <c r="K110" s="3"/>
      <c r="L110" s="1"/>
      <c r="N110" s="3"/>
      <c r="P110" s="1"/>
      <c r="Q110" s="2"/>
      <c r="R110" s="3"/>
      <c r="S110" s="4"/>
      <c r="T110" s="3"/>
      <c r="U110" s="1"/>
      <c r="V110" s="1"/>
      <c r="W110" s="3"/>
      <c r="X110" s="1"/>
      <c r="Y110" s="4"/>
      <c r="Z110" s="4"/>
      <c r="AA110" s="1"/>
      <c r="AB110" s="1"/>
      <c r="AC110" s="1"/>
      <c r="AD110" s="2"/>
      <c r="AE110" s="1"/>
      <c r="AF110" s="1"/>
      <c r="AG110" s="1"/>
      <c r="AH110" s="3"/>
      <c r="AI110" s="1"/>
      <c r="AJ110" s="1"/>
      <c r="AK110" s="1"/>
      <c r="AL110" s="1"/>
      <c r="AM110" s="1"/>
      <c r="AN110" s="2"/>
      <c r="AO110" s="1"/>
      <c r="AP110" s="1"/>
      <c r="AQ110" s="1"/>
      <c r="AR110" s="2"/>
      <c r="AS110" s="1"/>
      <c r="AT110" s="2"/>
      <c r="AU110" s="4"/>
      <c r="AV110" s="7"/>
      <c r="AW110" s="4"/>
      <c r="AX110" s="3"/>
      <c r="AY110" s="4"/>
      <c r="AZ110" s="1"/>
      <c r="BA110" s="1"/>
      <c r="BB110" s="1"/>
      <c r="BC110" s="4"/>
      <c r="BD110" s="1"/>
      <c r="BE110" s="4"/>
      <c r="BF110" s="2"/>
      <c r="BG110" s="4"/>
      <c r="BH110" s="1"/>
      <c r="BI110" s="1"/>
    </row>
    <row r="111" spans="1:62" ht="15" customHeight="1" x14ac:dyDescent="0.25">
      <c r="A111" s="2"/>
      <c r="B111" s="1"/>
      <c r="E111" s="1"/>
      <c r="F111" s="1"/>
      <c r="G111" s="1"/>
      <c r="H111" s="1"/>
      <c r="J111" s="2"/>
      <c r="K111" s="3"/>
      <c r="L111" s="1"/>
      <c r="N111" s="3"/>
      <c r="P111" s="1"/>
      <c r="Q111" s="2"/>
      <c r="R111" s="3"/>
      <c r="S111" s="4"/>
      <c r="T111" s="3"/>
      <c r="U111" s="1"/>
      <c r="V111" s="1"/>
      <c r="W111" s="3"/>
      <c r="X111" s="1"/>
      <c r="Y111" s="4"/>
      <c r="Z111" s="4"/>
      <c r="AA111" s="1"/>
      <c r="AB111" s="1"/>
      <c r="AC111" s="1"/>
      <c r="AD111" s="2"/>
      <c r="AE111" s="1"/>
      <c r="AF111" s="1"/>
      <c r="AG111" s="1"/>
      <c r="AH111" s="3"/>
      <c r="AI111" s="1"/>
      <c r="AJ111" s="1"/>
      <c r="AK111" s="1"/>
      <c r="AL111" s="1"/>
      <c r="AM111" s="1"/>
      <c r="AN111" s="2"/>
      <c r="AO111" s="1"/>
      <c r="AP111" s="1"/>
      <c r="AQ111" s="1"/>
      <c r="AR111" s="2"/>
      <c r="AS111" s="1"/>
      <c r="AT111" s="2"/>
      <c r="AU111" s="4"/>
      <c r="AV111" s="7"/>
      <c r="AW111" s="4"/>
      <c r="AX111" s="3"/>
      <c r="AY111" s="4"/>
      <c r="AZ111" s="1"/>
      <c r="BA111" s="1"/>
      <c r="BB111" s="1"/>
      <c r="BC111" s="4"/>
      <c r="BD111" s="1"/>
      <c r="BE111" s="4"/>
      <c r="BF111" s="2"/>
      <c r="BG111" s="4"/>
      <c r="BH111" s="1"/>
      <c r="BI111" s="1"/>
    </row>
    <row r="112" spans="1:62" ht="15" customHeight="1" x14ac:dyDescent="0.25">
      <c r="A112" s="2"/>
      <c r="B112" s="1"/>
      <c r="E112" s="1"/>
      <c r="F112" s="1"/>
      <c r="G112" s="1"/>
      <c r="H112" s="1"/>
      <c r="J112" s="2"/>
      <c r="K112" s="3"/>
      <c r="L112" s="1"/>
      <c r="N112" s="3"/>
      <c r="P112" s="1"/>
      <c r="Q112" s="2"/>
      <c r="R112" s="3"/>
      <c r="S112" s="4"/>
      <c r="T112" s="3"/>
      <c r="U112" s="1"/>
      <c r="V112" s="1"/>
      <c r="W112" s="3"/>
      <c r="X112" s="1"/>
      <c r="Y112" s="4"/>
      <c r="Z112" s="4"/>
      <c r="AA112" s="1"/>
      <c r="AB112" s="1"/>
      <c r="AC112" s="1"/>
      <c r="AD112" s="2"/>
      <c r="AE112" s="1"/>
      <c r="AF112" s="1"/>
      <c r="AG112" s="1"/>
      <c r="AH112" s="3"/>
      <c r="AI112" s="1"/>
      <c r="AJ112" s="1"/>
      <c r="AK112" s="1"/>
      <c r="AL112" s="1"/>
      <c r="AM112" s="1"/>
      <c r="AN112" s="2"/>
      <c r="AO112" s="1"/>
      <c r="AP112" s="1"/>
      <c r="AQ112" s="1"/>
      <c r="AR112" s="2"/>
      <c r="AS112" s="1"/>
      <c r="AT112" s="2"/>
      <c r="AU112" s="4"/>
      <c r="AV112" s="7"/>
      <c r="AW112" s="4"/>
      <c r="AX112" s="3"/>
      <c r="AY112" s="4"/>
      <c r="AZ112" s="1"/>
      <c r="BA112" s="1"/>
      <c r="BB112" s="1"/>
      <c r="BC112" s="4"/>
      <c r="BD112" s="1"/>
      <c r="BE112" s="4"/>
      <c r="BF112" s="2"/>
      <c r="BG112" s="4"/>
      <c r="BH112" s="1"/>
      <c r="BI112" s="1"/>
    </row>
    <row r="113" spans="1:61" ht="15" customHeight="1" x14ac:dyDescent="0.25">
      <c r="A113" s="2"/>
      <c r="B113" s="1"/>
      <c r="E113" s="1"/>
      <c r="F113" s="1"/>
      <c r="G113" s="1"/>
      <c r="H113" s="1"/>
      <c r="J113" s="2"/>
      <c r="K113" s="3"/>
      <c r="L113" s="1"/>
      <c r="N113" s="3"/>
      <c r="P113" s="1"/>
      <c r="Q113" s="2"/>
      <c r="R113" s="3"/>
      <c r="S113" s="4"/>
      <c r="T113" s="3"/>
      <c r="U113" s="1"/>
      <c r="V113" s="1"/>
      <c r="W113" s="3"/>
      <c r="X113" s="1"/>
      <c r="Y113" s="4"/>
      <c r="Z113" s="4"/>
      <c r="AA113" s="1"/>
      <c r="AB113" s="1"/>
      <c r="AC113" s="1"/>
      <c r="AD113" s="2"/>
      <c r="AE113" s="1"/>
      <c r="AF113" s="1"/>
      <c r="AG113" s="1"/>
      <c r="AH113" s="3"/>
      <c r="AI113" s="1"/>
      <c r="AJ113" s="1"/>
      <c r="AK113" s="1"/>
      <c r="AL113" s="1"/>
      <c r="AM113" s="1"/>
      <c r="AN113" s="2"/>
      <c r="AO113" s="1"/>
      <c r="AP113" s="1"/>
      <c r="AQ113" s="1"/>
      <c r="AR113" s="2"/>
      <c r="AS113" s="1"/>
      <c r="AT113" s="2"/>
      <c r="AU113" s="4"/>
      <c r="AV113" s="7"/>
      <c r="AW113" s="4"/>
      <c r="AX113" s="3"/>
      <c r="AY113" s="4"/>
      <c r="AZ113" s="1"/>
      <c r="BA113" s="1"/>
      <c r="BB113" s="1"/>
      <c r="BC113" s="4"/>
      <c r="BD113" s="1"/>
      <c r="BE113" s="4"/>
      <c r="BF113" s="2"/>
      <c r="BG113" s="4"/>
      <c r="BH113" s="1"/>
      <c r="BI113" s="1"/>
    </row>
    <row r="114" spans="1:61" ht="15" customHeight="1" x14ac:dyDescent="0.25">
      <c r="A114" s="2"/>
      <c r="B114" s="1"/>
      <c r="E114" s="1"/>
      <c r="F114" s="1"/>
      <c r="G114" s="1"/>
      <c r="H114" s="1"/>
      <c r="J114" s="2"/>
      <c r="K114" s="3"/>
      <c r="L114" s="1"/>
      <c r="N114" s="3"/>
      <c r="P114" s="1"/>
      <c r="Q114" s="2"/>
      <c r="R114" s="3"/>
      <c r="S114" s="4"/>
      <c r="T114" s="3"/>
      <c r="U114" s="1"/>
      <c r="V114" s="1"/>
      <c r="W114" s="3"/>
      <c r="X114" s="1"/>
      <c r="Y114" s="4"/>
      <c r="Z114" s="4"/>
      <c r="AA114" s="1"/>
      <c r="AB114" s="1"/>
      <c r="AC114" s="1"/>
      <c r="AD114" s="2"/>
      <c r="AE114" s="1"/>
      <c r="AF114" s="1"/>
      <c r="AG114" s="1"/>
      <c r="AH114" s="3"/>
      <c r="AI114" s="1"/>
      <c r="AJ114" s="1"/>
      <c r="AK114" s="1"/>
      <c r="AL114" s="1"/>
      <c r="AM114" s="1"/>
      <c r="AN114" s="2"/>
      <c r="AO114" s="1"/>
      <c r="AP114" s="1"/>
      <c r="AQ114" s="1"/>
      <c r="AR114" s="2"/>
      <c r="AS114" s="1"/>
      <c r="AT114" s="2"/>
      <c r="AU114" s="4"/>
      <c r="AV114" s="7"/>
      <c r="AW114" s="4"/>
      <c r="AX114" s="3"/>
      <c r="AY114" s="4"/>
      <c r="AZ114" s="1"/>
      <c r="BA114" s="1"/>
      <c r="BB114" s="1"/>
      <c r="BC114" s="4"/>
      <c r="BD114" s="1"/>
      <c r="BE114" s="4"/>
      <c r="BF114" s="2"/>
      <c r="BG114" s="4"/>
      <c r="BH114" s="1"/>
      <c r="BI114" s="1"/>
    </row>
    <row r="115" spans="1:61" ht="15" customHeight="1" x14ac:dyDescent="0.25">
      <c r="A115" s="2"/>
      <c r="B115" s="1"/>
      <c r="E115" s="1"/>
      <c r="F115" s="1"/>
      <c r="G115" s="1"/>
      <c r="H115" s="1"/>
      <c r="J115" s="2"/>
      <c r="K115" s="3"/>
      <c r="L115" s="1"/>
      <c r="N115" s="3"/>
      <c r="P115" s="1"/>
      <c r="Q115" s="2"/>
      <c r="R115" s="3"/>
      <c r="S115" s="4"/>
      <c r="T115" s="3"/>
      <c r="U115" s="1"/>
      <c r="V115" s="1"/>
      <c r="W115" s="3"/>
      <c r="X115" s="1"/>
      <c r="Y115" s="4"/>
      <c r="Z115" s="4"/>
      <c r="AA115" s="1"/>
      <c r="AB115" s="1"/>
      <c r="AC115" s="1"/>
      <c r="AD115" s="2"/>
      <c r="AE115" s="1"/>
      <c r="AF115" s="1"/>
      <c r="AG115" s="1"/>
      <c r="AH115" s="3"/>
      <c r="AI115" s="1"/>
      <c r="AJ115" s="1"/>
      <c r="AK115" s="1"/>
      <c r="AL115" s="1"/>
      <c r="AM115" s="1"/>
      <c r="AN115" s="2"/>
      <c r="AO115" s="1"/>
      <c r="AP115" s="1"/>
      <c r="AQ115" s="1"/>
      <c r="AR115" s="2"/>
      <c r="AS115" s="1"/>
      <c r="AT115" s="2"/>
      <c r="AU115" s="4"/>
      <c r="AV115" s="7"/>
      <c r="AW115" s="4"/>
      <c r="AX115" s="3"/>
      <c r="AY115" s="4"/>
      <c r="AZ115" s="1"/>
      <c r="BA115" s="1"/>
      <c r="BB115" s="1"/>
      <c r="BC115" s="4"/>
      <c r="BD115" s="1"/>
      <c r="BE115" s="4"/>
      <c r="BF115" s="2"/>
      <c r="BG115" s="4"/>
      <c r="BH115" s="1"/>
      <c r="BI115" s="1"/>
    </row>
    <row r="116" spans="1:61" ht="15" customHeight="1" x14ac:dyDescent="0.25">
      <c r="A116" s="2"/>
      <c r="B116" s="1"/>
      <c r="E116" s="1"/>
      <c r="F116" s="1"/>
      <c r="G116" s="1"/>
      <c r="H116" s="1"/>
      <c r="J116" s="2"/>
      <c r="K116" s="3"/>
      <c r="L116" s="1"/>
      <c r="N116" s="3"/>
      <c r="P116" s="1"/>
      <c r="Q116" s="2"/>
      <c r="R116" s="3"/>
      <c r="S116" s="4"/>
      <c r="T116" s="3"/>
      <c r="U116" s="1"/>
      <c r="V116" s="1"/>
      <c r="W116" s="3"/>
      <c r="X116" s="1"/>
      <c r="Y116" s="4"/>
      <c r="Z116" s="4"/>
      <c r="AA116" s="1"/>
      <c r="AB116" s="1"/>
      <c r="AC116" s="1"/>
      <c r="AD116" s="2"/>
      <c r="AE116" s="1"/>
      <c r="AF116" s="1"/>
      <c r="AG116" s="1"/>
      <c r="AH116" s="3"/>
      <c r="AI116" s="1"/>
      <c r="AJ116" s="1"/>
      <c r="AK116" s="1"/>
      <c r="AL116" s="1"/>
      <c r="AM116" s="1"/>
      <c r="AN116" s="2"/>
      <c r="AO116" s="1"/>
      <c r="AP116" s="1"/>
      <c r="AQ116" s="1"/>
      <c r="AR116" s="2"/>
      <c r="AS116" s="1"/>
      <c r="AT116" s="2"/>
      <c r="AU116" s="4"/>
      <c r="AV116" s="7"/>
      <c r="AW116" s="4"/>
      <c r="AX116" s="3"/>
      <c r="AY116" s="4"/>
      <c r="AZ116" s="1"/>
      <c r="BA116" s="1"/>
      <c r="BB116" s="1"/>
      <c r="BC116" s="4"/>
      <c r="BD116" s="1"/>
      <c r="BE116" s="4"/>
      <c r="BF116" s="2"/>
      <c r="BG116" s="4"/>
      <c r="BH116" s="1"/>
      <c r="BI116" s="1"/>
    </row>
    <row r="117" spans="1:61" ht="15" customHeight="1" x14ac:dyDescent="0.25">
      <c r="A117" s="2"/>
      <c r="B117" s="1"/>
      <c r="E117" s="1"/>
      <c r="F117" s="1"/>
      <c r="G117" s="1"/>
      <c r="H117" s="1"/>
      <c r="J117" s="2"/>
      <c r="K117" s="3"/>
      <c r="L117" s="1"/>
      <c r="N117" s="3"/>
      <c r="P117" s="1"/>
      <c r="Q117" s="2"/>
      <c r="R117" s="3"/>
      <c r="S117" s="4"/>
      <c r="T117" s="3"/>
      <c r="U117" s="1"/>
      <c r="V117" s="1"/>
      <c r="W117" s="3"/>
      <c r="X117" s="1"/>
      <c r="Y117" s="4"/>
      <c r="Z117" s="4"/>
      <c r="AA117" s="1"/>
      <c r="AB117" s="1"/>
      <c r="AC117" s="1"/>
      <c r="AD117" s="2"/>
      <c r="AE117" s="1"/>
      <c r="AF117" s="1"/>
      <c r="AG117" s="1"/>
      <c r="AH117" s="3"/>
      <c r="AI117" s="1"/>
      <c r="AJ117" s="1"/>
      <c r="AK117" s="1"/>
      <c r="AL117" s="1"/>
      <c r="AM117" s="1"/>
      <c r="AN117" s="2"/>
      <c r="AO117" s="1"/>
      <c r="AP117" s="1"/>
      <c r="AQ117" s="1"/>
      <c r="AR117" s="2"/>
      <c r="AS117" s="1"/>
      <c r="AT117" s="2"/>
      <c r="AU117" s="4"/>
      <c r="AV117" s="7"/>
      <c r="AW117" s="4"/>
      <c r="AX117" s="3"/>
      <c r="AY117" s="4"/>
      <c r="AZ117" s="1"/>
      <c r="BA117" s="1"/>
      <c r="BB117" s="1"/>
      <c r="BC117" s="4"/>
      <c r="BD117" s="1"/>
      <c r="BE117" s="4"/>
      <c r="BF117" s="2"/>
      <c r="BG117" s="4"/>
      <c r="BH117" s="1"/>
      <c r="BI117" s="1"/>
    </row>
    <row r="118" spans="1:61" ht="15" customHeight="1" x14ac:dyDescent="0.25">
      <c r="A118" s="2"/>
      <c r="B118" s="1"/>
      <c r="E118" s="1"/>
      <c r="F118" s="1"/>
      <c r="G118" s="1"/>
      <c r="H118" s="1"/>
      <c r="J118" s="2"/>
      <c r="K118" s="3"/>
      <c r="L118" s="1"/>
      <c r="N118" s="3"/>
      <c r="P118" s="1"/>
      <c r="Q118" s="2"/>
      <c r="R118" s="3"/>
      <c r="S118" s="4"/>
      <c r="T118" s="3"/>
      <c r="U118" s="1"/>
      <c r="V118" s="1"/>
      <c r="W118" s="3"/>
      <c r="X118" s="1"/>
      <c r="Y118" s="4"/>
      <c r="Z118" s="4"/>
      <c r="AA118" s="1"/>
      <c r="AB118" s="1"/>
      <c r="AC118" s="1"/>
      <c r="AD118" s="2"/>
      <c r="AE118" s="1"/>
      <c r="AF118" s="1"/>
      <c r="AG118" s="1"/>
      <c r="AH118" s="3"/>
      <c r="AI118" s="1"/>
      <c r="AJ118" s="1"/>
      <c r="AK118" s="1"/>
      <c r="AL118" s="1"/>
      <c r="AM118" s="1"/>
      <c r="AN118" s="2"/>
      <c r="AO118" s="1"/>
      <c r="AP118" s="1"/>
      <c r="AQ118" s="1"/>
      <c r="AR118" s="2"/>
      <c r="AS118" s="1"/>
      <c r="AT118" s="2"/>
      <c r="AU118" s="4"/>
      <c r="AV118" s="7"/>
      <c r="AW118" s="4"/>
      <c r="AX118" s="3"/>
      <c r="AY118" s="4"/>
      <c r="AZ118" s="1"/>
      <c r="BA118" s="1"/>
      <c r="BB118" s="1"/>
      <c r="BC118" s="4"/>
      <c r="BD118" s="1"/>
      <c r="BE118" s="4"/>
      <c r="BF118" s="2"/>
      <c r="BG118" s="4"/>
      <c r="BH118" s="1"/>
      <c r="BI118" s="1"/>
    </row>
    <row r="119" spans="1:61" ht="15" customHeight="1" x14ac:dyDescent="0.25">
      <c r="A119" s="2"/>
      <c r="B119" s="1"/>
      <c r="E119" s="1"/>
      <c r="F119" s="1"/>
      <c r="G119" s="1"/>
      <c r="H119" s="1"/>
      <c r="J119" s="2"/>
      <c r="K119" s="3"/>
      <c r="L119" s="1"/>
      <c r="N119" s="3"/>
      <c r="P119" s="1"/>
      <c r="Q119" s="2"/>
      <c r="R119" s="3"/>
      <c r="S119" s="4"/>
      <c r="T119" s="3"/>
      <c r="U119" s="1"/>
      <c r="V119" s="1"/>
      <c r="W119" s="3"/>
      <c r="X119" s="1"/>
      <c r="Y119" s="4"/>
      <c r="Z119" s="4"/>
      <c r="AA119" s="1"/>
      <c r="AB119" s="1"/>
      <c r="AC119" s="1"/>
      <c r="AD119" s="2"/>
      <c r="AE119" s="1"/>
      <c r="AF119" s="1"/>
      <c r="AG119" s="1"/>
      <c r="AH119" s="3"/>
      <c r="AI119" s="1"/>
      <c r="AJ119" s="1"/>
      <c r="AK119" s="1"/>
      <c r="AL119" s="1"/>
      <c r="AM119" s="1"/>
      <c r="AN119" s="2"/>
      <c r="AO119" s="1"/>
      <c r="AP119" s="1"/>
      <c r="AQ119" s="1"/>
      <c r="AR119" s="2"/>
      <c r="AS119" s="1"/>
      <c r="AT119" s="2"/>
      <c r="AU119" s="4"/>
      <c r="AV119" s="7"/>
      <c r="AW119" s="4"/>
      <c r="AX119" s="3"/>
      <c r="AY119" s="4"/>
      <c r="AZ119" s="1"/>
      <c r="BA119" s="1"/>
      <c r="BB119" s="1"/>
      <c r="BC119" s="4"/>
      <c r="BD119" s="1"/>
      <c r="BE119" s="4"/>
      <c r="BF119" s="2"/>
      <c r="BG119" s="4"/>
      <c r="BH119" s="1"/>
      <c r="BI119" s="1"/>
    </row>
    <row r="120" spans="1:61" ht="15" customHeight="1" x14ac:dyDescent="0.25">
      <c r="A120" s="2"/>
      <c r="B120" s="1"/>
      <c r="E120" s="1"/>
      <c r="F120" s="1"/>
      <c r="G120" s="1"/>
      <c r="H120" s="1"/>
      <c r="J120" s="2"/>
      <c r="K120" s="3"/>
      <c r="L120" s="1"/>
      <c r="N120" s="3"/>
      <c r="P120" s="1"/>
      <c r="Q120" s="2"/>
      <c r="R120" s="3"/>
      <c r="S120" s="4"/>
      <c r="T120" s="3"/>
      <c r="U120" s="1"/>
      <c r="V120" s="1"/>
      <c r="W120" s="3"/>
      <c r="X120" s="1"/>
      <c r="Y120" s="4"/>
      <c r="Z120" s="4"/>
      <c r="AA120" s="1"/>
      <c r="AB120" s="1"/>
      <c r="AC120" s="1"/>
      <c r="AD120" s="2"/>
      <c r="AE120" s="1"/>
      <c r="AF120" s="1"/>
      <c r="AG120" s="1"/>
      <c r="AH120" s="3"/>
      <c r="AI120" s="1"/>
      <c r="AJ120" s="1"/>
      <c r="AK120" s="1"/>
      <c r="AL120" s="1"/>
      <c r="AM120" s="1"/>
      <c r="AN120" s="2"/>
      <c r="AO120" s="1"/>
      <c r="AP120" s="1"/>
      <c r="AQ120" s="1"/>
      <c r="AR120" s="2"/>
      <c r="AS120" s="1"/>
      <c r="AT120" s="2"/>
      <c r="AU120" s="4"/>
      <c r="AV120" s="7"/>
      <c r="AW120" s="4"/>
      <c r="AX120" s="3"/>
      <c r="AY120" s="4"/>
      <c r="AZ120" s="1"/>
      <c r="BA120" s="1"/>
      <c r="BB120" s="1"/>
      <c r="BC120" s="4"/>
      <c r="BD120" s="1"/>
      <c r="BE120" s="4"/>
      <c r="BF120" s="2"/>
      <c r="BG120" s="4"/>
      <c r="BH120" s="1"/>
      <c r="BI120" s="1"/>
    </row>
    <row r="121" spans="1:61" ht="15" customHeight="1" x14ac:dyDescent="0.25">
      <c r="A121" s="2"/>
      <c r="B121" s="1"/>
      <c r="E121" s="1"/>
      <c r="F121" s="1"/>
      <c r="G121" s="1"/>
      <c r="H121" s="1"/>
      <c r="J121" s="2"/>
      <c r="K121" s="3"/>
      <c r="L121" s="1"/>
      <c r="N121" s="3"/>
      <c r="P121" s="1"/>
      <c r="Q121" s="2"/>
      <c r="R121" s="3"/>
      <c r="S121" s="4"/>
      <c r="T121" s="3"/>
      <c r="U121" s="1"/>
      <c r="V121" s="1"/>
      <c r="W121" s="3"/>
      <c r="X121" s="1"/>
      <c r="Y121" s="4"/>
      <c r="Z121" s="4"/>
      <c r="AA121" s="1"/>
      <c r="AB121" s="1"/>
      <c r="AC121" s="1"/>
      <c r="AD121" s="2"/>
      <c r="AE121" s="1"/>
      <c r="AF121" s="1"/>
      <c r="AG121" s="1"/>
      <c r="AH121" s="3"/>
      <c r="AI121" s="1"/>
      <c r="AJ121" s="1"/>
      <c r="AK121" s="1"/>
      <c r="AL121" s="1"/>
      <c r="AM121" s="1"/>
      <c r="AN121" s="2"/>
      <c r="AO121" s="1"/>
      <c r="AP121" s="1"/>
      <c r="AQ121" s="1"/>
      <c r="AR121" s="2"/>
      <c r="AS121" s="1"/>
      <c r="AT121" s="2"/>
      <c r="AU121" s="4"/>
      <c r="AV121" s="7"/>
      <c r="AW121" s="4"/>
      <c r="AX121" s="3"/>
      <c r="AY121" s="4"/>
      <c r="AZ121" s="1"/>
      <c r="BA121" s="1"/>
      <c r="BB121" s="1"/>
      <c r="BC121" s="4"/>
      <c r="BD121" s="1"/>
      <c r="BE121" s="4"/>
      <c r="BF121" s="2"/>
      <c r="BG121" s="4"/>
      <c r="BH121" s="1"/>
      <c r="BI121" s="1"/>
    </row>
    <row r="122" spans="1:61" ht="15" customHeight="1" x14ac:dyDescent="0.25">
      <c r="A122" s="2"/>
      <c r="B122" s="1"/>
      <c r="E122" s="1"/>
      <c r="F122" s="1"/>
      <c r="G122" s="1"/>
      <c r="H122" s="1"/>
      <c r="J122" s="2"/>
      <c r="K122" s="3"/>
      <c r="L122" s="1"/>
      <c r="N122" s="3"/>
      <c r="P122" s="1"/>
      <c r="Q122" s="2"/>
      <c r="R122" s="3"/>
      <c r="S122" s="4"/>
      <c r="T122" s="3"/>
      <c r="U122" s="1"/>
      <c r="V122" s="1"/>
      <c r="W122" s="3"/>
      <c r="X122" s="1"/>
      <c r="Y122" s="4"/>
      <c r="Z122" s="4"/>
      <c r="AA122" s="1"/>
      <c r="AB122" s="1"/>
      <c r="AC122" s="1"/>
      <c r="AD122" s="2"/>
      <c r="AE122" s="1"/>
      <c r="AF122" s="1"/>
      <c r="AG122" s="1"/>
      <c r="AH122" s="3"/>
      <c r="AI122" s="1"/>
      <c r="AJ122" s="1"/>
      <c r="AK122" s="1"/>
      <c r="AL122" s="1"/>
      <c r="AM122" s="1"/>
      <c r="AN122" s="2"/>
      <c r="AO122" s="1"/>
      <c r="AP122" s="1"/>
      <c r="AQ122" s="1"/>
      <c r="AR122" s="2"/>
      <c r="AS122" s="1"/>
      <c r="AT122" s="2"/>
      <c r="AU122" s="4"/>
      <c r="AV122" s="7"/>
      <c r="AW122" s="4"/>
      <c r="AX122" s="3"/>
      <c r="AY122" s="4"/>
      <c r="AZ122" s="1"/>
      <c r="BA122" s="1"/>
      <c r="BB122" s="1"/>
      <c r="BC122" s="4"/>
      <c r="BD122" s="1"/>
      <c r="BE122" s="4"/>
      <c r="BF122" s="2"/>
      <c r="BG122" s="4"/>
      <c r="BH122" s="1"/>
      <c r="BI122" s="1"/>
    </row>
    <row r="123" spans="1:61" ht="15" customHeight="1" x14ac:dyDescent="0.25">
      <c r="A123" s="2"/>
      <c r="B123" s="1"/>
      <c r="E123" s="1"/>
      <c r="F123" s="1"/>
      <c r="G123" s="1"/>
      <c r="H123" s="1"/>
      <c r="J123" s="2"/>
      <c r="K123" s="3"/>
      <c r="L123" s="1"/>
      <c r="N123" s="3"/>
      <c r="P123" s="1"/>
      <c r="Q123" s="2"/>
      <c r="R123" s="3"/>
      <c r="S123" s="4"/>
      <c r="T123" s="3"/>
      <c r="U123" s="1"/>
      <c r="V123" s="1"/>
      <c r="W123" s="3"/>
      <c r="X123" s="1"/>
      <c r="Y123" s="4"/>
      <c r="Z123" s="4"/>
      <c r="AA123" s="1"/>
      <c r="AB123" s="1"/>
      <c r="AC123" s="1"/>
      <c r="AD123" s="2"/>
      <c r="AE123" s="1"/>
      <c r="AF123" s="1"/>
      <c r="AG123" s="1"/>
      <c r="AH123" s="3"/>
      <c r="AI123" s="1"/>
      <c r="AJ123" s="1"/>
      <c r="AK123" s="1"/>
      <c r="AL123" s="1"/>
      <c r="AM123" s="1"/>
      <c r="AN123" s="2"/>
      <c r="AO123" s="1"/>
      <c r="AP123" s="1"/>
      <c r="AQ123" s="1"/>
      <c r="AR123" s="2"/>
      <c r="AS123" s="1"/>
      <c r="AT123" s="2"/>
      <c r="AU123" s="4"/>
      <c r="AV123" s="7"/>
      <c r="AW123" s="4"/>
      <c r="AX123" s="3"/>
      <c r="AY123" s="4"/>
      <c r="AZ123" s="1"/>
      <c r="BA123" s="1"/>
      <c r="BB123" s="1"/>
      <c r="BC123" s="4"/>
      <c r="BD123" s="1"/>
      <c r="BE123" s="4"/>
      <c r="BF123" s="2"/>
      <c r="BG123" s="4"/>
      <c r="BH123" s="1"/>
      <c r="BI123" s="1"/>
    </row>
    <row r="124" spans="1:61" ht="15" customHeight="1" x14ac:dyDescent="0.25">
      <c r="A124" s="2"/>
      <c r="B124" s="1"/>
      <c r="E124" s="1"/>
      <c r="F124" s="1"/>
      <c r="G124" s="1"/>
      <c r="H124" s="1"/>
      <c r="J124" s="2"/>
      <c r="K124" s="3"/>
      <c r="L124" s="1"/>
      <c r="N124" s="3"/>
      <c r="P124" s="1"/>
      <c r="Q124" s="2"/>
      <c r="R124" s="3"/>
      <c r="S124" s="4"/>
      <c r="T124" s="3"/>
      <c r="U124" s="1"/>
      <c r="V124" s="1"/>
      <c r="W124" s="3"/>
      <c r="X124" s="1"/>
      <c r="Y124" s="4"/>
      <c r="Z124" s="4"/>
      <c r="AA124" s="1"/>
      <c r="AB124" s="1"/>
      <c r="AC124" s="1"/>
      <c r="AD124" s="2"/>
      <c r="AE124" s="1"/>
      <c r="AF124" s="1"/>
      <c r="AG124" s="1"/>
      <c r="AH124" s="3"/>
      <c r="AI124" s="1"/>
      <c r="AJ124" s="1"/>
      <c r="AK124" s="1"/>
      <c r="AL124" s="1"/>
      <c r="AM124" s="1"/>
      <c r="AN124" s="2"/>
      <c r="AO124" s="1"/>
      <c r="AP124" s="1"/>
      <c r="AQ124" s="1"/>
      <c r="AR124" s="2"/>
      <c r="AS124" s="1"/>
      <c r="AT124" s="2"/>
      <c r="AU124" s="4"/>
      <c r="AV124" s="7"/>
      <c r="AW124" s="4"/>
      <c r="AX124" s="3"/>
      <c r="AY124" s="4"/>
      <c r="AZ124" s="1"/>
      <c r="BA124" s="1"/>
      <c r="BB124" s="1"/>
      <c r="BC124" s="4"/>
      <c r="BD124" s="1"/>
      <c r="BE124" s="4"/>
      <c r="BF124" s="2"/>
      <c r="BG124" s="4"/>
      <c r="BH124" s="1"/>
      <c r="BI124" s="1"/>
    </row>
    <row r="125" spans="1:61" ht="15" customHeight="1" x14ac:dyDescent="0.25">
      <c r="A125" s="2"/>
      <c r="B125" s="1"/>
      <c r="E125" s="1"/>
      <c r="F125" s="1"/>
      <c r="G125" s="1"/>
      <c r="H125" s="1"/>
      <c r="J125" s="2"/>
      <c r="K125" s="3"/>
      <c r="L125" s="1"/>
      <c r="N125" s="3"/>
      <c r="P125" s="1"/>
      <c r="Q125" s="2"/>
      <c r="R125" s="3"/>
      <c r="S125" s="4"/>
      <c r="T125" s="3"/>
      <c r="U125" s="1"/>
      <c r="V125" s="1"/>
      <c r="W125" s="3"/>
      <c r="X125" s="1"/>
      <c r="Y125" s="4"/>
      <c r="Z125" s="4"/>
      <c r="AA125" s="1"/>
      <c r="AB125" s="1"/>
      <c r="AC125" s="1"/>
      <c r="AD125" s="2"/>
      <c r="AE125" s="1"/>
      <c r="AF125" s="1"/>
      <c r="AG125" s="1"/>
      <c r="AH125" s="3"/>
      <c r="AI125" s="1"/>
      <c r="AJ125" s="1"/>
      <c r="AK125" s="1"/>
      <c r="AL125" s="1"/>
      <c r="AM125" s="1"/>
      <c r="AN125" s="2"/>
      <c r="AO125" s="1"/>
      <c r="AP125" s="1"/>
      <c r="AQ125" s="1"/>
      <c r="AR125" s="2"/>
      <c r="AS125" s="1"/>
      <c r="AT125" s="2"/>
      <c r="AU125" s="4"/>
      <c r="AV125" s="7"/>
      <c r="AW125" s="4"/>
      <c r="AX125" s="3"/>
      <c r="AY125" s="4"/>
      <c r="AZ125" s="1"/>
      <c r="BA125" s="1"/>
      <c r="BB125" s="1"/>
      <c r="BC125" s="4"/>
      <c r="BD125" s="1"/>
      <c r="BE125" s="4"/>
      <c r="BF125" s="2"/>
      <c r="BG125" s="4"/>
      <c r="BH125" s="1"/>
      <c r="BI125" s="1"/>
    </row>
    <row r="126" spans="1:61" ht="15" customHeight="1" x14ac:dyDescent="0.25">
      <c r="A126" s="2"/>
      <c r="B126" s="1"/>
      <c r="E126" s="1"/>
      <c r="F126" s="1"/>
      <c r="G126" s="1"/>
      <c r="H126" s="1"/>
      <c r="J126" s="2"/>
      <c r="K126" s="3"/>
      <c r="L126" s="1"/>
      <c r="N126" s="3"/>
      <c r="P126" s="1"/>
      <c r="Q126" s="2"/>
      <c r="R126" s="3"/>
      <c r="S126" s="4"/>
      <c r="T126" s="3"/>
      <c r="U126" s="1"/>
      <c r="V126" s="1"/>
      <c r="W126" s="3"/>
      <c r="X126" s="1"/>
      <c r="Y126" s="4"/>
      <c r="Z126" s="4"/>
      <c r="AA126" s="1"/>
      <c r="AB126" s="1"/>
      <c r="AC126" s="1"/>
      <c r="AD126" s="2"/>
      <c r="AE126" s="1"/>
      <c r="AF126" s="1"/>
      <c r="AG126" s="1"/>
      <c r="AH126" s="3"/>
      <c r="AI126" s="1"/>
      <c r="AJ126" s="1"/>
      <c r="AK126" s="1"/>
      <c r="AL126" s="1"/>
      <c r="AM126" s="1"/>
      <c r="AN126" s="2"/>
      <c r="AO126" s="1"/>
      <c r="AP126" s="1"/>
      <c r="AQ126" s="1"/>
      <c r="AR126" s="2"/>
      <c r="AS126" s="1"/>
      <c r="AT126" s="2"/>
      <c r="AU126" s="4"/>
      <c r="AV126" s="7"/>
      <c r="AW126" s="4"/>
      <c r="AX126" s="3"/>
      <c r="AY126" s="4"/>
      <c r="AZ126" s="1"/>
      <c r="BA126" s="1"/>
      <c r="BB126" s="1"/>
      <c r="BC126" s="4"/>
      <c r="BD126" s="1"/>
      <c r="BE126" s="4"/>
      <c r="BF126" s="2"/>
      <c r="BG126" s="4"/>
      <c r="BH126" s="1"/>
      <c r="BI126" s="1"/>
    </row>
    <row r="127" spans="1:61" ht="15" customHeight="1" x14ac:dyDescent="0.25">
      <c r="A127" s="2"/>
      <c r="B127" s="1"/>
      <c r="E127" s="1"/>
      <c r="F127" s="1"/>
      <c r="G127" s="1"/>
      <c r="H127" s="1"/>
      <c r="J127" s="2"/>
      <c r="K127" s="3"/>
      <c r="L127" s="1"/>
      <c r="N127" s="3"/>
      <c r="P127" s="1"/>
      <c r="Q127" s="2"/>
      <c r="R127" s="3"/>
      <c r="S127" s="4"/>
      <c r="T127" s="3"/>
      <c r="U127" s="1"/>
      <c r="V127" s="1"/>
      <c r="W127" s="3"/>
      <c r="X127" s="1"/>
      <c r="Y127" s="4"/>
      <c r="Z127" s="4"/>
      <c r="AA127" s="1"/>
      <c r="AB127" s="1"/>
      <c r="AC127" s="1"/>
      <c r="AD127" s="2"/>
      <c r="AE127" s="1"/>
      <c r="AF127" s="1"/>
      <c r="AG127" s="1"/>
      <c r="AH127" s="3"/>
      <c r="AI127" s="1"/>
      <c r="AJ127" s="1"/>
      <c r="AK127" s="1"/>
      <c r="AL127" s="1"/>
      <c r="AM127" s="1"/>
      <c r="AN127" s="2"/>
      <c r="AO127" s="1"/>
      <c r="AP127" s="1"/>
      <c r="AQ127" s="1"/>
      <c r="AR127" s="2"/>
      <c r="AS127" s="1"/>
      <c r="AT127" s="2"/>
      <c r="AU127" s="4"/>
      <c r="AV127" s="7"/>
      <c r="AW127" s="4"/>
      <c r="AX127" s="3"/>
      <c r="AY127" s="4"/>
      <c r="AZ127" s="1"/>
      <c r="BA127" s="1"/>
      <c r="BB127" s="1"/>
      <c r="BC127" s="4"/>
      <c r="BD127" s="1"/>
      <c r="BE127" s="4"/>
      <c r="BF127" s="2"/>
      <c r="BG127" s="4"/>
      <c r="BH127" s="1"/>
      <c r="BI127" s="1"/>
    </row>
    <row r="128" spans="1:61" ht="15" customHeight="1" x14ac:dyDescent="0.25">
      <c r="A128" s="2"/>
      <c r="B128" s="1"/>
      <c r="E128" s="1"/>
      <c r="F128" s="1"/>
      <c r="G128" s="1"/>
      <c r="H128" s="1"/>
      <c r="J128" s="2"/>
      <c r="K128" s="3"/>
      <c r="L128" s="1"/>
      <c r="N128" s="3"/>
      <c r="P128" s="1"/>
      <c r="Q128" s="2"/>
      <c r="R128" s="3"/>
      <c r="S128" s="4"/>
      <c r="T128" s="3"/>
      <c r="U128" s="1"/>
      <c r="V128" s="1"/>
      <c r="W128" s="3"/>
      <c r="X128" s="1"/>
      <c r="Y128" s="4"/>
      <c r="Z128" s="4"/>
      <c r="AA128" s="1"/>
      <c r="AB128" s="1"/>
      <c r="AC128" s="1"/>
      <c r="AD128" s="2"/>
      <c r="AE128" s="1"/>
      <c r="AF128" s="1"/>
      <c r="AG128" s="1"/>
      <c r="AH128" s="3"/>
      <c r="AI128" s="1"/>
      <c r="AJ128" s="1"/>
      <c r="AK128" s="1"/>
      <c r="AL128" s="1"/>
      <c r="AM128" s="1"/>
      <c r="AN128" s="2"/>
      <c r="AO128" s="1"/>
      <c r="AP128" s="1"/>
      <c r="AQ128" s="1"/>
      <c r="AR128" s="2"/>
      <c r="AS128" s="1"/>
      <c r="AT128" s="2"/>
      <c r="AU128" s="4"/>
      <c r="AV128" s="7"/>
      <c r="AW128" s="4"/>
      <c r="AX128" s="3"/>
      <c r="AY128" s="4"/>
      <c r="AZ128" s="1"/>
      <c r="BA128" s="1"/>
      <c r="BB128" s="1"/>
      <c r="BC128" s="4"/>
      <c r="BD128" s="1"/>
      <c r="BE128" s="4"/>
      <c r="BF128" s="2"/>
      <c r="BG128" s="4"/>
      <c r="BH128" s="1"/>
      <c r="BI128" s="1"/>
    </row>
    <row r="129" spans="1:61" ht="15" customHeight="1" x14ac:dyDescent="0.25">
      <c r="A129" s="2"/>
      <c r="B129" s="1"/>
      <c r="E129" s="1"/>
      <c r="F129" s="1"/>
      <c r="G129" s="1"/>
      <c r="H129" s="1"/>
      <c r="J129" s="2"/>
      <c r="K129" s="3"/>
      <c r="L129" s="1"/>
      <c r="N129" s="3"/>
      <c r="P129" s="1"/>
      <c r="Q129" s="2"/>
      <c r="R129" s="3"/>
      <c r="S129" s="4"/>
      <c r="T129" s="3"/>
      <c r="U129" s="1"/>
      <c r="V129" s="1"/>
      <c r="W129" s="3"/>
      <c r="X129" s="1"/>
      <c r="Y129" s="4"/>
      <c r="Z129" s="4"/>
      <c r="AA129" s="1"/>
      <c r="AB129" s="1"/>
      <c r="AC129" s="1"/>
      <c r="AD129" s="2"/>
      <c r="AE129" s="1"/>
      <c r="AF129" s="1"/>
      <c r="AG129" s="1"/>
      <c r="AH129" s="3"/>
      <c r="AI129" s="1"/>
      <c r="AJ129" s="1"/>
      <c r="AK129" s="1"/>
      <c r="AL129" s="1"/>
      <c r="AM129" s="1"/>
      <c r="AN129" s="2"/>
      <c r="AO129" s="1"/>
      <c r="AP129" s="1"/>
      <c r="AQ129" s="1"/>
      <c r="AR129" s="2"/>
      <c r="AS129" s="1"/>
      <c r="AT129" s="2"/>
      <c r="AU129" s="4"/>
      <c r="AV129" s="7"/>
      <c r="AW129" s="4"/>
      <c r="AX129" s="3"/>
      <c r="AY129" s="4"/>
      <c r="AZ129" s="1"/>
      <c r="BA129" s="1"/>
      <c r="BB129" s="1"/>
      <c r="BC129" s="4"/>
      <c r="BD129" s="1"/>
      <c r="BE129" s="4"/>
      <c r="BF129" s="2"/>
      <c r="BG129" s="4"/>
      <c r="BH129" s="1"/>
      <c r="BI129" s="1"/>
    </row>
    <row r="130" spans="1:61" ht="15" customHeight="1" x14ac:dyDescent="0.25">
      <c r="A130" s="2"/>
      <c r="B130" s="1"/>
      <c r="E130" s="1"/>
      <c r="F130" s="1"/>
      <c r="G130" s="1"/>
      <c r="H130" s="1"/>
      <c r="J130" s="2"/>
      <c r="K130" s="3"/>
      <c r="L130" s="1"/>
      <c r="N130" s="3"/>
      <c r="P130" s="1"/>
      <c r="Q130" s="2"/>
      <c r="R130" s="3"/>
      <c r="S130" s="4"/>
      <c r="T130" s="3"/>
      <c r="U130" s="1"/>
      <c r="V130" s="1"/>
      <c r="W130" s="3"/>
      <c r="X130" s="1"/>
      <c r="Y130" s="4"/>
      <c r="Z130" s="4"/>
      <c r="AA130" s="1"/>
      <c r="AB130" s="1"/>
      <c r="AC130" s="1"/>
      <c r="AD130" s="2"/>
      <c r="AE130" s="1"/>
      <c r="AF130" s="1"/>
      <c r="AG130" s="1"/>
      <c r="AH130" s="3"/>
      <c r="AI130" s="1"/>
      <c r="AJ130" s="1"/>
      <c r="AK130" s="1"/>
      <c r="AL130" s="1"/>
      <c r="AM130" s="1"/>
      <c r="AN130" s="2"/>
      <c r="AO130" s="1"/>
      <c r="AP130" s="1"/>
      <c r="AQ130" s="1"/>
      <c r="AR130" s="2"/>
      <c r="AS130" s="1"/>
      <c r="AT130" s="2"/>
      <c r="AU130" s="4"/>
      <c r="AV130" s="7"/>
      <c r="AW130" s="4"/>
      <c r="AX130" s="3"/>
      <c r="AY130" s="4"/>
      <c r="AZ130" s="1"/>
      <c r="BA130" s="1"/>
      <c r="BB130" s="1"/>
      <c r="BC130" s="4"/>
      <c r="BD130" s="1"/>
      <c r="BE130" s="4"/>
      <c r="BF130" s="2"/>
      <c r="BG130" s="4"/>
      <c r="BH130" s="1"/>
      <c r="BI130" s="1"/>
    </row>
    <row r="131" spans="1:61" ht="15" customHeight="1" x14ac:dyDescent="0.25">
      <c r="A131" s="2"/>
      <c r="B131" s="1"/>
      <c r="E131" s="1"/>
      <c r="F131" s="1"/>
      <c r="G131" s="1"/>
      <c r="H131" s="1"/>
      <c r="J131" s="2"/>
      <c r="K131" s="3"/>
      <c r="L131" s="1"/>
      <c r="N131" s="3"/>
      <c r="P131" s="1"/>
      <c r="Q131" s="2"/>
      <c r="R131" s="3"/>
      <c r="S131" s="4"/>
      <c r="T131" s="3"/>
      <c r="U131" s="1"/>
      <c r="V131" s="1"/>
      <c r="W131" s="3"/>
      <c r="X131" s="1"/>
      <c r="Y131" s="4"/>
      <c r="Z131" s="4"/>
      <c r="AA131" s="1"/>
      <c r="AB131" s="1"/>
      <c r="AC131" s="1"/>
      <c r="AD131" s="2"/>
      <c r="AE131" s="1"/>
      <c r="AF131" s="1"/>
      <c r="AG131" s="1"/>
      <c r="AH131" s="3"/>
      <c r="AI131" s="1"/>
      <c r="AJ131" s="1"/>
      <c r="AK131" s="1"/>
      <c r="AL131" s="1"/>
      <c r="AM131" s="1"/>
      <c r="AN131" s="2"/>
      <c r="AO131" s="1"/>
      <c r="AP131" s="1"/>
      <c r="AQ131" s="1"/>
      <c r="AR131" s="2"/>
      <c r="AS131" s="1"/>
      <c r="AT131" s="2"/>
      <c r="AU131" s="4"/>
      <c r="AV131" s="7"/>
      <c r="AW131" s="4"/>
      <c r="AX131" s="3"/>
      <c r="AY131" s="4"/>
      <c r="AZ131" s="1"/>
      <c r="BA131" s="1"/>
      <c r="BB131" s="1"/>
      <c r="BC131" s="4"/>
      <c r="BD131" s="1"/>
      <c r="BE131" s="4"/>
      <c r="BF131" s="2"/>
      <c r="BG131" s="4"/>
      <c r="BH131" s="1"/>
      <c r="BI131" s="1"/>
    </row>
    <row r="132" spans="1:61" ht="15" customHeight="1" x14ac:dyDescent="0.25">
      <c r="A132" s="2"/>
      <c r="B132" s="1"/>
      <c r="E132" s="1"/>
      <c r="F132" s="1"/>
      <c r="G132" s="1"/>
      <c r="H132" s="1"/>
      <c r="J132" s="2"/>
      <c r="K132" s="3"/>
      <c r="L132" s="1"/>
      <c r="N132" s="3"/>
      <c r="P132" s="1"/>
      <c r="Q132" s="2"/>
      <c r="R132" s="3"/>
      <c r="S132" s="4"/>
      <c r="T132" s="3"/>
      <c r="U132" s="1"/>
      <c r="V132" s="1"/>
      <c r="W132" s="3"/>
      <c r="X132" s="1"/>
      <c r="Y132" s="4"/>
      <c r="Z132" s="4"/>
      <c r="AA132" s="1"/>
      <c r="AB132" s="1"/>
      <c r="AC132" s="1"/>
      <c r="AD132" s="2"/>
      <c r="AE132" s="1"/>
      <c r="AF132" s="1"/>
      <c r="AG132" s="1"/>
      <c r="AH132" s="3"/>
      <c r="AI132" s="1"/>
      <c r="AJ132" s="1"/>
      <c r="AK132" s="1"/>
      <c r="AL132" s="1"/>
      <c r="AM132" s="1"/>
      <c r="AN132" s="2"/>
      <c r="AO132" s="1"/>
      <c r="AP132" s="1"/>
      <c r="AQ132" s="1"/>
      <c r="AR132" s="2"/>
      <c r="AS132" s="1"/>
      <c r="AT132" s="2"/>
      <c r="AU132" s="4"/>
      <c r="AV132" s="4"/>
      <c r="AW132" s="4"/>
      <c r="AX132" s="3"/>
      <c r="AY132" s="4"/>
      <c r="AZ132" s="1"/>
      <c r="BA132" s="1"/>
      <c r="BB132" s="1"/>
      <c r="BC132" s="4"/>
      <c r="BD132" s="1"/>
      <c r="BE132" s="4"/>
      <c r="BF132" s="2"/>
      <c r="BG132" s="4"/>
      <c r="BH132" s="1"/>
      <c r="BI132" s="1"/>
    </row>
    <row r="133" spans="1:61" ht="15" customHeight="1" x14ac:dyDescent="0.25">
      <c r="A133" s="2"/>
      <c r="B133" s="1"/>
      <c r="E133" s="1"/>
      <c r="F133" s="1"/>
      <c r="G133" s="1"/>
      <c r="H133" s="1"/>
      <c r="J133" s="2"/>
      <c r="K133" s="3"/>
      <c r="L133" s="1"/>
      <c r="N133" s="3"/>
      <c r="P133" s="1"/>
      <c r="Q133" s="2"/>
      <c r="R133" s="3"/>
      <c r="S133" s="4"/>
      <c r="T133" s="3"/>
      <c r="U133" s="1"/>
      <c r="V133" s="1"/>
      <c r="W133" s="3"/>
      <c r="X133" s="1"/>
      <c r="Y133" s="4"/>
      <c r="Z133" s="4"/>
      <c r="AA133" s="1"/>
      <c r="AB133" s="1"/>
      <c r="AC133" s="1"/>
      <c r="AD133" s="2"/>
      <c r="AE133" s="1"/>
      <c r="AF133" s="1"/>
      <c r="AG133" s="1"/>
      <c r="AH133" s="3"/>
      <c r="AI133" s="1"/>
      <c r="AJ133" s="1"/>
      <c r="AK133" s="1"/>
      <c r="AL133" s="1"/>
      <c r="AM133" s="1"/>
      <c r="AN133" s="2"/>
      <c r="AO133" s="1"/>
      <c r="AP133" s="1"/>
      <c r="AQ133" s="1"/>
      <c r="AR133" s="2"/>
      <c r="AS133" s="1"/>
      <c r="AT133" s="2"/>
      <c r="AU133" s="4"/>
      <c r="AV133" s="7"/>
      <c r="AW133" s="4"/>
      <c r="AX133" s="3"/>
      <c r="AY133" s="4"/>
      <c r="AZ133" s="1"/>
      <c r="BA133" s="1"/>
      <c r="BB133" s="1"/>
      <c r="BC133" s="4"/>
      <c r="BD133" s="1"/>
      <c r="BE133" s="4"/>
      <c r="BF133" s="2"/>
      <c r="BG133" s="4"/>
      <c r="BH133" s="1"/>
      <c r="BI133" s="1"/>
    </row>
    <row r="134" spans="1:61" ht="15" customHeight="1" x14ac:dyDescent="0.25">
      <c r="A134" s="2"/>
      <c r="B134" s="1"/>
      <c r="E134" s="1"/>
      <c r="F134" s="1"/>
      <c r="G134" s="1"/>
      <c r="H134" s="1"/>
      <c r="J134" s="2"/>
      <c r="K134" s="3"/>
      <c r="L134" s="1"/>
      <c r="N134" s="3"/>
      <c r="P134" s="1"/>
      <c r="Q134" s="2"/>
      <c r="R134" s="3"/>
      <c r="S134" s="4"/>
      <c r="T134" s="3"/>
      <c r="U134" s="1"/>
      <c r="V134" s="1"/>
      <c r="W134" s="3"/>
      <c r="X134" s="1"/>
      <c r="Y134" s="4"/>
      <c r="Z134" s="4"/>
      <c r="AA134" s="1"/>
      <c r="AB134" s="1"/>
      <c r="AC134" s="1"/>
      <c r="AD134" s="2"/>
      <c r="AE134" s="1"/>
      <c r="AF134" s="1"/>
      <c r="AG134" s="1"/>
      <c r="AH134" s="3"/>
      <c r="AI134" s="1"/>
      <c r="AJ134" s="1"/>
      <c r="AK134" s="1"/>
      <c r="AL134" s="1"/>
      <c r="AM134" s="1"/>
      <c r="AN134" s="2"/>
      <c r="AO134" s="1"/>
      <c r="AP134" s="1"/>
      <c r="AQ134" s="1"/>
      <c r="AR134" s="2"/>
      <c r="AS134" s="1"/>
      <c r="AT134" s="2"/>
      <c r="AU134" s="4"/>
      <c r="AV134" s="7"/>
      <c r="AW134" s="4"/>
      <c r="AX134" s="3"/>
      <c r="AY134" s="4"/>
      <c r="AZ134" s="1"/>
      <c r="BA134" s="1"/>
      <c r="BB134" s="1"/>
      <c r="BC134" s="4"/>
      <c r="BD134" s="1"/>
      <c r="BE134" s="4"/>
      <c r="BF134" s="2"/>
      <c r="BG134" s="4"/>
      <c r="BH134" s="1"/>
      <c r="BI134" s="1"/>
    </row>
    <row r="135" spans="1:61" ht="15" customHeight="1" x14ac:dyDescent="0.25">
      <c r="A135" s="2"/>
      <c r="B135" s="1"/>
      <c r="E135" s="1"/>
      <c r="F135" s="1"/>
      <c r="G135" s="1"/>
      <c r="H135" s="1"/>
      <c r="J135" s="2"/>
      <c r="K135" s="3"/>
      <c r="L135" s="1"/>
      <c r="N135" s="3"/>
      <c r="P135" s="1"/>
      <c r="Q135" s="2"/>
      <c r="R135" s="3"/>
      <c r="S135" s="4"/>
      <c r="T135" s="3"/>
      <c r="U135" s="1"/>
      <c r="V135" s="1"/>
      <c r="W135" s="3"/>
      <c r="X135" s="1"/>
      <c r="Y135" s="4"/>
      <c r="Z135" s="4"/>
      <c r="AA135" s="1"/>
      <c r="AB135" s="1"/>
      <c r="AC135" s="1"/>
      <c r="AD135" s="2"/>
      <c r="AE135" s="1"/>
      <c r="AF135" s="1"/>
      <c r="AG135" s="1"/>
      <c r="AH135" s="3"/>
      <c r="AI135" s="1"/>
      <c r="AJ135" s="1"/>
      <c r="AK135" s="1"/>
      <c r="AL135" s="1"/>
      <c r="AM135" s="1"/>
      <c r="AN135" s="2"/>
      <c r="AO135" s="1"/>
      <c r="AP135" s="1"/>
      <c r="AQ135" s="1"/>
      <c r="AR135" s="2"/>
      <c r="AS135" s="1"/>
      <c r="AT135" s="2"/>
      <c r="AU135" s="4"/>
      <c r="AV135" s="7"/>
      <c r="AW135" s="4"/>
      <c r="AX135" s="3"/>
      <c r="AY135" s="4"/>
      <c r="AZ135" s="1"/>
      <c r="BA135" s="1"/>
      <c r="BB135" s="1"/>
      <c r="BC135" s="4"/>
      <c r="BD135" s="1"/>
      <c r="BE135" s="4"/>
      <c r="BF135" s="2"/>
      <c r="BG135" s="4"/>
      <c r="BH135" s="1"/>
      <c r="BI135" s="1"/>
    </row>
    <row r="136" spans="1:61" ht="15" customHeight="1" x14ac:dyDescent="0.25">
      <c r="A136" s="2"/>
      <c r="B136" s="1"/>
      <c r="E136" s="1"/>
      <c r="F136" s="1"/>
      <c r="G136" s="1"/>
      <c r="H136" s="1"/>
      <c r="J136" s="2"/>
      <c r="K136" s="3"/>
      <c r="L136" s="1"/>
      <c r="N136" s="3"/>
      <c r="P136" s="1"/>
      <c r="Q136" s="2"/>
      <c r="R136" s="3"/>
      <c r="S136" s="4"/>
      <c r="T136" s="3"/>
      <c r="U136" s="1"/>
      <c r="V136" s="1"/>
      <c r="W136" s="3"/>
      <c r="X136" s="1"/>
      <c r="Y136" s="4"/>
      <c r="Z136" s="4"/>
      <c r="AA136" s="1"/>
      <c r="AB136" s="1"/>
      <c r="AC136" s="1"/>
      <c r="AD136" s="2"/>
      <c r="AE136" s="1"/>
      <c r="AF136" s="1"/>
      <c r="AG136" s="1"/>
      <c r="AH136" s="3"/>
      <c r="AI136" s="1"/>
      <c r="AJ136" s="1"/>
      <c r="AK136" s="1"/>
      <c r="AL136" s="1"/>
      <c r="AM136" s="1"/>
      <c r="AN136" s="2"/>
      <c r="AO136" s="1"/>
      <c r="AP136" s="1"/>
      <c r="AQ136" s="1"/>
      <c r="AR136" s="2"/>
      <c r="AS136" s="1"/>
      <c r="AT136" s="2"/>
      <c r="AU136" s="4"/>
      <c r="AV136" s="7"/>
      <c r="AW136" s="4"/>
      <c r="AX136" s="3"/>
      <c r="AY136" s="4"/>
      <c r="AZ136" s="1"/>
      <c r="BA136" s="1"/>
      <c r="BB136" s="1"/>
      <c r="BC136" s="4"/>
      <c r="BD136" s="1"/>
      <c r="BE136" s="4"/>
      <c r="BF136" s="2"/>
      <c r="BG136" s="4"/>
      <c r="BH136" s="1"/>
      <c r="BI136" s="1"/>
    </row>
    <row r="137" spans="1:61" ht="15" customHeight="1" x14ac:dyDescent="0.25">
      <c r="A137" s="2"/>
      <c r="B137" s="1"/>
      <c r="E137" s="1"/>
      <c r="F137" s="1"/>
      <c r="G137" s="1"/>
      <c r="H137" s="1"/>
      <c r="J137" s="2"/>
      <c r="K137" s="3"/>
      <c r="L137" s="1"/>
      <c r="N137" s="3"/>
      <c r="P137" s="1"/>
      <c r="Q137" s="2"/>
      <c r="R137" s="3"/>
      <c r="S137" s="4"/>
      <c r="T137" s="3"/>
      <c r="U137" s="1"/>
      <c r="V137" s="1"/>
      <c r="W137" s="3"/>
      <c r="X137" s="1"/>
      <c r="Y137" s="4"/>
      <c r="Z137" s="4"/>
      <c r="AA137" s="1"/>
      <c r="AB137" s="1"/>
      <c r="AC137" s="1"/>
      <c r="AD137" s="2"/>
      <c r="AE137" s="1"/>
      <c r="AF137" s="1"/>
      <c r="AG137" s="1"/>
      <c r="AH137" s="3"/>
      <c r="AI137" s="1"/>
      <c r="AJ137" s="1"/>
      <c r="AK137" s="1"/>
      <c r="AL137" s="1"/>
      <c r="AM137" s="1"/>
      <c r="AN137" s="2"/>
      <c r="AO137" s="1"/>
      <c r="AP137" s="1"/>
      <c r="AQ137" s="1"/>
      <c r="AR137" s="2"/>
      <c r="AS137" s="1"/>
      <c r="AT137" s="2"/>
      <c r="AU137" s="4"/>
      <c r="AV137" s="7"/>
      <c r="AW137" s="4"/>
      <c r="AX137" s="3"/>
      <c r="AY137" s="4"/>
      <c r="AZ137" s="1"/>
      <c r="BA137" s="1"/>
      <c r="BB137" s="1"/>
      <c r="BC137" s="4"/>
      <c r="BD137" s="1"/>
      <c r="BE137" s="4"/>
      <c r="BF137" s="2"/>
      <c r="BG137" s="4"/>
      <c r="BH137" s="1"/>
      <c r="BI137" s="1"/>
    </row>
    <row r="138" spans="1:61" ht="15" customHeight="1" x14ac:dyDescent="0.25">
      <c r="A138" s="2"/>
      <c r="B138" s="1"/>
      <c r="E138" s="1"/>
      <c r="F138" s="1"/>
      <c r="G138" s="1"/>
      <c r="H138" s="1"/>
      <c r="J138" s="2"/>
      <c r="K138" s="3"/>
      <c r="L138" s="1"/>
      <c r="N138" s="3"/>
      <c r="P138" s="1"/>
      <c r="Q138" s="2"/>
      <c r="R138" s="3"/>
      <c r="S138" s="4"/>
      <c r="T138" s="3"/>
      <c r="U138" s="1"/>
      <c r="V138" s="1"/>
      <c r="W138" s="3"/>
      <c r="X138" s="1"/>
      <c r="Y138" s="4"/>
      <c r="Z138" s="4"/>
      <c r="AA138" s="1"/>
      <c r="AB138" s="1"/>
      <c r="AC138" s="1"/>
      <c r="AD138" s="2"/>
      <c r="AE138" s="1"/>
      <c r="AF138" s="1"/>
      <c r="AG138" s="1"/>
      <c r="AH138" s="3"/>
      <c r="AI138" s="1"/>
      <c r="AJ138" s="1"/>
      <c r="AK138" s="1"/>
      <c r="AL138" s="1"/>
      <c r="AM138" s="1"/>
      <c r="AN138" s="2"/>
      <c r="AO138" s="1"/>
      <c r="AP138" s="1"/>
      <c r="AQ138" s="1"/>
      <c r="AR138" s="2"/>
      <c r="AS138" s="1"/>
      <c r="AT138" s="2"/>
      <c r="AU138" s="4"/>
      <c r="AV138" s="7"/>
      <c r="AW138" s="4"/>
      <c r="AX138" s="3"/>
      <c r="AY138" s="4"/>
      <c r="AZ138" s="1"/>
      <c r="BA138" s="1"/>
      <c r="BB138" s="1"/>
      <c r="BC138" s="4"/>
      <c r="BD138" s="1"/>
      <c r="BE138" s="4"/>
      <c r="BF138" s="2"/>
      <c r="BG138" s="4"/>
      <c r="BH138" s="1"/>
      <c r="BI138" s="1"/>
    </row>
    <row r="139" spans="1:61" ht="15" customHeight="1" x14ac:dyDescent="0.25">
      <c r="A139" s="2"/>
      <c r="B139" s="1"/>
      <c r="E139" s="1"/>
      <c r="F139" s="1"/>
      <c r="G139" s="1"/>
      <c r="H139" s="1"/>
      <c r="J139" s="2"/>
      <c r="K139" s="3"/>
      <c r="L139" s="1"/>
      <c r="N139" s="3"/>
      <c r="P139" s="1"/>
      <c r="Q139" s="2"/>
      <c r="R139" s="3"/>
      <c r="S139" s="4"/>
      <c r="T139" s="3"/>
      <c r="U139" s="1"/>
      <c r="V139" s="1"/>
      <c r="W139" s="3"/>
      <c r="X139" s="1"/>
      <c r="Y139" s="4"/>
      <c r="Z139" s="4"/>
      <c r="AA139" s="1"/>
      <c r="AB139" s="1"/>
      <c r="AC139" s="1"/>
      <c r="AD139" s="2"/>
      <c r="AE139" s="1"/>
      <c r="AF139" s="1"/>
      <c r="AG139" s="1"/>
      <c r="AH139" s="3"/>
      <c r="AI139" s="1"/>
      <c r="AJ139" s="1"/>
      <c r="AK139" s="1"/>
      <c r="AL139" s="1"/>
      <c r="AM139" s="1"/>
      <c r="AN139" s="2"/>
      <c r="AO139" s="1"/>
      <c r="AP139" s="1"/>
      <c r="AQ139" s="1"/>
      <c r="AR139" s="2"/>
      <c r="AS139" s="1"/>
      <c r="AT139" s="2"/>
      <c r="AU139" s="4"/>
      <c r="AV139" s="7"/>
      <c r="AW139" s="4"/>
      <c r="AX139" s="3"/>
      <c r="AY139" s="4"/>
      <c r="AZ139" s="1"/>
      <c r="BA139" s="1"/>
      <c r="BB139" s="1"/>
      <c r="BC139" s="4"/>
      <c r="BD139" s="1"/>
      <c r="BE139" s="4"/>
      <c r="BF139" s="2"/>
      <c r="BG139" s="4"/>
      <c r="BH139" s="1"/>
      <c r="BI139" s="1"/>
    </row>
    <row r="140" spans="1:61" ht="15" customHeight="1" x14ac:dyDescent="0.25">
      <c r="A140" s="2"/>
      <c r="B140" s="1"/>
      <c r="E140" s="1"/>
      <c r="F140" s="1"/>
      <c r="G140" s="1"/>
      <c r="H140" s="1"/>
      <c r="J140" s="2"/>
      <c r="K140" s="3"/>
      <c r="L140" s="1"/>
      <c r="N140" s="3"/>
      <c r="P140" s="1"/>
      <c r="Q140" s="2"/>
      <c r="R140" s="3"/>
      <c r="S140" s="4"/>
      <c r="T140" s="3"/>
      <c r="U140" s="1"/>
      <c r="V140" s="1"/>
      <c r="W140" s="3"/>
      <c r="X140" s="1"/>
      <c r="Y140" s="4"/>
      <c r="Z140" s="4"/>
      <c r="AA140" s="1"/>
      <c r="AB140" s="1"/>
      <c r="AC140" s="1"/>
      <c r="AD140" s="2"/>
      <c r="AE140" s="1"/>
      <c r="AF140" s="1"/>
      <c r="AG140" s="1"/>
      <c r="AH140" s="3"/>
      <c r="AI140" s="1"/>
      <c r="AJ140" s="1"/>
      <c r="AK140" s="1"/>
      <c r="AL140" s="1"/>
      <c r="AM140" s="1"/>
      <c r="AN140" s="2"/>
      <c r="AO140" s="1"/>
      <c r="AP140" s="1"/>
      <c r="AQ140" s="1"/>
      <c r="AR140" s="2"/>
      <c r="AS140" s="1"/>
      <c r="AT140" s="2"/>
      <c r="AU140" s="4"/>
      <c r="AV140" s="7"/>
      <c r="AW140" s="4"/>
      <c r="AX140" s="3"/>
      <c r="AY140" s="4"/>
      <c r="AZ140" s="1"/>
      <c r="BA140" s="1"/>
      <c r="BB140" s="1"/>
      <c r="BC140" s="4"/>
      <c r="BD140" s="1"/>
      <c r="BE140" s="4"/>
      <c r="BF140" s="2"/>
      <c r="BG140" s="4"/>
      <c r="BH140" s="1"/>
      <c r="BI140" s="1"/>
    </row>
    <row r="141" spans="1:61" ht="15" customHeight="1" x14ac:dyDescent="0.25">
      <c r="A141" s="2"/>
      <c r="B141" s="1"/>
      <c r="E141" s="1"/>
      <c r="F141" s="1"/>
      <c r="G141" s="1"/>
      <c r="H141" s="1"/>
      <c r="J141" s="2"/>
      <c r="K141" s="3"/>
      <c r="L141" s="1"/>
      <c r="N141" s="3"/>
      <c r="P141" s="1"/>
      <c r="Q141" s="2"/>
      <c r="R141" s="3"/>
      <c r="S141" s="4"/>
      <c r="T141" s="3"/>
      <c r="U141" s="1"/>
      <c r="V141" s="1"/>
      <c r="W141" s="3"/>
      <c r="X141" s="1"/>
      <c r="Y141" s="4"/>
      <c r="Z141" s="4"/>
      <c r="AA141" s="1"/>
      <c r="AB141" s="1"/>
      <c r="AC141" s="1"/>
      <c r="AD141" s="2"/>
      <c r="AE141" s="1"/>
      <c r="AF141" s="1"/>
      <c r="AG141" s="1"/>
      <c r="AH141" s="3"/>
      <c r="AI141" s="1"/>
      <c r="AJ141" s="1"/>
      <c r="AK141" s="1"/>
      <c r="AL141" s="1"/>
      <c r="AM141" s="1"/>
      <c r="AN141" s="2"/>
      <c r="AO141" s="1"/>
      <c r="AP141" s="1"/>
      <c r="AQ141" s="1"/>
      <c r="AR141" s="2"/>
      <c r="AS141" s="1"/>
      <c r="AT141" s="2"/>
      <c r="AU141" s="4"/>
      <c r="AV141" s="7"/>
      <c r="AW141" s="4"/>
      <c r="AX141" s="3"/>
      <c r="AY141" s="4"/>
      <c r="AZ141" s="1"/>
      <c r="BA141" s="1"/>
      <c r="BB141" s="1"/>
      <c r="BC141" s="4"/>
      <c r="BD141" s="1"/>
      <c r="BE141" s="4"/>
      <c r="BF141" s="2"/>
      <c r="BG141" s="4"/>
      <c r="BH141" s="1"/>
      <c r="BI141" s="1"/>
    </row>
    <row r="142" spans="1:61" ht="15" customHeight="1" x14ac:dyDescent="0.25">
      <c r="A142" s="2"/>
      <c r="B142" s="1"/>
      <c r="E142" s="1"/>
      <c r="F142" s="1"/>
      <c r="G142" s="1"/>
      <c r="H142" s="1"/>
      <c r="J142" s="2"/>
      <c r="K142" s="3"/>
      <c r="L142" s="1"/>
      <c r="N142" s="3"/>
      <c r="P142" s="1"/>
      <c r="Q142" s="2"/>
      <c r="R142" s="3"/>
      <c r="S142" s="4"/>
      <c r="T142" s="3"/>
      <c r="U142" s="1"/>
      <c r="V142" s="1"/>
      <c r="W142" s="3"/>
      <c r="X142" s="1"/>
      <c r="Y142" s="4"/>
      <c r="Z142" s="4"/>
      <c r="AA142" s="1"/>
      <c r="AB142" s="1"/>
      <c r="AC142" s="1"/>
      <c r="AD142" s="2"/>
      <c r="AE142" s="1"/>
      <c r="AF142" s="1"/>
      <c r="AG142" s="1"/>
      <c r="AH142" s="3"/>
      <c r="AI142" s="1"/>
      <c r="AJ142" s="1"/>
      <c r="AK142" s="1"/>
      <c r="AL142" s="1"/>
      <c r="AM142" s="1"/>
      <c r="AN142" s="2"/>
      <c r="AO142" s="1"/>
      <c r="AP142" s="1"/>
      <c r="AQ142" s="1"/>
      <c r="AR142" s="2"/>
      <c r="AS142" s="1"/>
      <c r="AT142" s="2"/>
      <c r="AU142" s="4"/>
      <c r="AV142" s="7"/>
      <c r="AW142" s="4"/>
      <c r="AX142" s="3"/>
      <c r="AY142" s="4"/>
      <c r="AZ142" s="1"/>
      <c r="BA142" s="1"/>
      <c r="BB142" s="1"/>
      <c r="BC142" s="4"/>
      <c r="BD142" s="1"/>
      <c r="BE142" s="4"/>
      <c r="BF142" s="2"/>
      <c r="BG142" s="4"/>
      <c r="BH142" s="1"/>
      <c r="BI142" s="1"/>
    </row>
    <row r="143" spans="1:61" ht="15" customHeight="1" x14ac:dyDescent="0.25">
      <c r="A143" s="2"/>
      <c r="B143" s="1"/>
      <c r="E143" s="1"/>
      <c r="F143" s="1"/>
      <c r="G143" s="1"/>
      <c r="H143" s="1"/>
      <c r="J143" s="2"/>
      <c r="K143" s="3"/>
      <c r="L143" s="1"/>
      <c r="N143" s="3"/>
      <c r="P143" s="1"/>
      <c r="Q143" s="2"/>
      <c r="R143" s="3"/>
      <c r="S143" s="4"/>
      <c r="T143" s="3"/>
      <c r="U143" s="1"/>
      <c r="V143" s="1"/>
      <c r="W143" s="3"/>
      <c r="X143" s="1"/>
      <c r="Y143" s="4"/>
      <c r="Z143" s="4"/>
      <c r="AA143" s="1"/>
      <c r="AB143" s="1"/>
      <c r="AC143" s="1"/>
      <c r="AD143" s="2"/>
      <c r="AE143" s="1"/>
      <c r="AF143" s="1"/>
      <c r="AG143" s="1"/>
      <c r="AH143" s="3"/>
      <c r="AI143" s="1"/>
      <c r="AJ143" s="1"/>
      <c r="AK143" s="1"/>
      <c r="AL143" s="1"/>
      <c r="AM143" s="1"/>
      <c r="AN143" s="2"/>
      <c r="AO143" s="1"/>
      <c r="AP143" s="1"/>
      <c r="AQ143" s="1"/>
      <c r="AR143" s="2"/>
      <c r="AS143" s="1"/>
      <c r="AT143" s="2"/>
      <c r="AU143" s="4"/>
      <c r="AV143" s="7"/>
      <c r="AW143" s="4"/>
      <c r="AX143" s="3"/>
      <c r="AY143" s="4"/>
      <c r="AZ143" s="1"/>
      <c r="BA143" s="1"/>
      <c r="BB143" s="1"/>
      <c r="BC143" s="4"/>
      <c r="BD143" s="1"/>
      <c r="BE143" s="4"/>
      <c r="BF143" s="2"/>
      <c r="BG143" s="4"/>
      <c r="BH143" s="1"/>
      <c r="BI143" s="1"/>
    </row>
    <row r="144" spans="1:61" ht="15" customHeight="1" x14ac:dyDescent="0.25">
      <c r="A144" s="2"/>
      <c r="B144" s="1"/>
      <c r="E144" s="1"/>
      <c r="F144" s="1"/>
      <c r="G144" s="1"/>
      <c r="H144" s="1"/>
      <c r="J144" s="2"/>
      <c r="K144" s="3"/>
      <c r="L144" s="1"/>
      <c r="N144" s="3"/>
      <c r="P144" s="1"/>
      <c r="Q144" s="2"/>
      <c r="R144" s="3"/>
      <c r="S144" s="4"/>
      <c r="T144" s="3"/>
      <c r="U144" s="1"/>
      <c r="V144" s="1"/>
      <c r="W144" s="3"/>
      <c r="X144" s="1"/>
      <c r="Y144" s="4"/>
      <c r="Z144" s="4"/>
      <c r="AA144" s="1"/>
      <c r="AB144" s="1"/>
      <c r="AC144" s="1"/>
      <c r="AD144" s="2"/>
      <c r="AE144" s="1"/>
      <c r="AF144" s="1"/>
      <c r="AG144" s="1"/>
      <c r="AH144" s="3"/>
      <c r="AI144" s="1"/>
      <c r="AJ144" s="1"/>
      <c r="AK144" s="1"/>
      <c r="AL144" s="1"/>
      <c r="AM144" s="1"/>
      <c r="AN144" s="2"/>
      <c r="AO144" s="1"/>
      <c r="AP144" s="1"/>
      <c r="AQ144" s="1"/>
      <c r="AR144" s="2"/>
      <c r="AS144" s="1"/>
      <c r="AT144" s="2"/>
      <c r="AU144" s="4"/>
      <c r="AV144" s="7"/>
      <c r="AW144" s="4"/>
      <c r="AX144" s="3"/>
      <c r="AY144" s="4"/>
      <c r="AZ144" s="1"/>
      <c r="BA144" s="1"/>
      <c r="BB144" s="1"/>
      <c r="BC144" s="4"/>
      <c r="BD144" s="1"/>
      <c r="BE144" s="4"/>
      <c r="BF144" s="2"/>
      <c r="BG144" s="4"/>
      <c r="BH144" s="1"/>
      <c r="BI144" s="1"/>
    </row>
    <row r="145" spans="1:61" ht="15" customHeight="1" x14ac:dyDescent="0.25">
      <c r="A145" s="2"/>
      <c r="B145" s="1"/>
      <c r="E145" s="1"/>
      <c r="F145" s="1"/>
      <c r="G145" s="1"/>
      <c r="H145" s="1"/>
      <c r="J145" s="2"/>
      <c r="K145" s="3"/>
      <c r="L145" s="1"/>
      <c r="N145" s="3"/>
      <c r="P145" s="1"/>
      <c r="Q145" s="2"/>
      <c r="R145" s="3"/>
      <c r="S145" s="4"/>
      <c r="T145" s="3"/>
      <c r="U145" s="1"/>
      <c r="V145" s="1"/>
      <c r="W145" s="3"/>
      <c r="X145" s="1"/>
      <c r="Y145" s="4"/>
      <c r="Z145" s="4"/>
      <c r="AA145" s="1"/>
      <c r="AB145" s="1"/>
      <c r="AC145" s="1"/>
      <c r="AD145" s="2"/>
      <c r="AE145" s="1"/>
      <c r="AF145" s="1"/>
      <c r="AG145" s="1"/>
      <c r="AH145" s="3"/>
      <c r="AI145" s="1"/>
      <c r="AJ145" s="1"/>
      <c r="AK145" s="1"/>
      <c r="AL145" s="1"/>
      <c r="AM145" s="1"/>
      <c r="AN145" s="2"/>
      <c r="AO145" s="1"/>
      <c r="AP145" s="1"/>
      <c r="AQ145" s="1"/>
      <c r="AR145" s="2"/>
      <c r="AS145" s="1"/>
      <c r="AT145" s="2"/>
      <c r="AU145" s="4"/>
      <c r="AV145" s="7"/>
      <c r="AW145" s="4"/>
      <c r="AX145" s="3"/>
      <c r="AY145" s="4"/>
      <c r="AZ145" s="1"/>
      <c r="BA145" s="1"/>
      <c r="BB145" s="1"/>
      <c r="BC145" s="4"/>
      <c r="BD145" s="1"/>
      <c r="BE145" s="4"/>
      <c r="BF145" s="2"/>
      <c r="BG145" s="4"/>
      <c r="BH145" s="1"/>
      <c r="BI145" s="1"/>
    </row>
    <row r="146" spans="1:61" ht="15" customHeight="1" x14ac:dyDescent="0.25">
      <c r="A146" s="2"/>
      <c r="B146" s="1"/>
      <c r="E146" s="1"/>
      <c r="F146" s="1"/>
      <c r="G146" s="1"/>
      <c r="H146" s="1"/>
      <c r="J146" s="2"/>
      <c r="K146" s="3"/>
      <c r="L146" s="1"/>
      <c r="N146" s="3"/>
      <c r="P146" s="1"/>
      <c r="Q146" s="2"/>
      <c r="R146" s="3"/>
      <c r="S146" s="4"/>
      <c r="T146" s="3"/>
      <c r="U146" s="1"/>
      <c r="V146" s="1"/>
      <c r="W146" s="3"/>
      <c r="X146" s="1"/>
      <c r="Y146" s="4"/>
      <c r="Z146" s="4"/>
      <c r="AA146" s="1"/>
      <c r="AB146" s="1"/>
      <c r="AC146" s="1"/>
      <c r="AD146" s="2"/>
      <c r="AE146" s="1"/>
      <c r="AF146" s="1"/>
      <c r="AG146" s="1"/>
      <c r="AH146" s="3"/>
      <c r="AI146" s="1"/>
      <c r="AJ146" s="1"/>
      <c r="AK146" s="1"/>
      <c r="AL146" s="1"/>
      <c r="AM146" s="1"/>
      <c r="AN146" s="2"/>
      <c r="AO146" s="1"/>
      <c r="AP146" s="1"/>
      <c r="AQ146" s="1"/>
      <c r="AR146" s="2"/>
      <c r="AS146" s="1"/>
      <c r="AT146" s="2"/>
      <c r="AU146" s="4"/>
      <c r="AV146" s="7"/>
      <c r="AW146" s="4"/>
      <c r="AX146" s="3"/>
      <c r="AY146" s="4"/>
      <c r="AZ146" s="1"/>
      <c r="BA146" s="1"/>
      <c r="BB146" s="1"/>
      <c r="BC146" s="4"/>
      <c r="BD146" s="1"/>
      <c r="BE146" s="4"/>
      <c r="BF146" s="2"/>
      <c r="BG146" s="4"/>
      <c r="BH146" s="1"/>
      <c r="BI146" s="1"/>
    </row>
    <row r="147" spans="1:61" ht="15" customHeight="1" x14ac:dyDescent="0.25">
      <c r="A147" s="2"/>
      <c r="B147" s="1"/>
      <c r="E147" s="1"/>
      <c r="F147" s="1"/>
      <c r="G147" s="1"/>
      <c r="H147" s="1"/>
      <c r="J147" s="2"/>
      <c r="K147" s="3"/>
      <c r="L147" s="1"/>
      <c r="N147" s="3"/>
      <c r="P147" s="1"/>
      <c r="Q147" s="2"/>
      <c r="R147" s="3"/>
      <c r="S147" s="4"/>
      <c r="T147" s="3"/>
      <c r="U147" s="1"/>
      <c r="V147" s="1"/>
      <c r="W147" s="3"/>
      <c r="X147" s="1"/>
      <c r="Y147" s="4"/>
      <c r="Z147" s="4"/>
      <c r="AA147" s="1"/>
      <c r="AB147" s="1"/>
      <c r="AC147" s="1"/>
      <c r="AD147" s="2"/>
      <c r="AE147" s="1"/>
      <c r="AF147" s="1"/>
      <c r="AG147" s="1"/>
      <c r="AH147" s="3"/>
      <c r="AI147" s="1"/>
      <c r="AJ147" s="1"/>
      <c r="AK147" s="1"/>
      <c r="AL147" s="1"/>
      <c r="AM147" s="1"/>
      <c r="AN147" s="2"/>
      <c r="AO147" s="1"/>
      <c r="AP147" s="1"/>
      <c r="AQ147" s="1"/>
      <c r="AR147" s="2"/>
      <c r="AS147" s="1"/>
      <c r="AT147" s="2"/>
      <c r="AU147" s="4"/>
      <c r="AV147" s="7"/>
      <c r="AW147" s="4"/>
      <c r="AX147" s="3"/>
      <c r="AY147" s="4"/>
      <c r="AZ147" s="1"/>
      <c r="BA147" s="1"/>
      <c r="BB147" s="1"/>
      <c r="BC147" s="4"/>
      <c r="BD147" s="1"/>
      <c r="BE147" s="4"/>
      <c r="BF147" s="2"/>
      <c r="BG147" s="4"/>
      <c r="BH147" s="1"/>
      <c r="BI147" s="1"/>
    </row>
    <row r="148" spans="1:61" ht="15" customHeight="1" x14ac:dyDescent="0.25">
      <c r="A148" s="2"/>
      <c r="B148" s="1"/>
      <c r="E148" s="1"/>
      <c r="F148" s="1"/>
      <c r="G148" s="1"/>
      <c r="H148" s="1"/>
      <c r="J148" s="2"/>
      <c r="K148" s="3"/>
      <c r="L148" s="1"/>
      <c r="N148" s="3"/>
      <c r="P148" s="1"/>
      <c r="Q148" s="2"/>
      <c r="R148" s="3"/>
      <c r="S148" s="4"/>
      <c r="T148" s="3"/>
      <c r="U148" s="1"/>
      <c r="V148" s="1"/>
      <c r="W148" s="3"/>
      <c r="X148" s="1"/>
      <c r="Y148" s="4"/>
      <c r="Z148" s="4"/>
      <c r="AA148" s="1"/>
      <c r="AB148" s="1"/>
      <c r="AC148" s="1"/>
      <c r="AD148" s="2"/>
      <c r="AE148" s="1"/>
      <c r="AF148" s="1"/>
      <c r="AG148" s="1"/>
      <c r="AH148" s="3"/>
      <c r="AI148" s="1"/>
      <c r="AJ148" s="1"/>
      <c r="AK148" s="1"/>
      <c r="AL148" s="1"/>
      <c r="AM148" s="1"/>
      <c r="AN148" s="2"/>
      <c r="AO148" s="1"/>
      <c r="AP148" s="1"/>
      <c r="AQ148" s="1"/>
      <c r="AR148" s="2"/>
      <c r="AS148" s="1"/>
      <c r="AT148" s="2"/>
      <c r="AU148" s="4"/>
      <c r="AV148" s="7"/>
      <c r="AW148" s="4"/>
      <c r="AX148" s="3"/>
      <c r="AY148" s="4"/>
      <c r="AZ148" s="1"/>
      <c r="BA148" s="1"/>
      <c r="BB148" s="1"/>
      <c r="BC148" s="4"/>
      <c r="BD148" s="1"/>
      <c r="BE148" s="4"/>
      <c r="BF148" s="2"/>
      <c r="BG148" s="4"/>
      <c r="BH148" s="1"/>
      <c r="BI148" s="1"/>
    </row>
    <row r="149" spans="1:61" ht="15" customHeight="1" x14ac:dyDescent="0.25">
      <c r="A149" s="2"/>
      <c r="B149" s="1"/>
      <c r="E149" s="1"/>
      <c r="F149" s="1"/>
      <c r="G149" s="1"/>
      <c r="H149" s="1"/>
      <c r="J149" s="2"/>
      <c r="K149" s="3"/>
      <c r="L149" s="1"/>
      <c r="N149" s="3"/>
      <c r="P149" s="1"/>
      <c r="Q149" s="2"/>
      <c r="R149" s="3"/>
      <c r="S149" s="4"/>
      <c r="T149" s="3"/>
      <c r="U149" s="1"/>
      <c r="V149" s="1"/>
      <c r="W149" s="3"/>
      <c r="X149" s="1"/>
      <c r="Y149" s="4"/>
      <c r="Z149" s="4"/>
      <c r="AA149" s="1"/>
      <c r="AB149" s="1"/>
      <c r="AC149" s="1"/>
      <c r="AD149" s="2"/>
      <c r="AE149" s="1"/>
      <c r="AF149" s="1"/>
      <c r="AG149" s="1"/>
      <c r="AH149" s="3"/>
      <c r="AI149" s="1"/>
      <c r="AJ149" s="1"/>
      <c r="AK149" s="1"/>
      <c r="AL149" s="1"/>
      <c r="AM149" s="1"/>
      <c r="AN149" s="2"/>
      <c r="AO149" s="1"/>
      <c r="AP149" s="1"/>
      <c r="AQ149" s="1"/>
      <c r="AR149" s="2"/>
      <c r="AS149" s="1"/>
      <c r="AT149" s="2"/>
      <c r="AU149" s="4"/>
      <c r="AV149" s="7"/>
      <c r="AW149" s="4"/>
      <c r="AX149" s="3"/>
      <c r="AY149" s="4"/>
      <c r="AZ149" s="1"/>
      <c r="BA149" s="1"/>
      <c r="BB149" s="1"/>
      <c r="BC149" s="4"/>
      <c r="BD149" s="1"/>
      <c r="BE149" s="4"/>
      <c r="BF149" s="2"/>
      <c r="BG149" s="4"/>
      <c r="BH149" s="1"/>
      <c r="BI149" s="1"/>
    </row>
    <row r="150" spans="1:61" ht="15" customHeight="1" x14ac:dyDescent="0.25">
      <c r="A150" s="2"/>
      <c r="B150" s="1"/>
      <c r="E150" s="1"/>
      <c r="F150" s="1"/>
      <c r="G150" s="1"/>
      <c r="H150" s="1"/>
      <c r="J150" s="2"/>
      <c r="K150" s="3"/>
      <c r="L150" s="1"/>
      <c r="N150" s="3"/>
      <c r="P150" s="1"/>
      <c r="Q150" s="2"/>
      <c r="R150" s="3"/>
      <c r="S150" s="4"/>
      <c r="T150" s="3"/>
      <c r="U150" s="1"/>
      <c r="V150" s="1"/>
      <c r="W150" s="3"/>
      <c r="X150" s="1"/>
      <c r="Y150" s="4"/>
      <c r="Z150" s="4"/>
      <c r="AA150" s="1"/>
      <c r="AB150" s="1"/>
      <c r="AC150" s="1"/>
      <c r="AD150" s="2"/>
      <c r="AE150" s="1"/>
      <c r="AF150" s="1"/>
      <c r="AG150" s="1"/>
      <c r="AH150" s="3"/>
      <c r="AI150" s="1"/>
      <c r="AJ150" s="1"/>
      <c r="AK150" s="1"/>
      <c r="AL150" s="1"/>
      <c r="AM150" s="1"/>
      <c r="AN150" s="2"/>
      <c r="AO150" s="1"/>
      <c r="AP150" s="1"/>
      <c r="AQ150" s="1"/>
      <c r="AR150" s="2"/>
      <c r="AS150" s="1"/>
      <c r="AT150" s="2"/>
      <c r="AU150" s="4"/>
      <c r="AV150" s="7"/>
      <c r="AW150" s="4"/>
      <c r="AX150" s="3"/>
      <c r="AY150" s="4"/>
      <c r="AZ150" s="1"/>
      <c r="BA150" s="1"/>
      <c r="BB150" s="1"/>
      <c r="BC150" s="4"/>
      <c r="BD150" s="1"/>
      <c r="BE150" s="4"/>
      <c r="BF150" s="2"/>
      <c r="BG150" s="4"/>
      <c r="BH150" s="1"/>
      <c r="BI150" s="1"/>
    </row>
    <row r="151" spans="1:61" ht="15" customHeight="1" x14ac:dyDescent="0.25">
      <c r="A151" s="2"/>
      <c r="B151" s="1"/>
      <c r="E151" s="1"/>
      <c r="F151" s="1"/>
      <c r="G151" s="1"/>
      <c r="H151" s="1"/>
      <c r="J151" s="2"/>
      <c r="K151" s="3"/>
      <c r="L151" s="1"/>
      <c r="N151" s="3"/>
      <c r="P151" s="1"/>
      <c r="Q151" s="2"/>
      <c r="R151" s="3"/>
      <c r="S151" s="4"/>
      <c r="T151" s="3"/>
      <c r="U151" s="1"/>
      <c r="V151" s="1"/>
      <c r="W151" s="3"/>
      <c r="X151" s="1"/>
      <c r="Y151" s="4"/>
      <c r="Z151" s="4"/>
      <c r="AA151" s="1"/>
      <c r="AB151" s="1"/>
      <c r="AC151" s="1"/>
      <c r="AD151" s="2"/>
      <c r="AE151" s="1"/>
      <c r="AF151" s="1"/>
      <c r="AG151" s="1"/>
      <c r="AH151" s="3"/>
      <c r="AI151" s="1"/>
      <c r="AJ151" s="1"/>
      <c r="AK151" s="1"/>
      <c r="AL151" s="1"/>
      <c r="AM151" s="1"/>
      <c r="AN151" s="2"/>
      <c r="AO151" s="1"/>
      <c r="AP151" s="1"/>
      <c r="AQ151" s="1"/>
      <c r="AR151" s="2"/>
      <c r="AS151" s="1"/>
      <c r="AT151" s="2"/>
      <c r="AU151" s="4"/>
      <c r="AV151" s="7"/>
      <c r="AW151" s="4"/>
      <c r="AX151" s="3"/>
      <c r="AY151" s="4"/>
      <c r="AZ151" s="1"/>
      <c r="BA151" s="1"/>
      <c r="BB151" s="1"/>
      <c r="BC151" s="4"/>
      <c r="BD151" s="1"/>
      <c r="BE151" s="4"/>
      <c r="BF151" s="2"/>
      <c r="BG151" s="4"/>
      <c r="BH151" s="1"/>
      <c r="BI151" s="1"/>
    </row>
    <row r="152" spans="1:61" ht="15" customHeight="1" x14ac:dyDescent="0.25">
      <c r="A152" s="2"/>
      <c r="B152" s="1"/>
      <c r="E152" s="1"/>
      <c r="F152" s="1"/>
      <c r="G152" s="1"/>
      <c r="H152" s="1"/>
      <c r="J152" s="2"/>
      <c r="K152" s="3"/>
      <c r="L152" s="1"/>
      <c r="N152" s="3"/>
      <c r="P152" s="1"/>
      <c r="Q152" s="2"/>
      <c r="R152" s="3"/>
      <c r="S152" s="4"/>
      <c r="T152" s="3"/>
      <c r="U152" s="1"/>
      <c r="V152" s="1"/>
      <c r="W152" s="3"/>
      <c r="X152" s="1"/>
      <c r="Y152" s="4"/>
      <c r="Z152" s="4"/>
      <c r="AA152" s="1"/>
      <c r="AB152" s="1"/>
      <c r="AC152" s="1"/>
      <c r="AD152" s="2"/>
      <c r="AE152" s="1"/>
      <c r="AF152" s="1"/>
      <c r="AG152" s="1"/>
      <c r="AH152" s="3"/>
      <c r="AI152" s="1"/>
      <c r="AJ152" s="1"/>
      <c r="AK152" s="1"/>
      <c r="AL152" s="1"/>
      <c r="AM152" s="1"/>
      <c r="AN152" s="2"/>
      <c r="AO152" s="1"/>
      <c r="AP152" s="1"/>
      <c r="AQ152" s="1"/>
      <c r="AR152" s="2"/>
      <c r="AS152" s="1"/>
      <c r="AT152" s="2"/>
      <c r="AU152" s="4"/>
      <c r="AV152" s="7"/>
      <c r="AW152" s="4"/>
      <c r="AX152" s="3"/>
      <c r="AY152" s="4"/>
      <c r="AZ152" s="1"/>
      <c r="BA152" s="1"/>
      <c r="BB152" s="1"/>
      <c r="BC152" s="4"/>
      <c r="BD152" s="1"/>
      <c r="BE152" s="4"/>
      <c r="BF152" s="2"/>
      <c r="BG152" s="4"/>
      <c r="BH152" s="1"/>
      <c r="BI152" s="1"/>
    </row>
    <row r="153" spans="1:61" ht="15" customHeight="1" x14ac:dyDescent="0.25">
      <c r="A153" s="2"/>
      <c r="B153" s="1"/>
      <c r="E153" s="1"/>
      <c r="F153" s="1"/>
      <c r="G153" s="1"/>
      <c r="H153" s="1"/>
      <c r="J153" s="2"/>
      <c r="K153" s="3"/>
      <c r="L153" s="1"/>
      <c r="N153" s="3"/>
      <c r="P153" s="1"/>
      <c r="Q153" s="2"/>
      <c r="R153" s="3"/>
      <c r="S153" s="4"/>
      <c r="T153" s="3"/>
      <c r="U153" s="1"/>
      <c r="V153" s="1"/>
      <c r="W153" s="3"/>
      <c r="X153" s="1"/>
      <c r="Y153" s="4"/>
      <c r="Z153" s="4"/>
      <c r="AA153" s="1"/>
      <c r="AB153" s="1"/>
      <c r="AC153" s="1"/>
      <c r="AD153" s="2"/>
      <c r="AE153" s="1"/>
      <c r="AF153" s="1"/>
      <c r="AG153" s="1"/>
      <c r="AH153" s="3"/>
      <c r="AI153" s="1"/>
      <c r="AJ153" s="1"/>
      <c r="AK153" s="1"/>
      <c r="AL153" s="1"/>
      <c r="AM153" s="1"/>
      <c r="AN153" s="2"/>
      <c r="AO153" s="1"/>
      <c r="AP153" s="1"/>
      <c r="AQ153" s="1"/>
      <c r="AR153" s="2"/>
      <c r="AS153" s="1"/>
      <c r="AT153" s="2"/>
      <c r="AU153" s="4"/>
      <c r="AV153" s="7"/>
      <c r="AW153" s="4"/>
      <c r="AX153" s="3"/>
      <c r="AY153" s="4"/>
      <c r="AZ153" s="1"/>
      <c r="BA153" s="1"/>
      <c r="BB153" s="1"/>
      <c r="BC153" s="4"/>
      <c r="BD153" s="1"/>
      <c r="BE153" s="4"/>
      <c r="BF153" s="2"/>
      <c r="BG153" s="4"/>
      <c r="BH153" s="1"/>
      <c r="BI153" s="1"/>
    </row>
    <row r="154" spans="1:61" ht="15" customHeight="1" x14ac:dyDescent="0.25">
      <c r="A154" s="2"/>
      <c r="B154" s="1"/>
      <c r="E154" s="1"/>
      <c r="F154" s="1"/>
      <c r="G154" s="1"/>
      <c r="H154" s="1"/>
      <c r="J154" s="2"/>
      <c r="K154" s="3"/>
      <c r="L154" s="1"/>
      <c r="N154" s="3"/>
      <c r="P154" s="1"/>
      <c r="Q154" s="2"/>
      <c r="R154" s="3"/>
      <c r="S154" s="4"/>
      <c r="T154" s="3"/>
      <c r="U154" s="1"/>
      <c r="V154" s="1"/>
      <c r="W154" s="3"/>
      <c r="X154" s="1"/>
      <c r="Y154" s="4"/>
      <c r="Z154" s="4"/>
      <c r="AA154" s="1"/>
      <c r="AB154" s="1"/>
      <c r="AC154" s="1"/>
      <c r="AD154" s="2"/>
      <c r="AE154" s="1"/>
      <c r="AF154" s="1"/>
      <c r="AG154" s="1"/>
      <c r="AH154" s="3"/>
      <c r="AI154" s="1"/>
      <c r="AJ154" s="1"/>
      <c r="AK154" s="1"/>
      <c r="AL154" s="1"/>
      <c r="AM154" s="1"/>
      <c r="AN154" s="2"/>
      <c r="AO154" s="1"/>
      <c r="AP154" s="1"/>
      <c r="AQ154" s="1"/>
      <c r="AR154" s="2"/>
      <c r="AS154" s="1"/>
      <c r="AT154" s="2"/>
      <c r="AU154" s="4"/>
      <c r="AV154" s="7"/>
      <c r="AW154" s="4"/>
      <c r="AX154" s="3"/>
      <c r="AY154" s="4"/>
      <c r="AZ154" s="1"/>
      <c r="BA154" s="1"/>
      <c r="BB154" s="1"/>
      <c r="BC154" s="4"/>
      <c r="BD154" s="1"/>
      <c r="BE154" s="4"/>
      <c r="BF154" s="2"/>
      <c r="BG154" s="4"/>
      <c r="BH154" s="1"/>
      <c r="BI154" s="1"/>
    </row>
    <row r="155" spans="1:61" ht="15" customHeight="1" x14ac:dyDescent="0.25">
      <c r="A155" s="2"/>
      <c r="B155" s="1"/>
      <c r="E155" s="1"/>
      <c r="F155" s="1"/>
      <c r="G155" s="1"/>
      <c r="H155" s="1"/>
      <c r="J155" s="2"/>
      <c r="K155" s="3"/>
      <c r="L155" s="1"/>
      <c r="N155" s="3"/>
      <c r="P155" s="1"/>
      <c r="Q155" s="2"/>
      <c r="R155" s="3"/>
      <c r="S155" s="4"/>
      <c r="T155" s="3"/>
      <c r="U155" s="1"/>
      <c r="V155" s="1"/>
      <c r="W155" s="3"/>
      <c r="X155" s="1"/>
      <c r="Y155" s="4"/>
      <c r="Z155" s="4"/>
      <c r="AA155" s="1"/>
      <c r="AB155" s="1"/>
      <c r="AC155" s="1"/>
      <c r="AD155" s="2"/>
      <c r="AE155" s="1"/>
      <c r="AF155" s="1"/>
      <c r="AG155" s="1"/>
      <c r="AH155" s="3"/>
      <c r="AI155" s="1"/>
      <c r="AJ155" s="1"/>
      <c r="AK155" s="1"/>
      <c r="AL155" s="1"/>
      <c r="AM155" s="1"/>
      <c r="AN155" s="2"/>
      <c r="AO155" s="1"/>
      <c r="AP155" s="1"/>
      <c r="AQ155" s="1"/>
      <c r="AR155" s="2"/>
      <c r="AS155" s="1"/>
      <c r="AT155" s="2"/>
      <c r="AU155" s="4"/>
      <c r="AV155" s="7"/>
      <c r="AW155" s="4"/>
      <c r="AX155" s="3"/>
      <c r="AY155" s="4"/>
      <c r="AZ155" s="1"/>
      <c r="BA155" s="1"/>
      <c r="BB155" s="1"/>
      <c r="BC155" s="4"/>
      <c r="BD155" s="1"/>
      <c r="BE155" s="4"/>
      <c r="BF155" s="2"/>
      <c r="BG155" s="4"/>
      <c r="BH155" s="1"/>
      <c r="BI155" s="1"/>
    </row>
    <row r="156" spans="1:61" ht="15" customHeight="1" x14ac:dyDescent="0.25">
      <c r="A156" s="2"/>
      <c r="B156" s="1"/>
      <c r="E156" s="1"/>
      <c r="F156" s="1"/>
      <c r="G156" s="1"/>
      <c r="H156" s="1"/>
      <c r="J156" s="2"/>
      <c r="K156" s="3"/>
      <c r="L156" s="1"/>
      <c r="N156" s="3"/>
      <c r="P156" s="1"/>
      <c r="Q156" s="2"/>
      <c r="R156" s="3"/>
      <c r="S156" s="4"/>
      <c r="T156" s="3"/>
      <c r="U156" s="1"/>
      <c r="V156" s="1"/>
      <c r="W156" s="3"/>
      <c r="X156" s="1"/>
      <c r="Y156" s="4"/>
      <c r="Z156" s="4"/>
      <c r="AA156" s="1"/>
      <c r="AB156" s="1"/>
      <c r="AC156" s="1"/>
      <c r="AD156" s="2"/>
      <c r="AE156" s="1"/>
      <c r="AF156" s="1"/>
      <c r="AG156" s="1"/>
      <c r="AH156" s="3"/>
      <c r="AI156" s="1"/>
      <c r="AJ156" s="1"/>
      <c r="AK156" s="1"/>
      <c r="AL156" s="1"/>
      <c r="AM156" s="1"/>
      <c r="AN156" s="2"/>
      <c r="AO156" s="1"/>
      <c r="AP156" s="1"/>
      <c r="AQ156" s="1"/>
      <c r="AR156" s="2"/>
      <c r="AS156" s="1"/>
      <c r="AT156" s="2"/>
      <c r="AU156" s="4"/>
      <c r="AV156" s="7"/>
      <c r="AW156" s="4"/>
      <c r="AX156" s="3"/>
      <c r="AY156" s="4"/>
      <c r="AZ156" s="1"/>
      <c r="BA156" s="1"/>
      <c r="BB156" s="1"/>
      <c r="BC156" s="4"/>
      <c r="BD156" s="1"/>
      <c r="BE156" s="4"/>
      <c r="BF156" s="2"/>
      <c r="BG156" s="4"/>
      <c r="BH156" s="1"/>
      <c r="BI156" s="1"/>
    </row>
    <row r="157" spans="1:61" ht="15" customHeight="1" x14ac:dyDescent="0.25">
      <c r="A157" s="2"/>
      <c r="B157" s="1"/>
      <c r="E157" s="1"/>
      <c r="F157" s="1"/>
      <c r="G157" s="1"/>
      <c r="H157" s="1"/>
      <c r="J157" s="2"/>
      <c r="K157" s="3"/>
      <c r="L157" s="1"/>
      <c r="N157" s="3"/>
      <c r="P157" s="1"/>
      <c r="Q157" s="2"/>
      <c r="R157" s="3"/>
      <c r="S157" s="4"/>
      <c r="T157" s="3"/>
      <c r="U157" s="1"/>
      <c r="V157" s="1"/>
      <c r="W157" s="3"/>
      <c r="X157" s="1"/>
      <c r="Y157" s="4"/>
      <c r="Z157" s="4"/>
      <c r="AA157" s="1"/>
      <c r="AB157" s="1"/>
      <c r="AC157" s="1"/>
      <c r="AD157" s="2"/>
      <c r="AE157" s="1"/>
      <c r="AF157" s="1"/>
      <c r="AG157" s="1"/>
      <c r="AH157" s="3"/>
      <c r="AI157" s="1"/>
      <c r="AJ157" s="1"/>
      <c r="AK157" s="1"/>
      <c r="AL157" s="1"/>
      <c r="AM157" s="1"/>
      <c r="AN157" s="2"/>
      <c r="AO157" s="1"/>
      <c r="AP157" s="1"/>
      <c r="AQ157" s="1"/>
      <c r="AR157" s="2"/>
      <c r="AS157" s="1"/>
      <c r="AT157" s="2"/>
      <c r="AU157" s="4"/>
      <c r="AV157" s="7"/>
      <c r="AW157" s="4"/>
      <c r="AX157" s="3"/>
      <c r="AY157" s="4"/>
      <c r="AZ157" s="1"/>
      <c r="BA157" s="1"/>
      <c r="BB157" s="1"/>
      <c r="BC157" s="4"/>
      <c r="BD157" s="1"/>
      <c r="BE157" s="4"/>
      <c r="BF157" s="2"/>
      <c r="BG157" s="4"/>
      <c r="BH157" s="1"/>
      <c r="BI157" s="1"/>
    </row>
    <row r="158" spans="1:61" ht="15" customHeight="1" x14ac:dyDescent="0.25">
      <c r="A158" s="2"/>
      <c r="B158" s="1"/>
      <c r="E158" s="1"/>
      <c r="F158" s="1"/>
      <c r="G158" s="1"/>
      <c r="H158" s="1"/>
      <c r="J158" s="2"/>
      <c r="K158" s="3"/>
      <c r="L158" s="1"/>
      <c r="N158" s="3"/>
      <c r="P158" s="1"/>
      <c r="Q158" s="2"/>
      <c r="R158" s="3"/>
      <c r="S158" s="4"/>
      <c r="T158" s="3"/>
      <c r="U158" s="1"/>
      <c r="V158" s="1"/>
      <c r="W158" s="3"/>
      <c r="X158" s="1"/>
      <c r="Y158" s="4"/>
      <c r="Z158" s="4"/>
      <c r="AA158" s="1"/>
      <c r="AB158" s="1"/>
      <c r="AC158" s="1"/>
      <c r="AD158" s="2"/>
      <c r="AE158" s="1"/>
      <c r="AF158" s="1"/>
      <c r="AG158" s="1"/>
      <c r="AH158" s="3"/>
      <c r="AI158" s="1"/>
      <c r="AJ158" s="1"/>
      <c r="AK158" s="1"/>
      <c r="AL158" s="1"/>
      <c r="AM158" s="1"/>
      <c r="AN158" s="2"/>
      <c r="AO158" s="1"/>
      <c r="AP158" s="1"/>
      <c r="AQ158" s="1"/>
      <c r="AR158" s="2"/>
      <c r="AS158" s="1"/>
      <c r="AT158" s="2"/>
      <c r="AU158" s="4"/>
      <c r="AV158" s="7"/>
      <c r="AW158" s="4"/>
      <c r="AX158" s="3"/>
      <c r="AY158" s="4"/>
      <c r="AZ158" s="1"/>
      <c r="BA158" s="1"/>
      <c r="BB158" s="1"/>
      <c r="BC158" s="4"/>
      <c r="BD158" s="1"/>
      <c r="BE158" s="4"/>
      <c r="BF158" s="2"/>
      <c r="BG158" s="4"/>
      <c r="BH158" s="1"/>
      <c r="BI158" s="1"/>
    </row>
    <row r="159" spans="1:61" ht="15" customHeight="1" x14ac:dyDescent="0.25">
      <c r="A159" s="2"/>
      <c r="B159" s="1"/>
      <c r="E159" s="1"/>
      <c r="F159" s="1"/>
      <c r="G159" s="1"/>
      <c r="H159" s="1"/>
      <c r="J159" s="2"/>
      <c r="K159" s="3"/>
      <c r="L159" s="1"/>
      <c r="N159" s="3"/>
      <c r="P159" s="1"/>
      <c r="Q159" s="2"/>
      <c r="R159" s="3"/>
      <c r="S159" s="4"/>
      <c r="T159" s="3"/>
      <c r="U159" s="1"/>
      <c r="V159" s="1"/>
      <c r="W159" s="3"/>
      <c r="X159" s="1"/>
      <c r="Y159" s="4"/>
      <c r="Z159" s="4"/>
      <c r="AA159" s="1"/>
      <c r="AB159" s="1"/>
      <c r="AC159" s="1"/>
      <c r="AD159" s="2"/>
      <c r="AE159" s="1"/>
      <c r="AF159" s="1"/>
      <c r="AG159" s="1"/>
      <c r="AH159" s="3"/>
      <c r="AI159" s="1"/>
      <c r="AJ159" s="1"/>
      <c r="AK159" s="1"/>
      <c r="AL159" s="1"/>
      <c r="AM159" s="1"/>
      <c r="AN159" s="2"/>
      <c r="AO159" s="1"/>
      <c r="AP159" s="1"/>
      <c r="AQ159" s="1"/>
      <c r="AR159" s="2"/>
      <c r="AS159" s="1"/>
      <c r="AT159" s="2"/>
      <c r="AU159" s="4"/>
      <c r="AV159" s="7"/>
      <c r="AW159" s="4"/>
      <c r="AX159" s="3"/>
      <c r="AY159" s="4"/>
      <c r="AZ159" s="1"/>
      <c r="BA159" s="1"/>
      <c r="BB159" s="1"/>
      <c r="BC159" s="4"/>
      <c r="BD159" s="1"/>
      <c r="BE159" s="4"/>
      <c r="BF159" s="2"/>
      <c r="BG159" s="4"/>
      <c r="BH159" s="1"/>
      <c r="BI159" s="1"/>
    </row>
    <row r="160" spans="1:61" ht="15" customHeight="1" x14ac:dyDescent="0.25">
      <c r="A160" s="2"/>
      <c r="B160" s="1"/>
      <c r="E160" s="1"/>
      <c r="F160" s="1"/>
      <c r="G160" s="1"/>
      <c r="H160" s="1"/>
      <c r="J160" s="2"/>
      <c r="K160" s="3"/>
      <c r="L160" s="1"/>
      <c r="N160" s="3"/>
      <c r="P160" s="1"/>
      <c r="Q160" s="2"/>
      <c r="R160" s="3"/>
      <c r="S160" s="4"/>
      <c r="T160" s="3"/>
      <c r="U160" s="1"/>
      <c r="V160" s="1"/>
      <c r="W160" s="3"/>
      <c r="X160" s="1"/>
      <c r="Y160" s="4"/>
      <c r="Z160" s="4"/>
      <c r="AA160" s="1"/>
      <c r="AB160" s="1"/>
      <c r="AC160" s="1"/>
      <c r="AD160" s="2"/>
      <c r="AE160" s="1"/>
      <c r="AF160" s="1"/>
      <c r="AG160" s="1"/>
      <c r="AH160" s="3"/>
      <c r="AI160" s="1"/>
      <c r="AJ160" s="1"/>
      <c r="AK160" s="1"/>
      <c r="AL160" s="1"/>
      <c r="AM160" s="1"/>
      <c r="AN160" s="2"/>
      <c r="AO160" s="1"/>
      <c r="AP160" s="1"/>
      <c r="AQ160" s="1"/>
      <c r="AR160" s="2"/>
      <c r="AS160" s="1"/>
      <c r="AT160" s="2"/>
      <c r="AU160" s="4"/>
      <c r="AV160" s="7"/>
      <c r="AW160" s="4"/>
      <c r="AX160" s="3"/>
      <c r="AY160" s="4"/>
      <c r="AZ160" s="1"/>
      <c r="BA160" s="1"/>
      <c r="BB160" s="1"/>
      <c r="BC160" s="4"/>
      <c r="BD160" s="1"/>
      <c r="BE160" s="4"/>
      <c r="BF160" s="2"/>
      <c r="BG160" s="4"/>
      <c r="BH160" s="1"/>
      <c r="BI160" s="1"/>
    </row>
    <row r="161" spans="1:61" ht="15" customHeight="1" x14ac:dyDescent="0.25">
      <c r="A161" s="2"/>
      <c r="B161" s="1"/>
      <c r="E161" s="1"/>
      <c r="F161" s="1"/>
      <c r="G161" s="1"/>
      <c r="H161" s="1"/>
      <c r="J161" s="2"/>
      <c r="K161" s="3"/>
      <c r="L161" s="1"/>
      <c r="N161" s="3"/>
      <c r="P161" s="1"/>
      <c r="Q161" s="2"/>
      <c r="R161" s="3"/>
      <c r="S161" s="4"/>
      <c r="T161" s="3"/>
      <c r="U161" s="1"/>
      <c r="V161" s="1"/>
      <c r="W161" s="3"/>
      <c r="X161" s="1"/>
      <c r="Y161" s="4"/>
      <c r="Z161" s="4"/>
      <c r="AA161" s="1"/>
      <c r="AB161" s="1"/>
      <c r="AC161" s="1"/>
      <c r="AD161" s="2"/>
      <c r="AE161" s="1"/>
      <c r="AF161" s="1"/>
      <c r="AG161" s="1"/>
      <c r="AH161" s="3"/>
      <c r="AI161" s="1"/>
      <c r="AJ161" s="1"/>
      <c r="AK161" s="1"/>
      <c r="AL161" s="1"/>
      <c r="AM161" s="1"/>
      <c r="AN161" s="2"/>
      <c r="AO161" s="1"/>
      <c r="AP161" s="1"/>
      <c r="AQ161" s="1"/>
      <c r="AR161" s="2"/>
      <c r="AS161" s="1"/>
      <c r="AT161" s="2"/>
      <c r="AU161" s="4"/>
      <c r="AV161" s="7"/>
      <c r="AW161" s="4"/>
      <c r="AX161" s="3"/>
      <c r="AY161" s="4"/>
      <c r="AZ161" s="1"/>
      <c r="BA161" s="1"/>
      <c r="BB161" s="1"/>
      <c r="BC161" s="4"/>
      <c r="BD161" s="1"/>
      <c r="BE161" s="4"/>
      <c r="BF161" s="2"/>
      <c r="BG161" s="4"/>
      <c r="BH161" s="1"/>
      <c r="BI161" s="1"/>
    </row>
    <row r="162" spans="1:61" ht="15" customHeight="1" x14ac:dyDescent="0.25">
      <c r="A162" s="2"/>
      <c r="B162" s="1"/>
      <c r="E162" s="1"/>
      <c r="F162" s="1"/>
      <c r="G162" s="1"/>
      <c r="H162" s="1"/>
      <c r="J162" s="2"/>
      <c r="K162" s="3"/>
      <c r="L162" s="1"/>
      <c r="N162" s="3"/>
      <c r="P162" s="1"/>
      <c r="Q162" s="2"/>
      <c r="R162" s="3"/>
      <c r="S162" s="4"/>
      <c r="T162" s="3"/>
      <c r="U162" s="1"/>
      <c r="V162" s="1"/>
      <c r="W162" s="3"/>
      <c r="X162" s="1"/>
      <c r="Y162" s="4"/>
      <c r="Z162" s="4"/>
      <c r="AA162" s="1"/>
      <c r="AB162" s="1"/>
      <c r="AC162" s="1"/>
      <c r="AD162" s="2"/>
      <c r="AE162" s="1"/>
      <c r="AF162" s="1"/>
      <c r="AG162" s="1"/>
      <c r="AH162" s="3"/>
      <c r="AI162" s="1"/>
      <c r="AJ162" s="1"/>
      <c r="AK162" s="1"/>
      <c r="AL162" s="1"/>
      <c r="AM162" s="1"/>
      <c r="AN162" s="2"/>
      <c r="AO162" s="1"/>
      <c r="AP162" s="1"/>
      <c r="AQ162" s="1"/>
      <c r="AR162" s="2"/>
      <c r="AS162" s="1"/>
      <c r="AT162" s="2"/>
      <c r="AU162" s="4"/>
      <c r="AV162" s="7"/>
      <c r="AW162" s="4"/>
      <c r="AX162" s="3"/>
      <c r="AY162" s="4"/>
      <c r="AZ162" s="1"/>
      <c r="BA162" s="1"/>
      <c r="BB162" s="1"/>
      <c r="BC162" s="4"/>
      <c r="BD162" s="1"/>
      <c r="BE162" s="4"/>
      <c r="BF162" s="2"/>
      <c r="BG162" s="4"/>
      <c r="BH162" s="1"/>
      <c r="BI162" s="1"/>
    </row>
    <row r="163" spans="1:61" ht="15" customHeight="1" x14ac:dyDescent="0.25">
      <c r="A163" s="2"/>
      <c r="B163" s="1"/>
      <c r="E163" s="1"/>
      <c r="F163" s="1"/>
      <c r="G163" s="1"/>
      <c r="H163" s="1"/>
      <c r="J163" s="2"/>
      <c r="K163" s="3"/>
      <c r="L163" s="1"/>
      <c r="N163" s="3"/>
      <c r="P163" s="1"/>
      <c r="Q163" s="2"/>
      <c r="R163" s="3"/>
      <c r="S163" s="4"/>
      <c r="T163" s="3"/>
      <c r="U163" s="1"/>
      <c r="V163" s="1"/>
      <c r="W163" s="3"/>
      <c r="X163" s="1"/>
      <c r="Y163" s="4"/>
      <c r="Z163" s="4"/>
      <c r="AA163" s="1"/>
      <c r="AB163" s="1"/>
      <c r="AC163" s="1"/>
      <c r="AD163" s="2"/>
      <c r="AE163" s="1"/>
      <c r="AF163" s="1"/>
      <c r="AG163" s="1"/>
      <c r="AH163" s="3"/>
      <c r="AI163" s="1"/>
      <c r="AJ163" s="1"/>
      <c r="AK163" s="1"/>
      <c r="AL163" s="1"/>
      <c r="AM163" s="1"/>
      <c r="AN163" s="2"/>
      <c r="AO163" s="1"/>
      <c r="AP163" s="1"/>
      <c r="AQ163" s="1"/>
      <c r="AR163" s="2"/>
      <c r="AS163" s="1"/>
      <c r="AT163" s="2"/>
      <c r="AU163" s="4"/>
      <c r="AV163" s="4"/>
      <c r="AW163" s="4"/>
      <c r="AX163" s="3"/>
      <c r="AY163" s="4"/>
      <c r="AZ163" s="1"/>
      <c r="BA163" s="1"/>
      <c r="BB163" s="1"/>
      <c r="BC163" s="4"/>
      <c r="BD163" s="1"/>
      <c r="BE163" s="4"/>
      <c r="BF163" s="2"/>
      <c r="BG163" s="4"/>
      <c r="BH163" s="1"/>
      <c r="BI163" s="1"/>
    </row>
    <row r="164" spans="1:61" ht="15" customHeight="1" x14ac:dyDescent="0.25">
      <c r="A164" s="2"/>
      <c r="B164" s="1"/>
      <c r="E164" s="1"/>
      <c r="F164" s="1"/>
      <c r="G164" s="1"/>
      <c r="H164" s="1"/>
      <c r="J164" s="2"/>
      <c r="K164" s="3"/>
      <c r="L164" s="1"/>
      <c r="N164" s="3"/>
      <c r="P164" s="1"/>
      <c r="Q164" s="2"/>
      <c r="R164" s="3"/>
      <c r="S164" s="4"/>
      <c r="T164" s="3"/>
      <c r="U164" s="1"/>
      <c r="V164" s="1"/>
      <c r="W164" s="3"/>
      <c r="X164" s="1"/>
      <c r="Y164" s="4"/>
      <c r="Z164" s="4"/>
      <c r="AA164" s="1"/>
      <c r="AB164" s="1"/>
      <c r="AC164" s="1"/>
      <c r="AD164" s="2"/>
      <c r="AE164" s="1"/>
      <c r="AF164" s="1"/>
      <c r="AG164" s="1"/>
      <c r="AH164" s="3"/>
      <c r="AI164" s="1"/>
      <c r="AJ164" s="1"/>
      <c r="AK164" s="1"/>
      <c r="AL164" s="1"/>
      <c r="AM164" s="1"/>
      <c r="AN164" s="2"/>
      <c r="AO164" s="1"/>
      <c r="AP164" s="1"/>
      <c r="AQ164" s="1"/>
      <c r="AR164" s="2"/>
      <c r="AS164" s="1"/>
      <c r="AT164" s="2"/>
      <c r="AU164" s="4"/>
      <c r="AV164" s="7"/>
      <c r="AW164" s="4"/>
      <c r="AX164" s="3"/>
      <c r="AY164" s="4"/>
      <c r="AZ164" s="1"/>
      <c r="BA164" s="1"/>
      <c r="BB164" s="1"/>
      <c r="BC164" s="4"/>
      <c r="BD164" s="1"/>
      <c r="BE164" s="4"/>
      <c r="BF164" s="2"/>
      <c r="BG164" s="4"/>
      <c r="BH164" s="1"/>
      <c r="BI164" s="1"/>
    </row>
    <row r="165" spans="1:61" ht="15" customHeight="1" x14ac:dyDescent="0.25">
      <c r="A165" s="2"/>
      <c r="B165" s="1"/>
      <c r="E165" s="1"/>
      <c r="F165" s="1"/>
      <c r="G165" s="1"/>
      <c r="H165" s="1"/>
      <c r="J165" s="2"/>
      <c r="K165" s="3"/>
      <c r="L165" s="1"/>
      <c r="N165" s="3"/>
      <c r="P165" s="1"/>
      <c r="Q165" s="2"/>
      <c r="R165" s="3"/>
      <c r="S165" s="4"/>
      <c r="T165" s="3"/>
      <c r="U165" s="1"/>
      <c r="V165" s="1"/>
      <c r="W165" s="3"/>
      <c r="X165" s="1"/>
      <c r="Y165" s="4"/>
      <c r="Z165" s="4"/>
      <c r="AA165" s="1"/>
      <c r="AB165" s="1"/>
      <c r="AC165" s="1"/>
      <c r="AD165" s="2"/>
      <c r="AE165" s="1"/>
      <c r="AF165" s="1"/>
      <c r="AG165" s="1"/>
      <c r="AH165" s="3"/>
      <c r="AI165" s="1"/>
      <c r="AJ165" s="1"/>
      <c r="AK165" s="1"/>
      <c r="AL165" s="1"/>
      <c r="AM165" s="1"/>
      <c r="AN165" s="2"/>
      <c r="AO165" s="1"/>
      <c r="AP165" s="1"/>
      <c r="AQ165" s="1"/>
      <c r="AR165" s="2"/>
      <c r="AS165" s="1"/>
      <c r="AT165" s="2"/>
      <c r="AU165" s="4"/>
      <c r="AV165" s="7"/>
      <c r="AW165" s="4"/>
      <c r="AX165" s="3"/>
      <c r="AY165" s="4"/>
      <c r="AZ165" s="1"/>
      <c r="BA165" s="1"/>
      <c r="BB165" s="1"/>
      <c r="BC165" s="4"/>
      <c r="BD165" s="1"/>
      <c r="BE165" s="4"/>
      <c r="BF165" s="2"/>
      <c r="BG165" s="4"/>
      <c r="BH165" s="1"/>
      <c r="BI165" s="1"/>
    </row>
    <row r="166" spans="1:61" ht="15" customHeight="1" x14ac:dyDescent="0.25">
      <c r="A166" s="2"/>
      <c r="B166" s="1"/>
      <c r="E166" s="1"/>
      <c r="F166" s="1"/>
      <c r="G166" s="1"/>
      <c r="H166" s="1"/>
      <c r="J166" s="2"/>
      <c r="K166" s="3"/>
      <c r="L166" s="1"/>
      <c r="N166" s="3"/>
      <c r="P166" s="1"/>
      <c r="Q166" s="2"/>
      <c r="R166" s="3"/>
      <c r="S166" s="4"/>
      <c r="T166" s="3"/>
      <c r="U166" s="1"/>
      <c r="V166" s="1"/>
      <c r="W166" s="3"/>
      <c r="X166" s="1"/>
      <c r="Y166" s="4"/>
      <c r="Z166" s="4"/>
      <c r="AA166" s="1"/>
      <c r="AB166" s="1"/>
      <c r="AC166" s="1"/>
      <c r="AD166" s="2"/>
      <c r="AE166" s="1"/>
      <c r="AF166" s="1"/>
      <c r="AG166" s="1"/>
      <c r="AH166" s="3"/>
      <c r="AI166" s="1"/>
      <c r="AJ166" s="1"/>
      <c r="AK166" s="1"/>
      <c r="AL166" s="1"/>
      <c r="AM166" s="1"/>
      <c r="AN166" s="2"/>
      <c r="AO166" s="1"/>
      <c r="AP166" s="1"/>
      <c r="AQ166" s="1"/>
      <c r="AR166" s="2"/>
      <c r="AS166" s="1"/>
      <c r="AT166" s="2"/>
      <c r="AU166" s="4"/>
      <c r="AV166" s="7"/>
      <c r="AW166" s="4"/>
      <c r="AX166" s="3"/>
      <c r="AY166" s="4"/>
      <c r="AZ166" s="1"/>
      <c r="BA166" s="1"/>
      <c r="BB166" s="1"/>
      <c r="BC166" s="4"/>
      <c r="BD166" s="1"/>
      <c r="BE166" s="4"/>
      <c r="BF166" s="2"/>
      <c r="BG166" s="4"/>
      <c r="BH166" s="1"/>
      <c r="BI166" s="1"/>
    </row>
    <row r="167" spans="1:61" ht="15" customHeight="1" x14ac:dyDescent="0.25">
      <c r="A167" s="2"/>
      <c r="B167" s="1"/>
      <c r="E167" s="1"/>
      <c r="F167" s="1"/>
      <c r="G167" s="1"/>
      <c r="H167" s="1"/>
      <c r="J167" s="2"/>
      <c r="K167" s="3"/>
      <c r="L167" s="1"/>
      <c r="N167" s="3"/>
      <c r="P167" s="1"/>
      <c r="Q167" s="2"/>
      <c r="R167" s="3"/>
      <c r="S167" s="4"/>
      <c r="T167" s="3"/>
      <c r="U167" s="1"/>
      <c r="V167" s="1"/>
      <c r="W167" s="3"/>
      <c r="X167" s="1"/>
      <c r="Y167" s="4"/>
      <c r="Z167" s="4"/>
      <c r="AA167" s="1"/>
      <c r="AB167" s="1"/>
      <c r="AC167" s="1"/>
      <c r="AD167" s="2"/>
      <c r="AE167" s="1"/>
      <c r="AF167" s="1"/>
      <c r="AG167" s="1"/>
      <c r="AH167" s="3"/>
      <c r="AI167" s="1"/>
      <c r="AJ167" s="1"/>
      <c r="AK167" s="1"/>
      <c r="AL167" s="1"/>
      <c r="AM167" s="1"/>
      <c r="AN167" s="2"/>
      <c r="AO167" s="1"/>
      <c r="AP167" s="1"/>
      <c r="AQ167" s="1"/>
      <c r="AR167" s="2"/>
      <c r="AS167" s="1"/>
      <c r="AT167" s="2"/>
      <c r="AU167" s="4"/>
      <c r="AV167" s="4"/>
      <c r="AW167" s="4"/>
      <c r="AX167" s="3"/>
      <c r="AY167" s="4"/>
      <c r="AZ167" s="1"/>
      <c r="BA167" s="1"/>
      <c r="BB167" s="1"/>
      <c r="BC167" s="4"/>
      <c r="BD167" s="1"/>
      <c r="BE167" s="4"/>
      <c r="BF167" s="2"/>
      <c r="BG167" s="4"/>
      <c r="BH167" s="1"/>
      <c r="BI167" s="1"/>
    </row>
    <row r="168" spans="1:61" ht="15" customHeight="1" x14ac:dyDescent="0.25">
      <c r="A168" s="2"/>
      <c r="B168" s="1"/>
      <c r="E168" s="1"/>
      <c r="F168" s="1"/>
      <c r="G168" s="1"/>
      <c r="H168" s="1"/>
      <c r="J168" s="2"/>
      <c r="K168" s="3"/>
      <c r="L168" s="1"/>
      <c r="N168" s="3"/>
      <c r="P168" s="1"/>
      <c r="Q168" s="2"/>
      <c r="R168" s="3"/>
      <c r="S168" s="4"/>
      <c r="T168" s="3"/>
      <c r="U168" s="1"/>
      <c r="V168" s="1"/>
      <c r="W168" s="3"/>
      <c r="X168" s="1"/>
      <c r="Y168" s="4"/>
      <c r="Z168" s="4"/>
      <c r="AA168" s="1"/>
      <c r="AB168" s="1"/>
      <c r="AC168" s="1"/>
      <c r="AD168" s="2"/>
      <c r="AE168" s="1"/>
      <c r="AF168" s="1"/>
      <c r="AG168" s="1"/>
      <c r="AH168" s="3"/>
      <c r="AI168" s="1"/>
      <c r="AJ168" s="1"/>
      <c r="AK168" s="1"/>
      <c r="AL168" s="1"/>
      <c r="AM168" s="1"/>
      <c r="AN168" s="2"/>
      <c r="AO168" s="1"/>
      <c r="AP168" s="1"/>
      <c r="AQ168" s="1"/>
      <c r="AR168" s="2"/>
      <c r="AS168" s="1"/>
      <c r="AT168" s="2"/>
      <c r="AU168" s="4"/>
      <c r="AV168" s="7"/>
      <c r="AW168" s="4"/>
      <c r="AX168" s="3"/>
      <c r="AY168" s="4"/>
      <c r="AZ168" s="1"/>
      <c r="BA168" s="1"/>
      <c r="BB168" s="1"/>
      <c r="BC168" s="4"/>
      <c r="BD168" s="1"/>
      <c r="BE168" s="4"/>
      <c r="BF168" s="2"/>
      <c r="BG168" s="4"/>
      <c r="BH168" s="1"/>
      <c r="BI168" s="1"/>
    </row>
    <row r="169" spans="1:61" ht="15" customHeight="1" x14ac:dyDescent="0.25">
      <c r="A169" s="2"/>
      <c r="B169" s="1"/>
      <c r="E169" s="1"/>
      <c r="F169" s="1"/>
      <c r="G169" s="1"/>
      <c r="H169" s="1"/>
      <c r="J169" s="2"/>
      <c r="K169" s="3"/>
      <c r="L169" s="1"/>
      <c r="N169" s="3"/>
      <c r="P169" s="1"/>
      <c r="Q169" s="2"/>
      <c r="R169" s="3"/>
      <c r="S169" s="4"/>
      <c r="T169" s="3"/>
      <c r="U169" s="1"/>
      <c r="V169" s="1"/>
      <c r="W169" s="3"/>
      <c r="X169" s="1"/>
      <c r="Y169" s="4"/>
      <c r="Z169" s="4"/>
      <c r="AA169" s="1"/>
      <c r="AB169" s="1"/>
      <c r="AC169" s="1"/>
      <c r="AD169" s="2"/>
      <c r="AE169" s="1"/>
      <c r="AF169" s="1"/>
      <c r="AG169" s="1"/>
      <c r="AH169" s="3"/>
      <c r="AI169" s="1"/>
      <c r="AJ169" s="1"/>
      <c r="AK169" s="1"/>
      <c r="AL169" s="1"/>
      <c r="AM169" s="1"/>
      <c r="AN169" s="2"/>
      <c r="AO169" s="1"/>
      <c r="AP169" s="1"/>
      <c r="AQ169" s="1"/>
      <c r="AR169" s="2"/>
      <c r="AS169" s="1"/>
      <c r="AT169" s="2"/>
      <c r="AU169" s="4"/>
      <c r="AV169" s="7"/>
      <c r="AW169" s="4"/>
      <c r="AX169" s="3"/>
      <c r="AY169" s="4"/>
      <c r="AZ169" s="1"/>
      <c r="BA169" s="1"/>
      <c r="BB169" s="1"/>
      <c r="BC169" s="4"/>
      <c r="BD169" s="1"/>
      <c r="BE169" s="4"/>
      <c r="BF169" s="2"/>
      <c r="BG169" s="4"/>
      <c r="BH169" s="1"/>
      <c r="BI169" s="1"/>
    </row>
    <row r="170" spans="1:61" ht="15" customHeight="1" x14ac:dyDescent="0.25">
      <c r="A170" s="2"/>
      <c r="B170" s="8"/>
      <c r="E170" s="1"/>
      <c r="F170" s="1"/>
      <c r="G170" s="1"/>
      <c r="H170" s="1"/>
      <c r="J170" s="2"/>
      <c r="K170" s="3"/>
      <c r="L170" s="1"/>
      <c r="N170" s="3"/>
      <c r="P170" s="1"/>
      <c r="Q170" s="2"/>
      <c r="R170" s="3"/>
      <c r="S170" s="4"/>
      <c r="T170" s="3"/>
      <c r="U170" s="1"/>
      <c r="V170" s="1"/>
      <c r="W170" s="3"/>
      <c r="X170" s="1"/>
      <c r="Y170" s="4"/>
      <c r="Z170" s="4"/>
      <c r="AA170" s="1"/>
      <c r="AB170" s="1"/>
      <c r="AC170" s="1"/>
      <c r="AD170" s="2"/>
      <c r="AE170" s="1"/>
      <c r="AF170" s="1"/>
      <c r="AG170" s="1"/>
      <c r="AH170" s="3"/>
      <c r="AI170" s="1"/>
      <c r="AJ170" s="1"/>
      <c r="AK170" s="1"/>
      <c r="AL170" s="1"/>
      <c r="AM170" s="1"/>
      <c r="AN170" s="2"/>
      <c r="AO170" s="1"/>
      <c r="AP170" s="1"/>
      <c r="AQ170" s="1"/>
      <c r="AR170" s="2"/>
      <c r="AS170" s="1"/>
      <c r="AT170" s="2"/>
      <c r="AU170" s="4"/>
      <c r="AV170" s="7"/>
      <c r="AW170" s="4"/>
      <c r="AX170" s="3"/>
      <c r="AY170" s="4"/>
      <c r="AZ170" s="1"/>
      <c r="BA170" s="1"/>
      <c r="BB170" s="1"/>
      <c r="BC170" s="4"/>
      <c r="BD170" s="1"/>
      <c r="BE170" s="4"/>
      <c r="BF170" s="2"/>
      <c r="BG170" s="4"/>
      <c r="BH170" s="1"/>
      <c r="BI170" s="1"/>
    </row>
    <row r="171" spans="1:61" ht="15" customHeight="1" x14ac:dyDescent="0.25">
      <c r="A171" s="2"/>
      <c r="B171" s="1"/>
      <c r="E171" s="1"/>
      <c r="F171" s="1"/>
      <c r="G171" s="1"/>
      <c r="H171" s="1"/>
      <c r="J171" s="2"/>
      <c r="K171" s="3"/>
      <c r="L171" s="1"/>
      <c r="N171" s="3"/>
      <c r="P171" s="1"/>
      <c r="Q171" s="2"/>
      <c r="R171" s="3"/>
      <c r="S171" s="4"/>
      <c r="T171" s="3"/>
      <c r="U171" s="1"/>
      <c r="V171" s="1"/>
      <c r="W171" s="3"/>
      <c r="X171" s="1"/>
      <c r="Y171" s="4"/>
      <c r="Z171" s="4"/>
      <c r="AA171" s="1"/>
      <c r="AB171" s="1"/>
      <c r="AC171" s="1"/>
      <c r="AD171" s="2"/>
      <c r="AE171" s="1"/>
      <c r="AF171" s="1"/>
      <c r="AG171" s="1"/>
      <c r="AH171" s="3"/>
      <c r="AI171" s="1"/>
      <c r="AJ171" s="1"/>
      <c r="AK171" s="1"/>
      <c r="AL171" s="1"/>
      <c r="AM171" s="1"/>
      <c r="AN171" s="2"/>
      <c r="AO171" s="1"/>
      <c r="AP171" s="1"/>
      <c r="AQ171" s="1"/>
      <c r="AR171" s="2"/>
      <c r="AS171" s="1"/>
      <c r="AT171" s="2"/>
      <c r="AU171" s="4"/>
      <c r="AV171" s="7"/>
      <c r="AW171" s="4"/>
      <c r="AX171" s="3"/>
      <c r="AY171" s="4"/>
      <c r="AZ171" s="1"/>
      <c r="BA171" s="1"/>
      <c r="BB171" s="1"/>
      <c r="BC171" s="4"/>
      <c r="BD171" s="1"/>
      <c r="BE171" s="4"/>
      <c r="BF171" s="2"/>
      <c r="BG171" s="4"/>
      <c r="BH171" s="1"/>
      <c r="BI171" s="1"/>
    </row>
    <row r="172" spans="1:61" ht="15" customHeight="1" x14ac:dyDescent="0.25">
      <c r="A172" s="2"/>
      <c r="B172" s="8"/>
      <c r="E172" s="1"/>
      <c r="F172" s="1"/>
      <c r="G172" s="1"/>
      <c r="H172" s="1"/>
      <c r="J172" s="2"/>
      <c r="K172" s="3"/>
      <c r="L172" s="1"/>
      <c r="N172" s="3"/>
      <c r="P172" s="1"/>
      <c r="Q172" s="2"/>
      <c r="R172" s="3"/>
      <c r="S172" s="4"/>
      <c r="T172" s="3"/>
      <c r="U172" s="1"/>
      <c r="V172" s="1"/>
      <c r="W172" s="3"/>
      <c r="X172" s="1"/>
      <c r="Y172" s="4"/>
      <c r="Z172" s="4"/>
      <c r="AA172" s="1"/>
      <c r="AB172" s="1"/>
      <c r="AC172" s="1"/>
      <c r="AD172" s="2"/>
      <c r="AE172" s="1"/>
      <c r="AF172" s="1"/>
      <c r="AG172" s="1"/>
      <c r="AH172" s="3"/>
      <c r="AI172" s="1"/>
      <c r="AJ172" s="1"/>
      <c r="AK172" s="1"/>
      <c r="AL172" s="1"/>
      <c r="AM172" s="1"/>
      <c r="AN172" s="2"/>
      <c r="AO172" s="1"/>
      <c r="AP172" s="1"/>
      <c r="AQ172" s="1"/>
      <c r="AR172" s="2"/>
      <c r="AS172" s="1"/>
      <c r="AT172" s="2"/>
      <c r="AU172" s="4"/>
      <c r="AV172" s="7"/>
      <c r="AW172" s="4"/>
      <c r="AX172" s="3"/>
      <c r="AY172" s="4"/>
      <c r="AZ172" s="1"/>
      <c r="BA172" s="1"/>
      <c r="BB172" s="1"/>
      <c r="BC172" s="4"/>
      <c r="BD172" s="1"/>
      <c r="BE172" s="4"/>
      <c r="BF172" s="2"/>
      <c r="BG172" s="4"/>
      <c r="BH172" s="1"/>
      <c r="BI172" s="1"/>
    </row>
    <row r="173" spans="1:61" ht="15" customHeight="1" x14ac:dyDescent="0.25">
      <c r="A173" s="2"/>
      <c r="B173" s="1"/>
      <c r="E173" s="1"/>
      <c r="F173" s="1"/>
      <c r="G173" s="1"/>
      <c r="H173" s="1"/>
      <c r="J173" s="2"/>
      <c r="K173" s="3"/>
      <c r="L173" s="1"/>
      <c r="N173" s="3"/>
      <c r="P173" s="1"/>
      <c r="Q173" s="2"/>
      <c r="R173" s="3"/>
      <c r="S173" s="4"/>
      <c r="T173" s="3"/>
      <c r="U173" s="1"/>
      <c r="V173" s="1"/>
      <c r="W173" s="3"/>
      <c r="X173" s="1"/>
      <c r="Y173" s="4"/>
      <c r="Z173" s="4"/>
      <c r="AA173" s="1"/>
      <c r="AB173" s="1"/>
      <c r="AC173" s="1"/>
      <c r="AD173" s="2"/>
      <c r="AE173" s="1"/>
      <c r="AF173" s="1"/>
      <c r="AG173" s="1"/>
      <c r="AH173" s="3"/>
      <c r="AI173" s="1"/>
      <c r="AJ173" s="1"/>
      <c r="AK173" s="1"/>
      <c r="AL173" s="1"/>
      <c r="AM173" s="1"/>
      <c r="AN173" s="2"/>
      <c r="AO173" s="1"/>
      <c r="AP173" s="1"/>
      <c r="AQ173" s="1"/>
      <c r="AR173" s="2"/>
      <c r="AS173" s="1"/>
      <c r="AT173" s="2"/>
      <c r="AU173" s="4"/>
      <c r="AV173" s="7"/>
      <c r="AW173" s="4"/>
      <c r="AX173" s="3"/>
      <c r="AY173" s="4"/>
      <c r="AZ173" s="1"/>
      <c r="BA173" s="1"/>
      <c r="BB173" s="1"/>
      <c r="BC173" s="4"/>
      <c r="BD173" s="1"/>
      <c r="BE173" s="4"/>
      <c r="BF173" s="2"/>
      <c r="BG173" s="4"/>
      <c r="BH173" s="1"/>
      <c r="BI173" s="1"/>
    </row>
    <row r="174" spans="1:61" ht="15" customHeight="1" x14ac:dyDescent="0.25">
      <c r="A174" s="2"/>
      <c r="B174" s="1"/>
      <c r="E174" s="1"/>
      <c r="F174" s="1"/>
      <c r="G174" s="1"/>
      <c r="H174" s="1"/>
      <c r="J174" s="2"/>
      <c r="K174" s="3"/>
      <c r="L174" s="1"/>
      <c r="N174" s="3"/>
      <c r="P174" s="1"/>
      <c r="Q174" s="2"/>
      <c r="R174" s="3"/>
      <c r="S174" s="4"/>
      <c r="T174" s="3"/>
      <c r="U174" s="1"/>
      <c r="V174" s="1"/>
      <c r="W174" s="3"/>
      <c r="X174" s="1"/>
      <c r="Y174" s="4"/>
      <c r="Z174" s="4"/>
      <c r="AA174" s="1"/>
      <c r="AB174" s="1"/>
      <c r="AC174" s="1"/>
      <c r="AD174" s="2"/>
      <c r="AE174" s="1"/>
      <c r="AF174" s="1"/>
      <c r="AG174" s="1"/>
      <c r="AH174" s="3"/>
      <c r="AI174" s="1"/>
      <c r="AJ174" s="1"/>
      <c r="AK174" s="1"/>
      <c r="AL174" s="1"/>
      <c r="AM174" s="1"/>
      <c r="AN174" s="2"/>
      <c r="AO174" s="1"/>
      <c r="AP174" s="1"/>
      <c r="AQ174" s="1"/>
      <c r="AR174" s="2"/>
      <c r="AS174" s="1"/>
      <c r="AT174" s="2"/>
      <c r="AU174" s="4"/>
      <c r="AV174" s="7"/>
      <c r="AW174" s="4"/>
      <c r="AX174" s="3"/>
      <c r="AY174" s="4"/>
      <c r="AZ174" s="1"/>
      <c r="BA174" s="1"/>
      <c r="BB174" s="1"/>
      <c r="BC174" s="4"/>
      <c r="BD174" s="1"/>
      <c r="BE174" s="4"/>
      <c r="BF174" s="2"/>
      <c r="BG174" s="4"/>
      <c r="BH174" s="1"/>
      <c r="BI174" s="1"/>
    </row>
    <row r="175" spans="1:61" ht="15" customHeight="1" x14ac:dyDescent="0.25">
      <c r="A175" s="2"/>
      <c r="B175" s="1"/>
      <c r="E175" s="1"/>
      <c r="F175" s="1"/>
      <c r="G175" s="1"/>
      <c r="H175" s="1"/>
      <c r="J175" s="2"/>
      <c r="K175" s="3"/>
      <c r="L175" s="1"/>
      <c r="N175" s="3"/>
      <c r="P175" s="1"/>
      <c r="Q175" s="2"/>
      <c r="R175" s="3"/>
      <c r="S175" s="4"/>
      <c r="T175" s="3"/>
      <c r="U175" s="1"/>
      <c r="V175" s="1"/>
      <c r="W175" s="3"/>
      <c r="X175" s="1"/>
      <c r="Y175" s="4"/>
      <c r="Z175" s="4"/>
      <c r="AA175" s="1"/>
      <c r="AB175" s="1"/>
      <c r="AC175" s="1"/>
      <c r="AD175" s="2"/>
      <c r="AE175" s="1"/>
      <c r="AF175" s="1"/>
      <c r="AG175" s="1"/>
      <c r="AH175" s="3"/>
      <c r="AI175" s="1"/>
      <c r="AJ175" s="1"/>
      <c r="AK175" s="1"/>
      <c r="AL175" s="1"/>
      <c r="AM175" s="1"/>
      <c r="AN175" s="2"/>
      <c r="AO175" s="1"/>
      <c r="AP175" s="1"/>
      <c r="AQ175" s="1"/>
      <c r="AR175" s="2"/>
      <c r="AS175" s="1"/>
      <c r="AT175" s="2"/>
      <c r="AU175" s="4"/>
      <c r="AV175" s="7"/>
      <c r="AW175" s="4"/>
      <c r="AX175" s="3"/>
      <c r="AY175" s="4"/>
      <c r="AZ175" s="1"/>
      <c r="BA175" s="1"/>
      <c r="BB175" s="1"/>
      <c r="BC175" s="4"/>
      <c r="BD175" s="1"/>
      <c r="BE175" s="4"/>
      <c r="BF175" s="2"/>
      <c r="BG175" s="4"/>
      <c r="BH175" s="1"/>
      <c r="BI175" s="1"/>
    </row>
    <row r="176" spans="1:61" ht="15" customHeight="1" x14ac:dyDescent="0.25">
      <c r="A176" s="2"/>
      <c r="B176" s="1"/>
      <c r="E176" s="1"/>
      <c r="F176" s="1"/>
      <c r="G176" s="1"/>
      <c r="H176" s="1"/>
      <c r="J176" s="2"/>
      <c r="K176" s="3"/>
      <c r="L176" s="1"/>
      <c r="N176" s="3"/>
      <c r="P176" s="1"/>
      <c r="Q176" s="2"/>
      <c r="R176" s="3"/>
      <c r="S176" s="4"/>
      <c r="T176" s="3"/>
      <c r="U176" s="1"/>
      <c r="V176" s="1"/>
      <c r="W176" s="3"/>
      <c r="X176" s="1"/>
      <c r="Y176" s="4"/>
      <c r="Z176" s="4"/>
      <c r="AA176" s="1"/>
      <c r="AB176" s="1"/>
      <c r="AC176" s="1"/>
      <c r="AD176" s="2"/>
      <c r="AE176" s="1"/>
      <c r="AF176" s="1"/>
      <c r="AG176" s="1"/>
      <c r="AH176" s="3"/>
      <c r="AI176" s="1"/>
      <c r="AJ176" s="1"/>
      <c r="AK176" s="1"/>
      <c r="AL176" s="1"/>
      <c r="AM176" s="1"/>
      <c r="AN176" s="2"/>
      <c r="AO176" s="1"/>
      <c r="AP176" s="1"/>
      <c r="AQ176" s="1"/>
      <c r="AR176" s="2"/>
      <c r="AS176" s="1"/>
      <c r="AT176" s="2"/>
      <c r="AU176" s="4"/>
      <c r="AV176" s="7"/>
      <c r="AW176" s="4"/>
      <c r="AX176" s="3"/>
      <c r="AY176" s="4"/>
      <c r="AZ176" s="1"/>
      <c r="BA176" s="1"/>
      <c r="BB176" s="1"/>
      <c r="BC176" s="4"/>
      <c r="BD176" s="1"/>
      <c r="BE176" s="4"/>
      <c r="BF176" s="2"/>
      <c r="BG176" s="4"/>
      <c r="BH176" s="1"/>
      <c r="BI176" s="1"/>
    </row>
    <row r="177" spans="1:61" ht="15" customHeight="1" x14ac:dyDescent="0.25">
      <c r="A177" s="2"/>
      <c r="B177" s="1"/>
      <c r="E177" s="1"/>
      <c r="F177" s="1"/>
      <c r="G177" s="1"/>
      <c r="H177" s="1"/>
      <c r="J177" s="2"/>
      <c r="K177" s="3"/>
      <c r="L177" s="1"/>
      <c r="N177" s="3"/>
      <c r="P177" s="1"/>
      <c r="Q177" s="2"/>
      <c r="R177" s="3"/>
      <c r="S177" s="4"/>
      <c r="T177" s="3"/>
      <c r="U177" s="1"/>
      <c r="V177" s="1"/>
      <c r="W177" s="3"/>
      <c r="X177" s="1"/>
      <c r="Y177" s="4"/>
      <c r="Z177" s="4"/>
      <c r="AA177" s="1"/>
      <c r="AB177" s="1"/>
      <c r="AC177" s="1"/>
      <c r="AD177" s="2"/>
      <c r="AE177" s="1"/>
      <c r="AF177" s="1"/>
      <c r="AG177" s="1"/>
      <c r="AH177" s="3"/>
      <c r="AI177" s="1"/>
      <c r="AJ177" s="1"/>
      <c r="AK177" s="1"/>
      <c r="AL177" s="1"/>
      <c r="AM177" s="1"/>
      <c r="AN177" s="2"/>
      <c r="AO177" s="1"/>
      <c r="AP177" s="1"/>
      <c r="AQ177" s="1"/>
      <c r="AR177" s="2"/>
      <c r="AS177" s="1"/>
      <c r="AT177" s="2"/>
      <c r="AU177" s="4"/>
      <c r="AV177" s="7"/>
      <c r="AW177" s="4"/>
      <c r="AX177" s="3"/>
      <c r="AY177" s="4"/>
      <c r="AZ177" s="1"/>
      <c r="BA177" s="1"/>
      <c r="BB177" s="1"/>
      <c r="BC177" s="4"/>
      <c r="BD177" s="1"/>
      <c r="BE177" s="4"/>
      <c r="BF177" s="2"/>
      <c r="BG177" s="4"/>
      <c r="BH177" s="1"/>
      <c r="BI177" s="1"/>
    </row>
    <row r="178" spans="1:61" ht="15" customHeight="1" x14ac:dyDescent="0.25">
      <c r="A178" s="2"/>
      <c r="B178" s="1"/>
      <c r="E178" s="1"/>
      <c r="F178" s="1"/>
      <c r="G178" s="1"/>
      <c r="H178" s="1"/>
      <c r="J178" s="2"/>
      <c r="K178" s="3"/>
      <c r="L178" s="1"/>
      <c r="N178" s="3"/>
      <c r="P178" s="1"/>
      <c r="Q178" s="2"/>
      <c r="R178" s="3"/>
      <c r="S178" s="4"/>
      <c r="T178" s="3"/>
      <c r="U178" s="1"/>
      <c r="V178" s="1"/>
      <c r="W178" s="3"/>
      <c r="X178" s="1"/>
      <c r="Y178" s="4"/>
      <c r="Z178" s="4"/>
      <c r="AA178" s="1"/>
      <c r="AB178" s="1"/>
      <c r="AC178" s="1"/>
      <c r="AD178" s="2"/>
      <c r="AE178" s="1"/>
      <c r="AF178" s="1"/>
      <c r="AG178" s="1"/>
      <c r="AH178" s="3"/>
      <c r="AI178" s="1"/>
      <c r="AJ178" s="1"/>
      <c r="AK178" s="1"/>
      <c r="AL178" s="1"/>
      <c r="AM178" s="1"/>
      <c r="AN178" s="2"/>
      <c r="AO178" s="1"/>
      <c r="AP178" s="1"/>
      <c r="AQ178" s="1"/>
      <c r="AR178" s="2"/>
      <c r="AS178" s="1"/>
      <c r="AT178" s="2"/>
      <c r="AU178" s="4"/>
      <c r="AV178" s="7"/>
      <c r="AW178" s="4"/>
      <c r="AX178" s="3"/>
      <c r="AY178" s="4"/>
      <c r="AZ178" s="1"/>
      <c r="BA178" s="1"/>
      <c r="BB178" s="1"/>
      <c r="BC178" s="4"/>
      <c r="BD178" s="1"/>
      <c r="BE178" s="4"/>
      <c r="BF178" s="2"/>
      <c r="BG178" s="4"/>
      <c r="BH178" s="1"/>
      <c r="BI178" s="1"/>
    </row>
    <row r="179" spans="1:61" ht="15" customHeight="1" x14ac:dyDescent="0.25">
      <c r="A179" s="2"/>
      <c r="B179" s="1"/>
      <c r="E179" s="1"/>
      <c r="F179" s="1"/>
      <c r="G179" s="1"/>
      <c r="H179" s="1"/>
      <c r="J179" s="2"/>
      <c r="K179" s="3"/>
      <c r="L179" s="1"/>
      <c r="N179" s="3"/>
      <c r="P179" s="1"/>
      <c r="Q179" s="2"/>
      <c r="R179" s="3"/>
      <c r="S179" s="4"/>
      <c r="T179" s="3"/>
      <c r="U179" s="1"/>
      <c r="V179" s="1"/>
      <c r="W179" s="3"/>
      <c r="X179" s="1"/>
      <c r="Y179" s="4"/>
      <c r="Z179" s="4"/>
      <c r="AA179" s="1"/>
      <c r="AB179" s="1"/>
      <c r="AC179" s="1"/>
      <c r="AD179" s="2"/>
      <c r="AE179" s="1"/>
      <c r="AF179" s="1"/>
      <c r="AG179" s="1"/>
      <c r="AH179" s="3"/>
      <c r="AI179" s="1"/>
      <c r="AJ179" s="1"/>
      <c r="AK179" s="1"/>
      <c r="AL179" s="1"/>
      <c r="AM179" s="1"/>
      <c r="AN179" s="2"/>
      <c r="AO179" s="1"/>
      <c r="AP179" s="1"/>
      <c r="AQ179" s="1"/>
      <c r="AR179" s="2"/>
      <c r="AS179" s="1"/>
      <c r="AT179" s="2"/>
      <c r="AU179" s="4"/>
      <c r="AV179" s="7"/>
      <c r="AW179" s="4"/>
      <c r="AX179" s="3"/>
      <c r="AY179" s="4"/>
      <c r="AZ179" s="1"/>
      <c r="BA179" s="1"/>
      <c r="BB179" s="1"/>
      <c r="BC179" s="4"/>
      <c r="BD179" s="1"/>
      <c r="BE179" s="4"/>
      <c r="BF179" s="2"/>
      <c r="BG179" s="4"/>
      <c r="BH179" s="1"/>
      <c r="BI179" s="1"/>
    </row>
    <row r="180" spans="1:61" ht="15" customHeight="1" x14ac:dyDescent="0.25">
      <c r="A180" s="2"/>
      <c r="B180" s="1"/>
      <c r="E180" s="1"/>
      <c r="F180" s="1"/>
      <c r="G180" s="1"/>
      <c r="H180" s="1"/>
      <c r="J180" s="2"/>
      <c r="K180" s="3"/>
      <c r="L180" s="1"/>
      <c r="N180" s="3"/>
      <c r="P180" s="1"/>
      <c r="Q180" s="2"/>
      <c r="R180" s="3"/>
      <c r="S180" s="4"/>
      <c r="T180" s="3"/>
      <c r="U180" s="1"/>
      <c r="V180" s="1"/>
      <c r="W180" s="3"/>
      <c r="X180" s="1"/>
      <c r="Y180" s="4"/>
      <c r="Z180" s="4"/>
      <c r="AA180" s="1"/>
      <c r="AB180" s="1"/>
      <c r="AC180" s="1"/>
      <c r="AD180" s="2"/>
      <c r="AE180" s="1"/>
      <c r="AF180" s="1"/>
      <c r="AG180" s="1"/>
      <c r="AH180" s="3"/>
      <c r="AI180" s="1"/>
      <c r="AJ180" s="1"/>
      <c r="AK180" s="1"/>
      <c r="AL180" s="1"/>
      <c r="AM180" s="1"/>
      <c r="AN180" s="2"/>
      <c r="AO180" s="1"/>
      <c r="AP180" s="1"/>
      <c r="AQ180" s="1"/>
      <c r="AR180" s="2"/>
      <c r="AS180" s="1"/>
      <c r="AT180" s="2"/>
      <c r="AU180" s="4"/>
      <c r="AV180" s="7"/>
      <c r="AW180" s="4"/>
      <c r="AX180" s="3"/>
      <c r="AY180" s="4"/>
      <c r="AZ180" s="1"/>
      <c r="BA180" s="1"/>
      <c r="BB180" s="1"/>
      <c r="BC180" s="4"/>
      <c r="BD180" s="1"/>
      <c r="BE180" s="4"/>
      <c r="BF180" s="2"/>
      <c r="BG180" s="4"/>
      <c r="BH180" s="1"/>
      <c r="BI180" s="1"/>
    </row>
    <row r="181" spans="1:61" ht="15" customHeight="1" x14ac:dyDescent="0.25">
      <c r="A181" s="2"/>
      <c r="B181" s="1"/>
      <c r="E181" s="1"/>
      <c r="F181" s="1"/>
      <c r="G181" s="1"/>
      <c r="H181" s="1"/>
      <c r="J181" s="2"/>
      <c r="K181" s="3"/>
      <c r="L181" s="1"/>
      <c r="N181" s="3"/>
      <c r="P181" s="1"/>
      <c r="Q181" s="2"/>
      <c r="R181" s="3"/>
      <c r="S181" s="4"/>
      <c r="T181" s="3"/>
      <c r="U181" s="1"/>
      <c r="V181" s="1"/>
      <c r="W181" s="3"/>
      <c r="X181" s="1"/>
      <c r="Y181" s="4"/>
      <c r="Z181" s="4"/>
      <c r="AA181" s="1"/>
      <c r="AB181" s="1"/>
      <c r="AC181" s="1"/>
      <c r="AD181" s="2"/>
      <c r="AE181" s="1"/>
      <c r="AF181" s="1"/>
      <c r="AG181" s="1"/>
      <c r="AH181" s="3"/>
      <c r="AI181" s="1"/>
      <c r="AJ181" s="1"/>
      <c r="AK181" s="1"/>
      <c r="AL181" s="1"/>
      <c r="AM181" s="1"/>
      <c r="AN181" s="2"/>
      <c r="AO181" s="1"/>
      <c r="AP181" s="1"/>
      <c r="AQ181" s="1"/>
      <c r="AR181" s="2"/>
      <c r="AS181" s="1"/>
      <c r="AT181" s="2"/>
      <c r="AU181" s="4"/>
      <c r="AV181" s="7"/>
      <c r="AW181" s="4"/>
      <c r="AX181" s="3"/>
      <c r="AY181" s="4"/>
      <c r="AZ181" s="1"/>
      <c r="BA181" s="1"/>
      <c r="BB181" s="1"/>
      <c r="BC181" s="4"/>
      <c r="BD181" s="1"/>
      <c r="BE181" s="4"/>
      <c r="BF181" s="2"/>
      <c r="BG181" s="4"/>
      <c r="BH181" s="1"/>
      <c r="BI181" s="1"/>
    </row>
    <row r="182" spans="1:61" ht="15" customHeight="1" x14ac:dyDescent="0.25">
      <c r="A182" s="2"/>
      <c r="B182" s="1"/>
      <c r="E182" s="1"/>
      <c r="F182" s="1"/>
      <c r="G182" s="1"/>
      <c r="H182" s="1"/>
      <c r="J182" s="2"/>
      <c r="K182" s="3"/>
      <c r="L182" s="1"/>
      <c r="N182" s="3"/>
      <c r="P182" s="1"/>
      <c r="Q182" s="2"/>
      <c r="R182" s="3"/>
      <c r="S182" s="4"/>
      <c r="T182" s="3"/>
      <c r="U182" s="1"/>
      <c r="V182" s="1"/>
      <c r="W182" s="3"/>
      <c r="X182" s="1"/>
      <c r="Y182" s="4"/>
      <c r="Z182" s="4"/>
      <c r="AA182" s="1"/>
      <c r="AB182" s="1"/>
      <c r="AC182" s="1"/>
      <c r="AD182" s="2"/>
      <c r="AE182" s="1"/>
      <c r="AF182" s="1"/>
      <c r="AG182" s="1"/>
      <c r="AH182" s="3"/>
      <c r="AI182" s="1"/>
      <c r="AJ182" s="1"/>
      <c r="AK182" s="1"/>
      <c r="AL182" s="1"/>
      <c r="AM182" s="1"/>
      <c r="AN182" s="2"/>
      <c r="AO182" s="1"/>
      <c r="AP182" s="1"/>
      <c r="AQ182" s="1"/>
      <c r="AR182" s="2"/>
      <c r="AS182" s="1"/>
      <c r="AT182" s="2"/>
      <c r="AU182" s="4"/>
      <c r="AV182" s="7"/>
      <c r="AW182" s="4"/>
      <c r="AX182" s="3"/>
      <c r="AY182" s="4"/>
      <c r="AZ182" s="1"/>
      <c r="BA182" s="1"/>
      <c r="BB182" s="1"/>
      <c r="BC182" s="4"/>
      <c r="BD182" s="1"/>
      <c r="BE182" s="4"/>
      <c r="BF182" s="2"/>
      <c r="BG182" s="4"/>
      <c r="BH182" s="1"/>
      <c r="BI182" s="1"/>
    </row>
    <row r="183" spans="1:61" ht="15" customHeight="1" x14ac:dyDescent="0.25">
      <c r="A183" s="2"/>
      <c r="B183" s="1"/>
      <c r="E183" s="1"/>
      <c r="F183" s="1"/>
      <c r="G183" s="1"/>
      <c r="H183" s="1"/>
      <c r="J183" s="2"/>
      <c r="K183" s="3"/>
      <c r="L183" s="1"/>
      <c r="N183" s="3"/>
      <c r="P183" s="1"/>
      <c r="Q183" s="2"/>
      <c r="R183" s="3"/>
      <c r="S183" s="4"/>
      <c r="T183" s="3"/>
      <c r="U183" s="1"/>
      <c r="V183" s="1"/>
      <c r="W183" s="3"/>
      <c r="X183" s="1"/>
      <c r="Y183" s="4"/>
      <c r="Z183" s="4"/>
      <c r="AA183" s="1"/>
      <c r="AB183" s="1"/>
      <c r="AC183" s="1"/>
      <c r="AD183" s="2"/>
      <c r="AE183" s="1"/>
      <c r="AF183" s="1"/>
      <c r="AG183" s="1"/>
      <c r="AH183" s="3"/>
      <c r="AI183" s="1"/>
      <c r="AJ183" s="1"/>
      <c r="AK183" s="1"/>
      <c r="AL183" s="1"/>
      <c r="AM183" s="1"/>
      <c r="AN183" s="2"/>
      <c r="AO183" s="1"/>
      <c r="AP183" s="1"/>
      <c r="AQ183" s="1"/>
      <c r="AR183" s="2"/>
      <c r="AS183" s="1"/>
      <c r="AT183" s="2"/>
      <c r="AU183" s="4"/>
      <c r="AV183" s="7"/>
      <c r="AW183" s="4"/>
      <c r="AX183" s="3"/>
      <c r="AY183" s="4"/>
      <c r="AZ183" s="1"/>
      <c r="BA183" s="1"/>
      <c r="BB183" s="1"/>
      <c r="BC183" s="4"/>
      <c r="BD183" s="1"/>
      <c r="BE183" s="4"/>
      <c r="BF183" s="2"/>
      <c r="BG183" s="4"/>
      <c r="BH183" s="1"/>
      <c r="BI183" s="1"/>
    </row>
    <row r="184" spans="1:61" ht="15" customHeight="1" x14ac:dyDescent="0.25">
      <c r="A184" s="2"/>
      <c r="B184" s="1"/>
      <c r="E184" s="1"/>
      <c r="F184" s="1"/>
      <c r="G184" s="1"/>
      <c r="H184" s="1"/>
      <c r="J184" s="2"/>
      <c r="K184" s="3"/>
      <c r="L184" s="1"/>
      <c r="N184" s="3"/>
      <c r="P184" s="1"/>
      <c r="Q184" s="2"/>
      <c r="R184" s="3"/>
      <c r="S184" s="4"/>
      <c r="T184" s="3"/>
      <c r="U184" s="1"/>
      <c r="V184" s="1"/>
      <c r="W184" s="3"/>
      <c r="X184" s="1"/>
      <c r="Y184" s="4"/>
      <c r="Z184" s="4"/>
      <c r="AA184" s="1"/>
      <c r="AB184" s="1"/>
      <c r="AC184" s="1"/>
      <c r="AD184" s="2"/>
      <c r="AE184" s="1"/>
      <c r="AF184" s="1"/>
      <c r="AG184" s="1"/>
      <c r="AH184" s="3"/>
      <c r="AI184" s="1"/>
      <c r="AJ184" s="1"/>
      <c r="AK184" s="1"/>
      <c r="AL184" s="1"/>
      <c r="AM184" s="1"/>
      <c r="AN184" s="2"/>
      <c r="AO184" s="1"/>
      <c r="AP184" s="1"/>
      <c r="AQ184" s="1"/>
      <c r="AR184" s="2"/>
      <c r="AS184" s="1"/>
      <c r="AT184" s="2"/>
      <c r="AU184" s="4"/>
      <c r="AV184" s="4"/>
      <c r="AW184" s="4"/>
      <c r="AX184" s="3"/>
      <c r="AY184" s="4"/>
      <c r="AZ184" s="1"/>
      <c r="BA184" s="1"/>
      <c r="BB184" s="1"/>
      <c r="BC184" s="4"/>
      <c r="BD184" s="1"/>
      <c r="BE184" s="4"/>
      <c r="BF184" s="2"/>
      <c r="BG184" s="4"/>
      <c r="BH184" s="1"/>
      <c r="BI184" s="1"/>
    </row>
    <row r="185" spans="1:61" ht="15" customHeight="1" x14ac:dyDescent="0.25">
      <c r="A185" s="2"/>
      <c r="B185" s="1"/>
      <c r="E185" s="1"/>
      <c r="F185" s="1"/>
      <c r="G185" s="1"/>
      <c r="H185" s="1"/>
      <c r="J185" s="2"/>
      <c r="K185" s="3"/>
      <c r="L185" s="1"/>
      <c r="N185" s="3"/>
      <c r="P185" s="1"/>
      <c r="Q185" s="2"/>
      <c r="R185" s="3"/>
      <c r="S185" s="4"/>
      <c r="T185" s="3"/>
      <c r="U185" s="1"/>
      <c r="V185" s="1"/>
      <c r="W185" s="3"/>
      <c r="X185" s="1"/>
      <c r="Y185" s="4"/>
      <c r="Z185" s="4"/>
      <c r="AA185" s="1"/>
      <c r="AB185" s="1"/>
      <c r="AC185" s="1"/>
      <c r="AD185" s="2"/>
      <c r="AE185" s="1"/>
      <c r="AF185" s="1"/>
      <c r="AG185" s="1"/>
      <c r="AH185" s="3"/>
      <c r="AI185" s="1"/>
      <c r="AJ185" s="1"/>
      <c r="AK185" s="1"/>
      <c r="AL185" s="1"/>
      <c r="AM185" s="1"/>
      <c r="AN185" s="2"/>
      <c r="AO185" s="1"/>
      <c r="AP185" s="1"/>
      <c r="AQ185" s="1"/>
      <c r="AR185" s="2"/>
      <c r="AS185" s="1"/>
      <c r="AT185" s="2"/>
      <c r="AU185" s="4"/>
      <c r="AV185" s="4"/>
      <c r="AW185" s="4"/>
      <c r="AX185" s="3"/>
      <c r="AY185" s="4"/>
      <c r="AZ185" s="1"/>
      <c r="BA185" s="1"/>
      <c r="BB185" s="1"/>
      <c r="BC185" s="4"/>
      <c r="BD185" s="1"/>
      <c r="BE185" s="4"/>
      <c r="BF185" s="2"/>
      <c r="BG185" s="4"/>
      <c r="BH185" s="1"/>
      <c r="BI185" s="1"/>
    </row>
    <row r="186" spans="1:61" ht="15" customHeight="1" x14ac:dyDescent="0.25">
      <c r="A186" s="2"/>
      <c r="B186" s="1"/>
      <c r="E186" s="1"/>
      <c r="F186" s="1"/>
      <c r="G186" s="1"/>
      <c r="H186" s="1"/>
      <c r="J186" s="2"/>
      <c r="K186" s="3"/>
      <c r="L186" s="1"/>
      <c r="N186" s="3"/>
      <c r="P186" s="1"/>
      <c r="Q186" s="2"/>
      <c r="R186" s="3"/>
      <c r="S186" s="4"/>
      <c r="T186" s="3"/>
      <c r="U186" s="1"/>
      <c r="V186" s="1"/>
      <c r="W186" s="3"/>
      <c r="X186" s="1"/>
      <c r="Y186" s="4"/>
      <c r="Z186" s="4"/>
      <c r="AA186" s="1"/>
      <c r="AB186" s="1"/>
      <c r="AC186" s="1"/>
      <c r="AD186" s="2"/>
      <c r="AE186" s="1"/>
      <c r="AF186" s="1"/>
      <c r="AG186" s="1"/>
      <c r="AH186" s="3"/>
      <c r="AI186" s="1"/>
      <c r="AJ186" s="1"/>
      <c r="AK186" s="1"/>
      <c r="AL186" s="1"/>
      <c r="AM186" s="1"/>
      <c r="AN186" s="2"/>
      <c r="AO186" s="1"/>
      <c r="AP186" s="1"/>
      <c r="AQ186" s="1"/>
      <c r="AR186" s="2"/>
      <c r="AS186" s="1"/>
      <c r="AT186" s="2"/>
      <c r="AU186" s="4"/>
      <c r="AV186" s="7"/>
      <c r="AW186" s="4"/>
      <c r="AX186" s="3"/>
      <c r="AY186" s="4"/>
      <c r="AZ186" s="1"/>
      <c r="BA186" s="1"/>
      <c r="BB186" s="1"/>
      <c r="BC186" s="4"/>
      <c r="BD186" s="1"/>
      <c r="BE186" s="4"/>
      <c r="BF186" s="2"/>
      <c r="BG186" s="4"/>
      <c r="BH186" s="1"/>
      <c r="BI186" s="1"/>
    </row>
    <row r="187" spans="1:61" ht="15" customHeight="1" x14ac:dyDescent="0.25">
      <c r="A187" s="2"/>
      <c r="B187" s="1"/>
      <c r="E187" s="1"/>
      <c r="F187" s="1"/>
      <c r="G187" s="1"/>
      <c r="H187" s="1"/>
      <c r="J187" s="2"/>
      <c r="K187" s="3"/>
      <c r="L187" s="1"/>
      <c r="N187" s="3"/>
      <c r="P187" s="1"/>
      <c r="Q187" s="2"/>
      <c r="R187" s="3"/>
      <c r="S187" s="4"/>
      <c r="T187" s="3"/>
      <c r="U187" s="1"/>
      <c r="V187" s="1"/>
      <c r="W187" s="3"/>
      <c r="X187" s="1"/>
      <c r="Y187" s="4"/>
      <c r="Z187" s="4"/>
      <c r="AA187" s="1"/>
      <c r="AB187" s="1"/>
      <c r="AC187" s="1"/>
      <c r="AD187" s="2"/>
      <c r="AE187" s="1"/>
      <c r="AF187" s="1"/>
      <c r="AG187" s="1"/>
      <c r="AH187" s="3"/>
      <c r="AI187" s="1"/>
      <c r="AJ187" s="1"/>
      <c r="AK187" s="1"/>
      <c r="AL187" s="1"/>
      <c r="AM187" s="1"/>
      <c r="AN187" s="2"/>
      <c r="AO187" s="1"/>
      <c r="AP187" s="1"/>
      <c r="AQ187" s="1"/>
      <c r="AR187" s="2"/>
      <c r="AS187" s="1"/>
      <c r="AT187" s="2"/>
      <c r="AU187" s="4"/>
      <c r="AV187" s="7"/>
      <c r="AW187" s="4"/>
      <c r="AX187" s="3"/>
      <c r="AY187" s="4"/>
      <c r="AZ187" s="1"/>
      <c r="BA187" s="1"/>
      <c r="BB187" s="1"/>
      <c r="BC187" s="4"/>
      <c r="BD187" s="1"/>
      <c r="BE187" s="4"/>
      <c r="BF187" s="2"/>
      <c r="BG187" s="4"/>
      <c r="BH187" s="1"/>
      <c r="BI187" s="1"/>
    </row>
    <row r="188" spans="1:61" ht="15" customHeight="1" x14ac:dyDescent="0.25">
      <c r="A188" s="2"/>
      <c r="B188" s="1"/>
      <c r="E188" s="1"/>
      <c r="F188" s="1"/>
      <c r="G188" s="1"/>
      <c r="H188" s="1"/>
      <c r="J188" s="2"/>
      <c r="K188" s="3"/>
      <c r="L188" s="1"/>
      <c r="N188" s="3"/>
      <c r="P188" s="1"/>
      <c r="Q188" s="2"/>
      <c r="R188" s="3"/>
      <c r="S188" s="4"/>
      <c r="T188" s="3"/>
      <c r="U188" s="1"/>
      <c r="V188" s="1"/>
      <c r="W188" s="3"/>
      <c r="X188" s="1"/>
      <c r="Y188" s="4"/>
      <c r="Z188" s="4"/>
      <c r="AA188" s="1"/>
      <c r="AB188" s="1"/>
      <c r="AC188" s="1"/>
      <c r="AD188" s="2"/>
      <c r="AE188" s="1"/>
      <c r="AF188" s="1"/>
      <c r="AG188" s="1"/>
      <c r="AH188" s="3"/>
      <c r="AI188" s="1"/>
      <c r="AJ188" s="1"/>
      <c r="AK188" s="1"/>
      <c r="AL188" s="1"/>
      <c r="AM188" s="1"/>
      <c r="AN188" s="2"/>
      <c r="AO188" s="1"/>
      <c r="AP188" s="1"/>
      <c r="AQ188" s="1"/>
      <c r="AR188" s="2"/>
      <c r="AS188" s="1"/>
      <c r="AT188" s="2"/>
      <c r="AU188" s="4"/>
      <c r="AV188" s="7"/>
      <c r="AW188" s="4"/>
      <c r="AX188" s="3"/>
      <c r="AY188" s="4"/>
      <c r="AZ188" s="1"/>
      <c r="BA188" s="1"/>
      <c r="BB188" s="1"/>
      <c r="BC188" s="4"/>
      <c r="BD188" s="1"/>
      <c r="BE188" s="4"/>
      <c r="BF188" s="2"/>
      <c r="BG188" s="4"/>
      <c r="BH188" s="1"/>
      <c r="BI188" s="1"/>
    </row>
    <row r="189" spans="1:61" ht="15" customHeight="1" x14ac:dyDescent="0.25">
      <c r="A189" s="2"/>
      <c r="B189" s="1"/>
      <c r="E189" s="1"/>
      <c r="F189" s="1"/>
      <c r="G189" s="1"/>
      <c r="H189" s="1"/>
      <c r="J189" s="2"/>
      <c r="K189" s="3"/>
      <c r="L189" s="1"/>
      <c r="N189" s="3"/>
      <c r="P189" s="1"/>
      <c r="Q189" s="2"/>
      <c r="R189" s="3"/>
      <c r="S189" s="4"/>
      <c r="T189" s="3"/>
      <c r="U189" s="1"/>
      <c r="V189" s="1"/>
      <c r="W189" s="3"/>
      <c r="X189" s="1"/>
      <c r="Y189" s="4"/>
      <c r="Z189" s="4"/>
      <c r="AA189" s="1"/>
      <c r="AB189" s="1"/>
      <c r="AC189" s="1"/>
      <c r="AD189" s="2"/>
      <c r="AE189" s="1"/>
      <c r="AF189" s="1"/>
      <c r="AG189" s="1"/>
      <c r="AH189" s="3"/>
      <c r="AI189" s="1"/>
      <c r="AJ189" s="1"/>
      <c r="AK189" s="1"/>
      <c r="AL189" s="1"/>
      <c r="AM189" s="1"/>
      <c r="AN189" s="2"/>
      <c r="AO189" s="1"/>
      <c r="AP189" s="1"/>
      <c r="AQ189" s="1"/>
      <c r="AR189" s="2"/>
      <c r="AS189" s="1"/>
      <c r="AT189" s="2"/>
      <c r="AU189" s="4"/>
      <c r="AV189" s="7"/>
      <c r="AW189" s="4"/>
      <c r="AX189" s="3"/>
      <c r="AY189" s="4"/>
      <c r="AZ189" s="1"/>
      <c r="BA189" s="1"/>
      <c r="BB189" s="1"/>
      <c r="BC189" s="4"/>
      <c r="BD189" s="1"/>
      <c r="BE189" s="4"/>
      <c r="BF189" s="2"/>
      <c r="BG189" s="4"/>
      <c r="BH189" s="1"/>
      <c r="BI189" s="1"/>
    </row>
    <row r="190" spans="1:61" ht="15" customHeight="1" x14ac:dyDescent="0.25">
      <c r="A190" s="2"/>
      <c r="B190" s="1"/>
      <c r="E190" s="1"/>
      <c r="F190" s="1"/>
      <c r="G190" s="1"/>
      <c r="H190" s="1"/>
      <c r="J190" s="2"/>
      <c r="K190" s="3"/>
      <c r="L190" s="1"/>
      <c r="N190" s="3"/>
      <c r="P190" s="1"/>
      <c r="Q190" s="2"/>
      <c r="R190" s="3"/>
      <c r="S190" s="4"/>
      <c r="T190" s="3"/>
      <c r="U190" s="1"/>
      <c r="V190" s="1"/>
      <c r="W190" s="3"/>
      <c r="X190" s="1"/>
      <c r="Y190" s="4"/>
      <c r="Z190" s="4"/>
      <c r="AA190" s="1"/>
      <c r="AB190" s="1"/>
      <c r="AC190" s="1"/>
      <c r="AD190" s="2"/>
      <c r="AE190" s="1"/>
      <c r="AF190" s="1"/>
      <c r="AG190" s="1"/>
      <c r="AH190" s="3"/>
      <c r="AI190" s="1"/>
      <c r="AJ190" s="1"/>
      <c r="AK190" s="1"/>
      <c r="AL190" s="1"/>
      <c r="AM190" s="1"/>
      <c r="AN190" s="2"/>
      <c r="AO190" s="1"/>
      <c r="AP190" s="1"/>
      <c r="AQ190" s="1"/>
      <c r="AR190" s="2"/>
      <c r="AS190" s="1"/>
      <c r="AT190" s="2"/>
      <c r="AU190" s="4"/>
      <c r="AV190" s="7"/>
      <c r="AW190" s="4"/>
      <c r="AX190" s="3"/>
      <c r="AY190" s="4"/>
      <c r="AZ190" s="1"/>
      <c r="BA190" s="1"/>
      <c r="BB190" s="1"/>
      <c r="BC190" s="4"/>
      <c r="BD190" s="1"/>
      <c r="BE190" s="4"/>
      <c r="BF190" s="2"/>
      <c r="BG190" s="4"/>
      <c r="BH190" s="1"/>
      <c r="BI190" s="1"/>
    </row>
    <row r="191" spans="1:61" ht="15" customHeight="1" x14ac:dyDescent="0.25">
      <c r="A191" s="2"/>
      <c r="B191" s="1"/>
      <c r="E191" s="1"/>
      <c r="F191" s="1"/>
      <c r="G191" s="1"/>
      <c r="H191" s="1"/>
      <c r="J191" s="2"/>
      <c r="K191" s="3"/>
      <c r="L191" s="1"/>
      <c r="N191" s="3"/>
      <c r="P191" s="1"/>
      <c r="Q191" s="2"/>
      <c r="R191" s="3"/>
      <c r="S191" s="4"/>
      <c r="T191" s="3"/>
      <c r="U191" s="1"/>
      <c r="V191" s="1"/>
      <c r="W191" s="3"/>
      <c r="X191" s="1"/>
      <c r="Y191" s="4"/>
      <c r="Z191" s="4"/>
      <c r="AA191" s="1"/>
      <c r="AB191" s="1"/>
      <c r="AC191" s="1"/>
      <c r="AD191" s="2"/>
      <c r="AE191" s="1"/>
      <c r="AF191" s="1"/>
      <c r="AG191" s="1"/>
      <c r="AH191" s="3"/>
      <c r="AI191" s="1"/>
      <c r="AJ191" s="1"/>
      <c r="AK191" s="1"/>
      <c r="AL191" s="1"/>
      <c r="AM191" s="1"/>
      <c r="AN191" s="2"/>
      <c r="AO191" s="1"/>
      <c r="AP191" s="1"/>
      <c r="AQ191" s="1"/>
      <c r="AR191" s="2"/>
      <c r="AS191" s="1"/>
      <c r="AT191" s="2"/>
      <c r="AU191" s="4"/>
      <c r="AV191" s="7"/>
      <c r="AW191" s="4"/>
      <c r="AX191" s="3"/>
      <c r="AY191" s="4"/>
      <c r="AZ191" s="1"/>
      <c r="BA191" s="1"/>
      <c r="BB191" s="1"/>
      <c r="BC191" s="4"/>
      <c r="BD191" s="1"/>
      <c r="BE191" s="4"/>
      <c r="BF191" s="2"/>
      <c r="BG191" s="4"/>
      <c r="BH191" s="1"/>
      <c r="BI191" s="1"/>
    </row>
    <row r="192" spans="1:61" ht="15" customHeight="1" x14ac:dyDescent="0.25">
      <c r="A192" s="2"/>
      <c r="B192" s="1"/>
      <c r="E192" s="1"/>
      <c r="F192" s="1"/>
      <c r="G192" s="1"/>
      <c r="H192" s="1"/>
      <c r="J192" s="2"/>
      <c r="K192" s="3"/>
      <c r="L192" s="1"/>
      <c r="N192" s="3"/>
      <c r="P192" s="1"/>
      <c r="Q192" s="2"/>
      <c r="R192" s="3"/>
      <c r="S192" s="4"/>
      <c r="T192" s="3"/>
      <c r="U192" s="1"/>
      <c r="V192" s="1"/>
      <c r="W192" s="3"/>
      <c r="X192" s="1"/>
      <c r="Y192" s="4"/>
      <c r="Z192" s="4"/>
      <c r="AA192" s="1"/>
      <c r="AB192" s="1"/>
      <c r="AC192" s="1"/>
      <c r="AD192" s="2"/>
      <c r="AE192" s="1"/>
      <c r="AF192" s="1"/>
      <c r="AG192" s="1"/>
      <c r="AH192" s="3"/>
      <c r="AI192" s="1"/>
      <c r="AJ192" s="1"/>
      <c r="AK192" s="1"/>
      <c r="AL192" s="1"/>
      <c r="AM192" s="1"/>
      <c r="AN192" s="2"/>
      <c r="AO192" s="1"/>
      <c r="AP192" s="1"/>
      <c r="AQ192" s="1"/>
      <c r="AR192" s="2"/>
      <c r="AS192" s="1"/>
      <c r="AT192" s="2"/>
      <c r="AU192" s="4"/>
      <c r="AV192" s="7"/>
      <c r="AW192" s="4"/>
      <c r="AX192" s="3"/>
      <c r="AY192" s="4"/>
      <c r="AZ192" s="1"/>
      <c r="BA192" s="1"/>
      <c r="BB192" s="1"/>
      <c r="BC192" s="4"/>
      <c r="BD192" s="1"/>
      <c r="BE192" s="4"/>
      <c r="BF192" s="2"/>
      <c r="BG192" s="4"/>
      <c r="BH192" s="1"/>
      <c r="BI192" s="1"/>
    </row>
    <row r="193" spans="1:61" ht="15" customHeight="1" x14ac:dyDescent="0.25">
      <c r="A193" s="2"/>
      <c r="B193" s="1"/>
      <c r="E193" s="1"/>
      <c r="F193" s="1"/>
      <c r="G193" s="1"/>
      <c r="H193" s="1"/>
      <c r="J193" s="2"/>
      <c r="K193" s="3"/>
      <c r="L193" s="1"/>
      <c r="N193" s="3"/>
      <c r="P193" s="1"/>
      <c r="Q193" s="2"/>
      <c r="R193" s="3"/>
      <c r="S193" s="4"/>
      <c r="T193" s="3"/>
      <c r="U193" s="1"/>
      <c r="V193" s="1"/>
      <c r="W193" s="3"/>
      <c r="X193" s="1"/>
      <c r="Y193" s="4"/>
      <c r="Z193" s="4"/>
      <c r="AA193" s="1"/>
      <c r="AB193" s="1"/>
      <c r="AC193" s="1"/>
      <c r="AD193" s="2"/>
      <c r="AE193" s="1"/>
      <c r="AF193" s="1"/>
      <c r="AG193" s="1"/>
      <c r="AH193" s="3"/>
      <c r="AI193" s="1"/>
      <c r="AJ193" s="1"/>
      <c r="AK193" s="1"/>
      <c r="AL193" s="1"/>
      <c r="AM193" s="1"/>
      <c r="AN193" s="2"/>
      <c r="AO193" s="1"/>
      <c r="AP193" s="1"/>
      <c r="AQ193" s="1"/>
      <c r="AR193" s="2"/>
      <c r="AS193" s="1"/>
      <c r="AT193" s="2"/>
      <c r="AU193" s="4"/>
      <c r="AV193" s="7"/>
      <c r="AW193" s="4"/>
      <c r="AX193" s="3"/>
      <c r="AY193" s="4"/>
      <c r="AZ193" s="1"/>
      <c r="BA193" s="1"/>
      <c r="BB193" s="1"/>
      <c r="BC193" s="4"/>
      <c r="BD193" s="1"/>
      <c r="BE193" s="4"/>
      <c r="BF193" s="2"/>
      <c r="BG193" s="4"/>
      <c r="BH193" s="1"/>
      <c r="BI193" s="1"/>
    </row>
    <row r="194" spans="1:61" ht="15" customHeight="1" x14ac:dyDescent="0.25">
      <c r="A194" s="2"/>
      <c r="B194" s="1"/>
      <c r="E194" s="1"/>
      <c r="F194" s="1"/>
      <c r="G194" s="1"/>
      <c r="H194" s="1"/>
      <c r="J194" s="2"/>
      <c r="K194" s="3"/>
      <c r="L194" s="1"/>
      <c r="N194" s="3"/>
      <c r="P194" s="1"/>
      <c r="Q194" s="2"/>
      <c r="R194" s="3"/>
      <c r="S194" s="4"/>
      <c r="T194" s="3"/>
      <c r="U194" s="1"/>
      <c r="V194" s="1"/>
      <c r="W194" s="3"/>
      <c r="X194" s="1"/>
      <c r="Y194" s="4"/>
      <c r="Z194" s="4"/>
      <c r="AA194" s="1"/>
      <c r="AB194" s="1"/>
      <c r="AC194" s="1"/>
      <c r="AD194" s="2"/>
      <c r="AE194" s="1"/>
      <c r="AF194" s="1"/>
      <c r="AG194" s="1"/>
      <c r="AH194" s="3"/>
      <c r="AI194" s="1"/>
      <c r="AJ194" s="1"/>
      <c r="AK194" s="1"/>
      <c r="AL194" s="1"/>
      <c r="AM194" s="1"/>
      <c r="AN194" s="2"/>
      <c r="AO194" s="1"/>
      <c r="AP194" s="1"/>
      <c r="AQ194" s="1"/>
      <c r="AR194" s="2"/>
      <c r="AS194" s="1"/>
      <c r="AT194" s="2"/>
      <c r="AU194" s="4"/>
      <c r="AV194" s="7"/>
      <c r="AW194" s="4"/>
      <c r="AX194" s="3"/>
      <c r="AY194" s="4"/>
      <c r="AZ194" s="1"/>
      <c r="BA194" s="1"/>
      <c r="BB194" s="1"/>
      <c r="BC194" s="4"/>
      <c r="BD194" s="1"/>
      <c r="BE194" s="4"/>
      <c r="BF194" s="2"/>
      <c r="BG194" s="4"/>
      <c r="BH194" s="1"/>
      <c r="BI194" s="1"/>
    </row>
    <row r="195" spans="1:61" ht="15" customHeight="1" x14ac:dyDescent="0.25">
      <c r="A195" s="2"/>
      <c r="B195" s="1"/>
      <c r="E195" s="1"/>
      <c r="F195" s="1"/>
      <c r="G195" s="1"/>
      <c r="H195" s="1"/>
      <c r="J195" s="2"/>
      <c r="K195" s="3"/>
      <c r="L195" s="1"/>
      <c r="N195" s="3"/>
      <c r="P195" s="1"/>
      <c r="Q195" s="2"/>
      <c r="R195" s="3"/>
      <c r="S195" s="4"/>
      <c r="T195" s="3"/>
      <c r="U195" s="1"/>
      <c r="V195" s="1"/>
      <c r="W195" s="3"/>
      <c r="X195" s="1"/>
      <c r="Y195" s="4"/>
      <c r="Z195" s="4"/>
      <c r="AA195" s="1"/>
      <c r="AB195" s="1"/>
      <c r="AC195" s="1"/>
      <c r="AD195" s="2"/>
      <c r="AE195" s="1"/>
      <c r="AF195" s="1"/>
      <c r="AG195" s="1"/>
      <c r="AH195" s="3"/>
      <c r="AI195" s="1"/>
      <c r="AJ195" s="1"/>
      <c r="AK195" s="1"/>
      <c r="AL195" s="1"/>
      <c r="AM195" s="1"/>
      <c r="AN195" s="2"/>
      <c r="AO195" s="1"/>
      <c r="AP195" s="1"/>
      <c r="AQ195" s="1"/>
      <c r="AR195" s="2"/>
      <c r="AS195" s="1"/>
      <c r="AT195" s="2"/>
      <c r="AU195" s="4"/>
      <c r="AV195" s="7"/>
      <c r="AW195" s="4"/>
      <c r="AX195" s="3"/>
      <c r="AY195" s="4"/>
      <c r="AZ195" s="1"/>
      <c r="BA195" s="1"/>
      <c r="BB195" s="1"/>
      <c r="BC195" s="4"/>
      <c r="BD195" s="1"/>
      <c r="BE195" s="4"/>
      <c r="BF195" s="2"/>
      <c r="BG195" s="4"/>
      <c r="BH195" s="1"/>
      <c r="BI195" s="1"/>
    </row>
    <row r="196" spans="1:61" ht="15" customHeight="1" x14ac:dyDescent="0.25">
      <c r="A196" s="2"/>
      <c r="B196" s="1"/>
      <c r="E196" s="1"/>
      <c r="F196" s="1"/>
      <c r="G196" s="1"/>
      <c r="H196" s="1"/>
      <c r="J196" s="2"/>
      <c r="K196" s="3"/>
      <c r="L196" s="1"/>
      <c r="N196" s="3"/>
      <c r="P196" s="1"/>
      <c r="Q196" s="2"/>
      <c r="R196" s="3"/>
      <c r="S196" s="4"/>
      <c r="T196" s="3"/>
      <c r="U196" s="1"/>
      <c r="V196" s="1"/>
      <c r="W196" s="3"/>
      <c r="X196" s="1"/>
      <c r="Y196" s="4"/>
      <c r="Z196" s="4"/>
      <c r="AA196" s="1"/>
      <c r="AB196" s="1"/>
      <c r="AC196" s="1"/>
      <c r="AD196" s="2"/>
      <c r="AE196" s="1"/>
      <c r="AF196" s="1"/>
      <c r="AG196" s="1"/>
      <c r="AH196" s="3"/>
      <c r="AI196" s="1"/>
      <c r="AJ196" s="1"/>
      <c r="AK196" s="1"/>
      <c r="AL196" s="1"/>
      <c r="AM196" s="1"/>
      <c r="AN196" s="2"/>
      <c r="AO196" s="1"/>
      <c r="AP196" s="1"/>
      <c r="AQ196" s="1"/>
      <c r="AR196" s="2"/>
      <c r="AS196" s="1"/>
      <c r="AT196" s="2"/>
      <c r="AU196" s="4"/>
      <c r="AV196" s="7"/>
      <c r="AW196" s="4"/>
      <c r="AX196" s="3"/>
      <c r="AY196" s="4"/>
      <c r="AZ196" s="1"/>
      <c r="BA196" s="1"/>
      <c r="BB196" s="1"/>
      <c r="BC196" s="4"/>
      <c r="BD196" s="1"/>
      <c r="BE196" s="4"/>
      <c r="BF196" s="2"/>
      <c r="BG196" s="4"/>
      <c r="BH196" s="1"/>
      <c r="BI196" s="1"/>
    </row>
    <row r="197" spans="1:61" ht="15" customHeight="1" x14ac:dyDescent="0.25">
      <c r="A197" s="2"/>
      <c r="B197" s="1"/>
      <c r="E197" s="1"/>
      <c r="F197" s="1"/>
      <c r="G197" s="1"/>
      <c r="H197" s="1"/>
      <c r="J197" s="2"/>
      <c r="K197" s="3"/>
      <c r="L197" s="1"/>
      <c r="N197" s="3"/>
      <c r="P197" s="1"/>
      <c r="Q197" s="2"/>
      <c r="R197" s="3"/>
      <c r="S197" s="4"/>
      <c r="T197" s="3"/>
      <c r="U197" s="1"/>
      <c r="V197" s="1"/>
      <c r="W197" s="3"/>
      <c r="X197" s="1"/>
      <c r="Y197" s="4"/>
      <c r="Z197" s="4"/>
      <c r="AA197" s="1"/>
      <c r="AB197" s="1"/>
      <c r="AC197" s="1"/>
      <c r="AD197" s="2"/>
      <c r="AE197" s="1"/>
      <c r="AF197" s="1"/>
      <c r="AG197" s="1"/>
      <c r="AH197" s="3"/>
      <c r="AI197" s="1"/>
      <c r="AJ197" s="1"/>
      <c r="AK197" s="1"/>
      <c r="AL197" s="1"/>
      <c r="AM197" s="1"/>
      <c r="AN197" s="2"/>
      <c r="AO197" s="1"/>
      <c r="AP197" s="1"/>
      <c r="AQ197" s="1"/>
      <c r="AR197" s="2"/>
      <c r="AS197" s="1"/>
      <c r="AT197" s="2"/>
      <c r="AU197" s="4"/>
      <c r="AV197" s="7"/>
      <c r="AW197" s="4"/>
      <c r="AX197" s="3"/>
      <c r="AY197" s="4"/>
      <c r="AZ197" s="1"/>
      <c r="BA197" s="1"/>
      <c r="BB197" s="1"/>
      <c r="BC197" s="4"/>
      <c r="BD197" s="1"/>
      <c r="BE197" s="4"/>
      <c r="BF197" s="2"/>
      <c r="BG197" s="4"/>
      <c r="BH197" s="1"/>
      <c r="BI197" s="1"/>
    </row>
    <row r="198" spans="1:61" ht="15" customHeight="1" x14ac:dyDescent="0.25">
      <c r="A198" s="2"/>
      <c r="B198" s="1"/>
      <c r="E198" s="1"/>
      <c r="F198" s="1"/>
      <c r="G198" s="1"/>
      <c r="H198" s="1"/>
      <c r="J198" s="2"/>
      <c r="K198" s="3"/>
      <c r="L198" s="1"/>
      <c r="N198" s="3"/>
      <c r="P198" s="1"/>
      <c r="Q198" s="2"/>
      <c r="R198" s="3"/>
      <c r="S198" s="4"/>
      <c r="T198" s="3"/>
      <c r="U198" s="1"/>
      <c r="V198" s="1"/>
      <c r="W198" s="3"/>
      <c r="X198" s="1"/>
      <c r="Y198" s="4"/>
      <c r="Z198" s="4"/>
      <c r="AA198" s="1"/>
      <c r="AB198" s="1"/>
      <c r="AC198" s="1"/>
      <c r="AD198" s="2"/>
      <c r="AE198" s="1"/>
      <c r="AF198" s="1"/>
      <c r="AG198" s="1"/>
      <c r="AH198" s="3"/>
      <c r="AI198" s="1"/>
      <c r="AJ198" s="1"/>
      <c r="AK198" s="1"/>
      <c r="AL198" s="1"/>
      <c r="AM198" s="1"/>
      <c r="AN198" s="2"/>
      <c r="AO198" s="1"/>
      <c r="AP198" s="1"/>
      <c r="AQ198" s="1"/>
      <c r="AR198" s="2"/>
      <c r="AS198" s="1"/>
      <c r="AT198" s="2"/>
      <c r="AU198" s="4"/>
      <c r="AV198" s="7"/>
      <c r="AW198" s="4"/>
      <c r="AX198" s="3"/>
      <c r="AY198" s="4"/>
      <c r="AZ198" s="1"/>
      <c r="BA198" s="1"/>
      <c r="BB198" s="1"/>
      <c r="BC198" s="4"/>
      <c r="BD198" s="1"/>
      <c r="BE198" s="4"/>
      <c r="BF198" s="2"/>
      <c r="BG198" s="4"/>
      <c r="BH198" s="1"/>
      <c r="BI198" s="1"/>
    </row>
    <row r="199" spans="1:61" ht="15" customHeight="1" x14ac:dyDescent="0.25">
      <c r="A199" s="2"/>
      <c r="B199" s="1"/>
      <c r="E199" s="1"/>
      <c r="F199" s="1"/>
      <c r="G199" s="1"/>
      <c r="H199" s="1"/>
      <c r="J199" s="2"/>
      <c r="K199" s="3"/>
      <c r="L199" s="1"/>
      <c r="N199" s="3"/>
      <c r="P199" s="1"/>
      <c r="Q199" s="2"/>
      <c r="R199" s="3"/>
      <c r="S199" s="4"/>
      <c r="T199" s="3"/>
      <c r="U199" s="1"/>
      <c r="V199" s="1"/>
      <c r="W199" s="3"/>
      <c r="X199" s="1"/>
      <c r="Y199" s="4"/>
      <c r="Z199" s="4"/>
      <c r="AA199" s="1"/>
      <c r="AB199" s="1"/>
      <c r="AC199" s="1"/>
      <c r="AD199" s="2"/>
      <c r="AE199" s="1"/>
      <c r="AF199" s="1"/>
      <c r="AG199" s="1"/>
      <c r="AH199" s="3"/>
      <c r="AI199" s="1"/>
      <c r="AJ199" s="1"/>
      <c r="AK199" s="1"/>
      <c r="AL199" s="1"/>
      <c r="AM199" s="1"/>
      <c r="AN199" s="2"/>
      <c r="AO199" s="1"/>
      <c r="AP199" s="1"/>
      <c r="AQ199" s="1"/>
      <c r="AR199" s="2"/>
      <c r="AS199" s="1"/>
      <c r="AT199" s="2"/>
      <c r="AU199" s="4"/>
      <c r="AV199" s="7"/>
      <c r="AW199" s="4"/>
      <c r="AX199" s="3"/>
      <c r="AY199" s="4"/>
      <c r="AZ199" s="1"/>
      <c r="BA199" s="1"/>
      <c r="BB199" s="1"/>
      <c r="BC199" s="4"/>
      <c r="BD199" s="1"/>
      <c r="BE199" s="4"/>
      <c r="BF199" s="2"/>
      <c r="BG199" s="4"/>
      <c r="BH199" s="1"/>
      <c r="BI199" s="1"/>
    </row>
    <row r="200" spans="1:61" ht="15" customHeight="1" x14ac:dyDescent="0.25">
      <c r="A200" s="2"/>
      <c r="B200" s="1"/>
      <c r="E200" s="1"/>
      <c r="F200" s="1"/>
      <c r="G200" s="1"/>
      <c r="H200" s="1"/>
      <c r="J200" s="2"/>
      <c r="K200" s="3"/>
      <c r="L200" s="1"/>
      <c r="N200" s="3"/>
      <c r="P200" s="1"/>
      <c r="Q200" s="2"/>
      <c r="R200" s="3"/>
      <c r="S200" s="4"/>
      <c r="T200" s="3"/>
      <c r="U200" s="1"/>
      <c r="V200" s="1"/>
      <c r="W200" s="3"/>
      <c r="X200" s="1"/>
      <c r="Y200" s="4"/>
      <c r="Z200" s="4"/>
      <c r="AA200" s="1"/>
      <c r="AB200" s="1"/>
      <c r="AC200" s="1"/>
      <c r="AD200" s="2"/>
      <c r="AE200" s="1"/>
      <c r="AF200" s="1"/>
      <c r="AG200" s="1"/>
      <c r="AH200" s="3"/>
      <c r="AI200" s="1"/>
      <c r="AJ200" s="1"/>
      <c r="AK200" s="1"/>
      <c r="AL200" s="1"/>
      <c r="AM200" s="1"/>
      <c r="AN200" s="2"/>
      <c r="AO200" s="1"/>
      <c r="AP200" s="1"/>
      <c r="AQ200" s="1"/>
      <c r="AR200" s="2"/>
      <c r="AS200" s="1"/>
      <c r="AT200" s="2"/>
      <c r="AU200" s="4"/>
      <c r="AV200" s="7"/>
      <c r="AW200" s="4"/>
      <c r="AX200" s="3"/>
      <c r="AY200" s="4"/>
      <c r="AZ200" s="1"/>
      <c r="BA200" s="1"/>
      <c r="BB200" s="1"/>
      <c r="BC200" s="4"/>
      <c r="BD200" s="1"/>
      <c r="BE200" s="4"/>
      <c r="BF200" s="2"/>
      <c r="BG200" s="4"/>
      <c r="BH200" s="1"/>
      <c r="BI200" s="1"/>
    </row>
    <row r="201" spans="1:61" ht="15" customHeight="1" x14ac:dyDescent="0.25">
      <c r="A201" s="2"/>
      <c r="B201" s="1"/>
      <c r="E201" s="1"/>
      <c r="F201" s="1"/>
      <c r="G201" s="1"/>
      <c r="H201" s="1"/>
      <c r="J201" s="2"/>
      <c r="K201" s="3"/>
      <c r="L201" s="1"/>
      <c r="N201" s="3"/>
      <c r="P201" s="1"/>
      <c r="Q201" s="2"/>
      <c r="R201" s="3"/>
      <c r="S201" s="4"/>
      <c r="T201" s="3"/>
      <c r="U201" s="1"/>
      <c r="V201" s="1"/>
      <c r="W201" s="3"/>
      <c r="X201" s="1"/>
      <c r="Y201" s="4"/>
      <c r="Z201" s="4"/>
      <c r="AA201" s="1"/>
      <c r="AB201" s="1"/>
      <c r="AC201" s="1"/>
      <c r="AD201" s="2"/>
      <c r="AE201" s="1"/>
      <c r="AF201" s="1"/>
      <c r="AG201" s="1"/>
      <c r="AH201" s="3"/>
      <c r="AI201" s="1"/>
      <c r="AJ201" s="1"/>
      <c r="AK201" s="1"/>
      <c r="AL201" s="1"/>
      <c r="AM201" s="1"/>
      <c r="AN201" s="2"/>
      <c r="AO201" s="1"/>
      <c r="AP201" s="1"/>
      <c r="AQ201" s="1"/>
      <c r="AR201" s="2"/>
      <c r="AS201" s="1"/>
      <c r="AT201" s="2"/>
      <c r="AU201" s="4"/>
      <c r="AV201" s="7"/>
      <c r="AW201" s="4"/>
      <c r="AX201" s="3"/>
      <c r="AY201" s="4"/>
      <c r="AZ201" s="1"/>
      <c r="BA201" s="1"/>
      <c r="BB201" s="1"/>
      <c r="BC201" s="4"/>
      <c r="BD201" s="1"/>
      <c r="BE201" s="4"/>
      <c r="BF201" s="2"/>
      <c r="BG201" s="4"/>
      <c r="BH201" s="1"/>
      <c r="BI201" s="1"/>
    </row>
    <row r="202" spans="1:61" ht="15" customHeight="1" x14ac:dyDescent="0.25">
      <c r="A202" s="2"/>
      <c r="B202" s="1"/>
      <c r="E202" s="1"/>
      <c r="F202" s="1"/>
      <c r="G202" s="1"/>
      <c r="H202" s="1"/>
      <c r="J202" s="2"/>
      <c r="K202" s="3"/>
      <c r="L202" s="1"/>
      <c r="N202" s="3"/>
      <c r="P202" s="1"/>
      <c r="Q202" s="2"/>
      <c r="R202" s="3"/>
      <c r="S202" s="4"/>
      <c r="T202" s="3"/>
      <c r="U202" s="1"/>
      <c r="V202" s="1"/>
      <c r="W202" s="3"/>
      <c r="X202" s="1"/>
      <c r="Y202" s="4"/>
      <c r="Z202" s="4"/>
      <c r="AA202" s="1"/>
      <c r="AB202" s="1"/>
      <c r="AC202" s="1"/>
      <c r="AD202" s="2"/>
      <c r="AE202" s="1"/>
      <c r="AF202" s="1"/>
      <c r="AG202" s="1"/>
      <c r="AH202" s="3"/>
      <c r="AI202" s="1"/>
      <c r="AJ202" s="1"/>
      <c r="AK202" s="1"/>
      <c r="AL202" s="1"/>
      <c r="AM202" s="1"/>
      <c r="AN202" s="2"/>
      <c r="AO202" s="1"/>
      <c r="AP202" s="1"/>
      <c r="AQ202" s="1"/>
      <c r="AR202" s="2"/>
      <c r="AS202" s="1"/>
      <c r="AT202" s="2"/>
      <c r="AU202" s="4"/>
      <c r="AV202" s="7"/>
      <c r="AW202" s="4"/>
      <c r="AX202" s="3"/>
      <c r="AY202" s="4"/>
      <c r="AZ202" s="1"/>
      <c r="BA202" s="1"/>
      <c r="BB202" s="1"/>
      <c r="BC202" s="4"/>
      <c r="BD202" s="1"/>
      <c r="BE202" s="4"/>
      <c r="BF202" s="2"/>
      <c r="BG202" s="4"/>
      <c r="BH202" s="1"/>
      <c r="BI202" s="1"/>
    </row>
    <row r="203" spans="1:61" ht="15" customHeight="1" x14ac:dyDescent="0.25">
      <c r="A203" s="2"/>
      <c r="B203" s="1"/>
      <c r="E203" s="1"/>
      <c r="F203" s="1"/>
      <c r="G203" s="1"/>
      <c r="H203" s="1"/>
      <c r="J203" s="2"/>
      <c r="K203" s="3"/>
      <c r="L203" s="1"/>
      <c r="N203" s="3"/>
      <c r="P203" s="1"/>
      <c r="Q203" s="2"/>
      <c r="R203" s="3"/>
      <c r="S203" s="4"/>
      <c r="T203" s="3"/>
      <c r="U203" s="1"/>
      <c r="V203" s="1"/>
      <c r="W203" s="3"/>
      <c r="X203" s="1"/>
      <c r="Y203" s="4"/>
      <c r="Z203" s="4"/>
      <c r="AA203" s="1"/>
      <c r="AB203" s="1"/>
      <c r="AC203" s="1"/>
      <c r="AD203" s="2"/>
      <c r="AE203" s="1"/>
      <c r="AF203" s="1"/>
      <c r="AG203" s="1"/>
      <c r="AH203" s="3"/>
      <c r="AI203" s="1"/>
      <c r="AJ203" s="1"/>
      <c r="AK203" s="1"/>
      <c r="AL203" s="1"/>
      <c r="AM203" s="1"/>
      <c r="AN203" s="2"/>
      <c r="AO203" s="1"/>
      <c r="AP203" s="1"/>
      <c r="AQ203" s="1"/>
      <c r="AR203" s="2"/>
      <c r="AS203" s="1"/>
      <c r="AT203" s="2"/>
      <c r="AU203" s="4"/>
      <c r="AV203" s="7"/>
      <c r="AW203" s="4"/>
      <c r="AX203" s="3"/>
      <c r="AY203" s="4"/>
      <c r="AZ203" s="1"/>
      <c r="BA203" s="1"/>
      <c r="BB203" s="1"/>
      <c r="BC203" s="4"/>
      <c r="BD203" s="1"/>
      <c r="BE203" s="4"/>
      <c r="BF203" s="2"/>
      <c r="BG203" s="4"/>
      <c r="BH203" s="1"/>
      <c r="BI203" s="1"/>
    </row>
    <row r="204" spans="1:61" ht="15" customHeight="1" x14ac:dyDescent="0.25">
      <c r="A204" s="2"/>
      <c r="B204" s="1"/>
      <c r="E204" s="1"/>
      <c r="F204" s="1"/>
      <c r="G204" s="1"/>
      <c r="H204" s="1"/>
      <c r="J204" s="2"/>
      <c r="K204" s="3"/>
      <c r="L204" s="1"/>
      <c r="N204" s="3"/>
      <c r="P204" s="1"/>
      <c r="Q204" s="2"/>
      <c r="R204" s="3"/>
      <c r="S204" s="4"/>
      <c r="T204" s="3"/>
      <c r="U204" s="1"/>
      <c r="V204" s="1"/>
      <c r="W204" s="3"/>
      <c r="X204" s="1"/>
      <c r="Y204" s="4"/>
      <c r="Z204" s="4"/>
      <c r="AA204" s="1"/>
      <c r="AB204" s="1"/>
      <c r="AC204" s="1"/>
      <c r="AD204" s="2"/>
      <c r="AE204" s="1"/>
      <c r="AF204" s="1"/>
      <c r="AG204" s="1"/>
      <c r="AH204" s="3"/>
      <c r="AI204" s="1"/>
      <c r="AJ204" s="1"/>
      <c r="AK204" s="1"/>
      <c r="AL204" s="1"/>
      <c r="AM204" s="1"/>
      <c r="AN204" s="2"/>
      <c r="AO204" s="1"/>
      <c r="AP204" s="1"/>
      <c r="AQ204" s="1"/>
      <c r="AR204" s="2"/>
      <c r="AS204" s="1"/>
      <c r="AT204" s="2"/>
      <c r="AU204" s="4"/>
      <c r="AV204" s="7"/>
      <c r="AW204" s="4"/>
      <c r="AX204" s="3"/>
      <c r="AY204" s="4"/>
      <c r="AZ204" s="1"/>
      <c r="BA204" s="1"/>
      <c r="BB204" s="1"/>
      <c r="BC204" s="4"/>
      <c r="BD204" s="1"/>
      <c r="BE204" s="4"/>
      <c r="BF204" s="2"/>
      <c r="BG204" s="4"/>
      <c r="BH204" s="1"/>
      <c r="BI204" s="1"/>
    </row>
    <row r="205" spans="1:61" ht="15" customHeight="1" x14ac:dyDescent="0.25">
      <c r="A205" s="2"/>
      <c r="B205" s="1"/>
      <c r="E205" s="1"/>
      <c r="F205" s="1"/>
      <c r="G205" s="1"/>
      <c r="H205" s="1"/>
      <c r="J205" s="2"/>
      <c r="K205" s="3"/>
      <c r="L205" s="1"/>
      <c r="N205" s="3"/>
      <c r="P205" s="1"/>
      <c r="Q205" s="2"/>
      <c r="R205" s="3"/>
      <c r="S205" s="4"/>
      <c r="T205" s="3"/>
      <c r="U205" s="1"/>
      <c r="V205" s="1"/>
      <c r="W205" s="3"/>
      <c r="X205" s="1"/>
      <c r="Y205" s="4"/>
      <c r="Z205" s="4"/>
      <c r="AA205" s="1"/>
      <c r="AB205" s="1"/>
      <c r="AC205" s="1"/>
      <c r="AD205" s="2"/>
      <c r="AE205" s="1"/>
      <c r="AF205" s="1"/>
      <c r="AG205" s="1"/>
      <c r="AH205" s="3"/>
      <c r="AI205" s="1"/>
      <c r="AJ205" s="1"/>
      <c r="AK205" s="1"/>
      <c r="AL205" s="1"/>
      <c r="AM205" s="1"/>
      <c r="AN205" s="2"/>
      <c r="AO205" s="1"/>
      <c r="AP205" s="1"/>
      <c r="AQ205" s="1"/>
      <c r="AR205" s="2"/>
      <c r="AS205" s="1"/>
      <c r="AT205" s="2"/>
      <c r="AU205" s="4"/>
      <c r="AV205" s="7"/>
      <c r="AW205" s="4"/>
      <c r="AX205" s="3"/>
      <c r="AY205" s="4"/>
      <c r="AZ205" s="1"/>
      <c r="BA205" s="1"/>
      <c r="BB205" s="1"/>
      <c r="BC205" s="4"/>
      <c r="BD205" s="1"/>
      <c r="BE205" s="4"/>
      <c r="BF205" s="2"/>
      <c r="BG205" s="4"/>
      <c r="BH205" s="1"/>
      <c r="BI205" s="1"/>
    </row>
    <row r="206" spans="1:61" ht="15" customHeight="1" x14ac:dyDescent="0.25">
      <c r="A206" s="2"/>
      <c r="B206" s="1"/>
      <c r="E206" s="1"/>
      <c r="F206" s="1"/>
      <c r="G206" s="1"/>
      <c r="H206" s="1"/>
      <c r="J206" s="2"/>
      <c r="K206" s="3"/>
      <c r="L206" s="1"/>
      <c r="N206" s="3"/>
      <c r="P206" s="1"/>
      <c r="Q206" s="2"/>
      <c r="R206" s="3"/>
      <c r="S206" s="4"/>
      <c r="T206" s="3"/>
      <c r="U206" s="1"/>
      <c r="V206" s="1"/>
      <c r="W206" s="3"/>
      <c r="X206" s="1"/>
      <c r="Y206" s="4"/>
      <c r="Z206" s="4"/>
      <c r="AA206" s="1"/>
      <c r="AB206" s="1"/>
      <c r="AC206" s="1"/>
      <c r="AD206" s="2"/>
      <c r="AE206" s="1"/>
      <c r="AF206" s="1"/>
      <c r="AG206" s="1"/>
      <c r="AH206" s="3"/>
      <c r="AI206" s="1"/>
      <c r="AJ206" s="1"/>
      <c r="AK206" s="1"/>
      <c r="AL206" s="1"/>
      <c r="AM206" s="1"/>
      <c r="AN206" s="2"/>
      <c r="AO206" s="1"/>
      <c r="AP206" s="1"/>
      <c r="AQ206" s="1"/>
      <c r="AR206" s="2"/>
      <c r="AS206" s="1"/>
      <c r="AT206" s="2"/>
      <c r="AU206" s="4"/>
      <c r="AV206" s="7"/>
      <c r="AW206" s="4"/>
      <c r="AX206" s="3"/>
      <c r="AY206" s="4"/>
      <c r="AZ206" s="1"/>
      <c r="BA206" s="1"/>
      <c r="BB206" s="1"/>
      <c r="BC206" s="4"/>
      <c r="BD206" s="1"/>
      <c r="BE206" s="4"/>
      <c r="BF206" s="2"/>
      <c r="BG206" s="4"/>
      <c r="BH206" s="1"/>
      <c r="BI206" s="1"/>
    </row>
    <row r="207" spans="1:61" ht="15" customHeight="1" x14ac:dyDescent="0.25">
      <c r="A207" s="2"/>
      <c r="B207" s="1"/>
      <c r="E207" s="1"/>
      <c r="F207" s="1"/>
      <c r="G207" s="1"/>
      <c r="H207" s="1"/>
      <c r="J207" s="2"/>
      <c r="K207" s="3"/>
      <c r="L207" s="1"/>
      <c r="N207" s="3"/>
      <c r="P207" s="1"/>
      <c r="Q207" s="2"/>
      <c r="R207" s="3"/>
      <c r="S207" s="4"/>
      <c r="T207" s="3"/>
      <c r="U207" s="1"/>
      <c r="V207" s="1"/>
      <c r="W207" s="3"/>
      <c r="X207" s="1"/>
      <c r="Y207" s="4"/>
      <c r="Z207" s="4"/>
      <c r="AA207" s="1"/>
      <c r="AB207" s="1"/>
      <c r="AC207" s="1"/>
      <c r="AD207" s="2"/>
      <c r="AE207" s="1"/>
      <c r="AF207" s="1"/>
      <c r="AG207" s="1"/>
      <c r="AH207" s="3"/>
      <c r="AI207" s="1"/>
      <c r="AJ207" s="1"/>
      <c r="AK207" s="1"/>
      <c r="AL207" s="1"/>
      <c r="AM207" s="1"/>
      <c r="AN207" s="2"/>
      <c r="AO207" s="1"/>
      <c r="AP207" s="1"/>
      <c r="AQ207" s="1"/>
      <c r="AR207" s="2"/>
      <c r="AS207" s="1"/>
      <c r="AT207" s="2"/>
      <c r="AU207" s="4"/>
      <c r="AV207" s="7"/>
      <c r="AW207" s="4"/>
      <c r="AX207" s="3"/>
      <c r="AY207" s="4"/>
      <c r="AZ207" s="1"/>
      <c r="BA207" s="1"/>
      <c r="BB207" s="1"/>
      <c r="BC207" s="4"/>
      <c r="BD207" s="1"/>
      <c r="BE207" s="4"/>
      <c r="BF207" s="2"/>
      <c r="BG207" s="4"/>
      <c r="BH207" s="1"/>
      <c r="BI207" s="1"/>
    </row>
    <row r="208" spans="1:61" ht="15" customHeight="1" x14ac:dyDescent="0.25">
      <c r="A208" s="2"/>
      <c r="B208" s="1"/>
      <c r="E208" s="1"/>
      <c r="F208" s="1"/>
      <c r="G208" s="1"/>
      <c r="H208" s="1"/>
      <c r="J208" s="2"/>
      <c r="K208" s="3"/>
      <c r="L208" s="1"/>
      <c r="N208" s="3"/>
      <c r="P208" s="1"/>
      <c r="Q208" s="2"/>
      <c r="R208" s="3"/>
      <c r="S208" s="4"/>
      <c r="T208" s="3"/>
      <c r="U208" s="1"/>
      <c r="V208" s="1"/>
      <c r="W208" s="3"/>
      <c r="X208" s="1"/>
      <c r="Y208" s="4"/>
      <c r="Z208" s="4"/>
      <c r="AA208" s="1"/>
      <c r="AB208" s="1"/>
      <c r="AC208" s="1"/>
      <c r="AD208" s="2"/>
      <c r="AE208" s="1"/>
      <c r="AF208" s="1"/>
      <c r="AG208" s="1"/>
      <c r="AH208" s="3"/>
      <c r="AI208" s="1"/>
      <c r="AJ208" s="1"/>
      <c r="AK208" s="1"/>
      <c r="AL208" s="1"/>
      <c r="AM208" s="1"/>
      <c r="AN208" s="2"/>
      <c r="AO208" s="1"/>
      <c r="AP208" s="1"/>
      <c r="AQ208" s="1"/>
      <c r="AR208" s="2"/>
      <c r="AS208" s="1"/>
      <c r="AT208" s="2"/>
      <c r="AU208" s="4"/>
      <c r="AV208" s="7"/>
      <c r="AW208" s="4"/>
      <c r="AX208" s="3"/>
      <c r="AY208" s="4"/>
      <c r="AZ208" s="1"/>
      <c r="BA208" s="1"/>
      <c r="BB208" s="1"/>
      <c r="BC208" s="4"/>
      <c r="BD208" s="1"/>
      <c r="BE208" s="4"/>
      <c r="BF208" s="2"/>
      <c r="BG208" s="4"/>
      <c r="BH208" s="1"/>
      <c r="BI208" s="1"/>
    </row>
    <row r="209" spans="1:61" ht="15" customHeight="1" x14ac:dyDescent="0.25">
      <c r="A209" s="2"/>
      <c r="B209" s="1"/>
      <c r="E209" s="1"/>
      <c r="F209" s="1"/>
      <c r="G209" s="1"/>
      <c r="H209" s="1"/>
      <c r="J209" s="2"/>
      <c r="K209" s="3"/>
      <c r="L209" s="1"/>
      <c r="N209" s="3"/>
      <c r="P209" s="1"/>
      <c r="Q209" s="2"/>
      <c r="R209" s="3"/>
      <c r="S209" s="4"/>
      <c r="T209" s="3"/>
      <c r="U209" s="1"/>
      <c r="V209" s="1"/>
      <c r="W209" s="3"/>
      <c r="X209" s="1"/>
      <c r="Y209" s="4"/>
      <c r="Z209" s="4"/>
      <c r="AA209" s="1"/>
      <c r="AB209" s="1"/>
      <c r="AC209" s="1"/>
      <c r="AD209" s="2"/>
      <c r="AE209" s="1"/>
      <c r="AF209" s="1"/>
      <c r="AG209" s="1"/>
      <c r="AH209" s="3"/>
      <c r="AI209" s="1"/>
      <c r="AJ209" s="1"/>
      <c r="AK209" s="1"/>
      <c r="AL209" s="1"/>
      <c r="AM209" s="1"/>
      <c r="AN209" s="2"/>
      <c r="AO209" s="1"/>
      <c r="AP209" s="1"/>
      <c r="AQ209" s="1"/>
      <c r="AR209" s="2"/>
      <c r="AS209" s="1"/>
      <c r="AT209" s="2"/>
      <c r="AU209" s="4"/>
      <c r="AV209" s="4"/>
      <c r="AW209" s="4"/>
      <c r="AX209" s="3"/>
      <c r="AY209" s="4"/>
      <c r="AZ209" s="1"/>
      <c r="BA209" s="1"/>
      <c r="BB209" s="1"/>
      <c r="BC209" s="4"/>
      <c r="BD209" s="1"/>
      <c r="BE209" s="4"/>
      <c r="BF209" s="2"/>
      <c r="BG209" s="4"/>
      <c r="BH209" s="1"/>
      <c r="BI209" s="1"/>
    </row>
    <row r="210" spans="1:61" ht="15" customHeight="1" x14ac:dyDescent="0.25">
      <c r="A210" s="2"/>
      <c r="B210" s="1"/>
      <c r="E210" s="1"/>
      <c r="F210" s="1"/>
      <c r="G210" s="1"/>
      <c r="H210" s="1"/>
      <c r="J210" s="2"/>
      <c r="K210" s="3"/>
      <c r="L210" s="1"/>
      <c r="N210" s="3"/>
      <c r="P210" s="1"/>
      <c r="Q210" s="2"/>
      <c r="R210" s="3"/>
      <c r="S210" s="4"/>
      <c r="T210" s="3"/>
      <c r="U210" s="1"/>
      <c r="V210" s="1"/>
      <c r="W210" s="3"/>
      <c r="X210" s="1"/>
      <c r="Y210" s="4"/>
      <c r="Z210" s="4"/>
      <c r="AA210" s="1"/>
      <c r="AB210" s="1"/>
      <c r="AC210" s="1"/>
      <c r="AD210" s="2"/>
      <c r="AE210" s="1"/>
      <c r="AF210" s="1"/>
      <c r="AG210" s="1"/>
      <c r="AH210" s="3"/>
      <c r="AI210" s="1"/>
      <c r="AJ210" s="1"/>
      <c r="AK210" s="1"/>
      <c r="AL210" s="1"/>
      <c r="AM210" s="1"/>
      <c r="AN210" s="2"/>
      <c r="AO210" s="1"/>
      <c r="AP210" s="1"/>
      <c r="AQ210" s="1"/>
      <c r="AR210" s="2"/>
      <c r="AS210" s="1"/>
      <c r="AT210" s="2"/>
      <c r="AU210" s="4"/>
      <c r="AV210" s="7"/>
      <c r="AW210" s="4"/>
      <c r="AX210" s="3"/>
      <c r="AY210" s="4"/>
      <c r="AZ210" s="1"/>
      <c r="BA210" s="1"/>
      <c r="BB210" s="1"/>
      <c r="BC210" s="4"/>
      <c r="BD210" s="1"/>
      <c r="BE210" s="4"/>
      <c r="BF210" s="2"/>
      <c r="BG210" s="4"/>
      <c r="BH210" s="1"/>
      <c r="BI210" s="1"/>
    </row>
    <row r="211" spans="1:61" ht="15" customHeight="1" x14ac:dyDescent="0.25">
      <c r="A211" s="2"/>
      <c r="B211" s="1"/>
      <c r="E211" s="1"/>
      <c r="F211" s="1"/>
      <c r="G211" s="1"/>
      <c r="H211" s="1"/>
      <c r="J211" s="2"/>
      <c r="K211" s="3"/>
      <c r="L211" s="1"/>
      <c r="N211" s="3"/>
      <c r="P211" s="1"/>
      <c r="Q211" s="2"/>
      <c r="R211" s="3"/>
      <c r="S211" s="4"/>
      <c r="T211" s="3"/>
      <c r="U211" s="1"/>
      <c r="V211" s="1"/>
      <c r="W211" s="3"/>
      <c r="X211" s="1"/>
      <c r="Y211" s="4"/>
      <c r="Z211" s="4"/>
      <c r="AA211" s="1"/>
      <c r="AB211" s="1"/>
      <c r="AC211" s="1"/>
      <c r="AD211" s="2"/>
      <c r="AE211" s="1"/>
      <c r="AF211" s="1"/>
      <c r="AG211" s="1"/>
      <c r="AH211" s="3"/>
      <c r="AI211" s="1"/>
      <c r="AJ211" s="1"/>
      <c r="AK211" s="1"/>
      <c r="AL211" s="1"/>
      <c r="AM211" s="1"/>
      <c r="AN211" s="2"/>
      <c r="AO211" s="1"/>
      <c r="AP211" s="1"/>
      <c r="AQ211" s="1"/>
      <c r="AR211" s="2"/>
      <c r="AS211" s="1"/>
      <c r="AT211" s="2"/>
      <c r="AU211" s="4"/>
      <c r="AV211" s="7"/>
      <c r="AW211" s="4"/>
      <c r="AX211" s="3"/>
      <c r="AY211" s="4"/>
      <c r="AZ211" s="1"/>
      <c r="BA211" s="1"/>
      <c r="BB211" s="1"/>
      <c r="BC211" s="4"/>
      <c r="BD211" s="1"/>
      <c r="BE211" s="4"/>
      <c r="BF211" s="2"/>
      <c r="BG211" s="4"/>
      <c r="BH211" s="1"/>
      <c r="BI211" s="1"/>
    </row>
    <row r="212" spans="1:61" ht="15" customHeight="1" x14ac:dyDescent="0.25">
      <c r="A212" s="2"/>
      <c r="B212" s="1"/>
      <c r="E212" s="1"/>
      <c r="F212" s="1"/>
      <c r="G212" s="1"/>
      <c r="H212" s="1"/>
      <c r="J212" s="2"/>
      <c r="K212" s="3"/>
      <c r="L212" s="1"/>
      <c r="N212" s="3"/>
      <c r="P212" s="1"/>
      <c r="Q212" s="2"/>
      <c r="R212" s="3"/>
      <c r="S212" s="4"/>
      <c r="T212" s="3"/>
      <c r="U212" s="1"/>
      <c r="V212" s="1"/>
      <c r="W212" s="3"/>
      <c r="X212" s="1"/>
      <c r="Y212" s="4"/>
      <c r="Z212" s="4"/>
      <c r="AA212" s="1"/>
      <c r="AB212" s="1"/>
      <c r="AC212" s="1"/>
      <c r="AD212" s="2"/>
      <c r="AE212" s="1"/>
      <c r="AF212" s="1"/>
      <c r="AG212" s="1"/>
      <c r="AH212" s="3"/>
      <c r="AI212" s="1"/>
      <c r="AJ212" s="1"/>
      <c r="AK212" s="1"/>
      <c r="AL212" s="1"/>
      <c r="AM212" s="1"/>
      <c r="AN212" s="2"/>
      <c r="AO212" s="1"/>
      <c r="AP212" s="1"/>
      <c r="AQ212" s="1"/>
      <c r="AR212" s="2"/>
      <c r="AS212" s="1"/>
      <c r="AT212" s="2"/>
      <c r="AU212" s="4"/>
      <c r="AV212" s="7"/>
      <c r="AW212" s="4"/>
      <c r="AX212" s="3"/>
      <c r="AY212" s="4"/>
      <c r="AZ212" s="1"/>
      <c r="BA212" s="1"/>
      <c r="BB212" s="1"/>
      <c r="BC212" s="4"/>
      <c r="BD212" s="1"/>
      <c r="BE212" s="4"/>
      <c r="BF212" s="2"/>
      <c r="BG212" s="4"/>
      <c r="BH212" s="1"/>
      <c r="BI212" s="1"/>
    </row>
    <row r="213" spans="1:61" ht="15" customHeight="1" x14ac:dyDescent="0.25">
      <c r="A213" s="2"/>
      <c r="B213" s="1"/>
      <c r="E213" s="1"/>
      <c r="F213" s="1"/>
      <c r="G213" s="1"/>
      <c r="H213" s="1"/>
      <c r="J213" s="2"/>
      <c r="K213" s="3"/>
      <c r="L213" s="1"/>
      <c r="N213" s="3"/>
      <c r="P213" s="1"/>
      <c r="Q213" s="2"/>
      <c r="R213" s="3"/>
      <c r="S213" s="4"/>
      <c r="T213" s="3"/>
      <c r="U213" s="1"/>
      <c r="V213" s="1"/>
      <c r="W213" s="3"/>
      <c r="X213" s="1"/>
      <c r="Y213" s="4"/>
      <c r="Z213" s="4"/>
      <c r="AA213" s="1"/>
      <c r="AB213" s="1"/>
      <c r="AC213" s="1"/>
      <c r="AD213" s="2"/>
      <c r="AE213" s="1"/>
      <c r="AF213" s="1"/>
      <c r="AG213" s="1"/>
      <c r="AH213" s="3"/>
      <c r="AI213" s="1"/>
      <c r="AJ213" s="1"/>
      <c r="AK213" s="1"/>
      <c r="AL213" s="1"/>
      <c r="AM213" s="1"/>
      <c r="AN213" s="2"/>
      <c r="AO213" s="1"/>
      <c r="AP213" s="1"/>
      <c r="AQ213" s="1"/>
      <c r="AR213" s="2"/>
      <c r="AS213" s="1"/>
      <c r="AT213" s="2"/>
      <c r="AU213" s="4"/>
      <c r="AV213" s="7"/>
      <c r="AW213" s="4"/>
      <c r="AX213" s="3"/>
      <c r="AY213" s="4"/>
      <c r="AZ213" s="1"/>
      <c r="BA213" s="1"/>
      <c r="BB213" s="1"/>
      <c r="BC213" s="4"/>
      <c r="BD213" s="1"/>
      <c r="BE213" s="4"/>
      <c r="BF213" s="2"/>
      <c r="BG213" s="4"/>
      <c r="BH213" s="1"/>
      <c r="BI213" s="1"/>
    </row>
    <row r="214" spans="1:61" ht="15" customHeight="1" x14ac:dyDescent="0.25">
      <c r="A214" s="2"/>
      <c r="B214" s="1"/>
      <c r="E214" s="1"/>
      <c r="F214" s="1"/>
      <c r="G214" s="1"/>
      <c r="H214" s="1"/>
      <c r="J214" s="2"/>
      <c r="K214" s="3"/>
      <c r="L214" s="1"/>
      <c r="N214" s="3"/>
      <c r="P214" s="1"/>
      <c r="Q214" s="2"/>
      <c r="R214" s="3"/>
      <c r="S214" s="4"/>
      <c r="T214" s="3"/>
      <c r="U214" s="1"/>
      <c r="V214" s="1"/>
      <c r="W214" s="3"/>
      <c r="X214" s="1"/>
      <c r="Y214" s="4"/>
      <c r="Z214" s="4"/>
      <c r="AA214" s="1"/>
      <c r="AB214" s="1"/>
      <c r="AC214" s="1"/>
      <c r="AD214" s="2"/>
      <c r="AE214" s="1"/>
      <c r="AF214" s="1"/>
      <c r="AG214" s="1"/>
      <c r="AH214" s="3"/>
      <c r="AI214" s="1"/>
      <c r="AJ214" s="1"/>
      <c r="AK214" s="1"/>
      <c r="AL214" s="1"/>
      <c r="AM214" s="1"/>
      <c r="AN214" s="2"/>
      <c r="AO214" s="1"/>
      <c r="AP214" s="1"/>
      <c r="AQ214" s="1"/>
      <c r="AR214" s="2"/>
      <c r="AS214" s="1"/>
      <c r="AT214" s="2"/>
      <c r="AU214" s="4"/>
      <c r="AV214" s="7"/>
      <c r="AW214" s="4"/>
      <c r="AX214" s="3"/>
      <c r="AY214" s="4"/>
      <c r="AZ214" s="1"/>
      <c r="BA214" s="1"/>
      <c r="BB214" s="1"/>
      <c r="BC214" s="4"/>
      <c r="BD214" s="1"/>
      <c r="BE214" s="4"/>
      <c r="BF214" s="2"/>
      <c r="BG214" s="4"/>
      <c r="BH214" s="1"/>
      <c r="BI214" s="1"/>
    </row>
    <row r="215" spans="1:61" ht="15" customHeight="1" x14ac:dyDescent="0.25">
      <c r="A215" s="2"/>
      <c r="B215" s="1"/>
      <c r="E215" s="1"/>
      <c r="F215" s="1"/>
      <c r="G215" s="1"/>
      <c r="H215" s="1"/>
      <c r="J215" s="2"/>
      <c r="K215" s="3"/>
      <c r="L215" s="1"/>
      <c r="N215" s="3"/>
      <c r="P215" s="1"/>
      <c r="Q215" s="2"/>
      <c r="R215" s="3"/>
      <c r="S215" s="4"/>
      <c r="T215" s="3"/>
      <c r="U215" s="1"/>
      <c r="V215" s="1"/>
      <c r="W215" s="3"/>
      <c r="X215" s="1"/>
      <c r="Y215" s="4"/>
      <c r="Z215" s="4"/>
      <c r="AA215" s="1"/>
      <c r="AB215" s="1"/>
      <c r="AC215" s="1"/>
      <c r="AD215" s="2"/>
      <c r="AE215" s="1"/>
      <c r="AF215" s="1"/>
      <c r="AG215" s="1"/>
      <c r="AH215" s="3"/>
      <c r="AI215" s="1"/>
      <c r="AJ215" s="1"/>
      <c r="AK215" s="1"/>
      <c r="AL215" s="1"/>
      <c r="AM215" s="1"/>
      <c r="AN215" s="2"/>
      <c r="AO215" s="1"/>
      <c r="AP215" s="1"/>
      <c r="AQ215" s="1"/>
      <c r="AR215" s="2"/>
      <c r="AS215" s="1"/>
      <c r="AT215" s="2"/>
      <c r="AU215" s="4"/>
      <c r="AV215" s="7"/>
      <c r="AW215" s="4"/>
      <c r="AX215" s="3"/>
      <c r="AY215" s="4"/>
      <c r="AZ215" s="1"/>
      <c r="BA215" s="1"/>
      <c r="BB215" s="1"/>
      <c r="BC215" s="4"/>
      <c r="BD215" s="1"/>
      <c r="BE215" s="4"/>
      <c r="BF215" s="2"/>
      <c r="BG215" s="4"/>
      <c r="BH215" s="1"/>
      <c r="BI215" s="1"/>
    </row>
    <row r="216" spans="1:61" ht="15" customHeight="1" x14ac:dyDescent="0.25">
      <c r="A216" s="2"/>
      <c r="B216" s="1"/>
      <c r="E216" s="1"/>
      <c r="F216" s="1"/>
      <c r="G216" s="1"/>
      <c r="H216" s="1"/>
      <c r="J216" s="2"/>
      <c r="K216" s="3"/>
      <c r="L216" s="1"/>
      <c r="N216" s="3"/>
      <c r="P216" s="1"/>
      <c r="Q216" s="2"/>
      <c r="R216" s="3"/>
      <c r="S216" s="4"/>
      <c r="T216" s="3"/>
      <c r="U216" s="1"/>
      <c r="V216" s="1"/>
      <c r="W216" s="3"/>
      <c r="X216" s="1"/>
      <c r="Y216" s="4"/>
      <c r="Z216" s="4"/>
      <c r="AA216" s="1"/>
      <c r="AB216" s="1"/>
      <c r="AC216" s="1"/>
      <c r="AD216" s="2"/>
      <c r="AE216" s="1"/>
      <c r="AF216" s="1"/>
      <c r="AG216" s="1"/>
      <c r="AH216" s="3"/>
      <c r="AI216" s="1"/>
      <c r="AJ216" s="1"/>
      <c r="AK216" s="1"/>
      <c r="AL216" s="1"/>
      <c r="AM216" s="1"/>
      <c r="AN216" s="2"/>
      <c r="AO216" s="1"/>
      <c r="AP216" s="1"/>
      <c r="AQ216" s="1"/>
      <c r="AR216" s="2"/>
      <c r="AS216" s="1"/>
      <c r="AT216" s="2"/>
      <c r="AU216" s="4"/>
      <c r="AV216" s="7"/>
      <c r="AW216" s="4"/>
      <c r="AX216" s="3"/>
      <c r="AY216" s="4"/>
      <c r="AZ216" s="1"/>
      <c r="BA216" s="1"/>
      <c r="BB216" s="1"/>
      <c r="BC216" s="4"/>
      <c r="BD216" s="1"/>
      <c r="BE216" s="4"/>
      <c r="BF216" s="2"/>
      <c r="BG216" s="4"/>
      <c r="BH216" s="1"/>
      <c r="BI216" s="1"/>
    </row>
    <row r="217" spans="1:61" ht="15" customHeight="1" x14ac:dyDescent="0.25">
      <c r="A217" s="2"/>
      <c r="B217" s="1"/>
      <c r="E217" s="1"/>
      <c r="F217" s="1"/>
      <c r="G217" s="1"/>
      <c r="H217" s="1"/>
      <c r="J217" s="2"/>
      <c r="K217" s="3"/>
      <c r="L217" s="1"/>
      <c r="N217" s="3"/>
      <c r="P217" s="1"/>
      <c r="Q217" s="2"/>
      <c r="R217" s="3"/>
      <c r="S217" s="4"/>
      <c r="T217" s="3"/>
      <c r="U217" s="1"/>
      <c r="V217" s="1"/>
      <c r="W217" s="3"/>
      <c r="X217" s="1"/>
      <c r="Y217" s="4"/>
      <c r="Z217" s="4"/>
      <c r="AA217" s="1"/>
      <c r="AB217" s="1"/>
      <c r="AC217" s="1"/>
      <c r="AD217" s="2"/>
      <c r="AE217" s="1"/>
      <c r="AF217" s="1"/>
      <c r="AG217" s="1"/>
      <c r="AH217" s="3"/>
      <c r="AI217" s="1"/>
      <c r="AJ217" s="1"/>
      <c r="AK217" s="1"/>
      <c r="AL217" s="1"/>
      <c r="AM217" s="1"/>
      <c r="AN217" s="2"/>
      <c r="AO217" s="1"/>
      <c r="AP217" s="1"/>
      <c r="AQ217" s="1"/>
      <c r="AR217" s="2"/>
      <c r="AS217" s="1"/>
      <c r="AT217" s="2"/>
      <c r="AU217" s="4"/>
      <c r="AV217" s="7"/>
      <c r="AW217" s="4"/>
      <c r="AX217" s="3"/>
      <c r="AY217" s="4"/>
      <c r="AZ217" s="1"/>
      <c r="BA217" s="1"/>
      <c r="BB217" s="1"/>
      <c r="BC217" s="4"/>
      <c r="BD217" s="1"/>
      <c r="BE217" s="4"/>
      <c r="BF217" s="2"/>
      <c r="BG217" s="4"/>
      <c r="BH217" s="1"/>
      <c r="BI217" s="1"/>
    </row>
    <row r="218" spans="1:61" ht="15" customHeight="1" x14ac:dyDescent="0.25">
      <c r="A218" s="2"/>
      <c r="B218" s="1"/>
      <c r="E218" s="1"/>
      <c r="F218" s="1"/>
      <c r="G218" s="1"/>
      <c r="H218" s="1"/>
      <c r="J218" s="2"/>
      <c r="K218" s="3"/>
      <c r="L218" s="1"/>
      <c r="N218" s="3"/>
      <c r="P218" s="1"/>
      <c r="Q218" s="2"/>
      <c r="R218" s="3"/>
      <c r="S218" s="4"/>
      <c r="T218" s="3"/>
      <c r="U218" s="1"/>
      <c r="V218" s="1"/>
      <c r="W218" s="3"/>
      <c r="X218" s="1"/>
      <c r="Y218" s="4"/>
      <c r="Z218" s="4"/>
      <c r="AA218" s="1"/>
      <c r="AB218" s="1"/>
      <c r="AC218" s="1"/>
      <c r="AD218" s="2"/>
      <c r="AE218" s="1"/>
      <c r="AF218" s="1"/>
      <c r="AG218" s="1"/>
      <c r="AH218" s="3"/>
      <c r="AI218" s="1"/>
      <c r="AJ218" s="1"/>
      <c r="AK218" s="1"/>
      <c r="AL218" s="1"/>
      <c r="AM218" s="1"/>
      <c r="AN218" s="2"/>
      <c r="AO218" s="1"/>
      <c r="AP218" s="1"/>
      <c r="AQ218" s="1"/>
      <c r="AR218" s="2"/>
      <c r="AS218" s="1"/>
      <c r="AT218" s="2"/>
      <c r="AU218" s="4"/>
      <c r="AV218" s="7"/>
      <c r="AW218" s="4"/>
      <c r="AX218" s="3"/>
      <c r="AY218" s="4"/>
      <c r="AZ218" s="1"/>
      <c r="BA218" s="1"/>
      <c r="BB218" s="1"/>
      <c r="BC218" s="4"/>
      <c r="BD218" s="1"/>
      <c r="BE218" s="4"/>
      <c r="BF218" s="2"/>
      <c r="BG218" s="4"/>
      <c r="BH218" s="1"/>
      <c r="BI218" s="1"/>
    </row>
    <row r="219" spans="1:61" ht="15" customHeight="1" x14ac:dyDescent="0.25">
      <c r="A219" s="2"/>
      <c r="B219" s="1"/>
      <c r="E219" s="1"/>
      <c r="F219" s="1"/>
      <c r="G219" s="1"/>
      <c r="H219" s="1"/>
      <c r="J219" s="2"/>
      <c r="K219" s="3"/>
      <c r="L219" s="1"/>
      <c r="N219" s="3"/>
      <c r="P219" s="1"/>
      <c r="Q219" s="2"/>
      <c r="R219" s="3"/>
      <c r="S219" s="4"/>
      <c r="T219" s="3"/>
      <c r="U219" s="1"/>
      <c r="V219" s="1"/>
      <c r="W219" s="3"/>
      <c r="X219" s="1"/>
      <c r="Y219" s="4"/>
      <c r="Z219" s="4"/>
      <c r="AA219" s="1"/>
      <c r="AB219" s="1"/>
      <c r="AC219" s="1"/>
      <c r="AD219" s="2"/>
      <c r="AE219" s="1"/>
      <c r="AF219" s="1"/>
      <c r="AG219" s="1"/>
      <c r="AH219" s="3"/>
      <c r="AI219" s="1"/>
      <c r="AJ219" s="1"/>
      <c r="AK219" s="1"/>
      <c r="AL219" s="1"/>
      <c r="AM219" s="1"/>
      <c r="AN219" s="2"/>
      <c r="AO219" s="1"/>
      <c r="AP219" s="1"/>
      <c r="AQ219" s="1"/>
      <c r="AR219" s="2"/>
      <c r="AS219" s="1"/>
      <c r="AT219" s="2"/>
      <c r="AU219" s="4"/>
      <c r="AV219" s="7"/>
      <c r="AW219" s="4"/>
      <c r="AX219" s="3"/>
      <c r="AY219" s="4"/>
      <c r="AZ219" s="1"/>
      <c r="BA219" s="1"/>
      <c r="BB219" s="1"/>
      <c r="BC219" s="4"/>
      <c r="BD219" s="1"/>
      <c r="BE219" s="4"/>
      <c r="BF219" s="2"/>
      <c r="BG219" s="4"/>
      <c r="BH219" s="1"/>
      <c r="BI219" s="1"/>
    </row>
    <row r="220" spans="1:61" ht="15" customHeight="1" x14ac:dyDescent="0.25">
      <c r="A220" s="2"/>
      <c r="B220" s="1"/>
      <c r="E220" s="1"/>
      <c r="F220" s="1"/>
      <c r="G220" s="1"/>
      <c r="H220" s="1"/>
      <c r="J220" s="2"/>
      <c r="K220" s="3"/>
      <c r="L220" s="1"/>
      <c r="N220" s="3"/>
      <c r="P220" s="1"/>
      <c r="Q220" s="2"/>
      <c r="R220" s="3"/>
      <c r="S220" s="4"/>
      <c r="T220" s="3"/>
      <c r="U220" s="1"/>
      <c r="V220" s="1"/>
      <c r="W220" s="3"/>
      <c r="X220" s="1"/>
      <c r="Y220" s="4"/>
      <c r="Z220" s="4"/>
      <c r="AA220" s="1"/>
      <c r="AB220" s="1"/>
      <c r="AC220" s="1"/>
      <c r="AD220" s="2"/>
      <c r="AE220" s="1"/>
      <c r="AF220" s="1"/>
      <c r="AG220" s="1"/>
      <c r="AH220" s="3"/>
      <c r="AI220" s="1"/>
      <c r="AJ220" s="1"/>
      <c r="AK220" s="1"/>
      <c r="AL220" s="1"/>
      <c r="AM220" s="1"/>
      <c r="AN220" s="2"/>
      <c r="AO220" s="1"/>
      <c r="AP220" s="1"/>
      <c r="AQ220" s="1"/>
      <c r="AR220" s="2"/>
      <c r="AS220" s="1"/>
      <c r="AT220" s="2"/>
      <c r="AU220" s="4"/>
      <c r="AV220" s="7"/>
      <c r="AW220" s="4"/>
      <c r="AX220" s="3"/>
      <c r="AY220" s="4"/>
      <c r="AZ220" s="1"/>
      <c r="BA220" s="1"/>
      <c r="BB220" s="1"/>
      <c r="BC220" s="4"/>
      <c r="BD220" s="1"/>
      <c r="BE220" s="4"/>
      <c r="BF220" s="2"/>
      <c r="BG220" s="4"/>
      <c r="BH220" s="1"/>
      <c r="BI220" s="1"/>
    </row>
    <row r="221" spans="1:61" ht="15" customHeight="1" x14ac:dyDescent="0.25">
      <c r="A221" s="2"/>
      <c r="B221" s="1"/>
      <c r="E221" s="1"/>
      <c r="F221" s="1"/>
      <c r="G221" s="1"/>
      <c r="H221" s="1"/>
      <c r="J221" s="2"/>
      <c r="K221" s="3"/>
      <c r="L221" s="1"/>
      <c r="N221" s="3"/>
      <c r="P221" s="1"/>
      <c r="Q221" s="2"/>
      <c r="R221" s="3"/>
      <c r="S221" s="4"/>
      <c r="T221" s="3"/>
      <c r="U221" s="1"/>
      <c r="V221" s="1"/>
      <c r="W221" s="3"/>
      <c r="X221" s="1"/>
      <c r="Y221" s="4"/>
      <c r="Z221" s="4"/>
      <c r="AA221" s="1"/>
      <c r="AB221" s="1"/>
      <c r="AC221" s="1"/>
      <c r="AD221" s="2"/>
      <c r="AE221" s="1"/>
      <c r="AF221" s="1"/>
      <c r="AG221" s="1"/>
      <c r="AH221" s="3"/>
      <c r="AI221" s="1"/>
      <c r="AJ221" s="1"/>
      <c r="AK221" s="1"/>
      <c r="AL221" s="1"/>
      <c r="AM221" s="1"/>
      <c r="AN221" s="2"/>
      <c r="AO221" s="1"/>
      <c r="AP221" s="1"/>
      <c r="AQ221" s="1"/>
      <c r="AR221" s="2"/>
      <c r="AS221" s="1"/>
      <c r="AT221" s="2"/>
      <c r="AU221" s="4"/>
      <c r="AV221" s="7"/>
      <c r="AW221" s="4"/>
      <c r="AX221" s="3"/>
      <c r="AY221" s="4"/>
      <c r="AZ221" s="1"/>
      <c r="BA221" s="1"/>
      <c r="BB221" s="1"/>
      <c r="BC221" s="4"/>
      <c r="BD221" s="1"/>
      <c r="BE221" s="4"/>
      <c r="BF221" s="2"/>
      <c r="BG221" s="4"/>
      <c r="BH221" s="1"/>
      <c r="BI221" s="1"/>
    </row>
    <row r="222" spans="1:61" ht="15" customHeight="1" x14ac:dyDescent="0.25">
      <c r="A222" s="2"/>
      <c r="B222" s="1"/>
      <c r="E222" s="1"/>
      <c r="F222" s="1"/>
      <c r="G222" s="1"/>
      <c r="H222" s="1"/>
      <c r="J222" s="2"/>
      <c r="K222" s="3"/>
      <c r="L222" s="1"/>
      <c r="N222" s="3"/>
      <c r="P222" s="1"/>
      <c r="Q222" s="2"/>
      <c r="R222" s="3"/>
      <c r="S222" s="4"/>
      <c r="T222" s="3"/>
      <c r="U222" s="1"/>
      <c r="V222" s="1"/>
      <c r="W222" s="3"/>
      <c r="X222" s="1"/>
      <c r="Y222" s="4"/>
      <c r="Z222" s="4"/>
      <c r="AA222" s="1"/>
      <c r="AB222" s="1"/>
      <c r="AC222" s="1"/>
      <c r="AD222" s="2"/>
      <c r="AE222" s="1"/>
      <c r="AF222" s="1"/>
      <c r="AG222" s="1"/>
      <c r="AH222" s="3"/>
      <c r="AI222" s="1"/>
      <c r="AJ222" s="1"/>
      <c r="AK222" s="1"/>
      <c r="AL222" s="1"/>
      <c r="AM222" s="1"/>
      <c r="AN222" s="2"/>
      <c r="AO222" s="1"/>
      <c r="AP222" s="1"/>
      <c r="AQ222" s="1"/>
      <c r="AR222" s="2"/>
      <c r="AS222" s="1"/>
      <c r="AT222" s="2"/>
      <c r="AU222" s="4"/>
      <c r="AV222" s="7"/>
      <c r="AW222" s="4"/>
      <c r="AX222" s="3"/>
      <c r="AY222" s="4"/>
      <c r="AZ222" s="1"/>
      <c r="BA222" s="1"/>
      <c r="BB222" s="1"/>
      <c r="BC222" s="4"/>
      <c r="BD222" s="1"/>
      <c r="BE222" s="4"/>
      <c r="BF222" s="2"/>
      <c r="BG222" s="4"/>
      <c r="BH222" s="1"/>
      <c r="BI222" s="1"/>
    </row>
    <row r="223" spans="1:61" ht="15" customHeight="1" x14ac:dyDescent="0.25">
      <c r="A223" s="2"/>
      <c r="B223" s="1"/>
      <c r="E223" s="1"/>
      <c r="F223" s="1"/>
      <c r="G223" s="1"/>
      <c r="H223" s="1"/>
      <c r="J223" s="2"/>
      <c r="K223" s="3"/>
      <c r="L223" s="1"/>
      <c r="N223" s="3"/>
      <c r="P223" s="1"/>
      <c r="Q223" s="2"/>
      <c r="R223" s="3"/>
      <c r="S223" s="4"/>
      <c r="T223" s="3"/>
      <c r="U223" s="1"/>
      <c r="V223" s="1"/>
      <c r="W223" s="3"/>
      <c r="X223" s="1"/>
      <c r="Y223" s="4"/>
      <c r="Z223" s="4"/>
      <c r="AA223" s="1"/>
      <c r="AB223" s="1"/>
      <c r="AC223" s="1"/>
      <c r="AD223" s="2"/>
      <c r="AE223" s="1"/>
      <c r="AF223" s="1"/>
      <c r="AG223" s="1"/>
      <c r="AH223" s="3"/>
      <c r="AI223" s="1"/>
      <c r="AJ223" s="1"/>
      <c r="AK223" s="1"/>
      <c r="AL223" s="1"/>
      <c r="AM223" s="1"/>
      <c r="AN223" s="2"/>
      <c r="AO223" s="1"/>
      <c r="AP223" s="1"/>
      <c r="AQ223" s="1"/>
      <c r="AR223" s="2"/>
      <c r="AS223" s="1"/>
      <c r="AT223" s="2"/>
      <c r="AU223" s="4"/>
      <c r="AV223" s="7"/>
      <c r="AW223" s="4"/>
      <c r="AX223" s="3"/>
      <c r="AY223" s="4"/>
      <c r="AZ223" s="1"/>
      <c r="BA223" s="1"/>
      <c r="BB223" s="1"/>
      <c r="BC223" s="4"/>
      <c r="BD223" s="1"/>
      <c r="BE223" s="4"/>
      <c r="BF223" s="2"/>
      <c r="BG223" s="4"/>
      <c r="BH223" s="1"/>
      <c r="BI223" s="1"/>
    </row>
    <row r="224" spans="1:61" ht="15" customHeight="1" x14ac:dyDescent="0.25">
      <c r="A224" s="2"/>
      <c r="B224" s="1"/>
      <c r="E224" s="1"/>
      <c r="F224" s="1"/>
      <c r="G224" s="1"/>
      <c r="H224" s="1"/>
      <c r="J224" s="2"/>
      <c r="K224" s="3"/>
      <c r="L224" s="1"/>
      <c r="N224" s="3"/>
      <c r="P224" s="1"/>
      <c r="Q224" s="2"/>
      <c r="R224" s="3"/>
      <c r="S224" s="4"/>
      <c r="T224" s="3"/>
      <c r="U224" s="1"/>
      <c r="V224" s="1"/>
      <c r="W224" s="3"/>
      <c r="X224" s="1"/>
      <c r="Y224" s="4"/>
      <c r="Z224" s="4"/>
      <c r="AA224" s="1"/>
      <c r="AB224" s="1"/>
      <c r="AC224" s="1"/>
      <c r="AD224" s="2"/>
      <c r="AE224" s="1"/>
      <c r="AF224" s="1"/>
      <c r="AG224" s="1"/>
      <c r="AH224" s="3"/>
      <c r="AI224" s="1"/>
      <c r="AJ224" s="1"/>
      <c r="AK224" s="1"/>
      <c r="AL224" s="1"/>
      <c r="AM224" s="1"/>
      <c r="AN224" s="2"/>
      <c r="AO224" s="1"/>
      <c r="AP224" s="1"/>
      <c r="AQ224" s="1"/>
      <c r="AR224" s="2"/>
      <c r="AS224" s="1"/>
      <c r="AT224" s="2"/>
      <c r="AU224" s="4"/>
      <c r="AV224" s="7"/>
      <c r="AW224" s="4"/>
      <c r="AX224" s="3"/>
      <c r="AY224" s="4"/>
      <c r="AZ224" s="1"/>
      <c r="BA224" s="1"/>
      <c r="BB224" s="1"/>
      <c r="BC224" s="4"/>
      <c r="BD224" s="1"/>
      <c r="BE224" s="4"/>
      <c r="BF224" s="2"/>
      <c r="BG224" s="4"/>
      <c r="BH224" s="1"/>
      <c r="BI224" s="1"/>
    </row>
    <row r="225" spans="1:61" ht="15" customHeight="1" x14ac:dyDescent="0.25">
      <c r="A225" s="2"/>
      <c r="B225" s="1"/>
      <c r="E225" s="1"/>
      <c r="F225" s="1"/>
      <c r="G225" s="1"/>
      <c r="H225" s="1"/>
      <c r="J225" s="2"/>
      <c r="K225" s="3"/>
      <c r="L225" s="1"/>
      <c r="N225" s="3"/>
      <c r="P225" s="1"/>
      <c r="Q225" s="2"/>
      <c r="R225" s="3"/>
      <c r="S225" s="4"/>
      <c r="T225" s="3"/>
      <c r="U225" s="1"/>
      <c r="V225" s="1"/>
      <c r="W225" s="3"/>
      <c r="X225" s="1"/>
      <c r="Y225" s="4"/>
      <c r="Z225" s="4"/>
      <c r="AA225" s="1"/>
      <c r="AB225" s="1"/>
      <c r="AC225" s="1"/>
      <c r="AD225" s="2"/>
      <c r="AE225" s="1"/>
      <c r="AF225" s="1"/>
      <c r="AG225" s="1"/>
      <c r="AH225" s="3"/>
      <c r="AI225" s="1"/>
      <c r="AJ225" s="1"/>
      <c r="AK225" s="1"/>
      <c r="AL225" s="1"/>
      <c r="AM225" s="1"/>
      <c r="AN225" s="2"/>
      <c r="AO225" s="1"/>
      <c r="AP225" s="1"/>
      <c r="AQ225" s="1"/>
      <c r="AR225" s="2"/>
      <c r="AS225" s="1"/>
      <c r="AT225" s="2"/>
      <c r="AU225" s="4"/>
      <c r="AV225" s="4"/>
      <c r="AW225" s="4"/>
      <c r="AX225" s="3"/>
      <c r="AY225" s="4"/>
      <c r="AZ225" s="1"/>
      <c r="BA225" s="1"/>
      <c r="BB225" s="1"/>
      <c r="BC225" s="4"/>
      <c r="BD225" s="1"/>
      <c r="BE225" s="4"/>
      <c r="BF225" s="2"/>
      <c r="BG225" s="4"/>
      <c r="BH225" s="1"/>
      <c r="BI225" s="1"/>
    </row>
    <row r="226" spans="1:61" ht="15" customHeight="1" x14ac:dyDescent="0.25">
      <c r="A226" s="2"/>
      <c r="B226" s="1"/>
      <c r="E226" s="1"/>
      <c r="F226" s="1"/>
      <c r="G226" s="1"/>
      <c r="H226" s="1"/>
      <c r="J226" s="2"/>
      <c r="K226" s="3"/>
      <c r="L226" s="1"/>
      <c r="N226" s="3"/>
      <c r="P226" s="1"/>
      <c r="Q226" s="2"/>
      <c r="R226" s="3"/>
      <c r="S226" s="4"/>
      <c r="T226" s="3"/>
      <c r="U226" s="1"/>
      <c r="V226" s="1"/>
      <c r="W226" s="3"/>
      <c r="X226" s="1"/>
      <c r="Y226" s="4"/>
      <c r="Z226" s="4"/>
      <c r="AA226" s="1"/>
      <c r="AB226" s="1"/>
      <c r="AC226" s="1"/>
      <c r="AD226" s="2"/>
      <c r="AE226" s="1"/>
      <c r="AF226" s="1"/>
      <c r="AG226" s="1"/>
      <c r="AH226" s="3"/>
      <c r="AI226" s="1"/>
      <c r="AJ226" s="1"/>
      <c r="AK226" s="1"/>
      <c r="AL226" s="1"/>
      <c r="AM226" s="1"/>
      <c r="AN226" s="2"/>
      <c r="AO226" s="1"/>
      <c r="AP226" s="1"/>
      <c r="AQ226" s="1"/>
      <c r="AR226" s="2"/>
      <c r="AS226" s="1"/>
      <c r="AT226" s="2"/>
      <c r="AU226" s="4"/>
      <c r="AV226" s="7"/>
      <c r="AW226" s="4"/>
      <c r="AX226" s="3"/>
      <c r="AY226" s="4"/>
      <c r="AZ226" s="1"/>
      <c r="BA226" s="1"/>
      <c r="BB226" s="1"/>
      <c r="BC226" s="4"/>
      <c r="BD226" s="1"/>
      <c r="BE226" s="4"/>
      <c r="BF226" s="2"/>
      <c r="BG226" s="4"/>
      <c r="BH226" s="1"/>
      <c r="BI226" s="1"/>
    </row>
    <row r="227" spans="1:61" ht="15" customHeight="1" x14ac:dyDescent="0.25">
      <c r="A227" s="2"/>
      <c r="B227" s="1"/>
      <c r="E227" s="1"/>
      <c r="F227" s="1"/>
      <c r="G227" s="1"/>
      <c r="H227" s="1"/>
      <c r="J227" s="2"/>
      <c r="K227" s="3"/>
      <c r="L227" s="1"/>
      <c r="N227" s="3"/>
      <c r="P227" s="1"/>
      <c r="Q227" s="2"/>
      <c r="R227" s="3"/>
      <c r="S227" s="4"/>
      <c r="T227" s="3"/>
      <c r="U227" s="1"/>
      <c r="V227" s="1"/>
      <c r="W227" s="3"/>
      <c r="X227" s="1"/>
      <c r="Y227" s="4"/>
      <c r="Z227" s="4"/>
      <c r="AA227" s="1"/>
      <c r="AB227" s="1"/>
      <c r="AC227" s="1"/>
      <c r="AD227" s="2"/>
      <c r="AE227" s="1"/>
      <c r="AF227" s="1"/>
      <c r="AG227" s="1"/>
      <c r="AH227" s="3"/>
      <c r="AI227" s="1"/>
      <c r="AJ227" s="1"/>
      <c r="AK227" s="1"/>
      <c r="AL227" s="1"/>
      <c r="AM227" s="1"/>
      <c r="AN227" s="2"/>
      <c r="AO227" s="1"/>
      <c r="AP227" s="1"/>
      <c r="AQ227" s="1"/>
      <c r="AR227" s="2"/>
      <c r="AS227" s="1"/>
      <c r="AT227" s="2"/>
      <c r="AU227" s="4"/>
      <c r="AV227" s="7"/>
      <c r="AW227" s="4"/>
      <c r="AX227" s="3"/>
      <c r="AY227" s="4"/>
      <c r="AZ227" s="1"/>
      <c r="BA227" s="1"/>
      <c r="BB227" s="1"/>
      <c r="BC227" s="4"/>
      <c r="BD227" s="1"/>
      <c r="BE227" s="4"/>
      <c r="BF227" s="2"/>
      <c r="BG227" s="4"/>
      <c r="BH227" s="1"/>
      <c r="BI227" s="1"/>
    </row>
    <row r="228" spans="1:61" ht="15" customHeight="1" x14ac:dyDescent="0.25">
      <c r="A228" s="2"/>
      <c r="B228" s="1"/>
      <c r="E228" s="1"/>
      <c r="F228" s="1"/>
      <c r="G228" s="1"/>
      <c r="H228" s="1"/>
      <c r="J228" s="2"/>
      <c r="K228" s="3"/>
      <c r="L228" s="1"/>
      <c r="N228" s="3"/>
      <c r="P228" s="1"/>
      <c r="Q228" s="2"/>
      <c r="R228" s="3"/>
      <c r="S228" s="4"/>
      <c r="T228" s="3"/>
      <c r="U228" s="1"/>
      <c r="V228" s="1"/>
      <c r="W228" s="3"/>
      <c r="X228" s="1"/>
      <c r="Y228" s="4"/>
      <c r="Z228" s="4"/>
      <c r="AA228" s="1"/>
      <c r="AB228" s="1"/>
      <c r="AC228" s="1"/>
      <c r="AD228" s="2"/>
      <c r="AE228" s="1"/>
      <c r="AF228" s="1"/>
      <c r="AG228" s="1"/>
      <c r="AH228" s="3"/>
      <c r="AI228" s="1"/>
      <c r="AJ228" s="1"/>
      <c r="AK228" s="1"/>
      <c r="AL228" s="1"/>
      <c r="AM228" s="1"/>
      <c r="AN228" s="2"/>
      <c r="AO228" s="1"/>
      <c r="AP228" s="1"/>
      <c r="AQ228" s="1"/>
      <c r="AR228" s="2"/>
      <c r="AS228" s="1"/>
      <c r="AT228" s="2"/>
      <c r="AU228" s="4"/>
      <c r="AV228" s="4"/>
      <c r="AW228" s="4"/>
      <c r="AX228" s="3"/>
      <c r="AY228" s="4"/>
      <c r="AZ228" s="1"/>
      <c r="BA228" s="1"/>
      <c r="BB228" s="1"/>
      <c r="BC228" s="4"/>
      <c r="BD228" s="1"/>
      <c r="BE228" s="4"/>
      <c r="BF228" s="2"/>
      <c r="BG228" s="4"/>
      <c r="BH228" s="1"/>
      <c r="BI228" s="1"/>
    </row>
    <row r="229" spans="1:61" ht="15" customHeight="1" x14ac:dyDescent="0.25">
      <c r="A229" s="2"/>
      <c r="B229" s="1"/>
      <c r="E229" s="1"/>
      <c r="F229" s="1"/>
      <c r="G229" s="1"/>
      <c r="H229" s="1"/>
      <c r="J229" s="2"/>
      <c r="K229" s="3"/>
      <c r="L229" s="1"/>
      <c r="N229" s="3"/>
      <c r="P229" s="1"/>
      <c r="Q229" s="2"/>
      <c r="R229" s="3"/>
      <c r="S229" s="4"/>
      <c r="T229" s="3"/>
      <c r="U229" s="1"/>
      <c r="V229" s="1"/>
      <c r="W229" s="3"/>
      <c r="X229" s="1"/>
      <c r="Y229" s="4"/>
      <c r="Z229" s="4"/>
      <c r="AA229" s="1"/>
      <c r="AB229" s="1"/>
      <c r="AC229" s="1"/>
      <c r="AD229" s="2"/>
      <c r="AE229" s="1"/>
      <c r="AF229" s="1"/>
      <c r="AG229" s="1"/>
      <c r="AH229" s="3"/>
      <c r="AI229" s="1"/>
      <c r="AJ229" s="1"/>
      <c r="AK229" s="1"/>
      <c r="AL229" s="1"/>
      <c r="AM229" s="1"/>
      <c r="AN229" s="2"/>
      <c r="AO229" s="1"/>
      <c r="AP229" s="1"/>
      <c r="AQ229" s="1"/>
      <c r="AR229" s="2"/>
      <c r="AS229" s="1"/>
      <c r="AT229" s="2"/>
      <c r="AU229" s="4"/>
      <c r="AV229" s="4"/>
      <c r="AW229" s="4"/>
      <c r="AX229" s="3"/>
      <c r="AY229" s="4"/>
      <c r="AZ229" s="1"/>
      <c r="BA229" s="1"/>
      <c r="BB229" s="1"/>
      <c r="BC229" s="4"/>
      <c r="BD229" s="1"/>
      <c r="BE229" s="4"/>
      <c r="BF229" s="2"/>
      <c r="BG229" s="4"/>
      <c r="BH229" s="1"/>
      <c r="BI229" s="1"/>
    </row>
    <row r="230" spans="1:61" ht="15" customHeight="1" x14ac:dyDescent="0.25">
      <c r="A230" s="2"/>
      <c r="B230" s="1"/>
      <c r="E230" s="1"/>
      <c r="F230" s="1"/>
      <c r="G230" s="1"/>
      <c r="H230" s="1"/>
      <c r="J230" s="2"/>
      <c r="K230" s="3"/>
      <c r="L230" s="1"/>
      <c r="N230" s="3"/>
      <c r="P230" s="1"/>
      <c r="Q230" s="2"/>
      <c r="R230" s="3"/>
      <c r="S230" s="4"/>
      <c r="T230" s="3"/>
      <c r="U230" s="1"/>
      <c r="V230" s="1"/>
      <c r="W230" s="3"/>
      <c r="X230" s="1"/>
      <c r="Y230" s="4"/>
      <c r="Z230" s="4"/>
      <c r="AA230" s="1"/>
      <c r="AB230" s="1"/>
      <c r="AC230" s="1"/>
      <c r="AD230" s="2"/>
      <c r="AE230" s="1"/>
      <c r="AF230" s="1"/>
      <c r="AG230" s="1"/>
      <c r="AH230" s="3"/>
      <c r="AI230" s="1"/>
      <c r="AJ230" s="1"/>
      <c r="AK230" s="1"/>
      <c r="AL230" s="1"/>
      <c r="AM230" s="1"/>
      <c r="AN230" s="2"/>
      <c r="AO230" s="1"/>
      <c r="AP230" s="1"/>
      <c r="AQ230" s="1"/>
      <c r="AR230" s="2"/>
      <c r="AS230" s="1"/>
      <c r="AT230" s="2"/>
      <c r="AU230" s="4"/>
      <c r="AV230" s="4"/>
      <c r="AW230" s="4"/>
      <c r="AX230" s="3"/>
      <c r="AY230" s="4"/>
      <c r="AZ230" s="1"/>
      <c r="BA230" s="1"/>
      <c r="BB230" s="1"/>
      <c r="BC230" s="4"/>
      <c r="BD230" s="1"/>
      <c r="BE230" s="4"/>
      <c r="BF230" s="2"/>
      <c r="BG230" s="4"/>
      <c r="BH230" s="1"/>
      <c r="BI230" s="1"/>
    </row>
    <row r="231" spans="1:61" ht="15" customHeight="1" x14ac:dyDescent="0.25">
      <c r="A231" s="2"/>
      <c r="B231" s="1"/>
      <c r="E231" s="1"/>
      <c r="F231" s="1"/>
      <c r="G231" s="1"/>
      <c r="H231" s="1"/>
      <c r="J231" s="2"/>
      <c r="K231" s="3"/>
      <c r="L231" s="1"/>
      <c r="N231" s="3"/>
      <c r="P231" s="1"/>
      <c r="Q231" s="2"/>
      <c r="R231" s="3"/>
      <c r="S231" s="4"/>
      <c r="T231" s="3"/>
      <c r="U231" s="1"/>
      <c r="V231" s="1"/>
      <c r="W231" s="3"/>
      <c r="X231" s="1"/>
      <c r="Y231" s="4"/>
      <c r="Z231" s="4"/>
      <c r="AA231" s="1"/>
      <c r="AB231" s="1"/>
      <c r="AC231" s="1"/>
      <c r="AD231" s="2"/>
      <c r="AE231" s="1"/>
      <c r="AF231" s="1"/>
      <c r="AG231" s="1"/>
      <c r="AH231" s="3"/>
      <c r="AI231" s="1"/>
      <c r="AJ231" s="1"/>
      <c r="AK231" s="1"/>
      <c r="AL231" s="1"/>
      <c r="AM231" s="1"/>
      <c r="AN231" s="2"/>
      <c r="AO231" s="1"/>
      <c r="AP231" s="1"/>
      <c r="AQ231" s="1"/>
      <c r="AR231" s="2"/>
      <c r="AS231" s="1"/>
      <c r="AT231" s="2"/>
      <c r="AU231" s="4"/>
      <c r="AV231" s="7"/>
      <c r="AW231" s="4"/>
      <c r="AX231" s="3"/>
      <c r="AY231" s="4"/>
      <c r="AZ231" s="1"/>
      <c r="BA231" s="1"/>
      <c r="BB231" s="1"/>
      <c r="BC231" s="4"/>
      <c r="BD231" s="1"/>
      <c r="BE231" s="4"/>
      <c r="BF231" s="2"/>
      <c r="BG231" s="4"/>
      <c r="BH231" s="1"/>
      <c r="BI231" s="1"/>
    </row>
    <row r="232" spans="1:61" ht="15" customHeight="1" x14ac:dyDescent="0.25">
      <c r="A232" s="2"/>
      <c r="B232" s="1"/>
      <c r="E232" s="1"/>
      <c r="F232" s="1"/>
      <c r="G232" s="1"/>
      <c r="H232" s="1"/>
      <c r="J232" s="2"/>
      <c r="K232" s="3"/>
      <c r="L232" s="1"/>
      <c r="N232" s="3"/>
      <c r="P232" s="1"/>
      <c r="Q232" s="2"/>
      <c r="R232" s="3"/>
      <c r="S232" s="4"/>
      <c r="T232" s="3"/>
      <c r="U232" s="1"/>
      <c r="V232" s="1"/>
      <c r="W232" s="3"/>
      <c r="X232" s="1"/>
      <c r="Y232" s="4"/>
      <c r="Z232" s="4"/>
      <c r="AA232" s="1"/>
      <c r="AB232" s="1"/>
      <c r="AC232" s="1"/>
      <c r="AD232" s="2"/>
      <c r="AE232" s="1"/>
      <c r="AF232" s="1"/>
      <c r="AG232" s="1"/>
      <c r="AH232" s="3"/>
      <c r="AI232" s="1"/>
      <c r="AJ232" s="1"/>
      <c r="AK232" s="1"/>
      <c r="AL232" s="1"/>
      <c r="AM232" s="1"/>
      <c r="AN232" s="2"/>
      <c r="AO232" s="1"/>
      <c r="AP232" s="1"/>
      <c r="AQ232" s="1"/>
      <c r="AR232" s="2"/>
      <c r="AS232" s="1"/>
      <c r="AT232" s="2"/>
      <c r="AU232" s="4"/>
      <c r="AV232" s="4"/>
      <c r="AW232" s="4"/>
      <c r="AX232" s="3"/>
      <c r="AY232" s="4"/>
      <c r="AZ232" s="1"/>
      <c r="BA232" s="1"/>
      <c r="BB232" s="1"/>
      <c r="BC232" s="4"/>
      <c r="BD232" s="1"/>
      <c r="BE232" s="4"/>
      <c r="BF232" s="2"/>
      <c r="BG232" s="4"/>
      <c r="BH232" s="1"/>
      <c r="BI232" s="1"/>
    </row>
    <row r="233" spans="1:61" ht="15" customHeight="1" x14ac:dyDescent="0.25">
      <c r="A233" s="2"/>
      <c r="B233" s="1"/>
      <c r="E233" s="1"/>
      <c r="F233" s="1"/>
      <c r="G233" s="1"/>
      <c r="H233" s="1"/>
      <c r="J233" s="2"/>
      <c r="K233" s="3"/>
      <c r="L233" s="1"/>
      <c r="N233" s="3"/>
      <c r="P233" s="1"/>
      <c r="Q233" s="2"/>
      <c r="R233" s="3"/>
      <c r="S233" s="4"/>
      <c r="T233" s="3"/>
      <c r="U233" s="1"/>
      <c r="V233" s="1"/>
      <c r="W233" s="3"/>
      <c r="X233" s="1"/>
      <c r="Y233" s="4"/>
      <c r="Z233" s="4"/>
      <c r="AA233" s="1"/>
      <c r="AB233" s="1"/>
      <c r="AC233" s="1"/>
      <c r="AD233" s="2"/>
      <c r="AE233" s="1"/>
      <c r="AF233" s="1"/>
      <c r="AG233" s="1"/>
      <c r="AH233" s="3"/>
      <c r="AI233" s="1"/>
      <c r="AJ233" s="1"/>
      <c r="AK233" s="1"/>
      <c r="AL233" s="1"/>
      <c r="AM233" s="1"/>
      <c r="AN233" s="2"/>
      <c r="AO233" s="1"/>
      <c r="AP233" s="1"/>
      <c r="AQ233" s="1"/>
      <c r="AR233" s="2"/>
      <c r="AS233" s="1"/>
      <c r="AT233" s="2"/>
      <c r="AU233" s="4"/>
      <c r="AV233" s="4"/>
      <c r="AW233" s="4"/>
      <c r="AX233" s="3"/>
      <c r="AY233" s="4"/>
      <c r="AZ233" s="1"/>
      <c r="BA233" s="1"/>
      <c r="BB233" s="1"/>
      <c r="BC233" s="4"/>
      <c r="BD233" s="1"/>
      <c r="BE233" s="4"/>
      <c r="BF233" s="2"/>
      <c r="BG233" s="4"/>
      <c r="BH233" s="1"/>
      <c r="BI233" s="1"/>
    </row>
    <row r="234" spans="1:61" ht="15" customHeight="1" x14ac:dyDescent="0.25">
      <c r="A234" s="2"/>
      <c r="B234" s="1"/>
      <c r="E234" s="1"/>
      <c r="F234" s="1"/>
      <c r="G234" s="1"/>
      <c r="H234" s="1"/>
      <c r="J234" s="2"/>
      <c r="K234" s="3"/>
      <c r="L234" s="1"/>
      <c r="N234" s="3"/>
      <c r="P234" s="1"/>
      <c r="Q234" s="2"/>
      <c r="R234" s="3"/>
      <c r="S234" s="4"/>
      <c r="T234" s="3"/>
      <c r="U234" s="1"/>
      <c r="V234" s="1"/>
      <c r="W234" s="3"/>
      <c r="X234" s="1"/>
      <c r="Y234" s="4"/>
      <c r="Z234" s="4"/>
      <c r="AA234" s="1"/>
      <c r="AB234" s="1"/>
      <c r="AC234" s="1"/>
      <c r="AD234" s="2"/>
      <c r="AE234" s="1"/>
      <c r="AF234" s="1"/>
      <c r="AG234" s="1"/>
      <c r="AH234" s="3"/>
      <c r="AI234" s="1"/>
      <c r="AJ234" s="1"/>
      <c r="AK234" s="1"/>
      <c r="AL234" s="1"/>
      <c r="AM234" s="1"/>
      <c r="AN234" s="2"/>
      <c r="AO234" s="1"/>
      <c r="AP234" s="1"/>
      <c r="AQ234" s="1"/>
      <c r="AR234" s="2"/>
      <c r="AS234" s="1"/>
      <c r="AT234" s="2"/>
      <c r="AU234" s="4"/>
      <c r="AV234" s="4"/>
      <c r="AW234" s="4"/>
      <c r="AX234" s="3"/>
      <c r="AY234" s="4"/>
      <c r="AZ234" s="1"/>
      <c r="BA234" s="1"/>
      <c r="BB234" s="1"/>
      <c r="BC234" s="4"/>
      <c r="BD234" s="1"/>
      <c r="BE234" s="4"/>
      <c r="BF234" s="2"/>
      <c r="BG234" s="4"/>
      <c r="BH234" s="1"/>
      <c r="BI234" s="1"/>
    </row>
    <row r="235" spans="1:61" ht="15" customHeight="1" x14ac:dyDescent="0.25">
      <c r="A235" s="2"/>
      <c r="B235" s="1"/>
      <c r="E235" s="1"/>
      <c r="F235" s="1"/>
      <c r="G235" s="1"/>
      <c r="H235" s="1"/>
      <c r="J235" s="2"/>
      <c r="K235" s="3"/>
      <c r="L235" s="1"/>
      <c r="N235" s="3"/>
      <c r="P235" s="1"/>
      <c r="Q235" s="2"/>
      <c r="R235" s="3"/>
      <c r="S235" s="4"/>
      <c r="T235" s="3"/>
      <c r="U235" s="1"/>
      <c r="V235" s="1"/>
      <c r="W235" s="3"/>
      <c r="X235" s="1"/>
      <c r="Y235" s="4"/>
      <c r="Z235" s="4"/>
      <c r="AA235" s="1"/>
      <c r="AB235" s="1"/>
      <c r="AC235" s="1"/>
      <c r="AD235" s="2"/>
      <c r="AE235" s="1"/>
      <c r="AF235" s="1"/>
      <c r="AG235" s="1"/>
      <c r="AH235" s="3"/>
      <c r="AI235" s="1"/>
      <c r="AJ235" s="1"/>
      <c r="AK235" s="1"/>
      <c r="AL235" s="1"/>
      <c r="AM235" s="1"/>
      <c r="AN235" s="2"/>
      <c r="AO235" s="1"/>
      <c r="AP235" s="1"/>
      <c r="AQ235" s="1"/>
      <c r="AR235" s="2"/>
      <c r="AS235" s="1"/>
      <c r="AT235" s="2"/>
      <c r="AU235" s="4"/>
      <c r="AV235" s="4"/>
      <c r="AW235" s="4"/>
      <c r="AX235" s="3"/>
      <c r="AY235" s="4"/>
      <c r="AZ235" s="1"/>
      <c r="BA235" s="1"/>
      <c r="BB235" s="1"/>
      <c r="BC235" s="4"/>
      <c r="BD235" s="1"/>
      <c r="BE235" s="4"/>
      <c r="BF235" s="2"/>
      <c r="BG235" s="4"/>
      <c r="BH235" s="1"/>
      <c r="BI235" s="1"/>
    </row>
    <row r="236" spans="1:61" ht="15" customHeight="1" x14ac:dyDescent="0.25">
      <c r="A236" s="2"/>
      <c r="B236" s="1"/>
      <c r="E236" s="1"/>
      <c r="F236" s="1"/>
      <c r="G236" s="1"/>
      <c r="H236" s="1"/>
      <c r="J236" s="2"/>
      <c r="K236" s="3"/>
      <c r="L236" s="1"/>
      <c r="N236" s="3"/>
      <c r="P236" s="1"/>
      <c r="Q236" s="2"/>
      <c r="R236" s="3"/>
      <c r="S236" s="4"/>
      <c r="T236" s="3"/>
      <c r="U236" s="1"/>
      <c r="V236" s="1"/>
      <c r="W236" s="3"/>
      <c r="X236" s="1"/>
      <c r="Y236" s="4"/>
      <c r="Z236" s="4"/>
      <c r="AA236" s="1"/>
      <c r="AB236" s="1"/>
      <c r="AC236" s="1"/>
      <c r="AD236" s="2"/>
      <c r="AE236" s="1"/>
      <c r="AF236" s="1"/>
      <c r="AG236" s="1"/>
      <c r="AH236" s="3"/>
      <c r="AI236" s="1"/>
      <c r="AJ236" s="1"/>
      <c r="AK236" s="1"/>
      <c r="AL236" s="1"/>
      <c r="AM236" s="1"/>
      <c r="AN236" s="2"/>
      <c r="AO236" s="1"/>
      <c r="AP236" s="1"/>
      <c r="AQ236" s="1"/>
      <c r="AR236" s="2"/>
      <c r="AS236" s="1"/>
      <c r="AT236" s="2"/>
      <c r="AU236" s="4"/>
      <c r="AV236" s="4"/>
      <c r="AW236" s="4"/>
      <c r="AX236" s="3"/>
      <c r="AY236" s="4"/>
      <c r="AZ236" s="1"/>
      <c r="BA236" s="1"/>
      <c r="BB236" s="1"/>
      <c r="BC236" s="4"/>
      <c r="BD236" s="1"/>
      <c r="BE236" s="4"/>
      <c r="BF236" s="2"/>
      <c r="BG236" s="4"/>
      <c r="BH236" s="1"/>
      <c r="BI236" s="1"/>
    </row>
    <row r="237" spans="1:61" ht="15" customHeight="1" x14ac:dyDescent="0.25">
      <c r="A237" s="2"/>
      <c r="B237" s="1"/>
      <c r="E237" s="1"/>
      <c r="F237" s="1"/>
      <c r="G237" s="1"/>
      <c r="H237" s="1"/>
      <c r="J237" s="2"/>
      <c r="K237" s="3"/>
      <c r="L237" s="1"/>
      <c r="N237" s="3"/>
      <c r="P237" s="1"/>
      <c r="Q237" s="2"/>
      <c r="R237" s="3"/>
      <c r="S237" s="4"/>
      <c r="T237" s="3"/>
      <c r="U237" s="1"/>
      <c r="V237" s="1"/>
      <c r="W237" s="3"/>
      <c r="X237" s="1"/>
      <c r="Y237" s="4"/>
      <c r="Z237" s="4"/>
      <c r="AA237" s="1"/>
      <c r="AB237" s="1"/>
      <c r="AC237" s="1"/>
      <c r="AD237" s="2"/>
      <c r="AE237" s="1"/>
      <c r="AF237" s="1"/>
      <c r="AG237" s="1"/>
      <c r="AH237" s="3"/>
      <c r="AI237" s="1"/>
      <c r="AJ237" s="1"/>
      <c r="AK237" s="1"/>
      <c r="AL237" s="1"/>
      <c r="AM237" s="1"/>
      <c r="AN237" s="2"/>
      <c r="AO237" s="1"/>
      <c r="AP237" s="1"/>
      <c r="AQ237" s="1"/>
      <c r="AR237" s="2"/>
      <c r="AS237" s="1"/>
      <c r="AT237" s="2"/>
      <c r="AU237" s="4"/>
      <c r="AV237" s="7"/>
      <c r="AW237" s="4"/>
      <c r="AX237" s="3"/>
      <c r="AY237" s="4"/>
      <c r="AZ237" s="1"/>
      <c r="BA237" s="1"/>
      <c r="BB237" s="1"/>
      <c r="BC237" s="4"/>
      <c r="BD237" s="1"/>
      <c r="BE237" s="4"/>
      <c r="BF237" s="2"/>
      <c r="BG237" s="4"/>
      <c r="BH237" s="1"/>
      <c r="BI237" s="1"/>
    </row>
    <row r="238" spans="1:61" ht="15" customHeight="1" x14ac:dyDescent="0.25">
      <c r="A238" s="2"/>
      <c r="B238" s="1"/>
      <c r="E238" s="1"/>
      <c r="F238" s="1"/>
      <c r="G238" s="1"/>
      <c r="H238" s="1"/>
      <c r="J238" s="2"/>
      <c r="K238" s="3"/>
      <c r="L238" s="1"/>
      <c r="N238" s="3"/>
      <c r="P238" s="1"/>
      <c r="Q238" s="2"/>
      <c r="R238" s="3"/>
      <c r="S238" s="4"/>
      <c r="T238" s="3"/>
      <c r="U238" s="1"/>
      <c r="V238" s="1"/>
      <c r="W238" s="3"/>
      <c r="X238" s="1"/>
      <c r="Y238" s="4"/>
      <c r="Z238" s="4"/>
      <c r="AA238" s="1"/>
      <c r="AB238" s="1"/>
      <c r="AC238" s="1"/>
      <c r="AD238" s="2"/>
      <c r="AE238" s="1"/>
      <c r="AF238" s="1"/>
      <c r="AG238" s="1"/>
      <c r="AH238" s="3"/>
      <c r="AI238" s="1"/>
      <c r="AJ238" s="1"/>
      <c r="AK238" s="1"/>
      <c r="AL238" s="1"/>
      <c r="AM238" s="1"/>
      <c r="AN238" s="2"/>
      <c r="AO238" s="1"/>
      <c r="AP238" s="1"/>
      <c r="AQ238" s="1"/>
      <c r="AR238" s="2"/>
      <c r="AS238" s="1"/>
      <c r="AT238" s="2"/>
      <c r="AU238" s="4"/>
      <c r="AV238" s="7"/>
      <c r="AW238" s="4"/>
      <c r="AX238" s="3"/>
      <c r="AY238" s="4"/>
      <c r="AZ238" s="1"/>
      <c r="BA238" s="1"/>
      <c r="BB238" s="1"/>
      <c r="BC238" s="4"/>
      <c r="BD238" s="1"/>
      <c r="BE238" s="4"/>
      <c r="BF238" s="2"/>
      <c r="BG238" s="4"/>
      <c r="BH238" s="1"/>
      <c r="BI238" s="1"/>
    </row>
    <row r="239" spans="1:61" ht="15" customHeight="1" x14ac:dyDescent="0.25">
      <c r="A239" s="2"/>
      <c r="B239" s="1"/>
      <c r="E239" s="1"/>
      <c r="F239" s="1"/>
      <c r="G239" s="1"/>
      <c r="H239" s="1"/>
      <c r="J239" s="2"/>
      <c r="K239" s="3"/>
      <c r="L239" s="1"/>
      <c r="N239" s="3"/>
      <c r="P239" s="1"/>
      <c r="Q239" s="2"/>
      <c r="R239" s="3"/>
      <c r="S239" s="4"/>
      <c r="T239" s="3"/>
      <c r="U239" s="1"/>
      <c r="V239" s="1"/>
      <c r="W239" s="3"/>
      <c r="X239" s="1"/>
      <c r="Y239" s="4"/>
      <c r="Z239" s="4"/>
      <c r="AA239" s="1"/>
      <c r="AB239" s="1"/>
      <c r="AC239" s="1"/>
      <c r="AD239" s="2"/>
      <c r="AE239" s="1"/>
      <c r="AF239" s="1"/>
      <c r="AG239" s="1"/>
      <c r="AH239" s="3"/>
      <c r="AI239" s="1"/>
      <c r="AJ239" s="1"/>
      <c r="AK239" s="1"/>
      <c r="AL239" s="1"/>
      <c r="AM239" s="1"/>
      <c r="AN239" s="2"/>
      <c r="AO239" s="1"/>
      <c r="AP239" s="1"/>
      <c r="AQ239" s="1"/>
      <c r="AR239" s="2"/>
      <c r="AS239" s="1"/>
      <c r="AT239" s="2"/>
      <c r="AU239" s="4"/>
      <c r="AV239" s="7"/>
      <c r="AW239" s="4"/>
      <c r="AX239" s="3"/>
      <c r="AY239" s="4"/>
      <c r="AZ239" s="1"/>
      <c r="BA239" s="1"/>
      <c r="BB239" s="1"/>
      <c r="BC239" s="4"/>
      <c r="BD239" s="1"/>
      <c r="BE239" s="4"/>
      <c r="BF239" s="2"/>
      <c r="BG239" s="4"/>
      <c r="BH239" s="1"/>
      <c r="BI239" s="1"/>
    </row>
    <row r="240" spans="1:61" ht="15" customHeight="1" x14ac:dyDescent="0.25">
      <c r="A240" s="2"/>
      <c r="B240" s="1"/>
      <c r="E240" s="1"/>
      <c r="F240" s="1"/>
      <c r="G240" s="1"/>
      <c r="H240" s="1"/>
      <c r="J240" s="2"/>
      <c r="K240" s="3"/>
      <c r="L240" s="1"/>
      <c r="N240" s="3"/>
      <c r="P240" s="1"/>
      <c r="Q240" s="2"/>
      <c r="R240" s="3"/>
      <c r="S240" s="4"/>
      <c r="T240" s="3"/>
      <c r="U240" s="1"/>
      <c r="V240" s="1"/>
      <c r="W240" s="3"/>
      <c r="X240" s="1"/>
      <c r="Y240" s="4"/>
      <c r="Z240" s="4"/>
      <c r="AA240" s="1"/>
      <c r="AB240" s="1"/>
      <c r="AC240" s="1"/>
      <c r="AD240" s="2"/>
      <c r="AE240" s="1"/>
      <c r="AF240" s="1"/>
      <c r="AG240" s="1"/>
      <c r="AH240" s="3"/>
      <c r="AI240" s="1"/>
      <c r="AJ240" s="1"/>
      <c r="AK240" s="1"/>
      <c r="AL240" s="1"/>
      <c r="AM240" s="1"/>
      <c r="AN240" s="2"/>
      <c r="AO240" s="1"/>
      <c r="AP240" s="1"/>
      <c r="AQ240" s="1"/>
      <c r="AR240" s="2"/>
      <c r="AS240" s="1"/>
      <c r="AT240" s="2"/>
      <c r="AU240" s="4"/>
      <c r="AV240" s="7"/>
      <c r="AW240" s="4"/>
      <c r="AX240" s="3"/>
      <c r="AY240" s="4"/>
      <c r="AZ240" s="1"/>
      <c r="BA240" s="1"/>
      <c r="BB240" s="1"/>
      <c r="BC240" s="4"/>
      <c r="BD240" s="1"/>
      <c r="BE240" s="4"/>
      <c r="BF240" s="2"/>
      <c r="BG240" s="4"/>
      <c r="BH240" s="1"/>
      <c r="BI240" s="1"/>
    </row>
    <row r="241" spans="1:61" ht="15" customHeight="1" x14ac:dyDescent="0.25">
      <c r="A241" s="2"/>
      <c r="B241" s="1"/>
      <c r="E241" s="1"/>
      <c r="F241" s="1"/>
      <c r="G241" s="1"/>
      <c r="H241" s="1"/>
      <c r="J241" s="2"/>
      <c r="K241" s="3"/>
      <c r="L241" s="1"/>
      <c r="N241" s="3"/>
      <c r="P241" s="1"/>
      <c r="Q241" s="2"/>
      <c r="R241" s="3"/>
      <c r="S241" s="4"/>
      <c r="T241" s="3"/>
      <c r="U241" s="1"/>
      <c r="V241" s="1"/>
      <c r="W241" s="3"/>
      <c r="X241" s="1"/>
      <c r="Y241" s="4"/>
      <c r="Z241" s="4"/>
      <c r="AA241" s="1"/>
      <c r="AB241" s="1"/>
      <c r="AC241" s="1"/>
      <c r="AD241" s="2"/>
      <c r="AE241" s="1"/>
      <c r="AF241" s="1"/>
      <c r="AG241" s="1"/>
      <c r="AH241" s="3"/>
      <c r="AI241" s="1"/>
      <c r="AJ241" s="1"/>
      <c r="AK241" s="1"/>
      <c r="AL241" s="1"/>
      <c r="AM241" s="1"/>
      <c r="AN241" s="2"/>
      <c r="AO241" s="1"/>
      <c r="AP241" s="1"/>
      <c r="AQ241" s="1"/>
      <c r="AR241" s="2"/>
      <c r="AS241" s="1"/>
      <c r="AT241" s="2"/>
      <c r="AU241" s="4"/>
      <c r="AV241" s="7"/>
      <c r="AW241" s="4"/>
      <c r="AX241" s="3"/>
      <c r="AY241" s="4"/>
      <c r="AZ241" s="1"/>
      <c r="BA241" s="1"/>
      <c r="BB241" s="1"/>
      <c r="BC241" s="4"/>
      <c r="BD241" s="1"/>
      <c r="BE241" s="4"/>
      <c r="BF241" s="2"/>
      <c r="BG241" s="4"/>
      <c r="BH241" s="1"/>
      <c r="BI241" s="1"/>
    </row>
    <row r="242" spans="1:61" ht="15" customHeight="1" x14ac:dyDescent="0.25">
      <c r="A242" s="2"/>
      <c r="B242" s="1"/>
      <c r="E242" s="1"/>
      <c r="F242" s="1"/>
      <c r="G242" s="1"/>
      <c r="H242" s="1"/>
      <c r="J242" s="2"/>
      <c r="K242" s="3"/>
      <c r="L242" s="1"/>
      <c r="N242" s="3"/>
      <c r="P242" s="1"/>
      <c r="Q242" s="2"/>
      <c r="R242" s="3"/>
      <c r="S242" s="4"/>
      <c r="T242" s="3"/>
      <c r="U242" s="1"/>
      <c r="V242" s="1"/>
      <c r="W242" s="3"/>
      <c r="X242" s="1"/>
      <c r="Y242" s="4"/>
      <c r="Z242" s="4"/>
      <c r="AA242" s="1"/>
      <c r="AB242" s="1"/>
      <c r="AC242" s="1"/>
      <c r="AD242" s="2"/>
      <c r="AE242" s="1"/>
      <c r="AF242" s="1"/>
      <c r="AG242" s="1"/>
      <c r="AH242" s="3"/>
      <c r="AI242" s="1"/>
      <c r="AJ242" s="1"/>
      <c r="AK242" s="1"/>
      <c r="AL242" s="1"/>
      <c r="AM242" s="1"/>
      <c r="AN242" s="2"/>
      <c r="AO242" s="1"/>
      <c r="AP242" s="1"/>
      <c r="AQ242" s="1"/>
      <c r="AR242" s="2"/>
      <c r="AS242" s="1"/>
      <c r="AT242" s="2"/>
      <c r="AU242" s="4"/>
      <c r="AV242" s="7"/>
      <c r="AW242" s="4"/>
      <c r="AX242" s="3"/>
      <c r="AY242" s="4"/>
      <c r="AZ242" s="1"/>
      <c r="BA242" s="1"/>
      <c r="BB242" s="1"/>
      <c r="BC242" s="4"/>
      <c r="BD242" s="1"/>
      <c r="BE242" s="4"/>
      <c r="BF242" s="2"/>
      <c r="BG242" s="4"/>
      <c r="BH242" s="1"/>
      <c r="BI242" s="1"/>
    </row>
    <row r="243" spans="1:61" ht="15" customHeight="1" x14ac:dyDescent="0.25">
      <c r="A243" s="2"/>
      <c r="B243" s="1"/>
      <c r="E243" s="1"/>
      <c r="F243" s="1"/>
      <c r="G243" s="1"/>
      <c r="H243" s="1"/>
      <c r="J243" s="2"/>
      <c r="K243" s="3"/>
      <c r="L243" s="1"/>
      <c r="N243" s="3"/>
      <c r="P243" s="1"/>
      <c r="Q243" s="2"/>
      <c r="R243" s="3"/>
      <c r="S243" s="4"/>
      <c r="T243" s="3"/>
      <c r="U243" s="1"/>
      <c r="V243" s="1"/>
      <c r="W243" s="3"/>
      <c r="X243" s="1"/>
      <c r="Y243" s="4"/>
      <c r="Z243" s="4"/>
      <c r="AA243" s="1"/>
      <c r="AB243" s="1"/>
      <c r="AC243" s="1"/>
      <c r="AD243" s="2"/>
      <c r="AE243" s="1"/>
      <c r="AF243" s="1"/>
      <c r="AG243" s="1"/>
      <c r="AH243" s="3"/>
      <c r="AI243" s="1"/>
      <c r="AJ243" s="1"/>
      <c r="AK243" s="1"/>
      <c r="AL243" s="1"/>
      <c r="AM243" s="1"/>
      <c r="AN243" s="2"/>
      <c r="AO243" s="1"/>
      <c r="AP243" s="1"/>
      <c r="AQ243" s="1"/>
      <c r="AR243" s="2"/>
      <c r="AS243" s="1"/>
      <c r="AT243" s="2"/>
      <c r="AU243" s="4"/>
      <c r="AV243" s="7"/>
      <c r="AW243" s="4"/>
      <c r="AX243" s="3"/>
      <c r="AY243" s="4"/>
      <c r="AZ243" s="1"/>
      <c r="BA243" s="1"/>
      <c r="BB243" s="1"/>
      <c r="BC243" s="4"/>
      <c r="BD243" s="1"/>
      <c r="BE243" s="4"/>
      <c r="BF243" s="2"/>
      <c r="BG243" s="4"/>
      <c r="BH243" s="1"/>
      <c r="BI243" s="1"/>
    </row>
    <row r="244" spans="1:61" ht="15" customHeight="1" x14ac:dyDescent="0.25">
      <c r="A244" s="2"/>
      <c r="B244" s="1"/>
      <c r="E244" s="1"/>
      <c r="F244" s="1"/>
      <c r="G244" s="1"/>
      <c r="H244" s="1"/>
      <c r="J244" s="2"/>
      <c r="K244" s="3"/>
      <c r="L244" s="1"/>
      <c r="N244" s="3"/>
      <c r="P244" s="1"/>
      <c r="Q244" s="2"/>
      <c r="R244" s="3"/>
      <c r="S244" s="4"/>
      <c r="T244" s="3"/>
      <c r="U244" s="1"/>
      <c r="V244" s="1"/>
      <c r="W244" s="3"/>
      <c r="X244" s="1"/>
      <c r="Y244" s="4"/>
      <c r="Z244" s="4"/>
      <c r="AA244" s="1"/>
      <c r="AB244" s="1"/>
      <c r="AC244" s="1"/>
      <c r="AD244" s="2"/>
      <c r="AE244" s="1"/>
      <c r="AF244" s="1"/>
      <c r="AG244" s="1"/>
      <c r="AH244" s="3"/>
      <c r="AI244" s="1"/>
      <c r="AJ244" s="1"/>
      <c r="AK244" s="1"/>
      <c r="AL244" s="1"/>
      <c r="AM244" s="1"/>
      <c r="AN244" s="2"/>
      <c r="AO244" s="1"/>
      <c r="AP244" s="1"/>
      <c r="AQ244" s="1"/>
      <c r="AR244" s="2"/>
      <c r="AS244" s="1"/>
      <c r="AT244" s="2"/>
      <c r="AU244" s="4"/>
      <c r="AV244" s="7"/>
      <c r="AW244" s="4"/>
      <c r="AX244" s="3"/>
      <c r="AY244" s="4"/>
      <c r="AZ244" s="1"/>
      <c r="BA244" s="1"/>
      <c r="BB244" s="1"/>
      <c r="BC244" s="4"/>
      <c r="BD244" s="1"/>
      <c r="BE244" s="4"/>
      <c r="BF244" s="2"/>
      <c r="BG244" s="4"/>
      <c r="BH244" s="1"/>
      <c r="BI244" s="1"/>
    </row>
    <row r="245" spans="1:61" ht="15" customHeight="1" x14ac:dyDescent="0.25">
      <c r="A245" s="2"/>
      <c r="B245" s="1"/>
      <c r="E245" s="1"/>
      <c r="F245" s="1"/>
      <c r="G245" s="1"/>
      <c r="H245" s="1"/>
      <c r="J245" s="2"/>
      <c r="K245" s="3"/>
      <c r="L245" s="1"/>
      <c r="N245" s="3"/>
      <c r="P245" s="1"/>
      <c r="Q245" s="2"/>
      <c r="R245" s="3"/>
      <c r="S245" s="4"/>
      <c r="T245" s="3"/>
      <c r="U245" s="1"/>
      <c r="V245" s="1"/>
      <c r="W245" s="3"/>
      <c r="X245" s="1"/>
      <c r="Y245" s="4"/>
      <c r="Z245" s="4"/>
      <c r="AA245" s="1"/>
      <c r="AB245" s="1"/>
      <c r="AC245" s="1"/>
      <c r="AD245" s="2"/>
      <c r="AE245" s="1"/>
      <c r="AF245" s="1"/>
      <c r="AG245" s="1"/>
      <c r="AH245" s="3"/>
      <c r="AI245" s="1"/>
      <c r="AJ245" s="1"/>
      <c r="AK245" s="1"/>
      <c r="AL245" s="1"/>
      <c r="AM245" s="1"/>
      <c r="AN245" s="2"/>
      <c r="AO245" s="1"/>
      <c r="AP245" s="1"/>
      <c r="AQ245" s="1"/>
      <c r="AR245" s="2"/>
      <c r="AS245" s="1"/>
      <c r="AT245" s="2"/>
      <c r="AU245" s="4"/>
      <c r="AV245" s="7"/>
      <c r="AW245" s="4"/>
      <c r="AX245" s="3"/>
      <c r="AY245" s="4"/>
      <c r="AZ245" s="1"/>
      <c r="BA245" s="1"/>
      <c r="BB245" s="1"/>
      <c r="BC245" s="4"/>
      <c r="BD245" s="1"/>
      <c r="BE245" s="4"/>
      <c r="BF245" s="2"/>
      <c r="BG245" s="4"/>
      <c r="BH245" s="1"/>
      <c r="BI245" s="1"/>
    </row>
    <row r="246" spans="1:61" ht="15" customHeight="1" x14ac:dyDescent="0.25">
      <c r="A246" s="2"/>
      <c r="B246" s="1"/>
      <c r="E246" s="1"/>
      <c r="F246" s="1"/>
      <c r="G246" s="1"/>
      <c r="H246" s="1"/>
      <c r="J246" s="2"/>
      <c r="K246" s="3"/>
      <c r="L246" s="1"/>
      <c r="N246" s="3"/>
      <c r="P246" s="1"/>
      <c r="Q246" s="2"/>
      <c r="R246" s="3"/>
      <c r="S246" s="4"/>
      <c r="T246" s="3"/>
      <c r="U246" s="1"/>
      <c r="V246" s="1"/>
      <c r="W246" s="3"/>
      <c r="X246" s="1"/>
      <c r="Y246" s="4"/>
      <c r="Z246" s="4"/>
      <c r="AA246" s="1"/>
      <c r="AB246" s="1"/>
      <c r="AC246" s="1"/>
      <c r="AD246" s="2"/>
      <c r="AE246" s="1"/>
      <c r="AF246" s="1"/>
      <c r="AG246" s="1"/>
      <c r="AH246" s="3"/>
      <c r="AI246" s="1"/>
      <c r="AJ246" s="1"/>
      <c r="AK246" s="1"/>
      <c r="AL246" s="1"/>
      <c r="AM246" s="1"/>
      <c r="AN246" s="2"/>
      <c r="AO246" s="1"/>
      <c r="AP246" s="1"/>
      <c r="AQ246" s="1"/>
      <c r="AR246" s="2"/>
      <c r="AS246" s="1"/>
      <c r="AT246" s="2"/>
      <c r="AU246" s="4"/>
      <c r="AV246" s="7"/>
      <c r="AW246" s="4"/>
      <c r="AX246" s="3"/>
      <c r="AY246" s="4"/>
      <c r="AZ246" s="1"/>
      <c r="BA246" s="1"/>
      <c r="BB246" s="1"/>
      <c r="BC246" s="4"/>
      <c r="BD246" s="1"/>
      <c r="BE246" s="4"/>
      <c r="BF246" s="2"/>
      <c r="BG246" s="4"/>
      <c r="BH246" s="1"/>
      <c r="BI246" s="1"/>
    </row>
    <row r="247" spans="1:61" ht="15" customHeight="1" x14ac:dyDescent="0.25">
      <c r="A247" s="2"/>
      <c r="B247" s="1"/>
      <c r="E247" s="1"/>
      <c r="F247" s="1"/>
      <c r="G247" s="1"/>
      <c r="H247" s="1"/>
      <c r="J247" s="2"/>
      <c r="K247" s="3"/>
      <c r="L247" s="1"/>
      <c r="N247" s="3"/>
      <c r="P247" s="1"/>
      <c r="Q247" s="2"/>
      <c r="R247" s="3"/>
      <c r="S247" s="4"/>
      <c r="T247" s="3"/>
      <c r="U247" s="1"/>
      <c r="V247" s="1"/>
      <c r="W247" s="3"/>
      <c r="X247" s="1"/>
      <c r="Y247" s="4"/>
      <c r="Z247" s="4"/>
      <c r="AA247" s="1"/>
      <c r="AB247" s="1"/>
      <c r="AC247" s="1"/>
      <c r="AD247" s="2"/>
      <c r="AE247" s="1"/>
      <c r="AF247" s="1"/>
      <c r="AG247" s="1"/>
      <c r="AH247" s="3"/>
      <c r="AI247" s="1"/>
      <c r="AJ247" s="1"/>
      <c r="AK247" s="1"/>
      <c r="AL247" s="1"/>
      <c r="AM247" s="1"/>
      <c r="AN247" s="2"/>
      <c r="AO247" s="1"/>
      <c r="AP247" s="1"/>
      <c r="AQ247" s="1"/>
      <c r="AR247" s="2"/>
      <c r="AS247" s="1"/>
      <c r="AT247" s="2"/>
      <c r="AU247" s="4"/>
      <c r="AV247" s="7"/>
      <c r="AW247" s="4"/>
      <c r="AX247" s="3"/>
      <c r="AY247" s="4"/>
      <c r="AZ247" s="1"/>
      <c r="BA247" s="1"/>
      <c r="BB247" s="1"/>
      <c r="BC247" s="4"/>
      <c r="BD247" s="1"/>
      <c r="BE247" s="4"/>
      <c r="BF247" s="2"/>
      <c r="BG247" s="4"/>
      <c r="BH247" s="1"/>
      <c r="BI247" s="1"/>
    </row>
    <row r="248" spans="1:61" ht="15" customHeight="1" x14ac:dyDescent="0.25">
      <c r="A248" s="2"/>
      <c r="B248" s="1"/>
      <c r="E248" s="1"/>
      <c r="F248" s="1"/>
      <c r="G248" s="1"/>
      <c r="H248" s="1"/>
      <c r="J248" s="2"/>
      <c r="K248" s="3"/>
      <c r="L248" s="1"/>
      <c r="N248" s="3"/>
      <c r="P248" s="1"/>
      <c r="Q248" s="2"/>
      <c r="R248" s="3"/>
      <c r="S248" s="4"/>
      <c r="T248" s="3"/>
      <c r="U248" s="1"/>
      <c r="V248" s="1"/>
      <c r="W248" s="3"/>
      <c r="X248" s="1"/>
      <c r="Y248" s="4"/>
      <c r="Z248" s="4"/>
      <c r="AA248" s="1"/>
      <c r="AB248" s="1"/>
      <c r="AC248" s="1"/>
      <c r="AD248" s="2"/>
      <c r="AE248" s="1"/>
      <c r="AF248" s="1"/>
      <c r="AG248" s="1"/>
      <c r="AH248" s="3"/>
      <c r="AI248" s="1"/>
      <c r="AJ248" s="1"/>
      <c r="AK248" s="1"/>
      <c r="AL248" s="1"/>
      <c r="AM248" s="1"/>
      <c r="AN248" s="2"/>
      <c r="AO248" s="1"/>
      <c r="AP248" s="1"/>
      <c r="AQ248" s="1"/>
      <c r="AR248" s="2"/>
      <c r="AS248" s="1"/>
      <c r="AT248" s="2"/>
      <c r="AU248" s="4"/>
      <c r="AV248" s="7"/>
      <c r="AW248" s="4"/>
      <c r="AX248" s="3"/>
      <c r="AY248" s="4"/>
      <c r="AZ248" s="1"/>
      <c r="BA248" s="1"/>
      <c r="BB248" s="1"/>
      <c r="BC248" s="4"/>
      <c r="BD248" s="1"/>
      <c r="BE248" s="4"/>
      <c r="BF248" s="2"/>
      <c r="BG248" s="4"/>
      <c r="BH248" s="1"/>
      <c r="BI248" s="1"/>
    </row>
    <row r="249" spans="1:61" ht="15" customHeight="1" x14ac:dyDescent="0.25">
      <c r="A249" s="2"/>
      <c r="B249" s="1"/>
      <c r="E249" s="1"/>
      <c r="F249" s="1"/>
      <c r="G249" s="1"/>
      <c r="H249" s="1"/>
      <c r="J249" s="2"/>
      <c r="K249" s="3"/>
      <c r="L249" s="1"/>
      <c r="N249" s="3"/>
      <c r="P249" s="1"/>
      <c r="Q249" s="2"/>
      <c r="R249" s="3"/>
      <c r="S249" s="4"/>
      <c r="T249" s="3"/>
      <c r="U249" s="1"/>
      <c r="V249" s="1"/>
      <c r="W249" s="3"/>
      <c r="X249" s="1"/>
      <c r="Y249" s="4"/>
      <c r="Z249" s="4"/>
      <c r="AA249" s="1"/>
      <c r="AB249" s="1"/>
      <c r="AC249" s="1"/>
      <c r="AD249" s="2"/>
      <c r="AE249" s="1"/>
      <c r="AF249" s="1"/>
      <c r="AG249" s="1"/>
      <c r="AH249" s="3"/>
      <c r="AI249" s="1"/>
      <c r="AJ249" s="1"/>
      <c r="AK249" s="1"/>
      <c r="AL249" s="1"/>
      <c r="AM249" s="1"/>
      <c r="AN249" s="2"/>
      <c r="AO249" s="1"/>
      <c r="AP249" s="1"/>
      <c r="AQ249" s="1"/>
      <c r="AR249" s="2"/>
      <c r="AS249" s="1"/>
      <c r="AT249" s="2"/>
      <c r="AU249" s="4"/>
      <c r="AV249" s="7"/>
      <c r="AW249" s="4"/>
      <c r="AX249" s="3"/>
      <c r="AY249" s="4"/>
      <c r="AZ249" s="1"/>
      <c r="BA249" s="1"/>
      <c r="BB249" s="1"/>
      <c r="BC249" s="4"/>
      <c r="BD249" s="1"/>
      <c r="BE249" s="4"/>
      <c r="BF249" s="2"/>
      <c r="BG249" s="4"/>
      <c r="BH249" s="1"/>
      <c r="BI249" s="1"/>
    </row>
    <row r="250" spans="1:61" ht="15" customHeight="1" x14ac:dyDescent="0.25">
      <c r="A250" s="2"/>
      <c r="B250" s="1"/>
      <c r="E250" s="1"/>
      <c r="F250" s="1"/>
      <c r="G250" s="1"/>
      <c r="H250" s="1"/>
      <c r="J250" s="2"/>
      <c r="K250" s="3"/>
      <c r="L250" s="1"/>
      <c r="N250" s="3"/>
      <c r="P250" s="1"/>
      <c r="Q250" s="2"/>
      <c r="R250" s="3"/>
      <c r="S250" s="4"/>
      <c r="T250" s="3"/>
      <c r="U250" s="1"/>
      <c r="V250" s="1"/>
      <c r="W250" s="3"/>
      <c r="X250" s="1"/>
      <c r="Y250" s="4"/>
      <c r="Z250" s="4"/>
      <c r="AA250" s="1"/>
      <c r="AB250" s="1"/>
      <c r="AC250" s="1"/>
      <c r="AD250" s="2"/>
      <c r="AE250" s="1"/>
      <c r="AF250" s="1"/>
      <c r="AG250" s="1"/>
      <c r="AH250" s="3"/>
      <c r="AI250" s="1"/>
      <c r="AJ250" s="1"/>
      <c r="AK250" s="1"/>
      <c r="AL250" s="1"/>
      <c r="AM250" s="1"/>
      <c r="AN250" s="2"/>
      <c r="AO250" s="1"/>
      <c r="AP250" s="1"/>
      <c r="AQ250" s="1"/>
      <c r="AR250" s="2"/>
      <c r="AS250" s="1"/>
      <c r="AT250" s="2"/>
      <c r="AU250" s="4"/>
      <c r="AV250" s="7"/>
      <c r="AW250" s="4"/>
      <c r="AX250" s="3"/>
      <c r="AY250" s="4"/>
      <c r="AZ250" s="1"/>
      <c r="BA250" s="1"/>
      <c r="BB250" s="1"/>
      <c r="BC250" s="4"/>
      <c r="BD250" s="1"/>
      <c r="BE250" s="4"/>
      <c r="BF250" s="2"/>
      <c r="BG250" s="4"/>
      <c r="BH250" s="1"/>
      <c r="BI250" s="1"/>
    </row>
    <row r="251" spans="1:61" ht="15" customHeight="1" x14ac:dyDescent="0.25">
      <c r="A251" s="2"/>
      <c r="B251" s="1"/>
      <c r="E251" s="1"/>
      <c r="F251" s="1"/>
      <c r="G251" s="1"/>
      <c r="H251" s="1"/>
      <c r="J251" s="2"/>
      <c r="K251" s="3"/>
      <c r="L251" s="1"/>
      <c r="N251" s="3"/>
      <c r="P251" s="1"/>
      <c r="Q251" s="2"/>
      <c r="R251" s="3"/>
      <c r="S251" s="4"/>
      <c r="T251" s="3"/>
      <c r="U251" s="1"/>
      <c r="V251" s="1"/>
      <c r="W251" s="3"/>
      <c r="X251" s="1"/>
      <c r="Y251" s="4"/>
      <c r="Z251" s="4"/>
      <c r="AA251" s="1"/>
      <c r="AB251" s="1"/>
      <c r="AC251" s="1"/>
      <c r="AD251" s="2"/>
      <c r="AE251" s="1"/>
      <c r="AF251" s="1"/>
      <c r="AG251" s="1"/>
      <c r="AH251" s="3"/>
      <c r="AI251" s="1"/>
      <c r="AJ251" s="1"/>
      <c r="AK251" s="1"/>
      <c r="AL251" s="1"/>
      <c r="AM251" s="1"/>
      <c r="AN251" s="2"/>
      <c r="AO251" s="1"/>
      <c r="AP251" s="1"/>
      <c r="AQ251" s="1"/>
      <c r="AR251" s="2"/>
      <c r="AS251" s="1"/>
      <c r="AT251" s="2"/>
      <c r="AU251" s="4"/>
      <c r="AV251" s="7"/>
      <c r="AW251" s="4"/>
      <c r="AX251" s="3"/>
      <c r="AY251" s="4"/>
      <c r="AZ251" s="1"/>
      <c r="BA251" s="1"/>
      <c r="BB251" s="1"/>
      <c r="BC251" s="4"/>
      <c r="BD251" s="1"/>
      <c r="BE251" s="4"/>
      <c r="BF251" s="2"/>
      <c r="BG251" s="4"/>
      <c r="BH251" s="1"/>
      <c r="BI251" s="1"/>
    </row>
    <row r="252" spans="1:61" ht="15" customHeight="1" x14ac:dyDescent="0.25">
      <c r="A252" s="2"/>
      <c r="B252" s="1"/>
      <c r="E252" s="1"/>
      <c r="F252" s="1"/>
      <c r="G252" s="1"/>
      <c r="H252" s="1"/>
      <c r="J252" s="2"/>
      <c r="K252" s="3"/>
      <c r="L252" s="1"/>
      <c r="N252" s="3"/>
      <c r="P252" s="1"/>
      <c r="Q252" s="2"/>
      <c r="R252" s="3"/>
      <c r="S252" s="4"/>
      <c r="T252" s="3"/>
      <c r="U252" s="1"/>
      <c r="V252" s="1"/>
      <c r="W252" s="3"/>
      <c r="X252" s="1"/>
      <c r="Y252" s="4"/>
      <c r="Z252" s="4"/>
      <c r="AA252" s="1"/>
      <c r="AB252" s="1"/>
      <c r="AC252" s="1"/>
      <c r="AD252" s="2"/>
      <c r="AE252" s="1"/>
      <c r="AF252" s="1"/>
      <c r="AG252" s="1"/>
      <c r="AH252" s="3"/>
      <c r="AI252" s="1"/>
      <c r="AJ252" s="1"/>
      <c r="AK252" s="1"/>
      <c r="AL252" s="1"/>
      <c r="AM252" s="1"/>
      <c r="AN252" s="2"/>
      <c r="AO252" s="1"/>
      <c r="AP252" s="1"/>
      <c r="AQ252" s="1"/>
      <c r="AR252" s="2"/>
      <c r="AS252" s="1"/>
      <c r="AT252" s="2"/>
      <c r="AU252" s="4"/>
      <c r="AV252" s="4"/>
      <c r="AW252" s="4"/>
      <c r="AX252" s="3"/>
      <c r="AY252" s="4"/>
      <c r="AZ252" s="1"/>
      <c r="BA252" s="1"/>
      <c r="BB252" s="1"/>
      <c r="BC252" s="4"/>
      <c r="BD252" s="1"/>
      <c r="BE252" s="4"/>
      <c r="BF252" s="2"/>
      <c r="BG252" s="4"/>
      <c r="BH252" s="1"/>
      <c r="BI252" s="1"/>
    </row>
    <row r="253" spans="1:61" ht="15" customHeight="1" x14ac:dyDescent="0.25">
      <c r="A253" s="2"/>
      <c r="B253" s="1"/>
      <c r="E253" s="1"/>
      <c r="F253" s="1"/>
      <c r="G253" s="1"/>
      <c r="H253" s="1"/>
      <c r="J253" s="2"/>
      <c r="K253" s="3"/>
      <c r="L253" s="1"/>
      <c r="N253" s="3"/>
      <c r="P253" s="1"/>
      <c r="Q253" s="2"/>
      <c r="R253" s="3"/>
      <c r="S253" s="4"/>
      <c r="T253" s="3"/>
      <c r="U253" s="1"/>
      <c r="V253" s="1"/>
      <c r="W253" s="3"/>
      <c r="X253" s="1"/>
      <c r="Y253" s="4"/>
      <c r="Z253" s="4"/>
      <c r="AA253" s="1"/>
      <c r="AB253" s="1"/>
      <c r="AC253" s="1"/>
      <c r="AD253" s="2"/>
      <c r="AE253" s="1"/>
      <c r="AF253" s="1"/>
      <c r="AG253" s="1"/>
      <c r="AH253" s="3"/>
      <c r="AI253" s="1"/>
      <c r="AJ253" s="1"/>
      <c r="AK253" s="1"/>
      <c r="AL253" s="1"/>
      <c r="AM253" s="1"/>
      <c r="AN253" s="2"/>
      <c r="AO253" s="1"/>
      <c r="AP253" s="1"/>
      <c r="AQ253" s="1"/>
      <c r="AR253" s="2"/>
      <c r="AS253" s="1"/>
      <c r="AT253" s="2"/>
      <c r="AU253" s="4"/>
      <c r="AV253" s="7"/>
      <c r="AW253" s="4"/>
      <c r="AX253" s="3"/>
      <c r="AY253" s="4"/>
      <c r="AZ253" s="1"/>
      <c r="BA253" s="1"/>
      <c r="BB253" s="1"/>
      <c r="BC253" s="4"/>
      <c r="BD253" s="1"/>
      <c r="BE253" s="4"/>
      <c r="BF253" s="2"/>
      <c r="BG253" s="4"/>
      <c r="BH253" s="1"/>
      <c r="BI253" s="1"/>
    </row>
    <row r="254" spans="1:61" ht="15" customHeight="1" x14ac:dyDescent="0.25">
      <c r="A254" s="2"/>
      <c r="B254" s="1"/>
      <c r="E254" s="1"/>
      <c r="F254" s="1"/>
      <c r="G254" s="1"/>
      <c r="H254" s="1"/>
      <c r="J254" s="2"/>
      <c r="K254" s="3"/>
      <c r="L254" s="1"/>
      <c r="N254" s="3"/>
      <c r="P254" s="1"/>
      <c r="Q254" s="2"/>
      <c r="R254" s="3"/>
      <c r="S254" s="4"/>
      <c r="T254" s="3"/>
      <c r="U254" s="1"/>
      <c r="V254" s="1"/>
      <c r="W254" s="3"/>
      <c r="X254" s="1"/>
      <c r="Y254" s="4"/>
      <c r="Z254" s="4"/>
      <c r="AA254" s="1"/>
      <c r="AB254" s="1"/>
      <c r="AC254" s="1"/>
      <c r="AD254" s="2"/>
      <c r="AE254" s="1"/>
      <c r="AF254" s="1"/>
      <c r="AG254" s="1"/>
      <c r="AH254" s="3"/>
      <c r="AI254" s="1"/>
      <c r="AJ254" s="1"/>
      <c r="AK254" s="1"/>
      <c r="AL254" s="1"/>
      <c r="AM254" s="1"/>
      <c r="AN254" s="2"/>
      <c r="AO254" s="1"/>
      <c r="AP254" s="1"/>
      <c r="AQ254" s="1"/>
      <c r="AR254" s="2"/>
      <c r="AS254" s="1"/>
      <c r="AT254" s="2"/>
      <c r="AU254" s="4"/>
      <c r="AV254" s="7"/>
      <c r="AW254" s="4"/>
      <c r="AX254" s="3"/>
      <c r="AY254" s="4"/>
      <c r="AZ254" s="1"/>
      <c r="BA254" s="1"/>
      <c r="BB254" s="1"/>
      <c r="BC254" s="4"/>
      <c r="BD254" s="1"/>
      <c r="BE254" s="4"/>
      <c r="BF254" s="2"/>
      <c r="BG254" s="4"/>
      <c r="BH254" s="1"/>
      <c r="BI254" s="1"/>
    </row>
    <row r="255" spans="1:61" ht="15" customHeight="1" x14ac:dyDescent="0.25">
      <c r="A255" s="2"/>
      <c r="B255" s="1"/>
      <c r="E255" s="1"/>
      <c r="F255" s="1"/>
      <c r="G255" s="1"/>
      <c r="H255" s="1"/>
      <c r="J255" s="2"/>
      <c r="K255" s="3"/>
      <c r="L255" s="1"/>
      <c r="N255" s="3"/>
      <c r="P255" s="1"/>
      <c r="Q255" s="2"/>
      <c r="R255" s="3"/>
      <c r="S255" s="4"/>
      <c r="T255" s="3"/>
      <c r="U255" s="1"/>
      <c r="V255" s="1"/>
      <c r="W255" s="3"/>
      <c r="X255" s="1"/>
      <c r="Y255" s="4"/>
      <c r="Z255" s="4"/>
      <c r="AA255" s="1"/>
      <c r="AB255" s="1"/>
      <c r="AC255" s="1"/>
      <c r="AD255" s="2"/>
      <c r="AE255" s="1"/>
      <c r="AF255" s="1"/>
      <c r="AG255" s="1"/>
      <c r="AH255" s="3"/>
      <c r="AI255" s="1"/>
      <c r="AJ255" s="1"/>
      <c r="AK255" s="1"/>
      <c r="AL255" s="1"/>
      <c r="AM255" s="1"/>
      <c r="AN255" s="2"/>
      <c r="AO255" s="1"/>
      <c r="AP255" s="1"/>
      <c r="AQ255" s="1"/>
      <c r="AR255" s="2"/>
      <c r="AS255" s="1"/>
      <c r="AT255" s="2"/>
      <c r="AU255" s="4"/>
      <c r="AV255" s="7"/>
      <c r="AW255" s="4"/>
      <c r="AX255" s="3"/>
      <c r="AY255" s="4"/>
      <c r="AZ255" s="1"/>
      <c r="BA255" s="1"/>
      <c r="BB255" s="1"/>
      <c r="BC255" s="4"/>
      <c r="BD255" s="1"/>
      <c r="BE255" s="4"/>
      <c r="BF255" s="2"/>
      <c r="BG255" s="4"/>
      <c r="BH255" s="1"/>
      <c r="BI255" s="1"/>
    </row>
    <row r="256" spans="1:61" ht="15" customHeight="1" x14ac:dyDescent="0.25">
      <c r="A256" s="2"/>
      <c r="B256" s="1"/>
      <c r="E256" s="1"/>
      <c r="F256" s="1"/>
      <c r="G256" s="1"/>
      <c r="H256" s="1"/>
      <c r="J256" s="2"/>
      <c r="K256" s="3"/>
      <c r="L256" s="1"/>
      <c r="N256" s="3"/>
      <c r="P256" s="1"/>
      <c r="Q256" s="2"/>
      <c r="R256" s="3"/>
      <c r="S256" s="4"/>
      <c r="T256" s="3"/>
      <c r="U256" s="1"/>
      <c r="V256" s="1"/>
      <c r="W256" s="3"/>
      <c r="X256" s="1"/>
      <c r="Y256" s="4"/>
      <c r="Z256" s="4"/>
      <c r="AA256" s="1"/>
      <c r="AB256" s="1"/>
      <c r="AC256" s="1"/>
      <c r="AD256" s="2"/>
      <c r="AE256" s="1"/>
      <c r="AF256" s="1"/>
      <c r="AG256" s="1"/>
      <c r="AH256" s="3"/>
      <c r="AI256" s="1"/>
      <c r="AJ256" s="1"/>
      <c r="AK256" s="1"/>
      <c r="AL256" s="1"/>
      <c r="AM256" s="1"/>
      <c r="AN256" s="2"/>
      <c r="AO256" s="1"/>
      <c r="AP256" s="1"/>
      <c r="AQ256" s="1"/>
      <c r="AR256" s="2"/>
      <c r="AS256" s="1"/>
      <c r="AT256" s="2"/>
      <c r="AU256" s="4"/>
      <c r="AV256" s="7"/>
      <c r="AW256" s="4"/>
      <c r="AX256" s="3"/>
      <c r="AY256" s="4"/>
      <c r="AZ256" s="1"/>
      <c r="BA256" s="1"/>
      <c r="BB256" s="1"/>
      <c r="BC256" s="4"/>
      <c r="BD256" s="1"/>
      <c r="BE256" s="4"/>
      <c r="BF256" s="2"/>
      <c r="BG256" s="4"/>
      <c r="BH256" s="1"/>
      <c r="BI256" s="1"/>
    </row>
    <row r="257" spans="1:61" ht="15" customHeight="1" x14ac:dyDescent="0.25">
      <c r="A257" s="2"/>
      <c r="B257" s="1"/>
      <c r="E257" s="1"/>
      <c r="F257" s="1"/>
      <c r="G257" s="1"/>
      <c r="H257" s="1"/>
      <c r="J257" s="2"/>
      <c r="K257" s="3"/>
      <c r="L257" s="1"/>
      <c r="N257" s="3"/>
      <c r="P257" s="1"/>
      <c r="Q257" s="2"/>
      <c r="R257" s="3"/>
      <c r="S257" s="4"/>
      <c r="T257" s="3"/>
      <c r="U257" s="1"/>
      <c r="V257" s="1"/>
      <c r="W257" s="3"/>
      <c r="X257" s="1"/>
      <c r="Y257" s="4"/>
      <c r="Z257" s="4"/>
      <c r="AA257" s="1"/>
      <c r="AB257" s="1"/>
      <c r="AC257" s="1"/>
      <c r="AD257" s="2"/>
      <c r="AE257" s="1"/>
      <c r="AF257" s="1"/>
      <c r="AG257" s="1"/>
      <c r="AH257" s="3"/>
      <c r="AI257" s="1"/>
      <c r="AJ257" s="1"/>
      <c r="AK257" s="1"/>
      <c r="AL257" s="1"/>
      <c r="AM257" s="1"/>
      <c r="AN257" s="2"/>
      <c r="AO257" s="1"/>
      <c r="AP257" s="1"/>
      <c r="AQ257" s="1"/>
      <c r="AR257" s="2"/>
      <c r="AS257" s="1"/>
      <c r="AT257" s="2"/>
      <c r="AU257" s="4"/>
      <c r="AV257" s="7"/>
      <c r="AW257" s="4"/>
      <c r="AX257" s="3"/>
      <c r="AY257" s="4"/>
      <c r="AZ257" s="1"/>
      <c r="BA257" s="1"/>
      <c r="BB257" s="1"/>
      <c r="BC257" s="4"/>
      <c r="BD257" s="1"/>
      <c r="BE257" s="4"/>
      <c r="BF257" s="2"/>
      <c r="BG257" s="4"/>
      <c r="BH257" s="1"/>
      <c r="BI257" s="1"/>
    </row>
    <row r="258" spans="1:61" ht="15" customHeight="1" x14ac:dyDescent="0.25">
      <c r="A258" s="2"/>
      <c r="B258" s="1"/>
      <c r="E258" s="1"/>
      <c r="F258" s="1"/>
      <c r="G258" s="1"/>
      <c r="H258" s="1"/>
      <c r="J258" s="2"/>
      <c r="K258" s="3"/>
      <c r="L258" s="1"/>
      <c r="N258" s="3"/>
      <c r="P258" s="1"/>
      <c r="Q258" s="2"/>
      <c r="R258" s="3"/>
      <c r="S258" s="4"/>
      <c r="T258" s="3"/>
      <c r="U258" s="1"/>
      <c r="V258" s="1"/>
      <c r="W258" s="3"/>
      <c r="X258" s="1"/>
      <c r="Y258" s="4"/>
      <c r="Z258" s="4"/>
      <c r="AA258" s="1"/>
      <c r="AB258" s="1"/>
      <c r="AC258" s="1"/>
      <c r="AD258" s="2"/>
      <c r="AE258" s="1"/>
      <c r="AF258" s="1"/>
      <c r="AG258" s="1"/>
      <c r="AH258" s="3"/>
      <c r="AI258" s="1"/>
      <c r="AJ258" s="1"/>
      <c r="AK258" s="1"/>
      <c r="AL258" s="1"/>
      <c r="AM258" s="1"/>
      <c r="AN258" s="2"/>
      <c r="AO258" s="1"/>
      <c r="AP258" s="1"/>
      <c r="AQ258" s="1"/>
      <c r="AR258" s="2"/>
      <c r="AS258" s="1"/>
      <c r="AT258" s="2"/>
      <c r="AU258" s="4"/>
      <c r="AV258" s="7"/>
      <c r="AW258" s="4"/>
      <c r="AX258" s="3"/>
      <c r="AY258" s="4"/>
      <c r="AZ258" s="1"/>
      <c r="BA258" s="1"/>
      <c r="BB258" s="1"/>
      <c r="BC258" s="4"/>
      <c r="BD258" s="1"/>
      <c r="BE258" s="4"/>
      <c r="BF258" s="2"/>
      <c r="BG258" s="4"/>
      <c r="BH258" s="1"/>
      <c r="BI258" s="1"/>
    </row>
    <row r="259" spans="1:61" ht="15" customHeight="1" x14ac:dyDescent="0.25">
      <c r="A259" s="2"/>
      <c r="B259" s="1"/>
      <c r="E259" s="1"/>
      <c r="F259" s="1"/>
      <c r="G259" s="1"/>
      <c r="H259" s="1"/>
      <c r="J259" s="2"/>
      <c r="K259" s="3"/>
      <c r="L259" s="1"/>
      <c r="N259" s="3"/>
      <c r="P259" s="1"/>
      <c r="Q259" s="2"/>
      <c r="R259" s="3"/>
      <c r="S259" s="4"/>
      <c r="T259" s="3"/>
      <c r="U259" s="1"/>
      <c r="V259" s="1"/>
      <c r="W259" s="3"/>
      <c r="X259" s="1"/>
      <c r="Y259" s="4"/>
      <c r="Z259" s="4"/>
      <c r="AA259" s="1"/>
      <c r="AB259" s="1"/>
      <c r="AC259" s="1"/>
      <c r="AD259" s="2"/>
      <c r="AE259" s="1"/>
      <c r="AF259" s="1"/>
      <c r="AG259" s="1"/>
      <c r="AH259" s="3"/>
      <c r="AI259" s="1"/>
      <c r="AJ259" s="1"/>
      <c r="AK259" s="1"/>
      <c r="AL259" s="1"/>
      <c r="AM259" s="1"/>
      <c r="AN259" s="2"/>
      <c r="AO259" s="1"/>
      <c r="AP259" s="1"/>
      <c r="AQ259" s="1"/>
      <c r="AR259" s="2"/>
      <c r="AS259" s="1"/>
      <c r="AT259" s="2"/>
      <c r="AU259" s="4"/>
      <c r="AV259" s="7"/>
      <c r="AW259" s="4"/>
      <c r="AX259" s="3"/>
      <c r="AY259" s="4"/>
      <c r="AZ259" s="1"/>
      <c r="BA259" s="1"/>
      <c r="BB259" s="1"/>
      <c r="BC259" s="4"/>
      <c r="BD259" s="1"/>
      <c r="BE259" s="4"/>
      <c r="BF259" s="2"/>
      <c r="BG259" s="4"/>
      <c r="BH259" s="1"/>
      <c r="BI259" s="1"/>
    </row>
    <row r="260" spans="1:61" ht="15" customHeight="1" x14ac:dyDescent="0.25">
      <c r="A260" s="2"/>
      <c r="B260" s="1"/>
      <c r="E260" s="1"/>
      <c r="F260" s="1"/>
      <c r="G260" s="1"/>
      <c r="H260" s="1"/>
      <c r="J260" s="2"/>
      <c r="K260" s="3"/>
      <c r="L260" s="1"/>
      <c r="N260" s="3"/>
      <c r="P260" s="1"/>
      <c r="Q260" s="2"/>
      <c r="R260" s="3"/>
      <c r="S260" s="4"/>
      <c r="T260" s="3"/>
      <c r="U260" s="1"/>
      <c r="V260" s="1"/>
      <c r="W260" s="3"/>
      <c r="X260" s="1"/>
      <c r="Y260" s="4"/>
      <c r="Z260" s="4"/>
      <c r="AA260" s="1"/>
      <c r="AB260" s="1"/>
      <c r="AC260" s="1"/>
      <c r="AD260" s="2"/>
      <c r="AE260" s="1"/>
      <c r="AF260" s="1"/>
      <c r="AG260" s="1"/>
      <c r="AH260" s="3"/>
      <c r="AI260" s="1"/>
      <c r="AJ260" s="1"/>
      <c r="AK260" s="1"/>
      <c r="AL260" s="1"/>
      <c r="AM260" s="1"/>
      <c r="AN260" s="2"/>
      <c r="AO260" s="1"/>
      <c r="AP260" s="1"/>
      <c r="AQ260" s="1"/>
      <c r="AR260" s="2"/>
      <c r="AS260" s="1"/>
      <c r="AT260" s="2"/>
      <c r="AU260" s="4"/>
      <c r="AV260" s="7"/>
      <c r="AW260" s="4"/>
      <c r="AX260" s="3"/>
      <c r="AY260" s="4"/>
      <c r="AZ260" s="1"/>
      <c r="BA260" s="1"/>
      <c r="BB260" s="1"/>
      <c r="BC260" s="4"/>
      <c r="BD260" s="1"/>
      <c r="BE260" s="4"/>
      <c r="BF260" s="2"/>
      <c r="BG260" s="4"/>
      <c r="BH260" s="1"/>
      <c r="BI260" s="1"/>
    </row>
    <row r="261" spans="1:61" ht="15" customHeight="1" x14ac:dyDescent="0.25">
      <c r="A261" s="2"/>
      <c r="B261" s="1"/>
      <c r="E261" s="1"/>
      <c r="F261" s="1"/>
      <c r="G261" s="1"/>
      <c r="H261" s="1"/>
      <c r="J261" s="2"/>
      <c r="K261" s="3"/>
      <c r="L261" s="1"/>
      <c r="N261" s="3"/>
      <c r="P261" s="1"/>
      <c r="Q261" s="2"/>
      <c r="R261" s="3"/>
      <c r="S261" s="4"/>
      <c r="T261" s="3"/>
      <c r="U261" s="1"/>
      <c r="V261" s="1"/>
      <c r="W261" s="3"/>
      <c r="X261" s="1"/>
      <c r="Y261" s="4"/>
      <c r="Z261" s="4"/>
      <c r="AA261" s="1"/>
      <c r="AB261" s="1"/>
      <c r="AC261" s="1"/>
      <c r="AD261" s="2"/>
      <c r="AE261" s="1"/>
      <c r="AF261" s="1"/>
      <c r="AG261" s="1"/>
      <c r="AH261" s="3"/>
      <c r="AI261" s="1"/>
      <c r="AJ261" s="1"/>
      <c r="AK261" s="1"/>
      <c r="AL261" s="1"/>
      <c r="AM261" s="1"/>
      <c r="AN261" s="2"/>
      <c r="AO261" s="1"/>
      <c r="AP261" s="1"/>
      <c r="AQ261" s="1"/>
      <c r="AR261" s="2"/>
      <c r="AS261" s="1"/>
      <c r="AT261" s="2"/>
      <c r="AU261" s="4"/>
      <c r="AV261" s="7"/>
      <c r="AW261" s="4"/>
      <c r="AX261" s="3"/>
      <c r="AY261" s="4"/>
      <c r="AZ261" s="1"/>
      <c r="BA261" s="1"/>
      <c r="BB261" s="1"/>
      <c r="BC261" s="4"/>
      <c r="BD261" s="1"/>
      <c r="BE261" s="4"/>
      <c r="BF261" s="2"/>
      <c r="BG261" s="4"/>
      <c r="BH261" s="1"/>
      <c r="BI261" s="1"/>
    </row>
    <row r="262" spans="1:61" ht="15" customHeight="1" x14ac:dyDescent="0.25">
      <c r="A262" s="2"/>
      <c r="B262" s="1"/>
      <c r="E262" s="1"/>
      <c r="F262" s="1"/>
      <c r="G262" s="1"/>
      <c r="H262" s="1"/>
      <c r="J262" s="2"/>
      <c r="K262" s="3"/>
      <c r="L262" s="1"/>
      <c r="N262" s="3"/>
      <c r="P262" s="1"/>
      <c r="Q262" s="2"/>
      <c r="R262" s="3"/>
      <c r="S262" s="4"/>
      <c r="T262" s="3"/>
      <c r="U262" s="1"/>
      <c r="V262" s="1"/>
      <c r="W262" s="3"/>
      <c r="X262" s="1"/>
      <c r="Y262" s="4"/>
      <c r="Z262" s="4"/>
      <c r="AA262" s="1"/>
      <c r="AB262" s="1"/>
      <c r="AC262" s="1"/>
      <c r="AD262" s="2"/>
      <c r="AE262" s="1"/>
      <c r="AF262" s="1"/>
      <c r="AG262" s="1"/>
      <c r="AH262" s="3"/>
      <c r="AI262" s="1"/>
      <c r="AJ262" s="1"/>
      <c r="AK262" s="1"/>
      <c r="AL262" s="1"/>
      <c r="AM262" s="1"/>
      <c r="AN262" s="2"/>
      <c r="AO262" s="1"/>
      <c r="AP262" s="1"/>
      <c r="AQ262" s="1"/>
      <c r="AR262" s="2"/>
      <c r="AS262" s="1"/>
      <c r="AT262" s="2"/>
      <c r="AU262" s="4"/>
      <c r="AV262" s="7"/>
      <c r="AW262" s="4"/>
      <c r="AX262" s="3"/>
      <c r="AY262" s="4"/>
      <c r="AZ262" s="1"/>
      <c r="BA262" s="1"/>
      <c r="BB262" s="1"/>
      <c r="BC262" s="4"/>
      <c r="BD262" s="1"/>
      <c r="BE262" s="4"/>
      <c r="BF262" s="2"/>
      <c r="BG262" s="4"/>
      <c r="BH262" s="1"/>
      <c r="BI262" s="1"/>
    </row>
    <row r="263" spans="1:61" ht="15" customHeight="1" x14ac:dyDescent="0.25">
      <c r="A263" s="2"/>
      <c r="B263" s="1"/>
      <c r="E263" s="1"/>
      <c r="F263" s="1"/>
      <c r="G263" s="1"/>
      <c r="H263" s="1"/>
      <c r="J263" s="2"/>
      <c r="K263" s="3"/>
      <c r="L263" s="1"/>
      <c r="N263" s="3"/>
      <c r="P263" s="1"/>
      <c r="Q263" s="2"/>
      <c r="R263" s="3"/>
      <c r="S263" s="4"/>
      <c r="T263" s="3"/>
      <c r="U263" s="1"/>
      <c r="V263" s="1"/>
      <c r="W263" s="3"/>
      <c r="X263" s="1"/>
      <c r="Y263" s="4"/>
      <c r="Z263" s="4"/>
      <c r="AA263" s="1"/>
      <c r="AB263" s="1"/>
      <c r="AC263" s="1"/>
      <c r="AD263" s="2"/>
      <c r="AE263" s="1"/>
      <c r="AF263" s="1"/>
      <c r="AG263" s="1"/>
      <c r="AH263" s="3"/>
      <c r="AI263" s="1"/>
      <c r="AJ263" s="1"/>
      <c r="AK263" s="1"/>
      <c r="AL263" s="1"/>
      <c r="AM263" s="1"/>
      <c r="AN263" s="2"/>
      <c r="AO263" s="1"/>
      <c r="AP263" s="1"/>
      <c r="AQ263" s="1"/>
      <c r="AR263" s="2"/>
      <c r="AS263" s="1"/>
      <c r="AT263" s="2"/>
      <c r="AU263" s="4"/>
      <c r="AV263" s="7"/>
      <c r="AW263" s="4"/>
      <c r="AX263" s="3"/>
      <c r="AY263" s="4"/>
      <c r="AZ263" s="1"/>
      <c r="BA263" s="1"/>
      <c r="BB263" s="1"/>
      <c r="BC263" s="4"/>
      <c r="BD263" s="1"/>
      <c r="BE263" s="4"/>
      <c r="BF263" s="2"/>
      <c r="BG263" s="4"/>
      <c r="BH263" s="1"/>
      <c r="BI263" s="1"/>
    </row>
    <row r="264" spans="1:61" ht="15" customHeight="1" x14ac:dyDescent="0.25">
      <c r="A264" s="2"/>
      <c r="B264" s="1"/>
      <c r="E264" s="1"/>
      <c r="F264" s="1"/>
      <c r="G264" s="1"/>
      <c r="H264" s="1"/>
      <c r="J264" s="2"/>
      <c r="K264" s="3"/>
      <c r="L264" s="1"/>
      <c r="N264" s="3"/>
      <c r="P264" s="1"/>
      <c r="Q264" s="2"/>
      <c r="R264" s="3"/>
      <c r="S264" s="4"/>
      <c r="T264" s="3"/>
      <c r="U264" s="1"/>
      <c r="V264" s="1"/>
      <c r="W264" s="3"/>
      <c r="X264" s="1"/>
      <c r="Y264" s="4"/>
      <c r="Z264" s="4"/>
      <c r="AA264" s="1"/>
      <c r="AB264" s="1"/>
      <c r="AC264" s="1"/>
      <c r="AD264" s="2"/>
      <c r="AE264" s="1"/>
      <c r="AF264" s="1"/>
      <c r="AG264" s="1"/>
      <c r="AH264" s="3"/>
      <c r="AI264" s="1"/>
      <c r="AJ264" s="1"/>
      <c r="AK264" s="1"/>
      <c r="AL264" s="1"/>
      <c r="AM264" s="1"/>
      <c r="AN264" s="2"/>
      <c r="AO264" s="1"/>
      <c r="AP264" s="1"/>
      <c r="AQ264" s="1"/>
      <c r="AR264" s="2"/>
      <c r="AS264" s="1"/>
      <c r="AT264" s="2"/>
      <c r="AU264" s="4"/>
      <c r="AV264" s="7"/>
      <c r="AW264" s="4"/>
      <c r="AX264" s="3"/>
      <c r="AY264" s="4"/>
      <c r="AZ264" s="1"/>
      <c r="BA264" s="1"/>
      <c r="BB264" s="1"/>
      <c r="BC264" s="4"/>
      <c r="BD264" s="1"/>
      <c r="BE264" s="4"/>
      <c r="BF264" s="2"/>
      <c r="BG264" s="4"/>
      <c r="BH264" s="1"/>
      <c r="BI264" s="1"/>
    </row>
    <row r="265" spans="1:61" ht="15" customHeight="1" x14ac:dyDescent="0.25">
      <c r="A265" s="2"/>
      <c r="B265" s="1"/>
      <c r="E265" s="1"/>
      <c r="F265" s="1"/>
      <c r="G265" s="1"/>
      <c r="H265" s="1"/>
      <c r="J265" s="2"/>
      <c r="K265" s="3"/>
      <c r="L265" s="1"/>
      <c r="N265" s="3"/>
      <c r="P265" s="1"/>
      <c r="Q265" s="2"/>
      <c r="R265" s="3"/>
      <c r="S265" s="4"/>
      <c r="T265" s="3"/>
      <c r="U265" s="1"/>
      <c r="V265" s="1"/>
      <c r="W265" s="3"/>
      <c r="X265" s="1"/>
      <c r="Y265" s="4"/>
      <c r="Z265" s="4"/>
      <c r="AA265" s="1"/>
      <c r="AB265" s="1"/>
      <c r="AC265" s="1"/>
      <c r="AD265" s="2"/>
      <c r="AE265" s="1"/>
      <c r="AF265" s="1"/>
      <c r="AG265" s="1"/>
      <c r="AH265" s="3"/>
      <c r="AI265" s="1"/>
      <c r="AJ265" s="1"/>
      <c r="AK265" s="1"/>
      <c r="AL265" s="1"/>
      <c r="AM265" s="1"/>
      <c r="AN265" s="2"/>
      <c r="AO265" s="1"/>
      <c r="AP265" s="1"/>
      <c r="AQ265" s="1"/>
      <c r="AR265" s="2"/>
      <c r="AS265" s="1"/>
      <c r="AT265" s="2"/>
      <c r="AU265" s="4"/>
      <c r="AV265" s="7"/>
      <c r="AW265" s="4"/>
      <c r="AX265" s="3"/>
      <c r="AY265" s="4"/>
      <c r="AZ265" s="1"/>
      <c r="BA265" s="1"/>
      <c r="BB265" s="1"/>
      <c r="BC265" s="4"/>
      <c r="BD265" s="1"/>
      <c r="BE265" s="4"/>
      <c r="BF265" s="2"/>
      <c r="BG265" s="4"/>
      <c r="BH265" s="1"/>
      <c r="BI265" s="1"/>
    </row>
    <row r="266" spans="1:61" ht="15" customHeight="1" x14ac:dyDescent="0.25">
      <c r="A266" s="2"/>
      <c r="B266" s="1"/>
      <c r="E266" s="1"/>
      <c r="F266" s="1"/>
      <c r="G266" s="1"/>
      <c r="H266" s="1"/>
      <c r="J266" s="2"/>
      <c r="K266" s="3"/>
      <c r="L266" s="1"/>
      <c r="N266" s="3"/>
      <c r="P266" s="1"/>
      <c r="Q266" s="2"/>
      <c r="R266" s="3"/>
      <c r="S266" s="4"/>
      <c r="T266" s="3"/>
      <c r="U266" s="1"/>
      <c r="V266" s="1"/>
      <c r="W266" s="3"/>
      <c r="X266" s="1"/>
      <c r="Y266" s="4"/>
      <c r="Z266" s="4"/>
      <c r="AA266" s="1"/>
      <c r="AB266" s="1"/>
      <c r="AC266" s="1"/>
      <c r="AD266" s="2"/>
      <c r="AE266" s="1"/>
      <c r="AF266" s="1"/>
      <c r="AG266" s="1"/>
      <c r="AH266" s="3"/>
      <c r="AI266" s="1"/>
      <c r="AJ266" s="1"/>
      <c r="AK266" s="1"/>
      <c r="AL266" s="1"/>
      <c r="AM266" s="1"/>
      <c r="AN266" s="2"/>
      <c r="AO266" s="1"/>
      <c r="AP266" s="1"/>
      <c r="AQ266" s="1"/>
      <c r="AR266" s="2"/>
      <c r="AS266" s="1"/>
      <c r="AT266" s="2"/>
      <c r="AU266" s="4"/>
      <c r="AV266" s="7"/>
      <c r="AW266" s="4"/>
      <c r="AX266" s="3"/>
      <c r="AY266" s="4"/>
      <c r="AZ266" s="1"/>
      <c r="BA266" s="1"/>
      <c r="BB266" s="1"/>
      <c r="BC266" s="4"/>
      <c r="BD266" s="1"/>
      <c r="BE266" s="4"/>
      <c r="BF266" s="2"/>
      <c r="BG266" s="4"/>
      <c r="BH266" s="1"/>
      <c r="BI266" s="1"/>
    </row>
    <row r="267" spans="1:61" ht="15" customHeight="1" x14ac:dyDescent="0.25">
      <c r="A267" s="2"/>
      <c r="B267" s="1"/>
      <c r="E267" s="1"/>
      <c r="F267" s="1"/>
      <c r="G267" s="1"/>
      <c r="H267" s="1"/>
      <c r="J267" s="2"/>
      <c r="K267" s="3"/>
      <c r="L267" s="1"/>
      <c r="N267" s="3"/>
      <c r="P267" s="1"/>
      <c r="Q267" s="2"/>
      <c r="R267" s="3"/>
      <c r="S267" s="4"/>
      <c r="T267" s="3"/>
      <c r="U267" s="1"/>
      <c r="V267" s="1"/>
      <c r="W267" s="3"/>
      <c r="X267" s="1"/>
      <c r="Y267" s="4"/>
      <c r="Z267" s="4"/>
      <c r="AA267" s="1"/>
      <c r="AB267" s="1"/>
      <c r="AC267" s="1"/>
      <c r="AD267" s="2"/>
      <c r="AE267" s="1"/>
      <c r="AF267" s="1"/>
      <c r="AG267" s="1"/>
      <c r="AH267" s="3"/>
      <c r="AI267" s="1"/>
      <c r="AJ267" s="1"/>
      <c r="AK267" s="1"/>
      <c r="AL267" s="1"/>
      <c r="AM267" s="1"/>
      <c r="AN267" s="2"/>
      <c r="AO267" s="1"/>
      <c r="AP267" s="1"/>
      <c r="AQ267" s="1"/>
      <c r="AR267" s="2"/>
      <c r="AS267" s="1"/>
      <c r="AT267" s="2"/>
      <c r="AU267" s="4"/>
      <c r="AV267" s="7"/>
      <c r="AW267" s="4"/>
      <c r="AX267" s="3"/>
      <c r="AY267" s="4"/>
      <c r="AZ267" s="1"/>
      <c r="BA267" s="1"/>
      <c r="BB267" s="1"/>
      <c r="BC267" s="4"/>
      <c r="BD267" s="1"/>
      <c r="BE267" s="4"/>
      <c r="BF267" s="2"/>
      <c r="BG267" s="4"/>
      <c r="BH267" s="1"/>
      <c r="BI267" s="1"/>
    </row>
    <row r="268" spans="1:61" ht="15" customHeight="1" x14ac:dyDescent="0.25">
      <c r="A268" s="2"/>
      <c r="B268" s="1"/>
      <c r="E268" s="1"/>
      <c r="F268" s="1"/>
      <c r="G268" s="1"/>
      <c r="H268" s="1"/>
      <c r="J268" s="2"/>
      <c r="K268" s="3"/>
      <c r="L268" s="1"/>
      <c r="N268" s="3"/>
      <c r="P268" s="1"/>
      <c r="Q268" s="2"/>
      <c r="R268" s="3"/>
      <c r="S268" s="4"/>
      <c r="T268" s="3"/>
      <c r="U268" s="1"/>
      <c r="V268" s="1"/>
      <c r="W268" s="3"/>
      <c r="X268" s="1"/>
      <c r="Y268" s="4"/>
      <c r="Z268" s="4"/>
      <c r="AA268" s="1"/>
      <c r="AB268" s="1"/>
      <c r="AC268" s="1"/>
      <c r="AD268" s="2"/>
      <c r="AE268" s="1"/>
      <c r="AF268" s="1"/>
      <c r="AG268" s="1"/>
      <c r="AH268" s="3"/>
      <c r="AI268" s="1"/>
      <c r="AJ268" s="1"/>
      <c r="AK268" s="1"/>
      <c r="AL268" s="1"/>
      <c r="AM268" s="1"/>
      <c r="AN268" s="2"/>
      <c r="AO268" s="1"/>
      <c r="AP268" s="1"/>
      <c r="AQ268" s="1"/>
      <c r="AR268" s="2"/>
      <c r="AS268" s="1"/>
      <c r="AT268" s="2"/>
      <c r="AU268" s="4"/>
      <c r="AV268" s="7"/>
      <c r="AW268" s="4"/>
      <c r="AX268" s="3"/>
      <c r="AY268" s="4"/>
      <c r="AZ268" s="1"/>
      <c r="BA268" s="1"/>
      <c r="BB268" s="1"/>
      <c r="BC268" s="4"/>
      <c r="BD268" s="1"/>
      <c r="BE268" s="4"/>
      <c r="BF268" s="2"/>
      <c r="BG268" s="4"/>
      <c r="BH268" s="1"/>
      <c r="BI268" s="1"/>
    </row>
    <row r="269" spans="1:61" ht="15" customHeight="1" x14ac:dyDescent="0.25">
      <c r="A269" s="2"/>
      <c r="B269" s="1"/>
      <c r="E269" s="1"/>
      <c r="F269" s="1"/>
      <c r="G269" s="1"/>
      <c r="H269" s="1"/>
      <c r="J269" s="2"/>
      <c r="K269" s="3"/>
      <c r="L269" s="1"/>
      <c r="N269" s="3"/>
      <c r="P269" s="1"/>
      <c r="Q269" s="2"/>
      <c r="R269" s="3"/>
      <c r="S269" s="4"/>
      <c r="T269" s="3"/>
      <c r="U269" s="1"/>
      <c r="V269" s="1"/>
      <c r="W269" s="3"/>
      <c r="X269" s="1"/>
      <c r="Y269" s="4"/>
      <c r="Z269" s="4"/>
      <c r="AA269" s="1"/>
      <c r="AB269" s="1"/>
      <c r="AC269" s="1"/>
      <c r="AD269" s="2"/>
      <c r="AE269" s="1"/>
      <c r="AF269" s="1"/>
      <c r="AG269" s="1"/>
      <c r="AH269" s="3"/>
      <c r="AI269" s="1"/>
      <c r="AJ269" s="1"/>
      <c r="AK269" s="1"/>
      <c r="AL269" s="1"/>
      <c r="AM269" s="1"/>
      <c r="AN269" s="2"/>
      <c r="AO269" s="1"/>
      <c r="AP269" s="1"/>
      <c r="AQ269" s="1"/>
      <c r="AR269" s="2"/>
      <c r="AS269" s="1"/>
      <c r="AT269" s="2"/>
      <c r="AU269" s="4"/>
      <c r="AV269" s="7"/>
      <c r="AW269" s="4"/>
      <c r="AX269" s="3"/>
      <c r="AY269" s="4"/>
      <c r="AZ269" s="1"/>
      <c r="BA269" s="1"/>
      <c r="BB269" s="1"/>
      <c r="BC269" s="4"/>
      <c r="BD269" s="1"/>
      <c r="BE269" s="4"/>
      <c r="BF269" s="2"/>
      <c r="BG269" s="4"/>
      <c r="BH269" s="1"/>
      <c r="BI269" s="1"/>
    </row>
    <row r="270" spans="1:61" ht="15" customHeight="1" x14ac:dyDescent="0.25">
      <c r="A270" s="2"/>
      <c r="B270" s="1"/>
      <c r="E270" s="1"/>
      <c r="F270" s="1"/>
      <c r="G270" s="1"/>
      <c r="H270" s="1"/>
      <c r="J270" s="2"/>
      <c r="K270" s="3"/>
      <c r="L270" s="1"/>
      <c r="N270" s="3"/>
      <c r="P270" s="1"/>
      <c r="Q270" s="2"/>
      <c r="R270" s="3"/>
      <c r="S270" s="4"/>
      <c r="T270" s="3"/>
      <c r="U270" s="1"/>
      <c r="V270" s="1"/>
      <c r="W270" s="3"/>
      <c r="X270" s="1"/>
      <c r="Y270" s="4"/>
      <c r="Z270" s="4"/>
      <c r="AA270" s="1"/>
      <c r="AB270" s="1"/>
      <c r="AC270" s="1"/>
      <c r="AD270" s="2"/>
      <c r="AE270" s="1"/>
      <c r="AF270" s="1"/>
      <c r="AG270" s="1"/>
      <c r="AH270" s="3"/>
      <c r="AI270" s="1"/>
      <c r="AJ270" s="1"/>
      <c r="AK270" s="1"/>
      <c r="AL270" s="1"/>
      <c r="AM270" s="1"/>
      <c r="AN270" s="2"/>
      <c r="AO270" s="1"/>
      <c r="AP270" s="1"/>
      <c r="AQ270" s="1"/>
      <c r="AR270" s="2"/>
      <c r="AS270" s="1"/>
      <c r="AT270" s="2"/>
      <c r="AU270" s="4"/>
      <c r="AV270" s="7"/>
      <c r="AW270" s="4"/>
      <c r="AX270" s="3"/>
      <c r="AY270" s="4"/>
      <c r="AZ270" s="1"/>
      <c r="BA270" s="1"/>
      <c r="BB270" s="1"/>
      <c r="BC270" s="4"/>
      <c r="BD270" s="1"/>
      <c r="BE270" s="4"/>
      <c r="BF270" s="2"/>
      <c r="BG270" s="4"/>
      <c r="BH270" s="1"/>
      <c r="BI270" s="1"/>
    </row>
    <row r="271" spans="1:61" ht="15" customHeight="1" x14ac:dyDescent="0.25">
      <c r="A271" s="2"/>
      <c r="B271" s="1"/>
      <c r="E271" s="1"/>
      <c r="F271" s="1"/>
      <c r="G271" s="1"/>
      <c r="H271" s="1"/>
      <c r="J271" s="2"/>
      <c r="K271" s="3"/>
      <c r="L271" s="1"/>
      <c r="N271" s="3"/>
      <c r="P271" s="1"/>
      <c r="Q271" s="2"/>
      <c r="R271" s="3"/>
      <c r="S271" s="4"/>
      <c r="T271" s="3"/>
      <c r="U271" s="1"/>
      <c r="V271" s="1"/>
      <c r="W271" s="3"/>
      <c r="X271" s="1"/>
      <c r="Y271" s="4"/>
      <c r="Z271" s="4"/>
      <c r="AA271" s="1"/>
      <c r="AB271" s="1"/>
      <c r="AC271" s="1"/>
      <c r="AD271" s="2"/>
      <c r="AE271" s="1"/>
      <c r="AF271" s="1"/>
      <c r="AG271" s="1"/>
      <c r="AH271" s="3"/>
      <c r="AI271" s="1"/>
      <c r="AJ271" s="1"/>
      <c r="AK271" s="1"/>
      <c r="AL271" s="1"/>
      <c r="AM271" s="1"/>
      <c r="AN271" s="2"/>
      <c r="AO271" s="1"/>
      <c r="AP271" s="1"/>
      <c r="AQ271" s="1"/>
      <c r="AR271" s="2"/>
      <c r="AS271" s="1"/>
      <c r="AT271" s="2"/>
      <c r="AU271" s="4"/>
      <c r="AV271" s="7"/>
      <c r="AW271" s="4"/>
      <c r="AX271" s="3"/>
      <c r="AY271" s="4"/>
      <c r="AZ271" s="1"/>
      <c r="BA271" s="1"/>
      <c r="BB271" s="1"/>
      <c r="BC271" s="4"/>
      <c r="BD271" s="1"/>
      <c r="BE271" s="4"/>
      <c r="BF271" s="2"/>
      <c r="BG271" s="4"/>
      <c r="BH271" s="1"/>
      <c r="BI271" s="1"/>
    </row>
    <row r="272" spans="1:61" ht="15" customHeight="1" x14ac:dyDescent="0.25">
      <c r="A272" s="2"/>
      <c r="B272" s="1"/>
      <c r="E272" s="1"/>
      <c r="F272" s="1"/>
      <c r="G272" s="1"/>
      <c r="H272" s="1"/>
      <c r="J272" s="2"/>
      <c r="K272" s="3"/>
      <c r="L272" s="1"/>
      <c r="N272" s="3"/>
      <c r="P272" s="1"/>
      <c r="Q272" s="2"/>
      <c r="R272" s="3"/>
      <c r="S272" s="4"/>
      <c r="T272" s="3"/>
      <c r="U272" s="1"/>
      <c r="V272" s="1"/>
      <c r="W272" s="3"/>
      <c r="X272" s="1"/>
      <c r="Y272" s="4"/>
      <c r="Z272" s="4"/>
      <c r="AA272" s="1"/>
      <c r="AB272" s="1"/>
      <c r="AC272" s="1"/>
      <c r="AD272" s="2"/>
      <c r="AE272" s="1"/>
      <c r="AF272" s="1"/>
      <c r="AG272" s="1"/>
      <c r="AH272" s="3"/>
      <c r="AI272" s="1"/>
      <c r="AJ272" s="1"/>
      <c r="AK272" s="1"/>
      <c r="AL272" s="1"/>
      <c r="AM272" s="1"/>
      <c r="AN272" s="2"/>
      <c r="AO272" s="1"/>
      <c r="AP272" s="1"/>
      <c r="AQ272" s="1"/>
      <c r="AR272" s="2"/>
      <c r="AS272" s="1"/>
      <c r="AT272" s="2"/>
      <c r="AU272" s="4"/>
      <c r="AV272" s="7"/>
      <c r="AW272" s="4"/>
      <c r="AX272" s="3"/>
      <c r="AY272" s="4"/>
      <c r="AZ272" s="1"/>
      <c r="BA272" s="1"/>
      <c r="BB272" s="1"/>
      <c r="BC272" s="4"/>
      <c r="BD272" s="1"/>
      <c r="BE272" s="4"/>
      <c r="BF272" s="2"/>
      <c r="BG272" s="4"/>
      <c r="BH272" s="1"/>
      <c r="BI272" s="1"/>
    </row>
    <row r="273" spans="1:61" ht="15" customHeight="1" x14ac:dyDescent="0.25">
      <c r="A273" s="2"/>
      <c r="B273" s="1"/>
      <c r="E273" s="1"/>
      <c r="F273" s="1"/>
      <c r="G273" s="1"/>
      <c r="H273" s="1"/>
      <c r="J273" s="2"/>
      <c r="K273" s="3"/>
      <c r="L273" s="1"/>
      <c r="N273" s="3"/>
      <c r="P273" s="1"/>
      <c r="Q273" s="2"/>
      <c r="R273" s="3"/>
      <c r="S273" s="4"/>
      <c r="T273" s="3"/>
      <c r="U273" s="1"/>
      <c r="V273" s="1"/>
      <c r="W273" s="3"/>
      <c r="X273" s="1"/>
      <c r="Y273" s="4"/>
      <c r="Z273" s="4"/>
      <c r="AA273" s="1"/>
      <c r="AB273" s="1"/>
      <c r="AC273" s="1"/>
      <c r="AD273" s="2"/>
      <c r="AE273" s="1"/>
      <c r="AF273" s="1"/>
      <c r="AG273" s="1"/>
      <c r="AH273" s="3"/>
      <c r="AI273" s="1"/>
      <c r="AJ273" s="1"/>
      <c r="AK273" s="1"/>
      <c r="AL273" s="1"/>
      <c r="AM273" s="1"/>
      <c r="AN273" s="2"/>
      <c r="AO273" s="1"/>
      <c r="AP273" s="1"/>
      <c r="AQ273" s="1"/>
      <c r="AR273" s="2"/>
      <c r="AS273" s="1"/>
      <c r="AT273" s="2"/>
      <c r="AU273" s="4"/>
      <c r="AV273" s="7"/>
      <c r="AW273" s="4"/>
      <c r="AX273" s="3"/>
      <c r="AY273" s="4"/>
      <c r="AZ273" s="1"/>
      <c r="BA273" s="1"/>
      <c r="BB273" s="1"/>
      <c r="BC273" s="4"/>
      <c r="BD273" s="1"/>
      <c r="BE273" s="4"/>
      <c r="BF273" s="2"/>
      <c r="BG273" s="4"/>
      <c r="BH273" s="1"/>
      <c r="BI273" s="1"/>
    </row>
    <row r="274" spans="1:61" ht="15" customHeight="1" x14ac:dyDescent="0.25">
      <c r="A274" s="2"/>
      <c r="B274" s="1"/>
      <c r="E274" s="1"/>
      <c r="F274" s="1"/>
      <c r="G274" s="1"/>
      <c r="H274" s="1"/>
      <c r="J274" s="2"/>
      <c r="K274" s="3"/>
      <c r="L274" s="1"/>
      <c r="N274" s="3"/>
      <c r="P274" s="1"/>
      <c r="Q274" s="2"/>
      <c r="R274" s="3"/>
      <c r="S274" s="4"/>
      <c r="T274" s="3"/>
      <c r="U274" s="1"/>
      <c r="V274" s="1"/>
      <c r="W274" s="3"/>
      <c r="X274" s="1"/>
      <c r="Y274" s="4"/>
      <c r="Z274" s="4"/>
      <c r="AA274" s="1"/>
      <c r="AB274" s="1"/>
      <c r="AC274" s="1"/>
      <c r="AD274" s="2"/>
      <c r="AE274" s="1"/>
      <c r="AF274" s="1"/>
      <c r="AG274" s="1"/>
      <c r="AH274" s="3"/>
      <c r="AI274" s="1"/>
      <c r="AJ274" s="1"/>
      <c r="AK274" s="1"/>
      <c r="AL274" s="1"/>
      <c r="AM274" s="1"/>
      <c r="AN274" s="2"/>
      <c r="AO274" s="1"/>
      <c r="AP274" s="1"/>
      <c r="AQ274" s="1"/>
      <c r="AR274" s="2"/>
      <c r="AS274" s="1"/>
      <c r="AT274" s="2"/>
      <c r="AU274" s="4"/>
      <c r="AV274" s="7"/>
      <c r="AW274" s="4"/>
      <c r="AX274" s="3"/>
      <c r="AY274" s="4"/>
      <c r="AZ274" s="1"/>
      <c r="BA274" s="1"/>
      <c r="BB274" s="1"/>
      <c r="BC274" s="4"/>
      <c r="BD274" s="1"/>
      <c r="BE274" s="4"/>
      <c r="BF274" s="2"/>
      <c r="BG274" s="4"/>
      <c r="BH274" s="1"/>
      <c r="BI274" s="1"/>
    </row>
    <row r="275" spans="1:61" ht="15" customHeight="1" x14ac:dyDescent="0.25">
      <c r="A275" s="2"/>
      <c r="B275" s="1"/>
      <c r="E275" s="1"/>
      <c r="F275" s="1"/>
      <c r="G275" s="1"/>
      <c r="H275" s="1"/>
      <c r="J275" s="2"/>
      <c r="K275" s="3"/>
      <c r="L275" s="1"/>
      <c r="N275" s="3"/>
      <c r="P275" s="1"/>
      <c r="Q275" s="2"/>
      <c r="R275" s="3"/>
      <c r="S275" s="4"/>
      <c r="T275" s="3"/>
      <c r="U275" s="1"/>
      <c r="V275" s="1"/>
      <c r="W275" s="3"/>
      <c r="X275" s="1"/>
      <c r="Y275" s="4"/>
      <c r="Z275" s="4"/>
      <c r="AA275" s="1"/>
      <c r="AB275" s="1"/>
      <c r="AC275" s="1"/>
      <c r="AD275" s="2"/>
      <c r="AE275" s="1"/>
      <c r="AF275" s="1"/>
      <c r="AG275" s="1"/>
      <c r="AH275" s="3"/>
      <c r="AI275" s="1"/>
      <c r="AJ275" s="1"/>
      <c r="AK275" s="1"/>
      <c r="AL275" s="1"/>
      <c r="AM275" s="1"/>
      <c r="AN275" s="2"/>
      <c r="AO275" s="1"/>
      <c r="AP275" s="1"/>
      <c r="AQ275" s="1"/>
      <c r="AR275" s="2"/>
      <c r="AS275" s="1"/>
      <c r="AT275" s="2"/>
      <c r="AU275" s="4"/>
      <c r="AV275" s="7"/>
      <c r="AW275" s="4"/>
      <c r="AX275" s="3"/>
      <c r="AY275" s="4"/>
      <c r="AZ275" s="1"/>
      <c r="BA275" s="1"/>
      <c r="BB275" s="1"/>
      <c r="BC275" s="4"/>
      <c r="BD275" s="1"/>
      <c r="BE275" s="4"/>
      <c r="BF275" s="2"/>
      <c r="BG275" s="4"/>
      <c r="BH275" s="1"/>
      <c r="BI275" s="1"/>
    </row>
    <row r="276" spans="1:61" ht="15" customHeight="1" x14ac:dyDescent="0.25">
      <c r="A276" s="2"/>
      <c r="B276" s="1"/>
      <c r="E276" s="1"/>
      <c r="F276" s="1"/>
      <c r="G276" s="1"/>
      <c r="H276" s="1"/>
      <c r="J276" s="2"/>
      <c r="K276" s="3"/>
      <c r="L276" s="1"/>
      <c r="N276" s="3"/>
      <c r="P276" s="1"/>
      <c r="Q276" s="2"/>
      <c r="R276" s="3"/>
      <c r="S276" s="4"/>
      <c r="T276" s="3"/>
      <c r="U276" s="1"/>
      <c r="V276" s="1"/>
      <c r="W276" s="3"/>
      <c r="X276" s="1"/>
      <c r="Y276" s="4"/>
      <c r="Z276" s="4"/>
      <c r="AA276" s="1"/>
      <c r="AB276" s="1"/>
      <c r="AC276" s="1"/>
      <c r="AD276" s="2"/>
      <c r="AE276" s="1"/>
      <c r="AF276" s="1"/>
      <c r="AG276" s="1"/>
      <c r="AH276" s="3"/>
      <c r="AI276" s="1"/>
      <c r="AJ276" s="1"/>
      <c r="AK276" s="1"/>
      <c r="AL276" s="1"/>
      <c r="AM276" s="1"/>
      <c r="AN276" s="2"/>
      <c r="AO276" s="1"/>
      <c r="AP276" s="1"/>
      <c r="AQ276" s="1"/>
      <c r="AR276" s="2"/>
      <c r="AS276" s="1"/>
      <c r="AT276" s="2"/>
      <c r="AU276" s="4"/>
      <c r="AV276" s="7"/>
      <c r="AW276" s="4"/>
      <c r="AX276" s="3"/>
      <c r="AY276" s="4"/>
      <c r="AZ276" s="1"/>
      <c r="BA276" s="1"/>
      <c r="BB276" s="1"/>
      <c r="BC276" s="4"/>
      <c r="BD276" s="1"/>
      <c r="BE276" s="4"/>
      <c r="BF276" s="2"/>
      <c r="BG276" s="4"/>
      <c r="BH276" s="1"/>
      <c r="BI276" s="1"/>
    </row>
    <row r="277" spans="1:61" ht="15" customHeight="1" x14ac:dyDescent="0.25">
      <c r="A277" s="2"/>
      <c r="B277" s="1"/>
      <c r="E277" s="1"/>
      <c r="F277" s="1"/>
      <c r="G277" s="1"/>
      <c r="H277" s="1"/>
      <c r="J277" s="2"/>
      <c r="K277" s="3"/>
      <c r="L277" s="1"/>
      <c r="N277" s="3"/>
      <c r="P277" s="1"/>
      <c r="Q277" s="2"/>
      <c r="R277" s="3"/>
      <c r="S277" s="4"/>
      <c r="T277" s="3"/>
      <c r="U277" s="1"/>
      <c r="V277" s="1"/>
      <c r="W277" s="3"/>
      <c r="X277" s="1"/>
      <c r="Y277" s="4"/>
      <c r="Z277" s="4"/>
      <c r="AA277" s="1"/>
      <c r="AB277" s="1"/>
      <c r="AC277" s="1"/>
      <c r="AD277" s="2"/>
      <c r="AE277" s="1"/>
      <c r="AF277" s="1"/>
      <c r="AG277" s="1"/>
      <c r="AH277" s="3"/>
      <c r="AI277" s="1"/>
      <c r="AJ277" s="1"/>
      <c r="AK277" s="1"/>
      <c r="AL277" s="1"/>
      <c r="AM277" s="1"/>
      <c r="AN277" s="2"/>
      <c r="AO277" s="1"/>
      <c r="AP277" s="1"/>
      <c r="AQ277" s="1"/>
      <c r="AR277" s="2"/>
      <c r="AS277" s="1"/>
      <c r="AT277" s="2"/>
      <c r="AU277" s="4"/>
      <c r="AV277" s="7"/>
      <c r="AW277" s="4"/>
      <c r="AX277" s="3"/>
      <c r="AY277" s="4"/>
      <c r="AZ277" s="1"/>
      <c r="BA277" s="1"/>
      <c r="BB277" s="1"/>
      <c r="BC277" s="4"/>
      <c r="BD277" s="1"/>
      <c r="BE277" s="4"/>
      <c r="BF277" s="2"/>
      <c r="BG277" s="4"/>
      <c r="BH277" s="1"/>
      <c r="BI277" s="1"/>
    </row>
    <row r="278" spans="1:61" ht="15" customHeight="1" x14ac:dyDescent="0.25">
      <c r="A278" s="2"/>
      <c r="B278" s="1"/>
      <c r="E278" s="1"/>
      <c r="F278" s="1"/>
      <c r="G278" s="1"/>
      <c r="H278" s="1"/>
      <c r="J278" s="2"/>
      <c r="K278" s="3"/>
      <c r="L278" s="1"/>
      <c r="N278" s="3"/>
      <c r="P278" s="1"/>
      <c r="Q278" s="2"/>
      <c r="R278" s="3"/>
      <c r="S278" s="4"/>
      <c r="T278" s="3"/>
      <c r="U278" s="1"/>
      <c r="V278" s="1"/>
      <c r="W278" s="3"/>
      <c r="X278" s="1"/>
      <c r="Y278" s="4"/>
      <c r="Z278" s="4"/>
      <c r="AA278" s="1"/>
      <c r="AB278" s="1"/>
      <c r="AC278" s="1"/>
      <c r="AD278" s="2"/>
      <c r="AE278" s="1"/>
      <c r="AF278" s="1"/>
      <c r="AG278" s="1"/>
      <c r="AH278" s="3"/>
      <c r="AI278" s="1"/>
      <c r="AJ278" s="1"/>
      <c r="AK278" s="1"/>
      <c r="AL278" s="1"/>
      <c r="AM278" s="1"/>
      <c r="AN278" s="2"/>
      <c r="AO278" s="1"/>
      <c r="AP278" s="1"/>
      <c r="AQ278" s="1"/>
      <c r="AR278" s="2"/>
      <c r="AS278" s="1"/>
      <c r="AT278" s="2"/>
      <c r="AU278" s="4"/>
      <c r="AV278" s="7"/>
      <c r="AW278" s="4"/>
      <c r="AX278" s="3"/>
      <c r="AY278" s="4"/>
      <c r="AZ278" s="1"/>
      <c r="BA278" s="1"/>
      <c r="BB278" s="1"/>
      <c r="BC278" s="4"/>
      <c r="BD278" s="1"/>
      <c r="BE278" s="4"/>
      <c r="BF278" s="2"/>
      <c r="BG278" s="4"/>
      <c r="BH278" s="1"/>
      <c r="BI278" s="1"/>
    </row>
    <row r="279" spans="1:61" ht="15" customHeight="1" x14ac:dyDescent="0.25">
      <c r="A279" s="2"/>
      <c r="B279" s="1"/>
      <c r="E279" s="1"/>
      <c r="F279" s="1"/>
      <c r="G279" s="1"/>
      <c r="H279" s="1"/>
      <c r="J279" s="2"/>
      <c r="K279" s="3"/>
      <c r="L279" s="1"/>
      <c r="N279" s="3"/>
      <c r="P279" s="1"/>
      <c r="Q279" s="2"/>
      <c r="R279" s="3"/>
      <c r="S279" s="4"/>
      <c r="T279" s="3"/>
      <c r="U279" s="1"/>
      <c r="V279" s="1"/>
      <c r="W279" s="3"/>
      <c r="X279" s="1"/>
      <c r="Y279" s="4"/>
      <c r="Z279" s="4"/>
      <c r="AA279" s="1"/>
      <c r="AB279" s="1"/>
      <c r="AC279" s="1"/>
      <c r="AD279" s="2"/>
      <c r="AE279" s="1"/>
      <c r="AF279" s="1"/>
      <c r="AG279" s="1"/>
      <c r="AH279" s="3"/>
      <c r="AI279" s="1"/>
      <c r="AJ279" s="1"/>
      <c r="AK279" s="1"/>
      <c r="AL279" s="1"/>
      <c r="AM279" s="1"/>
      <c r="AN279" s="2"/>
      <c r="AO279" s="1"/>
      <c r="AP279" s="1"/>
      <c r="AQ279" s="1"/>
      <c r="AR279" s="2"/>
      <c r="AS279" s="1"/>
      <c r="AT279" s="2"/>
      <c r="AU279" s="4"/>
      <c r="AV279" s="7"/>
      <c r="AW279" s="4"/>
      <c r="AX279" s="3"/>
      <c r="AY279" s="4"/>
      <c r="AZ279" s="1"/>
      <c r="BA279" s="1"/>
      <c r="BB279" s="1"/>
      <c r="BC279" s="4"/>
      <c r="BD279" s="1"/>
      <c r="BE279" s="4"/>
      <c r="BF279" s="2"/>
      <c r="BG279" s="4"/>
      <c r="BH279" s="1"/>
      <c r="BI279" s="1"/>
    </row>
    <row r="280" spans="1:61" ht="15" customHeight="1" x14ac:dyDescent="0.25">
      <c r="A280" s="2"/>
      <c r="B280" s="1"/>
      <c r="E280" s="1"/>
      <c r="F280" s="1"/>
      <c r="G280" s="1"/>
      <c r="H280" s="1"/>
      <c r="J280" s="2"/>
      <c r="K280" s="3"/>
      <c r="L280" s="1"/>
      <c r="N280" s="3"/>
      <c r="P280" s="1"/>
      <c r="Q280" s="2"/>
      <c r="R280" s="3"/>
      <c r="S280" s="4"/>
      <c r="T280" s="3"/>
      <c r="U280" s="1"/>
      <c r="V280" s="1"/>
      <c r="W280" s="3"/>
      <c r="X280" s="1"/>
      <c r="Y280" s="4"/>
      <c r="Z280" s="4"/>
      <c r="AA280" s="1"/>
      <c r="AB280" s="1"/>
      <c r="AC280" s="1"/>
      <c r="AD280" s="2"/>
      <c r="AE280" s="1"/>
      <c r="AF280" s="1"/>
      <c r="AG280" s="1"/>
      <c r="AH280" s="3"/>
      <c r="AI280" s="1"/>
      <c r="AJ280" s="1"/>
      <c r="AK280" s="1"/>
      <c r="AL280" s="1"/>
      <c r="AM280" s="1"/>
      <c r="AN280" s="2"/>
      <c r="AO280" s="1"/>
      <c r="AP280" s="1"/>
      <c r="AQ280" s="1"/>
      <c r="AR280" s="2"/>
      <c r="AS280" s="1"/>
      <c r="AT280" s="2"/>
      <c r="AU280" s="4"/>
      <c r="AV280" s="7"/>
      <c r="AW280" s="4"/>
      <c r="AX280" s="3"/>
      <c r="AY280" s="4"/>
      <c r="AZ280" s="1"/>
      <c r="BA280" s="1"/>
      <c r="BB280" s="1"/>
      <c r="BC280" s="4"/>
      <c r="BD280" s="1"/>
      <c r="BE280" s="4"/>
      <c r="BF280" s="2"/>
      <c r="BG280" s="4"/>
      <c r="BH280" s="1"/>
      <c r="BI280" s="1"/>
    </row>
    <row r="281" spans="1:61" ht="15" customHeight="1" x14ac:dyDescent="0.25">
      <c r="A281" s="2"/>
      <c r="B281" s="1"/>
      <c r="E281" s="1"/>
      <c r="F281" s="1"/>
      <c r="G281" s="1"/>
      <c r="H281" s="1"/>
      <c r="J281" s="2"/>
      <c r="K281" s="3"/>
      <c r="L281" s="1"/>
      <c r="N281" s="3"/>
      <c r="P281" s="1"/>
      <c r="Q281" s="2"/>
      <c r="R281" s="3"/>
      <c r="S281" s="4"/>
      <c r="T281" s="3"/>
      <c r="U281" s="1"/>
      <c r="V281" s="1"/>
      <c r="W281" s="3"/>
      <c r="X281" s="1"/>
      <c r="Y281" s="4"/>
      <c r="Z281" s="4"/>
      <c r="AA281" s="1"/>
      <c r="AB281" s="1"/>
      <c r="AC281" s="1"/>
      <c r="AD281" s="2"/>
      <c r="AE281" s="1"/>
      <c r="AF281" s="1"/>
      <c r="AG281" s="1"/>
      <c r="AH281" s="3"/>
      <c r="AI281" s="1"/>
      <c r="AJ281" s="1"/>
      <c r="AK281" s="1"/>
      <c r="AL281" s="1"/>
      <c r="AM281" s="1"/>
      <c r="AN281" s="2"/>
      <c r="AO281" s="1"/>
      <c r="AP281" s="1"/>
      <c r="AQ281" s="1"/>
      <c r="AR281" s="2"/>
      <c r="AS281" s="1"/>
      <c r="AT281" s="2"/>
      <c r="AU281" s="4"/>
      <c r="AV281" s="7"/>
      <c r="AW281" s="4"/>
      <c r="AX281" s="3"/>
      <c r="AY281" s="4"/>
      <c r="AZ281" s="1"/>
      <c r="BA281" s="1"/>
      <c r="BB281" s="1"/>
      <c r="BC281" s="4"/>
      <c r="BD281" s="1"/>
      <c r="BE281" s="4"/>
      <c r="BF281" s="2"/>
      <c r="BG281" s="4"/>
      <c r="BH281" s="1"/>
      <c r="BI281" s="1"/>
    </row>
    <row r="282" spans="1:61" ht="15" customHeight="1" x14ac:dyDescent="0.25">
      <c r="A282" s="2"/>
      <c r="B282" s="1"/>
      <c r="E282" s="1"/>
      <c r="F282" s="1"/>
      <c r="G282" s="1"/>
      <c r="H282" s="1"/>
      <c r="J282" s="2"/>
      <c r="K282" s="3"/>
      <c r="L282" s="1"/>
      <c r="N282" s="3"/>
      <c r="P282" s="1"/>
      <c r="Q282" s="2"/>
      <c r="R282" s="3"/>
      <c r="S282" s="4"/>
      <c r="T282" s="3"/>
      <c r="U282" s="1"/>
      <c r="V282" s="1"/>
      <c r="W282" s="3"/>
      <c r="X282" s="1"/>
      <c r="Y282" s="4"/>
      <c r="Z282" s="4"/>
      <c r="AA282" s="1"/>
      <c r="AB282" s="1"/>
      <c r="AC282" s="1"/>
      <c r="AD282" s="2"/>
      <c r="AE282" s="1"/>
      <c r="AF282" s="1"/>
      <c r="AG282" s="1"/>
      <c r="AH282" s="3"/>
      <c r="AI282" s="1"/>
      <c r="AJ282" s="1"/>
      <c r="AK282" s="1"/>
      <c r="AL282" s="1"/>
      <c r="AM282" s="1"/>
      <c r="AN282" s="2"/>
      <c r="AO282" s="1"/>
      <c r="AP282" s="1"/>
      <c r="AQ282" s="1"/>
      <c r="AR282" s="2"/>
      <c r="AS282" s="1"/>
      <c r="AT282" s="2"/>
      <c r="AU282" s="4"/>
      <c r="AV282" s="7"/>
      <c r="AW282" s="4"/>
      <c r="AX282" s="3"/>
      <c r="AY282" s="4"/>
      <c r="AZ282" s="1"/>
      <c r="BA282" s="1"/>
      <c r="BB282" s="1"/>
      <c r="BC282" s="4"/>
      <c r="BD282" s="1"/>
      <c r="BE282" s="4"/>
      <c r="BF282" s="2"/>
      <c r="BG282" s="4"/>
      <c r="BH282" s="1"/>
      <c r="BI282" s="1"/>
    </row>
    <row r="283" spans="1:61" ht="15" customHeight="1" x14ac:dyDescent="0.25">
      <c r="A283" s="2"/>
      <c r="B283" s="1"/>
      <c r="E283" s="1"/>
      <c r="F283" s="1"/>
      <c r="G283" s="1"/>
      <c r="H283" s="1"/>
      <c r="J283" s="2"/>
      <c r="K283" s="3"/>
      <c r="L283" s="1"/>
      <c r="N283" s="3"/>
      <c r="P283" s="1"/>
      <c r="Q283" s="2"/>
      <c r="R283" s="3"/>
      <c r="S283" s="4"/>
      <c r="T283" s="3"/>
      <c r="U283" s="1"/>
      <c r="V283" s="1"/>
      <c r="W283" s="3"/>
      <c r="X283" s="1"/>
      <c r="Y283" s="4"/>
      <c r="Z283" s="4"/>
      <c r="AA283" s="1"/>
      <c r="AB283" s="1"/>
      <c r="AC283" s="1"/>
      <c r="AD283" s="2"/>
      <c r="AE283" s="1"/>
      <c r="AF283" s="1"/>
      <c r="AG283" s="1"/>
      <c r="AH283" s="3"/>
      <c r="AI283" s="1"/>
      <c r="AJ283" s="1"/>
      <c r="AK283" s="1"/>
      <c r="AL283" s="1"/>
      <c r="AM283" s="1"/>
      <c r="AN283" s="2"/>
      <c r="AO283" s="1"/>
      <c r="AP283" s="1"/>
      <c r="AQ283" s="1"/>
      <c r="AR283" s="2"/>
      <c r="AS283" s="1"/>
      <c r="AT283" s="2"/>
      <c r="AU283" s="4"/>
      <c r="AV283" s="7"/>
      <c r="AW283" s="4"/>
      <c r="AX283" s="3"/>
      <c r="AY283" s="4"/>
      <c r="AZ283" s="1"/>
      <c r="BA283" s="1"/>
      <c r="BB283" s="1"/>
      <c r="BC283" s="4"/>
      <c r="BD283" s="1"/>
      <c r="BE283" s="4"/>
      <c r="BF283" s="2"/>
      <c r="BG283" s="4"/>
      <c r="BH283" s="1"/>
      <c r="BI283" s="1"/>
    </row>
    <row r="284" spans="1:61" ht="15" customHeight="1" x14ac:dyDescent="0.25">
      <c r="A284" s="2"/>
      <c r="B284" s="1"/>
      <c r="E284" s="1"/>
      <c r="F284" s="1"/>
      <c r="G284" s="1"/>
      <c r="H284" s="1"/>
      <c r="J284" s="2"/>
      <c r="K284" s="3"/>
      <c r="L284" s="1"/>
      <c r="N284" s="3"/>
      <c r="P284" s="1"/>
      <c r="Q284" s="2"/>
      <c r="R284" s="3"/>
      <c r="S284" s="4"/>
      <c r="T284" s="3"/>
      <c r="U284" s="1"/>
      <c r="V284" s="1"/>
      <c r="W284" s="3"/>
      <c r="X284" s="1"/>
      <c r="Y284" s="4"/>
      <c r="Z284" s="4"/>
      <c r="AA284" s="1"/>
      <c r="AB284" s="1"/>
      <c r="AC284" s="1"/>
      <c r="AD284" s="2"/>
      <c r="AE284" s="1"/>
      <c r="AF284" s="1"/>
      <c r="AG284" s="1"/>
      <c r="AH284" s="3"/>
      <c r="AI284" s="1"/>
      <c r="AJ284" s="1"/>
      <c r="AK284" s="1"/>
      <c r="AL284" s="1"/>
      <c r="AM284" s="1"/>
      <c r="AN284" s="2"/>
      <c r="AO284" s="1"/>
      <c r="AP284" s="1"/>
      <c r="AQ284" s="1"/>
      <c r="AR284" s="2"/>
      <c r="AS284" s="1"/>
      <c r="AT284" s="2"/>
      <c r="AU284" s="4"/>
      <c r="AV284" s="7"/>
      <c r="AW284" s="4"/>
      <c r="AX284" s="3"/>
      <c r="AY284" s="4"/>
      <c r="AZ284" s="1"/>
      <c r="BA284" s="1"/>
      <c r="BB284" s="1"/>
      <c r="BC284" s="4"/>
      <c r="BD284" s="1"/>
      <c r="BE284" s="4"/>
      <c r="BF284" s="2"/>
      <c r="BG284" s="4"/>
      <c r="BH284" s="1"/>
      <c r="BI284" s="1"/>
    </row>
    <row r="285" spans="1:61" ht="15" customHeight="1" x14ac:dyDescent="0.25">
      <c r="A285" s="2"/>
      <c r="B285" s="1"/>
      <c r="E285" s="1"/>
      <c r="F285" s="1"/>
      <c r="G285" s="1"/>
      <c r="H285" s="1"/>
      <c r="J285" s="2"/>
      <c r="K285" s="3"/>
      <c r="L285" s="1"/>
      <c r="N285" s="3"/>
      <c r="P285" s="1"/>
      <c r="Q285" s="2"/>
      <c r="R285" s="3"/>
      <c r="S285" s="4"/>
      <c r="T285" s="3"/>
      <c r="U285" s="1"/>
      <c r="V285" s="1"/>
      <c r="W285" s="3"/>
      <c r="X285" s="1"/>
      <c r="Y285" s="4"/>
      <c r="Z285" s="4"/>
      <c r="AA285" s="1"/>
      <c r="AB285" s="1"/>
      <c r="AC285" s="1"/>
      <c r="AD285" s="2"/>
      <c r="AE285" s="1"/>
      <c r="AF285" s="1"/>
      <c r="AG285" s="1"/>
      <c r="AH285" s="3"/>
      <c r="AI285" s="1"/>
      <c r="AJ285" s="1"/>
      <c r="AK285" s="1"/>
      <c r="AL285" s="1"/>
      <c r="AM285" s="1"/>
      <c r="AN285" s="2"/>
      <c r="AO285" s="1"/>
      <c r="AP285" s="1"/>
      <c r="AQ285" s="1"/>
      <c r="AR285" s="2"/>
      <c r="AS285" s="1"/>
      <c r="AT285" s="2"/>
      <c r="AU285" s="4"/>
      <c r="AV285" s="7"/>
      <c r="AW285" s="4"/>
      <c r="AX285" s="3"/>
      <c r="AY285" s="4"/>
      <c r="AZ285" s="1"/>
      <c r="BA285" s="1"/>
      <c r="BB285" s="1"/>
      <c r="BC285" s="4"/>
      <c r="BD285" s="1"/>
      <c r="BE285" s="4"/>
      <c r="BF285" s="2"/>
      <c r="BG285" s="4"/>
      <c r="BH285" s="1"/>
      <c r="BI285" s="1"/>
    </row>
    <row r="286" spans="1:61" ht="15" customHeight="1" x14ac:dyDescent="0.25">
      <c r="A286" s="2"/>
      <c r="B286" s="1"/>
      <c r="E286" s="1"/>
      <c r="F286" s="1"/>
      <c r="G286" s="1"/>
      <c r="H286" s="1"/>
      <c r="J286" s="2"/>
      <c r="K286" s="3"/>
      <c r="L286" s="1"/>
      <c r="N286" s="3"/>
      <c r="P286" s="1"/>
      <c r="Q286" s="2"/>
      <c r="R286" s="3"/>
      <c r="S286" s="4"/>
      <c r="T286" s="3"/>
      <c r="U286" s="1"/>
      <c r="V286" s="1"/>
      <c r="W286" s="3"/>
      <c r="X286" s="1"/>
      <c r="Y286" s="4"/>
      <c r="Z286" s="4"/>
      <c r="AA286" s="1"/>
      <c r="AB286" s="1"/>
      <c r="AC286" s="1"/>
      <c r="AD286" s="2"/>
      <c r="AE286" s="1"/>
      <c r="AF286" s="1"/>
      <c r="AG286" s="1"/>
      <c r="AH286" s="3"/>
      <c r="AI286" s="1"/>
      <c r="AJ286" s="1"/>
      <c r="AK286" s="1"/>
      <c r="AL286" s="1"/>
      <c r="AM286" s="1"/>
      <c r="AN286" s="2"/>
      <c r="AO286" s="1"/>
      <c r="AP286" s="1"/>
      <c r="AQ286" s="1"/>
      <c r="AR286" s="2"/>
      <c r="AS286" s="1"/>
      <c r="AT286" s="2"/>
      <c r="AU286" s="4"/>
      <c r="AV286" s="7"/>
      <c r="AW286" s="4"/>
      <c r="AX286" s="3"/>
      <c r="AY286" s="4"/>
      <c r="AZ286" s="1"/>
      <c r="BA286" s="1"/>
      <c r="BB286" s="1"/>
      <c r="BC286" s="4"/>
      <c r="BD286" s="1"/>
      <c r="BE286" s="4"/>
      <c r="BF286" s="2"/>
      <c r="BG286" s="4"/>
      <c r="BH286" s="1"/>
      <c r="BI286" s="1"/>
    </row>
    <row r="287" spans="1:61" ht="15" customHeight="1" x14ac:dyDescent="0.25">
      <c r="A287" s="2"/>
      <c r="B287" s="1"/>
      <c r="E287" s="1"/>
      <c r="F287" s="1"/>
      <c r="G287" s="1"/>
      <c r="H287" s="1"/>
      <c r="J287" s="2"/>
      <c r="K287" s="3"/>
      <c r="L287" s="1"/>
      <c r="N287" s="3"/>
      <c r="P287" s="1"/>
      <c r="Q287" s="2"/>
      <c r="R287" s="3"/>
      <c r="S287" s="4"/>
      <c r="T287" s="3"/>
      <c r="U287" s="1"/>
      <c r="V287" s="1"/>
      <c r="W287" s="3"/>
      <c r="X287" s="1"/>
      <c r="Y287" s="4"/>
      <c r="Z287" s="4"/>
      <c r="AA287" s="1"/>
      <c r="AB287" s="1"/>
      <c r="AC287" s="1"/>
      <c r="AD287" s="2"/>
      <c r="AE287" s="1"/>
      <c r="AF287" s="1"/>
      <c r="AG287" s="1"/>
      <c r="AH287" s="3"/>
      <c r="AI287" s="1"/>
      <c r="AJ287" s="1"/>
      <c r="AK287" s="1"/>
      <c r="AL287" s="1"/>
      <c r="AM287" s="1"/>
      <c r="AN287" s="2"/>
      <c r="AO287" s="1"/>
      <c r="AP287" s="1"/>
      <c r="AQ287" s="1"/>
      <c r="AR287" s="2"/>
      <c r="AS287" s="1"/>
      <c r="AT287" s="2"/>
      <c r="AU287" s="4"/>
      <c r="AV287" s="7"/>
      <c r="AW287" s="4"/>
      <c r="AX287" s="3"/>
      <c r="AY287" s="4"/>
      <c r="AZ287" s="1"/>
      <c r="BA287" s="1"/>
      <c r="BB287" s="1"/>
      <c r="BC287" s="4"/>
      <c r="BD287" s="1"/>
      <c r="BE287" s="4"/>
      <c r="BF287" s="2"/>
      <c r="BG287" s="4"/>
      <c r="BH287" s="1"/>
      <c r="BI287" s="1"/>
    </row>
    <row r="288" spans="1:61" ht="15" customHeight="1" x14ac:dyDescent="0.25">
      <c r="A288" s="2"/>
      <c r="B288" s="1"/>
      <c r="E288" s="1"/>
      <c r="F288" s="1"/>
      <c r="G288" s="1"/>
      <c r="H288" s="1"/>
      <c r="J288" s="2"/>
      <c r="K288" s="3"/>
      <c r="L288" s="1"/>
      <c r="N288" s="3"/>
      <c r="P288" s="1"/>
      <c r="Q288" s="2"/>
      <c r="R288" s="3"/>
      <c r="S288" s="4"/>
      <c r="T288" s="3"/>
      <c r="U288" s="1"/>
      <c r="V288" s="1"/>
      <c r="W288" s="3"/>
      <c r="X288" s="1"/>
      <c r="Y288" s="4"/>
      <c r="Z288" s="4"/>
      <c r="AA288" s="1"/>
      <c r="AB288" s="1"/>
      <c r="AC288" s="1"/>
      <c r="AD288" s="2"/>
      <c r="AE288" s="1"/>
      <c r="AF288" s="1"/>
      <c r="AG288" s="1"/>
      <c r="AH288" s="3"/>
      <c r="AI288" s="1"/>
      <c r="AJ288" s="1"/>
      <c r="AK288" s="1"/>
      <c r="AL288" s="1"/>
      <c r="AM288" s="1"/>
      <c r="AN288" s="2"/>
      <c r="AO288" s="1"/>
      <c r="AP288" s="1"/>
      <c r="AQ288" s="1"/>
      <c r="AR288" s="2"/>
      <c r="AS288" s="1"/>
      <c r="AT288" s="2"/>
      <c r="AU288" s="4"/>
      <c r="AV288" s="7"/>
      <c r="AW288" s="4"/>
      <c r="AX288" s="3"/>
      <c r="AY288" s="4"/>
      <c r="AZ288" s="1"/>
      <c r="BA288" s="1"/>
      <c r="BB288" s="1"/>
      <c r="BC288" s="4"/>
      <c r="BD288" s="1"/>
      <c r="BE288" s="4"/>
      <c r="BF288" s="2"/>
      <c r="BG288" s="4"/>
      <c r="BH288" s="1"/>
      <c r="BI288" s="1"/>
    </row>
    <row r="289" spans="1:61" ht="15" customHeight="1" x14ac:dyDescent="0.25">
      <c r="A289" s="2"/>
      <c r="B289" s="1"/>
      <c r="E289" s="1"/>
      <c r="F289" s="1"/>
      <c r="G289" s="1"/>
      <c r="H289" s="1"/>
      <c r="J289" s="2"/>
      <c r="K289" s="3"/>
      <c r="L289" s="1"/>
      <c r="N289" s="3"/>
      <c r="P289" s="1"/>
      <c r="Q289" s="2"/>
      <c r="R289" s="3"/>
      <c r="S289" s="4"/>
      <c r="T289" s="3"/>
      <c r="U289" s="1"/>
      <c r="V289" s="1"/>
      <c r="W289" s="3"/>
      <c r="X289" s="1"/>
      <c r="Y289" s="4"/>
      <c r="Z289" s="4"/>
      <c r="AA289" s="1"/>
      <c r="AB289" s="1"/>
      <c r="AC289" s="1"/>
      <c r="AD289" s="2"/>
      <c r="AE289" s="1"/>
      <c r="AF289" s="1"/>
      <c r="AG289" s="1"/>
      <c r="AH289" s="3"/>
      <c r="AI289" s="1"/>
      <c r="AJ289" s="1"/>
      <c r="AK289" s="1"/>
      <c r="AL289" s="1"/>
      <c r="AM289" s="1"/>
      <c r="AN289" s="2"/>
      <c r="AO289" s="1"/>
      <c r="AP289" s="1"/>
      <c r="AQ289" s="1"/>
      <c r="AR289" s="2"/>
      <c r="AS289" s="1"/>
      <c r="AT289" s="2"/>
      <c r="AU289" s="4"/>
      <c r="AV289" s="7"/>
      <c r="AW289" s="4"/>
      <c r="AX289" s="3"/>
      <c r="AY289" s="4"/>
      <c r="AZ289" s="1"/>
      <c r="BA289" s="1"/>
      <c r="BB289" s="1"/>
      <c r="BC289" s="4"/>
      <c r="BD289" s="1"/>
      <c r="BE289" s="4"/>
      <c r="BF289" s="2"/>
      <c r="BG289" s="4"/>
      <c r="BH289" s="1"/>
      <c r="BI289" s="1"/>
    </row>
    <row r="290" spans="1:61" ht="15" customHeight="1" x14ac:dyDescent="0.25">
      <c r="A290" s="2"/>
      <c r="B290" s="1"/>
      <c r="E290" s="1"/>
      <c r="F290" s="1"/>
      <c r="G290" s="1"/>
      <c r="H290" s="1"/>
      <c r="J290" s="2"/>
      <c r="K290" s="3"/>
      <c r="L290" s="1"/>
      <c r="N290" s="3"/>
      <c r="P290" s="1"/>
      <c r="Q290" s="2"/>
      <c r="R290" s="3"/>
      <c r="S290" s="4"/>
      <c r="T290" s="3"/>
      <c r="U290" s="1"/>
      <c r="V290" s="1"/>
      <c r="W290" s="3"/>
      <c r="X290" s="1"/>
      <c r="Y290" s="4"/>
      <c r="Z290" s="4"/>
      <c r="AA290" s="1"/>
      <c r="AB290" s="1"/>
      <c r="AC290" s="1"/>
      <c r="AD290" s="2"/>
      <c r="AE290" s="1"/>
      <c r="AF290" s="1"/>
      <c r="AG290" s="1"/>
      <c r="AH290" s="3"/>
      <c r="AI290" s="1"/>
      <c r="AJ290" s="1"/>
      <c r="AK290" s="1"/>
      <c r="AL290" s="1"/>
      <c r="AM290" s="1"/>
      <c r="AN290" s="2"/>
      <c r="AO290" s="1"/>
      <c r="AP290" s="1"/>
      <c r="AQ290" s="1"/>
      <c r="AR290" s="2"/>
      <c r="AS290" s="1"/>
      <c r="AT290" s="2"/>
      <c r="AU290" s="4"/>
      <c r="AV290" s="7"/>
      <c r="AW290" s="4"/>
      <c r="AX290" s="3"/>
      <c r="AY290" s="4"/>
      <c r="AZ290" s="1"/>
      <c r="BA290" s="1"/>
      <c r="BB290" s="1"/>
      <c r="BC290" s="4"/>
      <c r="BD290" s="1"/>
      <c r="BE290" s="4"/>
      <c r="BF290" s="2"/>
      <c r="BG290" s="4"/>
      <c r="BH290" s="1"/>
      <c r="BI290" s="1"/>
    </row>
    <row r="291" spans="1:61" ht="15" customHeight="1" x14ac:dyDescent="0.25">
      <c r="A291" s="2"/>
      <c r="B291" s="1"/>
      <c r="E291" s="1"/>
      <c r="F291" s="1"/>
      <c r="G291" s="1"/>
      <c r="H291" s="1"/>
      <c r="J291" s="2"/>
      <c r="K291" s="3"/>
      <c r="L291" s="1"/>
      <c r="N291" s="3"/>
      <c r="P291" s="1"/>
      <c r="Q291" s="2"/>
      <c r="R291" s="3"/>
      <c r="S291" s="4"/>
      <c r="T291" s="3"/>
      <c r="U291" s="1"/>
      <c r="V291" s="1"/>
      <c r="W291" s="3"/>
      <c r="X291" s="1"/>
      <c r="Y291" s="4"/>
      <c r="Z291" s="4"/>
      <c r="AA291" s="1"/>
      <c r="AB291" s="1"/>
      <c r="AC291" s="1"/>
      <c r="AD291" s="2"/>
      <c r="AE291" s="1"/>
      <c r="AF291" s="1"/>
      <c r="AG291" s="1"/>
      <c r="AH291" s="3"/>
      <c r="AI291" s="1"/>
      <c r="AJ291" s="1"/>
      <c r="AK291" s="1"/>
      <c r="AL291" s="1"/>
      <c r="AM291" s="1"/>
      <c r="AN291" s="2"/>
      <c r="AO291" s="1"/>
      <c r="AP291" s="1"/>
      <c r="AQ291" s="1"/>
      <c r="AR291" s="2"/>
      <c r="AS291" s="1"/>
      <c r="AT291" s="2"/>
      <c r="AU291" s="4"/>
      <c r="AV291" s="7"/>
      <c r="AW291" s="4"/>
      <c r="AX291" s="3"/>
      <c r="AY291" s="4"/>
      <c r="AZ291" s="1"/>
      <c r="BA291" s="1"/>
      <c r="BB291" s="1"/>
      <c r="BC291" s="4"/>
      <c r="BD291" s="1"/>
      <c r="BE291" s="4"/>
      <c r="BF291" s="2"/>
      <c r="BG291" s="4"/>
      <c r="BH291" s="1"/>
      <c r="BI291" s="1"/>
    </row>
    <row r="292" spans="1:61" ht="15" customHeight="1" x14ac:dyDescent="0.25">
      <c r="A292" s="2"/>
      <c r="B292" s="1"/>
      <c r="E292" s="1"/>
      <c r="F292" s="1"/>
      <c r="G292" s="1"/>
      <c r="H292" s="1"/>
      <c r="J292" s="2"/>
      <c r="K292" s="3"/>
      <c r="L292" s="1"/>
      <c r="N292" s="3"/>
      <c r="P292" s="1"/>
      <c r="Q292" s="2"/>
      <c r="R292" s="3"/>
      <c r="S292" s="4"/>
      <c r="T292" s="3"/>
      <c r="U292" s="1"/>
      <c r="V292" s="1"/>
      <c r="W292" s="3"/>
      <c r="X292" s="1"/>
      <c r="Y292" s="4"/>
      <c r="Z292" s="4"/>
      <c r="AA292" s="1"/>
      <c r="AB292" s="1"/>
      <c r="AC292" s="1"/>
      <c r="AD292" s="2"/>
      <c r="AE292" s="1"/>
      <c r="AF292" s="1"/>
      <c r="AG292" s="1"/>
      <c r="AH292" s="3"/>
      <c r="AI292" s="1"/>
      <c r="AJ292" s="1"/>
      <c r="AK292" s="1"/>
      <c r="AL292" s="1"/>
      <c r="AM292" s="1"/>
      <c r="AN292" s="2"/>
      <c r="AO292" s="1"/>
      <c r="AP292" s="1"/>
      <c r="AQ292" s="1"/>
      <c r="AR292" s="2"/>
      <c r="AS292" s="1"/>
      <c r="AT292" s="2"/>
      <c r="AU292" s="4"/>
      <c r="AV292" s="7"/>
      <c r="AW292" s="4"/>
      <c r="AX292" s="3"/>
      <c r="AY292" s="4"/>
      <c r="AZ292" s="1"/>
      <c r="BA292" s="1"/>
      <c r="BB292" s="1"/>
      <c r="BC292" s="4"/>
      <c r="BD292" s="1"/>
      <c r="BE292" s="4"/>
      <c r="BF292" s="2"/>
      <c r="BG292" s="4"/>
      <c r="BH292" s="1"/>
      <c r="BI292" s="1"/>
    </row>
    <row r="293" spans="1:61" ht="15" customHeight="1" x14ac:dyDescent="0.25">
      <c r="A293" s="2"/>
      <c r="B293" s="1"/>
      <c r="E293" s="1"/>
      <c r="F293" s="1"/>
      <c r="G293" s="1"/>
      <c r="H293" s="1"/>
      <c r="J293" s="2"/>
      <c r="K293" s="3"/>
      <c r="L293" s="1"/>
      <c r="N293" s="3"/>
      <c r="P293" s="1"/>
      <c r="Q293" s="2"/>
      <c r="R293" s="3"/>
      <c r="S293" s="4"/>
      <c r="T293" s="3"/>
      <c r="U293" s="1"/>
      <c r="V293" s="1"/>
      <c r="W293" s="3"/>
      <c r="X293" s="1"/>
      <c r="Y293" s="4"/>
      <c r="Z293" s="4"/>
      <c r="AA293" s="1"/>
      <c r="AB293" s="1"/>
      <c r="AC293" s="1"/>
      <c r="AD293" s="2"/>
      <c r="AE293" s="1"/>
      <c r="AF293" s="1"/>
      <c r="AG293" s="1"/>
      <c r="AH293" s="3"/>
      <c r="AI293" s="1"/>
      <c r="AJ293" s="1"/>
      <c r="AK293" s="1"/>
      <c r="AL293" s="1"/>
      <c r="AM293" s="1"/>
      <c r="AN293" s="2"/>
      <c r="AO293" s="1"/>
      <c r="AP293" s="1"/>
      <c r="AQ293" s="1"/>
      <c r="AR293" s="2"/>
      <c r="AS293" s="1"/>
      <c r="AT293" s="2"/>
      <c r="AU293" s="4"/>
      <c r="AV293" s="7"/>
      <c r="AW293" s="4"/>
      <c r="AX293" s="3"/>
      <c r="AY293" s="4"/>
      <c r="AZ293" s="1"/>
      <c r="BA293" s="1"/>
      <c r="BB293" s="1"/>
      <c r="BC293" s="4"/>
      <c r="BD293" s="1"/>
      <c r="BE293" s="4"/>
      <c r="BF293" s="2"/>
      <c r="BG293" s="4"/>
      <c r="BH293" s="1"/>
      <c r="BI293" s="1"/>
    </row>
    <row r="294" spans="1:61" ht="15" customHeight="1" x14ac:dyDescent="0.25">
      <c r="A294" s="2"/>
      <c r="B294" s="1"/>
      <c r="E294" s="1"/>
      <c r="F294" s="1"/>
      <c r="G294" s="1"/>
      <c r="H294" s="1"/>
      <c r="J294" s="2"/>
      <c r="K294" s="3"/>
      <c r="L294" s="1"/>
      <c r="N294" s="3"/>
      <c r="P294" s="1"/>
      <c r="Q294" s="2"/>
      <c r="R294" s="3"/>
      <c r="S294" s="4"/>
      <c r="T294" s="3"/>
      <c r="U294" s="1"/>
      <c r="V294" s="1"/>
      <c r="W294" s="3"/>
      <c r="X294" s="1"/>
      <c r="Y294" s="4"/>
      <c r="Z294" s="4"/>
      <c r="AA294" s="1"/>
      <c r="AB294" s="1"/>
      <c r="AC294" s="1"/>
      <c r="AD294" s="2"/>
      <c r="AE294" s="1"/>
      <c r="AF294" s="1"/>
      <c r="AG294" s="1"/>
      <c r="AH294" s="3"/>
      <c r="AI294" s="1"/>
      <c r="AJ294" s="1"/>
      <c r="AK294" s="1"/>
      <c r="AL294" s="1"/>
      <c r="AM294" s="1"/>
      <c r="AN294" s="2"/>
      <c r="AO294" s="1"/>
      <c r="AP294" s="1"/>
      <c r="AQ294" s="1"/>
      <c r="AR294" s="2"/>
      <c r="AS294" s="1"/>
      <c r="AT294" s="2"/>
      <c r="AU294" s="4"/>
      <c r="AV294" s="7"/>
      <c r="AW294" s="4"/>
      <c r="AX294" s="3"/>
      <c r="AY294" s="4"/>
      <c r="AZ294" s="1"/>
      <c r="BA294" s="1"/>
      <c r="BB294" s="1"/>
      <c r="BC294" s="4"/>
      <c r="BD294" s="1"/>
      <c r="BE294" s="4"/>
      <c r="BF294" s="2"/>
      <c r="BG294" s="4"/>
      <c r="BH294" s="1"/>
      <c r="BI294" s="1"/>
    </row>
    <row r="295" spans="1:61" ht="15" customHeight="1" x14ac:dyDescent="0.25">
      <c r="A295" s="2"/>
      <c r="B295" s="1"/>
      <c r="E295" s="1"/>
      <c r="F295" s="1"/>
      <c r="G295" s="1"/>
      <c r="H295" s="1"/>
      <c r="J295" s="2"/>
      <c r="K295" s="3"/>
      <c r="L295" s="1"/>
      <c r="N295" s="3"/>
      <c r="P295" s="1"/>
      <c r="Q295" s="2"/>
      <c r="R295" s="3"/>
      <c r="S295" s="4"/>
      <c r="T295" s="3"/>
      <c r="U295" s="1"/>
      <c r="V295" s="1"/>
      <c r="W295" s="3"/>
      <c r="X295" s="1"/>
      <c r="Y295" s="4"/>
      <c r="Z295" s="4"/>
      <c r="AA295" s="1"/>
      <c r="AB295" s="1"/>
      <c r="AC295" s="1"/>
      <c r="AD295" s="2"/>
      <c r="AE295" s="1"/>
      <c r="AF295" s="1"/>
      <c r="AG295" s="1"/>
      <c r="AH295" s="3"/>
      <c r="AI295" s="1"/>
      <c r="AJ295" s="1"/>
      <c r="AK295" s="1"/>
      <c r="AL295" s="1"/>
      <c r="AM295" s="1"/>
      <c r="AN295" s="2"/>
      <c r="AO295" s="1"/>
      <c r="AP295" s="1"/>
      <c r="AQ295" s="1"/>
      <c r="AR295" s="2"/>
      <c r="AS295" s="1"/>
      <c r="AT295" s="2"/>
      <c r="AU295" s="4"/>
      <c r="AV295" s="7"/>
      <c r="AW295" s="4"/>
      <c r="AX295" s="3"/>
      <c r="AY295" s="4"/>
      <c r="AZ295" s="1"/>
      <c r="BA295" s="1"/>
      <c r="BB295" s="1"/>
      <c r="BC295" s="4"/>
      <c r="BD295" s="1"/>
      <c r="BE295" s="4"/>
      <c r="BF295" s="2"/>
      <c r="BG295" s="4"/>
      <c r="BH295" s="1"/>
      <c r="BI295" s="1"/>
    </row>
    <row r="296" spans="1:61" ht="15" customHeight="1" x14ac:dyDescent="0.25">
      <c r="A296" s="2"/>
      <c r="B296" s="1"/>
      <c r="E296" s="1"/>
      <c r="F296" s="1"/>
      <c r="G296" s="1"/>
      <c r="H296" s="1"/>
      <c r="J296" s="2"/>
      <c r="K296" s="3"/>
      <c r="L296" s="1"/>
      <c r="N296" s="3"/>
      <c r="P296" s="1"/>
      <c r="Q296" s="2"/>
      <c r="R296" s="3"/>
      <c r="S296" s="4"/>
      <c r="T296" s="3"/>
      <c r="U296" s="1"/>
      <c r="V296" s="1"/>
      <c r="W296" s="3"/>
      <c r="X296" s="1"/>
      <c r="Y296" s="4"/>
      <c r="Z296" s="4"/>
      <c r="AA296" s="1"/>
      <c r="AB296" s="1"/>
      <c r="AC296" s="1"/>
      <c r="AD296" s="2"/>
      <c r="AE296" s="1"/>
      <c r="AF296" s="1"/>
      <c r="AG296" s="1"/>
      <c r="AH296" s="3"/>
      <c r="AI296" s="1"/>
      <c r="AJ296" s="1"/>
      <c r="AK296" s="1"/>
      <c r="AL296" s="1"/>
      <c r="AM296" s="1"/>
      <c r="AN296" s="2"/>
      <c r="AO296" s="1"/>
      <c r="AP296" s="1"/>
      <c r="AQ296" s="1"/>
      <c r="AR296" s="2"/>
      <c r="AS296" s="1"/>
      <c r="AT296" s="2"/>
      <c r="AU296" s="4"/>
      <c r="AV296" s="7"/>
      <c r="AW296" s="4"/>
      <c r="AX296" s="3"/>
      <c r="AY296" s="4"/>
      <c r="AZ296" s="1"/>
      <c r="BA296" s="1"/>
      <c r="BB296" s="1"/>
      <c r="BC296" s="4"/>
      <c r="BD296" s="1"/>
      <c r="BE296" s="4"/>
      <c r="BF296" s="2"/>
      <c r="BG296" s="4"/>
      <c r="BH296" s="1"/>
      <c r="BI296" s="1"/>
    </row>
    <row r="297" spans="1:61" ht="15" customHeight="1" x14ac:dyDescent="0.25">
      <c r="A297" s="2"/>
      <c r="B297" s="1"/>
      <c r="E297" s="1"/>
      <c r="F297" s="1"/>
      <c r="G297" s="1"/>
      <c r="H297" s="1"/>
      <c r="J297" s="2"/>
      <c r="K297" s="3"/>
      <c r="L297" s="1"/>
      <c r="N297" s="3"/>
      <c r="P297" s="1"/>
      <c r="Q297" s="2"/>
      <c r="R297" s="3"/>
      <c r="S297" s="4"/>
      <c r="T297" s="3"/>
      <c r="U297" s="1"/>
      <c r="V297" s="1"/>
      <c r="W297" s="3"/>
      <c r="X297" s="1"/>
      <c r="Y297" s="4"/>
      <c r="Z297" s="4"/>
      <c r="AA297" s="1"/>
      <c r="AB297" s="1"/>
      <c r="AC297" s="1"/>
      <c r="AD297" s="2"/>
      <c r="AE297" s="1"/>
      <c r="AF297" s="1"/>
      <c r="AG297" s="1"/>
      <c r="AH297" s="3"/>
      <c r="AI297" s="1"/>
      <c r="AJ297" s="1"/>
      <c r="AK297" s="1"/>
      <c r="AL297" s="1"/>
      <c r="AM297" s="1"/>
      <c r="AN297" s="2"/>
      <c r="AO297" s="1"/>
      <c r="AP297" s="1"/>
      <c r="AQ297" s="1"/>
      <c r="AR297" s="2"/>
      <c r="AS297" s="1"/>
      <c r="AT297" s="2"/>
      <c r="AU297" s="4"/>
      <c r="AV297" s="7"/>
      <c r="AW297" s="4"/>
      <c r="AX297" s="3"/>
      <c r="AY297" s="4"/>
      <c r="AZ297" s="1"/>
      <c r="BA297" s="1"/>
      <c r="BB297" s="1"/>
      <c r="BC297" s="4"/>
      <c r="BD297" s="1"/>
      <c r="BE297" s="4"/>
      <c r="BF297" s="2"/>
      <c r="BG297" s="4"/>
      <c r="BH297" s="1"/>
      <c r="BI297" s="1"/>
    </row>
    <row r="298" spans="1:61" ht="15" customHeight="1" x14ac:dyDescent="0.25">
      <c r="A298" s="2"/>
      <c r="B298" s="1"/>
      <c r="E298" s="1"/>
      <c r="F298" s="1"/>
      <c r="G298" s="1"/>
      <c r="H298" s="1"/>
      <c r="J298" s="2"/>
      <c r="K298" s="3"/>
      <c r="L298" s="1"/>
      <c r="N298" s="3"/>
      <c r="P298" s="1"/>
      <c r="Q298" s="2"/>
      <c r="R298" s="3"/>
      <c r="S298" s="4"/>
      <c r="T298" s="3"/>
      <c r="U298" s="1"/>
      <c r="V298" s="1"/>
      <c r="W298" s="3"/>
      <c r="X298" s="1"/>
      <c r="Y298" s="4"/>
      <c r="Z298" s="4"/>
      <c r="AA298" s="1"/>
      <c r="AB298" s="1"/>
      <c r="AC298" s="1"/>
      <c r="AD298" s="2"/>
      <c r="AE298" s="1"/>
      <c r="AF298" s="1"/>
      <c r="AG298" s="1"/>
      <c r="AH298" s="3"/>
      <c r="AI298" s="1"/>
      <c r="AJ298" s="1"/>
      <c r="AK298" s="1"/>
      <c r="AL298" s="1"/>
      <c r="AM298" s="1"/>
      <c r="AN298" s="2"/>
      <c r="AO298" s="1"/>
      <c r="AP298" s="1"/>
      <c r="AQ298" s="1"/>
      <c r="AR298" s="2"/>
      <c r="AS298" s="1"/>
      <c r="AT298" s="2"/>
      <c r="AU298" s="4"/>
      <c r="AV298" s="7"/>
      <c r="AW298" s="4"/>
      <c r="AX298" s="3"/>
      <c r="AY298" s="4"/>
      <c r="AZ298" s="1"/>
      <c r="BA298" s="1"/>
      <c r="BB298" s="1"/>
      <c r="BC298" s="4"/>
      <c r="BD298" s="1"/>
      <c r="BE298" s="4"/>
      <c r="BF298" s="2"/>
      <c r="BG298" s="4"/>
      <c r="BH298" s="1"/>
      <c r="BI298" s="1"/>
    </row>
    <row r="299" spans="1:61" ht="15" customHeight="1" x14ac:dyDescent="0.25">
      <c r="A299" s="2"/>
      <c r="B299" s="1"/>
      <c r="E299" s="1"/>
      <c r="F299" s="1"/>
      <c r="G299" s="1"/>
      <c r="H299" s="1"/>
      <c r="J299" s="2"/>
      <c r="K299" s="3"/>
      <c r="L299" s="1"/>
      <c r="N299" s="3"/>
      <c r="P299" s="1"/>
      <c r="Q299" s="2"/>
      <c r="R299" s="3"/>
      <c r="S299" s="4"/>
      <c r="T299" s="3"/>
      <c r="U299" s="1"/>
      <c r="V299" s="1"/>
      <c r="W299" s="3"/>
      <c r="X299" s="1"/>
      <c r="Y299" s="4"/>
      <c r="Z299" s="4"/>
      <c r="AA299" s="1"/>
      <c r="AB299" s="1"/>
      <c r="AC299" s="1"/>
      <c r="AD299" s="2"/>
      <c r="AE299" s="1"/>
      <c r="AF299" s="1"/>
      <c r="AG299" s="1"/>
      <c r="AH299" s="3"/>
      <c r="AI299" s="1"/>
      <c r="AJ299" s="1"/>
      <c r="AK299" s="1"/>
      <c r="AL299" s="1"/>
      <c r="AM299" s="1"/>
      <c r="AN299" s="2"/>
      <c r="AO299" s="1"/>
      <c r="AP299" s="1"/>
      <c r="AQ299" s="1"/>
      <c r="AR299" s="2"/>
      <c r="AS299" s="1"/>
      <c r="AT299" s="2"/>
      <c r="AU299" s="4"/>
      <c r="AV299" s="7"/>
      <c r="AW299" s="4"/>
      <c r="AX299" s="3"/>
      <c r="AY299" s="4"/>
      <c r="AZ299" s="1"/>
      <c r="BA299" s="1"/>
      <c r="BB299" s="1"/>
      <c r="BC299" s="4"/>
      <c r="BD299" s="1"/>
      <c r="BE299" s="4"/>
      <c r="BF299" s="2"/>
      <c r="BG299" s="4"/>
      <c r="BH299" s="1"/>
      <c r="BI299" s="1"/>
    </row>
    <row r="300" spans="1:61" ht="15" customHeight="1" x14ac:dyDescent="0.25">
      <c r="A300" s="2"/>
      <c r="B300" s="1"/>
      <c r="E300" s="1"/>
      <c r="F300" s="1"/>
      <c r="G300" s="1"/>
      <c r="H300" s="1"/>
      <c r="J300" s="2"/>
      <c r="K300" s="3"/>
      <c r="L300" s="1"/>
      <c r="N300" s="3"/>
      <c r="P300" s="1"/>
      <c r="Q300" s="2"/>
      <c r="R300" s="3"/>
      <c r="S300" s="4"/>
      <c r="T300" s="3"/>
      <c r="U300" s="1"/>
      <c r="V300" s="1"/>
      <c r="W300" s="3"/>
      <c r="X300" s="1"/>
      <c r="Y300" s="4"/>
      <c r="Z300" s="4"/>
      <c r="AA300" s="1"/>
      <c r="AB300" s="1"/>
      <c r="AC300" s="1"/>
      <c r="AD300" s="2"/>
      <c r="AE300" s="1"/>
      <c r="AF300" s="1"/>
      <c r="AG300" s="1"/>
      <c r="AH300" s="3"/>
      <c r="AI300" s="1"/>
      <c r="AJ300" s="1"/>
      <c r="AK300" s="1"/>
      <c r="AL300" s="1"/>
      <c r="AM300" s="1"/>
      <c r="AN300" s="2"/>
      <c r="AO300" s="1"/>
      <c r="AP300" s="1"/>
      <c r="AQ300" s="1"/>
      <c r="AR300" s="2"/>
      <c r="AS300" s="1"/>
      <c r="AT300" s="2"/>
      <c r="AU300" s="4"/>
      <c r="AV300" s="7"/>
      <c r="AW300" s="4"/>
      <c r="AX300" s="3"/>
      <c r="AY300" s="4"/>
      <c r="AZ300" s="1"/>
      <c r="BA300" s="1"/>
      <c r="BB300" s="1"/>
      <c r="BC300" s="4"/>
      <c r="BD300" s="1"/>
      <c r="BE300" s="4"/>
      <c r="BF300" s="2"/>
      <c r="BG300" s="4"/>
      <c r="BH300" s="1"/>
      <c r="BI300" s="1"/>
    </row>
    <row r="301" spans="1:61" ht="15" customHeight="1" x14ac:dyDescent="0.25">
      <c r="A301" s="2"/>
      <c r="B301" s="1"/>
      <c r="E301" s="1"/>
      <c r="F301" s="1"/>
      <c r="G301" s="1"/>
      <c r="H301" s="1"/>
      <c r="J301" s="2"/>
      <c r="K301" s="3"/>
      <c r="L301" s="1"/>
      <c r="N301" s="3"/>
      <c r="P301" s="1"/>
      <c r="Q301" s="2"/>
      <c r="R301" s="3"/>
      <c r="S301" s="4"/>
      <c r="T301" s="3"/>
      <c r="U301" s="1"/>
      <c r="V301" s="1"/>
      <c r="W301" s="3"/>
      <c r="X301" s="1"/>
      <c r="Y301" s="4"/>
      <c r="Z301" s="4"/>
      <c r="AA301" s="1"/>
      <c r="AB301" s="1"/>
      <c r="AC301" s="1"/>
      <c r="AD301" s="2"/>
      <c r="AE301" s="1"/>
      <c r="AF301" s="1"/>
      <c r="AG301" s="1"/>
      <c r="AH301" s="3"/>
      <c r="AI301" s="1"/>
      <c r="AJ301" s="1"/>
      <c r="AK301" s="1"/>
      <c r="AL301" s="1"/>
      <c r="AM301" s="1"/>
      <c r="AN301" s="2"/>
      <c r="AO301" s="1"/>
      <c r="AP301" s="1"/>
      <c r="AQ301" s="1"/>
      <c r="AR301" s="2"/>
      <c r="AS301" s="1"/>
      <c r="AT301" s="2"/>
      <c r="AU301" s="4"/>
      <c r="AV301" s="7"/>
      <c r="AW301" s="4"/>
      <c r="AX301" s="3"/>
      <c r="AY301" s="4"/>
      <c r="AZ301" s="1"/>
      <c r="BA301" s="1"/>
      <c r="BB301" s="1"/>
      <c r="BC301" s="4"/>
      <c r="BD301" s="1"/>
      <c r="BE301" s="4"/>
      <c r="BF301" s="2"/>
      <c r="BG301" s="4"/>
      <c r="BH301" s="1"/>
      <c r="BI301" s="1"/>
    </row>
    <row r="302" spans="1:61" ht="15" customHeight="1" x14ac:dyDescent="0.25">
      <c r="A302" s="2"/>
      <c r="B302" s="1"/>
      <c r="E302" s="1"/>
      <c r="F302" s="1"/>
      <c r="G302" s="1"/>
      <c r="H302" s="1"/>
      <c r="J302" s="2"/>
      <c r="K302" s="3"/>
      <c r="L302" s="1"/>
      <c r="N302" s="3"/>
      <c r="P302" s="1"/>
      <c r="Q302" s="2"/>
      <c r="R302" s="3"/>
      <c r="S302" s="4"/>
      <c r="T302" s="3"/>
      <c r="U302" s="1"/>
      <c r="V302" s="1"/>
      <c r="W302" s="3"/>
      <c r="X302" s="1"/>
      <c r="Y302" s="4"/>
      <c r="Z302" s="4"/>
      <c r="AA302" s="1"/>
      <c r="AB302" s="1"/>
      <c r="AC302" s="1"/>
      <c r="AD302" s="2"/>
      <c r="AE302" s="1"/>
      <c r="AF302" s="1"/>
      <c r="AG302" s="1"/>
      <c r="AH302" s="3"/>
      <c r="AI302" s="1"/>
      <c r="AJ302" s="1"/>
      <c r="AK302" s="1"/>
      <c r="AL302" s="1"/>
      <c r="AM302" s="1"/>
      <c r="AN302" s="2"/>
      <c r="AO302" s="1"/>
      <c r="AP302" s="1"/>
      <c r="AQ302" s="1"/>
      <c r="AR302" s="2"/>
      <c r="AS302" s="1"/>
      <c r="AT302" s="2"/>
      <c r="AU302" s="4"/>
      <c r="AV302" s="7"/>
      <c r="AW302" s="4"/>
      <c r="AX302" s="3"/>
      <c r="AY302" s="4"/>
      <c r="AZ302" s="1"/>
      <c r="BA302" s="1"/>
      <c r="BB302" s="1"/>
      <c r="BC302" s="4"/>
      <c r="BD302" s="1"/>
      <c r="BE302" s="4"/>
      <c r="BF302" s="2"/>
      <c r="BG302" s="4"/>
      <c r="BH302" s="1"/>
      <c r="BI302" s="1"/>
    </row>
    <row r="303" spans="1:61" ht="15" customHeight="1" x14ac:dyDescent="0.25">
      <c r="A303" s="2"/>
      <c r="B303" s="1"/>
      <c r="E303" s="1"/>
      <c r="F303" s="1"/>
      <c r="G303" s="1"/>
      <c r="H303" s="1"/>
      <c r="J303" s="2"/>
      <c r="K303" s="3"/>
      <c r="L303" s="1"/>
      <c r="N303" s="3"/>
      <c r="P303" s="1"/>
      <c r="Q303" s="2"/>
      <c r="R303" s="3"/>
      <c r="S303" s="4"/>
      <c r="T303" s="3"/>
      <c r="U303" s="1"/>
      <c r="V303" s="1"/>
      <c r="W303" s="3"/>
      <c r="X303" s="1"/>
      <c r="Y303" s="4"/>
      <c r="Z303" s="4"/>
      <c r="AA303" s="1"/>
      <c r="AB303" s="1"/>
      <c r="AC303" s="1"/>
      <c r="AD303" s="2"/>
      <c r="AE303" s="1"/>
      <c r="AF303" s="1"/>
      <c r="AG303" s="1"/>
      <c r="AH303" s="3"/>
      <c r="AI303" s="1"/>
      <c r="AJ303" s="1"/>
      <c r="AK303" s="1"/>
      <c r="AL303" s="1"/>
      <c r="AM303" s="1"/>
      <c r="AN303" s="2"/>
      <c r="AO303" s="1"/>
      <c r="AP303" s="1"/>
      <c r="AQ303" s="1"/>
      <c r="AR303" s="2"/>
      <c r="AS303" s="1"/>
      <c r="AT303" s="2"/>
      <c r="AU303" s="4"/>
      <c r="AV303" s="7"/>
      <c r="AW303" s="4"/>
      <c r="AX303" s="3"/>
      <c r="AY303" s="4"/>
      <c r="AZ303" s="1"/>
      <c r="BA303" s="1"/>
      <c r="BB303" s="1"/>
      <c r="BC303" s="4"/>
      <c r="BD303" s="1"/>
      <c r="BE303" s="4"/>
      <c r="BF303" s="2"/>
      <c r="BG303" s="4"/>
      <c r="BH303" s="1"/>
      <c r="BI303" s="1"/>
    </row>
    <row r="304" spans="1:61" ht="15" customHeight="1" x14ac:dyDescent="0.25">
      <c r="A304" s="2"/>
      <c r="B304" s="1"/>
      <c r="E304" s="1"/>
      <c r="F304" s="1"/>
      <c r="G304" s="1"/>
      <c r="H304" s="1"/>
      <c r="J304" s="2"/>
      <c r="K304" s="3"/>
      <c r="L304" s="1"/>
      <c r="N304" s="3"/>
      <c r="P304" s="1"/>
      <c r="Q304" s="2"/>
      <c r="R304" s="3"/>
      <c r="S304" s="4"/>
      <c r="T304" s="3"/>
      <c r="U304" s="1"/>
      <c r="V304" s="1"/>
      <c r="W304" s="3"/>
      <c r="X304" s="1"/>
      <c r="Y304" s="4"/>
      <c r="Z304" s="4"/>
      <c r="AA304" s="1"/>
      <c r="AB304" s="1"/>
      <c r="AC304" s="1"/>
      <c r="AD304" s="2"/>
      <c r="AE304" s="1"/>
      <c r="AF304" s="1"/>
      <c r="AG304" s="1"/>
      <c r="AH304" s="3"/>
      <c r="AI304" s="1"/>
      <c r="AJ304" s="1"/>
      <c r="AK304" s="1"/>
      <c r="AL304" s="1"/>
      <c r="AM304" s="1"/>
      <c r="AN304" s="2"/>
      <c r="AO304" s="1"/>
      <c r="AP304" s="1"/>
      <c r="AQ304" s="1"/>
      <c r="AR304" s="2"/>
      <c r="AS304" s="1"/>
      <c r="AT304" s="2"/>
      <c r="AU304" s="4"/>
      <c r="AV304" s="7"/>
      <c r="AW304" s="4"/>
      <c r="AX304" s="3"/>
      <c r="AY304" s="4"/>
      <c r="AZ304" s="1"/>
      <c r="BA304" s="1"/>
      <c r="BB304" s="1"/>
      <c r="BC304" s="4"/>
      <c r="BD304" s="1"/>
      <c r="BE304" s="4"/>
      <c r="BF304" s="2"/>
      <c r="BG304" s="4"/>
      <c r="BH304" s="1"/>
      <c r="BI304" s="1"/>
    </row>
    <row r="305" spans="1:61" ht="15" customHeight="1" x14ac:dyDescent="0.25">
      <c r="A305" s="2"/>
      <c r="B305" s="1"/>
      <c r="E305" s="1"/>
      <c r="F305" s="1"/>
      <c r="G305" s="1"/>
      <c r="H305" s="1"/>
      <c r="J305" s="2"/>
      <c r="K305" s="3"/>
      <c r="L305" s="1"/>
      <c r="N305" s="3"/>
      <c r="P305" s="1"/>
      <c r="Q305" s="2"/>
      <c r="R305" s="3"/>
      <c r="S305" s="4"/>
      <c r="T305" s="3"/>
      <c r="U305" s="1"/>
      <c r="V305" s="1"/>
      <c r="W305" s="3"/>
      <c r="X305" s="1"/>
      <c r="Y305" s="4"/>
      <c r="Z305" s="4"/>
      <c r="AA305" s="1"/>
      <c r="AB305" s="1"/>
      <c r="AC305" s="1"/>
      <c r="AD305" s="2"/>
      <c r="AE305" s="1"/>
      <c r="AF305" s="1"/>
      <c r="AG305" s="1"/>
      <c r="AH305" s="3"/>
      <c r="AI305" s="1"/>
      <c r="AJ305" s="1"/>
      <c r="AK305" s="1"/>
      <c r="AL305" s="1"/>
      <c r="AM305" s="1"/>
      <c r="AN305" s="2"/>
      <c r="AO305" s="1"/>
      <c r="AP305" s="1"/>
      <c r="AQ305" s="1"/>
      <c r="AR305" s="2"/>
      <c r="AS305" s="1"/>
      <c r="AT305" s="2"/>
      <c r="AU305" s="4"/>
      <c r="AV305" s="7"/>
      <c r="AW305" s="4"/>
      <c r="AX305" s="3"/>
      <c r="AY305" s="4"/>
      <c r="AZ305" s="1"/>
      <c r="BA305" s="1"/>
      <c r="BB305" s="1"/>
      <c r="BC305" s="4"/>
      <c r="BD305" s="1"/>
      <c r="BE305" s="4"/>
      <c r="BF305" s="2"/>
      <c r="BG305" s="4"/>
      <c r="BH305" s="1"/>
      <c r="BI305" s="1"/>
    </row>
    <row r="306" spans="1:61" ht="15" customHeight="1" x14ac:dyDescent="0.25">
      <c r="A306" s="2"/>
      <c r="B306" s="1"/>
      <c r="E306" s="1"/>
      <c r="F306" s="1"/>
      <c r="G306" s="1"/>
      <c r="H306" s="1"/>
      <c r="J306" s="2"/>
      <c r="K306" s="3"/>
      <c r="L306" s="1"/>
      <c r="N306" s="3"/>
      <c r="P306" s="1"/>
      <c r="Q306" s="2"/>
      <c r="R306" s="3"/>
      <c r="S306" s="4"/>
      <c r="T306" s="3"/>
      <c r="U306" s="1"/>
      <c r="V306" s="1"/>
      <c r="W306" s="3"/>
      <c r="X306" s="1"/>
      <c r="Y306" s="4"/>
      <c r="Z306" s="4"/>
      <c r="AA306" s="1"/>
      <c r="AB306" s="1"/>
      <c r="AC306" s="1"/>
      <c r="AD306" s="2"/>
      <c r="AE306" s="1"/>
      <c r="AF306" s="1"/>
      <c r="AG306" s="1"/>
      <c r="AH306" s="3"/>
      <c r="AI306" s="1"/>
      <c r="AJ306" s="1"/>
      <c r="AK306" s="1"/>
      <c r="AL306" s="1"/>
      <c r="AM306" s="1"/>
      <c r="AN306" s="2"/>
      <c r="AO306" s="1"/>
      <c r="AP306" s="1"/>
      <c r="AQ306" s="1"/>
      <c r="AR306" s="2"/>
      <c r="AS306" s="1"/>
      <c r="AT306" s="2"/>
      <c r="AU306" s="4"/>
      <c r="AV306" s="7"/>
      <c r="AW306" s="4"/>
      <c r="AX306" s="3"/>
      <c r="AY306" s="4"/>
      <c r="AZ306" s="1"/>
      <c r="BA306" s="1"/>
      <c r="BB306" s="1"/>
      <c r="BC306" s="4"/>
      <c r="BD306" s="1"/>
      <c r="BE306" s="4"/>
      <c r="BF306" s="2"/>
      <c r="BG306" s="4"/>
      <c r="BH306" s="1"/>
      <c r="BI306" s="1"/>
    </row>
    <row r="307" spans="1:61" ht="15" customHeight="1" x14ac:dyDescent="0.25">
      <c r="A307" s="2"/>
      <c r="B307" s="1"/>
      <c r="E307" s="1"/>
      <c r="F307" s="1"/>
      <c r="G307" s="1"/>
      <c r="H307" s="1"/>
      <c r="J307" s="2"/>
      <c r="K307" s="3"/>
      <c r="L307" s="1"/>
      <c r="N307" s="3"/>
      <c r="P307" s="1"/>
      <c r="Q307" s="2"/>
      <c r="R307" s="3"/>
      <c r="S307" s="4"/>
      <c r="T307" s="3"/>
      <c r="U307" s="1"/>
      <c r="V307" s="1"/>
      <c r="W307" s="3"/>
      <c r="X307" s="1"/>
      <c r="Y307" s="4"/>
      <c r="Z307" s="4"/>
      <c r="AA307" s="1"/>
      <c r="AB307" s="1"/>
      <c r="AC307" s="1"/>
      <c r="AD307" s="2"/>
      <c r="AE307" s="1"/>
      <c r="AF307" s="1"/>
      <c r="AG307" s="1"/>
      <c r="AH307" s="3"/>
      <c r="AI307" s="1"/>
      <c r="AJ307" s="1"/>
      <c r="AK307" s="1"/>
      <c r="AL307" s="1"/>
      <c r="AM307" s="1"/>
      <c r="AN307" s="2"/>
      <c r="AO307" s="1"/>
      <c r="AP307" s="1"/>
      <c r="AQ307" s="1"/>
      <c r="AR307" s="2"/>
      <c r="AS307" s="1"/>
      <c r="AT307" s="2"/>
      <c r="AU307" s="4"/>
      <c r="AV307" s="7"/>
      <c r="AW307" s="4"/>
      <c r="AX307" s="3"/>
      <c r="AY307" s="4"/>
      <c r="AZ307" s="1"/>
      <c r="BA307" s="1"/>
      <c r="BB307" s="1"/>
      <c r="BC307" s="4"/>
      <c r="BD307" s="1"/>
      <c r="BE307" s="4"/>
      <c r="BF307" s="2"/>
      <c r="BG307" s="4"/>
      <c r="BH307" s="1"/>
      <c r="BI307" s="1"/>
    </row>
    <row r="308" spans="1:61" ht="15" customHeight="1" x14ac:dyDescent="0.25">
      <c r="A308" s="2"/>
      <c r="B308" s="1"/>
      <c r="E308" s="1"/>
      <c r="F308" s="1"/>
      <c r="G308" s="1"/>
      <c r="H308" s="1"/>
      <c r="J308" s="2"/>
      <c r="K308" s="3"/>
      <c r="L308" s="1"/>
      <c r="N308" s="3"/>
      <c r="P308" s="1"/>
      <c r="Q308" s="2"/>
      <c r="R308" s="3"/>
      <c r="S308" s="4"/>
      <c r="T308" s="3"/>
      <c r="U308" s="1"/>
      <c r="V308" s="1"/>
      <c r="W308" s="3"/>
      <c r="X308" s="1"/>
      <c r="Y308" s="4"/>
      <c r="Z308" s="4"/>
      <c r="AA308" s="1"/>
      <c r="AB308" s="1"/>
      <c r="AC308" s="1"/>
      <c r="AD308" s="2"/>
      <c r="AE308" s="1"/>
      <c r="AF308" s="1"/>
      <c r="AG308" s="1"/>
      <c r="AH308" s="3"/>
      <c r="AI308" s="1"/>
      <c r="AJ308" s="1"/>
      <c r="AK308" s="1"/>
      <c r="AL308" s="1"/>
      <c r="AM308" s="1"/>
      <c r="AN308" s="2"/>
      <c r="AO308" s="1"/>
      <c r="AP308" s="1"/>
      <c r="AQ308" s="1"/>
      <c r="AR308" s="2"/>
      <c r="AS308" s="1"/>
      <c r="AT308" s="2"/>
      <c r="AU308" s="4"/>
      <c r="AV308" s="7"/>
      <c r="AW308" s="4"/>
      <c r="AX308" s="3"/>
      <c r="AY308" s="4"/>
      <c r="AZ308" s="1"/>
      <c r="BA308" s="1"/>
      <c r="BB308" s="1"/>
      <c r="BC308" s="4"/>
      <c r="BD308" s="1"/>
      <c r="BE308" s="4"/>
      <c r="BF308" s="2"/>
      <c r="BG308" s="4"/>
      <c r="BH308" s="1"/>
      <c r="BI308" s="1"/>
    </row>
    <row r="309" spans="1:61" ht="15" customHeight="1" x14ac:dyDescent="0.25">
      <c r="A309" s="2"/>
      <c r="B309" s="1"/>
      <c r="E309" s="1"/>
      <c r="F309" s="1"/>
      <c r="G309" s="1"/>
      <c r="H309" s="1"/>
      <c r="J309" s="2"/>
      <c r="K309" s="3"/>
      <c r="L309" s="1"/>
      <c r="N309" s="3"/>
      <c r="P309" s="1"/>
      <c r="Q309" s="2"/>
      <c r="R309" s="3"/>
      <c r="S309" s="4"/>
      <c r="T309" s="3"/>
      <c r="U309" s="1"/>
      <c r="V309" s="1"/>
      <c r="W309" s="3"/>
      <c r="X309" s="1"/>
      <c r="Y309" s="4"/>
      <c r="Z309" s="4"/>
      <c r="AA309" s="1"/>
      <c r="AB309" s="1"/>
      <c r="AC309" s="1"/>
      <c r="AD309" s="2"/>
      <c r="AE309" s="1"/>
      <c r="AF309" s="1"/>
      <c r="AG309" s="1"/>
      <c r="AH309" s="3"/>
      <c r="AI309" s="1"/>
      <c r="AJ309" s="1"/>
      <c r="AK309" s="1"/>
      <c r="AL309" s="1"/>
      <c r="AM309" s="1"/>
      <c r="AN309" s="2"/>
      <c r="AO309" s="1"/>
      <c r="AP309" s="1"/>
      <c r="AQ309" s="1"/>
      <c r="AR309" s="2"/>
      <c r="AS309" s="1"/>
      <c r="AT309" s="2"/>
      <c r="AU309" s="4"/>
      <c r="AV309" s="7"/>
      <c r="AW309" s="4"/>
      <c r="AX309" s="3"/>
      <c r="AY309" s="4"/>
      <c r="AZ309" s="1"/>
      <c r="BA309" s="1"/>
      <c r="BB309" s="1"/>
      <c r="BC309" s="4"/>
      <c r="BD309" s="1"/>
      <c r="BE309" s="4"/>
      <c r="BF309" s="2"/>
      <c r="BG309" s="4"/>
      <c r="BH309" s="1"/>
      <c r="BI309" s="1"/>
    </row>
    <row r="310" spans="1:61" ht="15" customHeight="1" x14ac:dyDescent="0.25">
      <c r="A310" s="2"/>
      <c r="B310" s="1"/>
      <c r="E310" s="1"/>
      <c r="F310" s="1"/>
      <c r="G310" s="1"/>
      <c r="H310" s="1"/>
      <c r="J310" s="2"/>
      <c r="K310" s="3"/>
      <c r="L310" s="1"/>
      <c r="N310" s="3"/>
      <c r="P310" s="1"/>
      <c r="Q310" s="2"/>
      <c r="R310" s="3"/>
      <c r="S310" s="4"/>
      <c r="T310" s="3"/>
      <c r="U310" s="1"/>
      <c r="V310" s="1"/>
      <c r="W310" s="3"/>
      <c r="X310" s="1"/>
      <c r="Y310" s="4"/>
      <c r="Z310" s="4"/>
      <c r="AA310" s="1"/>
      <c r="AB310" s="1"/>
      <c r="AC310" s="1"/>
      <c r="AD310" s="2"/>
      <c r="AE310" s="1"/>
      <c r="AF310" s="1"/>
      <c r="AG310" s="1"/>
      <c r="AH310" s="3"/>
      <c r="AI310" s="1"/>
      <c r="AJ310" s="1"/>
      <c r="AK310" s="1"/>
      <c r="AL310" s="1"/>
      <c r="AM310" s="1"/>
      <c r="AN310" s="2"/>
      <c r="AO310" s="1"/>
      <c r="AP310" s="1"/>
      <c r="AQ310" s="1"/>
      <c r="AR310" s="2"/>
      <c r="AS310" s="1"/>
      <c r="AT310" s="2"/>
      <c r="AU310" s="4"/>
      <c r="AV310" s="7"/>
      <c r="AW310" s="4"/>
      <c r="AX310" s="3"/>
      <c r="AY310" s="4"/>
      <c r="AZ310" s="1"/>
      <c r="BA310" s="1"/>
      <c r="BB310" s="1"/>
      <c r="BC310" s="4"/>
      <c r="BD310" s="1"/>
      <c r="BE310" s="4"/>
      <c r="BF310" s="2"/>
      <c r="BG310" s="4"/>
      <c r="BH310" s="1"/>
      <c r="BI310" s="1"/>
    </row>
    <row r="311" spans="1:61" ht="15" customHeight="1" x14ac:dyDescent="0.25">
      <c r="A311" s="2"/>
      <c r="B311" s="1"/>
      <c r="E311" s="1"/>
      <c r="F311" s="1"/>
      <c r="G311" s="1"/>
      <c r="H311" s="1"/>
      <c r="J311" s="2"/>
      <c r="K311" s="3"/>
      <c r="L311" s="1"/>
      <c r="N311" s="3"/>
      <c r="P311" s="1"/>
      <c r="Q311" s="2"/>
      <c r="R311" s="3"/>
      <c r="S311" s="4"/>
      <c r="T311" s="3"/>
      <c r="U311" s="1"/>
      <c r="V311" s="1"/>
      <c r="W311" s="3"/>
      <c r="X311" s="1"/>
      <c r="Y311" s="4"/>
      <c r="Z311" s="4"/>
      <c r="AA311" s="1"/>
      <c r="AB311" s="1"/>
      <c r="AC311" s="1"/>
      <c r="AD311" s="2"/>
      <c r="AE311" s="1"/>
      <c r="AF311" s="1"/>
      <c r="AG311" s="1"/>
      <c r="AH311" s="3"/>
      <c r="AI311" s="1"/>
      <c r="AJ311" s="1"/>
      <c r="AK311" s="1"/>
      <c r="AL311" s="1"/>
      <c r="AM311" s="1"/>
      <c r="AN311" s="2"/>
      <c r="AO311" s="1"/>
      <c r="AP311" s="1"/>
      <c r="AQ311" s="1"/>
      <c r="AR311" s="2"/>
      <c r="AS311" s="1"/>
      <c r="AT311" s="2"/>
      <c r="AU311" s="4"/>
      <c r="AV311" s="7"/>
      <c r="AW311" s="4"/>
      <c r="AX311" s="3"/>
      <c r="AY311" s="4"/>
      <c r="AZ311" s="1"/>
      <c r="BA311" s="1"/>
      <c r="BB311" s="1"/>
      <c r="BC311" s="4"/>
      <c r="BD311" s="1"/>
      <c r="BE311" s="4"/>
      <c r="BF311" s="2"/>
      <c r="BG311" s="4"/>
      <c r="BH311" s="1"/>
      <c r="BI311" s="1"/>
    </row>
    <row r="312" spans="1:61" ht="15" customHeight="1" x14ac:dyDescent="0.25">
      <c r="A312" s="2"/>
      <c r="B312" s="1"/>
      <c r="E312" s="1"/>
      <c r="F312" s="1"/>
      <c r="G312" s="1"/>
      <c r="H312" s="1"/>
      <c r="J312" s="2"/>
      <c r="K312" s="3"/>
      <c r="L312" s="1"/>
      <c r="N312" s="3"/>
      <c r="P312" s="1"/>
      <c r="Q312" s="2"/>
      <c r="R312" s="3"/>
      <c r="S312" s="4"/>
      <c r="T312" s="3"/>
      <c r="U312" s="1"/>
      <c r="V312" s="1"/>
      <c r="W312" s="3"/>
      <c r="X312" s="1"/>
      <c r="Y312" s="4"/>
      <c r="Z312" s="4"/>
      <c r="AA312" s="1"/>
      <c r="AB312" s="1"/>
      <c r="AC312" s="1"/>
      <c r="AD312" s="2"/>
      <c r="AE312" s="1"/>
      <c r="AF312" s="1"/>
      <c r="AG312" s="1"/>
      <c r="AH312" s="3"/>
      <c r="AI312" s="1"/>
      <c r="AJ312" s="1"/>
      <c r="AK312" s="1"/>
      <c r="AL312" s="1"/>
      <c r="AM312" s="1"/>
      <c r="AN312" s="2"/>
      <c r="AO312" s="1"/>
      <c r="AP312" s="1"/>
      <c r="AQ312" s="1"/>
      <c r="AR312" s="2"/>
      <c r="AS312" s="1"/>
      <c r="AT312" s="2"/>
      <c r="AU312" s="4"/>
      <c r="AV312" s="7"/>
      <c r="AW312" s="4"/>
      <c r="AX312" s="3"/>
      <c r="AY312" s="4"/>
      <c r="AZ312" s="1"/>
      <c r="BA312" s="1"/>
      <c r="BB312" s="1"/>
      <c r="BC312" s="4"/>
      <c r="BD312" s="1"/>
      <c r="BE312" s="4"/>
      <c r="BF312" s="2"/>
      <c r="BG312" s="4"/>
      <c r="BH312" s="1"/>
      <c r="BI312" s="1"/>
    </row>
    <row r="313" spans="1:61" ht="15" customHeight="1" x14ac:dyDescent="0.25">
      <c r="A313" s="2"/>
      <c r="B313" s="1"/>
      <c r="E313" s="1"/>
      <c r="F313" s="1"/>
      <c r="G313" s="1"/>
      <c r="H313" s="1"/>
      <c r="J313" s="2"/>
      <c r="K313" s="3"/>
      <c r="L313" s="1"/>
      <c r="N313" s="3"/>
      <c r="P313" s="1"/>
      <c r="Q313" s="2"/>
      <c r="R313" s="3"/>
      <c r="S313" s="4"/>
      <c r="T313" s="3"/>
      <c r="U313" s="1"/>
      <c r="V313" s="1"/>
      <c r="W313" s="3"/>
      <c r="X313" s="1"/>
      <c r="Y313" s="4"/>
      <c r="Z313" s="4"/>
      <c r="AA313" s="1"/>
      <c r="AB313" s="1"/>
      <c r="AC313" s="1"/>
      <c r="AD313" s="2"/>
      <c r="AE313" s="1"/>
      <c r="AF313" s="1"/>
      <c r="AG313" s="1"/>
      <c r="AH313" s="3"/>
      <c r="AI313" s="1"/>
      <c r="AJ313" s="1"/>
      <c r="AK313" s="1"/>
      <c r="AL313" s="1"/>
      <c r="AM313" s="1"/>
      <c r="AN313" s="2"/>
      <c r="AO313" s="1"/>
      <c r="AP313" s="1"/>
      <c r="AQ313" s="1"/>
      <c r="AR313" s="2"/>
      <c r="AS313" s="1"/>
      <c r="AT313" s="2"/>
      <c r="AU313" s="4"/>
      <c r="AV313" s="7"/>
      <c r="AW313" s="4"/>
      <c r="AX313" s="3"/>
      <c r="AY313" s="4"/>
      <c r="AZ313" s="1"/>
      <c r="BA313" s="1"/>
      <c r="BB313" s="1"/>
      <c r="BC313" s="4"/>
      <c r="BD313" s="1"/>
      <c r="BE313" s="4"/>
      <c r="BF313" s="2"/>
      <c r="BG313" s="4"/>
      <c r="BH313" s="1"/>
      <c r="BI313" s="1"/>
    </row>
    <row r="314" spans="1:61" ht="15" customHeight="1" x14ac:dyDescent="0.25">
      <c r="A314" s="2"/>
      <c r="B314" s="1"/>
      <c r="E314" s="1"/>
      <c r="F314" s="1"/>
      <c r="G314" s="1"/>
      <c r="H314" s="1"/>
      <c r="J314" s="2"/>
      <c r="K314" s="3"/>
      <c r="L314" s="1"/>
      <c r="N314" s="3"/>
      <c r="P314" s="1"/>
      <c r="Q314" s="2"/>
      <c r="R314" s="3"/>
      <c r="S314" s="4"/>
      <c r="T314" s="3"/>
      <c r="U314" s="1"/>
      <c r="V314" s="1"/>
      <c r="W314" s="3"/>
      <c r="X314" s="1"/>
      <c r="Y314" s="4"/>
      <c r="Z314" s="4"/>
      <c r="AA314" s="1"/>
      <c r="AB314" s="1"/>
      <c r="AC314" s="1"/>
      <c r="AD314" s="2"/>
      <c r="AE314" s="1"/>
      <c r="AF314" s="1"/>
      <c r="AG314" s="1"/>
      <c r="AH314" s="3"/>
      <c r="AI314" s="1"/>
      <c r="AJ314" s="1"/>
      <c r="AK314" s="1"/>
      <c r="AL314" s="1"/>
      <c r="AM314" s="1"/>
      <c r="AN314" s="2"/>
      <c r="AO314" s="1"/>
      <c r="AP314" s="1"/>
      <c r="AQ314" s="1"/>
      <c r="AR314" s="2"/>
      <c r="AS314" s="1"/>
      <c r="AT314" s="2"/>
      <c r="AU314" s="4"/>
      <c r="AV314" s="7"/>
      <c r="AW314" s="4"/>
      <c r="AX314" s="3"/>
      <c r="AY314" s="4"/>
      <c r="AZ314" s="1"/>
      <c r="BA314" s="1"/>
      <c r="BB314" s="1"/>
      <c r="BC314" s="4"/>
      <c r="BD314" s="1"/>
      <c r="BE314" s="4"/>
      <c r="BF314" s="2"/>
      <c r="BG314" s="4"/>
      <c r="BH314" s="1"/>
      <c r="BI314" s="1"/>
    </row>
    <row r="315" spans="1:61" ht="15" customHeight="1" x14ac:dyDescent="0.25">
      <c r="A315" s="2"/>
      <c r="B315" s="1"/>
      <c r="E315" s="1"/>
      <c r="F315" s="1"/>
      <c r="G315" s="1"/>
      <c r="H315" s="1"/>
      <c r="J315" s="2"/>
      <c r="K315" s="3"/>
      <c r="L315" s="1"/>
      <c r="N315" s="3"/>
      <c r="P315" s="1"/>
      <c r="Q315" s="2"/>
      <c r="R315" s="3"/>
      <c r="S315" s="4"/>
      <c r="T315" s="3"/>
      <c r="U315" s="1"/>
      <c r="V315" s="1"/>
      <c r="W315" s="3"/>
      <c r="X315" s="1"/>
      <c r="Y315" s="4"/>
      <c r="Z315" s="4"/>
      <c r="AA315" s="1"/>
      <c r="AB315" s="1"/>
      <c r="AC315" s="1"/>
      <c r="AD315" s="2"/>
      <c r="AE315" s="1"/>
      <c r="AF315" s="1"/>
      <c r="AG315" s="1"/>
      <c r="AH315" s="3"/>
      <c r="AI315" s="1"/>
      <c r="AJ315" s="1"/>
      <c r="AK315" s="1"/>
      <c r="AL315" s="1"/>
      <c r="AM315" s="1"/>
      <c r="AN315" s="2"/>
      <c r="AO315" s="1"/>
      <c r="AP315" s="1"/>
      <c r="AQ315" s="1"/>
      <c r="AR315" s="2"/>
      <c r="AS315" s="1"/>
      <c r="AT315" s="2"/>
      <c r="AU315" s="4"/>
      <c r="AV315" s="7"/>
      <c r="AW315" s="4"/>
      <c r="AX315" s="3"/>
      <c r="AY315" s="4"/>
      <c r="AZ315" s="1"/>
      <c r="BA315" s="1"/>
      <c r="BB315" s="1"/>
      <c r="BC315" s="4"/>
      <c r="BD315" s="1"/>
      <c r="BE315" s="4"/>
      <c r="BF315" s="2"/>
      <c r="BG315" s="4"/>
      <c r="BH315" s="1"/>
      <c r="BI315" s="1"/>
    </row>
    <row r="316" spans="1:61" ht="15" customHeight="1" x14ac:dyDescent="0.25">
      <c r="A316" s="2"/>
      <c r="B316" s="1"/>
      <c r="E316" s="1"/>
      <c r="F316" s="1"/>
      <c r="G316" s="1"/>
      <c r="H316" s="1"/>
      <c r="J316" s="2"/>
      <c r="K316" s="3"/>
      <c r="L316" s="1"/>
      <c r="N316" s="3"/>
      <c r="P316" s="1"/>
      <c r="Q316" s="2"/>
      <c r="R316" s="3"/>
      <c r="S316" s="4"/>
      <c r="T316" s="3"/>
      <c r="U316" s="1"/>
      <c r="V316" s="1"/>
      <c r="W316" s="3"/>
      <c r="X316" s="1"/>
      <c r="Y316" s="4"/>
      <c r="Z316" s="4"/>
      <c r="AA316" s="1"/>
      <c r="AB316" s="1"/>
      <c r="AC316" s="1"/>
      <c r="AD316" s="2"/>
      <c r="AE316" s="1"/>
      <c r="AF316" s="1"/>
      <c r="AG316" s="1"/>
      <c r="AH316" s="3"/>
      <c r="AI316" s="1"/>
      <c r="AJ316" s="1"/>
      <c r="AK316" s="1"/>
      <c r="AL316" s="1"/>
      <c r="AM316" s="1"/>
      <c r="AN316" s="2"/>
      <c r="AO316" s="1"/>
      <c r="AP316" s="1"/>
      <c r="AQ316" s="1"/>
      <c r="AR316" s="2"/>
      <c r="AS316" s="1"/>
      <c r="AT316" s="2"/>
      <c r="AU316" s="4"/>
      <c r="AV316" s="7"/>
      <c r="AW316" s="4"/>
      <c r="AX316" s="3"/>
      <c r="AY316" s="4"/>
      <c r="AZ316" s="1"/>
      <c r="BA316" s="1"/>
      <c r="BB316" s="1"/>
      <c r="BC316" s="4"/>
      <c r="BD316" s="1"/>
      <c r="BE316" s="4"/>
      <c r="BF316" s="2"/>
      <c r="BG316" s="4"/>
      <c r="BH316" s="1"/>
      <c r="BI316" s="1"/>
    </row>
    <row r="317" spans="1:61" ht="15" customHeight="1" x14ac:dyDescent="0.25">
      <c r="A317" s="2"/>
      <c r="B317" s="1"/>
      <c r="E317" s="1"/>
      <c r="F317" s="1"/>
      <c r="G317" s="1"/>
      <c r="H317" s="1"/>
      <c r="J317" s="2"/>
      <c r="K317" s="3"/>
      <c r="L317" s="1"/>
      <c r="N317" s="3"/>
      <c r="P317" s="1"/>
      <c r="Q317" s="2"/>
      <c r="R317" s="3"/>
      <c r="S317" s="4"/>
      <c r="T317" s="3"/>
      <c r="U317" s="1"/>
      <c r="V317" s="1"/>
      <c r="W317" s="3"/>
      <c r="X317" s="1"/>
      <c r="Y317" s="4"/>
      <c r="Z317" s="4"/>
      <c r="AA317" s="1"/>
      <c r="AB317" s="1"/>
      <c r="AC317" s="1"/>
      <c r="AD317" s="2"/>
      <c r="AE317" s="1"/>
      <c r="AF317" s="1"/>
      <c r="AG317" s="1"/>
      <c r="AH317" s="3"/>
      <c r="AI317" s="1"/>
      <c r="AJ317" s="1"/>
      <c r="AK317" s="1"/>
      <c r="AL317" s="1"/>
      <c r="AM317" s="1"/>
      <c r="AN317" s="2"/>
      <c r="AO317" s="1"/>
      <c r="AP317" s="1"/>
      <c r="AQ317" s="1"/>
      <c r="AR317" s="2"/>
      <c r="AS317" s="1"/>
      <c r="AT317" s="2"/>
      <c r="AU317" s="4"/>
      <c r="AV317" s="7"/>
      <c r="AW317" s="4"/>
      <c r="AX317" s="3"/>
      <c r="AY317" s="4"/>
      <c r="AZ317" s="1"/>
      <c r="BA317" s="1"/>
      <c r="BB317" s="1"/>
      <c r="BC317" s="4"/>
      <c r="BD317" s="1"/>
      <c r="BE317" s="4"/>
      <c r="BF317" s="2"/>
      <c r="BG317" s="4"/>
      <c r="BH317" s="1"/>
      <c r="BI317" s="1"/>
    </row>
    <row r="318" spans="1:61" ht="15" customHeight="1" x14ac:dyDescent="0.25">
      <c r="A318" s="2"/>
      <c r="B318" s="1"/>
      <c r="E318" s="1"/>
      <c r="F318" s="1"/>
      <c r="G318" s="1"/>
      <c r="H318" s="1"/>
      <c r="J318" s="2"/>
      <c r="K318" s="3"/>
      <c r="L318" s="1"/>
      <c r="N318" s="3"/>
      <c r="P318" s="1"/>
      <c r="Q318" s="2"/>
      <c r="R318" s="3"/>
      <c r="S318" s="4"/>
      <c r="T318" s="3"/>
      <c r="U318" s="1"/>
      <c r="V318" s="1"/>
      <c r="W318" s="3"/>
      <c r="X318" s="1"/>
      <c r="Y318" s="4"/>
      <c r="Z318" s="4"/>
      <c r="AA318" s="1"/>
      <c r="AB318" s="1"/>
      <c r="AC318" s="1"/>
      <c r="AD318" s="2"/>
      <c r="AE318" s="1"/>
      <c r="AF318" s="1"/>
      <c r="AG318" s="1"/>
      <c r="AH318" s="3"/>
      <c r="AI318" s="1"/>
      <c r="AJ318" s="1"/>
      <c r="AK318" s="1"/>
      <c r="AL318" s="1"/>
      <c r="AM318" s="1"/>
      <c r="AN318" s="2"/>
      <c r="AO318" s="1"/>
      <c r="AP318" s="1"/>
      <c r="AQ318" s="1"/>
      <c r="AR318" s="2"/>
      <c r="AS318" s="1"/>
      <c r="AT318" s="2"/>
      <c r="AU318" s="4"/>
      <c r="AV318" s="7"/>
      <c r="AW318" s="4"/>
      <c r="AX318" s="3"/>
      <c r="AY318" s="4"/>
      <c r="AZ318" s="1"/>
      <c r="BA318" s="1"/>
      <c r="BB318" s="1"/>
      <c r="BC318" s="4"/>
      <c r="BD318" s="1"/>
      <c r="BE318" s="4"/>
      <c r="BF318" s="2"/>
      <c r="BG318" s="4"/>
      <c r="BH318" s="1"/>
      <c r="BI318" s="1"/>
    </row>
    <row r="319" spans="1:61" ht="15" customHeight="1" x14ac:dyDescent="0.25">
      <c r="A319" s="2"/>
      <c r="B319" s="1"/>
      <c r="E319" s="1"/>
      <c r="F319" s="1"/>
      <c r="G319" s="1"/>
      <c r="H319" s="1"/>
      <c r="J319" s="2"/>
      <c r="K319" s="3"/>
      <c r="L319" s="1"/>
      <c r="N319" s="3"/>
      <c r="P319" s="1"/>
      <c r="Q319" s="2"/>
      <c r="R319" s="3"/>
      <c r="S319" s="4"/>
      <c r="T319" s="3"/>
      <c r="U319" s="1"/>
      <c r="V319" s="1"/>
      <c r="W319" s="3"/>
      <c r="X319" s="1"/>
      <c r="Y319" s="4"/>
      <c r="Z319" s="4"/>
      <c r="AA319" s="1"/>
      <c r="AB319" s="1"/>
      <c r="AC319" s="1"/>
      <c r="AD319" s="2"/>
      <c r="AE319" s="1"/>
      <c r="AF319" s="1"/>
      <c r="AG319" s="1"/>
      <c r="AH319" s="3"/>
      <c r="AI319" s="1"/>
      <c r="AJ319" s="1"/>
      <c r="AK319" s="1"/>
      <c r="AL319" s="1"/>
      <c r="AM319" s="1"/>
      <c r="AN319" s="2"/>
      <c r="AO319" s="1"/>
      <c r="AP319" s="1"/>
      <c r="AQ319" s="1"/>
      <c r="AR319" s="2"/>
      <c r="AS319" s="1"/>
      <c r="AT319" s="2"/>
      <c r="AU319" s="4"/>
      <c r="AV319" s="7"/>
      <c r="AW319" s="4"/>
      <c r="AX319" s="3"/>
      <c r="AY319" s="4"/>
      <c r="AZ319" s="1"/>
      <c r="BA319" s="1"/>
      <c r="BB319" s="1"/>
      <c r="BC319" s="4"/>
      <c r="BD319" s="1"/>
      <c r="BE319" s="4"/>
      <c r="BF319" s="2"/>
      <c r="BG319" s="4"/>
      <c r="BH319" s="1"/>
      <c r="BI319" s="1"/>
    </row>
    <row r="320" spans="1:61" ht="15" customHeight="1" x14ac:dyDescent="0.25">
      <c r="A320" s="2"/>
      <c r="B320" s="1"/>
      <c r="E320" s="1"/>
      <c r="F320" s="1"/>
      <c r="G320" s="1"/>
      <c r="H320" s="1"/>
      <c r="J320" s="2"/>
      <c r="K320" s="3"/>
      <c r="L320" s="1"/>
      <c r="N320" s="3"/>
      <c r="P320" s="1"/>
      <c r="Q320" s="2"/>
      <c r="R320" s="3"/>
      <c r="S320" s="4"/>
      <c r="T320" s="3"/>
      <c r="U320" s="1"/>
      <c r="V320" s="1"/>
      <c r="W320" s="3"/>
      <c r="X320" s="1"/>
      <c r="Y320" s="4"/>
      <c r="Z320" s="4"/>
      <c r="AA320" s="1"/>
      <c r="AB320" s="1"/>
      <c r="AC320" s="1"/>
      <c r="AD320" s="2"/>
      <c r="AE320" s="1"/>
      <c r="AF320" s="1"/>
      <c r="AG320" s="1"/>
      <c r="AH320" s="3"/>
      <c r="AI320" s="1"/>
      <c r="AJ320" s="1"/>
      <c r="AK320" s="1"/>
      <c r="AL320" s="1"/>
      <c r="AM320" s="1"/>
      <c r="AN320" s="2"/>
      <c r="AO320" s="1"/>
      <c r="AP320" s="1"/>
      <c r="AQ320" s="1"/>
      <c r="AR320" s="2"/>
      <c r="AS320" s="1"/>
      <c r="AT320" s="2"/>
      <c r="AU320" s="4"/>
      <c r="AV320" s="7"/>
      <c r="AW320" s="4"/>
      <c r="AX320" s="3"/>
      <c r="AY320" s="4"/>
      <c r="AZ320" s="1"/>
      <c r="BA320" s="1"/>
      <c r="BB320" s="1"/>
      <c r="BC320" s="4"/>
      <c r="BD320" s="1"/>
      <c r="BE320" s="4"/>
      <c r="BF320" s="2"/>
      <c r="BG320" s="4"/>
      <c r="BH320" s="1"/>
      <c r="BI320" s="1"/>
    </row>
    <row r="321" spans="1:61" ht="15" customHeight="1" x14ac:dyDescent="0.25">
      <c r="A321" s="2"/>
      <c r="B321" s="1"/>
      <c r="E321" s="1"/>
      <c r="F321" s="1"/>
      <c r="G321" s="1"/>
      <c r="H321" s="1"/>
      <c r="J321" s="2"/>
      <c r="K321" s="3"/>
      <c r="L321" s="1"/>
      <c r="N321" s="3"/>
      <c r="P321" s="1"/>
      <c r="Q321" s="2"/>
      <c r="R321" s="3"/>
      <c r="S321" s="4"/>
      <c r="T321" s="3"/>
      <c r="U321" s="1"/>
      <c r="V321" s="1"/>
      <c r="W321" s="3"/>
      <c r="X321" s="1"/>
      <c r="Y321" s="4"/>
      <c r="Z321" s="4"/>
      <c r="AA321" s="1"/>
      <c r="AB321" s="1"/>
      <c r="AC321" s="1"/>
      <c r="AD321" s="2"/>
      <c r="AE321" s="1"/>
      <c r="AF321" s="1"/>
      <c r="AG321" s="1"/>
      <c r="AH321" s="3"/>
      <c r="AI321" s="1"/>
      <c r="AJ321" s="1"/>
      <c r="AK321" s="1"/>
      <c r="AL321" s="1"/>
      <c r="AM321" s="1"/>
      <c r="AN321" s="2"/>
      <c r="AO321" s="1"/>
      <c r="AP321" s="1"/>
      <c r="AQ321" s="1"/>
      <c r="AR321" s="2"/>
      <c r="AS321" s="1"/>
      <c r="AT321" s="2"/>
      <c r="AU321" s="4"/>
      <c r="AV321" s="7"/>
      <c r="AW321" s="4"/>
      <c r="AX321" s="3"/>
      <c r="AY321" s="4"/>
      <c r="AZ321" s="1"/>
      <c r="BA321" s="1"/>
      <c r="BB321" s="1"/>
      <c r="BC321" s="4"/>
      <c r="BD321" s="1"/>
      <c r="BE321" s="4"/>
      <c r="BF321" s="2"/>
      <c r="BG321" s="4"/>
      <c r="BH321" s="1"/>
      <c r="BI321" s="1"/>
    </row>
    <row r="322" spans="1:61" ht="15" customHeight="1" x14ac:dyDescent="0.25">
      <c r="A322" s="2"/>
      <c r="B322" s="1"/>
      <c r="E322" s="1"/>
      <c r="F322" s="1"/>
      <c r="G322" s="1"/>
      <c r="H322" s="1"/>
      <c r="J322" s="2"/>
      <c r="K322" s="3"/>
      <c r="L322" s="1"/>
      <c r="N322" s="3"/>
      <c r="P322" s="1"/>
      <c r="Q322" s="2"/>
      <c r="R322" s="3"/>
      <c r="S322" s="4"/>
      <c r="T322" s="3"/>
      <c r="U322" s="1"/>
      <c r="V322" s="1"/>
      <c r="W322" s="3"/>
      <c r="X322" s="1"/>
      <c r="Y322" s="4"/>
      <c r="Z322" s="4"/>
      <c r="AA322" s="1"/>
      <c r="AB322" s="1"/>
      <c r="AC322" s="1"/>
      <c r="AD322" s="2"/>
      <c r="AE322" s="1"/>
      <c r="AF322" s="1"/>
      <c r="AG322" s="1"/>
      <c r="AH322" s="3"/>
      <c r="AI322" s="1"/>
      <c r="AJ322" s="1"/>
      <c r="AK322" s="1"/>
      <c r="AL322" s="1"/>
      <c r="AM322" s="1"/>
      <c r="AN322" s="2"/>
      <c r="AO322" s="1"/>
      <c r="AP322" s="1"/>
      <c r="AQ322" s="1"/>
      <c r="AR322" s="2"/>
      <c r="AS322" s="1"/>
      <c r="AT322" s="2"/>
      <c r="AU322" s="4"/>
      <c r="AV322" s="7"/>
      <c r="AW322" s="4"/>
      <c r="AX322" s="3"/>
      <c r="AY322" s="4"/>
      <c r="AZ322" s="1"/>
      <c r="BA322" s="1"/>
      <c r="BB322" s="1"/>
      <c r="BC322" s="4"/>
      <c r="BD322" s="1"/>
      <c r="BE322" s="4"/>
      <c r="BF322" s="2"/>
      <c r="BG322" s="4"/>
      <c r="BH322" s="1"/>
      <c r="BI322" s="1"/>
    </row>
    <row r="323" spans="1:61" ht="15" customHeight="1" x14ac:dyDescent="0.25">
      <c r="A323" s="2"/>
      <c r="B323" s="1"/>
      <c r="E323" s="1"/>
      <c r="F323" s="1"/>
      <c r="G323" s="1"/>
      <c r="H323" s="1"/>
      <c r="J323" s="2"/>
      <c r="K323" s="3"/>
      <c r="L323" s="1"/>
      <c r="N323" s="3"/>
      <c r="P323" s="1"/>
      <c r="Q323" s="2"/>
      <c r="R323" s="3"/>
      <c r="S323" s="4"/>
      <c r="T323" s="3"/>
      <c r="U323" s="1"/>
      <c r="V323" s="1"/>
      <c r="W323" s="3"/>
      <c r="X323" s="1"/>
      <c r="Y323" s="4"/>
      <c r="Z323" s="4"/>
      <c r="AA323" s="1"/>
      <c r="AB323" s="1"/>
      <c r="AC323" s="1"/>
      <c r="AD323" s="2"/>
      <c r="AE323" s="1"/>
      <c r="AF323" s="1"/>
      <c r="AG323" s="1"/>
      <c r="AH323" s="3"/>
      <c r="AI323" s="1"/>
      <c r="AJ323" s="1"/>
      <c r="AK323" s="1"/>
      <c r="AL323" s="1"/>
      <c r="AM323" s="1"/>
      <c r="AN323" s="2"/>
      <c r="AO323" s="1"/>
      <c r="AP323" s="1"/>
      <c r="AQ323" s="1"/>
      <c r="AR323" s="2"/>
      <c r="AS323" s="1"/>
      <c r="AT323" s="2"/>
      <c r="AU323" s="4"/>
      <c r="AV323" s="7"/>
      <c r="AW323" s="4"/>
      <c r="AX323" s="3"/>
      <c r="AY323" s="4"/>
      <c r="AZ323" s="1"/>
      <c r="BA323" s="1"/>
      <c r="BB323" s="1"/>
      <c r="BC323" s="4"/>
      <c r="BD323" s="1"/>
      <c r="BE323" s="4"/>
      <c r="BF323" s="2"/>
      <c r="BG323" s="4"/>
      <c r="BH323" s="1"/>
      <c r="BI323" s="1"/>
    </row>
    <row r="324" spans="1:61" ht="15" customHeight="1" x14ac:dyDescent="0.25">
      <c r="A324" s="2"/>
      <c r="B324" s="1"/>
      <c r="E324" s="1"/>
      <c r="F324" s="1"/>
      <c r="G324" s="1"/>
      <c r="H324" s="1"/>
      <c r="J324" s="2"/>
      <c r="K324" s="3"/>
      <c r="L324" s="1"/>
      <c r="N324" s="3"/>
      <c r="P324" s="1"/>
      <c r="Q324" s="2"/>
      <c r="R324" s="3"/>
      <c r="S324" s="4"/>
      <c r="T324" s="3"/>
      <c r="U324" s="1"/>
      <c r="V324" s="1"/>
      <c r="W324" s="3"/>
      <c r="X324" s="1"/>
      <c r="Y324" s="4"/>
      <c r="Z324" s="4"/>
      <c r="AA324" s="1"/>
      <c r="AB324" s="1"/>
      <c r="AC324" s="1"/>
      <c r="AD324" s="2"/>
      <c r="AE324" s="1"/>
      <c r="AF324" s="1"/>
      <c r="AG324" s="1"/>
      <c r="AH324" s="3"/>
      <c r="AI324" s="1"/>
      <c r="AJ324" s="1"/>
      <c r="AK324" s="1"/>
      <c r="AL324" s="1"/>
      <c r="AM324" s="1"/>
      <c r="AN324" s="2"/>
      <c r="AO324" s="1"/>
      <c r="AP324" s="1"/>
      <c r="AQ324" s="1"/>
      <c r="AR324" s="2"/>
      <c r="AS324" s="1"/>
      <c r="AT324" s="2"/>
      <c r="AU324" s="4"/>
      <c r="AV324" s="7"/>
      <c r="AW324" s="4"/>
      <c r="AX324" s="3"/>
      <c r="AY324" s="4"/>
      <c r="AZ324" s="1"/>
      <c r="BA324" s="1"/>
      <c r="BB324" s="1"/>
      <c r="BC324" s="4"/>
      <c r="BD324" s="1"/>
      <c r="BE324" s="4"/>
      <c r="BF324" s="2"/>
      <c r="BG324" s="4"/>
      <c r="BH324" s="1"/>
      <c r="BI324" s="1"/>
    </row>
    <row r="325" spans="1:61" ht="15" customHeight="1" x14ac:dyDescent="0.25">
      <c r="A325" s="2"/>
      <c r="B325" s="1"/>
      <c r="E325" s="1"/>
      <c r="F325" s="1"/>
      <c r="G325" s="1"/>
      <c r="H325" s="1"/>
      <c r="J325" s="2"/>
      <c r="K325" s="3"/>
      <c r="L325" s="1"/>
      <c r="N325" s="3"/>
      <c r="P325" s="1"/>
      <c r="Q325" s="2"/>
      <c r="R325" s="3"/>
      <c r="S325" s="4"/>
      <c r="T325" s="3"/>
      <c r="U325" s="1"/>
      <c r="V325" s="1"/>
      <c r="W325" s="3"/>
      <c r="X325" s="1"/>
      <c r="Y325" s="4"/>
      <c r="Z325" s="4"/>
      <c r="AA325" s="1"/>
      <c r="AB325" s="1"/>
      <c r="AC325" s="1"/>
      <c r="AD325" s="2"/>
      <c r="AE325" s="1"/>
      <c r="AF325" s="1"/>
      <c r="AG325" s="1"/>
      <c r="AH325" s="3"/>
      <c r="AI325" s="1"/>
      <c r="AJ325" s="1"/>
      <c r="AK325" s="1"/>
      <c r="AL325" s="1"/>
      <c r="AM325" s="1"/>
      <c r="AN325" s="2"/>
      <c r="AO325" s="1"/>
      <c r="AP325" s="1"/>
      <c r="AQ325" s="1"/>
      <c r="AR325" s="2"/>
      <c r="AS325" s="1"/>
      <c r="AT325" s="2"/>
      <c r="AU325" s="4"/>
      <c r="AV325" s="7"/>
      <c r="AW325" s="4"/>
      <c r="AX325" s="3"/>
      <c r="AY325" s="4"/>
      <c r="AZ325" s="1"/>
      <c r="BA325" s="1"/>
      <c r="BB325" s="1"/>
      <c r="BC325" s="4"/>
      <c r="BD325" s="1"/>
      <c r="BE325" s="4"/>
      <c r="BF325" s="2"/>
      <c r="BG325" s="4"/>
      <c r="BH325" s="1"/>
      <c r="BI325" s="1"/>
    </row>
    <row r="326" spans="1:61" ht="15" customHeight="1" x14ac:dyDescent="0.25">
      <c r="A326" s="2"/>
      <c r="B326" s="1"/>
      <c r="E326" s="1"/>
      <c r="F326" s="1"/>
      <c r="G326" s="1"/>
      <c r="H326" s="1"/>
      <c r="J326" s="2"/>
      <c r="K326" s="3"/>
      <c r="L326" s="1"/>
      <c r="N326" s="3"/>
      <c r="P326" s="1"/>
      <c r="Q326" s="2"/>
      <c r="R326" s="3"/>
      <c r="S326" s="4"/>
      <c r="T326" s="3"/>
      <c r="U326" s="1"/>
      <c r="V326" s="1"/>
      <c r="W326" s="3"/>
      <c r="X326" s="1"/>
      <c r="Y326" s="4"/>
      <c r="Z326" s="4"/>
      <c r="AA326" s="1"/>
      <c r="AB326" s="1"/>
      <c r="AC326" s="1"/>
      <c r="AD326" s="2"/>
      <c r="AE326" s="1"/>
      <c r="AF326" s="1"/>
      <c r="AG326" s="1"/>
      <c r="AH326" s="3"/>
      <c r="AI326" s="1"/>
      <c r="AJ326" s="1"/>
      <c r="AK326" s="1"/>
      <c r="AL326" s="1"/>
      <c r="AM326" s="1"/>
      <c r="AN326" s="2"/>
      <c r="AO326" s="1"/>
      <c r="AP326" s="1"/>
      <c r="AQ326" s="1"/>
      <c r="AR326" s="2"/>
      <c r="AS326" s="1"/>
      <c r="AT326" s="2"/>
      <c r="AU326" s="4"/>
      <c r="AV326" s="7"/>
      <c r="AW326" s="4"/>
      <c r="AX326" s="3"/>
      <c r="AY326" s="4"/>
      <c r="AZ326" s="1"/>
      <c r="BA326" s="1"/>
      <c r="BB326" s="1"/>
      <c r="BC326" s="4"/>
      <c r="BD326" s="1"/>
      <c r="BE326" s="4"/>
      <c r="BF326" s="2"/>
      <c r="BG326" s="4"/>
      <c r="BH326" s="1"/>
      <c r="BI326" s="1"/>
    </row>
    <row r="327" spans="1:61" ht="15" customHeight="1" x14ac:dyDescent="0.25">
      <c r="A327" s="2"/>
      <c r="B327" s="1"/>
      <c r="E327" s="1"/>
      <c r="F327" s="1"/>
      <c r="G327" s="1"/>
      <c r="H327" s="1"/>
      <c r="J327" s="2"/>
      <c r="K327" s="3"/>
      <c r="L327" s="1"/>
      <c r="N327" s="3"/>
      <c r="P327" s="1"/>
      <c r="Q327" s="2"/>
      <c r="R327" s="3"/>
      <c r="S327" s="4"/>
      <c r="T327" s="3"/>
      <c r="U327" s="1"/>
      <c r="V327" s="1"/>
      <c r="W327" s="3"/>
      <c r="X327" s="1"/>
      <c r="Y327" s="4"/>
      <c r="Z327" s="4"/>
      <c r="AA327" s="1"/>
      <c r="AB327" s="1"/>
      <c r="AC327" s="1"/>
      <c r="AD327" s="2"/>
      <c r="AE327" s="1"/>
      <c r="AF327" s="1"/>
      <c r="AG327" s="1"/>
      <c r="AH327" s="3"/>
      <c r="AI327" s="1"/>
      <c r="AJ327" s="1"/>
      <c r="AK327" s="1"/>
      <c r="AL327" s="1"/>
      <c r="AM327" s="1"/>
      <c r="AN327" s="2"/>
      <c r="AO327" s="1"/>
      <c r="AP327" s="1"/>
      <c r="AQ327" s="1"/>
      <c r="AR327" s="2"/>
      <c r="AS327" s="1"/>
      <c r="AT327" s="2"/>
      <c r="AU327" s="4"/>
      <c r="AV327" s="7"/>
      <c r="AW327" s="4"/>
      <c r="AX327" s="3"/>
      <c r="AY327" s="4"/>
      <c r="AZ327" s="1"/>
      <c r="BA327" s="1"/>
      <c r="BB327" s="1"/>
      <c r="BC327" s="4"/>
      <c r="BD327" s="1"/>
      <c r="BE327" s="4"/>
      <c r="BF327" s="2"/>
      <c r="BG327" s="4"/>
      <c r="BH327" s="1"/>
      <c r="BI327" s="1"/>
    </row>
    <row r="328" spans="1:61" ht="15" customHeight="1" x14ac:dyDescent="0.25">
      <c r="A328" s="2"/>
      <c r="B328" s="1"/>
      <c r="E328" s="1"/>
      <c r="F328" s="1"/>
      <c r="G328" s="1"/>
      <c r="H328" s="1"/>
      <c r="J328" s="2"/>
      <c r="K328" s="3"/>
      <c r="L328" s="1"/>
      <c r="N328" s="3"/>
      <c r="P328" s="1"/>
      <c r="Q328" s="2"/>
      <c r="R328" s="3"/>
      <c r="S328" s="4"/>
      <c r="T328" s="3"/>
      <c r="U328" s="1"/>
      <c r="V328" s="1"/>
      <c r="W328" s="3"/>
      <c r="X328" s="1"/>
      <c r="Y328" s="4"/>
      <c r="Z328" s="4"/>
      <c r="AA328" s="1"/>
      <c r="AB328" s="1"/>
      <c r="AC328" s="1"/>
      <c r="AD328" s="2"/>
      <c r="AE328" s="1"/>
      <c r="AF328" s="1"/>
      <c r="AG328" s="1"/>
      <c r="AH328" s="3"/>
      <c r="AI328" s="1"/>
      <c r="AJ328" s="1"/>
      <c r="AK328" s="1"/>
      <c r="AL328" s="1"/>
      <c r="AM328" s="1"/>
      <c r="AN328" s="2"/>
      <c r="AO328" s="1"/>
      <c r="AP328" s="1"/>
      <c r="AQ328" s="1"/>
      <c r="AR328" s="2"/>
      <c r="AS328" s="1"/>
      <c r="AT328" s="2"/>
      <c r="AU328" s="4"/>
      <c r="AV328" s="7"/>
      <c r="AW328" s="4"/>
      <c r="AX328" s="3"/>
      <c r="AY328" s="4"/>
      <c r="AZ328" s="1"/>
      <c r="BA328" s="1"/>
      <c r="BB328" s="1"/>
      <c r="BC328" s="4"/>
      <c r="BD328" s="1"/>
      <c r="BE328" s="4"/>
      <c r="BF328" s="2"/>
      <c r="BG328" s="4"/>
      <c r="BH328" s="1"/>
      <c r="BI328" s="1"/>
    </row>
    <row r="329" spans="1:61" ht="15" customHeight="1" x14ac:dyDescent="0.25">
      <c r="A329" s="2"/>
      <c r="B329" s="1"/>
      <c r="E329" s="1"/>
      <c r="F329" s="1"/>
      <c r="G329" s="1"/>
      <c r="H329" s="1"/>
      <c r="J329" s="2"/>
      <c r="K329" s="3"/>
      <c r="L329" s="1"/>
      <c r="N329" s="3"/>
      <c r="P329" s="1"/>
      <c r="Q329" s="2"/>
      <c r="R329" s="3"/>
      <c r="S329" s="4"/>
      <c r="T329" s="3"/>
      <c r="U329" s="1"/>
      <c r="V329" s="1"/>
      <c r="W329" s="3"/>
      <c r="X329" s="1"/>
      <c r="Y329" s="4"/>
      <c r="Z329" s="4"/>
      <c r="AA329" s="1"/>
      <c r="AB329" s="1"/>
      <c r="AC329" s="1"/>
      <c r="AD329" s="2"/>
      <c r="AE329" s="1"/>
      <c r="AF329" s="1"/>
      <c r="AG329" s="1"/>
      <c r="AH329" s="3"/>
      <c r="AI329" s="1"/>
      <c r="AJ329" s="1"/>
      <c r="AK329" s="1"/>
      <c r="AL329" s="1"/>
      <c r="AM329" s="1"/>
      <c r="AN329" s="2"/>
      <c r="AO329" s="1"/>
      <c r="AP329" s="1"/>
      <c r="AQ329" s="1"/>
      <c r="AR329" s="2"/>
      <c r="AS329" s="1"/>
      <c r="AT329" s="2"/>
      <c r="AU329" s="4"/>
      <c r="AV329" s="4"/>
      <c r="AW329" s="4"/>
      <c r="AX329" s="3"/>
      <c r="AY329" s="4"/>
      <c r="AZ329" s="1"/>
      <c r="BA329" s="1"/>
      <c r="BB329" s="1"/>
      <c r="BC329" s="4"/>
      <c r="BD329" s="1"/>
      <c r="BE329" s="4"/>
      <c r="BF329" s="2"/>
      <c r="BG329" s="4"/>
      <c r="BH329" s="1"/>
      <c r="BI329" s="1"/>
    </row>
    <row r="330" spans="1:61" ht="15" customHeight="1" x14ac:dyDescent="0.25">
      <c r="A330" s="2"/>
      <c r="B330" s="1"/>
      <c r="E330" s="1"/>
      <c r="F330" s="1"/>
      <c r="G330" s="1"/>
      <c r="H330" s="1"/>
      <c r="J330" s="2"/>
      <c r="K330" s="3"/>
      <c r="L330" s="1"/>
      <c r="N330" s="3"/>
      <c r="P330" s="1"/>
      <c r="Q330" s="2"/>
      <c r="R330" s="3"/>
      <c r="S330" s="4"/>
      <c r="T330" s="3"/>
      <c r="U330" s="1"/>
      <c r="V330" s="1"/>
      <c r="W330" s="3"/>
      <c r="X330" s="1"/>
      <c r="Y330" s="4"/>
      <c r="Z330" s="4"/>
      <c r="AA330" s="1"/>
      <c r="AB330" s="1"/>
      <c r="AC330" s="1"/>
      <c r="AD330" s="2"/>
      <c r="AE330" s="1"/>
      <c r="AF330" s="1"/>
      <c r="AG330" s="1"/>
      <c r="AH330" s="3"/>
      <c r="AI330" s="1"/>
      <c r="AJ330" s="1"/>
      <c r="AK330" s="1"/>
      <c r="AL330" s="1"/>
      <c r="AM330" s="1"/>
      <c r="AN330" s="2"/>
      <c r="AO330" s="1"/>
      <c r="AP330" s="1"/>
      <c r="AQ330" s="1"/>
      <c r="AR330" s="2"/>
      <c r="AS330" s="1"/>
      <c r="AT330" s="2"/>
      <c r="AU330" s="4"/>
      <c r="AV330" s="7"/>
      <c r="AW330" s="4"/>
      <c r="AX330" s="3"/>
      <c r="AY330" s="4"/>
      <c r="AZ330" s="1"/>
      <c r="BA330" s="1"/>
      <c r="BB330" s="1"/>
      <c r="BC330" s="4"/>
      <c r="BD330" s="1"/>
      <c r="BE330" s="4"/>
      <c r="BF330" s="2"/>
      <c r="BG330" s="4"/>
      <c r="BH330" s="1"/>
      <c r="BI330" s="1"/>
    </row>
    <row r="331" spans="1:61" ht="15" customHeight="1" x14ac:dyDescent="0.25">
      <c r="A331" s="2"/>
      <c r="B331" s="1"/>
      <c r="E331" s="1"/>
      <c r="F331" s="1"/>
      <c r="G331" s="1"/>
      <c r="H331" s="1"/>
      <c r="J331" s="2"/>
      <c r="K331" s="3"/>
      <c r="L331" s="1"/>
      <c r="N331" s="3"/>
      <c r="P331" s="1"/>
      <c r="Q331" s="2"/>
      <c r="R331" s="3"/>
      <c r="S331" s="4"/>
      <c r="T331" s="3"/>
      <c r="U331" s="1"/>
      <c r="V331" s="1"/>
      <c r="W331" s="3"/>
      <c r="X331" s="1"/>
      <c r="Y331" s="4"/>
      <c r="Z331" s="4"/>
      <c r="AA331" s="1"/>
      <c r="AB331" s="1"/>
      <c r="AC331" s="1"/>
      <c r="AD331" s="2"/>
      <c r="AE331" s="1"/>
      <c r="AF331" s="1"/>
      <c r="AG331" s="1"/>
      <c r="AH331" s="3"/>
      <c r="AI331" s="1"/>
      <c r="AJ331" s="1"/>
      <c r="AK331" s="1"/>
      <c r="AL331" s="1"/>
      <c r="AM331" s="1"/>
      <c r="AN331" s="2"/>
      <c r="AO331" s="1"/>
      <c r="AP331" s="1"/>
      <c r="AQ331" s="1"/>
      <c r="AR331" s="2"/>
      <c r="AS331" s="1"/>
      <c r="AT331" s="2"/>
      <c r="AU331" s="4"/>
      <c r="AV331" s="7"/>
      <c r="AW331" s="4"/>
      <c r="AX331" s="3"/>
      <c r="AY331" s="4"/>
      <c r="AZ331" s="1"/>
      <c r="BA331" s="1"/>
      <c r="BB331" s="1"/>
      <c r="BC331" s="4"/>
      <c r="BD331" s="1"/>
      <c r="BE331" s="4"/>
      <c r="BF331" s="2"/>
      <c r="BG331" s="4"/>
      <c r="BH331" s="1"/>
      <c r="BI331" s="1"/>
    </row>
    <row r="332" spans="1:61" ht="15" customHeight="1" x14ac:dyDescent="0.25">
      <c r="A332" s="2"/>
      <c r="B332" s="1"/>
      <c r="E332" s="1"/>
      <c r="F332" s="1"/>
      <c r="G332" s="1"/>
      <c r="H332" s="1"/>
      <c r="J332" s="2"/>
      <c r="K332" s="3"/>
      <c r="L332" s="1"/>
      <c r="N332" s="3"/>
      <c r="P332" s="1"/>
      <c r="Q332" s="2"/>
      <c r="R332" s="3"/>
      <c r="S332" s="4"/>
      <c r="T332" s="3"/>
      <c r="U332" s="1"/>
      <c r="V332" s="1"/>
      <c r="W332" s="3"/>
      <c r="X332" s="1"/>
      <c r="Y332" s="4"/>
      <c r="Z332" s="4"/>
      <c r="AA332" s="1"/>
      <c r="AB332" s="1"/>
      <c r="AC332" s="1"/>
      <c r="AD332" s="2"/>
      <c r="AE332" s="1"/>
      <c r="AF332" s="1"/>
      <c r="AG332" s="1"/>
      <c r="AH332" s="3"/>
      <c r="AI332" s="1"/>
      <c r="AJ332" s="1"/>
      <c r="AK332" s="1"/>
      <c r="AL332" s="1"/>
      <c r="AM332" s="1"/>
      <c r="AN332" s="2"/>
      <c r="AO332" s="1"/>
      <c r="AP332" s="1"/>
      <c r="AQ332" s="1"/>
      <c r="AR332" s="2"/>
      <c r="AS332" s="1"/>
      <c r="AT332" s="2"/>
      <c r="AU332" s="4"/>
      <c r="AV332" s="7"/>
      <c r="AW332" s="4"/>
      <c r="AX332" s="3"/>
      <c r="AY332" s="4"/>
      <c r="AZ332" s="1"/>
      <c r="BA332" s="1"/>
      <c r="BB332" s="1"/>
      <c r="BC332" s="4"/>
      <c r="BD332" s="1"/>
      <c r="BE332" s="4"/>
      <c r="BF332" s="2"/>
      <c r="BG332" s="4"/>
      <c r="BH332" s="1"/>
      <c r="BI332" s="1"/>
    </row>
    <row r="333" spans="1:61" ht="15" customHeight="1" x14ac:dyDescent="0.25">
      <c r="A333" s="2"/>
      <c r="B333" s="1"/>
      <c r="E333" s="1"/>
      <c r="F333" s="1"/>
      <c r="G333" s="1"/>
      <c r="H333" s="1"/>
      <c r="J333" s="2"/>
      <c r="K333" s="3"/>
      <c r="L333" s="1"/>
      <c r="N333" s="3"/>
      <c r="P333" s="1"/>
      <c r="Q333" s="2"/>
      <c r="R333" s="3"/>
      <c r="S333" s="4"/>
      <c r="T333" s="3"/>
      <c r="U333" s="1"/>
      <c r="V333" s="1"/>
      <c r="W333" s="3"/>
      <c r="X333" s="1"/>
      <c r="Y333" s="4"/>
      <c r="Z333" s="4"/>
      <c r="AA333" s="1"/>
      <c r="AB333" s="1"/>
      <c r="AC333" s="1"/>
      <c r="AD333" s="2"/>
      <c r="AE333" s="1"/>
      <c r="AF333" s="1"/>
      <c r="AG333" s="1"/>
      <c r="AH333" s="3"/>
      <c r="AI333" s="1"/>
      <c r="AJ333" s="1"/>
      <c r="AK333" s="1"/>
      <c r="AL333" s="1"/>
      <c r="AM333" s="1"/>
      <c r="AN333" s="2"/>
      <c r="AO333" s="1"/>
      <c r="AP333" s="1"/>
      <c r="AQ333" s="1"/>
      <c r="AR333" s="2"/>
      <c r="AS333" s="1"/>
      <c r="AT333" s="2"/>
      <c r="AU333" s="4"/>
      <c r="AV333" s="7"/>
      <c r="AW333" s="4"/>
      <c r="AX333" s="3"/>
      <c r="AY333" s="4"/>
      <c r="AZ333" s="1"/>
      <c r="BA333" s="1"/>
      <c r="BB333" s="1"/>
      <c r="BC333" s="4"/>
      <c r="BD333" s="1"/>
      <c r="BE333" s="4"/>
      <c r="BF333" s="2"/>
      <c r="BG333" s="4"/>
      <c r="BH333" s="1"/>
      <c r="BI333" s="1"/>
    </row>
    <row r="334" spans="1:61" ht="15" customHeight="1" x14ac:dyDescent="0.25">
      <c r="A334" s="2"/>
      <c r="B334" s="1"/>
      <c r="E334" s="1"/>
      <c r="F334" s="1"/>
      <c r="G334" s="1"/>
      <c r="H334" s="1"/>
      <c r="J334" s="2"/>
      <c r="K334" s="3"/>
      <c r="L334" s="1"/>
      <c r="N334" s="3"/>
      <c r="P334" s="1"/>
      <c r="Q334" s="2"/>
      <c r="R334" s="3"/>
      <c r="S334" s="4"/>
      <c r="T334" s="3"/>
      <c r="U334" s="1"/>
      <c r="V334" s="1"/>
      <c r="W334" s="3"/>
      <c r="X334" s="1"/>
      <c r="Y334" s="4"/>
      <c r="Z334" s="4"/>
      <c r="AA334" s="1"/>
      <c r="AB334" s="1"/>
      <c r="AC334" s="1"/>
      <c r="AD334" s="2"/>
      <c r="AE334" s="1"/>
      <c r="AF334" s="1"/>
      <c r="AG334" s="1"/>
      <c r="AH334" s="3"/>
      <c r="AI334" s="1"/>
      <c r="AJ334" s="1"/>
      <c r="AK334" s="1"/>
      <c r="AL334" s="1"/>
      <c r="AM334" s="1"/>
      <c r="AN334" s="2"/>
      <c r="AO334" s="1"/>
      <c r="AP334" s="1"/>
      <c r="AQ334" s="1"/>
      <c r="AR334" s="2"/>
      <c r="AS334" s="1"/>
      <c r="AT334" s="2"/>
      <c r="AU334" s="4"/>
      <c r="AV334" s="7"/>
      <c r="AW334" s="4"/>
      <c r="AX334" s="3"/>
      <c r="AY334" s="4"/>
      <c r="AZ334" s="1"/>
      <c r="BA334" s="1"/>
      <c r="BB334" s="1"/>
      <c r="BC334" s="4"/>
      <c r="BD334" s="1"/>
      <c r="BE334" s="4"/>
      <c r="BF334" s="2"/>
      <c r="BG334" s="4"/>
      <c r="BH334" s="1"/>
      <c r="BI334" s="1"/>
    </row>
    <row r="335" spans="1:61" ht="15" customHeight="1" x14ac:dyDescent="0.25">
      <c r="A335" s="2"/>
      <c r="B335" s="1"/>
      <c r="E335" s="1"/>
      <c r="F335" s="1"/>
      <c r="G335" s="1"/>
      <c r="H335" s="1"/>
      <c r="J335" s="2"/>
      <c r="K335" s="3"/>
      <c r="L335" s="1"/>
      <c r="N335" s="3"/>
      <c r="P335" s="1"/>
      <c r="Q335" s="2"/>
      <c r="R335" s="3"/>
      <c r="S335" s="4"/>
      <c r="T335" s="3"/>
      <c r="U335" s="1"/>
      <c r="V335" s="1"/>
      <c r="W335" s="3"/>
      <c r="X335" s="1"/>
      <c r="Y335" s="4"/>
      <c r="Z335" s="4"/>
      <c r="AA335" s="1"/>
      <c r="AB335" s="1"/>
      <c r="AC335" s="1"/>
      <c r="AD335" s="2"/>
      <c r="AE335" s="1"/>
      <c r="AF335" s="1"/>
      <c r="AG335" s="1"/>
      <c r="AH335" s="3"/>
      <c r="AI335" s="1"/>
      <c r="AJ335" s="1"/>
      <c r="AK335" s="1"/>
      <c r="AL335" s="1"/>
      <c r="AM335" s="1"/>
      <c r="AN335" s="2"/>
      <c r="AO335" s="1"/>
      <c r="AP335" s="1"/>
      <c r="AQ335" s="1"/>
      <c r="AR335" s="2"/>
      <c r="AS335" s="1"/>
      <c r="AT335" s="2"/>
      <c r="AU335" s="4"/>
      <c r="AV335" s="7"/>
      <c r="AW335" s="4"/>
      <c r="AX335" s="3"/>
      <c r="AY335" s="4"/>
      <c r="AZ335" s="1"/>
      <c r="BA335" s="1"/>
      <c r="BB335" s="1"/>
      <c r="BC335" s="4"/>
      <c r="BD335" s="1"/>
      <c r="BE335" s="4"/>
      <c r="BF335" s="2"/>
      <c r="BG335" s="4"/>
      <c r="BH335" s="1"/>
      <c r="BI335" s="1"/>
    </row>
    <row r="336" spans="1:61" ht="15" customHeight="1" x14ac:dyDescent="0.25">
      <c r="A336" s="2"/>
      <c r="B336" s="1"/>
      <c r="E336" s="1"/>
      <c r="F336" s="1"/>
      <c r="G336" s="1"/>
      <c r="H336" s="1"/>
      <c r="J336" s="2"/>
      <c r="K336" s="3"/>
      <c r="L336" s="1"/>
      <c r="N336" s="3"/>
      <c r="P336" s="1"/>
      <c r="Q336" s="2"/>
      <c r="R336" s="3"/>
      <c r="S336" s="4"/>
      <c r="T336" s="3"/>
      <c r="U336" s="1"/>
      <c r="V336" s="1"/>
      <c r="W336" s="3"/>
      <c r="X336" s="1"/>
      <c r="Y336" s="4"/>
      <c r="Z336" s="4"/>
      <c r="AA336" s="1"/>
      <c r="AB336" s="1"/>
      <c r="AC336" s="1"/>
      <c r="AD336" s="2"/>
      <c r="AE336" s="1"/>
      <c r="AF336" s="1"/>
      <c r="AG336" s="1"/>
      <c r="AH336" s="3"/>
      <c r="AI336" s="1"/>
      <c r="AJ336" s="1"/>
      <c r="AK336" s="1"/>
      <c r="AL336" s="1"/>
      <c r="AM336" s="1"/>
      <c r="AN336" s="2"/>
      <c r="AO336" s="1"/>
      <c r="AP336" s="1"/>
      <c r="AQ336" s="1"/>
      <c r="AR336" s="2"/>
      <c r="AS336" s="1"/>
      <c r="AT336" s="2"/>
      <c r="AU336" s="4"/>
      <c r="AV336" s="7"/>
      <c r="AW336" s="4"/>
      <c r="AX336" s="3"/>
      <c r="AY336" s="4"/>
      <c r="AZ336" s="1"/>
      <c r="BA336" s="1"/>
      <c r="BB336" s="1"/>
      <c r="BC336" s="4"/>
      <c r="BD336" s="1"/>
      <c r="BE336" s="4"/>
      <c r="BF336" s="2"/>
      <c r="BG336" s="4"/>
      <c r="BH336" s="1"/>
      <c r="BI336" s="1"/>
    </row>
    <row r="337" spans="1:61" ht="15" customHeight="1" x14ac:dyDescent="0.25">
      <c r="A337" s="2"/>
      <c r="B337" s="1"/>
      <c r="E337" s="1"/>
      <c r="F337" s="1"/>
      <c r="G337" s="1"/>
      <c r="H337" s="1"/>
      <c r="J337" s="2"/>
      <c r="K337" s="3"/>
      <c r="L337" s="1"/>
      <c r="N337" s="3"/>
      <c r="P337" s="1"/>
      <c r="Q337" s="2"/>
      <c r="R337" s="3"/>
      <c r="S337" s="4"/>
      <c r="T337" s="3"/>
      <c r="U337" s="1"/>
      <c r="V337" s="1"/>
      <c r="W337" s="3"/>
      <c r="X337" s="1"/>
      <c r="Y337" s="4"/>
      <c r="Z337" s="4"/>
      <c r="AA337" s="1"/>
      <c r="AB337" s="1"/>
      <c r="AC337" s="1"/>
      <c r="AD337" s="2"/>
      <c r="AE337" s="1"/>
      <c r="AF337" s="1"/>
      <c r="AG337" s="1"/>
      <c r="AH337" s="3"/>
      <c r="AI337" s="1"/>
      <c r="AJ337" s="1"/>
      <c r="AK337" s="1"/>
      <c r="AL337" s="1"/>
      <c r="AM337" s="1"/>
      <c r="AN337" s="2"/>
      <c r="AO337" s="1"/>
      <c r="AP337" s="1"/>
      <c r="AQ337" s="1"/>
      <c r="AR337" s="2"/>
      <c r="AS337" s="1"/>
      <c r="AT337" s="2"/>
      <c r="AU337" s="4"/>
      <c r="AV337" s="7"/>
      <c r="AW337" s="4"/>
      <c r="AX337" s="3"/>
      <c r="AY337" s="4"/>
      <c r="AZ337" s="1"/>
      <c r="BA337" s="1"/>
      <c r="BB337" s="1"/>
      <c r="BC337" s="4"/>
      <c r="BD337" s="1"/>
      <c r="BE337" s="4"/>
      <c r="BF337" s="2"/>
      <c r="BG337" s="4"/>
      <c r="BH337" s="1"/>
      <c r="BI337" s="1"/>
    </row>
    <row r="338" spans="1:61" ht="15" customHeight="1" x14ac:dyDescent="0.25">
      <c r="A338" s="2"/>
      <c r="B338" s="1"/>
      <c r="E338" s="1"/>
      <c r="F338" s="1"/>
      <c r="G338" s="1"/>
      <c r="H338" s="1"/>
      <c r="J338" s="2"/>
      <c r="K338" s="3"/>
      <c r="L338" s="1"/>
      <c r="N338" s="3"/>
      <c r="P338" s="1"/>
      <c r="Q338" s="2"/>
      <c r="R338" s="3"/>
      <c r="S338" s="4"/>
      <c r="T338" s="3"/>
      <c r="U338" s="1"/>
      <c r="V338" s="1"/>
      <c r="W338" s="3"/>
      <c r="X338" s="1"/>
      <c r="Y338" s="4"/>
      <c r="Z338" s="4"/>
      <c r="AA338" s="1"/>
      <c r="AB338" s="1"/>
      <c r="AC338" s="1"/>
      <c r="AD338" s="2"/>
      <c r="AE338" s="1"/>
      <c r="AF338" s="1"/>
      <c r="AG338" s="1"/>
      <c r="AH338" s="3"/>
      <c r="AI338" s="1"/>
      <c r="AJ338" s="1"/>
      <c r="AK338" s="1"/>
      <c r="AL338" s="1"/>
      <c r="AM338" s="1"/>
      <c r="AN338" s="2"/>
      <c r="AO338" s="1"/>
      <c r="AP338" s="1"/>
      <c r="AQ338" s="1"/>
      <c r="AR338" s="2"/>
      <c r="AS338" s="1"/>
      <c r="AT338" s="2"/>
      <c r="AU338" s="4"/>
      <c r="AV338" s="4"/>
      <c r="AW338" s="4"/>
      <c r="AX338" s="3"/>
      <c r="AY338" s="4"/>
      <c r="AZ338" s="1"/>
      <c r="BA338" s="1"/>
      <c r="BB338" s="1"/>
      <c r="BC338" s="4"/>
      <c r="BD338" s="1"/>
      <c r="BE338" s="4"/>
      <c r="BF338" s="2"/>
      <c r="BG338" s="4"/>
      <c r="BH338" s="1"/>
      <c r="BI338" s="1"/>
    </row>
    <row r="339" spans="1:61" ht="15" customHeight="1" x14ac:dyDescent="0.25">
      <c r="A339" s="2"/>
      <c r="B339" s="1"/>
      <c r="E339" s="1"/>
      <c r="F339" s="1"/>
      <c r="G339" s="1"/>
      <c r="H339" s="1"/>
      <c r="J339" s="2"/>
      <c r="K339" s="3"/>
      <c r="L339" s="1"/>
      <c r="N339" s="3"/>
      <c r="P339" s="1"/>
      <c r="Q339" s="2"/>
      <c r="R339" s="3"/>
      <c r="S339" s="4"/>
      <c r="T339" s="3"/>
      <c r="U339" s="1"/>
      <c r="V339" s="1"/>
      <c r="W339" s="3"/>
      <c r="X339" s="1"/>
      <c r="Y339" s="4"/>
      <c r="Z339" s="4"/>
      <c r="AA339" s="1"/>
      <c r="AB339" s="1"/>
      <c r="AC339" s="1"/>
      <c r="AD339" s="2"/>
      <c r="AE339" s="1"/>
      <c r="AF339" s="1"/>
      <c r="AG339" s="1"/>
      <c r="AH339" s="3"/>
      <c r="AI339" s="1"/>
      <c r="AJ339" s="1"/>
      <c r="AK339" s="1"/>
      <c r="AL339" s="1"/>
      <c r="AM339" s="1"/>
      <c r="AN339" s="2"/>
      <c r="AO339" s="1"/>
      <c r="AP339" s="1"/>
      <c r="AQ339" s="1"/>
      <c r="AR339" s="2"/>
      <c r="AS339" s="1"/>
      <c r="AT339" s="2"/>
      <c r="AU339" s="4"/>
      <c r="AV339" s="4"/>
      <c r="AW339" s="4"/>
      <c r="AX339" s="3"/>
      <c r="AY339" s="4"/>
      <c r="AZ339" s="1"/>
      <c r="BA339" s="1"/>
      <c r="BB339" s="1"/>
      <c r="BC339" s="4"/>
      <c r="BD339" s="1"/>
      <c r="BE339" s="4"/>
      <c r="BF339" s="2"/>
      <c r="BG339" s="4"/>
      <c r="BH339" s="1"/>
      <c r="BI339" s="1"/>
    </row>
    <row r="340" spans="1:61" ht="15" customHeight="1" x14ac:dyDescent="0.25">
      <c r="A340" s="2"/>
      <c r="B340" s="1"/>
      <c r="E340" s="1"/>
      <c r="F340" s="1"/>
      <c r="G340" s="1"/>
      <c r="H340" s="1"/>
      <c r="J340" s="2"/>
      <c r="K340" s="3"/>
      <c r="L340" s="1"/>
      <c r="N340" s="3"/>
      <c r="P340" s="1"/>
      <c r="Q340" s="2"/>
      <c r="R340" s="3"/>
      <c r="S340" s="4"/>
      <c r="T340" s="3"/>
      <c r="U340" s="1"/>
      <c r="V340" s="1"/>
      <c r="W340" s="3"/>
      <c r="X340" s="1"/>
      <c r="Y340" s="4"/>
      <c r="Z340" s="4"/>
      <c r="AA340" s="1"/>
      <c r="AB340" s="1"/>
      <c r="AC340" s="1"/>
      <c r="AD340" s="2"/>
      <c r="AE340" s="1"/>
      <c r="AF340" s="1"/>
      <c r="AG340" s="1"/>
      <c r="AH340" s="3"/>
      <c r="AI340" s="1"/>
      <c r="AJ340" s="1"/>
      <c r="AK340" s="1"/>
      <c r="AL340" s="1"/>
      <c r="AM340" s="1"/>
      <c r="AN340" s="2"/>
      <c r="AO340" s="1"/>
      <c r="AP340" s="1"/>
      <c r="AQ340" s="1"/>
      <c r="AR340" s="2"/>
      <c r="AS340" s="1"/>
      <c r="AT340" s="2"/>
      <c r="AU340" s="4"/>
      <c r="AV340" s="4"/>
      <c r="AW340" s="4"/>
      <c r="AX340" s="3"/>
      <c r="AY340" s="4"/>
      <c r="AZ340" s="1"/>
      <c r="BA340" s="1"/>
      <c r="BB340" s="1"/>
      <c r="BC340" s="4"/>
      <c r="BD340" s="1"/>
      <c r="BE340" s="4"/>
      <c r="BF340" s="2"/>
      <c r="BG340" s="4"/>
      <c r="BH340" s="1"/>
      <c r="BI340" s="1"/>
    </row>
    <row r="341" spans="1:61" ht="15" customHeight="1" x14ac:dyDescent="0.25">
      <c r="A341" s="2"/>
      <c r="B341" s="1"/>
      <c r="E341" s="1"/>
      <c r="F341" s="1"/>
      <c r="G341" s="1"/>
      <c r="H341" s="1"/>
      <c r="J341" s="2"/>
      <c r="K341" s="3"/>
      <c r="L341" s="1"/>
      <c r="N341" s="3"/>
      <c r="P341" s="1"/>
      <c r="Q341" s="2"/>
      <c r="R341" s="3"/>
      <c r="S341" s="4"/>
      <c r="T341" s="3"/>
      <c r="U341" s="1"/>
      <c r="V341" s="1"/>
      <c r="W341" s="3"/>
      <c r="X341" s="1"/>
      <c r="Y341" s="4"/>
      <c r="Z341" s="4"/>
      <c r="AA341" s="1"/>
      <c r="AB341" s="1"/>
      <c r="AC341" s="1"/>
      <c r="AD341" s="2"/>
      <c r="AE341" s="1"/>
      <c r="AF341" s="1"/>
      <c r="AG341" s="1"/>
      <c r="AH341" s="3"/>
      <c r="AI341" s="1"/>
      <c r="AJ341" s="1"/>
      <c r="AK341" s="1"/>
      <c r="AL341" s="1"/>
      <c r="AM341" s="1"/>
      <c r="AN341" s="2"/>
      <c r="AO341" s="1"/>
      <c r="AP341" s="1"/>
      <c r="AQ341" s="1"/>
      <c r="AR341" s="2"/>
      <c r="AS341" s="1"/>
      <c r="AT341" s="2"/>
      <c r="AU341" s="4"/>
      <c r="AV341" s="7"/>
      <c r="AW341" s="4"/>
      <c r="AX341" s="3"/>
      <c r="AY341" s="4"/>
      <c r="AZ341" s="1"/>
      <c r="BA341" s="1"/>
      <c r="BB341" s="1"/>
      <c r="BC341" s="4"/>
      <c r="BD341" s="1"/>
      <c r="BE341" s="4"/>
      <c r="BF341" s="2"/>
      <c r="BG341" s="4"/>
      <c r="BH341" s="1"/>
      <c r="BI341" s="1"/>
    </row>
    <row r="342" spans="1:61" ht="15" customHeight="1" x14ac:dyDescent="0.25">
      <c r="A342" s="2"/>
      <c r="B342" s="1"/>
      <c r="E342" s="1"/>
      <c r="F342" s="1"/>
      <c r="G342" s="1"/>
      <c r="H342" s="1"/>
      <c r="J342" s="2"/>
      <c r="K342" s="3"/>
      <c r="L342" s="1"/>
      <c r="N342" s="3"/>
      <c r="P342" s="1"/>
      <c r="Q342" s="2"/>
      <c r="R342" s="3"/>
      <c r="S342" s="4"/>
      <c r="T342" s="3"/>
      <c r="U342" s="1"/>
      <c r="V342" s="1"/>
      <c r="W342" s="3"/>
      <c r="X342" s="1"/>
      <c r="Y342" s="4"/>
      <c r="Z342" s="4"/>
      <c r="AA342" s="1"/>
      <c r="AB342" s="1"/>
      <c r="AC342" s="1"/>
      <c r="AD342" s="2"/>
      <c r="AE342" s="1"/>
      <c r="AF342" s="1"/>
      <c r="AG342" s="1"/>
      <c r="AH342" s="3"/>
      <c r="AI342" s="1"/>
      <c r="AJ342" s="1"/>
      <c r="AK342" s="1"/>
      <c r="AL342" s="1"/>
      <c r="AM342" s="1"/>
      <c r="AN342" s="2"/>
      <c r="AO342" s="1"/>
      <c r="AP342" s="1"/>
      <c r="AQ342" s="1"/>
      <c r="AR342" s="2"/>
      <c r="AS342" s="1"/>
      <c r="AT342" s="2"/>
      <c r="AU342" s="4"/>
      <c r="AV342" s="7"/>
      <c r="AW342" s="4"/>
      <c r="AX342" s="3"/>
      <c r="AY342" s="4"/>
      <c r="AZ342" s="1"/>
      <c r="BA342" s="1"/>
      <c r="BB342" s="1"/>
      <c r="BC342" s="4"/>
      <c r="BD342" s="1"/>
      <c r="BE342" s="4"/>
      <c r="BF342" s="2"/>
      <c r="BG342" s="4"/>
      <c r="BH342" s="1"/>
      <c r="BI342" s="1"/>
    </row>
    <row r="343" spans="1:61" ht="15" customHeight="1" x14ac:dyDescent="0.25">
      <c r="A343" s="2"/>
      <c r="B343" s="1"/>
      <c r="E343" s="1"/>
      <c r="F343" s="1"/>
      <c r="G343" s="1"/>
      <c r="H343" s="1"/>
      <c r="J343" s="2"/>
      <c r="K343" s="3"/>
      <c r="L343" s="1"/>
      <c r="N343" s="3"/>
      <c r="P343" s="1"/>
      <c r="Q343" s="2"/>
      <c r="R343" s="3"/>
      <c r="S343" s="4"/>
      <c r="T343" s="3"/>
      <c r="U343" s="1"/>
      <c r="V343" s="1"/>
      <c r="W343" s="3"/>
      <c r="X343" s="1"/>
      <c r="Y343" s="4"/>
      <c r="Z343" s="4"/>
      <c r="AA343" s="1"/>
      <c r="AB343" s="1"/>
      <c r="AC343" s="1"/>
      <c r="AD343" s="2"/>
      <c r="AE343" s="1"/>
      <c r="AF343" s="1"/>
      <c r="AG343" s="1"/>
      <c r="AH343" s="3"/>
      <c r="AI343" s="1"/>
      <c r="AJ343" s="1"/>
      <c r="AK343" s="1"/>
      <c r="AL343" s="1"/>
      <c r="AM343" s="1"/>
      <c r="AN343" s="2"/>
      <c r="AO343" s="1"/>
      <c r="AP343" s="1"/>
      <c r="AQ343" s="1"/>
      <c r="AR343" s="2"/>
      <c r="AS343" s="1"/>
      <c r="AT343" s="2"/>
      <c r="AU343" s="4"/>
      <c r="AV343" s="7"/>
      <c r="AW343" s="4"/>
      <c r="AX343" s="3"/>
      <c r="AY343" s="4"/>
      <c r="AZ343" s="1"/>
      <c r="BA343" s="1"/>
      <c r="BB343" s="1"/>
      <c r="BC343" s="4"/>
      <c r="BD343" s="1"/>
      <c r="BE343" s="4"/>
      <c r="BF343" s="2"/>
      <c r="BG343" s="4"/>
      <c r="BH343" s="1"/>
      <c r="BI343" s="1"/>
    </row>
    <row r="344" spans="1:61" ht="15" customHeight="1" x14ac:dyDescent="0.25">
      <c r="A344" s="2"/>
      <c r="B344" s="1"/>
      <c r="E344" s="1"/>
      <c r="F344" s="1"/>
      <c r="G344" s="1"/>
      <c r="H344" s="1"/>
      <c r="J344" s="2"/>
      <c r="K344" s="3"/>
      <c r="L344" s="1"/>
      <c r="N344" s="3"/>
      <c r="P344" s="1"/>
      <c r="Q344" s="2"/>
      <c r="R344" s="3"/>
      <c r="S344" s="4"/>
      <c r="T344" s="3"/>
      <c r="U344" s="1"/>
      <c r="V344" s="1"/>
      <c r="W344" s="3"/>
      <c r="X344" s="1"/>
      <c r="Y344" s="4"/>
      <c r="Z344" s="4"/>
      <c r="AA344" s="1"/>
      <c r="AB344" s="1"/>
      <c r="AC344" s="1"/>
      <c r="AD344" s="2"/>
      <c r="AE344" s="1"/>
      <c r="AF344" s="1"/>
      <c r="AG344" s="1"/>
      <c r="AH344" s="3"/>
      <c r="AI344" s="1"/>
      <c r="AJ344" s="1"/>
      <c r="AK344" s="1"/>
      <c r="AL344" s="1"/>
      <c r="AM344" s="1"/>
      <c r="AN344" s="2"/>
      <c r="AO344" s="1"/>
      <c r="AP344" s="1"/>
      <c r="AQ344" s="1"/>
      <c r="AR344" s="2"/>
      <c r="AS344" s="1"/>
      <c r="AT344" s="2"/>
      <c r="AU344" s="4"/>
      <c r="AV344" s="7"/>
      <c r="AW344" s="4"/>
      <c r="AX344" s="3"/>
      <c r="AY344" s="4"/>
      <c r="AZ344" s="1"/>
      <c r="BA344" s="1"/>
      <c r="BB344" s="1"/>
      <c r="BC344" s="4"/>
      <c r="BD344" s="1"/>
      <c r="BE344" s="4"/>
      <c r="BF344" s="2"/>
      <c r="BG344" s="4"/>
      <c r="BH344" s="1"/>
      <c r="BI344" s="1"/>
    </row>
    <row r="345" spans="1:61" ht="15" customHeight="1" x14ac:dyDescent="0.25">
      <c r="A345" s="2"/>
      <c r="B345" s="1"/>
      <c r="E345" s="1"/>
      <c r="F345" s="1"/>
      <c r="G345" s="1"/>
      <c r="H345" s="1"/>
      <c r="J345" s="2"/>
      <c r="K345" s="3"/>
      <c r="L345" s="1"/>
      <c r="N345" s="3"/>
      <c r="P345" s="1"/>
      <c r="Q345" s="2"/>
      <c r="R345" s="3"/>
      <c r="S345" s="4"/>
      <c r="T345" s="3"/>
      <c r="U345" s="1"/>
      <c r="V345" s="1"/>
      <c r="W345" s="3"/>
      <c r="X345" s="1"/>
      <c r="Y345" s="4"/>
      <c r="Z345" s="4"/>
      <c r="AA345" s="1"/>
      <c r="AB345" s="1"/>
      <c r="AC345" s="1"/>
      <c r="AD345" s="2"/>
      <c r="AE345" s="1"/>
      <c r="AF345" s="1"/>
      <c r="AG345" s="1"/>
      <c r="AH345" s="3"/>
      <c r="AI345" s="1"/>
      <c r="AJ345" s="1"/>
      <c r="AK345" s="1"/>
      <c r="AL345" s="1"/>
      <c r="AM345" s="1"/>
      <c r="AN345" s="2"/>
      <c r="AO345" s="1"/>
      <c r="AP345" s="1"/>
      <c r="AQ345" s="1"/>
      <c r="AR345" s="2"/>
      <c r="AS345" s="1"/>
      <c r="AT345" s="2"/>
      <c r="AU345" s="4"/>
      <c r="AV345" s="7"/>
      <c r="AW345" s="4"/>
      <c r="AX345" s="3"/>
      <c r="AY345" s="4"/>
      <c r="AZ345" s="1"/>
      <c r="BA345" s="1"/>
      <c r="BB345" s="1"/>
      <c r="BC345" s="4"/>
      <c r="BD345" s="1"/>
      <c r="BE345" s="4"/>
      <c r="BF345" s="2"/>
      <c r="BG345" s="4"/>
      <c r="BH345" s="1"/>
      <c r="BI345" s="1"/>
    </row>
    <row r="346" spans="1:61" ht="15" customHeight="1" x14ac:dyDescent="0.25">
      <c r="A346" s="2"/>
      <c r="B346" s="1"/>
      <c r="E346" s="1"/>
      <c r="F346" s="1"/>
      <c r="G346" s="1"/>
      <c r="H346" s="1"/>
      <c r="J346" s="2"/>
      <c r="K346" s="3"/>
      <c r="L346" s="1"/>
      <c r="N346" s="3"/>
      <c r="P346" s="1"/>
      <c r="Q346" s="2"/>
      <c r="R346" s="3"/>
      <c r="S346" s="4"/>
      <c r="T346" s="3"/>
      <c r="U346" s="1"/>
      <c r="V346" s="1"/>
      <c r="W346" s="3"/>
      <c r="X346" s="1"/>
      <c r="Y346" s="4"/>
      <c r="Z346" s="4"/>
      <c r="AA346" s="1"/>
      <c r="AB346" s="1"/>
      <c r="AC346" s="1"/>
      <c r="AD346" s="2"/>
      <c r="AE346" s="1"/>
      <c r="AF346" s="1"/>
      <c r="AG346" s="1"/>
      <c r="AH346" s="3"/>
      <c r="AI346" s="1"/>
      <c r="AJ346" s="1"/>
      <c r="AK346" s="1"/>
      <c r="AL346" s="1"/>
      <c r="AM346" s="1"/>
      <c r="AN346" s="2"/>
      <c r="AO346" s="1"/>
      <c r="AP346" s="1"/>
      <c r="AQ346" s="1"/>
      <c r="AR346" s="2"/>
      <c r="AS346" s="1"/>
      <c r="AT346" s="2"/>
      <c r="AU346" s="4"/>
      <c r="AV346" s="7"/>
      <c r="AW346" s="4"/>
      <c r="AX346" s="3"/>
      <c r="AY346" s="4"/>
      <c r="AZ346" s="1"/>
      <c r="BA346" s="1"/>
      <c r="BB346" s="1"/>
      <c r="BC346" s="4"/>
      <c r="BD346" s="1"/>
      <c r="BE346" s="4"/>
      <c r="BF346" s="2"/>
      <c r="BG346" s="4"/>
      <c r="BH346" s="1"/>
      <c r="BI346" s="1"/>
    </row>
    <row r="347" spans="1:61" ht="15" customHeight="1" x14ac:dyDescent="0.25">
      <c r="A347" s="2"/>
      <c r="B347" s="1"/>
      <c r="E347" s="1"/>
      <c r="F347" s="1"/>
      <c r="G347" s="1"/>
      <c r="H347" s="1"/>
      <c r="J347" s="2"/>
      <c r="K347" s="3"/>
      <c r="L347" s="1"/>
      <c r="N347" s="3"/>
      <c r="P347" s="1"/>
      <c r="Q347" s="2"/>
      <c r="R347" s="3"/>
      <c r="S347" s="4"/>
      <c r="T347" s="3"/>
      <c r="U347" s="1"/>
      <c r="V347" s="1"/>
      <c r="W347" s="3"/>
      <c r="X347" s="1"/>
      <c r="Y347" s="4"/>
      <c r="Z347" s="4"/>
      <c r="AA347" s="1"/>
      <c r="AB347" s="1"/>
      <c r="AC347" s="1"/>
      <c r="AD347" s="2"/>
      <c r="AE347" s="1"/>
      <c r="AF347" s="1"/>
      <c r="AG347" s="1"/>
      <c r="AH347" s="3"/>
      <c r="AI347" s="1"/>
      <c r="AJ347" s="1"/>
      <c r="AK347" s="1"/>
      <c r="AL347" s="1"/>
      <c r="AM347" s="1"/>
      <c r="AN347" s="2"/>
      <c r="AO347" s="1"/>
      <c r="AP347" s="1"/>
      <c r="AQ347" s="1"/>
      <c r="AR347" s="2"/>
      <c r="AS347" s="1"/>
      <c r="AT347" s="2"/>
      <c r="AU347" s="4"/>
      <c r="AV347" s="7"/>
      <c r="AW347" s="4"/>
      <c r="AX347" s="3"/>
      <c r="AY347" s="4"/>
      <c r="AZ347" s="1"/>
      <c r="BA347" s="1"/>
      <c r="BB347" s="1"/>
      <c r="BC347" s="4"/>
      <c r="BD347" s="1"/>
      <c r="BE347" s="4"/>
      <c r="BF347" s="2"/>
      <c r="BG347" s="4"/>
      <c r="BH347" s="1"/>
      <c r="BI347" s="1"/>
    </row>
    <row r="348" spans="1:61" ht="15" customHeight="1" x14ac:dyDescent="0.25">
      <c r="A348" s="2"/>
      <c r="B348" s="1"/>
      <c r="E348" s="1"/>
      <c r="F348" s="1"/>
      <c r="G348" s="1"/>
      <c r="H348" s="1"/>
      <c r="J348" s="2"/>
      <c r="K348" s="3"/>
      <c r="L348" s="1"/>
      <c r="N348" s="3"/>
      <c r="P348" s="1"/>
      <c r="Q348" s="2"/>
      <c r="R348" s="3"/>
      <c r="S348" s="4"/>
      <c r="T348" s="3"/>
      <c r="U348" s="1"/>
      <c r="V348" s="1"/>
      <c r="W348" s="3"/>
      <c r="X348" s="1"/>
      <c r="Y348" s="4"/>
      <c r="Z348" s="4"/>
      <c r="AA348" s="1"/>
      <c r="AB348" s="1"/>
      <c r="AC348" s="1"/>
      <c r="AD348" s="2"/>
      <c r="AE348" s="1"/>
      <c r="AF348" s="1"/>
      <c r="AG348" s="1"/>
      <c r="AH348" s="3"/>
      <c r="AI348" s="1"/>
      <c r="AJ348" s="1"/>
      <c r="AK348" s="1"/>
      <c r="AL348" s="1"/>
      <c r="AM348" s="1"/>
      <c r="AN348" s="2"/>
      <c r="AO348" s="1"/>
      <c r="AP348" s="1"/>
      <c r="AQ348" s="1"/>
      <c r="AR348" s="2"/>
      <c r="AS348" s="1"/>
      <c r="AT348" s="2"/>
      <c r="AU348" s="4"/>
      <c r="AV348" s="7"/>
      <c r="AW348" s="4"/>
      <c r="AX348" s="3"/>
      <c r="AY348" s="4"/>
      <c r="AZ348" s="1"/>
      <c r="BA348" s="1"/>
      <c r="BB348" s="1"/>
      <c r="BC348" s="4"/>
      <c r="BD348" s="1"/>
      <c r="BE348" s="4"/>
      <c r="BF348" s="2"/>
      <c r="BG348" s="4"/>
      <c r="BH348" s="1"/>
      <c r="BI348" s="1"/>
    </row>
    <row r="349" spans="1:61" ht="15" customHeight="1" x14ac:dyDescent="0.25">
      <c r="A349" s="2"/>
      <c r="B349" s="1"/>
      <c r="E349" s="1"/>
      <c r="F349" s="1"/>
      <c r="G349" s="1"/>
      <c r="H349" s="1"/>
      <c r="J349" s="2"/>
      <c r="K349" s="3"/>
      <c r="L349" s="1"/>
      <c r="N349" s="3"/>
      <c r="P349" s="1"/>
      <c r="Q349" s="2"/>
      <c r="R349" s="3"/>
      <c r="S349" s="4"/>
      <c r="T349" s="3"/>
      <c r="U349" s="1"/>
      <c r="V349" s="1"/>
      <c r="W349" s="3"/>
      <c r="X349" s="1"/>
      <c r="Y349" s="4"/>
      <c r="Z349" s="4"/>
      <c r="AA349" s="1"/>
      <c r="AB349" s="1"/>
      <c r="AC349" s="1"/>
      <c r="AD349" s="2"/>
      <c r="AE349" s="1"/>
      <c r="AF349" s="1"/>
      <c r="AG349" s="1"/>
      <c r="AH349" s="3"/>
      <c r="AI349" s="1"/>
      <c r="AJ349" s="1"/>
      <c r="AK349" s="1"/>
      <c r="AL349" s="1"/>
      <c r="AM349" s="1"/>
      <c r="AN349" s="2"/>
      <c r="AO349" s="1"/>
      <c r="AP349" s="1"/>
      <c r="AQ349" s="1"/>
      <c r="AR349" s="2"/>
      <c r="AS349" s="1"/>
      <c r="AT349" s="2"/>
      <c r="AU349" s="4"/>
      <c r="AV349" s="7"/>
      <c r="AW349" s="4"/>
      <c r="AX349" s="3"/>
      <c r="AY349" s="4"/>
      <c r="AZ349" s="1"/>
      <c r="BA349" s="1"/>
      <c r="BB349" s="1"/>
      <c r="BC349" s="4"/>
      <c r="BD349" s="1"/>
      <c r="BE349" s="4"/>
      <c r="BF349" s="2"/>
      <c r="BG349" s="4"/>
      <c r="BH349" s="1"/>
      <c r="BI349" s="1"/>
    </row>
    <row r="350" spans="1:61" ht="15" customHeight="1" x14ac:dyDescent="0.25">
      <c r="A350" s="2"/>
      <c r="B350" s="1"/>
      <c r="E350" s="1"/>
      <c r="F350" s="1"/>
      <c r="G350" s="1"/>
      <c r="H350" s="1"/>
      <c r="J350" s="2"/>
      <c r="K350" s="3"/>
      <c r="L350" s="1"/>
      <c r="N350" s="3"/>
      <c r="P350" s="1"/>
      <c r="Q350" s="2"/>
      <c r="R350" s="3"/>
      <c r="S350" s="4"/>
      <c r="T350" s="3"/>
      <c r="U350" s="1"/>
      <c r="V350" s="1"/>
      <c r="W350" s="3"/>
      <c r="X350" s="1"/>
      <c r="Y350" s="4"/>
      <c r="Z350" s="4"/>
      <c r="AA350" s="1"/>
      <c r="AB350" s="1"/>
      <c r="AC350" s="1"/>
      <c r="AD350" s="2"/>
      <c r="AE350" s="1"/>
      <c r="AF350" s="1"/>
      <c r="AG350" s="1"/>
      <c r="AH350" s="3"/>
      <c r="AI350" s="1"/>
      <c r="AJ350" s="1"/>
      <c r="AK350" s="1"/>
      <c r="AL350" s="1"/>
      <c r="AM350" s="1"/>
      <c r="AN350" s="2"/>
      <c r="AO350" s="1"/>
      <c r="AP350" s="1"/>
      <c r="AQ350" s="1"/>
      <c r="AR350" s="2"/>
      <c r="AS350" s="1"/>
      <c r="AT350" s="2"/>
      <c r="AU350" s="4"/>
      <c r="AV350" s="7"/>
      <c r="AW350" s="4"/>
      <c r="AX350" s="3"/>
      <c r="AY350" s="4"/>
      <c r="AZ350" s="1"/>
      <c r="BA350" s="1"/>
      <c r="BB350" s="1"/>
      <c r="BC350" s="4"/>
      <c r="BD350" s="1"/>
      <c r="BE350" s="4"/>
      <c r="BF350" s="2"/>
      <c r="BG350" s="4"/>
      <c r="BH350" s="1"/>
      <c r="BI350" s="1"/>
    </row>
    <row r="351" spans="1:61" ht="15" customHeight="1" x14ac:dyDescent="0.25">
      <c r="A351" s="2"/>
      <c r="B351" s="1"/>
      <c r="E351" s="1"/>
      <c r="F351" s="1"/>
      <c r="G351" s="1"/>
      <c r="H351" s="1"/>
      <c r="J351" s="2"/>
      <c r="K351" s="3"/>
      <c r="L351" s="1"/>
      <c r="N351" s="3"/>
      <c r="P351" s="1"/>
      <c r="Q351" s="2"/>
      <c r="R351" s="3"/>
      <c r="S351" s="4"/>
      <c r="T351" s="3"/>
      <c r="U351" s="1"/>
      <c r="V351" s="1"/>
      <c r="W351" s="3"/>
      <c r="X351" s="1"/>
      <c r="Y351" s="4"/>
      <c r="Z351" s="4"/>
      <c r="AA351" s="1"/>
      <c r="AB351" s="1"/>
      <c r="AC351" s="1"/>
      <c r="AD351" s="2"/>
      <c r="AE351" s="1"/>
      <c r="AF351" s="1"/>
      <c r="AG351" s="1"/>
      <c r="AH351" s="3"/>
      <c r="AI351" s="1"/>
      <c r="AJ351" s="1"/>
      <c r="AK351" s="1"/>
      <c r="AL351" s="1"/>
      <c r="AM351" s="1"/>
      <c r="AN351" s="2"/>
      <c r="AO351" s="1"/>
      <c r="AP351" s="1"/>
      <c r="AQ351" s="1"/>
      <c r="AR351" s="2"/>
      <c r="AS351" s="1"/>
      <c r="AT351" s="2"/>
      <c r="AU351" s="4"/>
      <c r="AV351" s="7"/>
      <c r="AW351" s="4"/>
      <c r="AX351" s="3"/>
      <c r="AY351" s="4"/>
      <c r="AZ351" s="1"/>
      <c r="BA351" s="1"/>
      <c r="BB351" s="1"/>
      <c r="BC351" s="4"/>
      <c r="BD351" s="1"/>
      <c r="BE351" s="4"/>
      <c r="BF351" s="2"/>
      <c r="BG351" s="4"/>
      <c r="BH351" s="1"/>
      <c r="BI351" s="1"/>
    </row>
    <row r="352" spans="1:61" ht="15" customHeight="1" x14ac:dyDescent="0.25">
      <c r="A352" s="2"/>
      <c r="B352" s="1"/>
      <c r="E352" s="1"/>
      <c r="F352" s="1"/>
      <c r="G352" s="1"/>
      <c r="H352" s="1"/>
      <c r="J352" s="2"/>
      <c r="K352" s="3"/>
      <c r="L352" s="1"/>
      <c r="N352" s="3"/>
      <c r="P352" s="1"/>
      <c r="Q352" s="2"/>
      <c r="R352" s="3"/>
      <c r="S352" s="4"/>
      <c r="T352" s="3"/>
      <c r="U352" s="1"/>
      <c r="V352" s="1"/>
      <c r="W352" s="3"/>
      <c r="X352" s="1"/>
      <c r="Y352" s="4"/>
      <c r="Z352" s="4"/>
      <c r="AA352" s="1"/>
      <c r="AB352" s="1"/>
      <c r="AC352" s="1"/>
      <c r="AD352" s="2"/>
      <c r="AE352" s="1"/>
      <c r="AF352" s="1"/>
      <c r="AG352" s="1"/>
      <c r="AH352" s="3"/>
      <c r="AI352" s="1"/>
      <c r="AJ352" s="1"/>
      <c r="AK352" s="1"/>
      <c r="AL352" s="1"/>
      <c r="AM352" s="1"/>
      <c r="AN352" s="2"/>
      <c r="AO352" s="1"/>
      <c r="AP352" s="1"/>
      <c r="AQ352" s="1"/>
      <c r="AR352" s="2"/>
      <c r="AS352" s="1"/>
      <c r="AT352" s="2"/>
      <c r="AU352" s="4"/>
      <c r="AV352" s="7"/>
      <c r="AW352" s="4"/>
      <c r="AX352" s="3"/>
      <c r="AY352" s="4"/>
      <c r="AZ352" s="1"/>
      <c r="BA352" s="1"/>
      <c r="BB352" s="1"/>
      <c r="BC352" s="4"/>
      <c r="BD352" s="1"/>
      <c r="BE352" s="4"/>
      <c r="BF352" s="2"/>
      <c r="BG352" s="4"/>
      <c r="BH352" s="1"/>
      <c r="BI352" s="1"/>
    </row>
    <row r="353" spans="1:61" ht="15" customHeight="1" x14ac:dyDescent="0.25">
      <c r="A353" s="2"/>
      <c r="B353" s="1"/>
      <c r="E353" s="1"/>
      <c r="F353" s="1"/>
      <c r="G353" s="1"/>
      <c r="H353" s="1"/>
      <c r="J353" s="2"/>
      <c r="K353" s="3"/>
      <c r="L353" s="1"/>
      <c r="N353" s="3"/>
      <c r="P353" s="1"/>
      <c r="Q353" s="2"/>
      <c r="R353" s="3"/>
      <c r="S353" s="4"/>
      <c r="T353" s="3"/>
      <c r="U353" s="1"/>
      <c r="V353" s="1"/>
      <c r="W353" s="3"/>
      <c r="X353" s="1"/>
      <c r="Y353" s="4"/>
      <c r="Z353" s="4"/>
      <c r="AA353" s="1"/>
      <c r="AB353" s="1"/>
      <c r="AC353" s="1"/>
      <c r="AD353" s="2"/>
      <c r="AE353" s="1"/>
      <c r="AF353" s="1"/>
      <c r="AG353" s="1"/>
      <c r="AH353" s="3"/>
      <c r="AI353" s="1"/>
      <c r="AJ353" s="1"/>
      <c r="AK353" s="1"/>
      <c r="AL353" s="1"/>
      <c r="AM353" s="1"/>
      <c r="AN353" s="2"/>
      <c r="AO353" s="1"/>
      <c r="AP353" s="1"/>
      <c r="AQ353" s="1"/>
      <c r="AR353" s="2"/>
      <c r="AS353" s="1"/>
      <c r="AT353" s="2"/>
      <c r="AU353" s="4"/>
      <c r="AV353" s="7"/>
      <c r="AW353" s="4"/>
      <c r="AX353" s="3"/>
      <c r="AY353" s="4"/>
      <c r="AZ353" s="1"/>
      <c r="BA353" s="1"/>
      <c r="BB353" s="1"/>
      <c r="BC353" s="4"/>
      <c r="BD353" s="1"/>
      <c r="BE353" s="4"/>
      <c r="BF353" s="2"/>
      <c r="BG353" s="4"/>
      <c r="BH353" s="1"/>
      <c r="BI353" s="1"/>
    </row>
    <row r="354" spans="1:61" ht="15" customHeight="1" x14ac:dyDescent="0.25">
      <c r="A354" s="2"/>
      <c r="B354" s="1"/>
      <c r="E354" s="1"/>
      <c r="F354" s="1"/>
      <c r="G354" s="1"/>
      <c r="H354" s="1"/>
      <c r="J354" s="2"/>
      <c r="K354" s="3"/>
      <c r="L354" s="1"/>
      <c r="N354" s="3"/>
      <c r="P354" s="1"/>
      <c r="Q354" s="2"/>
      <c r="R354" s="3"/>
      <c r="S354" s="4"/>
      <c r="T354" s="3"/>
      <c r="U354" s="1"/>
      <c r="V354" s="1"/>
      <c r="W354" s="3"/>
      <c r="X354" s="1"/>
      <c r="Y354" s="4"/>
      <c r="Z354" s="4"/>
      <c r="AA354" s="1"/>
      <c r="AB354" s="1"/>
      <c r="AC354" s="1"/>
      <c r="AD354" s="2"/>
      <c r="AE354" s="1"/>
      <c r="AF354" s="1"/>
      <c r="AG354" s="1"/>
      <c r="AH354" s="3"/>
      <c r="AI354" s="1"/>
      <c r="AJ354" s="1"/>
      <c r="AK354" s="1"/>
      <c r="AL354" s="1"/>
      <c r="AM354" s="1"/>
      <c r="AN354" s="2"/>
      <c r="AO354" s="1"/>
      <c r="AP354" s="1"/>
      <c r="AQ354" s="1"/>
      <c r="AR354" s="2"/>
      <c r="AS354" s="1"/>
      <c r="AT354" s="2"/>
      <c r="AU354" s="4"/>
      <c r="AV354" s="7"/>
      <c r="AW354" s="4"/>
      <c r="AX354" s="3"/>
      <c r="AY354" s="4"/>
      <c r="AZ354" s="1"/>
      <c r="BA354" s="1"/>
      <c r="BB354" s="1"/>
      <c r="BC354" s="4"/>
      <c r="BD354" s="1"/>
      <c r="BE354" s="4"/>
      <c r="BF354" s="2"/>
      <c r="BG354" s="4"/>
      <c r="BH354" s="1"/>
      <c r="BI354" s="1"/>
    </row>
    <row r="355" spans="1:61" ht="15" customHeight="1" x14ac:dyDescent="0.25">
      <c r="A355" s="2"/>
      <c r="B355" s="1"/>
      <c r="E355" s="1"/>
      <c r="F355" s="1"/>
      <c r="G355" s="1"/>
      <c r="H355" s="1"/>
      <c r="J355" s="2"/>
      <c r="K355" s="3"/>
      <c r="L355" s="1"/>
      <c r="N355" s="3"/>
      <c r="P355" s="1"/>
      <c r="Q355" s="2"/>
      <c r="R355" s="3"/>
      <c r="S355" s="4"/>
      <c r="T355" s="3"/>
      <c r="U355" s="1"/>
      <c r="V355" s="1"/>
      <c r="W355" s="3"/>
      <c r="X355" s="1"/>
      <c r="Y355" s="4"/>
      <c r="Z355" s="4"/>
      <c r="AA355" s="1"/>
      <c r="AB355" s="1"/>
      <c r="AC355" s="1"/>
      <c r="AD355" s="2"/>
      <c r="AE355" s="1"/>
      <c r="AF355" s="1"/>
      <c r="AG355" s="1"/>
      <c r="AH355" s="3"/>
      <c r="AI355" s="1"/>
      <c r="AJ355" s="1"/>
      <c r="AK355" s="1"/>
      <c r="AL355" s="1"/>
      <c r="AM355" s="1"/>
      <c r="AN355" s="2"/>
      <c r="AO355" s="1"/>
      <c r="AP355" s="1"/>
      <c r="AQ355" s="1"/>
      <c r="AR355" s="2"/>
      <c r="AS355" s="1"/>
      <c r="AT355" s="2"/>
      <c r="AU355" s="4"/>
      <c r="AV355" s="7"/>
      <c r="AW355" s="4"/>
      <c r="AX355" s="3"/>
      <c r="AY355" s="4"/>
      <c r="AZ355" s="1"/>
      <c r="BA355" s="1"/>
      <c r="BB355" s="1"/>
      <c r="BC355" s="4"/>
      <c r="BD355" s="1"/>
      <c r="BE355" s="4"/>
      <c r="BF355" s="2"/>
      <c r="BG355" s="4"/>
      <c r="BH355" s="1"/>
      <c r="BI355" s="1"/>
    </row>
    <row r="356" spans="1:61" ht="15" customHeight="1" x14ac:dyDescent="0.25">
      <c r="A356" s="2"/>
      <c r="B356" s="1"/>
      <c r="E356" s="1"/>
      <c r="F356" s="1"/>
      <c r="G356" s="1"/>
      <c r="H356" s="1"/>
      <c r="J356" s="2"/>
      <c r="K356" s="3"/>
      <c r="L356" s="1"/>
      <c r="N356" s="3"/>
      <c r="P356" s="1"/>
      <c r="Q356" s="2"/>
      <c r="R356" s="3"/>
      <c r="S356" s="4"/>
      <c r="T356" s="3"/>
      <c r="U356" s="1"/>
      <c r="V356" s="1"/>
      <c r="W356" s="3"/>
      <c r="X356" s="1"/>
      <c r="Y356" s="4"/>
      <c r="Z356" s="4"/>
      <c r="AA356" s="1"/>
      <c r="AB356" s="1"/>
      <c r="AC356" s="1"/>
      <c r="AD356" s="2"/>
      <c r="AE356" s="1"/>
      <c r="AF356" s="1"/>
      <c r="AG356" s="1"/>
      <c r="AH356" s="3"/>
      <c r="AI356" s="1"/>
      <c r="AJ356" s="1"/>
      <c r="AK356" s="1"/>
      <c r="AL356" s="1"/>
      <c r="AM356" s="1"/>
      <c r="AN356" s="2"/>
      <c r="AO356" s="1"/>
      <c r="AP356" s="1"/>
      <c r="AQ356" s="1"/>
      <c r="AR356" s="2"/>
      <c r="AS356" s="1"/>
      <c r="AT356" s="2"/>
      <c r="AU356" s="4"/>
      <c r="AV356" s="7"/>
      <c r="AW356" s="4"/>
      <c r="AX356" s="3"/>
      <c r="AY356" s="4"/>
      <c r="AZ356" s="1"/>
      <c r="BA356" s="1"/>
      <c r="BB356" s="1"/>
      <c r="BC356" s="4"/>
      <c r="BD356" s="1"/>
      <c r="BE356" s="4"/>
      <c r="BF356" s="2"/>
      <c r="BG356" s="4"/>
      <c r="BH356" s="1"/>
      <c r="BI356" s="1"/>
    </row>
    <row r="357" spans="1:61" ht="15" customHeight="1" x14ac:dyDescent="0.25">
      <c r="A357" s="2"/>
      <c r="B357" s="1"/>
      <c r="E357" s="1"/>
      <c r="F357" s="1"/>
      <c r="G357" s="1"/>
      <c r="H357" s="1"/>
      <c r="J357" s="2"/>
      <c r="K357" s="3"/>
      <c r="L357" s="1"/>
      <c r="N357" s="3"/>
      <c r="P357" s="1"/>
      <c r="Q357" s="2"/>
      <c r="R357" s="3"/>
      <c r="S357" s="4"/>
      <c r="T357" s="3"/>
      <c r="U357" s="1"/>
      <c r="V357" s="1"/>
      <c r="W357" s="3"/>
      <c r="X357" s="1"/>
      <c r="Y357" s="4"/>
      <c r="Z357" s="4"/>
      <c r="AA357" s="1"/>
      <c r="AB357" s="1"/>
      <c r="AC357" s="1"/>
      <c r="AD357" s="2"/>
      <c r="AE357" s="1"/>
      <c r="AF357" s="1"/>
      <c r="AG357" s="1"/>
      <c r="AH357" s="3"/>
      <c r="AI357" s="1"/>
      <c r="AJ357" s="1"/>
      <c r="AK357" s="1"/>
      <c r="AL357" s="1"/>
      <c r="AM357" s="1"/>
      <c r="AN357" s="2"/>
      <c r="AO357" s="1"/>
      <c r="AP357" s="1"/>
      <c r="AQ357" s="1"/>
      <c r="AR357" s="2"/>
      <c r="AS357" s="1"/>
      <c r="AT357" s="2"/>
      <c r="AU357" s="4"/>
      <c r="AV357" s="7"/>
      <c r="AW357" s="4"/>
      <c r="AX357" s="3"/>
      <c r="AY357" s="4"/>
      <c r="AZ357" s="1"/>
      <c r="BA357" s="1"/>
      <c r="BB357" s="1"/>
      <c r="BC357" s="4"/>
      <c r="BD357" s="1"/>
      <c r="BE357" s="4"/>
      <c r="BF357" s="2"/>
      <c r="BG357" s="4"/>
      <c r="BH357" s="1"/>
      <c r="BI357" s="1"/>
    </row>
    <row r="358" spans="1:61" ht="15" customHeight="1" x14ac:dyDescent="0.25">
      <c r="A358" s="2"/>
      <c r="B358" s="1"/>
      <c r="E358" s="1"/>
      <c r="F358" s="1"/>
      <c r="G358" s="1"/>
      <c r="H358" s="1"/>
      <c r="J358" s="2"/>
      <c r="K358" s="3"/>
      <c r="L358" s="1"/>
      <c r="N358" s="3"/>
      <c r="P358" s="1"/>
      <c r="Q358" s="2"/>
      <c r="R358" s="3"/>
      <c r="S358" s="4"/>
      <c r="T358" s="3"/>
      <c r="U358" s="1"/>
      <c r="V358" s="1"/>
      <c r="W358" s="3"/>
      <c r="X358" s="1"/>
      <c r="Y358" s="4"/>
      <c r="Z358" s="4"/>
      <c r="AA358" s="1"/>
      <c r="AB358" s="1"/>
      <c r="AC358" s="1"/>
      <c r="AD358" s="2"/>
      <c r="AE358" s="1"/>
      <c r="AF358" s="1"/>
      <c r="AG358" s="1"/>
      <c r="AH358" s="3"/>
      <c r="AI358" s="1"/>
      <c r="AJ358" s="1"/>
      <c r="AK358" s="1"/>
      <c r="AL358" s="1"/>
      <c r="AM358" s="1"/>
      <c r="AN358" s="2"/>
      <c r="AO358" s="1"/>
      <c r="AP358" s="1"/>
      <c r="AQ358" s="1"/>
      <c r="AR358" s="2"/>
      <c r="AS358" s="1"/>
      <c r="AT358" s="2"/>
      <c r="AU358" s="4"/>
      <c r="AV358" s="7"/>
      <c r="AW358" s="4"/>
      <c r="AX358" s="3"/>
      <c r="AY358" s="4"/>
      <c r="AZ358" s="1"/>
      <c r="BA358" s="1"/>
      <c r="BB358" s="1"/>
      <c r="BC358" s="4"/>
      <c r="BD358" s="1"/>
      <c r="BE358" s="4"/>
      <c r="BF358" s="2"/>
      <c r="BG358" s="4"/>
      <c r="BH358" s="1"/>
      <c r="BI358" s="1"/>
    </row>
    <row r="359" spans="1:61" ht="15" customHeight="1" x14ac:dyDescent="0.25">
      <c r="A359" s="2"/>
      <c r="B359" s="1"/>
      <c r="E359" s="1"/>
      <c r="F359" s="1"/>
      <c r="G359" s="1"/>
      <c r="H359" s="1"/>
      <c r="J359" s="2"/>
      <c r="K359" s="3"/>
      <c r="L359" s="1"/>
      <c r="N359" s="3"/>
      <c r="P359" s="1"/>
      <c r="Q359" s="2"/>
      <c r="R359" s="3"/>
      <c r="S359" s="4"/>
      <c r="T359" s="3"/>
      <c r="U359" s="1"/>
      <c r="V359" s="1"/>
      <c r="W359" s="3"/>
      <c r="X359" s="1"/>
      <c r="Y359" s="4"/>
      <c r="Z359" s="4"/>
      <c r="AA359" s="1"/>
      <c r="AB359" s="1"/>
      <c r="AC359" s="1"/>
      <c r="AD359" s="2"/>
      <c r="AE359" s="1"/>
      <c r="AF359" s="1"/>
      <c r="AG359" s="1"/>
      <c r="AH359" s="3"/>
      <c r="AI359" s="1"/>
      <c r="AJ359" s="1"/>
      <c r="AK359" s="1"/>
      <c r="AL359" s="1"/>
      <c r="AM359" s="1"/>
      <c r="AN359" s="2"/>
      <c r="AO359" s="1"/>
      <c r="AP359" s="1"/>
      <c r="AQ359" s="1"/>
      <c r="AR359" s="2"/>
      <c r="AS359" s="1"/>
      <c r="AT359" s="2"/>
      <c r="AU359" s="4"/>
      <c r="AV359" s="7"/>
      <c r="AW359" s="4"/>
      <c r="AX359" s="3"/>
      <c r="AY359" s="4"/>
      <c r="AZ359" s="1"/>
      <c r="BA359" s="1"/>
      <c r="BB359" s="1"/>
      <c r="BC359" s="4"/>
      <c r="BD359" s="1"/>
      <c r="BE359" s="4"/>
      <c r="BF359" s="2"/>
      <c r="BG359" s="4"/>
      <c r="BH359" s="1"/>
      <c r="BI359" s="1"/>
    </row>
    <row r="360" spans="1:61" ht="15" customHeight="1" x14ac:dyDescent="0.25">
      <c r="A360" s="2"/>
      <c r="B360" s="1"/>
      <c r="E360" s="1"/>
      <c r="F360" s="1"/>
      <c r="G360" s="1"/>
      <c r="H360" s="1"/>
      <c r="J360" s="2"/>
      <c r="K360" s="3"/>
      <c r="L360" s="1"/>
      <c r="N360" s="3"/>
      <c r="P360" s="1"/>
      <c r="Q360" s="2"/>
      <c r="R360" s="3"/>
      <c r="S360" s="4"/>
      <c r="T360" s="3"/>
      <c r="U360" s="1"/>
      <c r="V360" s="1"/>
      <c r="W360" s="3"/>
      <c r="X360" s="1"/>
      <c r="Y360" s="4"/>
      <c r="Z360" s="4"/>
      <c r="AA360" s="1"/>
      <c r="AB360" s="1"/>
      <c r="AC360" s="1"/>
      <c r="AD360" s="2"/>
      <c r="AE360" s="1"/>
      <c r="AF360" s="1"/>
      <c r="AG360" s="1"/>
      <c r="AH360" s="3"/>
      <c r="AI360" s="1"/>
      <c r="AJ360" s="1"/>
      <c r="AK360" s="1"/>
      <c r="AL360" s="1"/>
      <c r="AM360" s="1"/>
      <c r="AN360" s="2"/>
      <c r="AO360" s="1"/>
      <c r="AP360" s="1"/>
      <c r="AQ360" s="1"/>
      <c r="AR360" s="2"/>
      <c r="AS360" s="1"/>
      <c r="AT360" s="2"/>
      <c r="AU360" s="4"/>
      <c r="AV360" s="7"/>
      <c r="AW360" s="4"/>
      <c r="AX360" s="3"/>
      <c r="AY360" s="4"/>
      <c r="AZ360" s="1"/>
      <c r="BA360" s="1"/>
      <c r="BB360" s="1"/>
      <c r="BC360" s="4"/>
      <c r="BD360" s="1"/>
      <c r="BE360" s="4"/>
      <c r="BF360" s="2"/>
      <c r="BG360" s="4"/>
      <c r="BH360" s="1"/>
      <c r="BI360" s="1"/>
    </row>
    <row r="361" spans="1:61" ht="15" customHeight="1" x14ac:dyDescent="0.25">
      <c r="A361" s="2"/>
      <c r="B361" s="1"/>
      <c r="E361" s="1"/>
      <c r="F361" s="1"/>
      <c r="G361" s="1"/>
      <c r="H361" s="1"/>
      <c r="J361" s="2"/>
      <c r="K361" s="3"/>
      <c r="L361" s="1"/>
      <c r="N361" s="3"/>
      <c r="P361" s="1"/>
      <c r="Q361" s="2"/>
      <c r="R361" s="3"/>
      <c r="S361" s="4"/>
      <c r="T361" s="3"/>
      <c r="U361" s="1"/>
      <c r="V361" s="1"/>
      <c r="W361" s="3"/>
      <c r="X361" s="1"/>
      <c r="Y361" s="4"/>
      <c r="Z361" s="4"/>
      <c r="AA361" s="1"/>
      <c r="AB361" s="1"/>
      <c r="AC361" s="1"/>
      <c r="AD361" s="2"/>
      <c r="AE361" s="1"/>
      <c r="AF361" s="1"/>
      <c r="AG361" s="1"/>
      <c r="AH361" s="3"/>
      <c r="AI361" s="1"/>
      <c r="AJ361" s="1"/>
      <c r="AK361" s="1"/>
      <c r="AL361" s="1"/>
      <c r="AM361" s="1"/>
      <c r="AN361" s="2"/>
      <c r="AO361" s="1"/>
      <c r="AP361" s="1"/>
      <c r="AQ361" s="1"/>
      <c r="AR361" s="2"/>
      <c r="AS361" s="1"/>
      <c r="AT361" s="2"/>
      <c r="AU361" s="4"/>
      <c r="AV361" s="7"/>
      <c r="AW361" s="4"/>
      <c r="AX361" s="3"/>
      <c r="AY361" s="4"/>
      <c r="AZ361" s="1"/>
      <c r="BA361" s="1"/>
      <c r="BB361" s="1"/>
      <c r="BC361" s="4"/>
      <c r="BD361" s="1"/>
      <c r="BE361" s="4"/>
      <c r="BF361" s="2"/>
      <c r="BG361" s="4"/>
      <c r="BH361" s="1"/>
      <c r="BI361" s="1"/>
    </row>
    <row r="362" spans="1:61" ht="15" customHeight="1" x14ac:dyDescent="0.25">
      <c r="A362" s="2"/>
      <c r="B362" s="1"/>
      <c r="E362" s="1"/>
      <c r="F362" s="1"/>
      <c r="G362" s="1"/>
      <c r="H362" s="1"/>
      <c r="J362" s="2"/>
      <c r="K362" s="3"/>
      <c r="L362" s="1"/>
      <c r="N362" s="3"/>
      <c r="P362" s="1"/>
      <c r="Q362" s="2"/>
      <c r="R362" s="3"/>
      <c r="S362" s="4"/>
      <c r="T362" s="3"/>
      <c r="U362" s="1"/>
      <c r="V362" s="1"/>
      <c r="W362" s="3"/>
      <c r="X362" s="1"/>
      <c r="Y362" s="4"/>
      <c r="Z362" s="4"/>
      <c r="AA362" s="1"/>
      <c r="AB362" s="1"/>
      <c r="AC362" s="1"/>
      <c r="AD362" s="2"/>
      <c r="AE362" s="1"/>
      <c r="AF362" s="1"/>
      <c r="AG362" s="1"/>
      <c r="AH362" s="3"/>
      <c r="AI362" s="1"/>
      <c r="AJ362" s="1"/>
      <c r="AK362" s="1"/>
      <c r="AL362" s="1"/>
      <c r="AM362" s="1"/>
      <c r="AN362" s="2"/>
      <c r="AO362" s="1"/>
      <c r="AP362" s="1"/>
      <c r="AQ362" s="1"/>
      <c r="AR362" s="2"/>
      <c r="AS362" s="1"/>
      <c r="AT362" s="2"/>
      <c r="AU362" s="4"/>
      <c r="AV362" s="7"/>
      <c r="AW362" s="4"/>
      <c r="AX362" s="3"/>
      <c r="AY362" s="4"/>
      <c r="AZ362" s="1"/>
      <c r="BA362" s="1"/>
      <c r="BB362" s="1"/>
      <c r="BC362" s="4"/>
      <c r="BD362" s="1"/>
      <c r="BE362" s="4"/>
      <c r="BF362" s="2"/>
      <c r="BG362" s="4"/>
      <c r="BH362" s="1"/>
      <c r="BI362" s="1"/>
    </row>
    <row r="363" spans="1:61" ht="15" customHeight="1" x14ac:dyDescent="0.25">
      <c r="A363" s="2"/>
      <c r="B363" s="1"/>
      <c r="E363" s="1"/>
      <c r="F363" s="1"/>
      <c r="G363" s="1"/>
      <c r="H363" s="1"/>
      <c r="J363" s="2"/>
      <c r="K363" s="3"/>
      <c r="L363" s="1"/>
      <c r="N363" s="3"/>
      <c r="P363" s="1"/>
      <c r="Q363" s="2"/>
      <c r="R363" s="3"/>
      <c r="S363" s="4"/>
      <c r="T363" s="3"/>
      <c r="U363" s="1"/>
      <c r="V363" s="1"/>
      <c r="W363" s="3"/>
      <c r="X363" s="1"/>
      <c r="Y363" s="4"/>
      <c r="Z363" s="4"/>
      <c r="AA363" s="1"/>
      <c r="AB363" s="1"/>
      <c r="AC363" s="1"/>
      <c r="AD363" s="2"/>
      <c r="AE363" s="1"/>
      <c r="AF363" s="1"/>
      <c r="AG363" s="1"/>
      <c r="AH363" s="3"/>
      <c r="AI363" s="1"/>
      <c r="AJ363" s="1"/>
      <c r="AK363" s="1"/>
      <c r="AL363" s="1"/>
      <c r="AM363" s="1"/>
      <c r="AN363" s="2"/>
      <c r="AO363" s="1"/>
      <c r="AP363" s="1"/>
      <c r="AQ363" s="1"/>
      <c r="AR363" s="2"/>
      <c r="AS363" s="1"/>
      <c r="AT363" s="2"/>
      <c r="AU363" s="4"/>
      <c r="AV363" s="7"/>
      <c r="AW363" s="4"/>
      <c r="AX363" s="3"/>
      <c r="AY363" s="4"/>
      <c r="AZ363" s="1"/>
      <c r="BA363" s="1"/>
      <c r="BB363" s="1"/>
      <c r="BC363" s="4"/>
      <c r="BD363" s="1"/>
      <c r="BE363" s="4"/>
      <c r="BF363" s="2"/>
      <c r="BG363" s="4"/>
      <c r="BH363" s="1"/>
      <c r="BI363" s="1"/>
    </row>
    <row r="364" spans="1:61" ht="15" customHeight="1" x14ac:dyDescent="0.25">
      <c r="A364" s="2"/>
      <c r="B364" s="1"/>
      <c r="E364" s="1"/>
      <c r="F364" s="1"/>
      <c r="G364" s="1"/>
      <c r="H364" s="1"/>
      <c r="J364" s="2"/>
      <c r="K364" s="3"/>
      <c r="L364" s="1"/>
      <c r="N364" s="3"/>
      <c r="P364" s="1"/>
      <c r="Q364" s="2"/>
      <c r="R364" s="3"/>
      <c r="S364" s="4"/>
      <c r="T364" s="3"/>
      <c r="U364" s="1"/>
      <c r="V364" s="1"/>
      <c r="W364" s="3"/>
      <c r="X364" s="1"/>
      <c r="Y364" s="4"/>
      <c r="Z364" s="4"/>
      <c r="AA364" s="1"/>
      <c r="AB364" s="1"/>
      <c r="AC364" s="1"/>
      <c r="AD364" s="2"/>
      <c r="AE364" s="1"/>
      <c r="AF364" s="1"/>
      <c r="AG364" s="1"/>
      <c r="AH364" s="3"/>
      <c r="AI364" s="1"/>
      <c r="AJ364" s="1"/>
      <c r="AK364" s="1"/>
      <c r="AL364" s="1"/>
      <c r="AM364" s="1"/>
      <c r="AN364" s="2"/>
      <c r="AO364" s="1"/>
      <c r="AP364" s="1"/>
      <c r="AQ364" s="1"/>
      <c r="AR364" s="2"/>
      <c r="AS364" s="1"/>
      <c r="AT364" s="2"/>
      <c r="AU364" s="4"/>
      <c r="AV364" s="7"/>
      <c r="AW364" s="4"/>
      <c r="AX364" s="3"/>
      <c r="AY364" s="4"/>
      <c r="AZ364" s="1"/>
      <c r="BA364" s="1"/>
      <c r="BB364" s="1"/>
      <c r="BC364" s="4"/>
      <c r="BD364" s="1"/>
      <c r="BE364" s="4"/>
      <c r="BF364" s="2"/>
      <c r="BG364" s="4"/>
      <c r="BH364" s="1"/>
      <c r="BI364" s="1"/>
    </row>
    <row r="365" spans="1:61" ht="15" customHeight="1" x14ac:dyDescent="0.25">
      <c r="A365" s="2"/>
      <c r="B365" s="1"/>
      <c r="E365" s="1"/>
      <c r="F365" s="1"/>
      <c r="G365" s="1"/>
      <c r="H365" s="1"/>
      <c r="J365" s="2"/>
      <c r="K365" s="3"/>
      <c r="L365" s="1"/>
      <c r="N365" s="3"/>
      <c r="P365" s="1"/>
      <c r="Q365" s="2"/>
      <c r="R365" s="3"/>
      <c r="S365" s="4"/>
      <c r="T365" s="3"/>
      <c r="U365" s="1"/>
      <c r="V365" s="1"/>
      <c r="W365" s="3"/>
      <c r="X365" s="1"/>
      <c r="Y365" s="4"/>
      <c r="Z365" s="4"/>
      <c r="AA365" s="1"/>
      <c r="AB365" s="1"/>
      <c r="AC365" s="1"/>
      <c r="AD365" s="2"/>
      <c r="AE365" s="1"/>
      <c r="AF365" s="1"/>
      <c r="AG365" s="1"/>
      <c r="AH365" s="3"/>
      <c r="AI365" s="1"/>
      <c r="AJ365" s="1"/>
      <c r="AK365" s="1"/>
      <c r="AL365" s="1"/>
      <c r="AM365" s="1"/>
      <c r="AN365" s="2"/>
      <c r="AO365" s="1"/>
      <c r="AP365" s="1"/>
      <c r="AQ365" s="1"/>
      <c r="AR365" s="2"/>
      <c r="AS365" s="1"/>
      <c r="AT365" s="2"/>
      <c r="AU365" s="4"/>
      <c r="AV365" s="7"/>
      <c r="AW365" s="4"/>
      <c r="AX365" s="3"/>
      <c r="AY365" s="4"/>
      <c r="AZ365" s="1"/>
      <c r="BA365" s="1"/>
      <c r="BB365" s="1"/>
      <c r="BC365" s="4"/>
      <c r="BD365" s="1"/>
      <c r="BE365" s="4"/>
      <c r="BF365" s="2"/>
      <c r="BG365" s="4"/>
      <c r="BH365" s="1"/>
      <c r="BI365" s="1"/>
    </row>
    <row r="366" spans="1:61" ht="15" customHeight="1" x14ac:dyDescent="0.25">
      <c r="A366" s="2"/>
      <c r="B366" s="1"/>
      <c r="E366" s="1"/>
      <c r="F366" s="1"/>
      <c r="G366" s="1"/>
      <c r="H366" s="1"/>
      <c r="J366" s="2"/>
      <c r="K366" s="3"/>
      <c r="L366" s="1"/>
      <c r="N366" s="3"/>
      <c r="P366" s="1"/>
      <c r="Q366" s="2"/>
      <c r="R366" s="3"/>
      <c r="S366" s="4"/>
      <c r="T366" s="3"/>
      <c r="U366" s="1"/>
      <c r="V366" s="1"/>
      <c r="W366" s="3"/>
      <c r="X366" s="1"/>
      <c r="Y366" s="4"/>
      <c r="Z366" s="4"/>
      <c r="AA366" s="1"/>
      <c r="AB366" s="1"/>
      <c r="AC366" s="1"/>
      <c r="AD366" s="2"/>
      <c r="AE366" s="1"/>
      <c r="AF366" s="1"/>
      <c r="AG366" s="1"/>
      <c r="AH366" s="3"/>
      <c r="AI366" s="1"/>
      <c r="AJ366" s="1"/>
      <c r="AK366" s="1"/>
      <c r="AL366" s="1"/>
      <c r="AM366" s="1"/>
      <c r="AN366" s="2"/>
      <c r="AO366" s="1"/>
      <c r="AP366" s="1"/>
      <c r="AQ366" s="1"/>
      <c r="AR366" s="2"/>
      <c r="AS366" s="1"/>
      <c r="AT366" s="2"/>
      <c r="AU366" s="4"/>
      <c r="AV366" s="7"/>
      <c r="AW366" s="4"/>
      <c r="AX366" s="3"/>
      <c r="AY366" s="4"/>
      <c r="AZ366" s="1"/>
      <c r="BA366" s="1"/>
      <c r="BB366" s="1"/>
      <c r="BC366" s="4"/>
      <c r="BD366" s="1"/>
      <c r="BE366" s="4"/>
      <c r="BF366" s="2"/>
      <c r="BG366" s="4"/>
      <c r="BH366" s="1"/>
      <c r="BI366" s="1"/>
    </row>
    <row r="367" spans="1:61" ht="15" customHeight="1" x14ac:dyDescent="0.25">
      <c r="A367" s="2"/>
      <c r="B367" s="1"/>
      <c r="E367" s="1"/>
      <c r="F367" s="1"/>
      <c r="G367" s="1"/>
      <c r="H367" s="1"/>
      <c r="J367" s="2"/>
      <c r="K367" s="3"/>
      <c r="L367" s="1"/>
      <c r="N367" s="3"/>
      <c r="P367" s="1"/>
      <c r="Q367" s="2"/>
      <c r="R367" s="3"/>
      <c r="S367" s="4"/>
      <c r="T367" s="3"/>
      <c r="U367" s="1"/>
      <c r="V367" s="1"/>
      <c r="W367" s="3"/>
      <c r="X367" s="1"/>
      <c r="Y367" s="4"/>
      <c r="Z367" s="4"/>
      <c r="AA367" s="1"/>
      <c r="AB367" s="1"/>
      <c r="AC367" s="1"/>
      <c r="AD367" s="2"/>
      <c r="AE367" s="1"/>
      <c r="AF367" s="1"/>
      <c r="AG367" s="1"/>
      <c r="AH367" s="3"/>
      <c r="AI367" s="1"/>
      <c r="AJ367" s="1"/>
      <c r="AK367" s="1"/>
      <c r="AL367" s="1"/>
      <c r="AM367" s="1"/>
      <c r="AN367" s="2"/>
      <c r="AO367" s="1"/>
      <c r="AP367" s="1"/>
      <c r="AQ367" s="1"/>
      <c r="AR367" s="2"/>
      <c r="AS367" s="1"/>
      <c r="AT367" s="2"/>
      <c r="AU367" s="4"/>
      <c r="AV367" s="7"/>
      <c r="AW367" s="4"/>
      <c r="AX367" s="3"/>
      <c r="AY367" s="4"/>
      <c r="AZ367" s="1"/>
      <c r="BA367" s="1"/>
      <c r="BB367" s="1"/>
      <c r="BC367" s="4"/>
      <c r="BD367" s="1"/>
      <c r="BE367" s="4"/>
      <c r="BF367" s="2"/>
      <c r="BG367" s="4"/>
      <c r="BH367" s="1"/>
      <c r="BI367" s="1"/>
    </row>
    <row r="368" spans="1:61" ht="15" customHeight="1" x14ac:dyDescent="0.25">
      <c r="A368" s="2"/>
      <c r="B368" s="1"/>
      <c r="E368" s="1"/>
      <c r="F368" s="1"/>
      <c r="G368" s="1"/>
      <c r="H368" s="1"/>
      <c r="J368" s="2"/>
      <c r="K368" s="3"/>
      <c r="L368" s="1"/>
      <c r="N368" s="3"/>
      <c r="P368" s="1"/>
      <c r="Q368" s="2"/>
      <c r="R368" s="3"/>
      <c r="S368" s="4"/>
      <c r="T368" s="3"/>
      <c r="U368" s="1"/>
      <c r="V368" s="1"/>
      <c r="W368" s="3"/>
      <c r="X368" s="1"/>
      <c r="Y368" s="4"/>
      <c r="Z368" s="4"/>
      <c r="AA368" s="1"/>
      <c r="AB368" s="1"/>
      <c r="AC368" s="1"/>
      <c r="AD368" s="2"/>
      <c r="AE368" s="1"/>
      <c r="AF368" s="1"/>
      <c r="AG368" s="1"/>
      <c r="AH368" s="3"/>
      <c r="AI368" s="1"/>
      <c r="AJ368" s="1"/>
      <c r="AK368" s="1"/>
      <c r="AL368" s="1"/>
      <c r="AM368" s="1"/>
      <c r="AN368" s="2"/>
      <c r="AO368" s="1"/>
      <c r="AP368" s="1"/>
      <c r="AQ368" s="1"/>
      <c r="AR368" s="2"/>
      <c r="AS368" s="1"/>
      <c r="AT368" s="2"/>
      <c r="AU368" s="4"/>
      <c r="AV368" s="7"/>
      <c r="AW368" s="4"/>
      <c r="AX368" s="3"/>
      <c r="AY368" s="4"/>
      <c r="AZ368" s="1"/>
      <c r="BA368" s="1"/>
      <c r="BB368" s="1"/>
      <c r="BC368" s="4"/>
      <c r="BD368" s="1"/>
      <c r="BE368" s="4"/>
      <c r="BF368" s="2"/>
      <c r="BG368" s="4"/>
      <c r="BH368" s="1"/>
      <c r="BI368" s="1"/>
    </row>
    <row r="369" spans="1:61" ht="15" customHeight="1" x14ac:dyDescent="0.25">
      <c r="A369" s="2"/>
      <c r="B369" s="1"/>
      <c r="E369" s="1"/>
      <c r="F369" s="1"/>
      <c r="G369" s="1"/>
      <c r="H369" s="1"/>
      <c r="J369" s="2"/>
      <c r="K369" s="3"/>
      <c r="L369" s="1"/>
      <c r="N369" s="3"/>
      <c r="P369" s="1"/>
      <c r="Q369" s="2"/>
      <c r="R369" s="3"/>
      <c r="S369" s="4"/>
      <c r="T369" s="3"/>
      <c r="U369" s="1"/>
      <c r="V369" s="1"/>
      <c r="W369" s="3"/>
      <c r="X369" s="1"/>
      <c r="Y369" s="4"/>
      <c r="Z369" s="4"/>
      <c r="AA369" s="1"/>
      <c r="AB369" s="1"/>
      <c r="AC369" s="1"/>
      <c r="AD369" s="2"/>
      <c r="AE369" s="1"/>
      <c r="AF369" s="1"/>
      <c r="AG369" s="1"/>
      <c r="AH369" s="3"/>
      <c r="AI369" s="1"/>
      <c r="AJ369" s="1"/>
      <c r="AK369" s="1"/>
      <c r="AL369" s="1"/>
      <c r="AM369" s="1"/>
      <c r="AN369" s="2"/>
      <c r="AO369" s="1"/>
      <c r="AP369" s="1"/>
      <c r="AQ369" s="1"/>
      <c r="AR369" s="2"/>
      <c r="AS369" s="1"/>
      <c r="AT369" s="2"/>
      <c r="AU369" s="4"/>
      <c r="AV369" s="7"/>
      <c r="AW369" s="4"/>
      <c r="AX369" s="3"/>
      <c r="AY369" s="4"/>
      <c r="AZ369" s="1"/>
      <c r="BA369" s="1"/>
      <c r="BB369" s="1"/>
      <c r="BC369" s="4"/>
      <c r="BD369" s="1"/>
      <c r="BE369" s="4"/>
      <c r="BF369" s="2"/>
      <c r="BG369" s="4"/>
      <c r="BH369" s="1"/>
      <c r="BI369" s="1"/>
    </row>
    <row r="370" spans="1:61" ht="15" customHeight="1" x14ac:dyDescent="0.25">
      <c r="A370" s="2"/>
      <c r="B370" s="1"/>
      <c r="E370" s="1"/>
      <c r="F370" s="1"/>
      <c r="G370" s="1"/>
      <c r="H370" s="1"/>
      <c r="J370" s="2"/>
      <c r="K370" s="3"/>
      <c r="L370" s="1"/>
      <c r="N370" s="3"/>
      <c r="P370" s="1"/>
      <c r="Q370" s="2"/>
      <c r="R370" s="3"/>
      <c r="S370" s="4"/>
      <c r="T370" s="3"/>
      <c r="U370" s="1"/>
      <c r="V370" s="1"/>
      <c r="W370" s="3"/>
      <c r="X370" s="1"/>
      <c r="Y370" s="4"/>
      <c r="Z370" s="4"/>
      <c r="AA370" s="1"/>
      <c r="AB370" s="1"/>
      <c r="AC370" s="1"/>
      <c r="AD370" s="2"/>
      <c r="AE370" s="1"/>
      <c r="AF370" s="1"/>
      <c r="AG370" s="1"/>
      <c r="AH370" s="3"/>
      <c r="AI370" s="1"/>
      <c r="AJ370" s="1"/>
      <c r="AK370" s="1"/>
      <c r="AL370" s="1"/>
      <c r="AM370" s="1"/>
      <c r="AN370" s="2"/>
      <c r="AO370" s="1"/>
      <c r="AP370" s="1"/>
      <c r="AQ370" s="1"/>
      <c r="AR370" s="2"/>
      <c r="AS370" s="1"/>
      <c r="AT370" s="2"/>
      <c r="AU370" s="4"/>
      <c r="AV370" s="7"/>
      <c r="AW370" s="4"/>
      <c r="AX370" s="3"/>
      <c r="AY370" s="4"/>
      <c r="AZ370" s="1"/>
      <c r="BA370" s="1"/>
      <c r="BB370" s="1"/>
      <c r="BC370" s="4"/>
      <c r="BD370" s="1"/>
      <c r="BE370" s="4"/>
      <c r="BF370" s="2"/>
      <c r="BG370" s="4"/>
      <c r="BH370" s="1"/>
      <c r="BI370" s="1"/>
    </row>
    <row r="371" spans="1:61" ht="15" customHeight="1" x14ac:dyDescent="0.25">
      <c r="A371" s="2"/>
      <c r="B371" s="1"/>
      <c r="E371" s="1"/>
      <c r="F371" s="1"/>
      <c r="G371" s="1"/>
      <c r="H371" s="1"/>
      <c r="J371" s="2"/>
      <c r="K371" s="3"/>
      <c r="L371" s="1"/>
      <c r="N371" s="3"/>
      <c r="P371" s="1"/>
      <c r="Q371" s="2"/>
      <c r="R371" s="3"/>
      <c r="S371" s="4"/>
      <c r="T371" s="3"/>
      <c r="U371" s="1"/>
      <c r="V371" s="1"/>
      <c r="W371" s="3"/>
      <c r="X371" s="1"/>
      <c r="Y371" s="4"/>
      <c r="Z371" s="4"/>
      <c r="AA371" s="1"/>
      <c r="AB371" s="1"/>
      <c r="AC371" s="1"/>
      <c r="AD371" s="2"/>
      <c r="AE371" s="1"/>
      <c r="AF371" s="1"/>
      <c r="AG371" s="1"/>
      <c r="AH371" s="3"/>
      <c r="AI371" s="1"/>
      <c r="AJ371" s="1"/>
      <c r="AK371" s="1"/>
      <c r="AL371" s="1"/>
      <c r="AM371" s="1"/>
      <c r="AN371" s="2"/>
      <c r="AO371" s="1"/>
      <c r="AP371" s="1"/>
      <c r="AQ371" s="1"/>
      <c r="AR371" s="2"/>
      <c r="AS371" s="1"/>
      <c r="AT371" s="2"/>
      <c r="AU371" s="4"/>
      <c r="AV371" s="7"/>
      <c r="AW371" s="4"/>
      <c r="AX371" s="3"/>
      <c r="AY371" s="4"/>
      <c r="AZ371" s="1"/>
      <c r="BA371" s="1"/>
      <c r="BB371" s="1"/>
      <c r="BC371" s="4"/>
      <c r="BD371" s="1"/>
      <c r="BE371" s="4"/>
      <c r="BF371" s="2"/>
      <c r="BG371" s="4"/>
      <c r="BH371" s="1"/>
      <c r="BI371" s="1"/>
    </row>
    <row r="372" spans="1:61" ht="15" customHeight="1" x14ac:dyDescent="0.25">
      <c r="A372" s="2"/>
      <c r="B372" s="1"/>
      <c r="E372" s="1"/>
      <c r="F372" s="1"/>
      <c r="G372" s="1"/>
      <c r="H372" s="1"/>
      <c r="J372" s="2"/>
      <c r="K372" s="3"/>
      <c r="L372" s="1"/>
      <c r="N372" s="3"/>
      <c r="P372" s="1"/>
      <c r="Q372" s="2"/>
      <c r="R372" s="3"/>
      <c r="S372" s="4"/>
      <c r="T372" s="3"/>
      <c r="U372" s="1"/>
      <c r="V372" s="1"/>
      <c r="W372" s="3"/>
      <c r="X372" s="1"/>
      <c r="Y372" s="4"/>
      <c r="Z372" s="4"/>
      <c r="AA372" s="1"/>
      <c r="AB372" s="1"/>
      <c r="AC372" s="1"/>
      <c r="AD372" s="2"/>
      <c r="AE372" s="1"/>
      <c r="AF372" s="1"/>
      <c r="AG372" s="1"/>
      <c r="AH372" s="3"/>
      <c r="AI372" s="1"/>
      <c r="AJ372" s="1"/>
      <c r="AK372" s="1"/>
      <c r="AL372" s="1"/>
      <c r="AM372" s="1"/>
      <c r="AN372" s="2"/>
      <c r="AO372" s="1"/>
      <c r="AP372" s="1"/>
      <c r="AQ372" s="1"/>
      <c r="AR372" s="2"/>
      <c r="AS372" s="1"/>
      <c r="AT372" s="2"/>
      <c r="AU372" s="4"/>
      <c r="AV372" s="7"/>
      <c r="AW372" s="4"/>
      <c r="AX372" s="3"/>
      <c r="AY372" s="4"/>
      <c r="AZ372" s="1"/>
      <c r="BA372" s="1"/>
      <c r="BB372" s="1"/>
      <c r="BC372" s="4"/>
      <c r="BD372" s="1"/>
      <c r="BE372" s="4"/>
      <c r="BF372" s="2"/>
      <c r="BG372" s="4"/>
      <c r="BH372" s="1"/>
      <c r="BI372" s="1"/>
    </row>
    <row r="373" spans="1:61" ht="15" customHeight="1" x14ac:dyDescent="0.25">
      <c r="A373" s="2"/>
      <c r="B373" s="1"/>
      <c r="E373" s="1"/>
      <c r="F373" s="1"/>
      <c r="G373" s="1"/>
      <c r="H373" s="1"/>
      <c r="J373" s="2"/>
      <c r="K373" s="3"/>
      <c r="L373" s="1"/>
      <c r="N373" s="3"/>
      <c r="P373" s="1"/>
      <c r="Q373" s="2"/>
      <c r="R373" s="3"/>
      <c r="S373" s="4"/>
      <c r="T373" s="3"/>
      <c r="U373" s="1"/>
      <c r="V373" s="1"/>
      <c r="W373" s="3"/>
      <c r="X373" s="1"/>
      <c r="Y373" s="4"/>
      <c r="Z373" s="4"/>
      <c r="AA373" s="1"/>
      <c r="AB373" s="1"/>
      <c r="AC373" s="1"/>
      <c r="AD373" s="2"/>
      <c r="AE373" s="1"/>
      <c r="AF373" s="1"/>
      <c r="AG373" s="1"/>
      <c r="AH373" s="3"/>
      <c r="AI373" s="1"/>
      <c r="AJ373" s="1"/>
      <c r="AK373" s="1"/>
      <c r="AL373" s="1"/>
      <c r="AM373" s="1"/>
      <c r="AN373" s="2"/>
      <c r="AO373" s="1"/>
      <c r="AP373" s="1"/>
      <c r="AQ373" s="1"/>
      <c r="AR373" s="2"/>
      <c r="AS373" s="1"/>
      <c r="AT373" s="2"/>
      <c r="AU373" s="4"/>
      <c r="AV373" s="7"/>
      <c r="AW373" s="4"/>
      <c r="AX373" s="3"/>
      <c r="AY373" s="4"/>
      <c r="AZ373" s="1"/>
      <c r="BA373" s="1"/>
      <c r="BB373" s="1"/>
      <c r="BC373" s="4"/>
      <c r="BD373" s="1"/>
      <c r="BE373" s="4"/>
      <c r="BF373" s="2"/>
      <c r="BG373" s="4"/>
      <c r="BH373" s="1"/>
      <c r="BI373" s="1"/>
    </row>
    <row r="374" spans="1:61" ht="15" customHeight="1" x14ac:dyDescent="0.25">
      <c r="A374" s="2"/>
      <c r="B374" s="1"/>
      <c r="E374" s="1"/>
      <c r="F374" s="1"/>
      <c r="G374" s="1"/>
      <c r="H374" s="1"/>
      <c r="J374" s="2"/>
      <c r="K374" s="3"/>
      <c r="L374" s="1"/>
      <c r="N374" s="3"/>
      <c r="P374" s="1"/>
      <c r="Q374" s="2"/>
      <c r="R374" s="3"/>
      <c r="S374" s="4"/>
      <c r="T374" s="3"/>
      <c r="U374" s="1"/>
      <c r="V374" s="1"/>
      <c r="W374" s="3"/>
      <c r="X374" s="1"/>
      <c r="Y374" s="4"/>
      <c r="Z374" s="4"/>
      <c r="AA374" s="1"/>
      <c r="AB374" s="1"/>
      <c r="AC374" s="1"/>
      <c r="AD374" s="2"/>
      <c r="AE374" s="1"/>
      <c r="AF374" s="1"/>
      <c r="AG374" s="1"/>
      <c r="AH374" s="3"/>
      <c r="AI374" s="1"/>
      <c r="AJ374" s="1"/>
      <c r="AK374" s="1"/>
      <c r="AL374" s="1"/>
      <c r="AM374" s="1"/>
      <c r="AN374" s="2"/>
      <c r="AO374" s="1"/>
      <c r="AP374" s="1"/>
      <c r="AQ374" s="1"/>
      <c r="AR374" s="2"/>
      <c r="AS374" s="1"/>
      <c r="AT374" s="2"/>
      <c r="AU374" s="4"/>
      <c r="AV374" s="7"/>
      <c r="AW374" s="4"/>
      <c r="AX374" s="3"/>
      <c r="AY374" s="4"/>
      <c r="AZ374" s="1"/>
      <c r="BA374" s="1"/>
      <c r="BB374" s="1"/>
      <c r="BC374" s="4"/>
      <c r="BD374" s="1"/>
      <c r="BE374" s="4"/>
      <c r="BF374" s="2"/>
      <c r="BG374" s="4"/>
      <c r="BH374" s="1"/>
      <c r="BI374" s="1"/>
    </row>
    <row r="375" spans="1:61" ht="15" customHeight="1" x14ac:dyDescent="0.25">
      <c r="A375" s="2"/>
      <c r="B375" s="1"/>
      <c r="E375" s="1"/>
      <c r="F375" s="1"/>
      <c r="G375" s="1"/>
      <c r="H375" s="1"/>
      <c r="J375" s="2"/>
      <c r="K375" s="3"/>
      <c r="L375" s="1"/>
      <c r="N375" s="3"/>
      <c r="P375" s="1"/>
      <c r="Q375" s="2"/>
      <c r="R375" s="3"/>
      <c r="S375" s="4"/>
      <c r="T375" s="3"/>
      <c r="U375" s="1"/>
      <c r="V375" s="1"/>
      <c r="W375" s="3"/>
      <c r="X375" s="1"/>
      <c r="Y375" s="4"/>
      <c r="Z375" s="4"/>
      <c r="AA375" s="1"/>
      <c r="AB375" s="1"/>
      <c r="AC375" s="1"/>
      <c r="AD375" s="2"/>
      <c r="AE375" s="1"/>
      <c r="AF375" s="1"/>
      <c r="AG375" s="1"/>
      <c r="AH375" s="3"/>
      <c r="AI375" s="1"/>
      <c r="AJ375" s="1"/>
      <c r="AK375" s="1"/>
      <c r="AL375" s="1"/>
      <c r="AM375" s="1"/>
      <c r="AN375" s="2"/>
      <c r="AO375" s="1"/>
      <c r="AP375" s="1"/>
      <c r="AQ375" s="1"/>
      <c r="AR375" s="2"/>
      <c r="AS375" s="1"/>
      <c r="AT375" s="2"/>
      <c r="AU375" s="4"/>
      <c r="AV375" s="7"/>
      <c r="AW375" s="4"/>
      <c r="AX375" s="3"/>
      <c r="AY375" s="4"/>
      <c r="AZ375" s="1"/>
      <c r="BA375" s="1"/>
      <c r="BB375" s="1"/>
      <c r="BC375" s="4"/>
      <c r="BD375" s="1"/>
      <c r="BE375" s="4"/>
      <c r="BF375" s="2"/>
      <c r="BG375" s="4"/>
      <c r="BH375" s="1"/>
      <c r="BI375" s="1"/>
    </row>
    <row r="376" spans="1:61" ht="15" customHeight="1" x14ac:dyDescent="0.25">
      <c r="A376" s="2"/>
      <c r="B376" s="1"/>
      <c r="E376" s="1"/>
      <c r="F376" s="1"/>
      <c r="G376" s="1"/>
      <c r="H376" s="1"/>
      <c r="J376" s="2"/>
      <c r="K376" s="3"/>
      <c r="L376" s="1"/>
      <c r="N376" s="3"/>
      <c r="P376" s="1"/>
      <c r="Q376" s="2"/>
      <c r="R376" s="3"/>
      <c r="S376" s="4"/>
      <c r="T376" s="3"/>
      <c r="U376" s="1"/>
      <c r="V376" s="1"/>
      <c r="W376" s="3"/>
      <c r="X376" s="1"/>
      <c r="Y376" s="4"/>
      <c r="Z376" s="4"/>
      <c r="AA376" s="1"/>
      <c r="AB376" s="1"/>
      <c r="AC376" s="1"/>
      <c r="AD376" s="2"/>
      <c r="AE376" s="1"/>
      <c r="AF376" s="1"/>
      <c r="AG376" s="1"/>
      <c r="AH376" s="3"/>
      <c r="AI376" s="1"/>
      <c r="AJ376" s="1"/>
      <c r="AK376" s="1"/>
      <c r="AL376" s="1"/>
      <c r="AM376" s="1"/>
      <c r="AN376" s="2"/>
      <c r="AO376" s="1"/>
      <c r="AP376" s="1"/>
      <c r="AQ376" s="1"/>
      <c r="AR376" s="2"/>
      <c r="AS376" s="1"/>
      <c r="AT376" s="2"/>
      <c r="AU376" s="4"/>
      <c r="AV376" s="7"/>
      <c r="AW376" s="4"/>
      <c r="AX376" s="3"/>
      <c r="AY376" s="4"/>
      <c r="AZ376" s="1"/>
      <c r="BA376" s="1"/>
      <c r="BB376" s="1"/>
      <c r="BC376" s="4"/>
      <c r="BD376" s="1"/>
      <c r="BE376" s="4"/>
      <c r="BF376" s="2"/>
      <c r="BG376" s="4"/>
      <c r="BH376" s="1"/>
      <c r="BI376" s="1"/>
    </row>
    <row r="377" spans="1:61" ht="15" customHeight="1" x14ac:dyDescent="0.25">
      <c r="A377" s="2"/>
      <c r="B377" s="1"/>
      <c r="E377" s="1"/>
      <c r="F377" s="1"/>
      <c r="G377" s="1"/>
      <c r="H377" s="1"/>
      <c r="J377" s="2"/>
      <c r="K377" s="3"/>
      <c r="L377" s="1"/>
      <c r="N377" s="3"/>
      <c r="P377" s="1"/>
      <c r="Q377" s="2"/>
      <c r="R377" s="3"/>
      <c r="S377" s="4"/>
      <c r="T377" s="3"/>
      <c r="U377" s="1"/>
      <c r="V377" s="1"/>
      <c r="W377" s="3"/>
      <c r="X377" s="1"/>
      <c r="Y377" s="4"/>
      <c r="Z377" s="4"/>
      <c r="AA377" s="1"/>
      <c r="AB377" s="1"/>
      <c r="AC377" s="1"/>
      <c r="AD377" s="2"/>
      <c r="AE377" s="1"/>
      <c r="AF377" s="1"/>
      <c r="AG377" s="1"/>
      <c r="AH377" s="3"/>
      <c r="AI377" s="1"/>
      <c r="AJ377" s="1"/>
      <c r="AK377" s="1"/>
      <c r="AL377" s="1"/>
      <c r="AM377" s="1"/>
      <c r="AN377" s="2"/>
      <c r="AO377" s="1"/>
      <c r="AP377" s="1"/>
      <c r="AQ377" s="1"/>
      <c r="AR377" s="2"/>
      <c r="AS377" s="1"/>
      <c r="AT377" s="2"/>
      <c r="AU377" s="4"/>
      <c r="AV377" s="7"/>
      <c r="AW377" s="4"/>
      <c r="AX377" s="3"/>
      <c r="AY377" s="4"/>
      <c r="AZ377" s="1"/>
      <c r="BA377" s="1"/>
      <c r="BB377" s="1"/>
      <c r="BC377" s="4"/>
      <c r="BD377" s="1"/>
      <c r="BE377" s="4"/>
      <c r="BF377" s="2"/>
      <c r="BG377" s="4"/>
      <c r="BH377" s="1"/>
      <c r="BI377" s="1"/>
    </row>
    <row r="378" spans="1:61" ht="15" customHeight="1" x14ac:dyDescent="0.25">
      <c r="A378" s="2"/>
      <c r="B378" s="1"/>
      <c r="E378" s="1"/>
      <c r="F378" s="1"/>
      <c r="G378" s="1"/>
      <c r="H378" s="1"/>
      <c r="J378" s="2"/>
      <c r="K378" s="3"/>
      <c r="L378" s="1"/>
      <c r="N378" s="3"/>
      <c r="P378" s="1"/>
      <c r="Q378" s="2"/>
      <c r="R378" s="3"/>
      <c r="S378" s="4"/>
      <c r="T378" s="3"/>
      <c r="U378" s="1"/>
      <c r="V378" s="1"/>
      <c r="W378" s="3"/>
      <c r="X378" s="1"/>
      <c r="Y378" s="4"/>
      <c r="Z378" s="4"/>
      <c r="AA378" s="1"/>
      <c r="AB378" s="1"/>
      <c r="AC378" s="1"/>
      <c r="AD378" s="2"/>
      <c r="AE378" s="1"/>
      <c r="AF378" s="1"/>
      <c r="AG378" s="1"/>
      <c r="AH378" s="3"/>
      <c r="AI378" s="1"/>
      <c r="AJ378" s="1"/>
      <c r="AK378" s="1"/>
      <c r="AL378" s="1"/>
      <c r="AM378" s="1"/>
      <c r="AN378" s="2"/>
      <c r="AO378" s="1"/>
      <c r="AP378" s="1"/>
      <c r="AQ378" s="1"/>
      <c r="AR378" s="2"/>
      <c r="AS378" s="1"/>
      <c r="AT378" s="2"/>
      <c r="AU378" s="4"/>
      <c r="AV378" s="7"/>
      <c r="AW378" s="4"/>
      <c r="AX378" s="3"/>
      <c r="AY378" s="4"/>
      <c r="AZ378" s="1"/>
      <c r="BA378" s="1"/>
      <c r="BB378" s="1"/>
      <c r="BC378" s="4"/>
      <c r="BD378" s="1"/>
      <c r="BE378" s="4"/>
      <c r="BF378" s="2"/>
      <c r="BG378" s="4"/>
      <c r="BH378" s="1"/>
      <c r="BI378" s="1"/>
    </row>
    <row r="379" spans="1:61" ht="15" customHeight="1" x14ac:dyDescent="0.25">
      <c r="A379" s="2"/>
      <c r="B379" s="1"/>
      <c r="E379" s="1"/>
      <c r="F379" s="1"/>
      <c r="G379" s="1"/>
      <c r="H379" s="1"/>
      <c r="J379" s="2"/>
      <c r="K379" s="3"/>
      <c r="L379" s="1"/>
      <c r="N379" s="3"/>
      <c r="P379" s="1"/>
      <c r="Q379" s="2"/>
      <c r="R379" s="3"/>
      <c r="S379" s="4"/>
      <c r="T379" s="3"/>
      <c r="U379" s="1"/>
      <c r="V379" s="1"/>
      <c r="W379" s="3"/>
      <c r="X379" s="1"/>
      <c r="Y379" s="4"/>
      <c r="Z379" s="4"/>
      <c r="AA379" s="1"/>
      <c r="AB379" s="1"/>
      <c r="AC379" s="1"/>
      <c r="AD379" s="2"/>
      <c r="AE379" s="1"/>
      <c r="AF379" s="1"/>
      <c r="AG379" s="1"/>
      <c r="AH379" s="3"/>
      <c r="AI379" s="1"/>
      <c r="AJ379" s="1"/>
      <c r="AK379" s="1"/>
      <c r="AL379" s="1"/>
      <c r="AM379" s="1"/>
      <c r="AN379" s="2"/>
      <c r="AO379" s="1"/>
      <c r="AP379" s="1"/>
      <c r="AQ379" s="1"/>
      <c r="AR379" s="2"/>
      <c r="AS379" s="1"/>
      <c r="AT379" s="2"/>
      <c r="AU379" s="4"/>
      <c r="AV379" s="7"/>
      <c r="AW379" s="4"/>
      <c r="AX379" s="3"/>
      <c r="AY379" s="4"/>
      <c r="AZ379" s="1"/>
      <c r="BA379" s="1"/>
      <c r="BB379" s="1"/>
      <c r="BC379" s="4"/>
      <c r="BD379" s="1"/>
      <c r="BE379" s="4"/>
      <c r="BF379" s="2"/>
      <c r="BG379" s="4"/>
      <c r="BH379" s="1"/>
      <c r="BI379" s="1"/>
    </row>
    <row r="380" spans="1:61" ht="15" customHeight="1" x14ac:dyDescent="0.25">
      <c r="A380" s="2"/>
      <c r="B380" s="1"/>
      <c r="E380" s="1"/>
      <c r="F380" s="1"/>
      <c r="G380" s="1"/>
      <c r="H380" s="1"/>
      <c r="J380" s="2"/>
      <c r="K380" s="3"/>
      <c r="L380" s="1"/>
      <c r="N380" s="3"/>
      <c r="P380" s="1"/>
      <c r="Q380" s="2"/>
      <c r="R380" s="3"/>
      <c r="S380" s="4"/>
      <c r="T380" s="3"/>
      <c r="U380" s="1"/>
      <c r="V380" s="1"/>
      <c r="W380" s="3"/>
      <c r="X380" s="1"/>
      <c r="Y380" s="4"/>
      <c r="Z380" s="4"/>
      <c r="AA380" s="1"/>
      <c r="AB380" s="1"/>
      <c r="AC380" s="1"/>
      <c r="AD380" s="2"/>
      <c r="AE380" s="1"/>
      <c r="AF380" s="1"/>
      <c r="AG380" s="1"/>
      <c r="AH380" s="3"/>
      <c r="AI380" s="1"/>
      <c r="AJ380" s="1"/>
      <c r="AK380" s="1"/>
      <c r="AL380" s="1"/>
      <c r="AM380" s="1"/>
      <c r="AN380" s="2"/>
      <c r="AO380" s="1"/>
      <c r="AP380" s="1"/>
      <c r="AQ380" s="1"/>
      <c r="AR380" s="2"/>
      <c r="AS380" s="1"/>
      <c r="AT380" s="2"/>
      <c r="AU380" s="4"/>
      <c r="AV380" s="7"/>
      <c r="AW380" s="4"/>
      <c r="AX380" s="3"/>
      <c r="AY380" s="4"/>
      <c r="AZ380" s="1"/>
      <c r="BA380" s="1"/>
      <c r="BB380" s="1"/>
      <c r="BC380" s="4"/>
      <c r="BD380" s="1"/>
      <c r="BE380" s="4"/>
      <c r="BF380" s="2"/>
      <c r="BG380" s="4"/>
      <c r="BH380" s="1"/>
      <c r="BI380" s="1"/>
    </row>
    <row r="381" spans="1:61" ht="15" customHeight="1" x14ac:dyDescent="0.25">
      <c r="A381" s="2"/>
      <c r="B381" s="1"/>
      <c r="E381" s="1"/>
      <c r="F381" s="1"/>
      <c r="G381" s="1"/>
      <c r="H381" s="1"/>
      <c r="J381" s="2"/>
      <c r="K381" s="3"/>
      <c r="L381" s="1"/>
      <c r="N381" s="3"/>
      <c r="P381" s="1"/>
      <c r="Q381" s="2"/>
      <c r="R381" s="3"/>
      <c r="S381" s="4"/>
      <c r="T381" s="3"/>
      <c r="U381" s="1"/>
      <c r="V381" s="1"/>
      <c r="W381" s="3"/>
      <c r="X381" s="1"/>
      <c r="Y381" s="4"/>
      <c r="Z381" s="4"/>
      <c r="AA381" s="1"/>
      <c r="AB381" s="1"/>
      <c r="AC381" s="1"/>
      <c r="AD381" s="2"/>
      <c r="AE381" s="1"/>
      <c r="AF381" s="1"/>
      <c r="AG381" s="1"/>
      <c r="AH381" s="3"/>
      <c r="AI381" s="1"/>
      <c r="AJ381" s="1"/>
      <c r="AK381" s="1"/>
      <c r="AL381" s="1"/>
      <c r="AM381" s="1"/>
      <c r="AN381" s="2"/>
      <c r="AO381" s="1"/>
      <c r="AP381" s="1"/>
      <c r="AQ381" s="1"/>
      <c r="AR381" s="2"/>
      <c r="AS381" s="1"/>
      <c r="AT381" s="2"/>
      <c r="AU381" s="4"/>
      <c r="AV381" s="7"/>
      <c r="AW381" s="4"/>
      <c r="AX381" s="3"/>
      <c r="AY381" s="4"/>
      <c r="AZ381" s="1"/>
      <c r="BA381" s="1"/>
      <c r="BB381" s="1"/>
      <c r="BC381" s="4"/>
      <c r="BD381" s="1"/>
      <c r="BE381" s="4"/>
      <c r="BF381" s="2"/>
      <c r="BG381" s="4"/>
      <c r="BH381" s="1"/>
      <c r="BI381" s="1"/>
    </row>
    <row r="382" spans="1:61" ht="15" customHeight="1" x14ac:dyDescent="0.25">
      <c r="A382" s="2"/>
      <c r="B382" s="1"/>
      <c r="E382" s="1"/>
      <c r="F382" s="1"/>
      <c r="G382" s="1"/>
      <c r="H382" s="1"/>
      <c r="J382" s="2"/>
      <c r="K382" s="3"/>
      <c r="L382" s="1"/>
      <c r="N382" s="3"/>
      <c r="P382" s="1"/>
      <c r="Q382" s="2"/>
      <c r="R382" s="3"/>
      <c r="S382" s="4"/>
      <c r="T382" s="3"/>
      <c r="U382" s="1"/>
      <c r="V382" s="1"/>
      <c r="W382" s="3"/>
      <c r="X382" s="1"/>
      <c r="Y382" s="4"/>
      <c r="Z382" s="4"/>
      <c r="AA382" s="1"/>
      <c r="AB382" s="1"/>
      <c r="AC382" s="1"/>
      <c r="AD382" s="2"/>
      <c r="AE382" s="1"/>
      <c r="AF382" s="1"/>
      <c r="AG382" s="1"/>
      <c r="AH382" s="3"/>
      <c r="AI382" s="1"/>
      <c r="AJ382" s="1"/>
      <c r="AK382" s="1"/>
      <c r="AL382" s="1"/>
      <c r="AM382" s="1"/>
      <c r="AN382" s="2"/>
      <c r="AO382" s="1"/>
      <c r="AP382" s="1"/>
      <c r="AQ382" s="1"/>
      <c r="AR382" s="2"/>
      <c r="AS382" s="1"/>
      <c r="AT382" s="2"/>
      <c r="AU382" s="4"/>
      <c r="AV382" s="7"/>
      <c r="AW382" s="4"/>
      <c r="AX382" s="3"/>
      <c r="AY382" s="4"/>
      <c r="AZ382" s="1"/>
      <c r="BA382" s="1"/>
      <c r="BB382" s="1"/>
      <c r="BC382" s="4"/>
      <c r="BD382" s="1"/>
      <c r="BE382" s="4"/>
      <c r="BF382" s="2"/>
      <c r="BG382" s="4"/>
      <c r="BH382" s="1"/>
      <c r="BI382" s="1"/>
    </row>
    <row r="383" spans="1:61" ht="15" customHeight="1" x14ac:dyDescent="0.25">
      <c r="A383" s="2"/>
      <c r="B383" s="1"/>
      <c r="E383" s="1"/>
      <c r="F383" s="1"/>
      <c r="G383" s="1"/>
      <c r="H383" s="1"/>
      <c r="J383" s="2"/>
      <c r="K383" s="3"/>
      <c r="L383" s="1"/>
      <c r="N383" s="3"/>
      <c r="P383" s="1"/>
      <c r="Q383" s="2"/>
      <c r="R383" s="3"/>
      <c r="S383" s="4"/>
      <c r="T383" s="3"/>
      <c r="U383" s="1"/>
      <c r="V383" s="1"/>
      <c r="W383" s="3"/>
      <c r="X383" s="1"/>
      <c r="Y383" s="4"/>
      <c r="Z383" s="4"/>
      <c r="AA383" s="1"/>
      <c r="AB383" s="1"/>
      <c r="AC383" s="1"/>
      <c r="AD383" s="2"/>
      <c r="AE383" s="1"/>
      <c r="AF383" s="1"/>
      <c r="AG383" s="1"/>
      <c r="AH383" s="3"/>
      <c r="AI383" s="1"/>
      <c r="AJ383" s="1"/>
      <c r="AK383" s="1"/>
      <c r="AL383" s="1"/>
      <c r="AM383" s="1"/>
      <c r="AN383" s="2"/>
      <c r="AO383" s="1"/>
      <c r="AP383" s="1"/>
      <c r="AQ383" s="1"/>
      <c r="AR383" s="2"/>
      <c r="AS383" s="1"/>
      <c r="AT383" s="2"/>
      <c r="AU383" s="4"/>
      <c r="AV383" s="7"/>
      <c r="AW383" s="4"/>
      <c r="AX383" s="3"/>
      <c r="AY383" s="4"/>
      <c r="AZ383" s="1"/>
      <c r="BA383" s="1"/>
      <c r="BB383" s="1"/>
      <c r="BC383" s="4"/>
      <c r="BD383" s="1"/>
      <c r="BE383" s="4"/>
      <c r="BF383" s="2"/>
      <c r="BG383" s="4"/>
      <c r="BH383" s="1"/>
      <c r="BI383" s="1"/>
    </row>
    <row r="384" spans="1:61" ht="15" customHeight="1" x14ac:dyDescent="0.25">
      <c r="A384" s="2"/>
      <c r="B384" s="1"/>
      <c r="E384" s="1"/>
      <c r="F384" s="1"/>
      <c r="G384" s="1"/>
      <c r="H384" s="1"/>
      <c r="J384" s="2"/>
      <c r="K384" s="3"/>
      <c r="L384" s="1"/>
      <c r="N384" s="3"/>
      <c r="P384" s="1"/>
      <c r="Q384" s="2"/>
      <c r="R384" s="3"/>
      <c r="S384" s="4"/>
      <c r="T384" s="3"/>
      <c r="U384" s="1"/>
      <c r="V384" s="1"/>
      <c r="W384" s="3"/>
      <c r="X384" s="1"/>
      <c r="Y384" s="4"/>
      <c r="Z384" s="4"/>
      <c r="AA384" s="1"/>
      <c r="AB384" s="1"/>
      <c r="AC384" s="1"/>
      <c r="AD384" s="2"/>
      <c r="AE384" s="1"/>
      <c r="AF384" s="1"/>
      <c r="AG384" s="1"/>
      <c r="AH384" s="3"/>
      <c r="AI384" s="1"/>
      <c r="AJ384" s="1"/>
      <c r="AK384" s="1"/>
      <c r="AL384" s="1"/>
      <c r="AM384" s="1"/>
      <c r="AN384" s="2"/>
      <c r="AO384" s="1"/>
      <c r="AP384" s="1"/>
      <c r="AQ384" s="1"/>
      <c r="AR384" s="2"/>
      <c r="AS384" s="1"/>
      <c r="AT384" s="2"/>
      <c r="AU384" s="4"/>
      <c r="AV384" s="7"/>
      <c r="AW384" s="4"/>
      <c r="AX384" s="3"/>
      <c r="AY384" s="4"/>
      <c r="AZ384" s="1"/>
      <c r="BA384" s="1"/>
      <c r="BB384" s="1"/>
      <c r="BC384" s="4"/>
      <c r="BD384" s="1"/>
      <c r="BE384" s="4"/>
      <c r="BF384" s="2"/>
      <c r="BG384" s="4"/>
      <c r="BH384" s="1"/>
      <c r="BI384" s="1"/>
    </row>
    <row r="385" spans="1:61" ht="15" customHeight="1" x14ac:dyDescent="0.25">
      <c r="A385" s="2"/>
      <c r="B385" s="1"/>
      <c r="E385" s="1"/>
      <c r="F385" s="1"/>
      <c r="G385" s="1"/>
      <c r="H385" s="1"/>
      <c r="J385" s="2"/>
      <c r="K385" s="3"/>
      <c r="L385" s="1"/>
      <c r="N385" s="3"/>
      <c r="P385" s="1"/>
      <c r="Q385" s="2"/>
      <c r="R385" s="3"/>
      <c r="S385" s="4"/>
      <c r="T385" s="3"/>
      <c r="U385" s="1"/>
      <c r="V385" s="1"/>
      <c r="W385" s="3"/>
      <c r="X385" s="1"/>
      <c r="Y385" s="4"/>
      <c r="Z385" s="4"/>
      <c r="AA385" s="1"/>
      <c r="AB385" s="1"/>
      <c r="AC385" s="1"/>
      <c r="AD385" s="2"/>
      <c r="AE385" s="1"/>
      <c r="AF385" s="1"/>
      <c r="AG385" s="1"/>
      <c r="AH385" s="3"/>
      <c r="AI385" s="1"/>
      <c r="AJ385" s="1"/>
      <c r="AK385" s="1"/>
      <c r="AL385" s="1"/>
      <c r="AM385" s="1"/>
      <c r="AN385" s="2"/>
      <c r="AO385" s="1"/>
      <c r="AP385" s="1"/>
      <c r="AQ385" s="1"/>
      <c r="AR385" s="2"/>
      <c r="AS385" s="1"/>
      <c r="AT385" s="2"/>
      <c r="AU385" s="4"/>
      <c r="AV385" s="7"/>
      <c r="AW385" s="4"/>
      <c r="AX385" s="3"/>
      <c r="AY385" s="4"/>
      <c r="AZ385" s="1"/>
      <c r="BA385" s="1"/>
      <c r="BB385" s="1"/>
      <c r="BC385" s="4"/>
      <c r="BD385" s="1"/>
      <c r="BE385" s="4"/>
      <c r="BF385" s="2"/>
      <c r="BG385" s="4"/>
      <c r="BH385" s="1"/>
      <c r="BI385" s="1"/>
    </row>
    <row r="386" spans="1:61" ht="15" customHeight="1" x14ac:dyDescent="0.25">
      <c r="A386" s="2"/>
      <c r="B386" s="1"/>
      <c r="E386" s="1"/>
      <c r="F386" s="1"/>
      <c r="G386" s="1"/>
      <c r="H386" s="1"/>
      <c r="J386" s="2"/>
      <c r="K386" s="3"/>
      <c r="L386" s="1"/>
      <c r="N386" s="3"/>
      <c r="P386" s="1"/>
      <c r="Q386" s="2"/>
      <c r="R386" s="3"/>
      <c r="S386" s="4"/>
      <c r="T386" s="3"/>
      <c r="U386" s="1"/>
      <c r="V386" s="1"/>
      <c r="W386" s="3"/>
      <c r="X386" s="1"/>
      <c r="Y386" s="4"/>
      <c r="Z386" s="4"/>
      <c r="AA386" s="1"/>
      <c r="AB386" s="1"/>
      <c r="AC386" s="1"/>
      <c r="AD386" s="2"/>
      <c r="AE386" s="1"/>
      <c r="AF386" s="1"/>
      <c r="AG386" s="1"/>
      <c r="AH386" s="3"/>
      <c r="AI386" s="1"/>
      <c r="AJ386" s="1"/>
      <c r="AK386" s="1"/>
      <c r="AL386" s="1"/>
      <c r="AM386" s="1"/>
      <c r="AN386" s="2"/>
      <c r="AO386" s="1"/>
      <c r="AP386" s="1"/>
      <c r="AQ386" s="1"/>
      <c r="AR386" s="2"/>
      <c r="AS386" s="1"/>
      <c r="AT386" s="2"/>
      <c r="AU386" s="4"/>
      <c r="AV386" s="7"/>
      <c r="AW386" s="4"/>
      <c r="AX386" s="3"/>
      <c r="AY386" s="4"/>
      <c r="AZ386" s="1"/>
      <c r="BA386" s="1"/>
      <c r="BB386" s="1"/>
      <c r="BC386" s="4"/>
      <c r="BD386" s="1"/>
      <c r="BE386" s="4"/>
      <c r="BF386" s="2"/>
      <c r="BG386" s="4"/>
      <c r="BH386" s="1"/>
      <c r="BI386" s="1"/>
    </row>
    <row r="387" spans="1:61" ht="15" customHeight="1" x14ac:dyDescent="0.25">
      <c r="A387" s="2"/>
      <c r="B387" s="1"/>
      <c r="E387" s="1"/>
      <c r="F387" s="1"/>
      <c r="G387" s="1"/>
      <c r="H387" s="1"/>
      <c r="J387" s="2"/>
      <c r="K387" s="3"/>
      <c r="L387" s="1"/>
      <c r="N387" s="3"/>
      <c r="P387" s="1"/>
      <c r="Q387" s="2"/>
      <c r="R387" s="3"/>
      <c r="S387" s="4"/>
      <c r="T387" s="3"/>
      <c r="U387" s="1"/>
      <c r="V387" s="1"/>
      <c r="W387" s="3"/>
      <c r="X387" s="1"/>
      <c r="Y387" s="4"/>
      <c r="Z387" s="4"/>
      <c r="AA387" s="1"/>
      <c r="AB387" s="1"/>
      <c r="AC387" s="1"/>
      <c r="AD387" s="2"/>
      <c r="AE387" s="1"/>
      <c r="AF387" s="1"/>
      <c r="AG387" s="1"/>
      <c r="AH387" s="3"/>
      <c r="AI387" s="1"/>
      <c r="AJ387" s="1"/>
      <c r="AK387" s="1"/>
      <c r="AL387" s="1"/>
      <c r="AM387" s="1"/>
      <c r="AN387" s="2"/>
      <c r="AO387" s="1"/>
      <c r="AP387" s="1"/>
      <c r="AQ387" s="1"/>
      <c r="AR387" s="2"/>
      <c r="AS387" s="1"/>
      <c r="AT387" s="2"/>
      <c r="AU387" s="4"/>
      <c r="AV387" s="7"/>
      <c r="AW387" s="4"/>
      <c r="AX387" s="3"/>
      <c r="AY387" s="4"/>
      <c r="AZ387" s="1"/>
      <c r="BA387" s="1"/>
      <c r="BB387" s="1"/>
      <c r="BC387" s="4"/>
      <c r="BD387" s="1"/>
      <c r="BE387" s="4"/>
      <c r="BF387" s="2"/>
      <c r="BG387" s="4"/>
      <c r="BH387" s="1"/>
      <c r="BI387" s="1"/>
    </row>
    <row r="388" spans="1:61" ht="15" customHeight="1" x14ac:dyDescent="0.25">
      <c r="A388" s="2"/>
      <c r="B388" s="1"/>
      <c r="E388" s="1"/>
      <c r="F388" s="1"/>
      <c r="G388" s="1"/>
      <c r="H388" s="1"/>
      <c r="J388" s="2"/>
      <c r="K388" s="3"/>
      <c r="L388" s="1"/>
      <c r="N388" s="3"/>
      <c r="P388" s="1"/>
      <c r="Q388" s="2"/>
      <c r="R388" s="3"/>
      <c r="S388" s="4"/>
      <c r="T388" s="3"/>
      <c r="U388" s="1"/>
      <c r="V388" s="1"/>
      <c r="W388" s="3"/>
      <c r="X388" s="1"/>
      <c r="Y388" s="4"/>
      <c r="Z388" s="4"/>
      <c r="AA388" s="1"/>
      <c r="AB388" s="1"/>
      <c r="AC388" s="1"/>
      <c r="AD388" s="2"/>
      <c r="AE388" s="1"/>
      <c r="AF388" s="1"/>
      <c r="AG388" s="1"/>
      <c r="AH388" s="3"/>
      <c r="AI388" s="1"/>
      <c r="AJ388" s="1"/>
      <c r="AK388" s="1"/>
      <c r="AL388" s="1"/>
      <c r="AM388" s="1"/>
      <c r="AN388" s="2"/>
      <c r="AO388" s="1"/>
      <c r="AP388" s="1"/>
      <c r="AQ388" s="1"/>
      <c r="AR388" s="2"/>
      <c r="AS388" s="1"/>
      <c r="AT388" s="2"/>
      <c r="AU388" s="4"/>
      <c r="AV388" s="4"/>
      <c r="AW388" s="4"/>
      <c r="AX388" s="3"/>
      <c r="AY388" s="4"/>
      <c r="AZ388" s="1"/>
      <c r="BA388" s="1"/>
      <c r="BB388" s="1"/>
      <c r="BC388" s="4"/>
      <c r="BD388" s="1"/>
      <c r="BE388" s="4"/>
      <c r="BF388" s="2"/>
      <c r="BG388" s="4"/>
      <c r="BH388" s="1"/>
      <c r="BI388" s="1"/>
    </row>
    <row r="389" spans="1:61" ht="15" customHeight="1" x14ac:dyDescent="0.25">
      <c r="A389" s="2"/>
      <c r="B389" s="1"/>
      <c r="E389" s="1"/>
      <c r="F389" s="1"/>
      <c r="G389" s="1"/>
      <c r="H389" s="1"/>
      <c r="J389" s="2"/>
      <c r="K389" s="3"/>
      <c r="L389" s="1"/>
      <c r="N389" s="3"/>
      <c r="P389" s="1"/>
      <c r="Q389" s="2"/>
      <c r="R389" s="3"/>
      <c r="S389" s="4"/>
      <c r="T389" s="3"/>
      <c r="U389" s="1"/>
      <c r="V389" s="1"/>
      <c r="W389" s="3"/>
      <c r="X389" s="1"/>
      <c r="Y389" s="4"/>
      <c r="Z389" s="4"/>
      <c r="AA389" s="1"/>
      <c r="AB389" s="1"/>
      <c r="AC389" s="1"/>
      <c r="AD389" s="2"/>
      <c r="AE389" s="1"/>
      <c r="AF389" s="1"/>
      <c r="AG389" s="1"/>
      <c r="AH389" s="3"/>
      <c r="AI389" s="1"/>
      <c r="AJ389" s="1"/>
      <c r="AK389" s="1"/>
      <c r="AL389" s="1"/>
      <c r="AM389" s="1"/>
      <c r="AN389" s="2"/>
      <c r="AO389" s="1"/>
      <c r="AP389" s="1"/>
      <c r="AQ389" s="1"/>
      <c r="AR389" s="2"/>
      <c r="AS389" s="1"/>
      <c r="AT389" s="2"/>
      <c r="AU389" s="4"/>
      <c r="AV389" s="7"/>
      <c r="AW389" s="4"/>
      <c r="AX389" s="3"/>
      <c r="AY389" s="4"/>
      <c r="AZ389" s="1"/>
      <c r="BA389" s="1"/>
      <c r="BB389" s="1"/>
      <c r="BC389" s="4"/>
      <c r="BD389" s="1"/>
      <c r="BE389" s="4"/>
      <c r="BF389" s="2"/>
      <c r="BG389" s="4"/>
      <c r="BH389" s="1"/>
      <c r="BI389" s="1"/>
    </row>
    <row r="390" spans="1:61" ht="15" customHeight="1" x14ac:dyDescent="0.25">
      <c r="A390" s="2"/>
      <c r="B390" s="1"/>
      <c r="E390" s="1"/>
      <c r="F390" s="1"/>
      <c r="G390" s="1"/>
      <c r="H390" s="1"/>
      <c r="J390" s="2"/>
      <c r="K390" s="3"/>
      <c r="L390" s="1"/>
      <c r="N390" s="3"/>
      <c r="P390" s="1"/>
      <c r="Q390" s="2"/>
      <c r="R390" s="3"/>
      <c r="S390" s="4"/>
      <c r="T390" s="3"/>
      <c r="U390" s="1"/>
      <c r="V390" s="1"/>
      <c r="W390" s="3"/>
      <c r="X390" s="1"/>
      <c r="Y390" s="4"/>
      <c r="Z390" s="4"/>
      <c r="AA390" s="1"/>
      <c r="AB390" s="1"/>
      <c r="AC390" s="1"/>
      <c r="AD390" s="2"/>
      <c r="AE390" s="1"/>
      <c r="AF390" s="1"/>
      <c r="AG390" s="1"/>
      <c r="AH390" s="3"/>
      <c r="AI390" s="1"/>
      <c r="AJ390" s="1"/>
      <c r="AK390" s="1"/>
      <c r="AL390" s="1"/>
      <c r="AM390" s="1"/>
      <c r="AN390" s="2"/>
      <c r="AO390" s="1"/>
      <c r="AP390" s="1"/>
      <c r="AQ390" s="1"/>
      <c r="AR390" s="2"/>
      <c r="AS390" s="1"/>
      <c r="AT390" s="2"/>
      <c r="AU390" s="4"/>
      <c r="AV390" s="7"/>
      <c r="AW390" s="4"/>
      <c r="AX390" s="3"/>
      <c r="AY390" s="4"/>
      <c r="AZ390" s="1"/>
      <c r="BA390" s="1"/>
      <c r="BB390" s="1"/>
      <c r="BC390" s="4"/>
      <c r="BD390" s="1"/>
      <c r="BE390" s="4"/>
      <c r="BF390" s="2"/>
      <c r="BG390" s="4"/>
      <c r="BH390" s="1"/>
      <c r="BI390" s="1"/>
    </row>
    <row r="391" spans="1:61" ht="15" customHeight="1" x14ac:dyDescent="0.25">
      <c r="A391" s="2"/>
      <c r="B391" s="1"/>
      <c r="E391" s="1"/>
      <c r="F391" s="1"/>
      <c r="G391" s="1"/>
      <c r="H391" s="1"/>
      <c r="J391" s="2"/>
      <c r="K391" s="3"/>
      <c r="L391" s="1"/>
      <c r="N391" s="3"/>
      <c r="P391" s="1"/>
      <c r="Q391" s="2"/>
      <c r="R391" s="3"/>
      <c r="S391" s="4"/>
      <c r="T391" s="3"/>
      <c r="U391" s="1"/>
      <c r="V391" s="1"/>
      <c r="W391" s="3"/>
      <c r="X391" s="1"/>
      <c r="Y391" s="4"/>
      <c r="Z391" s="4"/>
      <c r="AA391" s="1"/>
      <c r="AB391" s="1"/>
      <c r="AC391" s="1"/>
      <c r="AD391" s="2"/>
      <c r="AE391" s="1"/>
      <c r="AF391" s="1"/>
      <c r="AG391" s="1"/>
      <c r="AH391" s="3"/>
      <c r="AI391" s="1"/>
      <c r="AJ391" s="1"/>
      <c r="AK391" s="1"/>
      <c r="AL391" s="1"/>
      <c r="AM391" s="1"/>
      <c r="AN391" s="2"/>
      <c r="AO391" s="1"/>
      <c r="AP391" s="1"/>
      <c r="AQ391" s="1"/>
      <c r="AR391" s="2"/>
      <c r="AS391" s="1"/>
      <c r="AT391" s="2"/>
      <c r="AU391" s="4"/>
      <c r="AV391" s="7"/>
      <c r="AW391" s="4"/>
      <c r="AX391" s="3"/>
      <c r="AY391" s="4"/>
      <c r="AZ391" s="1"/>
      <c r="BA391" s="1"/>
      <c r="BB391" s="1"/>
      <c r="BC391" s="4"/>
      <c r="BD391" s="1"/>
      <c r="BE391" s="4"/>
      <c r="BF391" s="2"/>
      <c r="BG391" s="4"/>
      <c r="BH391" s="1"/>
      <c r="BI391" s="1"/>
    </row>
    <row r="392" spans="1:61" ht="15" customHeight="1" x14ac:dyDescent="0.25">
      <c r="A392" s="2"/>
      <c r="B392" s="1"/>
      <c r="E392" s="1"/>
      <c r="F392" s="1"/>
      <c r="G392" s="1"/>
      <c r="H392" s="1"/>
      <c r="J392" s="2"/>
      <c r="K392" s="3"/>
      <c r="L392" s="1"/>
      <c r="N392" s="3"/>
      <c r="P392" s="1"/>
      <c r="Q392" s="2"/>
      <c r="R392" s="3"/>
      <c r="S392" s="4"/>
      <c r="T392" s="3"/>
      <c r="U392" s="1"/>
      <c r="V392" s="1"/>
      <c r="W392" s="3"/>
      <c r="X392" s="1"/>
      <c r="Y392" s="4"/>
      <c r="Z392" s="4"/>
      <c r="AA392" s="1"/>
      <c r="AB392" s="1"/>
      <c r="AC392" s="1"/>
      <c r="AD392" s="2"/>
      <c r="AE392" s="1"/>
      <c r="AF392" s="1"/>
      <c r="AG392" s="1"/>
      <c r="AH392" s="3"/>
      <c r="AI392" s="1"/>
      <c r="AJ392" s="1"/>
      <c r="AK392" s="1"/>
      <c r="AL392" s="1"/>
      <c r="AM392" s="1"/>
      <c r="AN392" s="2"/>
      <c r="AO392" s="1"/>
      <c r="AP392" s="1"/>
      <c r="AQ392" s="1"/>
      <c r="AR392" s="2"/>
      <c r="AS392" s="1"/>
      <c r="AT392" s="2"/>
      <c r="AU392" s="4"/>
      <c r="AV392" s="7"/>
      <c r="AW392" s="4"/>
      <c r="AX392" s="3"/>
      <c r="AY392" s="4"/>
      <c r="AZ392" s="1"/>
      <c r="BA392" s="1"/>
      <c r="BB392" s="1"/>
      <c r="BC392" s="4"/>
      <c r="BD392" s="1"/>
      <c r="BE392" s="4"/>
      <c r="BF392" s="2"/>
      <c r="BG392" s="4"/>
      <c r="BH392" s="1"/>
      <c r="BI392" s="1"/>
    </row>
    <row r="393" spans="1:61" ht="15" customHeight="1" x14ac:dyDescent="0.25">
      <c r="A393" s="2"/>
      <c r="B393" s="1"/>
      <c r="E393" s="1"/>
      <c r="F393" s="1"/>
      <c r="G393" s="1"/>
      <c r="H393" s="1"/>
      <c r="J393" s="2"/>
      <c r="K393" s="3"/>
      <c r="L393" s="1"/>
      <c r="N393" s="3"/>
      <c r="P393" s="1"/>
      <c r="Q393" s="2"/>
      <c r="R393" s="3"/>
      <c r="S393" s="4"/>
      <c r="T393" s="3"/>
      <c r="U393" s="1"/>
      <c r="V393" s="1"/>
      <c r="W393" s="3"/>
      <c r="X393" s="1"/>
      <c r="Y393" s="4"/>
      <c r="Z393" s="4"/>
      <c r="AA393" s="1"/>
      <c r="AB393" s="1"/>
      <c r="AC393" s="1"/>
      <c r="AD393" s="2"/>
      <c r="AE393" s="1"/>
      <c r="AF393" s="1"/>
      <c r="AG393" s="1"/>
      <c r="AH393" s="3"/>
      <c r="AI393" s="1"/>
      <c r="AJ393" s="1"/>
      <c r="AK393" s="1"/>
      <c r="AL393" s="1"/>
      <c r="AM393" s="1"/>
      <c r="AN393" s="2"/>
      <c r="AO393" s="1"/>
      <c r="AP393" s="1"/>
      <c r="AQ393" s="1"/>
      <c r="AR393" s="2"/>
      <c r="AS393" s="1"/>
      <c r="AT393" s="2"/>
      <c r="AU393" s="4"/>
      <c r="AV393" s="7"/>
      <c r="AW393" s="4"/>
      <c r="AX393" s="3"/>
      <c r="AY393" s="4"/>
      <c r="AZ393" s="1"/>
      <c r="BA393" s="1"/>
      <c r="BB393" s="1"/>
      <c r="BC393" s="4"/>
      <c r="BD393" s="1"/>
      <c r="BE393" s="4"/>
      <c r="BF393" s="2"/>
      <c r="BG393" s="4"/>
      <c r="BH393" s="1"/>
      <c r="BI393" s="1"/>
    </row>
    <row r="394" spans="1:61" ht="15" customHeight="1" x14ac:dyDescent="0.25">
      <c r="A394" s="2"/>
      <c r="B394" s="1"/>
      <c r="E394" s="1"/>
      <c r="F394" s="1"/>
      <c r="G394" s="1"/>
      <c r="H394" s="1"/>
      <c r="J394" s="2"/>
      <c r="K394" s="3"/>
      <c r="L394" s="1"/>
      <c r="N394" s="3"/>
      <c r="P394" s="1"/>
      <c r="Q394" s="2"/>
      <c r="R394" s="3"/>
      <c r="S394" s="4"/>
      <c r="T394" s="3"/>
      <c r="U394" s="1"/>
      <c r="V394" s="1"/>
      <c r="W394" s="3"/>
      <c r="X394" s="1"/>
      <c r="Y394" s="4"/>
      <c r="Z394" s="4"/>
      <c r="AA394" s="1"/>
      <c r="AB394" s="1"/>
      <c r="AC394" s="1"/>
      <c r="AD394" s="2"/>
      <c r="AE394" s="1"/>
      <c r="AF394" s="1"/>
      <c r="AG394" s="1"/>
      <c r="AH394" s="3"/>
      <c r="AI394" s="1"/>
      <c r="AJ394" s="1"/>
      <c r="AK394" s="1"/>
      <c r="AL394" s="1"/>
      <c r="AM394" s="1"/>
      <c r="AN394" s="2"/>
      <c r="AO394" s="1"/>
      <c r="AP394" s="1"/>
      <c r="AQ394" s="1"/>
      <c r="AR394" s="2"/>
      <c r="AS394" s="1"/>
      <c r="AT394" s="2"/>
      <c r="AU394" s="4"/>
      <c r="AV394" s="7"/>
      <c r="AW394" s="4"/>
      <c r="AX394" s="3"/>
      <c r="AY394" s="4"/>
      <c r="AZ394" s="1"/>
      <c r="BA394" s="1"/>
      <c r="BB394" s="1"/>
      <c r="BC394" s="4"/>
      <c r="BD394" s="1"/>
      <c r="BE394" s="4"/>
      <c r="BF394" s="2"/>
      <c r="BG394" s="4"/>
      <c r="BH394" s="1"/>
      <c r="BI394" s="1"/>
    </row>
    <row r="395" spans="1:61" ht="15" customHeight="1" x14ac:dyDescent="0.25">
      <c r="A395" s="2"/>
      <c r="B395" s="1"/>
      <c r="E395" s="1"/>
      <c r="F395" s="1"/>
      <c r="G395" s="1"/>
      <c r="H395" s="1"/>
      <c r="J395" s="2"/>
      <c r="K395" s="3"/>
      <c r="L395" s="1"/>
      <c r="N395" s="3"/>
      <c r="P395" s="1"/>
      <c r="Q395" s="2"/>
      <c r="R395" s="3"/>
      <c r="S395" s="4"/>
      <c r="T395" s="3"/>
      <c r="U395" s="1"/>
      <c r="V395" s="1"/>
      <c r="W395" s="3"/>
      <c r="X395" s="1"/>
      <c r="Y395" s="4"/>
      <c r="Z395" s="4"/>
      <c r="AA395" s="1"/>
      <c r="AB395" s="1"/>
      <c r="AC395" s="1"/>
      <c r="AD395" s="2"/>
      <c r="AE395" s="1"/>
      <c r="AF395" s="1"/>
      <c r="AG395" s="1"/>
      <c r="AH395" s="3"/>
      <c r="AI395" s="1"/>
      <c r="AJ395" s="1"/>
      <c r="AK395" s="1"/>
      <c r="AL395" s="1"/>
      <c r="AM395" s="1"/>
      <c r="AN395" s="2"/>
      <c r="AO395" s="1"/>
      <c r="AP395" s="1"/>
      <c r="AQ395" s="1"/>
      <c r="AR395" s="2"/>
      <c r="AS395" s="1"/>
      <c r="AT395" s="2"/>
      <c r="AU395" s="4"/>
      <c r="AV395" s="7"/>
      <c r="AW395" s="4"/>
      <c r="AX395" s="3"/>
      <c r="AY395" s="4"/>
      <c r="AZ395" s="1"/>
      <c r="BA395" s="1"/>
      <c r="BB395" s="1"/>
      <c r="BC395" s="4"/>
      <c r="BD395" s="1"/>
      <c r="BE395" s="4"/>
      <c r="BF395" s="2"/>
      <c r="BG395" s="4"/>
      <c r="BH395" s="1"/>
      <c r="BI395" s="1"/>
    </row>
    <row r="396" spans="1:61" ht="15" customHeight="1" x14ac:dyDescent="0.25">
      <c r="A396" s="2"/>
      <c r="B396" s="1"/>
      <c r="E396" s="1"/>
      <c r="F396" s="1"/>
      <c r="G396" s="1"/>
      <c r="H396" s="1"/>
      <c r="J396" s="2"/>
      <c r="K396" s="3"/>
      <c r="L396" s="1"/>
      <c r="N396" s="3"/>
      <c r="P396" s="1"/>
      <c r="Q396" s="2"/>
      <c r="R396" s="3"/>
      <c r="S396" s="4"/>
      <c r="T396" s="3"/>
      <c r="U396" s="1"/>
      <c r="V396" s="1"/>
      <c r="W396" s="3"/>
      <c r="X396" s="1"/>
      <c r="Y396" s="4"/>
      <c r="Z396" s="4"/>
      <c r="AA396" s="1"/>
      <c r="AB396" s="1"/>
      <c r="AC396" s="1"/>
      <c r="AD396" s="2"/>
      <c r="AE396" s="1"/>
      <c r="AF396" s="1"/>
      <c r="AG396" s="1"/>
      <c r="AH396" s="3"/>
      <c r="AI396" s="1"/>
      <c r="AJ396" s="1"/>
      <c r="AK396" s="1"/>
      <c r="AL396" s="1"/>
      <c r="AM396" s="1"/>
      <c r="AN396" s="2"/>
      <c r="AO396" s="1"/>
      <c r="AP396" s="1"/>
      <c r="AQ396" s="1"/>
      <c r="AR396" s="2"/>
      <c r="AS396" s="1"/>
      <c r="AT396" s="2"/>
      <c r="AU396" s="4"/>
      <c r="AV396" s="7"/>
      <c r="AW396" s="4"/>
      <c r="AX396" s="3"/>
      <c r="AY396" s="4"/>
      <c r="AZ396" s="1"/>
      <c r="BA396" s="1"/>
      <c r="BB396" s="1"/>
      <c r="BC396" s="4"/>
      <c r="BD396" s="1"/>
      <c r="BE396" s="4"/>
      <c r="BF396" s="2"/>
      <c r="BG396" s="4"/>
      <c r="BH396" s="1"/>
      <c r="BI396" s="1"/>
    </row>
    <row r="397" spans="1:61" ht="15" customHeight="1" x14ac:dyDescent="0.25">
      <c r="A397" s="2"/>
      <c r="B397" s="1"/>
      <c r="E397" s="1"/>
      <c r="F397" s="1"/>
      <c r="G397" s="1"/>
      <c r="H397" s="1"/>
      <c r="J397" s="2"/>
      <c r="K397" s="3"/>
      <c r="L397" s="1"/>
      <c r="N397" s="3"/>
      <c r="P397" s="1"/>
      <c r="Q397" s="2"/>
      <c r="R397" s="3"/>
      <c r="S397" s="4"/>
      <c r="T397" s="3"/>
      <c r="U397" s="1"/>
      <c r="V397" s="1"/>
      <c r="W397" s="3"/>
      <c r="X397" s="1"/>
      <c r="Y397" s="4"/>
      <c r="Z397" s="4"/>
      <c r="AA397" s="1"/>
      <c r="AB397" s="1"/>
      <c r="AC397" s="1"/>
      <c r="AD397" s="2"/>
      <c r="AE397" s="1"/>
      <c r="AF397" s="1"/>
      <c r="AG397" s="1"/>
      <c r="AH397" s="3"/>
      <c r="AI397" s="1"/>
      <c r="AJ397" s="1"/>
      <c r="AK397" s="1"/>
      <c r="AL397" s="1"/>
      <c r="AM397" s="1"/>
      <c r="AN397" s="2"/>
      <c r="AO397" s="1"/>
      <c r="AP397" s="1"/>
      <c r="AQ397" s="1"/>
      <c r="AR397" s="2"/>
      <c r="AS397" s="1"/>
      <c r="AT397" s="2"/>
      <c r="AU397" s="4"/>
      <c r="AV397" s="7"/>
      <c r="AW397" s="4"/>
      <c r="AX397" s="3"/>
      <c r="AY397" s="4"/>
      <c r="AZ397" s="1"/>
      <c r="BA397" s="1"/>
      <c r="BB397" s="1"/>
      <c r="BC397" s="4"/>
      <c r="BD397" s="1"/>
      <c r="BE397" s="4"/>
      <c r="BF397" s="2"/>
      <c r="BG397" s="4"/>
      <c r="BH397" s="1"/>
      <c r="BI397" s="1"/>
    </row>
    <row r="398" spans="1:61" ht="15" customHeight="1" x14ac:dyDescent="0.25">
      <c r="A398" s="2"/>
      <c r="B398" s="1"/>
      <c r="E398" s="1"/>
      <c r="F398" s="1"/>
      <c r="G398" s="1"/>
      <c r="H398" s="1"/>
      <c r="J398" s="2"/>
      <c r="K398" s="3"/>
      <c r="L398" s="1"/>
      <c r="N398" s="3"/>
      <c r="P398" s="1"/>
      <c r="Q398" s="2"/>
      <c r="R398" s="3"/>
      <c r="S398" s="4"/>
      <c r="T398" s="3"/>
      <c r="U398" s="1"/>
      <c r="V398" s="1"/>
      <c r="W398" s="3"/>
      <c r="X398" s="1"/>
      <c r="Y398" s="4"/>
      <c r="Z398" s="4"/>
      <c r="AA398" s="1"/>
      <c r="AB398" s="1"/>
      <c r="AC398" s="1"/>
      <c r="AD398" s="2"/>
      <c r="AE398" s="1"/>
      <c r="AF398" s="1"/>
      <c r="AG398" s="1"/>
      <c r="AH398" s="3"/>
      <c r="AI398" s="1"/>
      <c r="AJ398" s="1"/>
      <c r="AK398" s="1"/>
      <c r="AL398" s="1"/>
      <c r="AM398" s="1"/>
      <c r="AN398" s="2"/>
      <c r="AO398" s="1"/>
      <c r="AP398" s="1"/>
      <c r="AQ398" s="1"/>
      <c r="AR398" s="2"/>
      <c r="AS398" s="1"/>
      <c r="AT398" s="2"/>
      <c r="AU398" s="4"/>
      <c r="AV398" s="7"/>
      <c r="AW398" s="4"/>
      <c r="AX398" s="3"/>
      <c r="AY398" s="4"/>
      <c r="AZ398" s="1"/>
      <c r="BA398" s="1"/>
      <c r="BB398" s="1"/>
      <c r="BC398" s="4"/>
      <c r="BD398" s="1"/>
      <c r="BE398" s="4"/>
      <c r="BF398" s="2"/>
      <c r="BG398" s="4"/>
      <c r="BH398" s="1"/>
      <c r="BI398" s="1"/>
    </row>
    <row r="399" spans="1:61" ht="15" customHeight="1" x14ac:dyDescent="0.25">
      <c r="A399" s="2"/>
      <c r="B399" s="1"/>
      <c r="E399" s="1"/>
      <c r="F399" s="1"/>
      <c r="G399" s="1"/>
      <c r="H399" s="1"/>
      <c r="J399" s="2"/>
      <c r="K399" s="3"/>
      <c r="L399" s="1"/>
      <c r="N399" s="3"/>
      <c r="P399" s="1"/>
      <c r="Q399" s="2"/>
      <c r="R399" s="3"/>
      <c r="S399" s="4"/>
      <c r="T399" s="3"/>
      <c r="U399" s="1"/>
      <c r="V399" s="1"/>
      <c r="W399" s="3"/>
      <c r="X399" s="1"/>
      <c r="Y399" s="4"/>
      <c r="Z399" s="4"/>
      <c r="AA399" s="1"/>
      <c r="AB399" s="1"/>
      <c r="AC399" s="1"/>
      <c r="AD399" s="2"/>
      <c r="AE399" s="1"/>
      <c r="AF399" s="1"/>
      <c r="AG399" s="1"/>
      <c r="AH399" s="3"/>
      <c r="AI399" s="1"/>
      <c r="AJ399" s="1"/>
      <c r="AK399" s="1"/>
      <c r="AL399" s="1"/>
      <c r="AM399" s="1"/>
      <c r="AN399" s="2"/>
      <c r="AO399" s="1"/>
      <c r="AP399" s="1"/>
      <c r="AQ399" s="1"/>
      <c r="AR399" s="2"/>
      <c r="AS399" s="1"/>
      <c r="AT399" s="2"/>
      <c r="AU399" s="4"/>
      <c r="AV399" s="7"/>
      <c r="AW399" s="4"/>
      <c r="AX399" s="3"/>
      <c r="AY399" s="4"/>
      <c r="AZ399" s="1"/>
      <c r="BA399" s="1"/>
      <c r="BB399" s="1"/>
      <c r="BC399" s="4"/>
      <c r="BD399" s="1"/>
      <c r="BE399" s="4"/>
      <c r="BF399" s="2"/>
      <c r="BG399" s="4"/>
      <c r="BH399" s="1"/>
      <c r="BI399" s="1"/>
    </row>
    <row r="400" spans="1:61" ht="15" customHeight="1" x14ac:dyDescent="0.25">
      <c r="A400" s="2"/>
      <c r="B400" s="1"/>
      <c r="E400" s="1"/>
      <c r="F400" s="1"/>
      <c r="G400" s="1"/>
      <c r="H400" s="1"/>
      <c r="J400" s="2"/>
      <c r="K400" s="3"/>
      <c r="L400" s="1"/>
      <c r="N400" s="3"/>
      <c r="P400" s="1"/>
      <c r="Q400" s="2"/>
      <c r="R400" s="3"/>
      <c r="S400" s="4"/>
      <c r="T400" s="3"/>
      <c r="U400" s="1"/>
      <c r="V400" s="1"/>
      <c r="W400" s="3"/>
      <c r="X400" s="1"/>
      <c r="Y400" s="4"/>
      <c r="Z400" s="4"/>
      <c r="AA400" s="1"/>
      <c r="AB400" s="1"/>
      <c r="AC400" s="1"/>
      <c r="AD400" s="2"/>
      <c r="AE400" s="1"/>
      <c r="AF400" s="1"/>
      <c r="AG400" s="1"/>
      <c r="AH400" s="3"/>
      <c r="AI400" s="1"/>
      <c r="AJ400" s="1"/>
      <c r="AK400" s="1"/>
      <c r="AL400" s="1"/>
      <c r="AM400" s="1"/>
      <c r="AN400" s="2"/>
      <c r="AO400" s="1"/>
      <c r="AP400" s="1"/>
      <c r="AQ400" s="1"/>
      <c r="AR400" s="2"/>
      <c r="AS400" s="1"/>
      <c r="AT400" s="2"/>
      <c r="AU400" s="4"/>
      <c r="AV400" s="7"/>
      <c r="AW400" s="4"/>
      <c r="AX400" s="3"/>
      <c r="AY400" s="4"/>
      <c r="AZ400" s="1"/>
      <c r="BA400" s="1"/>
      <c r="BB400" s="1"/>
      <c r="BC400" s="4"/>
      <c r="BD400" s="1"/>
      <c r="BE400" s="4"/>
      <c r="BF400" s="2"/>
      <c r="BG400" s="4"/>
      <c r="BH400" s="1"/>
      <c r="BI400" s="1"/>
    </row>
    <row r="401" spans="1:61" ht="15" customHeight="1" x14ac:dyDescent="0.25">
      <c r="A401" s="2"/>
      <c r="B401" s="1"/>
      <c r="E401" s="1"/>
      <c r="F401" s="1"/>
      <c r="G401" s="1"/>
      <c r="H401" s="1"/>
      <c r="J401" s="2"/>
      <c r="K401" s="3"/>
      <c r="L401" s="1"/>
      <c r="N401" s="3"/>
      <c r="P401" s="1"/>
      <c r="Q401" s="2"/>
      <c r="R401" s="3"/>
      <c r="S401" s="4"/>
      <c r="T401" s="3"/>
      <c r="U401" s="1"/>
      <c r="V401" s="1"/>
      <c r="W401" s="3"/>
      <c r="X401" s="1"/>
      <c r="Y401" s="4"/>
      <c r="Z401" s="4"/>
      <c r="AA401" s="1"/>
      <c r="AB401" s="1"/>
      <c r="AC401" s="1"/>
      <c r="AD401" s="2"/>
      <c r="AE401" s="1"/>
      <c r="AF401" s="1"/>
      <c r="AG401" s="1"/>
      <c r="AH401" s="3"/>
      <c r="AI401" s="1"/>
      <c r="AJ401" s="1"/>
      <c r="AK401" s="1"/>
      <c r="AL401" s="1"/>
      <c r="AM401" s="1"/>
      <c r="AN401" s="2"/>
      <c r="AO401" s="1"/>
      <c r="AP401" s="1"/>
      <c r="AQ401" s="1"/>
      <c r="AR401" s="2"/>
      <c r="AS401" s="1"/>
      <c r="AT401" s="2"/>
      <c r="AU401" s="4"/>
      <c r="AV401" s="7"/>
      <c r="AW401" s="4"/>
      <c r="AX401" s="3"/>
      <c r="AY401" s="4"/>
      <c r="AZ401" s="1"/>
      <c r="BA401" s="1"/>
      <c r="BB401" s="1"/>
      <c r="BC401" s="4"/>
      <c r="BD401" s="1"/>
      <c r="BE401" s="4"/>
      <c r="BF401" s="2"/>
      <c r="BG401" s="4"/>
      <c r="BH401" s="1"/>
      <c r="BI401" s="1"/>
    </row>
    <row r="402" spans="1:61" ht="15" customHeight="1" x14ac:dyDescent="0.25">
      <c r="A402" s="2"/>
      <c r="B402" s="1"/>
      <c r="E402" s="1"/>
      <c r="F402" s="1"/>
      <c r="G402" s="1"/>
      <c r="H402" s="1"/>
      <c r="J402" s="2"/>
      <c r="K402" s="3"/>
      <c r="L402" s="1"/>
      <c r="N402" s="3"/>
      <c r="P402" s="1"/>
      <c r="Q402" s="2"/>
      <c r="R402" s="3"/>
      <c r="S402" s="4"/>
      <c r="T402" s="3"/>
      <c r="U402" s="1"/>
      <c r="V402" s="1"/>
      <c r="W402" s="3"/>
      <c r="X402" s="1"/>
      <c r="Y402" s="4"/>
      <c r="Z402" s="4"/>
      <c r="AA402" s="1"/>
      <c r="AB402" s="1"/>
      <c r="AC402" s="1"/>
      <c r="AD402" s="2"/>
      <c r="AE402" s="1"/>
      <c r="AF402" s="1"/>
      <c r="AG402" s="1"/>
      <c r="AH402" s="3"/>
      <c r="AI402" s="1"/>
      <c r="AJ402" s="1"/>
      <c r="AK402" s="1"/>
      <c r="AL402" s="1"/>
      <c r="AM402" s="1"/>
      <c r="AN402" s="2"/>
      <c r="AO402" s="1"/>
      <c r="AP402" s="1"/>
      <c r="AQ402" s="1"/>
      <c r="AR402" s="2"/>
      <c r="AS402" s="1"/>
      <c r="AT402" s="2"/>
      <c r="AU402" s="4"/>
      <c r="AV402" s="7"/>
      <c r="AW402" s="4"/>
      <c r="AX402" s="3"/>
      <c r="AY402" s="4"/>
      <c r="AZ402" s="1"/>
      <c r="BA402" s="1"/>
      <c r="BB402" s="1"/>
      <c r="BC402" s="4"/>
      <c r="BD402" s="1"/>
      <c r="BE402" s="4"/>
      <c r="BF402" s="2"/>
      <c r="BG402" s="4"/>
      <c r="BH402" s="1"/>
      <c r="BI402" s="1"/>
    </row>
    <row r="403" spans="1:61" ht="15" customHeight="1" x14ac:dyDescent="0.25">
      <c r="A403" s="2"/>
      <c r="B403" s="1"/>
      <c r="E403" s="1"/>
      <c r="F403" s="1"/>
      <c r="G403" s="1"/>
      <c r="H403" s="1"/>
      <c r="J403" s="2"/>
      <c r="K403" s="3"/>
      <c r="L403" s="1"/>
      <c r="N403" s="3"/>
      <c r="P403" s="1"/>
      <c r="Q403" s="2"/>
      <c r="R403" s="3"/>
      <c r="S403" s="4"/>
      <c r="T403" s="3"/>
      <c r="U403" s="1"/>
      <c r="V403" s="1"/>
      <c r="W403" s="3"/>
      <c r="X403" s="1"/>
      <c r="Y403" s="4"/>
      <c r="Z403" s="4"/>
      <c r="AA403" s="1"/>
      <c r="AB403" s="1"/>
      <c r="AC403" s="1"/>
      <c r="AD403" s="2"/>
      <c r="AE403" s="1"/>
      <c r="AF403" s="1"/>
      <c r="AG403" s="1"/>
      <c r="AH403" s="3"/>
      <c r="AI403" s="1"/>
      <c r="AJ403" s="1"/>
      <c r="AK403" s="1"/>
      <c r="AL403" s="1"/>
      <c r="AM403" s="1"/>
      <c r="AN403" s="2"/>
      <c r="AO403" s="1"/>
      <c r="AP403" s="1"/>
      <c r="AQ403" s="1"/>
      <c r="AR403" s="2"/>
      <c r="AS403" s="1"/>
      <c r="AT403" s="2"/>
      <c r="AU403" s="4"/>
      <c r="AV403" s="7"/>
      <c r="AW403" s="4"/>
      <c r="AX403" s="3"/>
      <c r="AY403" s="4"/>
      <c r="AZ403" s="1"/>
      <c r="BA403" s="1"/>
      <c r="BB403" s="1"/>
      <c r="BC403" s="4"/>
      <c r="BD403" s="1"/>
      <c r="BE403" s="4"/>
      <c r="BF403" s="2"/>
      <c r="BG403" s="4"/>
      <c r="BH403" s="1"/>
      <c r="BI403" s="1"/>
    </row>
    <row r="404" spans="1:61" ht="15" customHeight="1" x14ac:dyDescent="0.25">
      <c r="A404" s="2"/>
      <c r="B404" s="1"/>
      <c r="E404" s="1"/>
      <c r="F404" s="1"/>
      <c r="G404" s="1"/>
      <c r="H404" s="1"/>
      <c r="J404" s="2"/>
      <c r="K404" s="3"/>
      <c r="L404" s="1"/>
      <c r="N404" s="3"/>
      <c r="P404" s="1"/>
      <c r="Q404" s="2"/>
      <c r="R404" s="3"/>
      <c r="S404" s="4"/>
      <c r="T404" s="3"/>
      <c r="U404" s="1"/>
      <c r="V404" s="1"/>
      <c r="W404" s="3"/>
      <c r="X404" s="1"/>
      <c r="Y404" s="4"/>
      <c r="Z404" s="4"/>
      <c r="AA404" s="1"/>
      <c r="AB404" s="1"/>
      <c r="AC404" s="1"/>
      <c r="AD404" s="2"/>
      <c r="AE404" s="1"/>
      <c r="AF404" s="1"/>
      <c r="AG404" s="1"/>
      <c r="AH404" s="3"/>
      <c r="AI404" s="1"/>
      <c r="AJ404" s="1"/>
      <c r="AK404" s="1"/>
      <c r="AL404" s="1"/>
      <c r="AM404" s="1"/>
      <c r="AN404" s="2"/>
      <c r="AO404" s="1"/>
      <c r="AP404" s="1"/>
      <c r="AQ404" s="1"/>
      <c r="AR404" s="2"/>
      <c r="AS404" s="1"/>
      <c r="AT404" s="2"/>
      <c r="AU404" s="4"/>
      <c r="AV404" s="7"/>
      <c r="AW404" s="4"/>
      <c r="AX404" s="3"/>
      <c r="AY404" s="4"/>
      <c r="AZ404" s="1"/>
      <c r="BA404" s="1"/>
      <c r="BB404" s="1"/>
      <c r="BC404" s="4"/>
      <c r="BD404" s="1"/>
      <c r="BE404" s="4"/>
      <c r="BF404" s="2"/>
      <c r="BG404" s="4"/>
      <c r="BH404" s="1"/>
      <c r="BI404" s="1"/>
    </row>
    <row r="405" spans="1:61" ht="15" customHeight="1" x14ac:dyDescent="0.25">
      <c r="A405" s="2"/>
      <c r="B405" s="1"/>
      <c r="E405" s="1"/>
      <c r="F405" s="1"/>
      <c r="G405" s="1"/>
      <c r="H405" s="1"/>
      <c r="J405" s="2"/>
      <c r="K405" s="3"/>
      <c r="L405" s="1"/>
      <c r="N405" s="3"/>
      <c r="P405" s="1"/>
      <c r="Q405" s="2"/>
      <c r="R405" s="3"/>
      <c r="S405" s="4"/>
      <c r="T405" s="3"/>
      <c r="U405" s="1"/>
      <c r="V405" s="1"/>
      <c r="W405" s="3"/>
      <c r="X405" s="1"/>
      <c r="Y405" s="4"/>
      <c r="Z405" s="4"/>
      <c r="AA405" s="1"/>
      <c r="AB405" s="1"/>
      <c r="AC405" s="1"/>
      <c r="AD405" s="2"/>
      <c r="AE405" s="1"/>
      <c r="AF405" s="1"/>
      <c r="AG405" s="1"/>
      <c r="AH405" s="3"/>
      <c r="AI405" s="1"/>
      <c r="AJ405" s="1"/>
      <c r="AK405" s="1"/>
      <c r="AL405" s="1"/>
      <c r="AM405" s="1"/>
      <c r="AN405" s="2"/>
      <c r="AO405" s="1"/>
      <c r="AP405" s="1"/>
      <c r="AQ405" s="1"/>
      <c r="AR405" s="2"/>
      <c r="AS405" s="1"/>
      <c r="AT405" s="2"/>
      <c r="AU405" s="4"/>
      <c r="AV405" s="7"/>
      <c r="AW405" s="4"/>
      <c r="AX405" s="3"/>
      <c r="AY405" s="4"/>
      <c r="AZ405" s="1"/>
      <c r="BA405" s="1"/>
      <c r="BB405" s="1"/>
      <c r="BC405" s="4"/>
      <c r="BD405" s="1"/>
      <c r="BE405" s="4"/>
      <c r="BF405" s="2"/>
      <c r="BG405" s="4"/>
      <c r="BH405" s="1"/>
      <c r="BI405" s="1"/>
    </row>
    <row r="406" spans="1:61" ht="15" customHeight="1" x14ac:dyDescent="0.25">
      <c r="A406" s="2"/>
      <c r="B406" s="1"/>
      <c r="E406" s="1"/>
      <c r="F406" s="1"/>
      <c r="G406" s="1"/>
      <c r="H406" s="1"/>
      <c r="J406" s="2"/>
      <c r="K406" s="3"/>
      <c r="L406" s="1"/>
      <c r="N406" s="3"/>
      <c r="P406" s="1"/>
      <c r="Q406" s="2"/>
      <c r="R406" s="3"/>
      <c r="S406" s="4"/>
      <c r="T406" s="3"/>
      <c r="U406" s="1"/>
      <c r="V406" s="1"/>
      <c r="W406" s="3"/>
      <c r="X406" s="1"/>
      <c r="Y406" s="4"/>
      <c r="Z406" s="4"/>
      <c r="AA406" s="1"/>
      <c r="AB406" s="1"/>
      <c r="AC406" s="1"/>
      <c r="AD406" s="2"/>
      <c r="AE406" s="1"/>
      <c r="AF406" s="1"/>
      <c r="AG406" s="1"/>
      <c r="AH406" s="3"/>
      <c r="AI406" s="1"/>
      <c r="AJ406" s="1"/>
      <c r="AK406" s="1"/>
      <c r="AL406" s="1"/>
      <c r="AM406" s="1"/>
      <c r="AN406" s="2"/>
      <c r="AO406" s="1"/>
      <c r="AP406" s="1"/>
      <c r="AQ406" s="1"/>
      <c r="AR406" s="2"/>
      <c r="AS406" s="1"/>
      <c r="AT406" s="2"/>
      <c r="AU406" s="4"/>
      <c r="AV406" s="7"/>
      <c r="AW406" s="4"/>
      <c r="AX406" s="3"/>
      <c r="AY406" s="4"/>
      <c r="AZ406" s="1"/>
      <c r="BA406" s="1"/>
      <c r="BB406" s="1"/>
      <c r="BC406" s="4"/>
      <c r="BD406" s="1"/>
      <c r="BE406" s="4"/>
      <c r="BF406" s="2"/>
      <c r="BG406" s="4"/>
      <c r="BH406" s="1"/>
      <c r="BI406" s="1"/>
    </row>
    <row r="407" spans="1:61" ht="15" customHeight="1" x14ac:dyDescent="0.25">
      <c r="A407" s="2"/>
      <c r="B407" s="1"/>
      <c r="E407" s="1"/>
      <c r="F407" s="1"/>
      <c r="G407" s="1"/>
      <c r="H407" s="1"/>
      <c r="J407" s="2"/>
      <c r="K407" s="3"/>
      <c r="L407" s="1"/>
      <c r="N407" s="3"/>
      <c r="P407" s="1"/>
      <c r="Q407" s="2"/>
      <c r="R407" s="3"/>
      <c r="S407" s="4"/>
      <c r="T407" s="3"/>
      <c r="U407" s="1"/>
      <c r="V407" s="1"/>
      <c r="W407" s="3"/>
      <c r="X407" s="1"/>
      <c r="Y407" s="4"/>
      <c r="Z407" s="4"/>
      <c r="AA407" s="1"/>
      <c r="AB407" s="1"/>
      <c r="AC407" s="1"/>
      <c r="AD407" s="2"/>
      <c r="AE407" s="1"/>
      <c r="AF407" s="1"/>
      <c r="AG407" s="1"/>
      <c r="AH407" s="3"/>
      <c r="AI407" s="1"/>
      <c r="AJ407" s="1"/>
      <c r="AK407" s="1"/>
      <c r="AL407" s="1"/>
      <c r="AM407" s="1"/>
      <c r="AN407" s="2"/>
      <c r="AO407" s="1"/>
      <c r="AP407" s="1"/>
      <c r="AQ407" s="1"/>
      <c r="AR407" s="2"/>
      <c r="AS407" s="1"/>
      <c r="AT407" s="2"/>
      <c r="AU407" s="4"/>
      <c r="AV407" s="7"/>
      <c r="AW407" s="4"/>
      <c r="AX407" s="3"/>
      <c r="AY407" s="4"/>
      <c r="AZ407" s="1"/>
      <c r="BA407" s="1"/>
      <c r="BB407" s="1"/>
      <c r="BC407" s="4"/>
      <c r="BD407" s="1"/>
      <c r="BE407" s="4"/>
      <c r="BF407" s="2"/>
      <c r="BG407" s="4"/>
      <c r="BH407" s="1"/>
      <c r="BI407" s="1"/>
    </row>
    <row r="408" spans="1:61" ht="15" customHeight="1" x14ac:dyDescent="0.25">
      <c r="A408" s="2"/>
      <c r="B408" s="1"/>
      <c r="E408" s="1"/>
      <c r="F408" s="1"/>
      <c r="G408" s="1"/>
      <c r="H408" s="1"/>
      <c r="J408" s="2"/>
      <c r="K408" s="3"/>
      <c r="L408" s="1"/>
      <c r="N408" s="3"/>
      <c r="P408" s="1"/>
      <c r="Q408" s="2"/>
      <c r="R408" s="3"/>
      <c r="S408" s="4"/>
      <c r="T408" s="3"/>
      <c r="U408" s="1"/>
      <c r="V408" s="1"/>
      <c r="W408" s="3"/>
      <c r="X408" s="1"/>
      <c r="Y408" s="4"/>
      <c r="Z408" s="4"/>
      <c r="AA408" s="1"/>
      <c r="AB408" s="1"/>
      <c r="AC408" s="1"/>
      <c r="AD408" s="2"/>
      <c r="AE408" s="1"/>
      <c r="AF408" s="1"/>
      <c r="AG408" s="1"/>
      <c r="AH408" s="3"/>
      <c r="AI408" s="1"/>
      <c r="AJ408" s="1"/>
      <c r="AK408" s="1"/>
      <c r="AL408" s="1"/>
      <c r="AM408" s="1"/>
      <c r="AN408" s="2"/>
      <c r="AO408" s="1"/>
      <c r="AP408" s="1"/>
      <c r="AQ408" s="1"/>
      <c r="AR408" s="2"/>
      <c r="AS408" s="1"/>
      <c r="AT408" s="2"/>
      <c r="AU408" s="4"/>
      <c r="AV408" s="7"/>
      <c r="AW408" s="4"/>
      <c r="AX408" s="3"/>
      <c r="AY408" s="4"/>
      <c r="AZ408" s="1"/>
      <c r="BA408" s="1"/>
      <c r="BB408" s="1"/>
      <c r="BC408" s="4"/>
      <c r="BD408" s="1"/>
      <c r="BE408" s="4"/>
      <c r="BF408" s="2"/>
      <c r="BG408" s="4"/>
      <c r="BH408" s="1"/>
      <c r="BI408" s="1"/>
    </row>
    <row r="409" spans="1:61" ht="15" customHeight="1" x14ac:dyDescent="0.25">
      <c r="A409" s="2"/>
      <c r="B409" s="1"/>
      <c r="E409" s="1"/>
      <c r="F409" s="1"/>
      <c r="G409" s="1"/>
      <c r="H409" s="1"/>
      <c r="J409" s="2"/>
      <c r="K409" s="3"/>
      <c r="L409" s="1"/>
      <c r="N409" s="3"/>
      <c r="P409" s="1"/>
      <c r="Q409" s="2"/>
      <c r="R409" s="3"/>
      <c r="S409" s="4"/>
      <c r="T409" s="3"/>
      <c r="U409" s="1"/>
      <c r="V409" s="1"/>
      <c r="W409" s="3"/>
      <c r="X409" s="1"/>
      <c r="Y409" s="4"/>
      <c r="Z409" s="4"/>
      <c r="AA409" s="1"/>
      <c r="AB409" s="1"/>
      <c r="AC409" s="1"/>
      <c r="AD409" s="2"/>
      <c r="AE409" s="1"/>
      <c r="AF409" s="1"/>
      <c r="AG409" s="1"/>
      <c r="AH409" s="3"/>
      <c r="AI409" s="1"/>
      <c r="AJ409" s="1"/>
      <c r="AK409" s="1"/>
      <c r="AL409" s="1"/>
      <c r="AM409" s="1"/>
      <c r="AN409" s="2"/>
      <c r="AO409" s="1"/>
      <c r="AP409" s="1"/>
      <c r="AQ409" s="1"/>
      <c r="AR409" s="2"/>
      <c r="AS409" s="1"/>
      <c r="AT409" s="2"/>
      <c r="AU409" s="4"/>
      <c r="AV409" s="7"/>
      <c r="AW409" s="4"/>
      <c r="AX409" s="3"/>
      <c r="AY409" s="4"/>
      <c r="AZ409" s="1"/>
      <c r="BA409" s="1"/>
      <c r="BB409" s="1"/>
      <c r="BC409" s="4"/>
      <c r="BD409" s="1"/>
      <c r="BE409" s="4"/>
      <c r="BF409" s="2"/>
      <c r="BG409" s="4"/>
      <c r="BH409" s="1"/>
      <c r="BI409" s="1"/>
    </row>
    <row r="410" spans="1:61" ht="15" customHeight="1" x14ac:dyDescent="0.25">
      <c r="A410" s="2"/>
      <c r="B410" s="1"/>
      <c r="E410" s="1"/>
      <c r="F410" s="1"/>
      <c r="G410" s="1"/>
      <c r="H410" s="1"/>
      <c r="J410" s="2"/>
      <c r="K410" s="3"/>
      <c r="L410" s="1"/>
      <c r="N410" s="3"/>
      <c r="P410" s="1"/>
      <c r="Q410" s="2"/>
      <c r="R410" s="3"/>
      <c r="S410" s="4"/>
      <c r="T410" s="3"/>
      <c r="U410" s="1"/>
      <c r="V410" s="1"/>
      <c r="W410" s="3"/>
      <c r="X410" s="1"/>
      <c r="Y410" s="4"/>
      <c r="Z410" s="4"/>
      <c r="AA410" s="1"/>
      <c r="AB410" s="1"/>
      <c r="AC410" s="1"/>
      <c r="AD410" s="2"/>
      <c r="AE410" s="1"/>
      <c r="AF410" s="1"/>
      <c r="AG410" s="1"/>
      <c r="AH410" s="3"/>
      <c r="AI410" s="1"/>
      <c r="AJ410" s="1"/>
      <c r="AK410" s="1"/>
      <c r="AL410" s="1"/>
      <c r="AM410" s="1"/>
      <c r="AN410" s="2"/>
      <c r="AO410" s="1"/>
      <c r="AP410" s="1"/>
      <c r="AQ410" s="1"/>
      <c r="AR410" s="2"/>
      <c r="AS410" s="1"/>
      <c r="AT410" s="2"/>
      <c r="AU410" s="4"/>
      <c r="AV410" s="7"/>
      <c r="AW410" s="4"/>
      <c r="AX410" s="3"/>
      <c r="AY410" s="4"/>
      <c r="AZ410" s="1"/>
      <c r="BA410" s="1"/>
      <c r="BB410" s="1"/>
      <c r="BC410" s="4"/>
      <c r="BD410" s="1"/>
      <c r="BE410" s="4"/>
      <c r="BF410" s="2"/>
      <c r="BG410" s="4"/>
      <c r="BH410" s="1"/>
      <c r="BI410" s="1"/>
    </row>
    <row r="411" spans="1:61" ht="15" customHeight="1" x14ac:dyDescent="0.25">
      <c r="A411" s="2"/>
      <c r="B411" s="1"/>
      <c r="E411" s="1"/>
      <c r="F411" s="1"/>
      <c r="G411" s="1"/>
      <c r="H411" s="1"/>
      <c r="J411" s="2"/>
      <c r="K411" s="3"/>
      <c r="L411" s="1"/>
      <c r="N411" s="3"/>
      <c r="P411" s="1"/>
      <c r="Q411" s="2"/>
      <c r="R411" s="3"/>
      <c r="S411" s="4"/>
      <c r="T411" s="3"/>
      <c r="U411" s="1"/>
      <c r="V411" s="1"/>
      <c r="W411" s="3"/>
      <c r="X411" s="1"/>
      <c r="Y411" s="4"/>
      <c r="Z411" s="4"/>
      <c r="AA411" s="1"/>
      <c r="AB411" s="1"/>
      <c r="AC411" s="1"/>
      <c r="AD411" s="2"/>
      <c r="AE411" s="1"/>
      <c r="AF411" s="1"/>
      <c r="AG411" s="1"/>
      <c r="AH411" s="3"/>
      <c r="AI411" s="1"/>
      <c r="AJ411" s="1"/>
      <c r="AK411" s="1"/>
      <c r="AL411" s="1"/>
      <c r="AM411" s="1"/>
      <c r="AN411" s="2"/>
      <c r="AO411" s="1"/>
      <c r="AP411" s="1"/>
      <c r="AQ411" s="1"/>
      <c r="AR411" s="2"/>
      <c r="AS411" s="1"/>
      <c r="AT411" s="2"/>
      <c r="AU411" s="4"/>
      <c r="AV411" s="7"/>
      <c r="AW411" s="4"/>
      <c r="AX411" s="3"/>
      <c r="AY411" s="4"/>
      <c r="AZ411" s="1"/>
      <c r="BA411" s="1"/>
      <c r="BB411" s="1"/>
      <c r="BC411" s="4"/>
      <c r="BD411" s="1"/>
      <c r="BE411" s="4"/>
      <c r="BF411" s="2"/>
      <c r="BG411" s="4"/>
      <c r="BH411" s="1"/>
      <c r="BI411" s="1"/>
    </row>
    <row r="412" spans="1:61" ht="15" customHeight="1" x14ac:dyDescent="0.25">
      <c r="A412" s="2"/>
      <c r="B412" s="1"/>
      <c r="E412" s="1"/>
      <c r="F412" s="1"/>
      <c r="G412" s="1"/>
      <c r="H412" s="1"/>
      <c r="J412" s="2"/>
      <c r="K412" s="3"/>
      <c r="L412" s="1"/>
      <c r="N412" s="3"/>
      <c r="P412" s="1"/>
      <c r="Q412" s="2"/>
      <c r="R412" s="3"/>
      <c r="S412" s="4"/>
      <c r="T412" s="3"/>
      <c r="U412" s="1"/>
      <c r="V412" s="1"/>
      <c r="W412" s="3"/>
      <c r="X412" s="1"/>
      <c r="Y412" s="4"/>
      <c r="Z412" s="4"/>
      <c r="AA412" s="1"/>
      <c r="AB412" s="1"/>
      <c r="AC412" s="1"/>
      <c r="AD412" s="2"/>
      <c r="AE412" s="1"/>
      <c r="AF412" s="1"/>
      <c r="AG412" s="1"/>
      <c r="AH412" s="3"/>
      <c r="AI412" s="1"/>
      <c r="AJ412" s="1"/>
      <c r="AK412" s="1"/>
      <c r="AL412" s="1"/>
      <c r="AM412" s="1"/>
      <c r="AN412" s="2"/>
      <c r="AO412" s="1"/>
      <c r="AP412" s="1"/>
      <c r="AQ412" s="1"/>
      <c r="AR412" s="2"/>
      <c r="AS412" s="1"/>
      <c r="AT412" s="2"/>
      <c r="AU412" s="4"/>
      <c r="AV412" s="7"/>
      <c r="AW412" s="4"/>
      <c r="AX412" s="3"/>
      <c r="AY412" s="4"/>
      <c r="AZ412" s="1"/>
      <c r="BA412" s="1"/>
      <c r="BB412" s="1"/>
      <c r="BC412" s="4"/>
      <c r="BD412" s="1"/>
      <c r="BE412" s="4"/>
      <c r="BF412" s="2"/>
      <c r="BG412" s="4"/>
      <c r="BH412" s="1"/>
      <c r="BI412" s="1"/>
    </row>
    <row r="413" spans="1:61" ht="15" customHeight="1" x14ac:dyDescent="0.25">
      <c r="A413" s="2"/>
      <c r="B413" s="1"/>
      <c r="E413" s="1"/>
      <c r="F413" s="1"/>
      <c r="G413" s="1"/>
      <c r="H413" s="1"/>
      <c r="J413" s="2"/>
      <c r="K413" s="3"/>
      <c r="L413" s="1"/>
      <c r="N413" s="3"/>
      <c r="P413" s="1"/>
      <c r="Q413" s="2"/>
      <c r="R413" s="3"/>
      <c r="S413" s="4"/>
      <c r="T413" s="3"/>
      <c r="U413" s="1"/>
      <c r="V413" s="1"/>
      <c r="W413" s="3"/>
      <c r="X413" s="1"/>
      <c r="Y413" s="4"/>
      <c r="Z413" s="4"/>
      <c r="AA413" s="1"/>
      <c r="AB413" s="1"/>
      <c r="AC413" s="1"/>
      <c r="AD413" s="2"/>
      <c r="AE413" s="1"/>
      <c r="AF413" s="1"/>
      <c r="AG413" s="1"/>
      <c r="AH413" s="3"/>
      <c r="AI413" s="1"/>
      <c r="AJ413" s="1"/>
      <c r="AK413" s="1"/>
      <c r="AL413" s="1"/>
      <c r="AM413" s="1"/>
      <c r="AN413" s="2"/>
      <c r="AO413" s="1"/>
      <c r="AP413" s="1"/>
      <c r="AQ413" s="1"/>
      <c r="AR413" s="2"/>
      <c r="AS413" s="1"/>
      <c r="AT413" s="2"/>
      <c r="AU413" s="4"/>
      <c r="AV413" s="7"/>
      <c r="AW413" s="4"/>
      <c r="AX413" s="3"/>
      <c r="AY413" s="4"/>
      <c r="AZ413" s="1"/>
      <c r="BA413" s="1"/>
      <c r="BB413" s="1"/>
      <c r="BC413" s="4"/>
      <c r="BD413" s="1"/>
      <c r="BE413" s="4"/>
      <c r="BF413" s="2"/>
      <c r="BG413" s="4"/>
      <c r="BH413" s="1"/>
      <c r="BI413" s="1"/>
    </row>
    <row r="414" spans="1:61" ht="15" customHeight="1" x14ac:dyDescent="0.25">
      <c r="A414" s="2"/>
      <c r="B414" s="1"/>
      <c r="E414" s="1"/>
      <c r="F414" s="1"/>
      <c r="G414" s="1"/>
      <c r="H414" s="1"/>
      <c r="J414" s="2"/>
      <c r="K414" s="3"/>
      <c r="L414" s="1"/>
      <c r="N414" s="3"/>
      <c r="P414" s="1"/>
      <c r="Q414" s="2"/>
      <c r="R414" s="3"/>
      <c r="S414" s="4"/>
      <c r="T414" s="3"/>
      <c r="U414" s="1"/>
      <c r="V414" s="1"/>
      <c r="W414" s="3"/>
      <c r="X414" s="1"/>
      <c r="Y414" s="4"/>
      <c r="Z414" s="4"/>
      <c r="AA414" s="1"/>
      <c r="AB414" s="1"/>
      <c r="AC414" s="1"/>
      <c r="AD414" s="2"/>
      <c r="AE414" s="1"/>
      <c r="AF414" s="1"/>
      <c r="AG414" s="1"/>
      <c r="AH414" s="3"/>
      <c r="AI414" s="1"/>
      <c r="AJ414" s="1"/>
      <c r="AK414" s="1"/>
      <c r="AL414" s="1"/>
      <c r="AM414" s="1"/>
      <c r="AN414" s="2"/>
      <c r="AO414" s="1"/>
      <c r="AP414" s="1"/>
      <c r="AQ414" s="1"/>
      <c r="AR414" s="2"/>
      <c r="AS414" s="1"/>
      <c r="AT414" s="2"/>
      <c r="AU414" s="4"/>
      <c r="AV414" s="7"/>
      <c r="AW414" s="4"/>
      <c r="AX414" s="3"/>
      <c r="AY414" s="4"/>
      <c r="AZ414" s="1"/>
      <c r="BA414" s="1"/>
      <c r="BB414" s="1"/>
      <c r="BC414" s="4"/>
      <c r="BD414" s="1"/>
      <c r="BE414" s="4"/>
      <c r="BF414" s="2"/>
      <c r="BG414" s="4"/>
      <c r="BH414" s="1"/>
      <c r="BI414" s="1"/>
    </row>
    <row r="415" spans="1:61" ht="15" customHeight="1" x14ac:dyDescent="0.25">
      <c r="A415" s="2"/>
      <c r="B415" s="1"/>
      <c r="E415" s="1"/>
      <c r="F415" s="1"/>
      <c r="G415" s="1"/>
      <c r="H415" s="1"/>
      <c r="J415" s="2"/>
      <c r="K415" s="3"/>
      <c r="L415" s="1"/>
      <c r="N415" s="3"/>
      <c r="P415" s="1"/>
      <c r="Q415" s="2"/>
      <c r="R415" s="3"/>
      <c r="S415" s="4"/>
      <c r="T415" s="3"/>
      <c r="U415" s="1"/>
      <c r="V415" s="1"/>
      <c r="W415" s="3"/>
      <c r="X415" s="1"/>
      <c r="Y415" s="4"/>
      <c r="Z415" s="4"/>
      <c r="AA415" s="1"/>
      <c r="AB415" s="1"/>
      <c r="AC415" s="1"/>
      <c r="AD415" s="2"/>
      <c r="AE415" s="1"/>
      <c r="AF415" s="1"/>
      <c r="AG415" s="1"/>
      <c r="AH415" s="3"/>
      <c r="AI415" s="1"/>
      <c r="AJ415" s="1"/>
      <c r="AK415" s="1"/>
      <c r="AL415" s="1"/>
      <c r="AM415" s="1"/>
      <c r="AN415" s="2"/>
      <c r="AO415" s="1"/>
      <c r="AP415" s="1"/>
      <c r="AQ415" s="1"/>
      <c r="AR415" s="2"/>
      <c r="AS415" s="1"/>
      <c r="AT415" s="2"/>
      <c r="AU415" s="4"/>
      <c r="AV415" s="7"/>
      <c r="AW415" s="4"/>
      <c r="AX415" s="3"/>
      <c r="AY415" s="4"/>
      <c r="AZ415" s="1"/>
      <c r="BA415" s="1"/>
      <c r="BB415" s="1"/>
      <c r="BC415" s="4"/>
      <c r="BD415" s="1"/>
      <c r="BE415" s="4"/>
      <c r="BF415" s="2"/>
      <c r="BG415" s="4"/>
      <c r="BH415" s="1"/>
      <c r="BI415" s="1"/>
    </row>
    <row r="416" spans="1:61" ht="15" customHeight="1" x14ac:dyDescent="0.25">
      <c r="A416" s="2"/>
      <c r="B416" s="1"/>
      <c r="E416" s="1"/>
      <c r="F416" s="1"/>
      <c r="G416" s="1"/>
      <c r="H416" s="1"/>
      <c r="J416" s="2"/>
      <c r="K416" s="3"/>
      <c r="L416" s="1"/>
      <c r="N416" s="3"/>
      <c r="P416" s="1"/>
      <c r="Q416" s="2"/>
      <c r="R416" s="3"/>
      <c r="S416" s="4"/>
      <c r="T416" s="3"/>
      <c r="U416" s="1"/>
      <c r="V416" s="1"/>
      <c r="W416" s="3"/>
      <c r="X416" s="1"/>
      <c r="Y416" s="4"/>
      <c r="Z416" s="4"/>
      <c r="AA416" s="1"/>
      <c r="AB416" s="1"/>
      <c r="AC416" s="1"/>
      <c r="AD416" s="2"/>
      <c r="AE416" s="1"/>
      <c r="AF416" s="1"/>
      <c r="AG416" s="1"/>
      <c r="AH416" s="3"/>
      <c r="AI416" s="1"/>
      <c r="AJ416" s="1"/>
      <c r="AK416" s="1"/>
      <c r="AL416" s="1"/>
      <c r="AM416" s="1"/>
      <c r="AN416" s="2"/>
      <c r="AO416" s="1"/>
      <c r="AP416" s="1"/>
      <c r="AQ416" s="1"/>
      <c r="AR416" s="2"/>
      <c r="AS416" s="1"/>
      <c r="AT416" s="2"/>
      <c r="AU416" s="4"/>
      <c r="AV416" s="7"/>
      <c r="AW416" s="4"/>
      <c r="AX416" s="3"/>
      <c r="AY416" s="4"/>
      <c r="AZ416" s="1"/>
      <c r="BA416" s="1"/>
      <c r="BB416" s="1"/>
      <c r="BC416" s="4"/>
      <c r="BD416" s="1"/>
      <c r="BE416" s="4"/>
      <c r="BF416" s="2"/>
      <c r="BG416" s="4"/>
      <c r="BH416" s="1"/>
      <c r="BI416" s="1"/>
    </row>
    <row r="417" spans="1:61" ht="15" customHeight="1" x14ac:dyDescent="0.25">
      <c r="A417" s="2"/>
      <c r="B417" s="1"/>
      <c r="E417" s="1"/>
      <c r="F417" s="1"/>
      <c r="G417" s="1"/>
      <c r="H417" s="1"/>
      <c r="J417" s="2"/>
      <c r="K417" s="3"/>
      <c r="L417" s="1"/>
      <c r="N417" s="3"/>
      <c r="P417" s="1"/>
      <c r="Q417" s="2"/>
      <c r="R417" s="3"/>
      <c r="S417" s="4"/>
      <c r="T417" s="3"/>
      <c r="U417" s="1"/>
      <c r="V417" s="1"/>
      <c r="W417" s="3"/>
      <c r="X417" s="1"/>
      <c r="Y417" s="4"/>
      <c r="Z417" s="4"/>
      <c r="AA417" s="1"/>
      <c r="AB417" s="1"/>
      <c r="AC417" s="1"/>
      <c r="AD417" s="2"/>
      <c r="AE417" s="1"/>
      <c r="AF417" s="1"/>
      <c r="AG417" s="1"/>
      <c r="AH417" s="3"/>
      <c r="AI417" s="1"/>
      <c r="AJ417" s="1"/>
      <c r="AK417" s="1"/>
      <c r="AL417" s="1"/>
      <c r="AM417" s="1"/>
      <c r="AN417" s="2"/>
      <c r="AO417" s="1"/>
      <c r="AP417" s="1"/>
      <c r="AQ417" s="1"/>
      <c r="AR417" s="2"/>
      <c r="AS417" s="1"/>
      <c r="AT417" s="2"/>
      <c r="AU417" s="4"/>
      <c r="AV417" s="4"/>
      <c r="AW417" s="4"/>
      <c r="AX417" s="3"/>
      <c r="AY417" s="4"/>
      <c r="AZ417" s="1"/>
      <c r="BA417" s="1"/>
      <c r="BB417" s="1"/>
      <c r="BC417" s="4"/>
      <c r="BD417" s="1"/>
      <c r="BE417" s="4"/>
      <c r="BF417" s="2"/>
      <c r="BG417" s="4"/>
      <c r="BH417" s="1"/>
      <c r="BI417" s="1"/>
    </row>
    <row r="418" spans="1:61" ht="15" customHeight="1" x14ac:dyDescent="0.25">
      <c r="A418" s="2"/>
      <c r="B418" s="1"/>
      <c r="E418" s="1"/>
      <c r="F418" s="1"/>
      <c r="G418" s="1"/>
      <c r="H418" s="1"/>
      <c r="J418" s="2"/>
      <c r="K418" s="3"/>
      <c r="L418" s="1"/>
      <c r="N418" s="3"/>
      <c r="P418" s="1"/>
      <c r="Q418" s="2"/>
      <c r="R418" s="3"/>
      <c r="S418" s="4"/>
      <c r="T418" s="3"/>
      <c r="U418" s="1"/>
      <c r="V418" s="1"/>
      <c r="W418" s="3"/>
      <c r="X418" s="1"/>
      <c r="Y418" s="4"/>
      <c r="Z418" s="4"/>
      <c r="AA418" s="1"/>
      <c r="AB418" s="1"/>
      <c r="AC418" s="1"/>
      <c r="AD418" s="2"/>
      <c r="AE418" s="1"/>
      <c r="AF418" s="1"/>
      <c r="AG418" s="1"/>
      <c r="AH418" s="3"/>
      <c r="AI418" s="1"/>
      <c r="AJ418" s="1"/>
      <c r="AK418" s="1"/>
      <c r="AL418" s="1"/>
      <c r="AM418" s="1"/>
      <c r="AN418" s="2"/>
      <c r="AO418" s="1"/>
      <c r="AP418" s="1"/>
      <c r="AQ418" s="1"/>
      <c r="AR418" s="2"/>
      <c r="AS418" s="1"/>
      <c r="AT418" s="2"/>
      <c r="AU418" s="4"/>
      <c r="AV418" s="7"/>
      <c r="AW418" s="4"/>
      <c r="AX418" s="3"/>
      <c r="AY418" s="4"/>
      <c r="AZ418" s="1"/>
      <c r="BA418" s="1"/>
      <c r="BB418" s="1"/>
      <c r="BC418" s="4"/>
      <c r="BD418" s="1"/>
      <c r="BE418" s="4"/>
      <c r="BF418" s="2"/>
      <c r="BG418" s="4"/>
      <c r="BH418" s="1"/>
      <c r="BI418" s="1"/>
    </row>
    <row r="419" spans="1:61" ht="15" customHeight="1" x14ac:dyDescent="0.25">
      <c r="A419" s="2"/>
      <c r="B419" s="1"/>
      <c r="E419" s="1"/>
      <c r="F419" s="1"/>
      <c r="G419" s="1"/>
      <c r="H419" s="1"/>
      <c r="J419" s="2"/>
      <c r="K419" s="3"/>
      <c r="L419" s="1"/>
      <c r="N419" s="3"/>
      <c r="P419" s="1"/>
      <c r="Q419" s="2"/>
      <c r="R419" s="3"/>
      <c r="S419" s="4"/>
      <c r="T419" s="3"/>
      <c r="U419" s="1"/>
      <c r="V419" s="1"/>
      <c r="W419" s="3"/>
      <c r="X419" s="1"/>
      <c r="Y419" s="4"/>
      <c r="Z419" s="4"/>
      <c r="AA419" s="1"/>
      <c r="AB419" s="1"/>
      <c r="AC419" s="1"/>
      <c r="AD419" s="2"/>
      <c r="AE419" s="1"/>
      <c r="AF419" s="1"/>
      <c r="AG419" s="1"/>
      <c r="AH419" s="3"/>
      <c r="AI419" s="1"/>
      <c r="AJ419" s="1"/>
      <c r="AK419" s="1"/>
      <c r="AL419" s="1"/>
      <c r="AM419" s="1"/>
      <c r="AN419" s="2"/>
      <c r="AO419" s="1"/>
      <c r="AP419" s="1"/>
      <c r="AQ419" s="1"/>
      <c r="AR419" s="2"/>
      <c r="AS419" s="1"/>
      <c r="AT419" s="2"/>
      <c r="AU419" s="4"/>
      <c r="AV419" s="7"/>
      <c r="AW419" s="4"/>
      <c r="AX419" s="3"/>
      <c r="AY419" s="4"/>
      <c r="AZ419" s="1"/>
      <c r="BA419" s="1"/>
      <c r="BB419" s="1"/>
      <c r="BC419" s="4"/>
      <c r="BD419" s="1"/>
      <c r="BE419" s="4"/>
      <c r="BF419" s="2"/>
      <c r="BG419" s="4"/>
      <c r="BH419" s="1"/>
      <c r="BI419" s="1"/>
    </row>
    <row r="420" spans="1:61" ht="15" customHeight="1" x14ac:dyDescent="0.25">
      <c r="A420" s="2"/>
      <c r="B420" s="1"/>
      <c r="E420" s="1"/>
      <c r="F420" s="1"/>
      <c r="G420" s="1"/>
      <c r="H420" s="1"/>
      <c r="J420" s="2"/>
      <c r="K420" s="3"/>
      <c r="L420" s="1"/>
      <c r="N420" s="3"/>
      <c r="P420" s="1"/>
      <c r="Q420" s="2"/>
      <c r="R420" s="3"/>
      <c r="S420" s="4"/>
      <c r="T420" s="3"/>
      <c r="U420" s="1"/>
      <c r="V420" s="1"/>
      <c r="W420" s="3"/>
      <c r="X420" s="1"/>
      <c r="Y420" s="4"/>
      <c r="Z420" s="4"/>
      <c r="AA420" s="1"/>
      <c r="AB420" s="1"/>
      <c r="AC420" s="1"/>
      <c r="AD420" s="2"/>
      <c r="AE420" s="1"/>
      <c r="AF420" s="1"/>
      <c r="AG420" s="1"/>
      <c r="AH420" s="3"/>
      <c r="AI420" s="1"/>
      <c r="AJ420" s="1"/>
      <c r="AK420" s="1"/>
      <c r="AL420" s="1"/>
      <c r="AM420" s="1"/>
      <c r="AN420" s="2"/>
      <c r="AO420" s="1"/>
      <c r="AP420" s="1"/>
      <c r="AQ420" s="1"/>
      <c r="AR420" s="2"/>
      <c r="AS420" s="1"/>
      <c r="AT420" s="2"/>
      <c r="AU420" s="4"/>
      <c r="AV420" s="7"/>
      <c r="AW420" s="4"/>
      <c r="AX420" s="3"/>
      <c r="AY420" s="4"/>
      <c r="AZ420" s="1"/>
      <c r="BA420" s="1"/>
      <c r="BB420" s="1"/>
      <c r="BC420" s="4"/>
      <c r="BD420" s="1"/>
      <c r="BE420" s="4"/>
      <c r="BF420" s="2"/>
      <c r="BG420" s="4"/>
      <c r="BH420" s="1"/>
      <c r="BI420" s="1"/>
    </row>
    <row r="421" spans="1:61" ht="15" customHeight="1" x14ac:dyDescent="0.25">
      <c r="A421" s="2"/>
      <c r="B421" s="1"/>
      <c r="E421" s="1"/>
      <c r="F421" s="1"/>
      <c r="G421" s="1"/>
      <c r="H421" s="1"/>
      <c r="J421" s="2"/>
      <c r="K421" s="3"/>
      <c r="L421" s="1"/>
      <c r="N421" s="3"/>
      <c r="P421" s="1"/>
      <c r="Q421" s="2"/>
      <c r="R421" s="3"/>
      <c r="S421" s="4"/>
      <c r="T421" s="3"/>
      <c r="U421" s="1"/>
      <c r="V421" s="1"/>
      <c r="W421" s="3"/>
      <c r="X421" s="1"/>
      <c r="Y421" s="4"/>
      <c r="Z421" s="4"/>
      <c r="AA421" s="1"/>
      <c r="AB421" s="1"/>
      <c r="AC421" s="1"/>
      <c r="AD421" s="2"/>
      <c r="AE421" s="1"/>
      <c r="AF421" s="1"/>
      <c r="AG421" s="1"/>
      <c r="AH421" s="3"/>
      <c r="AI421" s="1"/>
      <c r="AJ421" s="1"/>
      <c r="AK421" s="1"/>
      <c r="AL421" s="1"/>
      <c r="AM421" s="1"/>
      <c r="AN421" s="2"/>
      <c r="AO421" s="1"/>
      <c r="AP421" s="1"/>
      <c r="AQ421" s="1"/>
      <c r="AR421" s="2"/>
      <c r="AS421" s="1"/>
      <c r="AT421" s="2"/>
      <c r="AU421" s="4"/>
      <c r="AV421" s="7"/>
      <c r="AW421" s="4"/>
      <c r="AX421" s="3"/>
      <c r="AY421" s="4"/>
      <c r="AZ421" s="1"/>
      <c r="BA421" s="1"/>
      <c r="BB421" s="1"/>
      <c r="BC421" s="4"/>
      <c r="BD421" s="1"/>
      <c r="BE421" s="4"/>
      <c r="BF421" s="2"/>
      <c r="BG421" s="4"/>
      <c r="BH421" s="1"/>
      <c r="BI421" s="1"/>
    </row>
    <row r="422" spans="1:61" ht="15" customHeight="1" x14ac:dyDescent="0.25">
      <c r="A422" s="2"/>
      <c r="B422" s="1"/>
      <c r="E422" s="1"/>
      <c r="F422" s="1"/>
      <c r="G422" s="1"/>
      <c r="H422" s="1"/>
      <c r="J422" s="2"/>
      <c r="K422" s="3"/>
      <c r="L422" s="1"/>
      <c r="N422" s="3"/>
      <c r="P422" s="1"/>
      <c r="Q422" s="2"/>
      <c r="R422" s="3"/>
      <c r="S422" s="4"/>
      <c r="T422" s="3"/>
      <c r="U422" s="1"/>
      <c r="V422" s="1"/>
      <c r="W422" s="3"/>
      <c r="X422" s="1"/>
      <c r="Y422" s="4"/>
      <c r="Z422" s="4"/>
      <c r="AA422" s="1"/>
      <c r="AB422" s="1"/>
      <c r="AC422" s="1"/>
      <c r="AD422" s="2"/>
      <c r="AE422" s="1"/>
      <c r="AF422" s="1"/>
      <c r="AG422" s="1"/>
      <c r="AH422" s="3"/>
      <c r="AI422" s="1"/>
      <c r="AJ422" s="1"/>
      <c r="AK422" s="1"/>
      <c r="AL422" s="1"/>
      <c r="AM422" s="1"/>
      <c r="AN422" s="2"/>
      <c r="AO422" s="1"/>
      <c r="AP422" s="1"/>
      <c r="AQ422" s="1"/>
      <c r="AR422" s="2"/>
      <c r="AS422" s="1"/>
      <c r="AT422" s="2"/>
      <c r="AU422" s="4"/>
      <c r="AV422" s="7"/>
      <c r="AW422" s="4"/>
      <c r="AX422" s="3"/>
      <c r="AY422" s="4"/>
      <c r="AZ422" s="1"/>
      <c r="BA422" s="1"/>
      <c r="BB422" s="1"/>
      <c r="BC422" s="4"/>
      <c r="BD422" s="1"/>
      <c r="BE422" s="4"/>
      <c r="BF422" s="2"/>
      <c r="BG422" s="4"/>
      <c r="BH422" s="1"/>
      <c r="BI422" s="1"/>
    </row>
    <row r="423" spans="1:61" ht="15" customHeight="1" x14ac:dyDescent="0.25">
      <c r="A423" s="2"/>
      <c r="B423" s="1"/>
      <c r="E423" s="1"/>
      <c r="F423" s="1"/>
      <c r="G423" s="1"/>
      <c r="H423" s="1"/>
      <c r="J423" s="2"/>
      <c r="K423" s="3"/>
      <c r="L423" s="1"/>
      <c r="N423" s="3"/>
      <c r="P423" s="1"/>
      <c r="Q423" s="2"/>
      <c r="R423" s="3"/>
      <c r="S423" s="4"/>
      <c r="T423" s="3"/>
      <c r="U423" s="1"/>
      <c r="V423" s="1"/>
      <c r="W423" s="3"/>
      <c r="X423" s="1"/>
      <c r="Y423" s="4"/>
      <c r="Z423" s="4"/>
      <c r="AA423" s="1"/>
      <c r="AB423" s="1"/>
      <c r="AC423" s="1"/>
      <c r="AD423" s="2"/>
      <c r="AE423" s="1"/>
      <c r="AF423" s="1"/>
      <c r="AG423" s="1"/>
      <c r="AH423" s="3"/>
      <c r="AI423" s="1"/>
      <c r="AJ423" s="1"/>
      <c r="AK423" s="1"/>
      <c r="AL423" s="1"/>
      <c r="AM423" s="1"/>
      <c r="AN423" s="2"/>
      <c r="AO423" s="1"/>
      <c r="AP423" s="1"/>
      <c r="AQ423" s="1"/>
      <c r="AR423" s="2"/>
      <c r="AS423" s="1"/>
      <c r="AT423" s="2"/>
      <c r="AU423" s="4"/>
      <c r="AV423" s="7"/>
      <c r="AW423" s="4"/>
      <c r="AX423" s="3"/>
      <c r="AY423" s="4"/>
      <c r="AZ423" s="1"/>
      <c r="BA423" s="1"/>
      <c r="BB423" s="1"/>
      <c r="BC423" s="4"/>
      <c r="BD423" s="1"/>
      <c r="BE423" s="4"/>
      <c r="BF423" s="2"/>
      <c r="BG423" s="4"/>
      <c r="BH423" s="1"/>
      <c r="BI423" s="1"/>
    </row>
    <row r="424" spans="1:61" ht="15" customHeight="1" x14ac:dyDescent="0.25">
      <c r="A424" s="2"/>
      <c r="B424" s="1"/>
      <c r="E424" s="1"/>
      <c r="F424" s="1"/>
      <c r="G424" s="1"/>
      <c r="H424" s="1"/>
      <c r="J424" s="2"/>
      <c r="K424" s="3"/>
      <c r="L424" s="1"/>
      <c r="N424" s="3"/>
      <c r="P424" s="1"/>
      <c r="Q424" s="2"/>
      <c r="R424" s="3"/>
      <c r="S424" s="4"/>
      <c r="T424" s="3"/>
      <c r="U424" s="1"/>
      <c r="V424" s="1"/>
      <c r="W424" s="3"/>
      <c r="X424" s="1"/>
      <c r="Y424" s="4"/>
      <c r="Z424" s="4"/>
      <c r="AA424" s="1"/>
      <c r="AB424" s="1"/>
      <c r="AC424" s="1"/>
      <c r="AD424" s="2"/>
      <c r="AE424" s="1"/>
      <c r="AF424" s="1"/>
      <c r="AG424" s="1"/>
      <c r="AH424" s="3"/>
      <c r="AI424" s="1"/>
      <c r="AJ424" s="1"/>
      <c r="AK424" s="1"/>
      <c r="AL424" s="1"/>
      <c r="AM424" s="1"/>
      <c r="AN424" s="2"/>
      <c r="AO424" s="1"/>
      <c r="AP424" s="1"/>
      <c r="AQ424" s="1"/>
      <c r="AR424" s="2"/>
      <c r="AS424" s="1"/>
      <c r="AT424" s="2"/>
      <c r="AU424" s="4"/>
      <c r="AV424" s="7"/>
      <c r="AW424" s="4"/>
      <c r="AX424" s="3"/>
      <c r="AY424" s="4"/>
      <c r="AZ424" s="1"/>
      <c r="BA424" s="1"/>
      <c r="BB424" s="1"/>
      <c r="BC424" s="4"/>
      <c r="BD424" s="1"/>
      <c r="BE424" s="4"/>
      <c r="BF424" s="2"/>
      <c r="BG424" s="4"/>
      <c r="BH424" s="1"/>
      <c r="BI424" s="1"/>
    </row>
    <row r="425" spans="1:61" ht="15" customHeight="1" x14ac:dyDescent="0.25">
      <c r="A425" s="2"/>
      <c r="B425" s="1"/>
      <c r="E425" s="1"/>
      <c r="F425" s="1"/>
      <c r="G425" s="1"/>
      <c r="H425" s="1"/>
      <c r="J425" s="2"/>
      <c r="K425" s="3"/>
      <c r="L425" s="1"/>
      <c r="N425" s="3"/>
      <c r="P425" s="1"/>
      <c r="Q425" s="2"/>
      <c r="R425" s="3"/>
      <c r="S425" s="4"/>
      <c r="T425" s="3"/>
      <c r="U425" s="1"/>
      <c r="V425" s="1"/>
      <c r="W425" s="3"/>
      <c r="X425" s="1"/>
      <c r="Y425" s="4"/>
      <c r="Z425" s="4"/>
      <c r="AA425" s="1"/>
      <c r="AB425" s="1"/>
      <c r="AC425" s="1"/>
      <c r="AD425" s="2"/>
      <c r="AE425" s="1"/>
      <c r="AF425" s="1"/>
      <c r="AG425" s="1"/>
      <c r="AH425" s="3"/>
      <c r="AI425" s="1"/>
      <c r="AJ425" s="1"/>
      <c r="AK425" s="1"/>
      <c r="AL425" s="1"/>
      <c r="AM425" s="1"/>
      <c r="AN425" s="2"/>
      <c r="AO425" s="1"/>
      <c r="AP425" s="1"/>
      <c r="AQ425" s="1"/>
      <c r="AR425" s="2"/>
      <c r="AS425" s="1"/>
      <c r="AT425" s="2"/>
      <c r="AU425" s="4"/>
      <c r="AV425" s="7"/>
      <c r="AW425" s="4"/>
      <c r="AX425" s="3"/>
      <c r="AY425" s="4"/>
      <c r="AZ425" s="1"/>
      <c r="BA425" s="1"/>
      <c r="BB425" s="1"/>
      <c r="BC425" s="4"/>
      <c r="BD425" s="1"/>
      <c r="BE425" s="4"/>
      <c r="BF425" s="2"/>
      <c r="BG425" s="4"/>
      <c r="BH425" s="1"/>
      <c r="BI425" s="1"/>
    </row>
    <row r="426" spans="1:61" ht="15" customHeight="1" x14ac:dyDescent="0.25">
      <c r="A426" s="2"/>
      <c r="B426" s="1"/>
      <c r="E426" s="1"/>
      <c r="F426" s="1"/>
      <c r="G426" s="1"/>
      <c r="H426" s="1"/>
      <c r="J426" s="2"/>
      <c r="K426" s="3"/>
      <c r="L426" s="1"/>
      <c r="N426" s="3"/>
      <c r="P426" s="1"/>
      <c r="Q426" s="2"/>
      <c r="R426" s="3"/>
      <c r="S426" s="4"/>
      <c r="T426" s="3"/>
      <c r="U426" s="1"/>
      <c r="V426" s="1"/>
      <c r="W426" s="3"/>
      <c r="X426" s="1"/>
      <c r="Y426" s="4"/>
      <c r="Z426" s="4"/>
      <c r="AA426" s="1"/>
      <c r="AB426" s="1"/>
      <c r="AC426" s="1"/>
      <c r="AD426" s="2"/>
      <c r="AE426" s="1"/>
      <c r="AF426" s="1"/>
      <c r="AG426" s="1"/>
      <c r="AH426" s="3"/>
      <c r="AI426" s="1"/>
      <c r="AJ426" s="1"/>
      <c r="AK426" s="1"/>
      <c r="AL426" s="1"/>
      <c r="AM426" s="1"/>
      <c r="AN426" s="2"/>
      <c r="AO426" s="1"/>
      <c r="AP426" s="1"/>
      <c r="AQ426" s="1"/>
      <c r="AR426" s="2"/>
      <c r="AS426" s="1"/>
      <c r="AT426" s="2"/>
      <c r="AU426" s="4"/>
      <c r="AV426" s="4"/>
      <c r="AW426" s="4"/>
      <c r="AX426" s="3"/>
      <c r="AY426" s="4"/>
      <c r="AZ426" s="1"/>
      <c r="BA426" s="1"/>
      <c r="BB426" s="1"/>
      <c r="BC426" s="4"/>
      <c r="BD426" s="1"/>
      <c r="BE426" s="4"/>
      <c r="BF426" s="2"/>
      <c r="BG426" s="4"/>
      <c r="BH426" s="1"/>
      <c r="BI426" s="1"/>
    </row>
    <row r="427" spans="1:61" ht="15" customHeight="1" x14ac:dyDescent="0.25">
      <c r="A427" s="2"/>
      <c r="B427" s="1"/>
      <c r="E427" s="1"/>
      <c r="F427" s="1"/>
      <c r="G427" s="1"/>
      <c r="H427" s="1"/>
      <c r="J427" s="2"/>
      <c r="K427" s="3"/>
      <c r="L427" s="1"/>
      <c r="N427" s="3"/>
      <c r="P427" s="1"/>
      <c r="Q427" s="2"/>
      <c r="R427" s="3"/>
      <c r="S427" s="4"/>
      <c r="T427" s="3"/>
      <c r="U427" s="1"/>
      <c r="V427" s="1"/>
      <c r="W427" s="3"/>
      <c r="X427" s="1"/>
      <c r="Y427" s="4"/>
      <c r="Z427" s="4"/>
      <c r="AA427" s="1"/>
      <c r="AB427" s="1"/>
      <c r="AC427" s="1"/>
      <c r="AD427" s="2"/>
      <c r="AE427" s="1"/>
      <c r="AF427" s="1"/>
      <c r="AG427" s="1"/>
      <c r="AH427" s="3"/>
      <c r="AI427" s="1"/>
      <c r="AJ427" s="1"/>
      <c r="AK427" s="1"/>
      <c r="AL427" s="1"/>
      <c r="AM427" s="1"/>
      <c r="AN427" s="2"/>
      <c r="AO427" s="1"/>
      <c r="AP427" s="1"/>
      <c r="AQ427" s="1"/>
      <c r="AR427" s="2"/>
      <c r="AS427" s="1"/>
      <c r="AT427" s="2"/>
      <c r="AU427" s="4"/>
      <c r="AV427" s="7"/>
      <c r="AW427" s="4"/>
      <c r="AX427" s="3"/>
      <c r="AY427" s="4"/>
      <c r="AZ427" s="1"/>
      <c r="BA427" s="1"/>
      <c r="BB427" s="1"/>
      <c r="BC427" s="4"/>
      <c r="BD427" s="1"/>
      <c r="BE427" s="4"/>
      <c r="BF427" s="2"/>
      <c r="BG427" s="4"/>
      <c r="BH427" s="1"/>
      <c r="BI427" s="1"/>
    </row>
    <row r="428" spans="1:61" ht="15" customHeight="1" x14ac:dyDescent="0.25">
      <c r="A428" s="2"/>
      <c r="B428" s="1"/>
      <c r="E428" s="1"/>
      <c r="F428" s="1"/>
      <c r="G428" s="1"/>
      <c r="H428" s="1"/>
      <c r="J428" s="2"/>
      <c r="K428" s="3"/>
      <c r="L428" s="1"/>
      <c r="N428" s="3"/>
      <c r="P428" s="1"/>
      <c r="Q428" s="2"/>
      <c r="R428" s="3"/>
      <c r="S428" s="4"/>
      <c r="T428" s="3"/>
      <c r="U428" s="1"/>
      <c r="V428" s="1"/>
      <c r="W428" s="3"/>
      <c r="X428" s="1"/>
      <c r="Y428" s="4"/>
      <c r="Z428" s="4"/>
      <c r="AA428" s="1"/>
      <c r="AB428" s="1"/>
      <c r="AC428" s="1"/>
      <c r="AD428" s="2"/>
      <c r="AE428" s="1"/>
      <c r="AF428" s="1"/>
      <c r="AG428" s="1"/>
      <c r="AH428" s="3"/>
      <c r="AI428" s="1"/>
      <c r="AJ428" s="1"/>
      <c r="AK428" s="1"/>
      <c r="AL428" s="1"/>
      <c r="AM428" s="1"/>
      <c r="AN428" s="2"/>
      <c r="AO428" s="1"/>
      <c r="AP428" s="1"/>
      <c r="AQ428" s="1"/>
      <c r="AR428" s="2"/>
      <c r="AS428" s="1"/>
      <c r="AT428" s="2"/>
      <c r="AU428" s="4"/>
      <c r="AV428" s="7"/>
      <c r="AW428" s="4"/>
      <c r="AX428" s="3"/>
      <c r="AY428" s="4"/>
      <c r="AZ428" s="1"/>
      <c r="BA428" s="1"/>
      <c r="BB428" s="1"/>
      <c r="BC428" s="4"/>
      <c r="BD428" s="1"/>
      <c r="BE428" s="4"/>
      <c r="BF428" s="2"/>
      <c r="BG428" s="4"/>
      <c r="BH428" s="1"/>
      <c r="BI428" s="1"/>
    </row>
    <row r="429" spans="1:61" ht="15" customHeight="1" x14ac:dyDescent="0.25">
      <c r="A429" s="2"/>
      <c r="B429" s="1"/>
      <c r="E429" s="1"/>
      <c r="F429" s="1"/>
      <c r="G429" s="1"/>
      <c r="H429" s="1"/>
      <c r="J429" s="2"/>
      <c r="K429" s="3"/>
      <c r="L429" s="1"/>
      <c r="N429" s="3"/>
      <c r="P429" s="1"/>
      <c r="Q429" s="2"/>
      <c r="R429" s="3"/>
      <c r="S429" s="4"/>
      <c r="T429" s="3"/>
      <c r="U429" s="1"/>
      <c r="V429" s="1"/>
      <c r="W429" s="3"/>
      <c r="X429" s="1"/>
      <c r="Y429" s="4"/>
      <c r="Z429" s="4"/>
      <c r="AA429" s="1"/>
      <c r="AB429" s="1"/>
      <c r="AC429" s="1"/>
      <c r="AD429" s="2"/>
      <c r="AE429" s="1"/>
      <c r="AF429" s="1"/>
      <c r="AG429" s="1"/>
      <c r="AH429" s="3"/>
      <c r="AI429" s="1"/>
      <c r="AJ429" s="1"/>
      <c r="AK429" s="1"/>
      <c r="AL429" s="1"/>
      <c r="AM429" s="1"/>
      <c r="AN429" s="2"/>
      <c r="AO429" s="1"/>
      <c r="AP429" s="1"/>
      <c r="AQ429" s="1"/>
      <c r="AR429" s="2"/>
      <c r="AS429" s="1"/>
      <c r="AT429" s="2"/>
      <c r="AU429" s="4"/>
      <c r="AV429" s="7"/>
      <c r="AW429" s="4"/>
      <c r="AX429" s="3"/>
      <c r="AY429" s="4"/>
      <c r="AZ429" s="1"/>
      <c r="BA429" s="1"/>
      <c r="BB429" s="1"/>
      <c r="BC429" s="4"/>
      <c r="BD429" s="1"/>
      <c r="BE429" s="4"/>
      <c r="BF429" s="2"/>
      <c r="BG429" s="4"/>
      <c r="BH429" s="1"/>
      <c r="BI429" s="1"/>
    </row>
    <row r="430" spans="1:61" ht="15" customHeight="1" x14ac:dyDescent="0.25">
      <c r="A430" s="2"/>
      <c r="B430" s="1"/>
      <c r="E430" s="1"/>
      <c r="F430" s="1"/>
      <c r="G430" s="1"/>
      <c r="H430" s="1"/>
      <c r="J430" s="2"/>
      <c r="K430" s="3"/>
      <c r="L430" s="1"/>
      <c r="N430" s="3"/>
      <c r="P430" s="1"/>
      <c r="Q430" s="2"/>
      <c r="R430" s="3"/>
      <c r="S430" s="4"/>
      <c r="T430" s="3"/>
      <c r="U430" s="1"/>
      <c r="V430" s="1"/>
      <c r="W430" s="3"/>
      <c r="X430" s="1"/>
      <c r="Y430" s="4"/>
      <c r="Z430" s="4"/>
      <c r="AA430" s="1"/>
      <c r="AB430" s="1"/>
      <c r="AC430" s="1"/>
      <c r="AD430" s="2"/>
      <c r="AE430" s="1"/>
      <c r="AF430" s="1"/>
      <c r="AG430" s="1"/>
      <c r="AH430" s="3"/>
      <c r="AI430" s="1"/>
      <c r="AJ430" s="1"/>
      <c r="AK430" s="1"/>
      <c r="AL430" s="1"/>
      <c r="AM430" s="1"/>
      <c r="AN430" s="2"/>
      <c r="AO430" s="1"/>
      <c r="AP430" s="1"/>
      <c r="AQ430" s="1"/>
      <c r="AR430" s="2"/>
      <c r="AS430" s="1"/>
      <c r="AT430" s="2"/>
      <c r="AU430" s="4"/>
      <c r="AV430" s="7"/>
      <c r="AW430" s="4"/>
      <c r="AX430" s="3"/>
      <c r="AY430" s="4"/>
      <c r="AZ430" s="1"/>
      <c r="BA430" s="1"/>
      <c r="BB430" s="1"/>
      <c r="BC430" s="4"/>
      <c r="BD430" s="1"/>
      <c r="BE430" s="4"/>
      <c r="BF430" s="2"/>
      <c r="BG430" s="4"/>
      <c r="BH430" s="1"/>
      <c r="BI430" s="1"/>
    </row>
    <row r="431" spans="1:61" ht="15" customHeight="1" x14ac:dyDescent="0.25">
      <c r="A431" s="2"/>
      <c r="B431" s="1"/>
      <c r="E431" s="1"/>
      <c r="F431" s="1"/>
      <c r="G431" s="1"/>
      <c r="H431" s="1"/>
      <c r="J431" s="2"/>
      <c r="K431" s="3"/>
      <c r="L431" s="1"/>
      <c r="N431" s="3"/>
      <c r="P431" s="1"/>
      <c r="Q431" s="2"/>
      <c r="R431" s="3"/>
      <c r="S431" s="4"/>
      <c r="T431" s="3"/>
      <c r="U431" s="1"/>
      <c r="V431" s="1"/>
      <c r="W431" s="3"/>
      <c r="X431" s="1"/>
      <c r="Y431" s="4"/>
      <c r="Z431" s="4"/>
      <c r="AA431" s="1"/>
      <c r="AB431" s="1"/>
      <c r="AC431" s="1"/>
      <c r="AD431" s="2"/>
      <c r="AE431" s="1"/>
      <c r="AF431" s="1"/>
      <c r="AG431" s="1"/>
      <c r="AH431" s="3"/>
      <c r="AI431" s="1"/>
      <c r="AJ431" s="1"/>
      <c r="AK431" s="1"/>
      <c r="AL431" s="1"/>
      <c r="AM431" s="1"/>
      <c r="AN431" s="2"/>
      <c r="AO431" s="1"/>
      <c r="AP431" s="1"/>
      <c r="AQ431" s="1"/>
      <c r="AR431" s="2"/>
      <c r="AS431" s="1"/>
      <c r="AT431" s="2"/>
      <c r="AU431" s="4"/>
      <c r="AV431" s="7"/>
      <c r="AW431" s="4"/>
      <c r="AX431" s="3"/>
      <c r="AY431" s="4"/>
      <c r="AZ431" s="1"/>
      <c r="BA431" s="1"/>
      <c r="BB431" s="1"/>
      <c r="BC431" s="4"/>
      <c r="BD431" s="1"/>
      <c r="BE431" s="4"/>
      <c r="BF431" s="2"/>
      <c r="BG431" s="4"/>
      <c r="BH431" s="1"/>
      <c r="BI431" s="1"/>
    </row>
    <row r="432" spans="1:61" ht="15" customHeight="1" x14ac:dyDescent="0.25">
      <c r="A432" s="2"/>
      <c r="B432" s="1"/>
      <c r="E432" s="1"/>
      <c r="F432" s="1"/>
      <c r="G432" s="1"/>
      <c r="H432" s="1"/>
      <c r="J432" s="2"/>
      <c r="K432" s="3"/>
      <c r="L432" s="1"/>
      <c r="N432" s="3"/>
      <c r="P432" s="1"/>
      <c r="Q432" s="2"/>
      <c r="R432" s="3"/>
      <c r="S432" s="4"/>
      <c r="T432" s="3"/>
      <c r="U432" s="1"/>
      <c r="V432" s="1"/>
      <c r="W432" s="3"/>
      <c r="X432" s="1"/>
      <c r="Y432" s="4"/>
      <c r="Z432" s="4"/>
      <c r="AA432" s="1"/>
      <c r="AB432" s="1"/>
      <c r="AC432" s="1"/>
      <c r="AD432" s="2"/>
      <c r="AE432" s="1"/>
      <c r="AF432" s="1"/>
      <c r="AG432" s="1"/>
      <c r="AH432" s="3"/>
      <c r="AI432" s="1"/>
      <c r="AJ432" s="1"/>
      <c r="AK432" s="1"/>
      <c r="AL432" s="1"/>
      <c r="AM432" s="1"/>
      <c r="AN432" s="2"/>
      <c r="AO432" s="1"/>
      <c r="AP432" s="1"/>
      <c r="AQ432" s="1"/>
      <c r="AR432" s="2"/>
      <c r="AS432" s="1"/>
      <c r="AT432" s="2"/>
      <c r="AU432" s="4"/>
      <c r="AV432" s="7"/>
      <c r="AW432" s="4"/>
      <c r="AX432" s="3"/>
      <c r="AY432" s="4"/>
      <c r="AZ432" s="1"/>
      <c r="BA432" s="1"/>
      <c r="BB432" s="1"/>
      <c r="BC432" s="4"/>
      <c r="BD432" s="1"/>
      <c r="BE432" s="4"/>
      <c r="BF432" s="2"/>
      <c r="BG432" s="4"/>
      <c r="BH432" s="1"/>
      <c r="BI432" s="1"/>
    </row>
    <row r="433" spans="1:61" ht="15" customHeight="1" x14ac:dyDescent="0.25">
      <c r="A433" s="2"/>
      <c r="B433" s="1"/>
      <c r="E433" s="1"/>
      <c r="F433" s="1"/>
      <c r="G433" s="1"/>
      <c r="H433" s="1"/>
      <c r="J433" s="2"/>
      <c r="K433" s="3"/>
      <c r="L433" s="1"/>
      <c r="N433" s="3"/>
      <c r="P433" s="1"/>
      <c r="Q433" s="2"/>
      <c r="R433" s="3"/>
      <c r="S433" s="4"/>
      <c r="T433" s="3"/>
      <c r="U433" s="1"/>
      <c r="V433" s="1"/>
      <c r="W433" s="3"/>
      <c r="X433" s="1"/>
      <c r="Y433" s="4"/>
      <c r="Z433" s="4"/>
      <c r="AA433" s="1"/>
      <c r="AB433" s="1"/>
      <c r="AC433" s="1"/>
      <c r="AD433" s="2"/>
      <c r="AE433" s="1"/>
      <c r="AF433" s="1"/>
      <c r="AG433" s="1"/>
      <c r="AH433" s="3"/>
      <c r="AI433" s="1"/>
      <c r="AJ433" s="1"/>
      <c r="AK433" s="1"/>
      <c r="AL433" s="1"/>
      <c r="AM433" s="1"/>
      <c r="AN433" s="2"/>
      <c r="AO433" s="1"/>
      <c r="AP433" s="1"/>
      <c r="AQ433" s="1"/>
      <c r="AR433" s="2"/>
      <c r="AS433" s="1"/>
      <c r="AT433" s="2"/>
      <c r="AU433" s="4"/>
      <c r="AV433" s="7"/>
      <c r="AW433" s="4"/>
      <c r="AX433" s="3"/>
      <c r="AY433" s="4"/>
      <c r="AZ433" s="1"/>
      <c r="BA433" s="1"/>
      <c r="BB433" s="1"/>
      <c r="BC433" s="4"/>
      <c r="BD433" s="1"/>
      <c r="BE433" s="4"/>
      <c r="BF433" s="2"/>
      <c r="BG433" s="4"/>
      <c r="BH433" s="1"/>
      <c r="BI433" s="1"/>
    </row>
    <row r="434" spans="1:61" ht="15" customHeight="1" x14ac:dyDescent="0.25">
      <c r="A434" s="2"/>
      <c r="B434" s="1"/>
      <c r="E434" s="1"/>
      <c r="F434" s="1"/>
      <c r="G434" s="1"/>
      <c r="H434" s="1"/>
      <c r="J434" s="2"/>
      <c r="K434" s="3"/>
      <c r="L434" s="1"/>
      <c r="N434" s="3"/>
      <c r="P434" s="1"/>
      <c r="Q434" s="2"/>
      <c r="R434" s="3"/>
      <c r="S434" s="4"/>
      <c r="T434" s="3"/>
      <c r="U434" s="1"/>
      <c r="V434" s="1"/>
      <c r="W434" s="3"/>
      <c r="X434" s="1"/>
      <c r="Y434" s="4"/>
      <c r="Z434" s="4"/>
      <c r="AA434" s="1"/>
      <c r="AB434" s="1"/>
      <c r="AC434" s="1"/>
      <c r="AD434" s="2"/>
      <c r="AE434" s="1"/>
      <c r="AF434" s="1"/>
      <c r="AG434" s="1"/>
      <c r="AH434" s="3"/>
      <c r="AI434" s="1"/>
      <c r="AJ434" s="1"/>
      <c r="AK434" s="1"/>
      <c r="AL434" s="1"/>
      <c r="AM434" s="1"/>
      <c r="AN434" s="2"/>
      <c r="AO434" s="1"/>
      <c r="AP434" s="1"/>
      <c r="AQ434" s="1"/>
      <c r="AR434" s="2"/>
      <c r="AS434" s="1"/>
      <c r="AT434" s="2"/>
      <c r="AU434" s="4"/>
      <c r="AV434" s="7"/>
      <c r="AW434" s="4"/>
      <c r="AX434" s="3"/>
      <c r="AY434" s="4"/>
      <c r="AZ434" s="1"/>
      <c r="BA434" s="1"/>
      <c r="BB434" s="1"/>
      <c r="BC434" s="4"/>
      <c r="BD434" s="1"/>
      <c r="BE434" s="4"/>
      <c r="BF434" s="2"/>
      <c r="BG434" s="4"/>
      <c r="BH434" s="1"/>
      <c r="BI434" s="1"/>
    </row>
    <row r="435" spans="1:61" ht="15" customHeight="1" x14ac:dyDescent="0.25">
      <c r="A435" s="2"/>
      <c r="B435" s="1"/>
      <c r="E435" s="1"/>
      <c r="F435" s="1"/>
      <c r="G435" s="1"/>
      <c r="H435" s="1"/>
      <c r="J435" s="2"/>
      <c r="K435" s="3"/>
      <c r="L435" s="1"/>
      <c r="N435" s="3"/>
      <c r="P435" s="1"/>
      <c r="Q435" s="2"/>
      <c r="R435" s="3"/>
      <c r="S435" s="4"/>
      <c r="T435" s="3"/>
      <c r="U435" s="1"/>
      <c r="V435" s="1"/>
      <c r="W435" s="3"/>
      <c r="X435" s="1"/>
      <c r="Y435" s="4"/>
      <c r="Z435" s="4"/>
      <c r="AA435" s="1"/>
      <c r="AB435" s="1"/>
      <c r="AC435" s="1"/>
      <c r="AD435" s="2"/>
      <c r="AE435" s="1"/>
      <c r="AF435" s="1"/>
      <c r="AG435" s="1"/>
      <c r="AH435" s="3"/>
      <c r="AI435" s="1"/>
      <c r="AJ435" s="1"/>
      <c r="AK435" s="1"/>
      <c r="AL435" s="1"/>
      <c r="AM435" s="1"/>
      <c r="AN435" s="2"/>
      <c r="AO435" s="1"/>
      <c r="AP435" s="1"/>
      <c r="AQ435" s="1"/>
      <c r="AR435" s="2"/>
      <c r="AS435" s="1"/>
      <c r="AT435" s="2"/>
      <c r="AU435" s="4"/>
      <c r="AV435" s="7"/>
      <c r="AW435" s="4"/>
      <c r="AX435" s="3"/>
      <c r="AY435" s="4"/>
      <c r="AZ435" s="1"/>
      <c r="BA435" s="1"/>
      <c r="BB435" s="1"/>
      <c r="BC435" s="4"/>
      <c r="BD435" s="1"/>
      <c r="BE435" s="4"/>
      <c r="BF435" s="2"/>
      <c r="BG435" s="4"/>
      <c r="BH435" s="1"/>
      <c r="BI435" s="1"/>
    </row>
    <row r="436" spans="1:61" ht="15" customHeight="1" x14ac:dyDescent="0.25">
      <c r="A436" s="2"/>
      <c r="B436" s="1"/>
      <c r="E436" s="1"/>
      <c r="F436" s="1"/>
      <c r="G436" s="1"/>
      <c r="H436" s="1"/>
      <c r="J436" s="2"/>
      <c r="K436" s="3"/>
      <c r="L436" s="1"/>
      <c r="N436" s="3"/>
      <c r="P436" s="1"/>
      <c r="Q436" s="2"/>
      <c r="R436" s="3"/>
      <c r="S436" s="4"/>
      <c r="T436" s="3"/>
      <c r="U436" s="1"/>
      <c r="V436" s="1"/>
      <c r="W436" s="3"/>
      <c r="X436" s="1"/>
      <c r="Y436" s="4"/>
      <c r="Z436" s="4"/>
      <c r="AA436" s="1"/>
      <c r="AB436" s="1"/>
      <c r="AC436" s="1"/>
      <c r="AD436" s="2"/>
      <c r="AE436" s="1"/>
      <c r="AF436" s="1"/>
      <c r="AG436" s="1"/>
      <c r="AH436" s="3"/>
      <c r="AI436" s="1"/>
      <c r="AJ436" s="1"/>
      <c r="AK436" s="1"/>
      <c r="AL436" s="1"/>
      <c r="AM436" s="1"/>
      <c r="AN436" s="2"/>
      <c r="AO436" s="1"/>
      <c r="AP436" s="1"/>
      <c r="AQ436" s="1"/>
      <c r="AR436" s="2"/>
      <c r="AS436" s="1"/>
      <c r="AT436" s="2"/>
      <c r="AU436" s="4"/>
      <c r="AV436" s="7"/>
      <c r="AW436" s="4"/>
      <c r="AX436" s="3"/>
      <c r="AY436" s="4"/>
      <c r="AZ436" s="1"/>
      <c r="BA436" s="1"/>
      <c r="BB436" s="1"/>
      <c r="BC436" s="4"/>
      <c r="BD436" s="1"/>
      <c r="BE436" s="4"/>
      <c r="BF436" s="2"/>
      <c r="BG436" s="4"/>
      <c r="BH436" s="1"/>
      <c r="BI436" s="1"/>
    </row>
    <row r="437" spans="1:61" ht="15" customHeight="1" x14ac:dyDescent="0.25">
      <c r="A437" s="2"/>
      <c r="B437" s="1"/>
      <c r="E437" s="1"/>
      <c r="F437" s="1"/>
      <c r="G437" s="1"/>
      <c r="H437" s="1"/>
      <c r="J437" s="2"/>
      <c r="K437" s="3"/>
      <c r="L437" s="1"/>
      <c r="N437" s="3"/>
      <c r="P437" s="1"/>
      <c r="Q437" s="2"/>
      <c r="R437" s="3"/>
      <c r="S437" s="4"/>
      <c r="T437" s="3"/>
      <c r="U437" s="1"/>
      <c r="V437" s="1"/>
      <c r="W437" s="3"/>
      <c r="X437" s="1"/>
      <c r="Y437" s="4"/>
      <c r="Z437" s="4"/>
      <c r="AA437" s="1"/>
      <c r="AB437" s="1"/>
      <c r="AC437" s="1"/>
      <c r="AD437" s="2"/>
      <c r="AE437" s="1"/>
      <c r="AF437" s="1"/>
      <c r="AG437" s="1"/>
      <c r="AH437" s="3"/>
      <c r="AI437" s="1"/>
      <c r="AJ437" s="1"/>
      <c r="AK437" s="1"/>
      <c r="AL437" s="1"/>
      <c r="AM437" s="1"/>
      <c r="AN437" s="2"/>
      <c r="AO437" s="1"/>
      <c r="AP437" s="1"/>
      <c r="AQ437" s="1"/>
      <c r="AR437" s="2"/>
      <c r="AS437" s="1"/>
      <c r="AT437" s="2"/>
      <c r="AU437" s="4"/>
      <c r="AV437" s="7"/>
      <c r="AW437" s="4"/>
      <c r="AX437" s="3"/>
      <c r="AY437" s="4"/>
      <c r="AZ437" s="1"/>
      <c r="BA437" s="1"/>
      <c r="BB437" s="1"/>
      <c r="BC437" s="4"/>
      <c r="BD437" s="1"/>
      <c r="BE437" s="4"/>
      <c r="BF437" s="2"/>
      <c r="BG437" s="4"/>
      <c r="BH437" s="1"/>
      <c r="BI437" s="1"/>
    </row>
    <row r="438" spans="1:61" ht="15" customHeight="1" x14ac:dyDescent="0.25">
      <c r="A438" s="2"/>
      <c r="B438" s="1"/>
      <c r="E438" s="1"/>
      <c r="F438" s="1"/>
      <c r="G438" s="1"/>
      <c r="H438" s="1"/>
      <c r="J438" s="2"/>
      <c r="K438" s="3"/>
      <c r="L438" s="1"/>
      <c r="N438" s="3"/>
      <c r="P438" s="1"/>
      <c r="Q438" s="2"/>
      <c r="R438" s="3"/>
      <c r="S438" s="4"/>
      <c r="T438" s="3"/>
      <c r="U438" s="1"/>
      <c r="V438" s="1"/>
      <c r="W438" s="3"/>
      <c r="X438" s="1"/>
      <c r="Y438" s="4"/>
      <c r="Z438" s="4"/>
      <c r="AA438" s="1"/>
      <c r="AB438" s="1"/>
      <c r="AC438" s="1"/>
      <c r="AD438" s="2"/>
      <c r="AE438" s="1"/>
      <c r="AF438" s="1"/>
      <c r="AG438" s="1"/>
      <c r="AH438" s="3"/>
      <c r="AI438" s="1"/>
      <c r="AJ438" s="1"/>
      <c r="AK438" s="1"/>
      <c r="AL438" s="1"/>
      <c r="AM438" s="1"/>
      <c r="AN438" s="2"/>
      <c r="AO438" s="1"/>
      <c r="AP438" s="1"/>
      <c r="AQ438" s="1"/>
      <c r="AR438" s="2"/>
      <c r="AS438" s="1"/>
      <c r="AT438" s="2"/>
      <c r="AU438" s="4"/>
      <c r="AV438" s="7"/>
      <c r="AW438" s="4"/>
      <c r="AX438" s="3"/>
      <c r="AY438" s="4"/>
      <c r="AZ438" s="1"/>
      <c r="BA438" s="1"/>
      <c r="BB438" s="1"/>
      <c r="BC438" s="4"/>
      <c r="BD438" s="1"/>
      <c r="BE438" s="4"/>
      <c r="BF438" s="2"/>
      <c r="BG438" s="4"/>
      <c r="BH438" s="1"/>
      <c r="BI438" s="1"/>
    </row>
    <row r="439" spans="1:61" ht="15" customHeight="1" x14ac:dyDescent="0.25">
      <c r="A439" s="2"/>
      <c r="B439" s="1"/>
      <c r="E439" s="1"/>
      <c r="F439" s="1"/>
      <c r="G439" s="1"/>
      <c r="H439" s="1"/>
      <c r="J439" s="2"/>
      <c r="K439" s="3"/>
      <c r="L439" s="1"/>
      <c r="N439" s="3"/>
      <c r="P439" s="1"/>
      <c r="Q439" s="2"/>
      <c r="R439" s="3"/>
      <c r="S439" s="4"/>
      <c r="T439" s="3"/>
      <c r="U439" s="1"/>
      <c r="V439" s="1"/>
      <c r="W439" s="3"/>
      <c r="X439" s="1"/>
      <c r="Y439" s="4"/>
      <c r="Z439" s="4"/>
      <c r="AA439" s="1"/>
      <c r="AB439" s="1"/>
      <c r="AC439" s="1"/>
      <c r="AD439" s="2"/>
      <c r="AE439" s="1"/>
      <c r="AF439" s="1"/>
      <c r="AG439" s="1"/>
      <c r="AH439" s="3"/>
      <c r="AI439" s="1"/>
      <c r="AJ439" s="1"/>
      <c r="AK439" s="1"/>
      <c r="AL439" s="1"/>
      <c r="AM439" s="1"/>
      <c r="AN439" s="2"/>
      <c r="AO439" s="1"/>
      <c r="AP439" s="1"/>
      <c r="AQ439" s="1"/>
      <c r="AR439" s="2"/>
      <c r="AS439" s="1"/>
      <c r="AT439" s="2"/>
      <c r="AU439" s="4"/>
      <c r="AV439" s="7"/>
      <c r="AW439" s="4"/>
      <c r="AX439" s="3"/>
      <c r="AY439" s="4"/>
      <c r="AZ439" s="1"/>
      <c r="BA439" s="1"/>
      <c r="BB439" s="1"/>
      <c r="BC439" s="4"/>
      <c r="BD439" s="1"/>
      <c r="BE439" s="4"/>
      <c r="BF439" s="2"/>
      <c r="BG439" s="4"/>
      <c r="BH439" s="1"/>
      <c r="BI439" s="1"/>
    </row>
    <row r="440" spans="1:61" ht="15" customHeight="1" x14ac:dyDescent="0.25">
      <c r="A440" s="2"/>
      <c r="B440" s="1"/>
      <c r="E440" s="1"/>
      <c r="F440" s="1"/>
      <c r="G440" s="1"/>
      <c r="H440" s="1"/>
      <c r="J440" s="2"/>
      <c r="K440" s="3"/>
      <c r="L440" s="1"/>
      <c r="N440" s="3"/>
      <c r="P440" s="1"/>
      <c r="Q440" s="2"/>
      <c r="R440" s="3"/>
      <c r="S440" s="4"/>
      <c r="T440" s="3"/>
      <c r="U440" s="1"/>
      <c r="V440" s="1"/>
      <c r="W440" s="3"/>
      <c r="X440" s="1"/>
      <c r="Y440" s="4"/>
      <c r="Z440" s="4"/>
      <c r="AA440" s="1"/>
      <c r="AB440" s="1"/>
      <c r="AC440" s="1"/>
      <c r="AD440" s="2"/>
      <c r="AE440" s="1"/>
      <c r="AF440" s="1"/>
      <c r="AG440" s="1"/>
      <c r="AH440" s="3"/>
      <c r="AI440" s="1"/>
      <c r="AJ440" s="1"/>
      <c r="AK440" s="1"/>
      <c r="AL440" s="1"/>
      <c r="AM440" s="1"/>
      <c r="AN440" s="2"/>
      <c r="AO440" s="1"/>
      <c r="AP440" s="1"/>
      <c r="AQ440" s="1"/>
      <c r="AR440" s="2"/>
      <c r="AS440" s="1"/>
      <c r="AT440" s="2"/>
      <c r="AU440" s="4"/>
      <c r="AV440" s="7"/>
      <c r="AW440" s="4"/>
      <c r="AX440" s="3"/>
      <c r="AY440" s="4"/>
      <c r="AZ440" s="1"/>
      <c r="BA440" s="1"/>
      <c r="BB440" s="1"/>
      <c r="BC440" s="4"/>
      <c r="BD440" s="1"/>
      <c r="BE440" s="4"/>
      <c r="BF440" s="2"/>
      <c r="BG440" s="4"/>
      <c r="BH440" s="1"/>
      <c r="BI440" s="1"/>
    </row>
    <row r="441" spans="1:61" ht="15" customHeight="1" x14ac:dyDescent="0.25">
      <c r="A441" s="2"/>
      <c r="B441" s="1"/>
      <c r="E441" s="1"/>
      <c r="F441" s="1"/>
      <c r="G441" s="1"/>
      <c r="H441" s="1"/>
      <c r="J441" s="2"/>
      <c r="K441" s="3"/>
      <c r="L441" s="1"/>
      <c r="N441" s="3"/>
      <c r="P441" s="1"/>
      <c r="Q441" s="2"/>
      <c r="R441" s="3"/>
      <c r="S441" s="4"/>
      <c r="T441" s="3"/>
      <c r="U441" s="1"/>
      <c r="V441" s="1"/>
      <c r="W441" s="3"/>
      <c r="X441" s="1"/>
      <c r="Y441" s="4"/>
      <c r="Z441" s="4"/>
      <c r="AA441" s="1"/>
      <c r="AB441" s="1"/>
      <c r="AC441" s="1"/>
      <c r="AD441" s="2"/>
      <c r="AE441" s="1"/>
      <c r="AF441" s="1"/>
      <c r="AG441" s="1"/>
      <c r="AH441" s="3"/>
      <c r="AI441" s="1"/>
      <c r="AJ441" s="1"/>
      <c r="AK441" s="1"/>
      <c r="AL441" s="1"/>
      <c r="AM441" s="1"/>
      <c r="AN441" s="2"/>
      <c r="AO441" s="1"/>
      <c r="AP441" s="1"/>
      <c r="AQ441" s="1"/>
      <c r="AR441" s="2"/>
      <c r="AS441" s="1"/>
      <c r="AT441" s="2"/>
      <c r="AU441" s="4"/>
      <c r="AV441" s="7"/>
      <c r="AW441" s="4"/>
      <c r="AX441" s="3"/>
      <c r="AY441" s="4"/>
      <c r="AZ441" s="1"/>
      <c r="BA441" s="1"/>
      <c r="BB441" s="1"/>
      <c r="BC441" s="4"/>
      <c r="BD441" s="1"/>
      <c r="BE441" s="4"/>
      <c r="BF441" s="2"/>
      <c r="BG441" s="4"/>
      <c r="BH441" s="1"/>
      <c r="BI441" s="1"/>
    </row>
    <row r="442" spans="1:61" ht="15" customHeight="1" x14ac:dyDescent="0.25">
      <c r="A442" s="2"/>
      <c r="B442" s="1"/>
      <c r="E442" s="1"/>
      <c r="F442" s="1"/>
      <c r="G442" s="1"/>
      <c r="H442" s="1"/>
      <c r="J442" s="2"/>
      <c r="K442" s="3"/>
      <c r="L442" s="1"/>
      <c r="N442" s="3"/>
      <c r="P442" s="1"/>
      <c r="Q442" s="2"/>
      <c r="R442" s="3"/>
      <c r="S442" s="4"/>
      <c r="T442" s="3"/>
      <c r="U442" s="1"/>
      <c r="V442" s="1"/>
      <c r="W442" s="3"/>
      <c r="X442" s="1"/>
      <c r="Y442" s="4"/>
      <c r="Z442" s="4"/>
      <c r="AA442" s="1"/>
      <c r="AB442" s="1"/>
      <c r="AC442" s="1"/>
      <c r="AD442" s="2"/>
      <c r="AE442" s="1"/>
      <c r="AF442" s="1"/>
      <c r="AG442" s="1"/>
      <c r="AH442" s="3"/>
      <c r="AI442" s="1"/>
      <c r="AJ442" s="1"/>
      <c r="AK442" s="1"/>
      <c r="AL442" s="1"/>
      <c r="AM442" s="1"/>
      <c r="AN442" s="2"/>
      <c r="AO442" s="1"/>
      <c r="AP442" s="1"/>
      <c r="AQ442" s="1"/>
      <c r="AR442" s="2"/>
      <c r="AS442" s="1"/>
      <c r="AT442" s="2"/>
      <c r="AU442" s="4"/>
      <c r="AV442" s="7"/>
      <c r="AW442" s="4"/>
      <c r="AX442" s="3"/>
      <c r="AY442" s="4"/>
      <c r="AZ442" s="1"/>
      <c r="BA442" s="1"/>
      <c r="BB442" s="1"/>
      <c r="BC442" s="4"/>
      <c r="BD442" s="1"/>
      <c r="BE442" s="4"/>
      <c r="BF442" s="2"/>
      <c r="BG442" s="4"/>
      <c r="BH442" s="1"/>
      <c r="BI442" s="1"/>
    </row>
    <row r="443" spans="1:61" ht="15" customHeight="1" x14ac:dyDescent="0.25">
      <c r="A443" s="2"/>
      <c r="B443" s="1"/>
      <c r="E443" s="1"/>
      <c r="F443" s="1"/>
      <c r="G443" s="1"/>
      <c r="H443" s="1"/>
      <c r="J443" s="2"/>
      <c r="K443" s="3"/>
      <c r="L443" s="1"/>
      <c r="N443" s="3"/>
      <c r="P443" s="1"/>
      <c r="Q443" s="2"/>
      <c r="R443" s="3"/>
      <c r="S443" s="4"/>
      <c r="T443" s="3"/>
      <c r="U443" s="1"/>
      <c r="V443" s="1"/>
      <c r="W443" s="3"/>
      <c r="X443" s="1"/>
      <c r="Y443" s="4"/>
      <c r="Z443" s="4"/>
      <c r="AA443" s="1"/>
      <c r="AB443" s="1"/>
      <c r="AC443" s="1"/>
      <c r="AD443" s="2"/>
      <c r="AE443" s="1"/>
      <c r="AF443" s="1"/>
      <c r="AG443" s="1"/>
      <c r="AH443" s="3"/>
      <c r="AI443" s="1"/>
      <c r="AJ443" s="1"/>
      <c r="AK443" s="1"/>
      <c r="AL443" s="1"/>
      <c r="AM443" s="1"/>
      <c r="AN443" s="2"/>
      <c r="AO443" s="1"/>
      <c r="AP443" s="1"/>
      <c r="AQ443" s="1"/>
      <c r="AR443" s="2"/>
      <c r="AS443" s="1"/>
      <c r="AT443" s="2"/>
      <c r="AU443" s="4"/>
      <c r="AV443" s="7"/>
      <c r="AW443" s="4"/>
      <c r="AX443" s="3"/>
      <c r="AY443" s="4"/>
      <c r="AZ443" s="1"/>
      <c r="BA443" s="1"/>
      <c r="BB443" s="1"/>
      <c r="BC443" s="4"/>
      <c r="BD443" s="1"/>
      <c r="BE443" s="4"/>
      <c r="BF443" s="2"/>
      <c r="BG443" s="4"/>
      <c r="BH443" s="1"/>
      <c r="BI443" s="1"/>
    </row>
    <row r="444" spans="1:61" ht="15" customHeight="1" x14ac:dyDescent="0.25">
      <c r="A444" s="2"/>
      <c r="B444" s="1"/>
      <c r="E444" s="1"/>
      <c r="F444" s="1"/>
      <c r="G444" s="1"/>
      <c r="H444" s="1"/>
      <c r="J444" s="2"/>
      <c r="K444" s="3"/>
      <c r="L444" s="1"/>
      <c r="N444" s="3"/>
      <c r="P444" s="1"/>
      <c r="Q444" s="2"/>
      <c r="R444" s="3"/>
      <c r="S444" s="4"/>
      <c r="T444" s="3"/>
      <c r="U444" s="1"/>
      <c r="V444" s="1"/>
      <c r="W444" s="3"/>
      <c r="X444" s="1"/>
      <c r="Y444" s="4"/>
      <c r="Z444" s="4"/>
      <c r="AA444" s="1"/>
      <c r="AB444" s="1"/>
      <c r="AC444" s="1"/>
      <c r="AD444" s="2"/>
      <c r="AE444" s="1"/>
      <c r="AF444" s="1"/>
      <c r="AG444" s="1"/>
      <c r="AH444" s="3"/>
      <c r="AI444" s="1"/>
      <c r="AJ444" s="1"/>
      <c r="AK444" s="1"/>
      <c r="AL444" s="1"/>
      <c r="AM444" s="1"/>
      <c r="AN444" s="2"/>
      <c r="AO444" s="1"/>
      <c r="AP444" s="1"/>
      <c r="AQ444" s="1"/>
      <c r="AR444" s="2"/>
      <c r="AS444" s="1"/>
      <c r="AT444" s="2"/>
      <c r="AU444" s="4"/>
      <c r="AV444" s="7"/>
      <c r="AW444" s="4"/>
      <c r="AX444" s="3"/>
      <c r="AY444" s="4"/>
      <c r="AZ444" s="1"/>
      <c r="BA444" s="1"/>
      <c r="BB444" s="1"/>
      <c r="BC444" s="4"/>
      <c r="BD444" s="1"/>
      <c r="BE444" s="4"/>
      <c r="BF444" s="2"/>
      <c r="BG444" s="4"/>
      <c r="BH444" s="1"/>
      <c r="BI444" s="1"/>
    </row>
    <row r="445" spans="1:61" ht="15" customHeight="1" x14ac:dyDescent="0.25">
      <c r="A445" s="2"/>
      <c r="B445" s="1"/>
      <c r="E445" s="1"/>
      <c r="F445" s="1"/>
      <c r="G445" s="1"/>
      <c r="H445" s="1"/>
      <c r="J445" s="2"/>
      <c r="K445" s="3"/>
      <c r="L445" s="1"/>
      <c r="N445" s="3"/>
      <c r="P445" s="1"/>
      <c r="Q445" s="2"/>
      <c r="R445" s="3"/>
      <c r="S445" s="4"/>
      <c r="T445" s="3"/>
      <c r="U445" s="1"/>
      <c r="V445" s="1"/>
      <c r="W445" s="3"/>
      <c r="X445" s="1"/>
      <c r="Y445" s="4"/>
      <c r="Z445" s="4"/>
      <c r="AA445" s="1"/>
      <c r="AB445" s="1"/>
      <c r="AC445" s="1"/>
      <c r="AD445" s="2"/>
      <c r="AE445" s="1"/>
      <c r="AF445" s="1"/>
      <c r="AG445" s="1"/>
      <c r="AH445" s="3"/>
      <c r="AI445" s="1"/>
      <c r="AJ445" s="1"/>
      <c r="AK445" s="1"/>
      <c r="AL445" s="1"/>
      <c r="AM445" s="1"/>
      <c r="AN445" s="2"/>
      <c r="AO445" s="1"/>
      <c r="AP445" s="1"/>
      <c r="AQ445" s="1"/>
      <c r="AR445" s="2"/>
      <c r="AS445" s="1"/>
      <c r="AT445" s="2"/>
      <c r="AU445" s="4"/>
      <c r="AV445" s="7"/>
      <c r="AW445" s="4"/>
      <c r="AX445" s="3"/>
      <c r="AY445" s="4"/>
      <c r="AZ445" s="1"/>
      <c r="BA445" s="1"/>
      <c r="BB445" s="1"/>
      <c r="BC445" s="4"/>
      <c r="BD445" s="1"/>
      <c r="BE445" s="4"/>
      <c r="BF445" s="2"/>
      <c r="BG445" s="4"/>
      <c r="BH445" s="1"/>
      <c r="BI445" s="1"/>
    </row>
    <row r="446" spans="1:61" ht="15" customHeight="1" x14ac:dyDescent="0.25">
      <c r="A446" s="2"/>
      <c r="B446" s="1"/>
      <c r="E446" s="1"/>
      <c r="F446" s="1"/>
      <c r="G446" s="1"/>
      <c r="H446" s="1"/>
      <c r="J446" s="2"/>
      <c r="K446" s="3"/>
      <c r="L446" s="1"/>
      <c r="N446" s="3"/>
      <c r="P446" s="1"/>
      <c r="Q446" s="2"/>
      <c r="R446" s="3"/>
      <c r="S446" s="4"/>
      <c r="T446" s="3"/>
      <c r="U446" s="1"/>
      <c r="V446" s="1"/>
      <c r="W446" s="3"/>
      <c r="X446" s="1"/>
      <c r="Y446" s="4"/>
      <c r="Z446" s="4"/>
      <c r="AA446" s="1"/>
      <c r="AB446" s="1"/>
      <c r="AC446" s="1"/>
      <c r="AD446" s="2"/>
      <c r="AE446" s="1"/>
      <c r="AF446" s="1"/>
      <c r="AG446" s="1"/>
      <c r="AH446" s="3"/>
      <c r="AI446" s="1"/>
      <c r="AJ446" s="1"/>
      <c r="AK446" s="1"/>
      <c r="AL446" s="1"/>
      <c r="AM446" s="1"/>
      <c r="AN446" s="2"/>
      <c r="AO446" s="1"/>
      <c r="AP446" s="1"/>
      <c r="AQ446" s="1"/>
      <c r="AR446" s="2"/>
      <c r="AS446" s="1"/>
      <c r="AT446" s="2"/>
      <c r="AU446" s="4"/>
      <c r="AV446" s="7"/>
      <c r="AW446" s="4"/>
      <c r="AX446" s="3"/>
      <c r="AY446" s="4"/>
      <c r="AZ446" s="1"/>
      <c r="BA446" s="1"/>
      <c r="BB446" s="1"/>
      <c r="BC446" s="4"/>
      <c r="BD446" s="1"/>
      <c r="BE446" s="4"/>
      <c r="BF446" s="2"/>
      <c r="BG446" s="4"/>
      <c r="BH446" s="1"/>
      <c r="BI446" s="1"/>
    </row>
    <row r="447" spans="1:61" ht="15" customHeight="1" x14ac:dyDescent="0.25">
      <c r="A447" s="2"/>
      <c r="B447" s="1"/>
      <c r="E447" s="1"/>
      <c r="F447" s="1"/>
      <c r="G447" s="1"/>
      <c r="H447" s="1"/>
      <c r="J447" s="2"/>
      <c r="K447" s="3"/>
      <c r="L447" s="1"/>
      <c r="N447" s="3"/>
      <c r="P447" s="1"/>
      <c r="Q447" s="2"/>
      <c r="R447" s="3"/>
      <c r="S447" s="4"/>
      <c r="T447" s="3"/>
      <c r="U447" s="1"/>
      <c r="V447" s="1"/>
      <c r="W447" s="3"/>
      <c r="X447" s="1"/>
      <c r="Y447" s="4"/>
      <c r="Z447" s="4"/>
      <c r="AA447" s="1"/>
      <c r="AB447" s="1"/>
      <c r="AC447" s="1"/>
      <c r="AD447" s="2"/>
      <c r="AE447" s="1"/>
      <c r="AF447" s="1"/>
      <c r="AG447" s="1"/>
      <c r="AH447" s="3"/>
      <c r="AI447" s="1"/>
      <c r="AJ447" s="1"/>
      <c r="AK447" s="1"/>
      <c r="AL447" s="1"/>
      <c r="AM447" s="1"/>
      <c r="AN447" s="2"/>
      <c r="AO447" s="1"/>
      <c r="AP447" s="1"/>
      <c r="AQ447" s="1"/>
      <c r="AR447" s="2"/>
      <c r="AS447" s="1"/>
      <c r="AT447" s="2"/>
      <c r="AU447" s="4"/>
      <c r="AV447" s="7"/>
      <c r="AW447" s="4"/>
      <c r="AX447" s="3"/>
      <c r="AY447" s="4"/>
      <c r="AZ447" s="1"/>
      <c r="BA447" s="1"/>
      <c r="BB447" s="1"/>
      <c r="BC447" s="4"/>
      <c r="BD447" s="1"/>
      <c r="BE447" s="4"/>
      <c r="BF447" s="2"/>
      <c r="BG447" s="4"/>
      <c r="BH447" s="1"/>
      <c r="BI447" s="1"/>
    </row>
    <row r="448" spans="1:61" ht="15" customHeight="1" x14ac:dyDescent="0.25">
      <c r="A448" s="2"/>
      <c r="B448" s="1"/>
      <c r="E448" s="1"/>
      <c r="F448" s="1"/>
      <c r="G448" s="1"/>
      <c r="H448" s="1"/>
      <c r="J448" s="2"/>
      <c r="K448" s="3"/>
      <c r="L448" s="1"/>
      <c r="N448" s="3"/>
      <c r="P448" s="1"/>
      <c r="Q448" s="2"/>
      <c r="R448" s="3"/>
      <c r="S448" s="4"/>
      <c r="T448" s="3"/>
      <c r="U448" s="1"/>
      <c r="V448" s="1"/>
      <c r="W448" s="3"/>
      <c r="X448" s="1"/>
      <c r="Y448" s="4"/>
      <c r="Z448" s="4"/>
      <c r="AA448" s="1"/>
      <c r="AB448" s="1"/>
      <c r="AC448" s="1"/>
      <c r="AD448" s="2"/>
      <c r="AE448" s="1"/>
      <c r="AF448" s="1"/>
      <c r="AG448" s="1"/>
      <c r="AH448" s="3"/>
      <c r="AI448" s="1"/>
      <c r="AJ448" s="1"/>
      <c r="AK448" s="1"/>
      <c r="AL448" s="1"/>
      <c r="AM448" s="1"/>
      <c r="AN448" s="2"/>
      <c r="AO448" s="1"/>
      <c r="AP448" s="1"/>
      <c r="AQ448" s="1"/>
      <c r="AR448" s="2"/>
      <c r="AS448" s="1"/>
      <c r="AT448" s="2"/>
      <c r="AU448" s="4"/>
      <c r="AV448" s="7"/>
      <c r="AW448" s="4"/>
      <c r="AX448" s="3"/>
      <c r="AY448" s="4"/>
      <c r="AZ448" s="1"/>
      <c r="BA448" s="1"/>
      <c r="BB448" s="1"/>
      <c r="BC448" s="4"/>
      <c r="BD448" s="1"/>
      <c r="BE448" s="4"/>
      <c r="BF448" s="2"/>
      <c r="BG448" s="4"/>
      <c r="BH448" s="1"/>
      <c r="BI448" s="1"/>
    </row>
    <row r="449" spans="1:61" ht="15" customHeight="1" x14ac:dyDescent="0.25">
      <c r="A449" s="2"/>
      <c r="B449" s="1"/>
      <c r="E449" s="1"/>
      <c r="F449" s="1"/>
      <c r="G449" s="1"/>
      <c r="H449" s="1"/>
      <c r="J449" s="2"/>
      <c r="K449" s="3"/>
      <c r="L449" s="1"/>
      <c r="N449" s="3"/>
      <c r="P449" s="1"/>
      <c r="Q449" s="2"/>
      <c r="R449" s="3"/>
      <c r="S449" s="4"/>
      <c r="T449" s="3"/>
      <c r="U449" s="1"/>
      <c r="V449" s="1"/>
      <c r="W449" s="3"/>
      <c r="X449" s="1"/>
      <c r="Y449" s="4"/>
      <c r="Z449" s="4"/>
      <c r="AA449" s="1"/>
      <c r="AB449" s="1"/>
      <c r="AC449" s="1"/>
      <c r="AD449" s="2"/>
      <c r="AE449" s="1"/>
      <c r="AF449" s="1"/>
      <c r="AG449" s="1"/>
      <c r="AH449" s="3"/>
      <c r="AI449" s="1"/>
      <c r="AJ449" s="1"/>
      <c r="AK449" s="1"/>
      <c r="AL449" s="1"/>
      <c r="AM449" s="1"/>
      <c r="AN449" s="2"/>
      <c r="AO449" s="1"/>
      <c r="AP449" s="1"/>
      <c r="AQ449" s="1"/>
      <c r="AR449" s="2"/>
      <c r="AS449" s="1"/>
      <c r="AT449" s="2"/>
      <c r="AU449" s="4"/>
      <c r="AV449" s="7"/>
      <c r="AW449" s="4"/>
      <c r="AX449" s="3"/>
      <c r="AY449" s="4"/>
      <c r="AZ449" s="1"/>
      <c r="BA449" s="1"/>
      <c r="BB449" s="1"/>
      <c r="BC449" s="4"/>
      <c r="BD449" s="1"/>
      <c r="BE449" s="4"/>
      <c r="BF449" s="2"/>
      <c r="BG449" s="4"/>
      <c r="BH449" s="1"/>
      <c r="BI449" s="1"/>
    </row>
    <row r="450" spans="1:61" ht="15" customHeight="1" x14ac:dyDescent="0.25">
      <c r="A450" s="2"/>
      <c r="B450" s="1"/>
      <c r="E450" s="1"/>
      <c r="F450" s="1"/>
      <c r="G450" s="1"/>
      <c r="H450" s="1"/>
      <c r="J450" s="2"/>
      <c r="K450" s="3"/>
      <c r="L450" s="1"/>
      <c r="N450" s="3"/>
      <c r="P450" s="1"/>
      <c r="Q450" s="2"/>
      <c r="R450" s="3"/>
      <c r="S450" s="4"/>
      <c r="T450" s="3"/>
      <c r="U450" s="1"/>
      <c r="V450" s="1"/>
      <c r="W450" s="3"/>
      <c r="X450" s="1"/>
      <c r="Y450" s="4"/>
      <c r="Z450" s="4"/>
      <c r="AA450" s="1"/>
      <c r="AB450" s="1"/>
      <c r="AC450" s="1"/>
      <c r="AD450" s="2"/>
      <c r="AE450" s="1"/>
      <c r="AF450" s="1"/>
      <c r="AG450" s="1"/>
      <c r="AH450" s="3"/>
      <c r="AI450" s="1"/>
      <c r="AJ450" s="1"/>
      <c r="AK450" s="1"/>
      <c r="AL450" s="1"/>
      <c r="AM450" s="1"/>
      <c r="AN450" s="2"/>
      <c r="AO450" s="1"/>
      <c r="AP450" s="1"/>
      <c r="AQ450" s="1"/>
      <c r="AR450" s="2"/>
      <c r="AS450" s="1"/>
      <c r="AT450" s="2"/>
      <c r="AU450" s="4"/>
      <c r="AV450" s="7"/>
      <c r="AW450" s="4"/>
      <c r="AX450" s="3"/>
      <c r="AY450" s="4"/>
      <c r="AZ450" s="1"/>
      <c r="BA450" s="1"/>
      <c r="BB450" s="1"/>
      <c r="BC450" s="4"/>
      <c r="BD450" s="1"/>
      <c r="BE450" s="4"/>
      <c r="BF450" s="2"/>
      <c r="BG450" s="4"/>
      <c r="BH450" s="1"/>
      <c r="BI450" s="1"/>
    </row>
    <row r="451" spans="1:61" ht="15" customHeight="1" x14ac:dyDescent="0.25">
      <c r="A451" s="2"/>
      <c r="B451" s="1"/>
      <c r="E451" s="1"/>
      <c r="F451" s="1"/>
      <c r="G451" s="1"/>
      <c r="H451" s="1"/>
      <c r="J451" s="2"/>
      <c r="K451" s="3"/>
      <c r="L451" s="1"/>
      <c r="N451" s="3"/>
      <c r="P451" s="1"/>
      <c r="Q451" s="2"/>
      <c r="R451" s="3"/>
      <c r="S451" s="4"/>
      <c r="T451" s="3"/>
      <c r="U451" s="1"/>
      <c r="V451" s="1"/>
      <c r="W451" s="3"/>
      <c r="X451" s="1"/>
      <c r="Y451" s="4"/>
      <c r="Z451" s="4"/>
      <c r="AA451" s="1"/>
      <c r="AB451" s="1"/>
      <c r="AC451" s="1"/>
      <c r="AD451" s="2"/>
      <c r="AE451" s="1"/>
      <c r="AF451" s="1"/>
      <c r="AG451" s="1"/>
      <c r="AH451" s="3"/>
      <c r="AI451" s="1"/>
      <c r="AJ451" s="1"/>
      <c r="AK451" s="1"/>
      <c r="AL451" s="1"/>
      <c r="AM451" s="1"/>
      <c r="AN451" s="2"/>
      <c r="AO451" s="1"/>
      <c r="AP451" s="1"/>
      <c r="AQ451" s="1"/>
      <c r="AR451" s="2"/>
      <c r="AS451" s="1"/>
      <c r="AT451" s="2"/>
      <c r="AU451" s="4"/>
      <c r="AV451" s="7"/>
      <c r="AW451" s="4"/>
      <c r="AX451" s="3"/>
      <c r="AY451" s="4"/>
      <c r="AZ451" s="1"/>
      <c r="BA451" s="1"/>
      <c r="BB451" s="1"/>
      <c r="BC451" s="4"/>
      <c r="BD451" s="1"/>
      <c r="BE451" s="4"/>
      <c r="BF451" s="2"/>
      <c r="BG451" s="4"/>
      <c r="BH451" s="1"/>
      <c r="BI451" s="1"/>
    </row>
    <row r="452" spans="1:61" ht="15" customHeight="1" x14ac:dyDescent="0.25">
      <c r="A452" s="2"/>
      <c r="B452" s="1"/>
      <c r="E452" s="1"/>
      <c r="F452" s="1"/>
      <c r="G452" s="1"/>
      <c r="H452" s="1"/>
      <c r="J452" s="2"/>
      <c r="K452" s="3"/>
      <c r="L452" s="1"/>
      <c r="N452" s="3"/>
      <c r="P452" s="1"/>
      <c r="Q452" s="2"/>
      <c r="R452" s="3"/>
      <c r="S452" s="4"/>
      <c r="T452" s="3"/>
      <c r="U452" s="1"/>
      <c r="V452" s="1"/>
      <c r="W452" s="3"/>
      <c r="X452" s="1"/>
      <c r="Y452" s="4"/>
      <c r="Z452" s="4"/>
      <c r="AA452" s="1"/>
      <c r="AB452" s="1"/>
      <c r="AC452" s="1"/>
      <c r="AD452" s="2"/>
      <c r="AE452" s="1"/>
      <c r="AF452" s="1"/>
      <c r="AG452" s="1"/>
      <c r="AH452" s="3"/>
      <c r="AI452" s="1"/>
      <c r="AJ452" s="1"/>
      <c r="AK452" s="1"/>
      <c r="AL452" s="1"/>
      <c r="AM452" s="1"/>
      <c r="AN452" s="2"/>
      <c r="AO452" s="1"/>
      <c r="AP452" s="1"/>
      <c r="AQ452" s="1"/>
      <c r="AR452" s="2"/>
      <c r="AS452" s="1"/>
      <c r="AT452" s="2"/>
      <c r="AU452" s="4"/>
      <c r="AV452" s="7"/>
      <c r="AW452" s="4"/>
      <c r="AX452" s="3"/>
      <c r="AY452" s="4"/>
      <c r="AZ452" s="1"/>
      <c r="BA452" s="1"/>
      <c r="BB452" s="1"/>
      <c r="BC452" s="4"/>
      <c r="BD452" s="1"/>
      <c r="BE452" s="4"/>
      <c r="BF452" s="2"/>
      <c r="BG452" s="4"/>
      <c r="BH452" s="1"/>
      <c r="BI452" s="1"/>
    </row>
    <row r="453" spans="1:61" ht="15" customHeight="1" x14ac:dyDescent="0.25">
      <c r="A453" s="2"/>
      <c r="B453" s="1"/>
      <c r="E453" s="1"/>
      <c r="F453" s="1"/>
      <c r="G453" s="1"/>
      <c r="H453" s="1"/>
      <c r="J453" s="2"/>
      <c r="K453" s="3"/>
      <c r="L453" s="1"/>
      <c r="N453" s="3"/>
      <c r="P453" s="1"/>
      <c r="Q453" s="2"/>
      <c r="R453" s="3"/>
      <c r="S453" s="4"/>
      <c r="T453" s="3"/>
      <c r="U453" s="1"/>
      <c r="V453" s="1"/>
      <c r="W453" s="3"/>
      <c r="X453" s="1"/>
      <c r="Y453" s="4"/>
      <c r="Z453" s="4"/>
      <c r="AA453" s="1"/>
      <c r="AB453" s="1"/>
      <c r="AC453" s="1"/>
      <c r="AD453" s="2"/>
      <c r="AE453" s="1"/>
      <c r="AF453" s="1"/>
      <c r="AG453" s="1"/>
      <c r="AH453" s="3"/>
      <c r="AI453" s="1"/>
      <c r="AJ453" s="1"/>
      <c r="AK453" s="1"/>
      <c r="AL453" s="1"/>
      <c r="AM453" s="1"/>
      <c r="AN453" s="2"/>
      <c r="AO453" s="1"/>
      <c r="AP453" s="1"/>
      <c r="AQ453" s="1"/>
      <c r="AR453" s="2"/>
      <c r="AS453" s="1"/>
      <c r="AT453" s="2"/>
      <c r="AU453" s="4"/>
      <c r="AV453" s="7"/>
      <c r="AW453" s="4"/>
      <c r="AX453" s="3"/>
      <c r="AY453" s="4"/>
      <c r="AZ453" s="1"/>
      <c r="BA453" s="1"/>
      <c r="BB453" s="1"/>
      <c r="BC453" s="4"/>
      <c r="BD453" s="1"/>
      <c r="BE453" s="4"/>
      <c r="BF453" s="2"/>
      <c r="BG453" s="4"/>
      <c r="BH453" s="1"/>
      <c r="BI453" s="1"/>
    </row>
    <row r="454" spans="1:61" ht="15" customHeight="1" x14ac:dyDescent="0.25">
      <c r="A454" s="2"/>
      <c r="B454" s="1"/>
      <c r="E454" s="1"/>
      <c r="F454" s="1"/>
      <c r="G454" s="1"/>
      <c r="H454" s="1"/>
      <c r="J454" s="2"/>
      <c r="K454" s="3"/>
      <c r="L454" s="1"/>
      <c r="N454" s="3"/>
      <c r="P454" s="1"/>
      <c r="Q454" s="2"/>
      <c r="R454" s="3"/>
      <c r="S454" s="4"/>
      <c r="T454" s="3"/>
      <c r="U454" s="1"/>
      <c r="V454" s="1"/>
      <c r="W454" s="3"/>
      <c r="X454" s="1"/>
      <c r="Y454" s="4"/>
      <c r="Z454" s="4"/>
      <c r="AA454" s="1"/>
      <c r="AB454" s="1"/>
      <c r="AC454" s="1"/>
      <c r="AD454" s="2"/>
      <c r="AE454" s="1"/>
      <c r="AF454" s="1"/>
      <c r="AG454" s="1"/>
      <c r="AH454" s="3"/>
      <c r="AI454" s="1"/>
      <c r="AJ454" s="1"/>
      <c r="AK454" s="1"/>
      <c r="AL454" s="1"/>
      <c r="AM454" s="1"/>
      <c r="AN454" s="2"/>
      <c r="AO454" s="1"/>
      <c r="AP454" s="1"/>
      <c r="AQ454" s="1"/>
      <c r="AR454" s="2"/>
      <c r="AS454" s="1"/>
      <c r="AT454" s="2"/>
      <c r="AU454" s="4"/>
      <c r="AV454" s="7"/>
      <c r="AW454" s="4"/>
      <c r="AX454" s="3"/>
      <c r="AY454" s="4"/>
      <c r="AZ454" s="1"/>
      <c r="BA454" s="1"/>
      <c r="BB454" s="1"/>
      <c r="BC454" s="4"/>
      <c r="BD454" s="1"/>
      <c r="BE454" s="4"/>
      <c r="BF454" s="2"/>
      <c r="BG454" s="4"/>
      <c r="BH454" s="1"/>
      <c r="BI454" s="1"/>
    </row>
    <row r="455" spans="1:61" ht="15" customHeight="1" x14ac:dyDescent="0.25">
      <c r="A455" s="2"/>
      <c r="B455" s="1"/>
      <c r="E455" s="1"/>
      <c r="F455" s="1"/>
      <c r="G455" s="1"/>
      <c r="H455" s="1"/>
      <c r="J455" s="2"/>
      <c r="K455" s="3"/>
      <c r="L455" s="1"/>
      <c r="N455" s="3"/>
      <c r="P455" s="1"/>
      <c r="Q455" s="2"/>
      <c r="R455" s="3"/>
      <c r="S455" s="4"/>
      <c r="T455" s="3"/>
      <c r="U455" s="1"/>
      <c r="V455" s="1"/>
      <c r="W455" s="3"/>
      <c r="X455" s="1"/>
      <c r="Y455" s="4"/>
      <c r="Z455" s="4"/>
      <c r="AA455" s="1"/>
      <c r="AB455" s="1"/>
      <c r="AC455" s="1"/>
      <c r="AD455" s="2"/>
      <c r="AE455" s="1"/>
      <c r="AF455" s="1"/>
      <c r="AG455" s="1"/>
      <c r="AH455" s="3"/>
      <c r="AI455" s="1"/>
      <c r="AJ455" s="1"/>
      <c r="AK455" s="1"/>
      <c r="AL455" s="1"/>
      <c r="AM455" s="1"/>
      <c r="AN455" s="2"/>
      <c r="AO455" s="1"/>
      <c r="AP455" s="1"/>
      <c r="AQ455" s="1"/>
      <c r="AR455" s="2"/>
      <c r="AS455" s="1"/>
      <c r="AT455" s="2"/>
      <c r="AU455" s="4"/>
      <c r="AV455" s="7"/>
      <c r="AW455" s="4"/>
      <c r="AX455" s="3"/>
      <c r="AY455" s="4"/>
      <c r="AZ455" s="1"/>
      <c r="BA455" s="1"/>
      <c r="BB455" s="1"/>
      <c r="BC455" s="4"/>
      <c r="BD455" s="1"/>
      <c r="BE455" s="4"/>
      <c r="BF455" s="2"/>
      <c r="BG455" s="4"/>
      <c r="BH455" s="1"/>
      <c r="BI455" s="1"/>
    </row>
    <row r="456" spans="1:61" ht="15" customHeight="1" x14ac:dyDescent="0.25">
      <c r="A456" s="2"/>
      <c r="B456" s="1"/>
      <c r="E456" s="1"/>
      <c r="F456" s="1"/>
      <c r="G456" s="1"/>
      <c r="H456" s="1"/>
      <c r="J456" s="2"/>
      <c r="K456" s="3"/>
      <c r="L456" s="1"/>
      <c r="N456" s="3"/>
      <c r="P456" s="1"/>
      <c r="Q456" s="2"/>
      <c r="R456" s="3"/>
      <c r="S456" s="4"/>
      <c r="T456" s="3"/>
      <c r="U456" s="1"/>
      <c r="V456" s="1"/>
      <c r="W456" s="3"/>
      <c r="X456" s="1"/>
      <c r="Y456" s="4"/>
      <c r="Z456" s="4"/>
      <c r="AA456" s="1"/>
      <c r="AB456" s="1"/>
      <c r="AC456" s="1"/>
      <c r="AD456" s="2"/>
      <c r="AE456" s="1"/>
      <c r="AF456" s="1"/>
      <c r="AG456" s="1"/>
      <c r="AH456" s="3"/>
      <c r="AI456" s="1"/>
      <c r="AJ456" s="1"/>
      <c r="AK456" s="1"/>
      <c r="AL456" s="1"/>
      <c r="AM456" s="1"/>
      <c r="AN456" s="2"/>
      <c r="AO456" s="1"/>
      <c r="AP456" s="1"/>
      <c r="AQ456" s="1"/>
      <c r="AR456" s="2"/>
      <c r="AS456" s="1"/>
      <c r="AT456" s="2"/>
      <c r="AU456" s="4"/>
      <c r="AV456" s="7"/>
      <c r="AW456" s="4"/>
      <c r="AX456" s="3"/>
      <c r="AY456" s="4"/>
      <c r="AZ456" s="1"/>
      <c r="BA456" s="1"/>
      <c r="BB456" s="1"/>
      <c r="BC456" s="4"/>
      <c r="BD456" s="1"/>
      <c r="BE456" s="4"/>
      <c r="BF456" s="2"/>
      <c r="BG456" s="4"/>
      <c r="BH456" s="1"/>
      <c r="BI456" s="1"/>
    </row>
    <row r="457" spans="1:61" ht="15" customHeight="1" x14ac:dyDescent="0.25">
      <c r="A457" s="2"/>
      <c r="B457" s="1"/>
      <c r="E457" s="1"/>
      <c r="F457" s="1"/>
      <c r="G457" s="1"/>
      <c r="H457" s="1"/>
      <c r="J457" s="2"/>
      <c r="K457" s="3"/>
      <c r="L457" s="1"/>
      <c r="N457" s="3"/>
      <c r="P457" s="1"/>
      <c r="Q457" s="2"/>
      <c r="R457" s="3"/>
      <c r="S457" s="4"/>
      <c r="T457" s="3"/>
      <c r="U457" s="1"/>
      <c r="V457" s="1"/>
      <c r="W457" s="3"/>
      <c r="X457" s="1"/>
      <c r="Y457" s="4"/>
      <c r="Z457" s="4"/>
      <c r="AA457" s="1"/>
      <c r="AB457" s="1"/>
      <c r="AC457" s="1"/>
      <c r="AD457" s="2"/>
      <c r="AE457" s="1"/>
      <c r="AF457" s="1"/>
      <c r="AG457" s="1"/>
      <c r="AH457" s="3"/>
      <c r="AI457" s="1"/>
      <c r="AJ457" s="1"/>
      <c r="AK457" s="1"/>
      <c r="AL457" s="1"/>
      <c r="AM457" s="1"/>
      <c r="AN457" s="2"/>
      <c r="AO457" s="1"/>
      <c r="AP457" s="1"/>
      <c r="AQ457" s="1"/>
      <c r="AR457" s="2"/>
      <c r="AS457" s="1"/>
      <c r="AT457" s="2"/>
      <c r="AU457" s="4"/>
      <c r="AV457" s="7"/>
      <c r="AW457" s="4"/>
      <c r="AX457" s="3"/>
      <c r="AY457" s="4"/>
      <c r="AZ457" s="1"/>
      <c r="BA457" s="1"/>
      <c r="BB457" s="1"/>
      <c r="BC457" s="4"/>
      <c r="BD457" s="1"/>
      <c r="BE457" s="4"/>
      <c r="BF457" s="2"/>
      <c r="BG457" s="4"/>
      <c r="BH457" s="1"/>
      <c r="BI457" s="1"/>
    </row>
    <row r="458" spans="1:61" ht="15" customHeight="1" x14ac:dyDescent="0.25">
      <c r="A458" s="2"/>
      <c r="B458" s="1"/>
      <c r="E458" s="1"/>
      <c r="F458" s="1"/>
      <c r="G458" s="1"/>
      <c r="H458" s="1"/>
      <c r="J458" s="2"/>
      <c r="K458" s="3"/>
      <c r="L458" s="1"/>
      <c r="N458" s="3"/>
      <c r="P458" s="1"/>
      <c r="Q458" s="2"/>
      <c r="R458" s="3"/>
      <c r="S458" s="4"/>
      <c r="T458" s="3"/>
      <c r="U458" s="1"/>
      <c r="V458" s="1"/>
      <c r="W458" s="3"/>
      <c r="X458" s="1"/>
      <c r="Y458" s="4"/>
      <c r="Z458" s="4"/>
      <c r="AA458" s="1"/>
      <c r="AB458" s="1"/>
      <c r="AC458" s="1"/>
      <c r="AD458" s="2"/>
      <c r="AE458" s="1"/>
      <c r="AF458" s="1"/>
      <c r="AG458" s="1"/>
      <c r="AH458" s="3"/>
      <c r="AI458" s="1"/>
      <c r="AJ458" s="1"/>
      <c r="AK458" s="1"/>
      <c r="AL458" s="1"/>
      <c r="AM458" s="1"/>
      <c r="AN458" s="2"/>
      <c r="AO458" s="1"/>
      <c r="AP458" s="1"/>
      <c r="AQ458" s="1"/>
      <c r="AR458" s="2"/>
      <c r="AS458" s="1"/>
      <c r="AT458" s="2"/>
      <c r="AU458" s="4"/>
      <c r="AV458" s="4"/>
      <c r="AW458" s="4"/>
      <c r="AX458" s="3"/>
      <c r="AY458" s="4"/>
      <c r="AZ458" s="1"/>
      <c r="BA458" s="1"/>
      <c r="BB458" s="1"/>
      <c r="BC458" s="4"/>
      <c r="BD458" s="1"/>
      <c r="BE458" s="4"/>
      <c r="BF458" s="2"/>
      <c r="BG458" s="4"/>
      <c r="BH458" s="1"/>
      <c r="BI458" s="1"/>
    </row>
    <row r="459" spans="1:61" ht="15" customHeight="1" x14ac:dyDescent="0.25">
      <c r="A459" s="2"/>
      <c r="B459" s="1"/>
      <c r="E459" s="1"/>
      <c r="F459" s="1"/>
      <c r="G459" s="1"/>
      <c r="H459" s="1"/>
      <c r="J459" s="2"/>
      <c r="K459" s="3"/>
      <c r="L459" s="1"/>
      <c r="N459" s="3"/>
      <c r="P459" s="1"/>
      <c r="Q459" s="2"/>
      <c r="R459" s="3"/>
      <c r="S459" s="4"/>
      <c r="T459" s="3"/>
      <c r="U459" s="1"/>
      <c r="V459" s="1"/>
      <c r="W459" s="3"/>
      <c r="X459" s="1"/>
      <c r="Y459" s="4"/>
      <c r="Z459" s="4"/>
      <c r="AA459" s="1"/>
      <c r="AB459" s="1"/>
      <c r="AC459" s="1"/>
      <c r="AD459" s="2"/>
      <c r="AE459" s="1"/>
      <c r="AF459" s="1"/>
      <c r="AG459" s="1"/>
      <c r="AH459" s="3"/>
      <c r="AI459" s="1"/>
      <c r="AJ459" s="1"/>
      <c r="AK459" s="1"/>
      <c r="AL459" s="1"/>
      <c r="AM459" s="1"/>
      <c r="AN459" s="2"/>
      <c r="AO459" s="1"/>
      <c r="AP459" s="1"/>
      <c r="AQ459" s="1"/>
      <c r="AR459" s="2"/>
      <c r="AS459" s="1"/>
      <c r="AT459" s="2"/>
      <c r="AU459" s="4"/>
      <c r="AV459" s="4"/>
      <c r="AW459" s="4"/>
      <c r="AX459" s="3"/>
      <c r="AY459" s="4"/>
      <c r="AZ459" s="1"/>
      <c r="BA459" s="1"/>
      <c r="BB459" s="1"/>
      <c r="BC459" s="4"/>
      <c r="BD459" s="1"/>
      <c r="BE459" s="4"/>
      <c r="BF459" s="2"/>
      <c r="BG459" s="4"/>
      <c r="BH459" s="1"/>
      <c r="BI459" s="1"/>
    </row>
    <row r="460" spans="1:61" ht="15" customHeight="1" x14ac:dyDescent="0.25">
      <c r="A460" s="2"/>
      <c r="B460" s="1"/>
      <c r="E460" s="1"/>
      <c r="F460" s="1"/>
      <c r="G460" s="1"/>
      <c r="H460" s="1"/>
      <c r="J460" s="2"/>
      <c r="K460" s="3"/>
      <c r="L460" s="1"/>
      <c r="N460" s="3"/>
      <c r="P460" s="1"/>
      <c r="Q460" s="2"/>
      <c r="R460" s="3"/>
      <c r="S460" s="4"/>
      <c r="T460" s="3"/>
      <c r="U460" s="1"/>
      <c r="V460" s="1"/>
      <c r="W460" s="3"/>
      <c r="X460" s="1"/>
      <c r="Y460" s="4"/>
      <c r="Z460" s="4"/>
      <c r="AA460" s="1"/>
      <c r="AB460" s="1"/>
      <c r="AC460" s="1"/>
      <c r="AD460" s="2"/>
      <c r="AE460" s="1"/>
      <c r="AF460" s="1"/>
      <c r="AG460" s="1"/>
      <c r="AH460" s="3"/>
      <c r="AI460" s="1"/>
      <c r="AJ460" s="1"/>
      <c r="AK460" s="1"/>
      <c r="AL460" s="1"/>
      <c r="AM460" s="1"/>
      <c r="AN460" s="2"/>
      <c r="AO460" s="1"/>
      <c r="AP460" s="1"/>
      <c r="AQ460" s="1"/>
      <c r="AR460" s="2"/>
      <c r="AS460" s="1"/>
      <c r="AT460" s="2"/>
      <c r="AU460" s="4"/>
      <c r="AV460" s="4"/>
      <c r="AW460" s="4"/>
      <c r="AX460" s="3"/>
      <c r="AY460" s="4"/>
      <c r="AZ460" s="1"/>
      <c r="BA460" s="1"/>
      <c r="BB460" s="1"/>
      <c r="BC460" s="4"/>
      <c r="BD460" s="1"/>
      <c r="BE460" s="4"/>
      <c r="BF460" s="2"/>
      <c r="BG460" s="4"/>
      <c r="BH460" s="1"/>
      <c r="BI460" s="1"/>
    </row>
    <row r="461" spans="1:61" ht="15" customHeight="1" x14ac:dyDescent="0.25">
      <c r="A461" s="2"/>
      <c r="B461" s="1"/>
      <c r="E461" s="1"/>
      <c r="F461" s="1"/>
      <c r="G461" s="1"/>
      <c r="H461" s="1"/>
      <c r="J461" s="2"/>
      <c r="K461" s="3"/>
      <c r="L461" s="1"/>
      <c r="N461" s="3"/>
      <c r="P461" s="1"/>
      <c r="Q461" s="2"/>
      <c r="R461" s="3"/>
      <c r="S461" s="4"/>
      <c r="T461" s="3"/>
      <c r="U461" s="1"/>
      <c r="V461" s="1"/>
      <c r="W461" s="3"/>
      <c r="X461" s="1"/>
      <c r="Y461" s="4"/>
      <c r="Z461" s="4"/>
      <c r="AA461" s="1"/>
      <c r="AB461" s="1"/>
      <c r="AC461" s="1"/>
      <c r="AD461" s="2"/>
      <c r="AE461" s="1"/>
      <c r="AF461" s="1"/>
      <c r="AG461" s="1"/>
      <c r="AH461" s="3"/>
      <c r="AI461" s="1"/>
      <c r="AJ461" s="1"/>
      <c r="AK461" s="1"/>
      <c r="AL461" s="1"/>
      <c r="AM461" s="1"/>
      <c r="AN461" s="2"/>
      <c r="AO461" s="1"/>
      <c r="AP461" s="1"/>
      <c r="AQ461" s="1"/>
      <c r="AR461" s="2"/>
      <c r="AS461" s="1"/>
      <c r="AT461" s="2"/>
      <c r="AU461" s="4"/>
      <c r="AV461" s="7"/>
      <c r="AW461" s="4"/>
      <c r="AX461" s="3"/>
      <c r="AY461" s="4"/>
      <c r="AZ461" s="1"/>
      <c r="BA461" s="1"/>
      <c r="BB461" s="1"/>
      <c r="BC461" s="4"/>
      <c r="BD461" s="1"/>
      <c r="BE461" s="4"/>
      <c r="BF461" s="2"/>
      <c r="BG461" s="4"/>
      <c r="BH461" s="1"/>
      <c r="BI461" s="1"/>
    </row>
    <row r="462" spans="1:61" ht="15" customHeight="1" x14ac:dyDescent="0.25">
      <c r="A462" s="2"/>
      <c r="B462" s="1"/>
      <c r="E462" s="1"/>
      <c r="F462" s="1"/>
      <c r="G462" s="1"/>
      <c r="H462" s="1"/>
      <c r="J462" s="2"/>
      <c r="K462" s="3"/>
      <c r="L462" s="1"/>
      <c r="N462" s="3"/>
      <c r="P462" s="1"/>
      <c r="Q462" s="2"/>
      <c r="R462" s="3"/>
      <c r="S462" s="4"/>
      <c r="T462" s="3"/>
      <c r="U462" s="1"/>
      <c r="V462" s="1"/>
      <c r="W462" s="3"/>
      <c r="X462" s="1"/>
      <c r="Y462" s="4"/>
      <c r="Z462" s="4"/>
      <c r="AA462" s="1"/>
      <c r="AB462" s="1"/>
      <c r="AC462" s="1"/>
      <c r="AD462" s="2"/>
      <c r="AE462" s="1"/>
      <c r="AF462" s="1"/>
      <c r="AG462" s="1"/>
      <c r="AH462" s="3"/>
      <c r="AI462" s="1"/>
      <c r="AJ462" s="1"/>
      <c r="AK462" s="1"/>
      <c r="AL462" s="1"/>
      <c r="AM462" s="1"/>
      <c r="AN462" s="2"/>
      <c r="AO462" s="1"/>
      <c r="AP462" s="1"/>
      <c r="AQ462" s="1"/>
      <c r="AR462" s="2"/>
      <c r="AS462" s="1"/>
      <c r="AT462" s="2"/>
      <c r="AU462" s="4"/>
      <c r="AV462" s="7"/>
      <c r="AW462" s="4"/>
      <c r="AX462" s="3"/>
      <c r="AY462" s="4"/>
      <c r="AZ462" s="1"/>
      <c r="BA462" s="1"/>
      <c r="BB462" s="1"/>
      <c r="BC462" s="4"/>
      <c r="BD462" s="1"/>
      <c r="BE462" s="4"/>
      <c r="BF462" s="2"/>
      <c r="BG462" s="4"/>
      <c r="BH462" s="1"/>
      <c r="BI462" s="1"/>
    </row>
    <row r="463" spans="1:61" ht="15" customHeight="1" x14ac:dyDescent="0.25">
      <c r="A463" s="2"/>
      <c r="B463" s="1"/>
      <c r="E463" s="1"/>
      <c r="F463" s="1"/>
      <c r="G463" s="1"/>
      <c r="H463" s="1"/>
      <c r="J463" s="2"/>
      <c r="K463" s="3"/>
      <c r="L463" s="1"/>
      <c r="N463" s="3"/>
      <c r="P463" s="1"/>
      <c r="Q463" s="2"/>
      <c r="R463" s="3"/>
      <c r="S463" s="4"/>
      <c r="T463" s="3"/>
      <c r="U463" s="1"/>
      <c r="V463" s="1"/>
      <c r="W463" s="3"/>
      <c r="X463" s="1"/>
      <c r="Y463" s="4"/>
      <c r="Z463" s="4"/>
      <c r="AA463" s="1"/>
      <c r="AB463" s="1"/>
      <c r="AC463" s="1"/>
      <c r="AD463" s="2"/>
      <c r="AE463" s="1"/>
      <c r="AF463" s="1"/>
      <c r="AG463" s="1"/>
      <c r="AH463" s="3"/>
      <c r="AI463" s="1"/>
      <c r="AJ463" s="1"/>
      <c r="AK463" s="1"/>
      <c r="AL463" s="1"/>
      <c r="AM463" s="1"/>
      <c r="AN463" s="2"/>
      <c r="AO463" s="1"/>
      <c r="AP463" s="1"/>
      <c r="AQ463" s="1"/>
      <c r="AR463" s="2"/>
      <c r="AS463" s="1"/>
      <c r="AT463" s="2"/>
      <c r="AU463" s="4"/>
      <c r="AV463" s="7"/>
      <c r="AW463" s="4"/>
      <c r="AX463" s="3"/>
      <c r="AY463" s="4"/>
      <c r="AZ463" s="1"/>
      <c r="BA463" s="1"/>
      <c r="BB463" s="1"/>
      <c r="BC463" s="4"/>
      <c r="BD463" s="1"/>
      <c r="BE463" s="4"/>
      <c r="BF463" s="2"/>
      <c r="BG463" s="4"/>
      <c r="BH463" s="1"/>
      <c r="BI463" s="1"/>
    </row>
    <row r="464" spans="1:61" ht="15" customHeight="1" x14ac:dyDescent="0.25">
      <c r="A464" s="2"/>
      <c r="B464" s="1"/>
      <c r="E464" s="1"/>
      <c r="F464" s="1"/>
      <c r="G464" s="1"/>
      <c r="H464" s="1"/>
      <c r="J464" s="2"/>
      <c r="K464" s="3"/>
      <c r="L464" s="1"/>
      <c r="N464" s="3"/>
      <c r="P464" s="1"/>
      <c r="Q464" s="2"/>
      <c r="R464" s="3"/>
      <c r="S464" s="4"/>
      <c r="T464" s="3"/>
      <c r="U464" s="1"/>
      <c r="V464" s="1"/>
      <c r="W464" s="3"/>
      <c r="X464" s="1"/>
      <c r="Y464" s="4"/>
      <c r="Z464" s="4"/>
      <c r="AA464" s="1"/>
      <c r="AB464" s="1"/>
      <c r="AC464" s="1"/>
      <c r="AD464" s="2"/>
      <c r="AE464" s="1"/>
      <c r="AF464" s="1"/>
      <c r="AG464" s="1"/>
      <c r="AH464" s="3"/>
      <c r="AI464" s="1"/>
      <c r="AJ464" s="1"/>
      <c r="AK464" s="1"/>
      <c r="AL464" s="1"/>
      <c r="AM464" s="1"/>
      <c r="AN464" s="2"/>
      <c r="AO464" s="1"/>
      <c r="AP464" s="1"/>
      <c r="AQ464" s="1"/>
      <c r="AR464" s="2"/>
      <c r="AS464" s="1"/>
      <c r="AT464" s="2"/>
      <c r="AU464" s="4"/>
      <c r="AV464" s="7"/>
      <c r="AW464" s="4"/>
      <c r="AX464" s="3"/>
      <c r="AY464" s="4"/>
      <c r="AZ464" s="1"/>
      <c r="BA464" s="1"/>
      <c r="BB464" s="1"/>
      <c r="BC464" s="4"/>
      <c r="BD464" s="1"/>
      <c r="BE464" s="4"/>
      <c r="BF464" s="2"/>
      <c r="BG464" s="4"/>
      <c r="BH464" s="1"/>
      <c r="BI464" s="1"/>
    </row>
    <row r="465" spans="1:61" ht="15" customHeight="1" x14ac:dyDescent="0.25">
      <c r="A465" s="2"/>
      <c r="B465" s="1"/>
      <c r="E465" s="1"/>
      <c r="F465" s="1"/>
      <c r="G465" s="1"/>
      <c r="H465" s="1"/>
      <c r="J465" s="2"/>
      <c r="K465" s="3"/>
      <c r="L465" s="1"/>
      <c r="N465" s="3"/>
      <c r="P465" s="1"/>
      <c r="Q465" s="2"/>
      <c r="R465" s="3"/>
      <c r="S465" s="4"/>
      <c r="T465" s="3"/>
      <c r="U465" s="1"/>
      <c r="V465" s="1"/>
      <c r="W465" s="3"/>
      <c r="X465" s="1"/>
      <c r="Y465" s="4"/>
      <c r="Z465" s="4"/>
      <c r="AA465" s="1"/>
      <c r="AB465" s="1"/>
      <c r="AC465" s="1"/>
      <c r="AD465" s="2"/>
      <c r="AE465" s="1"/>
      <c r="AF465" s="1"/>
      <c r="AG465" s="1"/>
      <c r="AH465" s="3"/>
      <c r="AI465" s="1"/>
      <c r="AJ465" s="1"/>
      <c r="AK465" s="1"/>
      <c r="AL465" s="1"/>
      <c r="AM465" s="1"/>
      <c r="AN465" s="2"/>
      <c r="AO465" s="1"/>
      <c r="AP465" s="1"/>
      <c r="AQ465" s="1"/>
      <c r="AR465" s="2"/>
      <c r="AS465" s="1"/>
      <c r="AT465" s="2"/>
      <c r="AU465" s="4"/>
      <c r="AV465" s="7"/>
      <c r="AW465" s="4"/>
      <c r="AX465" s="3"/>
      <c r="AY465" s="4"/>
      <c r="AZ465" s="1"/>
      <c r="BA465" s="1"/>
      <c r="BB465" s="1"/>
      <c r="BC465" s="4"/>
      <c r="BD465" s="1"/>
      <c r="BE465" s="4"/>
      <c r="BF465" s="2"/>
      <c r="BG465" s="4"/>
      <c r="BH465" s="1"/>
      <c r="BI465" s="1"/>
    </row>
    <row r="466" spans="1:61" ht="15" customHeight="1" x14ac:dyDescent="0.25">
      <c r="A466" s="2"/>
      <c r="B466" s="1"/>
      <c r="E466" s="1"/>
      <c r="F466" s="1"/>
      <c r="G466" s="1"/>
      <c r="H466" s="1"/>
      <c r="J466" s="2"/>
      <c r="K466" s="3"/>
      <c r="L466" s="1"/>
      <c r="N466" s="3"/>
      <c r="P466" s="1"/>
      <c r="Q466" s="2"/>
      <c r="R466" s="3"/>
      <c r="S466" s="4"/>
      <c r="T466" s="3"/>
      <c r="U466" s="1"/>
      <c r="V466" s="1"/>
      <c r="W466" s="3"/>
      <c r="X466" s="1"/>
      <c r="Y466" s="4"/>
      <c r="Z466" s="4"/>
      <c r="AA466" s="1"/>
      <c r="AB466" s="1"/>
      <c r="AC466" s="1"/>
      <c r="AD466" s="2"/>
      <c r="AE466" s="1"/>
      <c r="AF466" s="1"/>
      <c r="AG466" s="1"/>
      <c r="AH466" s="3"/>
      <c r="AI466" s="1"/>
      <c r="AJ466" s="1"/>
      <c r="AK466" s="1"/>
      <c r="AL466" s="1"/>
      <c r="AM466" s="1"/>
      <c r="AN466" s="2"/>
      <c r="AO466" s="1"/>
      <c r="AP466" s="1"/>
      <c r="AQ466" s="1"/>
      <c r="AR466" s="2"/>
      <c r="AS466" s="1"/>
      <c r="AT466" s="2"/>
      <c r="AU466" s="4"/>
      <c r="AV466" s="7"/>
      <c r="AW466" s="4"/>
      <c r="AX466" s="3"/>
      <c r="AY466" s="4"/>
      <c r="AZ466" s="1"/>
      <c r="BA466" s="1"/>
      <c r="BB466" s="1"/>
      <c r="BC466" s="4"/>
      <c r="BD466" s="1"/>
      <c r="BE466" s="4"/>
      <c r="BF466" s="2"/>
      <c r="BG466" s="4"/>
      <c r="BH466" s="1"/>
      <c r="BI466" s="1"/>
    </row>
    <row r="467" spans="1:61" ht="15" customHeight="1" x14ac:dyDescent="0.25">
      <c r="A467" s="2"/>
      <c r="B467" s="1"/>
      <c r="E467" s="1"/>
      <c r="F467" s="1"/>
      <c r="G467" s="1"/>
      <c r="H467" s="1"/>
      <c r="J467" s="2"/>
      <c r="K467" s="3"/>
      <c r="L467" s="1"/>
      <c r="N467" s="3"/>
      <c r="P467" s="1"/>
      <c r="Q467" s="2"/>
      <c r="R467" s="3"/>
      <c r="S467" s="4"/>
      <c r="T467" s="3"/>
      <c r="U467" s="1"/>
      <c r="V467" s="1"/>
      <c r="W467" s="3"/>
      <c r="X467" s="1"/>
      <c r="Y467" s="4"/>
      <c r="Z467" s="4"/>
      <c r="AA467" s="1"/>
      <c r="AB467" s="1"/>
      <c r="AC467" s="1"/>
      <c r="AD467" s="2"/>
      <c r="AE467" s="1"/>
      <c r="AF467" s="1"/>
      <c r="AG467" s="1"/>
      <c r="AH467" s="3"/>
      <c r="AI467" s="1"/>
      <c r="AJ467" s="1"/>
      <c r="AK467" s="1"/>
      <c r="AL467" s="1"/>
      <c r="AM467" s="1"/>
      <c r="AN467" s="2"/>
      <c r="AO467" s="1"/>
      <c r="AP467" s="1"/>
      <c r="AQ467" s="1"/>
      <c r="AR467" s="2"/>
      <c r="AS467" s="1"/>
      <c r="AT467" s="2"/>
      <c r="AU467" s="4"/>
      <c r="AV467" s="7"/>
      <c r="AW467" s="4"/>
      <c r="AX467" s="3"/>
      <c r="AY467" s="4"/>
      <c r="AZ467" s="1"/>
      <c r="BA467" s="1"/>
      <c r="BB467" s="1"/>
      <c r="BC467" s="4"/>
      <c r="BD467" s="1"/>
      <c r="BE467" s="4"/>
      <c r="BF467" s="2"/>
      <c r="BG467" s="4"/>
      <c r="BH467" s="1"/>
      <c r="BI467" s="1"/>
    </row>
    <row r="468" spans="1:61" ht="15" customHeight="1" x14ac:dyDescent="0.25">
      <c r="A468" s="2"/>
      <c r="B468" s="1"/>
      <c r="E468" s="1"/>
      <c r="F468" s="1"/>
      <c r="G468" s="1"/>
      <c r="H468" s="1"/>
      <c r="J468" s="2"/>
      <c r="K468" s="3"/>
      <c r="L468" s="1"/>
      <c r="N468" s="3"/>
      <c r="P468" s="1"/>
      <c r="Q468" s="2"/>
      <c r="R468" s="3"/>
      <c r="S468" s="4"/>
      <c r="T468" s="3"/>
      <c r="U468" s="1"/>
      <c r="V468" s="1"/>
      <c r="W468" s="3"/>
      <c r="X468" s="1"/>
      <c r="Y468" s="4"/>
      <c r="Z468" s="4"/>
      <c r="AA468" s="1"/>
      <c r="AB468" s="1"/>
      <c r="AC468" s="1"/>
      <c r="AD468" s="2"/>
      <c r="AE468" s="1"/>
      <c r="AF468" s="1"/>
      <c r="AG468" s="1"/>
      <c r="AH468" s="3"/>
      <c r="AI468" s="1"/>
      <c r="AJ468" s="1"/>
      <c r="AK468" s="1"/>
      <c r="AL468" s="1"/>
      <c r="AM468" s="1"/>
      <c r="AN468" s="2"/>
      <c r="AO468" s="1"/>
      <c r="AP468" s="1"/>
      <c r="AQ468" s="1"/>
      <c r="AR468" s="2"/>
      <c r="AS468" s="1"/>
      <c r="AT468" s="2"/>
      <c r="AU468" s="4"/>
      <c r="AV468" s="7"/>
      <c r="AW468" s="4"/>
      <c r="AX468" s="3"/>
      <c r="AY468" s="4"/>
      <c r="AZ468" s="1"/>
      <c r="BA468" s="1"/>
      <c r="BB468" s="1"/>
      <c r="BC468" s="4"/>
      <c r="BD468" s="1"/>
      <c r="BE468" s="4"/>
      <c r="BF468" s="2"/>
      <c r="BG468" s="4"/>
      <c r="BH468" s="1"/>
      <c r="BI468" s="1"/>
    </row>
    <row r="469" spans="1:61" ht="15" customHeight="1" x14ac:dyDescent="0.25">
      <c r="A469" s="2"/>
      <c r="B469" s="1"/>
      <c r="E469" s="1"/>
      <c r="F469" s="1"/>
      <c r="G469" s="1"/>
      <c r="H469" s="1"/>
      <c r="J469" s="2"/>
      <c r="K469" s="3"/>
      <c r="L469" s="1"/>
      <c r="N469" s="3"/>
      <c r="P469" s="1"/>
      <c r="Q469" s="2"/>
      <c r="R469" s="3"/>
      <c r="S469" s="4"/>
      <c r="T469" s="3"/>
      <c r="U469" s="1"/>
      <c r="V469" s="1"/>
      <c r="W469" s="3"/>
      <c r="X469" s="1"/>
      <c r="Y469" s="4"/>
      <c r="Z469" s="4"/>
      <c r="AA469" s="1"/>
      <c r="AB469" s="1"/>
      <c r="AC469" s="1"/>
      <c r="AD469" s="2"/>
      <c r="AE469" s="1"/>
      <c r="AF469" s="1"/>
      <c r="AG469" s="1"/>
      <c r="AH469" s="3"/>
      <c r="AI469" s="1"/>
      <c r="AJ469" s="1"/>
      <c r="AK469" s="1"/>
      <c r="AL469" s="1"/>
      <c r="AM469" s="1"/>
      <c r="AN469" s="2"/>
      <c r="AO469" s="1"/>
      <c r="AP469" s="1"/>
      <c r="AQ469" s="1"/>
      <c r="AR469" s="2"/>
      <c r="AS469" s="1"/>
      <c r="AT469" s="2"/>
      <c r="AU469" s="4"/>
      <c r="AV469" s="7"/>
      <c r="AW469" s="4"/>
      <c r="AX469" s="3"/>
      <c r="AY469" s="4"/>
      <c r="AZ469" s="1"/>
      <c r="BA469" s="1"/>
      <c r="BB469" s="1"/>
      <c r="BC469" s="4"/>
      <c r="BD469" s="1"/>
      <c r="BE469" s="4"/>
      <c r="BF469" s="2"/>
      <c r="BG469" s="4"/>
      <c r="BH469" s="1"/>
      <c r="BI469" s="1"/>
    </row>
    <row r="470" spans="1:61" ht="15" customHeight="1" x14ac:dyDescent="0.25">
      <c r="A470" s="2"/>
      <c r="B470" s="1"/>
      <c r="E470" s="1"/>
      <c r="F470" s="1"/>
      <c r="G470" s="1"/>
      <c r="H470" s="1"/>
      <c r="J470" s="2"/>
      <c r="K470" s="3"/>
      <c r="L470" s="1"/>
      <c r="N470" s="3"/>
      <c r="P470" s="1"/>
      <c r="Q470" s="2"/>
      <c r="R470" s="3"/>
      <c r="S470" s="4"/>
      <c r="T470" s="3"/>
      <c r="U470" s="1"/>
      <c r="V470" s="1"/>
      <c r="W470" s="3"/>
      <c r="X470" s="1"/>
      <c r="Y470" s="4"/>
      <c r="Z470" s="4"/>
      <c r="AA470" s="1"/>
      <c r="AB470" s="1"/>
      <c r="AC470" s="1"/>
      <c r="AD470" s="2"/>
      <c r="AE470" s="1"/>
      <c r="AF470" s="1"/>
      <c r="AG470" s="1"/>
      <c r="AH470" s="3"/>
      <c r="AI470" s="1"/>
      <c r="AJ470" s="1"/>
      <c r="AK470" s="1"/>
      <c r="AL470" s="1"/>
      <c r="AM470" s="1"/>
      <c r="AN470" s="2"/>
      <c r="AO470" s="1"/>
      <c r="AP470" s="1"/>
      <c r="AQ470" s="1"/>
      <c r="AR470" s="2"/>
      <c r="AS470" s="1"/>
      <c r="AT470" s="2"/>
      <c r="AU470" s="4"/>
      <c r="AV470" s="4"/>
      <c r="AW470" s="4"/>
      <c r="AX470" s="3"/>
      <c r="AY470" s="4"/>
      <c r="AZ470" s="1"/>
      <c r="BA470" s="1"/>
      <c r="BB470" s="1"/>
      <c r="BC470" s="4"/>
      <c r="BD470" s="1"/>
      <c r="BE470" s="4"/>
      <c r="BF470" s="2"/>
      <c r="BG470" s="4"/>
      <c r="BH470" s="1"/>
      <c r="BI470" s="1"/>
    </row>
    <row r="471" spans="1:61" ht="15" customHeight="1" x14ac:dyDescent="0.25">
      <c r="A471" s="2"/>
      <c r="B471" s="1"/>
      <c r="E471" s="1"/>
      <c r="F471" s="1"/>
      <c r="G471" s="1"/>
      <c r="H471" s="1"/>
      <c r="J471" s="2"/>
      <c r="K471" s="3"/>
      <c r="L471" s="1"/>
      <c r="N471" s="3"/>
      <c r="P471" s="1"/>
      <c r="Q471" s="2"/>
      <c r="R471" s="3"/>
      <c r="S471" s="4"/>
      <c r="T471" s="3"/>
      <c r="U471" s="1"/>
      <c r="V471" s="1"/>
      <c r="W471" s="3"/>
      <c r="X471" s="1"/>
      <c r="Y471" s="4"/>
      <c r="Z471" s="4"/>
      <c r="AA471" s="1"/>
      <c r="AB471" s="1"/>
      <c r="AC471" s="1"/>
      <c r="AD471" s="2"/>
      <c r="AE471" s="1"/>
      <c r="AF471" s="1"/>
      <c r="AG471" s="1"/>
      <c r="AH471" s="3"/>
      <c r="AI471" s="1"/>
      <c r="AJ471" s="1"/>
      <c r="AK471" s="1"/>
      <c r="AL471" s="1"/>
      <c r="AM471" s="1"/>
      <c r="AN471" s="2"/>
      <c r="AO471" s="1"/>
      <c r="AP471" s="1"/>
      <c r="AQ471" s="1"/>
      <c r="AR471" s="2"/>
      <c r="AS471" s="1"/>
      <c r="AT471" s="2"/>
      <c r="AU471" s="4"/>
      <c r="AV471" s="7"/>
      <c r="AW471" s="4"/>
      <c r="AX471" s="3"/>
      <c r="AY471" s="4"/>
      <c r="AZ471" s="1"/>
      <c r="BA471" s="1"/>
      <c r="BB471" s="1"/>
      <c r="BC471" s="4"/>
      <c r="BD471" s="1"/>
      <c r="BE471" s="4"/>
      <c r="BF471" s="2"/>
      <c r="BG471" s="4"/>
      <c r="BH471" s="1"/>
      <c r="BI471" s="1"/>
    </row>
    <row r="472" spans="1:61" ht="15" customHeight="1" x14ac:dyDescent="0.25">
      <c r="A472" s="2"/>
      <c r="B472" s="1"/>
      <c r="E472" s="1"/>
      <c r="F472" s="1"/>
      <c r="G472" s="1"/>
      <c r="H472" s="1"/>
      <c r="J472" s="2"/>
      <c r="K472" s="3"/>
      <c r="L472" s="1"/>
      <c r="N472" s="3"/>
      <c r="P472" s="1"/>
      <c r="Q472" s="2"/>
      <c r="R472" s="3"/>
      <c r="S472" s="4"/>
      <c r="T472" s="3"/>
      <c r="U472" s="1"/>
      <c r="V472" s="1"/>
      <c r="W472" s="3"/>
      <c r="X472" s="1"/>
      <c r="Y472" s="4"/>
      <c r="Z472" s="4"/>
      <c r="AA472" s="1"/>
      <c r="AB472" s="1"/>
      <c r="AC472" s="1"/>
      <c r="AD472" s="2"/>
      <c r="AE472" s="1"/>
      <c r="AF472" s="1"/>
      <c r="AG472" s="1"/>
      <c r="AH472" s="3"/>
      <c r="AI472" s="1"/>
      <c r="AJ472" s="1"/>
      <c r="AK472" s="1"/>
      <c r="AL472" s="1"/>
      <c r="AM472" s="1"/>
      <c r="AN472" s="2"/>
      <c r="AO472" s="1"/>
      <c r="AP472" s="1"/>
      <c r="AQ472" s="1"/>
      <c r="AR472" s="2"/>
      <c r="AS472" s="1"/>
      <c r="AT472" s="2"/>
      <c r="AU472" s="4"/>
      <c r="AV472" s="7"/>
      <c r="AW472" s="4"/>
      <c r="AX472" s="3"/>
      <c r="AY472" s="4"/>
      <c r="AZ472" s="1"/>
      <c r="BA472" s="1"/>
      <c r="BB472" s="1"/>
      <c r="BC472" s="4"/>
      <c r="BD472" s="1"/>
      <c r="BE472" s="4"/>
      <c r="BF472" s="2"/>
      <c r="BG472" s="4"/>
      <c r="BH472" s="1"/>
      <c r="BI472" s="1"/>
    </row>
    <row r="473" spans="1:61" ht="15" customHeight="1" x14ac:dyDescent="0.25">
      <c r="A473" s="2"/>
      <c r="B473" s="1"/>
      <c r="E473" s="1"/>
      <c r="F473" s="1"/>
      <c r="G473" s="1"/>
      <c r="H473" s="1"/>
      <c r="J473" s="2"/>
      <c r="K473" s="3"/>
      <c r="L473" s="1"/>
      <c r="N473" s="3"/>
      <c r="P473" s="1"/>
      <c r="Q473" s="2"/>
      <c r="R473" s="3"/>
      <c r="S473" s="4"/>
      <c r="T473" s="3"/>
      <c r="U473" s="1"/>
      <c r="V473" s="1"/>
      <c r="W473" s="3"/>
      <c r="X473" s="1"/>
      <c r="Y473" s="4"/>
      <c r="Z473" s="4"/>
      <c r="AA473" s="1"/>
      <c r="AB473" s="1"/>
      <c r="AC473" s="1"/>
      <c r="AD473" s="2"/>
      <c r="AE473" s="1"/>
      <c r="AF473" s="1"/>
      <c r="AG473" s="1"/>
      <c r="AH473" s="3"/>
      <c r="AI473" s="1"/>
      <c r="AJ473" s="1"/>
      <c r="AK473" s="1"/>
      <c r="AL473" s="1"/>
      <c r="AM473" s="1"/>
      <c r="AN473" s="2"/>
      <c r="AO473" s="1"/>
      <c r="AP473" s="1"/>
      <c r="AQ473" s="1"/>
      <c r="AR473" s="2"/>
      <c r="AS473" s="1"/>
      <c r="AT473" s="2"/>
      <c r="AU473" s="4"/>
      <c r="AV473" s="7"/>
      <c r="AW473" s="4"/>
      <c r="AX473" s="3"/>
      <c r="AY473" s="4"/>
      <c r="AZ473" s="1"/>
      <c r="BA473" s="1"/>
      <c r="BB473" s="1"/>
      <c r="BC473" s="4"/>
      <c r="BD473" s="1"/>
      <c r="BE473" s="4"/>
      <c r="BF473" s="2"/>
      <c r="BG473" s="4"/>
      <c r="BH473" s="1"/>
      <c r="BI473" s="1"/>
    </row>
    <row r="474" spans="1:61" ht="15" customHeight="1" x14ac:dyDescent="0.25">
      <c r="A474" s="2"/>
      <c r="B474" s="1"/>
      <c r="E474" s="1"/>
      <c r="F474" s="1"/>
      <c r="G474" s="1"/>
      <c r="H474" s="1"/>
      <c r="J474" s="2"/>
      <c r="K474" s="3"/>
      <c r="L474" s="1"/>
      <c r="N474" s="3"/>
      <c r="P474" s="1"/>
      <c r="Q474" s="2"/>
      <c r="R474" s="3"/>
      <c r="S474" s="4"/>
      <c r="T474" s="3"/>
      <c r="U474" s="1"/>
      <c r="V474" s="1"/>
      <c r="W474" s="3"/>
      <c r="X474" s="1"/>
      <c r="Y474" s="4"/>
      <c r="Z474" s="4"/>
      <c r="AA474" s="1"/>
      <c r="AB474" s="1"/>
      <c r="AC474" s="1"/>
      <c r="AD474" s="2"/>
      <c r="AE474" s="1"/>
      <c r="AF474" s="1"/>
      <c r="AG474" s="1"/>
      <c r="AH474" s="3"/>
      <c r="AI474" s="1"/>
      <c r="AJ474" s="1"/>
      <c r="AK474" s="1"/>
      <c r="AL474" s="1"/>
      <c r="AM474" s="1"/>
      <c r="AN474" s="2"/>
      <c r="AO474" s="1"/>
      <c r="AP474" s="1"/>
      <c r="AQ474" s="1"/>
      <c r="AR474" s="2"/>
      <c r="AS474" s="1"/>
      <c r="AT474" s="2"/>
      <c r="AU474" s="4"/>
      <c r="AV474" s="7"/>
      <c r="AW474" s="4"/>
      <c r="AX474" s="3"/>
      <c r="AY474" s="4"/>
      <c r="AZ474" s="1"/>
      <c r="BA474" s="1"/>
      <c r="BB474" s="1"/>
      <c r="BC474" s="4"/>
      <c r="BD474" s="1"/>
      <c r="BE474" s="4"/>
      <c r="BF474" s="2"/>
      <c r="BG474" s="4"/>
      <c r="BH474" s="1"/>
      <c r="BI474" s="1"/>
    </row>
    <row r="475" spans="1:61" ht="15" customHeight="1" x14ac:dyDescent="0.25">
      <c r="A475" s="2"/>
      <c r="B475" s="1"/>
      <c r="E475" s="1"/>
      <c r="F475" s="1"/>
      <c r="G475" s="1"/>
      <c r="H475" s="1"/>
      <c r="J475" s="2"/>
      <c r="K475" s="3"/>
      <c r="L475" s="1"/>
      <c r="N475" s="3"/>
      <c r="P475" s="1"/>
      <c r="Q475" s="2"/>
      <c r="R475" s="3"/>
      <c r="S475" s="4"/>
      <c r="T475" s="3"/>
      <c r="U475" s="1"/>
      <c r="V475" s="1"/>
      <c r="W475" s="3"/>
      <c r="X475" s="1"/>
      <c r="Y475" s="4"/>
      <c r="Z475" s="4"/>
      <c r="AA475" s="1"/>
      <c r="AB475" s="1"/>
      <c r="AC475" s="1"/>
      <c r="AD475" s="2"/>
      <c r="AE475" s="1"/>
      <c r="AF475" s="1"/>
      <c r="AG475" s="1"/>
      <c r="AH475" s="3"/>
      <c r="AI475" s="1"/>
      <c r="AJ475" s="1"/>
      <c r="AK475" s="1"/>
      <c r="AL475" s="1"/>
      <c r="AM475" s="1"/>
      <c r="AN475" s="2"/>
      <c r="AO475" s="1"/>
      <c r="AP475" s="1"/>
      <c r="AQ475" s="1"/>
      <c r="AR475" s="2"/>
      <c r="AS475" s="1"/>
      <c r="AT475" s="2"/>
      <c r="AU475" s="4"/>
      <c r="AV475" s="7"/>
      <c r="AW475" s="4"/>
      <c r="AX475" s="3"/>
      <c r="AY475" s="4"/>
      <c r="AZ475" s="1"/>
      <c r="BA475" s="1"/>
      <c r="BB475" s="1"/>
      <c r="BC475" s="4"/>
      <c r="BD475" s="1"/>
      <c r="BE475" s="4"/>
      <c r="BF475" s="2"/>
      <c r="BG475" s="4"/>
      <c r="BH475" s="1"/>
      <c r="BI475" s="1"/>
    </row>
    <row r="476" spans="1:61" ht="15" customHeight="1" x14ac:dyDescent="0.25">
      <c r="A476" s="2"/>
      <c r="B476" s="1"/>
      <c r="E476" s="1"/>
      <c r="F476" s="1"/>
      <c r="G476" s="1"/>
      <c r="H476" s="1"/>
      <c r="J476" s="2"/>
      <c r="K476" s="3"/>
      <c r="L476" s="1"/>
      <c r="N476" s="3"/>
      <c r="P476" s="1"/>
      <c r="Q476" s="2"/>
      <c r="R476" s="3"/>
      <c r="S476" s="4"/>
      <c r="T476" s="3"/>
      <c r="U476" s="1"/>
      <c r="V476" s="1"/>
      <c r="W476" s="3"/>
      <c r="X476" s="1"/>
      <c r="Y476" s="4"/>
      <c r="Z476" s="4"/>
      <c r="AA476" s="1"/>
      <c r="AB476" s="1"/>
      <c r="AC476" s="1"/>
      <c r="AD476" s="2"/>
      <c r="AE476" s="1"/>
      <c r="AF476" s="1"/>
      <c r="AG476" s="1"/>
      <c r="AH476" s="3"/>
      <c r="AI476" s="1"/>
      <c r="AJ476" s="1"/>
      <c r="AK476" s="1"/>
      <c r="AL476" s="1"/>
      <c r="AM476" s="1"/>
      <c r="AN476" s="2"/>
      <c r="AO476" s="1"/>
      <c r="AP476" s="1"/>
      <c r="AQ476" s="1"/>
      <c r="AR476" s="2"/>
      <c r="AS476" s="1"/>
      <c r="AT476" s="2"/>
      <c r="AU476" s="4"/>
      <c r="AV476" s="7"/>
      <c r="AW476" s="4"/>
      <c r="AX476" s="3"/>
      <c r="AY476" s="4"/>
      <c r="AZ476" s="1"/>
      <c r="BA476" s="1"/>
      <c r="BB476" s="1"/>
      <c r="BC476" s="4"/>
      <c r="BD476" s="1"/>
      <c r="BE476" s="4"/>
      <c r="BF476" s="2"/>
      <c r="BG476" s="4"/>
      <c r="BH476" s="1"/>
      <c r="BI476" s="1"/>
    </row>
    <row r="477" spans="1:61" ht="15" customHeight="1" x14ac:dyDescent="0.25">
      <c r="A477" s="2"/>
      <c r="B477" s="1"/>
      <c r="E477" s="1"/>
      <c r="F477" s="1"/>
      <c r="G477" s="1"/>
      <c r="H477" s="1"/>
      <c r="J477" s="2"/>
      <c r="K477" s="3"/>
      <c r="L477" s="1"/>
      <c r="N477" s="3"/>
      <c r="P477" s="1"/>
      <c r="Q477" s="2"/>
      <c r="R477" s="3"/>
      <c r="S477" s="4"/>
      <c r="T477" s="3"/>
      <c r="U477" s="1"/>
      <c r="V477" s="1"/>
      <c r="W477" s="3"/>
      <c r="X477" s="1"/>
      <c r="Y477" s="4"/>
      <c r="Z477" s="4"/>
      <c r="AA477" s="1"/>
      <c r="AB477" s="1"/>
      <c r="AC477" s="1"/>
      <c r="AD477" s="2"/>
      <c r="AE477" s="1"/>
      <c r="AF477" s="1"/>
      <c r="AG477" s="1"/>
      <c r="AH477" s="3"/>
      <c r="AI477" s="1"/>
      <c r="AJ477" s="1"/>
      <c r="AK477" s="1"/>
      <c r="AL477" s="1"/>
      <c r="AM477" s="1"/>
      <c r="AN477" s="2"/>
      <c r="AO477" s="1"/>
      <c r="AP477" s="1"/>
      <c r="AQ477" s="1"/>
      <c r="AR477" s="2"/>
      <c r="AS477" s="1"/>
      <c r="AT477" s="2"/>
      <c r="AU477" s="4"/>
      <c r="AV477" s="7"/>
      <c r="AW477" s="4"/>
      <c r="AX477" s="3"/>
      <c r="AY477" s="4"/>
      <c r="AZ477" s="1"/>
      <c r="BA477" s="1"/>
      <c r="BB477" s="1"/>
      <c r="BC477" s="4"/>
      <c r="BD477" s="1"/>
      <c r="BE477" s="4"/>
      <c r="BF477" s="2"/>
      <c r="BG477" s="4"/>
      <c r="BH477" s="1"/>
      <c r="BI477" s="1"/>
    </row>
    <row r="478" spans="1:61" ht="15" customHeight="1" x14ac:dyDescent="0.25">
      <c r="A478" s="2"/>
      <c r="B478" s="1"/>
      <c r="E478" s="1"/>
      <c r="F478" s="1"/>
      <c r="G478" s="1"/>
      <c r="H478" s="1"/>
      <c r="J478" s="2"/>
      <c r="K478" s="3"/>
      <c r="L478" s="1"/>
      <c r="N478" s="3"/>
      <c r="P478" s="1"/>
      <c r="Q478" s="2"/>
      <c r="R478" s="3"/>
      <c r="S478" s="4"/>
      <c r="T478" s="3"/>
      <c r="U478" s="1"/>
      <c r="V478" s="1"/>
      <c r="W478" s="3"/>
      <c r="X478" s="1"/>
      <c r="Y478" s="4"/>
      <c r="Z478" s="4"/>
      <c r="AA478" s="1"/>
      <c r="AB478" s="1"/>
      <c r="AC478" s="1"/>
      <c r="AD478" s="2"/>
      <c r="AE478" s="1"/>
      <c r="AF478" s="1"/>
      <c r="AG478" s="1"/>
      <c r="AH478" s="3"/>
      <c r="AI478" s="1"/>
      <c r="AJ478" s="1"/>
      <c r="AK478" s="1"/>
      <c r="AL478" s="1"/>
      <c r="AM478" s="1"/>
      <c r="AN478" s="2"/>
      <c r="AO478" s="1"/>
      <c r="AP478" s="1"/>
      <c r="AQ478" s="1"/>
      <c r="AR478" s="2"/>
      <c r="AS478" s="1"/>
      <c r="AT478" s="2"/>
      <c r="AU478" s="4"/>
      <c r="AV478" s="7"/>
      <c r="AW478" s="4"/>
      <c r="AX478" s="3"/>
      <c r="AY478" s="4"/>
      <c r="AZ478" s="1"/>
      <c r="BA478" s="1"/>
      <c r="BB478" s="1"/>
      <c r="BC478" s="4"/>
      <c r="BD478" s="1"/>
      <c r="BE478" s="4"/>
      <c r="BF478" s="2"/>
      <c r="BG478" s="4"/>
      <c r="BH478" s="1"/>
      <c r="BI478" s="1"/>
    </row>
    <row r="479" spans="1:61" ht="15" customHeight="1" x14ac:dyDescent="0.25">
      <c r="A479" s="2"/>
      <c r="B479" s="1"/>
      <c r="E479" s="1"/>
      <c r="F479" s="1"/>
      <c r="G479" s="1"/>
      <c r="H479" s="1"/>
      <c r="J479" s="2"/>
      <c r="K479" s="3"/>
      <c r="L479" s="1"/>
      <c r="N479" s="3"/>
      <c r="P479" s="1"/>
      <c r="Q479" s="2"/>
      <c r="R479" s="3"/>
      <c r="S479" s="4"/>
      <c r="T479" s="3"/>
      <c r="U479" s="1"/>
      <c r="V479" s="1"/>
      <c r="W479" s="3"/>
      <c r="X479" s="1"/>
      <c r="Y479" s="4"/>
      <c r="Z479" s="4"/>
      <c r="AA479" s="1"/>
      <c r="AB479" s="1"/>
      <c r="AC479" s="1"/>
      <c r="AD479" s="2"/>
      <c r="AE479" s="1"/>
      <c r="AF479" s="1"/>
      <c r="AG479" s="1"/>
      <c r="AH479" s="3"/>
      <c r="AI479" s="1"/>
      <c r="AJ479" s="1"/>
      <c r="AK479" s="1"/>
      <c r="AL479" s="1"/>
      <c r="AM479" s="1"/>
      <c r="AN479" s="2"/>
      <c r="AO479" s="1"/>
      <c r="AP479" s="1"/>
      <c r="AQ479" s="1"/>
      <c r="AR479" s="2"/>
      <c r="AS479" s="1"/>
      <c r="AT479" s="2"/>
      <c r="AU479" s="4"/>
      <c r="AV479" s="7"/>
      <c r="AW479" s="4"/>
      <c r="AX479" s="3"/>
      <c r="AY479" s="4"/>
      <c r="AZ479" s="1"/>
      <c r="BA479" s="1"/>
      <c r="BB479" s="1"/>
      <c r="BC479" s="4"/>
      <c r="BD479" s="1"/>
      <c r="BE479" s="4"/>
      <c r="BF479" s="2"/>
      <c r="BG479" s="4"/>
      <c r="BH479" s="1"/>
      <c r="BI479" s="1"/>
    </row>
    <row r="480" spans="1:61" ht="15" customHeight="1" x14ac:dyDescent="0.25">
      <c r="A480" s="2"/>
      <c r="B480" s="1"/>
      <c r="E480" s="1"/>
      <c r="F480" s="1"/>
      <c r="G480" s="1"/>
      <c r="H480" s="1"/>
      <c r="J480" s="2"/>
      <c r="K480" s="3"/>
      <c r="L480" s="1"/>
      <c r="N480" s="3"/>
      <c r="P480" s="1"/>
      <c r="Q480" s="2"/>
      <c r="R480" s="3"/>
      <c r="S480" s="4"/>
      <c r="T480" s="3"/>
      <c r="U480" s="1"/>
      <c r="V480" s="1"/>
      <c r="W480" s="3"/>
      <c r="X480" s="1"/>
      <c r="Y480" s="4"/>
      <c r="Z480" s="4"/>
      <c r="AA480" s="1"/>
      <c r="AB480" s="1"/>
      <c r="AC480" s="1"/>
      <c r="AD480" s="2"/>
      <c r="AE480" s="1"/>
      <c r="AF480" s="1"/>
      <c r="AG480" s="1"/>
      <c r="AH480" s="3"/>
      <c r="AI480" s="1"/>
      <c r="AJ480" s="1"/>
      <c r="AK480" s="1"/>
      <c r="AL480" s="1"/>
      <c r="AM480" s="1"/>
      <c r="AN480" s="2"/>
      <c r="AO480" s="1"/>
      <c r="AP480" s="1"/>
      <c r="AQ480" s="1"/>
      <c r="AR480" s="2"/>
      <c r="AS480" s="1"/>
      <c r="AT480" s="2"/>
      <c r="AU480" s="4"/>
      <c r="AV480" s="7"/>
      <c r="AW480" s="4"/>
      <c r="AX480" s="3"/>
      <c r="AY480" s="4"/>
      <c r="AZ480" s="1"/>
      <c r="BA480" s="1"/>
      <c r="BB480" s="1"/>
      <c r="BC480" s="4"/>
      <c r="BD480" s="1"/>
      <c r="BE480" s="4"/>
      <c r="BF480" s="2"/>
      <c r="BG480" s="4"/>
      <c r="BH480" s="1"/>
      <c r="BI480" s="1"/>
    </row>
    <row r="481" spans="1:61" ht="15" customHeight="1" x14ac:dyDescent="0.25">
      <c r="A481" s="2"/>
      <c r="B481" s="1"/>
      <c r="E481" s="1"/>
      <c r="F481" s="1"/>
      <c r="G481" s="1"/>
      <c r="H481" s="1"/>
      <c r="J481" s="2"/>
      <c r="K481" s="3"/>
      <c r="L481" s="1"/>
      <c r="N481" s="3"/>
      <c r="P481" s="1"/>
      <c r="Q481" s="2"/>
      <c r="R481" s="3"/>
      <c r="S481" s="4"/>
      <c r="T481" s="3"/>
      <c r="U481" s="1"/>
      <c r="V481" s="1"/>
      <c r="W481" s="3"/>
      <c r="X481" s="1"/>
      <c r="Y481" s="4"/>
      <c r="Z481" s="4"/>
      <c r="AA481" s="1"/>
      <c r="AB481" s="1"/>
      <c r="AC481" s="1"/>
      <c r="AD481" s="2"/>
      <c r="AE481" s="1"/>
      <c r="AF481" s="1"/>
      <c r="AG481" s="1"/>
      <c r="AH481" s="3"/>
      <c r="AI481" s="1"/>
      <c r="AJ481" s="1"/>
      <c r="AK481" s="1"/>
      <c r="AL481" s="1"/>
      <c r="AM481" s="1"/>
      <c r="AN481" s="2"/>
      <c r="AO481" s="1"/>
      <c r="AP481" s="1"/>
      <c r="AQ481" s="1"/>
      <c r="AR481" s="2"/>
      <c r="AS481" s="1"/>
      <c r="AT481" s="2"/>
      <c r="AU481" s="4"/>
      <c r="AV481" s="7"/>
      <c r="AW481" s="4"/>
      <c r="AX481" s="3"/>
      <c r="AY481" s="4"/>
      <c r="AZ481" s="1"/>
      <c r="BA481" s="1"/>
      <c r="BB481" s="1"/>
      <c r="BC481" s="4"/>
      <c r="BD481" s="1"/>
      <c r="BE481" s="4"/>
      <c r="BF481" s="2"/>
      <c r="BG481" s="4"/>
      <c r="BH481" s="1"/>
      <c r="BI481" s="1"/>
    </row>
    <row r="482" spans="1:61" ht="15" customHeight="1" x14ac:dyDescent="0.25">
      <c r="A482" s="2"/>
      <c r="B482" s="1"/>
      <c r="E482" s="1"/>
      <c r="F482" s="1"/>
      <c r="G482" s="1"/>
      <c r="H482" s="1"/>
      <c r="J482" s="2"/>
      <c r="K482" s="3"/>
      <c r="L482" s="1"/>
      <c r="N482" s="3"/>
      <c r="P482" s="1"/>
      <c r="Q482" s="2"/>
      <c r="R482" s="3"/>
      <c r="S482" s="4"/>
      <c r="T482" s="3"/>
      <c r="U482" s="1"/>
      <c r="V482" s="1"/>
      <c r="W482" s="3"/>
      <c r="X482" s="1"/>
      <c r="Y482" s="4"/>
      <c r="Z482" s="4"/>
      <c r="AA482" s="1"/>
      <c r="AB482" s="1"/>
      <c r="AC482" s="1"/>
      <c r="AD482" s="2"/>
      <c r="AE482" s="1"/>
      <c r="AF482" s="1"/>
      <c r="AG482" s="1"/>
      <c r="AH482" s="3"/>
      <c r="AI482" s="1"/>
      <c r="AJ482" s="1"/>
      <c r="AK482" s="1"/>
      <c r="AL482" s="1"/>
      <c r="AM482" s="1"/>
      <c r="AN482" s="2"/>
      <c r="AO482" s="1"/>
      <c r="AP482" s="1"/>
      <c r="AQ482" s="1"/>
      <c r="AR482" s="2"/>
      <c r="AS482" s="1"/>
      <c r="AT482" s="2"/>
      <c r="AU482" s="4"/>
      <c r="AV482" s="7"/>
      <c r="AW482" s="4"/>
      <c r="AX482" s="3"/>
      <c r="AY482" s="4"/>
      <c r="AZ482" s="1"/>
      <c r="BA482" s="1"/>
      <c r="BB482" s="1"/>
      <c r="BC482" s="4"/>
      <c r="BD482" s="1"/>
      <c r="BE482" s="4"/>
      <c r="BF482" s="2"/>
      <c r="BG482" s="4"/>
      <c r="BH482" s="1"/>
      <c r="BI482" s="1"/>
    </row>
    <row r="483" spans="1:61" ht="15" customHeight="1" x14ac:dyDescent="0.25">
      <c r="A483" s="2"/>
      <c r="B483" s="1"/>
      <c r="E483" s="1"/>
      <c r="F483" s="1"/>
      <c r="G483" s="1"/>
      <c r="H483" s="1"/>
      <c r="J483" s="2"/>
      <c r="K483" s="3"/>
      <c r="L483" s="1"/>
      <c r="N483" s="3"/>
      <c r="P483" s="1"/>
      <c r="Q483" s="2"/>
      <c r="R483" s="3"/>
      <c r="S483" s="4"/>
      <c r="T483" s="3"/>
      <c r="U483" s="1"/>
      <c r="V483" s="1"/>
      <c r="W483" s="3"/>
      <c r="X483" s="1"/>
      <c r="Y483" s="4"/>
      <c r="Z483" s="4"/>
      <c r="AA483" s="1"/>
      <c r="AB483" s="1"/>
      <c r="AC483" s="1"/>
      <c r="AD483" s="2"/>
      <c r="AE483" s="1"/>
      <c r="AF483" s="1"/>
      <c r="AG483" s="1"/>
      <c r="AH483" s="3"/>
      <c r="AI483" s="1"/>
      <c r="AJ483" s="1"/>
      <c r="AK483" s="1"/>
      <c r="AL483" s="1"/>
      <c r="AM483" s="1"/>
      <c r="AN483" s="2"/>
      <c r="AO483" s="1"/>
      <c r="AP483" s="1"/>
      <c r="AQ483" s="1"/>
      <c r="AR483" s="2"/>
      <c r="AS483" s="1"/>
      <c r="AT483" s="2"/>
      <c r="AU483" s="4"/>
      <c r="AV483" s="7"/>
      <c r="AW483" s="4"/>
      <c r="AX483" s="3"/>
      <c r="AY483" s="4"/>
      <c r="AZ483" s="1"/>
      <c r="BA483" s="1"/>
      <c r="BB483" s="1"/>
      <c r="BC483" s="4"/>
      <c r="BD483" s="1"/>
      <c r="BE483" s="4"/>
      <c r="BF483" s="2"/>
      <c r="BG483" s="4"/>
      <c r="BH483" s="1"/>
      <c r="BI483" s="1"/>
    </row>
    <row r="484" spans="1:61" ht="15" customHeight="1" x14ac:dyDescent="0.25">
      <c r="A484" s="2"/>
      <c r="B484" s="1"/>
      <c r="E484" s="1"/>
      <c r="F484" s="1"/>
      <c r="G484" s="1"/>
      <c r="H484" s="1"/>
      <c r="J484" s="2"/>
      <c r="K484" s="3"/>
      <c r="L484" s="1"/>
      <c r="N484" s="3"/>
      <c r="P484" s="1"/>
      <c r="Q484" s="2"/>
      <c r="R484" s="3"/>
      <c r="S484" s="4"/>
      <c r="T484" s="3"/>
      <c r="U484" s="1"/>
      <c r="V484" s="1"/>
      <c r="W484" s="3"/>
      <c r="X484" s="1"/>
      <c r="Y484" s="4"/>
      <c r="Z484" s="4"/>
      <c r="AA484" s="1"/>
      <c r="AB484" s="1"/>
      <c r="AC484" s="1"/>
      <c r="AD484" s="2"/>
      <c r="AE484" s="1"/>
      <c r="AF484" s="1"/>
      <c r="AG484" s="1"/>
      <c r="AH484" s="3"/>
      <c r="AI484" s="1"/>
      <c r="AJ484" s="1"/>
      <c r="AK484" s="1"/>
      <c r="AL484" s="1"/>
      <c r="AM484" s="1"/>
      <c r="AN484" s="2"/>
      <c r="AO484" s="1"/>
      <c r="AP484" s="1"/>
      <c r="AQ484" s="1"/>
      <c r="AR484" s="2"/>
      <c r="AS484" s="1"/>
      <c r="AT484" s="2"/>
      <c r="AU484" s="4"/>
      <c r="AV484" s="7"/>
      <c r="AW484" s="4"/>
      <c r="AX484" s="3"/>
      <c r="AY484" s="4"/>
      <c r="AZ484" s="1"/>
      <c r="BA484" s="1"/>
      <c r="BB484" s="1"/>
      <c r="BC484" s="4"/>
      <c r="BD484" s="1"/>
      <c r="BE484" s="4"/>
      <c r="BF484" s="2"/>
      <c r="BG484" s="4"/>
      <c r="BH484" s="1"/>
      <c r="BI484" s="1"/>
    </row>
    <row r="485" spans="1:61" ht="15" customHeight="1" x14ac:dyDescent="0.25">
      <c r="A485" s="2"/>
      <c r="B485" s="1"/>
      <c r="E485" s="1"/>
      <c r="F485" s="1"/>
      <c r="G485" s="1"/>
      <c r="H485" s="1"/>
      <c r="J485" s="2"/>
      <c r="K485" s="3"/>
      <c r="L485" s="1"/>
      <c r="N485" s="3"/>
      <c r="P485" s="1"/>
      <c r="Q485" s="2"/>
      <c r="R485" s="3"/>
      <c r="S485" s="4"/>
      <c r="T485" s="3"/>
      <c r="U485" s="1"/>
      <c r="V485" s="1"/>
      <c r="W485" s="3"/>
      <c r="X485" s="1"/>
      <c r="Y485" s="4"/>
      <c r="Z485" s="4"/>
      <c r="AA485" s="1"/>
      <c r="AB485" s="1"/>
      <c r="AC485" s="1"/>
      <c r="AD485" s="2"/>
      <c r="AE485" s="1"/>
      <c r="AF485" s="1"/>
      <c r="AG485" s="1"/>
      <c r="AH485" s="3"/>
      <c r="AI485" s="1"/>
      <c r="AJ485" s="1"/>
      <c r="AK485" s="1"/>
      <c r="AL485" s="1"/>
      <c r="AM485" s="1"/>
      <c r="AN485" s="2"/>
      <c r="AO485" s="1"/>
      <c r="AP485" s="1"/>
      <c r="AQ485" s="1"/>
      <c r="AR485" s="2"/>
      <c r="AS485" s="1"/>
      <c r="AT485" s="2"/>
      <c r="AU485" s="4"/>
      <c r="AV485" s="7"/>
      <c r="AW485" s="4"/>
      <c r="AX485" s="3"/>
      <c r="AY485" s="4"/>
      <c r="AZ485" s="1"/>
      <c r="BA485" s="1"/>
      <c r="BB485" s="1"/>
      <c r="BC485" s="4"/>
      <c r="BD485" s="1"/>
      <c r="BE485" s="4"/>
      <c r="BF485" s="2"/>
      <c r="BG485" s="4"/>
      <c r="BH485" s="1"/>
      <c r="BI485" s="1"/>
    </row>
    <row r="486" spans="1:61" ht="15" customHeight="1" x14ac:dyDescent="0.25">
      <c r="A486" s="2"/>
      <c r="B486" s="1"/>
      <c r="E486" s="1"/>
      <c r="F486" s="1"/>
      <c r="G486" s="1"/>
      <c r="H486" s="1"/>
      <c r="J486" s="2"/>
      <c r="K486" s="3"/>
      <c r="L486" s="1"/>
      <c r="N486" s="3"/>
      <c r="P486" s="1"/>
      <c r="Q486" s="2"/>
      <c r="R486" s="3"/>
      <c r="S486" s="4"/>
      <c r="T486" s="3"/>
      <c r="U486" s="1"/>
      <c r="V486" s="1"/>
      <c r="W486" s="3"/>
      <c r="X486" s="1"/>
      <c r="Y486" s="4"/>
      <c r="Z486" s="4"/>
      <c r="AA486" s="1"/>
      <c r="AB486" s="1"/>
      <c r="AC486" s="1"/>
      <c r="AD486" s="2"/>
      <c r="AE486" s="1"/>
      <c r="AF486" s="1"/>
      <c r="AG486" s="1"/>
      <c r="AH486" s="3"/>
      <c r="AI486" s="1"/>
      <c r="AJ486" s="1"/>
      <c r="AK486" s="1"/>
      <c r="AL486" s="1"/>
      <c r="AM486" s="1"/>
      <c r="AN486" s="2"/>
      <c r="AO486" s="1"/>
      <c r="AP486" s="1"/>
      <c r="AQ486" s="1"/>
      <c r="AR486" s="2"/>
      <c r="AS486" s="1"/>
      <c r="AT486" s="2"/>
      <c r="AU486" s="4"/>
      <c r="AV486" s="7"/>
      <c r="AW486" s="4"/>
      <c r="AX486" s="3"/>
      <c r="AY486" s="4"/>
      <c r="AZ486" s="1"/>
      <c r="BA486" s="1"/>
      <c r="BB486" s="1"/>
      <c r="BC486" s="4"/>
      <c r="BD486" s="1"/>
      <c r="BE486" s="4"/>
      <c r="BF486" s="2"/>
      <c r="BG486" s="4"/>
      <c r="BH486" s="1"/>
      <c r="BI486" s="1"/>
    </row>
    <row r="487" spans="1:61" ht="15" customHeight="1" x14ac:dyDescent="0.25">
      <c r="A487" s="2"/>
      <c r="B487" s="1"/>
      <c r="E487" s="1"/>
      <c r="F487" s="1"/>
      <c r="G487" s="1"/>
      <c r="H487" s="1"/>
      <c r="J487" s="2"/>
      <c r="K487" s="3"/>
      <c r="L487" s="1"/>
      <c r="N487" s="3"/>
      <c r="P487" s="1"/>
      <c r="Q487" s="2"/>
      <c r="R487" s="3"/>
      <c r="S487" s="4"/>
      <c r="T487" s="3"/>
      <c r="U487" s="1"/>
      <c r="V487" s="1"/>
      <c r="W487" s="3"/>
      <c r="X487" s="1"/>
      <c r="Y487" s="4"/>
      <c r="Z487" s="4"/>
      <c r="AA487" s="1"/>
      <c r="AB487" s="1"/>
      <c r="AC487" s="1"/>
      <c r="AD487" s="2"/>
      <c r="AE487" s="1"/>
      <c r="AF487" s="1"/>
      <c r="AG487" s="1"/>
      <c r="AH487" s="3"/>
      <c r="AI487" s="1"/>
      <c r="AJ487" s="1"/>
      <c r="AK487" s="1"/>
      <c r="AL487" s="1"/>
      <c r="AM487" s="1"/>
      <c r="AN487" s="2"/>
      <c r="AO487" s="1"/>
      <c r="AP487" s="1"/>
      <c r="AQ487" s="1"/>
      <c r="AR487" s="2"/>
      <c r="AS487" s="1"/>
      <c r="AT487" s="2"/>
      <c r="AU487" s="4"/>
      <c r="AV487" s="7"/>
      <c r="AW487" s="4"/>
      <c r="AX487" s="3"/>
      <c r="AY487" s="4"/>
      <c r="AZ487" s="1"/>
      <c r="BA487" s="1"/>
      <c r="BB487" s="1"/>
      <c r="BC487" s="4"/>
      <c r="BD487" s="1"/>
      <c r="BE487" s="4"/>
      <c r="BF487" s="2"/>
      <c r="BG487" s="4"/>
      <c r="BH487" s="1"/>
      <c r="BI487" s="1"/>
    </row>
    <row r="488" spans="1:61" ht="15" customHeight="1" x14ac:dyDescent="0.25">
      <c r="A488" s="2"/>
      <c r="B488" s="1"/>
      <c r="E488" s="1"/>
      <c r="F488" s="1"/>
      <c r="G488" s="1"/>
      <c r="H488" s="1"/>
      <c r="J488" s="2"/>
      <c r="K488" s="3"/>
      <c r="L488" s="1"/>
      <c r="N488" s="3"/>
      <c r="P488" s="1"/>
      <c r="Q488" s="2"/>
      <c r="R488" s="3"/>
      <c r="S488" s="4"/>
      <c r="T488" s="3"/>
      <c r="U488" s="1"/>
      <c r="V488" s="1"/>
      <c r="W488" s="3"/>
      <c r="X488" s="1"/>
      <c r="Y488" s="4"/>
      <c r="Z488" s="4"/>
      <c r="AA488" s="1"/>
      <c r="AB488" s="1"/>
      <c r="AC488" s="1"/>
      <c r="AD488" s="2"/>
      <c r="AE488" s="1"/>
      <c r="AF488" s="1"/>
      <c r="AG488" s="1"/>
      <c r="AH488" s="3"/>
      <c r="AI488" s="1"/>
      <c r="AJ488" s="1"/>
      <c r="AK488" s="1"/>
      <c r="AL488" s="1"/>
      <c r="AM488" s="1"/>
      <c r="AN488" s="2"/>
      <c r="AO488" s="1"/>
      <c r="AP488" s="1"/>
      <c r="AQ488" s="1"/>
      <c r="AR488" s="2"/>
      <c r="AS488" s="1"/>
      <c r="AT488" s="2"/>
      <c r="AU488" s="4"/>
      <c r="AV488" s="7"/>
      <c r="AW488" s="4"/>
      <c r="AX488" s="3"/>
      <c r="AY488" s="4"/>
      <c r="AZ488" s="1"/>
      <c r="BA488" s="1"/>
      <c r="BB488" s="1"/>
      <c r="BC488" s="4"/>
      <c r="BD488" s="1"/>
      <c r="BE488" s="4"/>
      <c r="BF488" s="2"/>
      <c r="BG488" s="4"/>
      <c r="BH488" s="1"/>
      <c r="BI488" s="1"/>
    </row>
    <row r="489" spans="1:61" ht="15" customHeight="1" x14ac:dyDescent="0.25">
      <c r="A489" s="2"/>
      <c r="B489" s="1"/>
      <c r="E489" s="1"/>
      <c r="F489" s="1"/>
      <c r="G489" s="1"/>
      <c r="H489" s="1"/>
      <c r="J489" s="2"/>
      <c r="K489" s="3"/>
      <c r="L489" s="1"/>
      <c r="N489" s="3"/>
      <c r="P489" s="1"/>
      <c r="Q489" s="2"/>
      <c r="R489" s="3"/>
      <c r="S489" s="4"/>
      <c r="T489" s="3"/>
      <c r="U489" s="1"/>
      <c r="V489" s="1"/>
      <c r="W489" s="3"/>
      <c r="X489" s="1"/>
      <c r="Y489" s="4"/>
      <c r="Z489" s="4"/>
      <c r="AA489" s="1"/>
      <c r="AB489" s="1"/>
      <c r="AC489" s="1"/>
      <c r="AD489" s="2"/>
      <c r="AE489" s="1"/>
      <c r="AF489" s="1"/>
      <c r="AG489" s="1"/>
      <c r="AH489" s="3"/>
      <c r="AI489" s="1"/>
      <c r="AJ489" s="1"/>
      <c r="AK489" s="1"/>
      <c r="AL489" s="1"/>
      <c r="AM489" s="1"/>
      <c r="AN489" s="2"/>
      <c r="AO489" s="1"/>
      <c r="AP489" s="1"/>
      <c r="AQ489" s="1"/>
      <c r="AR489" s="2"/>
      <c r="AS489" s="1"/>
      <c r="AT489" s="2"/>
      <c r="AU489" s="4"/>
      <c r="AV489" s="7"/>
      <c r="AW489" s="4"/>
      <c r="AX489" s="3"/>
      <c r="AY489" s="4"/>
      <c r="AZ489" s="1"/>
      <c r="BA489" s="1"/>
      <c r="BB489" s="1"/>
      <c r="BC489" s="4"/>
      <c r="BD489" s="1"/>
      <c r="BE489" s="4"/>
      <c r="BF489" s="2"/>
      <c r="BG489" s="4"/>
      <c r="BH489" s="1"/>
      <c r="BI489" s="1"/>
    </row>
    <row r="490" spans="1:61" ht="15" customHeight="1" x14ac:dyDescent="0.25">
      <c r="A490" s="2"/>
      <c r="B490" s="1"/>
      <c r="E490" s="1"/>
      <c r="F490" s="1"/>
      <c r="G490" s="1"/>
      <c r="H490" s="1"/>
      <c r="J490" s="2"/>
      <c r="K490" s="3"/>
      <c r="L490" s="1"/>
      <c r="N490" s="3"/>
      <c r="P490" s="1"/>
      <c r="Q490" s="2"/>
      <c r="R490" s="3"/>
      <c r="S490" s="4"/>
      <c r="T490" s="3"/>
      <c r="U490" s="1"/>
      <c r="V490" s="1"/>
      <c r="W490" s="3"/>
      <c r="X490" s="1"/>
      <c r="Y490" s="4"/>
      <c r="Z490" s="4"/>
      <c r="AA490" s="1"/>
      <c r="AB490" s="1"/>
      <c r="AC490" s="1"/>
      <c r="AD490" s="2"/>
      <c r="AE490" s="1"/>
      <c r="AF490" s="1"/>
      <c r="AG490" s="1"/>
      <c r="AH490" s="3"/>
      <c r="AI490" s="1"/>
      <c r="AJ490" s="1"/>
      <c r="AK490" s="1"/>
      <c r="AL490" s="1"/>
      <c r="AM490" s="1"/>
      <c r="AN490" s="2"/>
      <c r="AO490" s="1"/>
      <c r="AP490" s="1"/>
      <c r="AQ490" s="1"/>
      <c r="AR490" s="2"/>
      <c r="AS490" s="1"/>
      <c r="AT490" s="2"/>
      <c r="AU490" s="4"/>
      <c r="AV490" s="7"/>
      <c r="AW490" s="4"/>
      <c r="AX490" s="3"/>
      <c r="AY490" s="4"/>
      <c r="AZ490" s="1"/>
      <c r="BA490" s="1"/>
      <c r="BB490" s="1"/>
      <c r="BC490" s="4"/>
      <c r="BD490" s="1"/>
      <c r="BE490" s="4"/>
      <c r="BF490" s="2"/>
      <c r="BG490" s="4"/>
      <c r="BH490" s="1"/>
      <c r="BI490" s="1"/>
    </row>
    <row r="491" spans="1:61" ht="15" customHeight="1" x14ac:dyDescent="0.25">
      <c r="A491" s="2"/>
      <c r="B491" s="1"/>
      <c r="E491" s="1"/>
      <c r="F491" s="1"/>
      <c r="G491" s="1"/>
      <c r="H491" s="1"/>
      <c r="J491" s="2"/>
      <c r="K491" s="3"/>
      <c r="L491" s="1"/>
      <c r="N491" s="3"/>
      <c r="P491" s="1"/>
      <c r="Q491" s="2"/>
      <c r="R491" s="3"/>
      <c r="S491" s="4"/>
      <c r="T491" s="3"/>
      <c r="U491" s="1"/>
      <c r="V491" s="1"/>
      <c r="W491" s="3"/>
      <c r="X491" s="1"/>
      <c r="Y491" s="4"/>
      <c r="Z491" s="4"/>
      <c r="AA491" s="1"/>
      <c r="AB491" s="1"/>
      <c r="AC491" s="1"/>
      <c r="AD491" s="2"/>
      <c r="AE491" s="1"/>
      <c r="AF491" s="1"/>
      <c r="AG491" s="1"/>
      <c r="AH491" s="3"/>
      <c r="AI491" s="1"/>
      <c r="AJ491" s="1"/>
      <c r="AK491" s="1"/>
      <c r="AL491" s="1"/>
      <c r="AM491" s="1"/>
      <c r="AN491" s="2"/>
      <c r="AO491" s="1"/>
      <c r="AP491" s="1"/>
      <c r="AQ491" s="1"/>
      <c r="AR491" s="2"/>
      <c r="AS491" s="1"/>
      <c r="AT491" s="2"/>
      <c r="AU491" s="4"/>
      <c r="AV491" s="7"/>
      <c r="AW491" s="4"/>
      <c r="AX491" s="3"/>
      <c r="AY491" s="4"/>
      <c r="AZ491" s="1"/>
      <c r="BA491" s="1"/>
      <c r="BB491" s="1"/>
      <c r="BC491" s="4"/>
      <c r="BD491" s="1"/>
      <c r="BE491" s="4"/>
      <c r="BF491" s="2"/>
      <c r="BG491" s="4"/>
      <c r="BH491" s="1"/>
      <c r="BI491" s="1"/>
    </row>
    <row r="492" spans="1:61" ht="15" customHeight="1" x14ac:dyDescent="0.25">
      <c r="A492" s="2"/>
      <c r="B492" s="1"/>
      <c r="E492" s="1"/>
      <c r="F492" s="1"/>
      <c r="G492" s="1"/>
      <c r="H492" s="1"/>
      <c r="J492" s="2"/>
      <c r="K492" s="3"/>
      <c r="L492" s="1"/>
      <c r="N492" s="3"/>
      <c r="P492" s="1"/>
      <c r="Q492" s="2"/>
      <c r="R492" s="3"/>
      <c r="S492" s="4"/>
      <c r="T492" s="3"/>
      <c r="U492" s="1"/>
      <c r="V492" s="1"/>
      <c r="W492" s="3"/>
      <c r="X492" s="1"/>
      <c r="Y492" s="4"/>
      <c r="Z492" s="4"/>
      <c r="AA492" s="1"/>
      <c r="AB492" s="1"/>
      <c r="AC492" s="1"/>
      <c r="AD492" s="2"/>
      <c r="AE492" s="1"/>
      <c r="AF492" s="1"/>
      <c r="AG492" s="1"/>
      <c r="AH492" s="3"/>
      <c r="AI492" s="1"/>
      <c r="AJ492" s="1"/>
      <c r="AK492" s="1"/>
      <c r="AL492" s="1"/>
      <c r="AM492" s="1"/>
      <c r="AN492" s="2"/>
      <c r="AO492" s="1"/>
      <c r="AP492" s="1"/>
      <c r="AQ492" s="1"/>
      <c r="AR492" s="2"/>
      <c r="AS492" s="1"/>
      <c r="AT492" s="2"/>
      <c r="AU492" s="4"/>
      <c r="AV492" s="7"/>
      <c r="AW492" s="4"/>
      <c r="AX492" s="3"/>
      <c r="AY492" s="4"/>
      <c r="AZ492" s="1"/>
      <c r="BA492" s="1"/>
      <c r="BB492" s="1"/>
      <c r="BC492" s="4"/>
      <c r="BD492" s="1"/>
      <c r="BE492" s="4"/>
      <c r="BF492" s="2"/>
      <c r="BG492" s="4"/>
      <c r="BH492" s="1"/>
      <c r="BI492" s="1"/>
    </row>
    <row r="493" spans="1:61" ht="15" customHeight="1" x14ac:dyDescent="0.25">
      <c r="A493" s="2"/>
      <c r="B493" s="1"/>
      <c r="E493" s="1"/>
      <c r="F493" s="1"/>
      <c r="G493" s="1"/>
      <c r="H493" s="1"/>
      <c r="J493" s="2"/>
      <c r="K493" s="3"/>
      <c r="L493" s="1"/>
      <c r="N493" s="3"/>
      <c r="P493" s="1"/>
      <c r="Q493" s="2"/>
      <c r="R493" s="3"/>
      <c r="S493" s="4"/>
      <c r="T493" s="3"/>
      <c r="U493" s="1"/>
      <c r="V493" s="1"/>
      <c r="W493" s="3"/>
      <c r="X493" s="1"/>
      <c r="Y493" s="4"/>
      <c r="Z493" s="4"/>
      <c r="AA493" s="1"/>
      <c r="AB493" s="1"/>
      <c r="AC493" s="1"/>
      <c r="AD493" s="2"/>
      <c r="AE493" s="1"/>
      <c r="AF493" s="1"/>
      <c r="AG493" s="1"/>
      <c r="AH493" s="3"/>
      <c r="AI493" s="1"/>
      <c r="AJ493" s="1"/>
      <c r="AK493" s="1"/>
      <c r="AL493" s="1"/>
      <c r="AM493" s="1"/>
      <c r="AN493" s="2"/>
      <c r="AO493" s="1"/>
      <c r="AP493" s="1"/>
      <c r="AQ493" s="1"/>
      <c r="AR493" s="2"/>
      <c r="AS493" s="1"/>
      <c r="AT493" s="2"/>
      <c r="AU493" s="4"/>
      <c r="AV493" s="7"/>
      <c r="AW493" s="4"/>
      <c r="AX493" s="3"/>
      <c r="AY493" s="4"/>
      <c r="AZ493" s="1"/>
      <c r="BA493" s="1"/>
      <c r="BB493" s="1"/>
      <c r="BC493" s="4"/>
      <c r="BD493" s="1"/>
      <c r="BE493" s="4"/>
      <c r="BF493" s="2"/>
      <c r="BG493" s="4"/>
      <c r="BH493" s="1"/>
      <c r="BI493" s="1"/>
    </row>
    <row r="494" spans="1:61" ht="15" customHeight="1" x14ac:dyDescent="0.25">
      <c r="A494" s="2"/>
      <c r="B494" s="1"/>
      <c r="E494" s="1"/>
      <c r="F494" s="1"/>
      <c r="G494" s="1"/>
      <c r="H494" s="1"/>
      <c r="J494" s="2"/>
      <c r="K494" s="3"/>
      <c r="L494" s="1"/>
      <c r="N494" s="3"/>
      <c r="P494" s="1"/>
      <c r="Q494" s="2"/>
      <c r="R494" s="3"/>
      <c r="S494" s="4"/>
      <c r="T494" s="3"/>
      <c r="U494" s="1"/>
      <c r="V494" s="1"/>
      <c r="W494" s="3"/>
      <c r="X494" s="1"/>
      <c r="Y494" s="4"/>
      <c r="Z494" s="4"/>
      <c r="AA494" s="1"/>
      <c r="AB494" s="1"/>
      <c r="AC494" s="1"/>
      <c r="AD494" s="2"/>
      <c r="AE494" s="1"/>
      <c r="AF494" s="1"/>
      <c r="AG494" s="1"/>
      <c r="AH494" s="3"/>
      <c r="AI494" s="1"/>
      <c r="AJ494" s="1"/>
      <c r="AK494" s="1"/>
      <c r="AL494" s="1"/>
      <c r="AM494" s="1"/>
      <c r="AN494" s="2"/>
      <c r="AO494" s="1"/>
      <c r="AP494" s="1"/>
      <c r="AQ494" s="1"/>
      <c r="AR494" s="2"/>
      <c r="AS494" s="1"/>
      <c r="AT494" s="2"/>
      <c r="AU494" s="4"/>
      <c r="AV494" s="7"/>
      <c r="AW494" s="4"/>
      <c r="AX494" s="3"/>
      <c r="AY494" s="4"/>
      <c r="AZ494" s="1"/>
      <c r="BA494" s="1"/>
      <c r="BB494" s="1"/>
      <c r="BC494" s="4"/>
      <c r="BD494" s="1"/>
      <c r="BE494" s="4"/>
      <c r="BF494" s="2"/>
      <c r="BG494" s="4"/>
      <c r="BH494" s="1"/>
      <c r="BI494" s="1"/>
    </row>
    <row r="495" spans="1:61" ht="15" customHeight="1" x14ac:dyDescent="0.25">
      <c r="A495" s="2"/>
      <c r="B495" s="1"/>
      <c r="E495" s="1"/>
      <c r="F495" s="1"/>
      <c r="G495" s="1"/>
      <c r="H495" s="1"/>
      <c r="J495" s="2"/>
      <c r="K495" s="3"/>
      <c r="L495" s="1"/>
      <c r="N495" s="3"/>
      <c r="P495" s="1"/>
      <c r="Q495" s="2"/>
      <c r="R495" s="3"/>
      <c r="S495" s="4"/>
      <c r="T495" s="3"/>
      <c r="U495" s="1"/>
      <c r="V495" s="1"/>
      <c r="W495" s="3"/>
      <c r="X495" s="1"/>
      <c r="Y495" s="4"/>
      <c r="Z495" s="4"/>
      <c r="AA495" s="1"/>
      <c r="AB495" s="1"/>
      <c r="AC495" s="1"/>
      <c r="AD495" s="2"/>
      <c r="AE495" s="1"/>
      <c r="AF495" s="1"/>
      <c r="AG495" s="1"/>
      <c r="AH495" s="3"/>
      <c r="AI495" s="1"/>
      <c r="AJ495" s="1"/>
      <c r="AK495" s="1"/>
      <c r="AL495" s="1"/>
      <c r="AM495" s="1"/>
      <c r="AN495" s="2"/>
      <c r="AO495" s="1"/>
      <c r="AP495" s="1"/>
      <c r="AQ495" s="1"/>
      <c r="AR495" s="2"/>
      <c r="AS495" s="1"/>
      <c r="AT495" s="2"/>
      <c r="AU495" s="4"/>
      <c r="AV495" s="7"/>
      <c r="AW495" s="4"/>
      <c r="AX495" s="3"/>
      <c r="AY495" s="4"/>
      <c r="AZ495" s="1"/>
      <c r="BA495" s="1"/>
      <c r="BB495" s="1"/>
      <c r="BC495" s="4"/>
      <c r="BD495" s="1"/>
      <c r="BE495" s="4"/>
      <c r="BF495" s="2"/>
      <c r="BG495" s="4"/>
      <c r="BH495" s="1"/>
      <c r="BI495" s="1"/>
    </row>
    <row r="496" spans="1:61" ht="15" customHeight="1" x14ac:dyDescent="0.25">
      <c r="A496" s="2"/>
      <c r="B496" s="1"/>
      <c r="E496" s="1"/>
      <c r="F496" s="1"/>
      <c r="G496" s="1"/>
      <c r="H496" s="1"/>
      <c r="J496" s="2"/>
      <c r="K496" s="3"/>
      <c r="L496" s="1"/>
      <c r="N496" s="3"/>
      <c r="P496" s="1"/>
      <c r="Q496" s="2"/>
      <c r="R496" s="3"/>
      <c r="S496" s="4"/>
      <c r="T496" s="3"/>
      <c r="U496" s="1"/>
      <c r="V496" s="1"/>
      <c r="W496" s="3"/>
      <c r="X496" s="1"/>
      <c r="Y496" s="4"/>
      <c r="Z496" s="4"/>
      <c r="AA496" s="1"/>
      <c r="AB496" s="1"/>
      <c r="AC496" s="1"/>
      <c r="AD496" s="2"/>
      <c r="AE496" s="1"/>
      <c r="AF496" s="1"/>
      <c r="AG496" s="1"/>
      <c r="AH496" s="3"/>
      <c r="AI496" s="1"/>
      <c r="AJ496" s="1"/>
      <c r="AK496" s="1"/>
      <c r="AL496" s="1"/>
      <c r="AM496" s="1"/>
      <c r="AN496" s="2"/>
      <c r="AO496" s="1"/>
      <c r="AP496" s="1"/>
      <c r="AQ496" s="1"/>
      <c r="AR496" s="2"/>
      <c r="AS496" s="1"/>
      <c r="AT496" s="2"/>
      <c r="AU496" s="4"/>
      <c r="AV496" s="7"/>
      <c r="AW496" s="4"/>
      <c r="AX496" s="3"/>
      <c r="AY496" s="4"/>
      <c r="AZ496" s="1"/>
      <c r="BA496" s="1"/>
      <c r="BB496" s="1"/>
      <c r="BC496" s="4"/>
      <c r="BD496" s="1"/>
      <c r="BE496" s="4"/>
      <c r="BF496" s="2"/>
      <c r="BG496" s="4"/>
      <c r="BH496" s="1"/>
      <c r="BI496" s="1"/>
    </row>
    <row r="497" spans="1:61" ht="15" customHeight="1" x14ac:dyDescent="0.25">
      <c r="A497" s="2"/>
      <c r="B497" s="1"/>
      <c r="E497" s="1"/>
      <c r="F497" s="1"/>
      <c r="G497" s="1"/>
      <c r="H497" s="1"/>
      <c r="J497" s="2"/>
      <c r="K497" s="3"/>
      <c r="L497" s="1"/>
      <c r="N497" s="3"/>
      <c r="P497" s="1"/>
      <c r="Q497" s="2"/>
      <c r="R497" s="3"/>
      <c r="S497" s="4"/>
      <c r="T497" s="3"/>
      <c r="U497" s="1"/>
      <c r="V497" s="1"/>
      <c r="W497" s="3"/>
      <c r="X497" s="1"/>
      <c r="Y497" s="4"/>
      <c r="Z497" s="4"/>
      <c r="AA497" s="1"/>
      <c r="AB497" s="1"/>
      <c r="AC497" s="1"/>
      <c r="AD497" s="2"/>
      <c r="AE497" s="1"/>
      <c r="AF497" s="1"/>
      <c r="AG497" s="1"/>
      <c r="AH497" s="3"/>
      <c r="AI497" s="1"/>
      <c r="AJ497" s="1"/>
      <c r="AK497" s="1"/>
      <c r="AL497" s="1"/>
      <c r="AM497" s="1"/>
      <c r="AN497" s="2"/>
      <c r="AO497" s="1"/>
      <c r="AP497" s="1"/>
      <c r="AQ497" s="1"/>
      <c r="AR497" s="2"/>
      <c r="AS497" s="1"/>
      <c r="AT497" s="2"/>
      <c r="AU497" s="4"/>
      <c r="AV497" s="7"/>
      <c r="AW497" s="4"/>
      <c r="AX497" s="3"/>
      <c r="AY497" s="4"/>
      <c r="AZ497" s="1"/>
      <c r="BA497" s="1"/>
      <c r="BB497" s="1"/>
      <c r="BC497" s="4"/>
      <c r="BD497" s="1"/>
      <c r="BE497" s="4"/>
      <c r="BF497" s="2"/>
      <c r="BG497" s="4"/>
      <c r="BH497" s="1"/>
      <c r="BI497" s="1"/>
    </row>
    <row r="498" spans="1:61" ht="15" customHeight="1" x14ac:dyDescent="0.25">
      <c r="A498" s="2"/>
      <c r="B498" s="1"/>
      <c r="E498" s="1"/>
      <c r="F498" s="1"/>
      <c r="G498" s="1"/>
      <c r="H498" s="1"/>
      <c r="J498" s="2"/>
      <c r="K498" s="3"/>
      <c r="L498" s="1"/>
      <c r="N498" s="3"/>
      <c r="P498" s="1"/>
      <c r="Q498" s="2"/>
      <c r="R498" s="3"/>
      <c r="S498" s="4"/>
      <c r="T498" s="3"/>
      <c r="U498" s="1"/>
      <c r="V498" s="1"/>
      <c r="W498" s="3"/>
      <c r="X498" s="1"/>
      <c r="Y498" s="4"/>
      <c r="Z498" s="4"/>
      <c r="AA498" s="1"/>
      <c r="AB498" s="1"/>
      <c r="AC498" s="1"/>
      <c r="AD498" s="2"/>
      <c r="AE498" s="1"/>
      <c r="AF498" s="1"/>
      <c r="AG498" s="1"/>
      <c r="AH498" s="3"/>
      <c r="AI498" s="1"/>
      <c r="AJ498" s="1"/>
      <c r="AK498" s="1"/>
      <c r="AL498" s="1"/>
      <c r="AM498" s="1"/>
      <c r="AN498" s="2"/>
      <c r="AO498" s="1"/>
      <c r="AP498" s="1"/>
      <c r="AQ498" s="1"/>
      <c r="AR498" s="2"/>
      <c r="AS498" s="1"/>
      <c r="AT498" s="2"/>
      <c r="AU498" s="4"/>
      <c r="AV498" s="4"/>
      <c r="AW498" s="4"/>
      <c r="AX498" s="3"/>
      <c r="AY498" s="4"/>
      <c r="AZ498" s="1"/>
      <c r="BA498" s="1"/>
      <c r="BB498" s="1"/>
      <c r="BC498" s="4"/>
      <c r="BD498" s="1"/>
      <c r="BE498" s="4"/>
      <c r="BF498" s="2"/>
      <c r="BG498" s="4"/>
      <c r="BH498" s="1"/>
      <c r="BI498" s="1"/>
    </row>
    <row r="499" spans="1:61" ht="15" customHeight="1" x14ac:dyDescent="0.25">
      <c r="A499" s="2"/>
      <c r="B499" s="1"/>
      <c r="E499" s="1"/>
      <c r="F499" s="1"/>
      <c r="G499" s="1"/>
      <c r="H499" s="1"/>
      <c r="J499" s="2"/>
      <c r="K499" s="3"/>
      <c r="L499" s="1"/>
      <c r="N499" s="3"/>
      <c r="P499" s="1"/>
      <c r="Q499" s="2"/>
      <c r="R499" s="3"/>
      <c r="S499" s="4"/>
      <c r="T499" s="3"/>
      <c r="U499" s="1"/>
      <c r="V499" s="1"/>
      <c r="W499" s="3"/>
      <c r="X499" s="1"/>
      <c r="Y499" s="4"/>
      <c r="Z499" s="4"/>
      <c r="AA499" s="1"/>
      <c r="AB499" s="1"/>
      <c r="AC499" s="1"/>
      <c r="AD499" s="2"/>
      <c r="AE499" s="1"/>
      <c r="AF499" s="1"/>
      <c r="AG499" s="1"/>
      <c r="AH499" s="3"/>
      <c r="AI499" s="1"/>
      <c r="AJ499" s="1"/>
      <c r="AK499" s="1"/>
      <c r="AL499" s="1"/>
      <c r="AM499" s="1"/>
      <c r="AN499" s="2"/>
      <c r="AO499" s="1"/>
      <c r="AP499" s="1"/>
      <c r="AQ499" s="1"/>
      <c r="AR499" s="2"/>
      <c r="AS499" s="1"/>
      <c r="AT499" s="2"/>
      <c r="AU499" s="4"/>
      <c r="AV499" s="4"/>
      <c r="AW499" s="4"/>
      <c r="AX499" s="3"/>
      <c r="AY499" s="4"/>
      <c r="AZ499" s="1"/>
      <c r="BA499" s="1"/>
      <c r="BB499" s="1"/>
      <c r="BC499" s="4"/>
      <c r="BD499" s="1"/>
      <c r="BE499" s="4"/>
      <c r="BF499" s="2"/>
      <c r="BG499" s="4"/>
      <c r="BH499" s="1"/>
      <c r="BI499" s="1"/>
    </row>
    <row r="500" spans="1:61" ht="15" customHeight="1" x14ac:dyDescent="0.25">
      <c r="A500" s="2"/>
      <c r="B500" s="1"/>
      <c r="E500" s="1"/>
      <c r="F500" s="1"/>
      <c r="G500" s="1"/>
      <c r="H500" s="1"/>
      <c r="J500" s="2"/>
      <c r="K500" s="3"/>
      <c r="L500" s="1"/>
      <c r="N500" s="3"/>
      <c r="P500" s="1"/>
      <c r="Q500" s="2"/>
      <c r="R500" s="3"/>
      <c r="S500" s="4"/>
      <c r="T500" s="3"/>
      <c r="U500" s="1"/>
      <c r="V500" s="1"/>
      <c r="W500" s="3"/>
      <c r="X500" s="1"/>
      <c r="Y500" s="4"/>
      <c r="Z500" s="4"/>
      <c r="AA500" s="1"/>
      <c r="AB500" s="1"/>
      <c r="AC500" s="1"/>
      <c r="AD500" s="2"/>
      <c r="AE500" s="1"/>
      <c r="AF500" s="1"/>
      <c r="AG500" s="1"/>
      <c r="AH500" s="3"/>
      <c r="AI500" s="1"/>
      <c r="AJ500" s="1"/>
      <c r="AK500" s="1"/>
      <c r="AL500" s="1"/>
      <c r="AM500" s="1"/>
      <c r="AN500" s="2"/>
      <c r="AO500" s="1"/>
      <c r="AP500" s="1"/>
      <c r="AQ500" s="1"/>
      <c r="AR500" s="2"/>
      <c r="AS500" s="1"/>
      <c r="AT500" s="2"/>
      <c r="AU500" s="4"/>
      <c r="AV500" s="4"/>
      <c r="AW500" s="4"/>
      <c r="AX500" s="3"/>
      <c r="AY500" s="4"/>
      <c r="AZ500" s="1"/>
      <c r="BA500" s="1"/>
      <c r="BB500" s="1"/>
      <c r="BC500" s="4"/>
      <c r="BD500" s="1"/>
      <c r="BE500" s="4"/>
      <c r="BF500" s="2"/>
      <c r="BG500" s="4"/>
      <c r="BH500" s="1"/>
      <c r="BI500" s="1"/>
    </row>
    <row r="501" spans="1:61" ht="15" customHeight="1" x14ac:dyDescent="0.25">
      <c r="A501" s="2"/>
      <c r="B501" s="1"/>
      <c r="E501" s="1"/>
      <c r="F501" s="1"/>
      <c r="G501" s="1"/>
      <c r="H501" s="1"/>
      <c r="J501" s="2"/>
      <c r="K501" s="3"/>
      <c r="L501" s="1"/>
      <c r="N501" s="3"/>
      <c r="P501" s="1"/>
      <c r="Q501" s="2"/>
      <c r="R501" s="3"/>
      <c r="S501" s="4"/>
      <c r="T501" s="3"/>
      <c r="U501" s="1"/>
      <c r="V501" s="1"/>
      <c r="W501" s="3"/>
      <c r="X501" s="1"/>
      <c r="Y501" s="4"/>
      <c r="Z501" s="4"/>
      <c r="AA501" s="1"/>
      <c r="AB501" s="1"/>
      <c r="AC501" s="1"/>
      <c r="AD501" s="2"/>
      <c r="AE501" s="1"/>
      <c r="AF501" s="1"/>
      <c r="AG501" s="1"/>
      <c r="AH501" s="3"/>
      <c r="AI501" s="1"/>
      <c r="AJ501" s="1"/>
      <c r="AK501" s="1"/>
      <c r="AL501" s="1"/>
      <c r="AM501" s="1"/>
      <c r="AN501" s="2"/>
      <c r="AO501" s="1"/>
      <c r="AP501" s="1"/>
      <c r="AQ501" s="1"/>
      <c r="AR501" s="2"/>
      <c r="AS501" s="1"/>
      <c r="AT501" s="2"/>
      <c r="AU501" s="4"/>
      <c r="AV501" s="7"/>
      <c r="AW501" s="4"/>
      <c r="AX501" s="3"/>
      <c r="AY501" s="4"/>
      <c r="AZ501" s="1"/>
      <c r="BA501" s="1"/>
      <c r="BB501" s="1"/>
      <c r="BC501" s="4"/>
      <c r="BD501" s="1"/>
      <c r="BE501" s="4"/>
      <c r="BF501" s="2"/>
      <c r="BG501" s="4"/>
      <c r="BH501" s="1"/>
      <c r="BI501" s="1"/>
    </row>
    <row r="502" spans="1:61" ht="15" customHeight="1" x14ac:dyDescent="0.25">
      <c r="A502" s="2"/>
      <c r="B502" s="1"/>
      <c r="E502" s="1"/>
      <c r="F502" s="1"/>
      <c r="G502" s="1"/>
      <c r="H502" s="1"/>
      <c r="J502" s="2"/>
      <c r="K502" s="3"/>
      <c r="L502" s="1"/>
      <c r="N502" s="3"/>
      <c r="P502" s="1"/>
      <c r="Q502" s="2"/>
      <c r="R502" s="3"/>
      <c r="S502" s="4"/>
      <c r="T502" s="3"/>
      <c r="U502" s="1"/>
      <c r="V502" s="1"/>
      <c r="W502" s="3"/>
      <c r="X502" s="1"/>
      <c r="Y502" s="4"/>
      <c r="Z502" s="4"/>
      <c r="AA502" s="1"/>
      <c r="AB502" s="1"/>
      <c r="AC502" s="1"/>
      <c r="AD502" s="2"/>
      <c r="AE502" s="1"/>
      <c r="AF502" s="1"/>
      <c r="AG502" s="1"/>
      <c r="AH502" s="3"/>
      <c r="AI502" s="1"/>
      <c r="AJ502" s="1"/>
      <c r="AK502" s="1"/>
      <c r="AL502" s="1"/>
      <c r="AM502" s="1"/>
      <c r="AN502" s="2"/>
      <c r="AO502" s="1"/>
      <c r="AP502" s="1"/>
      <c r="AQ502" s="1"/>
      <c r="AR502" s="2"/>
      <c r="AS502" s="1"/>
      <c r="AT502" s="2"/>
      <c r="AU502" s="4"/>
      <c r="AV502" s="7"/>
      <c r="AW502" s="4"/>
      <c r="AX502" s="3"/>
      <c r="AY502" s="4"/>
      <c r="AZ502" s="1"/>
      <c r="BA502" s="1"/>
      <c r="BB502" s="1"/>
      <c r="BC502" s="4"/>
      <c r="BD502" s="1"/>
      <c r="BE502" s="4"/>
      <c r="BF502" s="2"/>
      <c r="BG502" s="4"/>
      <c r="BH502" s="1"/>
      <c r="BI502" s="1"/>
    </row>
    <row r="503" spans="1:61" ht="15" customHeight="1" x14ac:dyDescent="0.25">
      <c r="A503" s="2"/>
      <c r="B503" s="1"/>
      <c r="E503" s="1"/>
      <c r="F503" s="1"/>
      <c r="G503" s="1"/>
      <c r="H503" s="1"/>
      <c r="J503" s="2"/>
      <c r="K503" s="3"/>
      <c r="L503" s="1"/>
      <c r="N503" s="3"/>
      <c r="P503" s="1"/>
      <c r="Q503" s="2"/>
      <c r="R503" s="3"/>
      <c r="S503" s="4"/>
      <c r="T503" s="3"/>
      <c r="U503" s="1"/>
      <c r="V503" s="1"/>
      <c r="W503" s="3"/>
      <c r="X503" s="1"/>
      <c r="Y503" s="4"/>
      <c r="Z503" s="4"/>
      <c r="AA503" s="1"/>
      <c r="AB503" s="1"/>
      <c r="AC503" s="1"/>
      <c r="AD503" s="2"/>
      <c r="AE503" s="1"/>
      <c r="AF503" s="1"/>
      <c r="AG503" s="1"/>
      <c r="AH503" s="3"/>
      <c r="AI503" s="1"/>
      <c r="AJ503" s="1"/>
      <c r="AK503" s="1"/>
      <c r="AL503" s="1"/>
      <c r="AM503" s="1"/>
      <c r="AN503" s="2"/>
      <c r="AO503" s="1"/>
      <c r="AP503" s="1"/>
      <c r="AQ503" s="1"/>
      <c r="AR503" s="2"/>
      <c r="AS503" s="1"/>
      <c r="AT503" s="2"/>
      <c r="AU503" s="4"/>
      <c r="AV503" s="7"/>
      <c r="AW503" s="4"/>
      <c r="AX503" s="3"/>
      <c r="AY503" s="4"/>
      <c r="AZ503" s="1"/>
      <c r="BA503" s="1"/>
      <c r="BB503" s="1"/>
      <c r="BC503" s="4"/>
      <c r="BD503" s="1"/>
      <c r="BE503" s="4"/>
      <c r="BF503" s="2"/>
      <c r="BG503" s="4"/>
      <c r="BH503" s="1"/>
      <c r="BI503" s="1"/>
    </row>
    <row r="504" spans="1:61" ht="15" customHeight="1" x14ac:dyDescent="0.25">
      <c r="A504" s="2"/>
      <c r="B504" s="1"/>
      <c r="E504" s="1"/>
      <c r="F504" s="1"/>
      <c r="G504" s="1"/>
      <c r="H504" s="1"/>
      <c r="J504" s="2"/>
      <c r="K504" s="3"/>
      <c r="L504" s="1"/>
      <c r="N504" s="3"/>
      <c r="P504" s="1"/>
      <c r="Q504" s="2"/>
      <c r="R504" s="3"/>
      <c r="S504" s="4"/>
      <c r="T504" s="3"/>
      <c r="U504" s="1"/>
      <c r="V504" s="1"/>
      <c r="W504" s="3"/>
      <c r="X504" s="1"/>
      <c r="Y504" s="4"/>
      <c r="Z504" s="4"/>
      <c r="AA504" s="1"/>
      <c r="AB504" s="1"/>
      <c r="AC504" s="1"/>
      <c r="AD504" s="2"/>
      <c r="AE504" s="1"/>
      <c r="AF504" s="1"/>
      <c r="AG504" s="1"/>
      <c r="AH504" s="3"/>
      <c r="AI504" s="1"/>
      <c r="AJ504" s="1"/>
      <c r="AK504" s="1"/>
      <c r="AL504" s="1"/>
      <c r="AM504" s="1"/>
      <c r="AN504" s="2"/>
      <c r="AO504" s="1"/>
      <c r="AP504" s="1"/>
      <c r="AQ504" s="1"/>
      <c r="AR504" s="2"/>
      <c r="AS504" s="1"/>
      <c r="AT504" s="2"/>
      <c r="AU504" s="4"/>
      <c r="AV504" s="7"/>
      <c r="AW504" s="4"/>
      <c r="AX504" s="3"/>
      <c r="AY504" s="4"/>
      <c r="AZ504" s="1"/>
      <c r="BA504" s="1"/>
      <c r="BB504" s="1"/>
      <c r="BC504" s="4"/>
      <c r="BD504" s="1"/>
      <c r="BE504" s="4"/>
      <c r="BF504" s="2"/>
      <c r="BG504" s="4"/>
      <c r="BH504" s="1"/>
      <c r="BI504" s="1"/>
    </row>
    <row r="505" spans="1:61" ht="15" customHeight="1" x14ac:dyDescent="0.25">
      <c r="A505" s="2"/>
      <c r="B505" s="1"/>
      <c r="E505" s="1"/>
      <c r="F505" s="1"/>
      <c r="G505" s="1"/>
      <c r="H505" s="1"/>
      <c r="J505" s="2"/>
      <c r="K505" s="3"/>
      <c r="L505" s="1"/>
      <c r="N505" s="3"/>
      <c r="P505" s="1"/>
      <c r="Q505" s="2"/>
      <c r="R505" s="3"/>
      <c r="S505" s="4"/>
      <c r="T505" s="3"/>
      <c r="U505" s="1"/>
      <c r="V505" s="1"/>
      <c r="W505" s="3"/>
      <c r="X505" s="1"/>
      <c r="Y505" s="4"/>
      <c r="Z505" s="4"/>
      <c r="AA505" s="1"/>
      <c r="AB505" s="1"/>
      <c r="AC505" s="1"/>
      <c r="AD505" s="2"/>
      <c r="AE505" s="1"/>
      <c r="AF505" s="1"/>
      <c r="AG505" s="1"/>
      <c r="AH505" s="3"/>
      <c r="AI505" s="1"/>
      <c r="AJ505" s="1"/>
      <c r="AK505" s="1"/>
      <c r="AL505" s="1"/>
      <c r="AM505" s="1"/>
      <c r="AN505" s="2"/>
      <c r="AO505" s="1"/>
      <c r="AP505" s="1"/>
      <c r="AQ505" s="1"/>
      <c r="AR505" s="2"/>
      <c r="AS505" s="1"/>
      <c r="AT505" s="2"/>
      <c r="AU505" s="4"/>
      <c r="AV505" s="7"/>
      <c r="AW505" s="4"/>
      <c r="AX505" s="3"/>
      <c r="AY505" s="4"/>
      <c r="AZ505" s="1"/>
      <c r="BA505" s="1"/>
      <c r="BB505" s="1"/>
      <c r="BC505" s="4"/>
      <c r="BD505" s="1"/>
      <c r="BE505" s="4"/>
      <c r="BF505" s="2"/>
      <c r="BG505" s="4"/>
      <c r="BH505" s="1"/>
      <c r="BI505" s="1"/>
    </row>
    <row r="506" spans="1:61" ht="15" customHeight="1" x14ac:dyDescent="0.25">
      <c r="A506" s="2"/>
      <c r="B506" s="1"/>
      <c r="E506" s="1"/>
      <c r="F506" s="1"/>
      <c r="G506" s="1"/>
      <c r="H506" s="1"/>
      <c r="J506" s="2"/>
      <c r="K506" s="3"/>
      <c r="L506" s="1"/>
      <c r="N506" s="3"/>
      <c r="P506" s="1"/>
      <c r="Q506" s="2"/>
      <c r="R506" s="3"/>
      <c r="S506" s="4"/>
      <c r="T506" s="3"/>
      <c r="U506" s="1"/>
      <c r="V506" s="1"/>
      <c r="W506" s="3"/>
      <c r="X506" s="1"/>
      <c r="Y506" s="4"/>
      <c r="Z506" s="4"/>
      <c r="AA506" s="1"/>
      <c r="AB506" s="1"/>
      <c r="AC506" s="1"/>
      <c r="AD506" s="2"/>
      <c r="AE506" s="1"/>
      <c r="AF506" s="1"/>
      <c r="AG506" s="1"/>
      <c r="AH506" s="3"/>
      <c r="AI506" s="1"/>
      <c r="AJ506" s="1"/>
      <c r="AK506" s="1"/>
      <c r="AL506" s="1"/>
      <c r="AM506" s="1"/>
      <c r="AN506" s="2"/>
      <c r="AO506" s="1"/>
      <c r="AP506" s="1"/>
      <c r="AQ506" s="1"/>
      <c r="AR506" s="2"/>
      <c r="AS506" s="1"/>
      <c r="AT506" s="2"/>
      <c r="AU506" s="4"/>
      <c r="AV506" s="7"/>
      <c r="AW506" s="4"/>
      <c r="AX506" s="3"/>
      <c r="AY506" s="4"/>
      <c r="AZ506" s="1"/>
      <c r="BA506" s="1"/>
      <c r="BB506" s="1"/>
      <c r="BC506" s="4"/>
      <c r="BD506" s="1"/>
      <c r="BE506" s="4"/>
      <c r="BF506" s="2"/>
      <c r="BG506" s="4"/>
      <c r="BH506" s="1"/>
      <c r="BI506" s="1"/>
    </row>
    <row r="507" spans="1:61" ht="15" customHeight="1" x14ac:dyDescent="0.25">
      <c r="A507" s="2"/>
      <c r="B507" s="1"/>
      <c r="E507" s="1"/>
      <c r="F507" s="1"/>
      <c r="G507" s="1"/>
      <c r="H507" s="1"/>
      <c r="J507" s="2"/>
      <c r="K507" s="3"/>
      <c r="L507" s="1"/>
      <c r="N507" s="3"/>
      <c r="P507" s="1"/>
      <c r="Q507" s="2"/>
      <c r="R507" s="3"/>
      <c r="S507" s="4"/>
      <c r="T507" s="3"/>
      <c r="U507" s="1"/>
      <c r="V507" s="1"/>
      <c r="W507" s="3"/>
      <c r="X507" s="1"/>
      <c r="Y507" s="4"/>
      <c r="Z507" s="4"/>
      <c r="AA507" s="1"/>
      <c r="AB507" s="1"/>
      <c r="AC507" s="1"/>
      <c r="AD507" s="2"/>
      <c r="AE507" s="1"/>
      <c r="AF507" s="1"/>
      <c r="AG507" s="1"/>
      <c r="AH507" s="3"/>
      <c r="AI507" s="1"/>
      <c r="AJ507" s="1"/>
      <c r="AK507" s="1"/>
      <c r="AL507" s="1"/>
      <c r="AM507" s="1"/>
      <c r="AN507" s="2"/>
      <c r="AO507" s="1"/>
      <c r="AP507" s="1"/>
      <c r="AQ507" s="1"/>
      <c r="AR507" s="2"/>
      <c r="AS507" s="1"/>
      <c r="AT507" s="2"/>
      <c r="AU507" s="4"/>
      <c r="AV507" s="7"/>
      <c r="AW507" s="4"/>
      <c r="AX507" s="3"/>
      <c r="AY507" s="4"/>
      <c r="AZ507" s="1"/>
      <c r="BA507" s="1"/>
      <c r="BB507" s="1"/>
      <c r="BC507" s="4"/>
      <c r="BD507" s="1"/>
      <c r="BE507" s="4"/>
      <c r="BF507" s="2"/>
      <c r="BG507" s="4"/>
      <c r="BH507" s="1"/>
      <c r="BI507" s="1"/>
    </row>
    <row r="508" spans="1:61" ht="15" customHeight="1" x14ac:dyDescent="0.25">
      <c r="A508" s="2"/>
      <c r="B508" s="1"/>
      <c r="E508" s="1"/>
      <c r="F508" s="1"/>
      <c r="G508" s="1"/>
      <c r="H508" s="1"/>
      <c r="J508" s="2"/>
      <c r="K508" s="3"/>
      <c r="L508" s="1"/>
      <c r="N508" s="3"/>
      <c r="P508" s="1"/>
      <c r="Q508" s="2"/>
      <c r="R508" s="3"/>
      <c r="S508" s="4"/>
      <c r="T508" s="3"/>
      <c r="U508" s="1"/>
      <c r="V508" s="1"/>
      <c r="W508" s="3"/>
      <c r="X508" s="1"/>
      <c r="Y508" s="4"/>
      <c r="Z508" s="4"/>
      <c r="AA508" s="1"/>
      <c r="AB508" s="1"/>
      <c r="AC508" s="1"/>
      <c r="AD508" s="2"/>
      <c r="AE508" s="1"/>
      <c r="AF508" s="1"/>
      <c r="AG508" s="1"/>
      <c r="AH508" s="3"/>
      <c r="AI508" s="1"/>
      <c r="AJ508" s="1"/>
      <c r="AK508" s="1"/>
      <c r="AL508" s="1"/>
      <c r="AM508" s="1"/>
      <c r="AN508" s="2"/>
      <c r="AO508" s="1"/>
      <c r="AP508" s="1"/>
      <c r="AQ508" s="1"/>
      <c r="AR508" s="2"/>
      <c r="AS508" s="1"/>
      <c r="AT508" s="2"/>
      <c r="AU508" s="4"/>
      <c r="AV508" s="7"/>
      <c r="AW508" s="4"/>
      <c r="AX508" s="3"/>
      <c r="AY508" s="4"/>
      <c r="AZ508" s="1"/>
      <c r="BA508" s="1"/>
      <c r="BB508" s="1"/>
      <c r="BC508" s="4"/>
      <c r="BD508" s="1"/>
      <c r="BE508" s="4"/>
      <c r="BF508" s="2"/>
      <c r="BG508" s="4"/>
      <c r="BH508" s="1"/>
      <c r="BI508" s="1"/>
    </row>
    <row r="509" spans="1:61" ht="15" customHeight="1" x14ac:dyDescent="0.25">
      <c r="A509" s="2"/>
      <c r="B509" s="1"/>
      <c r="E509" s="1"/>
      <c r="F509" s="1"/>
      <c r="G509" s="1"/>
      <c r="H509" s="1"/>
      <c r="J509" s="2"/>
      <c r="K509" s="3"/>
      <c r="L509" s="1"/>
      <c r="N509" s="3"/>
      <c r="P509" s="1"/>
      <c r="Q509" s="2"/>
      <c r="R509" s="3"/>
      <c r="S509" s="4"/>
      <c r="T509" s="3"/>
      <c r="U509" s="1"/>
      <c r="V509" s="1"/>
      <c r="W509" s="3"/>
      <c r="X509" s="1"/>
      <c r="Y509" s="4"/>
      <c r="Z509" s="4"/>
      <c r="AA509" s="1"/>
      <c r="AB509" s="1"/>
      <c r="AC509" s="1"/>
      <c r="AD509" s="2"/>
      <c r="AE509" s="1"/>
      <c r="AF509" s="1"/>
      <c r="AG509" s="1"/>
      <c r="AH509" s="3"/>
      <c r="AI509" s="1"/>
      <c r="AJ509" s="1"/>
      <c r="AK509" s="1"/>
      <c r="AL509" s="1"/>
      <c r="AM509" s="1"/>
      <c r="AN509" s="2"/>
      <c r="AO509" s="1"/>
      <c r="AP509" s="1"/>
      <c r="AQ509" s="1"/>
      <c r="AR509" s="2"/>
      <c r="AS509" s="1"/>
      <c r="AT509" s="2"/>
      <c r="AU509" s="4"/>
      <c r="AV509" s="7"/>
      <c r="AW509" s="4"/>
      <c r="AX509" s="3"/>
      <c r="AY509" s="4"/>
      <c r="AZ509" s="1"/>
      <c r="BA509" s="1"/>
      <c r="BB509" s="1"/>
      <c r="BC509" s="4"/>
      <c r="BD509" s="1"/>
      <c r="BE509" s="4"/>
      <c r="BF509" s="2"/>
      <c r="BG509" s="4"/>
      <c r="BH509" s="1"/>
      <c r="BI509" s="1"/>
    </row>
    <row r="510" spans="1:61" ht="15" customHeight="1" x14ac:dyDescent="0.25">
      <c r="A510" s="2"/>
      <c r="B510" s="1"/>
      <c r="E510" s="1"/>
      <c r="F510" s="1"/>
      <c r="G510" s="1"/>
      <c r="H510" s="1"/>
      <c r="J510" s="2"/>
      <c r="K510" s="3"/>
      <c r="L510" s="1"/>
      <c r="N510" s="3"/>
      <c r="P510" s="1"/>
      <c r="Q510" s="2"/>
      <c r="R510" s="3"/>
      <c r="S510" s="4"/>
      <c r="T510" s="3"/>
      <c r="U510" s="1"/>
      <c r="V510" s="1"/>
      <c r="W510" s="3"/>
      <c r="X510" s="1"/>
      <c r="Y510" s="4"/>
      <c r="Z510" s="4"/>
      <c r="AA510" s="1"/>
      <c r="AB510" s="1"/>
      <c r="AC510" s="1"/>
      <c r="AD510" s="2"/>
      <c r="AE510" s="1"/>
      <c r="AF510" s="1"/>
      <c r="AG510" s="1"/>
      <c r="AH510" s="3"/>
      <c r="AI510" s="1"/>
      <c r="AJ510" s="1"/>
      <c r="AK510" s="1"/>
      <c r="AL510" s="1"/>
      <c r="AM510" s="1"/>
      <c r="AN510" s="2"/>
      <c r="AO510" s="1"/>
      <c r="AP510" s="1"/>
      <c r="AQ510" s="1"/>
      <c r="AR510" s="2"/>
      <c r="AS510" s="1"/>
      <c r="AT510" s="2"/>
      <c r="AU510" s="4"/>
      <c r="AV510" s="7"/>
      <c r="AW510" s="4"/>
      <c r="AX510" s="3"/>
      <c r="AY510" s="4"/>
      <c r="AZ510" s="1"/>
      <c r="BA510" s="1"/>
      <c r="BB510" s="1"/>
      <c r="BC510" s="4"/>
      <c r="BD510" s="1"/>
      <c r="BE510" s="4"/>
      <c r="BF510" s="2"/>
      <c r="BG510" s="4"/>
      <c r="BH510" s="1"/>
      <c r="BI510" s="1"/>
    </row>
    <row r="511" spans="1:61" ht="15" customHeight="1" x14ac:dyDescent="0.25">
      <c r="A511" s="2"/>
      <c r="B511" s="1"/>
      <c r="E511" s="1"/>
      <c r="F511" s="1"/>
      <c r="G511" s="1"/>
      <c r="H511" s="1"/>
      <c r="J511" s="2"/>
      <c r="K511" s="3"/>
      <c r="L511" s="1"/>
      <c r="N511" s="3"/>
      <c r="P511" s="1"/>
      <c r="Q511" s="2"/>
      <c r="R511" s="3"/>
      <c r="S511" s="4"/>
      <c r="T511" s="3"/>
      <c r="U511" s="1"/>
      <c r="V511" s="1"/>
      <c r="W511" s="3"/>
      <c r="X511" s="1"/>
      <c r="Y511" s="4"/>
      <c r="Z511" s="4"/>
      <c r="AA511" s="1"/>
      <c r="AB511" s="1"/>
      <c r="AC511" s="1"/>
      <c r="AD511" s="2"/>
      <c r="AE511" s="1"/>
      <c r="AF511" s="1"/>
      <c r="AG511" s="1"/>
      <c r="AH511" s="3"/>
      <c r="AI511" s="1"/>
      <c r="AJ511" s="1"/>
      <c r="AK511" s="1"/>
      <c r="AL511" s="1"/>
      <c r="AM511" s="1"/>
      <c r="AN511" s="2"/>
      <c r="AO511" s="1"/>
      <c r="AP511" s="1"/>
      <c r="AQ511" s="1"/>
      <c r="AR511" s="2"/>
      <c r="AS511" s="1"/>
      <c r="AT511" s="2"/>
      <c r="AU511" s="4"/>
      <c r="AV511" s="7"/>
      <c r="AW511" s="4"/>
      <c r="AX511" s="3"/>
      <c r="AY511" s="4"/>
      <c r="AZ511" s="1"/>
      <c r="BA511" s="1"/>
      <c r="BB511" s="1"/>
      <c r="BC511" s="4"/>
      <c r="BD511" s="1"/>
      <c r="BE511" s="4"/>
      <c r="BF511" s="2"/>
      <c r="BG511" s="4"/>
      <c r="BH511" s="1"/>
      <c r="BI511" s="1"/>
    </row>
    <row r="512" spans="1:61" ht="15" customHeight="1" x14ac:dyDescent="0.25">
      <c r="A512" s="2"/>
      <c r="B512" s="1"/>
      <c r="E512" s="1"/>
      <c r="F512" s="1"/>
      <c r="G512" s="1"/>
      <c r="H512" s="1"/>
      <c r="J512" s="2"/>
      <c r="K512" s="3"/>
      <c r="L512" s="1"/>
      <c r="N512" s="3"/>
      <c r="P512" s="1"/>
      <c r="Q512" s="2"/>
      <c r="R512" s="3"/>
      <c r="S512" s="4"/>
      <c r="T512" s="3"/>
      <c r="U512" s="1"/>
      <c r="V512" s="1"/>
      <c r="W512" s="3"/>
      <c r="X512" s="1"/>
      <c r="Y512" s="4"/>
      <c r="Z512" s="4"/>
      <c r="AA512" s="1"/>
      <c r="AB512" s="1"/>
      <c r="AC512" s="1"/>
      <c r="AD512" s="2"/>
      <c r="AE512" s="1"/>
      <c r="AF512" s="1"/>
      <c r="AG512" s="1"/>
      <c r="AH512" s="3"/>
      <c r="AI512" s="1"/>
      <c r="AJ512" s="1"/>
      <c r="AK512" s="1"/>
      <c r="AL512" s="1"/>
      <c r="AM512" s="1"/>
      <c r="AN512" s="2"/>
      <c r="AO512" s="1"/>
      <c r="AP512" s="1"/>
      <c r="AQ512" s="1"/>
      <c r="AR512" s="2"/>
      <c r="AS512" s="1"/>
      <c r="AT512" s="2"/>
      <c r="AU512" s="4"/>
      <c r="AV512" s="7"/>
      <c r="AW512" s="4"/>
      <c r="AX512" s="3"/>
      <c r="AY512" s="4"/>
      <c r="AZ512" s="1"/>
      <c r="BA512" s="1"/>
      <c r="BB512" s="1"/>
      <c r="BC512" s="4"/>
      <c r="BD512" s="1"/>
      <c r="BE512" s="4"/>
      <c r="BF512" s="2"/>
      <c r="BG512" s="4"/>
      <c r="BH512" s="1"/>
      <c r="BI512" s="1"/>
    </row>
    <row r="513" spans="1:61" ht="15" customHeight="1" x14ac:dyDescent="0.25">
      <c r="A513" s="2"/>
      <c r="B513" s="1"/>
      <c r="E513" s="1"/>
      <c r="F513" s="1"/>
      <c r="G513" s="1"/>
      <c r="H513" s="1"/>
      <c r="J513" s="2"/>
      <c r="K513" s="3"/>
      <c r="L513" s="1"/>
      <c r="N513" s="3"/>
      <c r="P513" s="1"/>
      <c r="Q513" s="2"/>
      <c r="R513" s="3"/>
      <c r="S513" s="4"/>
      <c r="T513" s="3"/>
      <c r="U513" s="1"/>
      <c r="V513" s="1"/>
      <c r="W513" s="3"/>
      <c r="X513" s="1"/>
      <c r="Y513" s="4"/>
      <c r="Z513" s="4"/>
      <c r="AA513" s="1"/>
      <c r="AB513" s="1"/>
      <c r="AC513" s="1"/>
      <c r="AD513" s="2"/>
      <c r="AE513" s="1"/>
      <c r="AF513" s="1"/>
      <c r="AG513" s="1"/>
      <c r="AH513" s="3"/>
      <c r="AI513" s="1"/>
      <c r="AJ513" s="1"/>
      <c r="AK513" s="1"/>
      <c r="AL513" s="1"/>
      <c r="AM513" s="1"/>
      <c r="AN513" s="2"/>
      <c r="AO513" s="1"/>
      <c r="AP513" s="1"/>
      <c r="AQ513" s="1"/>
      <c r="AR513" s="2"/>
      <c r="AS513" s="1"/>
      <c r="AT513" s="2"/>
      <c r="AU513" s="4"/>
      <c r="AV513" s="7"/>
      <c r="AW513" s="4"/>
      <c r="AX513" s="3"/>
      <c r="AY513" s="4"/>
      <c r="AZ513" s="1"/>
      <c r="BA513" s="1"/>
      <c r="BB513" s="1"/>
      <c r="BC513" s="4"/>
      <c r="BD513" s="1"/>
      <c r="BE513" s="4"/>
      <c r="BF513" s="2"/>
      <c r="BG513" s="4"/>
      <c r="BH513" s="1"/>
      <c r="BI513" s="1"/>
    </row>
    <row r="514" spans="1:61" ht="15" customHeight="1" x14ac:dyDescent="0.25">
      <c r="A514" s="2"/>
      <c r="B514" s="1"/>
      <c r="E514" s="1"/>
      <c r="F514" s="1"/>
      <c r="G514" s="1"/>
      <c r="H514" s="1"/>
      <c r="J514" s="2"/>
      <c r="K514" s="3"/>
      <c r="L514" s="1"/>
      <c r="N514" s="3"/>
      <c r="P514" s="1"/>
      <c r="Q514" s="2"/>
      <c r="R514" s="3"/>
      <c r="S514" s="4"/>
      <c r="T514" s="3"/>
      <c r="U514" s="1"/>
      <c r="V514" s="1"/>
      <c r="W514" s="3"/>
      <c r="X514" s="1"/>
      <c r="Y514" s="4"/>
      <c r="Z514" s="4"/>
      <c r="AA514" s="1"/>
      <c r="AB514" s="1"/>
      <c r="AC514" s="1"/>
      <c r="AD514" s="2"/>
      <c r="AE514" s="1"/>
      <c r="AF514" s="1"/>
      <c r="AG514" s="1"/>
      <c r="AH514" s="3"/>
      <c r="AI514" s="1"/>
      <c r="AJ514" s="1"/>
      <c r="AK514" s="1"/>
      <c r="AL514" s="1"/>
      <c r="AM514" s="1"/>
      <c r="AN514" s="2"/>
      <c r="AO514" s="1"/>
      <c r="AP514" s="1"/>
      <c r="AQ514" s="1"/>
      <c r="AR514" s="2"/>
      <c r="AS514" s="1"/>
      <c r="AT514" s="2"/>
      <c r="AU514" s="4"/>
      <c r="AV514" s="7"/>
      <c r="AW514" s="4"/>
      <c r="AX514" s="3"/>
      <c r="AY514" s="4"/>
      <c r="AZ514" s="1"/>
      <c r="BA514" s="1"/>
      <c r="BB514" s="1"/>
      <c r="BC514" s="4"/>
      <c r="BD514" s="1"/>
      <c r="BE514" s="4"/>
      <c r="BF514" s="2"/>
      <c r="BG514" s="4"/>
      <c r="BH514" s="1"/>
      <c r="BI514" s="1"/>
    </row>
    <row r="515" spans="1:61" ht="15" customHeight="1" x14ac:dyDescent="0.25">
      <c r="A515" s="2"/>
      <c r="B515" s="1"/>
      <c r="E515" s="1"/>
      <c r="F515" s="1"/>
      <c r="G515" s="1"/>
      <c r="H515" s="1"/>
      <c r="J515" s="2"/>
      <c r="K515" s="3"/>
      <c r="L515" s="1"/>
      <c r="N515" s="3"/>
      <c r="P515" s="1"/>
      <c r="Q515" s="2"/>
      <c r="R515" s="3"/>
      <c r="S515" s="4"/>
      <c r="T515" s="3"/>
      <c r="U515" s="1"/>
      <c r="V515" s="1"/>
      <c r="W515" s="3"/>
      <c r="X515" s="1"/>
      <c r="Y515" s="4"/>
      <c r="Z515" s="4"/>
      <c r="AA515" s="1"/>
      <c r="AB515" s="1"/>
      <c r="AC515" s="1"/>
      <c r="AD515" s="2"/>
      <c r="AE515" s="1"/>
      <c r="AF515" s="1"/>
      <c r="AG515" s="1"/>
      <c r="AH515" s="3"/>
      <c r="AI515" s="1"/>
      <c r="AJ515" s="1"/>
      <c r="AK515" s="1"/>
      <c r="AL515" s="1"/>
      <c r="AM515" s="1"/>
      <c r="AN515" s="2"/>
      <c r="AO515" s="1"/>
      <c r="AP515" s="1"/>
      <c r="AQ515" s="1"/>
      <c r="AR515" s="2"/>
      <c r="AS515" s="1"/>
      <c r="AT515" s="2"/>
      <c r="AU515" s="4"/>
      <c r="AV515" s="7"/>
      <c r="AW515" s="4"/>
      <c r="AX515" s="3"/>
      <c r="AY515" s="4"/>
      <c r="AZ515" s="1"/>
      <c r="BA515" s="1"/>
      <c r="BB515" s="1"/>
      <c r="BC515" s="4"/>
      <c r="BD515" s="1"/>
      <c r="BE515" s="4"/>
      <c r="BF515" s="2"/>
      <c r="BG515" s="4"/>
      <c r="BH515" s="1"/>
      <c r="BI515" s="1"/>
    </row>
    <row r="516" spans="1:61" ht="15" customHeight="1" x14ac:dyDescent="0.25">
      <c r="A516" s="2"/>
      <c r="B516" s="1"/>
      <c r="E516" s="1"/>
      <c r="F516" s="1"/>
      <c r="G516" s="1"/>
      <c r="H516" s="1"/>
      <c r="J516" s="2"/>
      <c r="K516" s="3"/>
      <c r="L516" s="1"/>
      <c r="N516" s="3"/>
      <c r="P516" s="1"/>
      <c r="Q516" s="2"/>
      <c r="R516" s="3"/>
      <c r="S516" s="4"/>
      <c r="T516" s="3"/>
      <c r="U516" s="1"/>
      <c r="V516" s="1"/>
      <c r="W516" s="3"/>
      <c r="X516" s="1"/>
      <c r="Y516" s="4"/>
      <c r="Z516" s="4"/>
      <c r="AA516" s="1"/>
      <c r="AB516" s="1"/>
      <c r="AC516" s="1"/>
      <c r="AD516" s="2"/>
      <c r="AE516" s="1"/>
      <c r="AF516" s="1"/>
      <c r="AG516" s="1"/>
      <c r="AH516" s="3"/>
      <c r="AI516" s="1"/>
      <c r="AJ516" s="1"/>
      <c r="AK516" s="1"/>
      <c r="AL516" s="1"/>
      <c r="AM516" s="1"/>
      <c r="AN516" s="2"/>
      <c r="AO516" s="1"/>
      <c r="AP516" s="1"/>
      <c r="AQ516" s="1"/>
      <c r="AR516" s="2"/>
      <c r="AS516" s="1"/>
      <c r="AT516" s="2"/>
      <c r="AU516" s="4"/>
      <c r="AV516" s="7"/>
      <c r="AW516" s="4"/>
      <c r="AX516" s="3"/>
      <c r="AY516" s="4"/>
      <c r="AZ516" s="1"/>
      <c r="BA516" s="1"/>
      <c r="BB516" s="1"/>
      <c r="BC516" s="4"/>
      <c r="BD516" s="1"/>
      <c r="BE516" s="4"/>
      <c r="BF516" s="2"/>
      <c r="BG516" s="4"/>
      <c r="BH516" s="1"/>
      <c r="BI516" s="1"/>
    </row>
    <row r="517" spans="1:61" ht="15" customHeight="1" x14ac:dyDescent="0.25">
      <c r="A517" s="2"/>
      <c r="B517" s="1"/>
      <c r="E517" s="1"/>
      <c r="F517" s="1"/>
      <c r="G517" s="1"/>
      <c r="H517" s="1"/>
      <c r="J517" s="2"/>
      <c r="K517" s="3"/>
      <c r="L517" s="1"/>
      <c r="N517" s="3"/>
      <c r="P517" s="1"/>
      <c r="Q517" s="2"/>
      <c r="R517" s="3"/>
      <c r="S517" s="4"/>
      <c r="T517" s="3"/>
      <c r="U517" s="1"/>
      <c r="V517" s="1"/>
      <c r="W517" s="3"/>
      <c r="X517" s="1"/>
      <c r="Y517" s="4"/>
      <c r="Z517" s="4"/>
      <c r="AA517" s="1"/>
      <c r="AB517" s="1"/>
      <c r="AC517" s="1"/>
      <c r="AD517" s="2"/>
      <c r="AE517" s="1"/>
      <c r="AF517" s="1"/>
      <c r="AG517" s="1"/>
      <c r="AH517" s="3"/>
      <c r="AI517" s="1"/>
      <c r="AJ517" s="1"/>
      <c r="AK517" s="1"/>
      <c r="AL517" s="1"/>
      <c r="AM517" s="1"/>
      <c r="AN517" s="2"/>
      <c r="AO517" s="1"/>
      <c r="AP517" s="1"/>
      <c r="AQ517" s="1"/>
      <c r="AR517" s="2"/>
      <c r="AS517" s="1"/>
      <c r="AT517" s="2"/>
      <c r="AU517" s="4"/>
      <c r="AV517" s="7"/>
      <c r="AW517" s="4"/>
      <c r="AX517" s="3"/>
      <c r="AY517" s="4"/>
      <c r="AZ517" s="1"/>
      <c r="BA517" s="1"/>
      <c r="BB517" s="1"/>
      <c r="BC517" s="4"/>
      <c r="BD517" s="1"/>
      <c r="BE517" s="4"/>
      <c r="BF517" s="2"/>
      <c r="BG517" s="4"/>
      <c r="BH517" s="1"/>
      <c r="BI517" s="1"/>
    </row>
    <row r="518" spans="1:61" ht="15" customHeight="1" x14ac:dyDescent="0.25">
      <c r="A518" s="2"/>
      <c r="B518" s="1"/>
      <c r="E518" s="1"/>
      <c r="F518" s="1"/>
      <c r="G518" s="1"/>
      <c r="H518" s="1"/>
      <c r="J518" s="2"/>
      <c r="K518" s="3"/>
      <c r="L518" s="1"/>
      <c r="N518" s="3"/>
      <c r="P518" s="1"/>
      <c r="Q518" s="2"/>
      <c r="R518" s="3"/>
      <c r="S518" s="4"/>
      <c r="T518" s="3"/>
      <c r="U518" s="1"/>
      <c r="V518" s="1"/>
      <c r="W518" s="3"/>
      <c r="X518" s="1"/>
      <c r="Y518" s="4"/>
      <c r="Z518" s="4"/>
      <c r="AA518" s="1"/>
      <c r="AB518" s="1"/>
      <c r="AC518" s="1"/>
      <c r="AD518" s="2"/>
      <c r="AE518" s="1"/>
      <c r="AF518" s="1"/>
      <c r="AG518" s="1"/>
      <c r="AH518" s="3"/>
      <c r="AI518" s="1"/>
      <c r="AJ518" s="1"/>
      <c r="AK518" s="1"/>
      <c r="AL518" s="1"/>
      <c r="AM518" s="1"/>
      <c r="AN518" s="2"/>
      <c r="AO518" s="1"/>
      <c r="AP518" s="1"/>
      <c r="AQ518" s="1"/>
      <c r="AR518" s="2"/>
      <c r="AS518" s="1"/>
      <c r="AT518" s="2"/>
      <c r="AU518" s="4"/>
      <c r="AV518" s="7"/>
      <c r="AW518" s="4"/>
      <c r="AX518" s="3"/>
      <c r="AY518" s="4"/>
      <c r="AZ518" s="1"/>
      <c r="BA518" s="1"/>
      <c r="BB518" s="1"/>
      <c r="BC518" s="4"/>
      <c r="BD518" s="1"/>
      <c r="BE518" s="4"/>
      <c r="BF518" s="2"/>
      <c r="BG518" s="4"/>
      <c r="BH518" s="1"/>
      <c r="BI518" s="1"/>
    </row>
    <row r="519" spans="1:61" ht="15" customHeight="1" x14ac:dyDescent="0.25">
      <c r="A519" s="2"/>
      <c r="B519" s="1"/>
      <c r="E519" s="1"/>
      <c r="F519" s="1"/>
      <c r="G519" s="1"/>
      <c r="H519" s="1"/>
      <c r="J519" s="2"/>
      <c r="K519" s="3"/>
      <c r="L519" s="1"/>
      <c r="N519" s="3"/>
      <c r="P519" s="1"/>
      <c r="Q519" s="2"/>
      <c r="R519" s="3"/>
      <c r="S519" s="4"/>
      <c r="T519" s="3"/>
      <c r="U519" s="1"/>
      <c r="V519" s="1"/>
      <c r="W519" s="3"/>
      <c r="X519" s="1"/>
      <c r="Y519" s="4"/>
      <c r="Z519" s="4"/>
      <c r="AA519" s="1"/>
      <c r="AB519" s="1"/>
      <c r="AC519" s="1"/>
      <c r="AD519" s="2"/>
      <c r="AE519" s="1"/>
      <c r="AF519" s="1"/>
      <c r="AG519" s="1"/>
      <c r="AH519" s="3"/>
      <c r="AI519" s="1"/>
      <c r="AJ519" s="1"/>
      <c r="AK519" s="1"/>
      <c r="AL519" s="1"/>
      <c r="AM519" s="1"/>
      <c r="AN519" s="2"/>
      <c r="AO519" s="1"/>
      <c r="AP519" s="1"/>
      <c r="AQ519" s="1"/>
      <c r="AR519" s="2"/>
      <c r="AS519" s="1"/>
      <c r="AT519" s="2"/>
      <c r="AU519" s="4"/>
      <c r="AV519" s="7"/>
      <c r="AW519" s="4"/>
      <c r="AX519" s="3"/>
      <c r="AY519" s="4"/>
      <c r="AZ519" s="1"/>
      <c r="BA519" s="1"/>
      <c r="BB519" s="1"/>
      <c r="BC519" s="4"/>
      <c r="BD519" s="1"/>
      <c r="BE519" s="4"/>
      <c r="BF519" s="2"/>
      <c r="BG519" s="4"/>
      <c r="BH519" s="1"/>
      <c r="BI519" s="1"/>
    </row>
    <row r="520" spans="1:61" ht="15" customHeight="1" x14ac:dyDescent="0.25">
      <c r="A520" s="2"/>
      <c r="B520" s="1"/>
      <c r="E520" s="1"/>
      <c r="F520" s="1"/>
      <c r="G520" s="1"/>
      <c r="H520" s="1"/>
      <c r="J520" s="2"/>
      <c r="K520" s="3"/>
      <c r="L520" s="1"/>
      <c r="N520" s="3"/>
      <c r="P520" s="1"/>
      <c r="Q520" s="2"/>
      <c r="R520" s="3"/>
      <c r="S520" s="4"/>
      <c r="T520" s="3"/>
      <c r="U520" s="1"/>
      <c r="V520" s="1"/>
      <c r="W520" s="3"/>
      <c r="X520" s="1"/>
      <c r="Y520" s="4"/>
      <c r="Z520" s="4"/>
      <c r="AA520" s="1"/>
      <c r="AB520" s="1"/>
      <c r="AC520" s="1"/>
      <c r="AD520" s="2"/>
      <c r="AE520" s="1"/>
      <c r="AF520" s="1"/>
      <c r="AG520" s="1"/>
      <c r="AH520" s="3"/>
      <c r="AI520" s="1"/>
      <c r="AJ520" s="1"/>
      <c r="AK520" s="1"/>
      <c r="AL520" s="1"/>
      <c r="AM520" s="1"/>
      <c r="AN520" s="2"/>
      <c r="AO520" s="1"/>
      <c r="AP520" s="1"/>
      <c r="AQ520" s="1"/>
      <c r="AR520" s="2"/>
      <c r="AS520" s="1"/>
      <c r="AT520" s="2"/>
      <c r="AU520" s="4"/>
      <c r="AV520" s="7"/>
      <c r="AW520" s="4"/>
      <c r="AX520" s="3"/>
      <c r="AY520" s="4"/>
      <c r="AZ520" s="1"/>
      <c r="BA520" s="1"/>
      <c r="BB520" s="1"/>
      <c r="BC520" s="4"/>
      <c r="BD520" s="1"/>
      <c r="BE520" s="4"/>
      <c r="BF520" s="2"/>
      <c r="BG520" s="4"/>
      <c r="BH520" s="1"/>
      <c r="BI520" s="1"/>
    </row>
    <row r="521" spans="1:61" ht="15" customHeight="1" x14ac:dyDescent="0.25">
      <c r="A521" s="2"/>
      <c r="B521" s="1"/>
      <c r="E521" s="1"/>
      <c r="F521" s="1"/>
      <c r="G521" s="1"/>
      <c r="H521" s="1"/>
      <c r="J521" s="2"/>
      <c r="K521" s="3"/>
      <c r="L521" s="1"/>
      <c r="N521" s="3"/>
      <c r="P521" s="1"/>
      <c r="Q521" s="2"/>
      <c r="R521" s="3"/>
      <c r="S521" s="4"/>
      <c r="T521" s="3"/>
      <c r="U521" s="1"/>
      <c r="V521" s="1"/>
      <c r="W521" s="3"/>
      <c r="X521" s="1"/>
      <c r="Y521" s="4"/>
      <c r="Z521" s="4"/>
      <c r="AA521" s="1"/>
      <c r="AB521" s="1"/>
      <c r="AC521" s="1"/>
      <c r="AD521" s="2"/>
      <c r="AE521" s="1"/>
      <c r="AF521" s="1"/>
      <c r="AG521" s="1"/>
      <c r="AH521" s="3"/>
      <c r="AI521" s="1"/>
      <c r="AJ521" s="1"/>
      <c r="AK521" s="1"/>
      <c r="AL521" s="1"/>
      <c r="AM521" s="1"/>
      <c r="AN521" s="2"/>
      <c r="AO521" s="1"/>
      <c r="AP521" s="1"/>
      <c r="AQ521" s="1"/>
      <c r="AR521" s="2"/>
      <c r="AS521" s="1"/>
      <c r="AT521" s="2"/>
      <c r="AU521" s="4"/>
      <c r="AV521" s="7"/>
      <c r="AW521" s="4"/>
      <c r="AX521" s="3"/>
      <c r="AY521" s="4"/>
      <c r="AZ521" s="1"/>
      <c r="BA521" s="1"/>
      <c r="BB521" s="1"/>
      <c r="BC521" s="4"/>
      <c r="BD521" s="1"/>
      <c r="BE521" s="4"/>
      <c r="BF521" s="2"/>
      <c r="BG521" s="4"/>
      <c r="BH521" s="1"/>
      <c r="BI521" s="1"/>
    </row>
    <row r="522" spans="1:61" ht="15" customHeight="1" x14ac:dyDescent="0.25">
      <c r="A522" s="2"/>
      <c r="B522" s="1"/>
      <c r="E522" s="1"/>
      <c r="F522" s="1"/>
      <c r="G522" s="1"/>
      <c r="H522" s="1"/>
      <c r="J522" s="2"/>
      <c r="K522" s="3"/>
      <c r="L522" s="1"/>
      <c r="N522" s="3"/>
      <c r="P522" s="1"/>
      <c r="Q522" s="2"/>
      <c r="R522" s="3"/>
      <c r="S522" s="4"/>
      <c r="T522" s="3"/>
      <c r="U522" s="1"/>
      <c r="V522" s="1"/>
      <c r="W522" s="3"/>
      <c r="X522" s="1"/>
      <c r="Y522" s="4"/>
      <c r="Z522" s="4"/>
      <c r="AA522" s="1"/>
      <c r="AB522" s="1"/>
      <c r="AC522" s="1"/>
      <c r="AD522" s="2"/>
      <c r="AE522" s="1"/>
      <c r="AF522" s="1"/>
      <c r="AG522" s="1"/>
      <c r="AH522" s="3"/>
      <c r="AI522" s="1"/>
      <c r="AJ522" s="1"/>
      <c r="AK522" s="1"/>
      <c r="AL522" s="1"/>
      <c r="AM522" s="1"/>
      <c r="AN522" s="2"/>
      <c r="AO522" s="1"/>
      <c r="AP522" s="1"/>
      <c r="AQ522" s="1"/>
      <c r="AR522" s="2"/>
      <c r="AS522" s="1"/>
      <c r="AT522" s="2"/>
      <c r="AU522" s="4"/>
      <c r="AV522" s="7"/>
      <c r="AW522" s="4"/>
      <c r="AX522" s="3"/>
      <c r="AY522" s="4"/>
      <c r="AZ522" s="1"/>
      <c r="BA522" s="1"/>
      <c r="BB522" s="1"/>
      <c r="BC522" s="4"/>
      <c r="BD522" s="1"/>
      <c r="BE522" s="4"/>
      <c r="BF522" s="2"/>
      <c r="BG522" s="4"/>
      <c r="BH522" s="1"/>
      <c r="BI522" s="1"/>
    </row>
    <row r="523" spans="1:61" ht="15" customHeight="1" x14ac:dyDescent="0.25">
      <c r="A523" s="2"/>
      <c r="B523" s="1"/>
      <c r="E523" s="1"/>
      <c r="F523" s="1"/>
      <c r="G523" s="1"/>
      <c r="H523" s="1"/>
      <c r="J523" s="2"/>
      <c r="K523" s="3"/>
      <c r="L523" s="1"/>
      <c r="N523" s="3"/>
      <c r="P523" s="1"/>
      <c r="Q523" s="2"/>
      <c r="R523" s="3"/>
      <c r="S523" s="4"/>
      <c r="T523" s="3"/>
      <c r="U523" s="1"/>
      <c r="V523" s="1"/>
      <c r="W523" s="3"/>
      <c r="X523" s="1"/>
      <c r="Y523" s="4"/>
      <c r="Z523" s="4"/>
      <c r="AA523" s="1"/>
      <c r="AB523" s="1"/>
      <c r="AC523" s="1"/>
      <c r="AD523" s="2"/>
      <c r="AE523" s="1"/>
      <c r="AF523" s="1"/>
      <c r="AG523" s="1"/>
      <c r="AH523" s="3"/>
      <c r="AI523" s="1"/>
      <c r="AJ523" s="1"/>
      <c r="AK523" s="1"/>
      <c r="AL523" s="1"/>
      <c r="AM523" s="1"/>
      <c r="AN523" s="2"/>
      <c r="AO523" s="1"/>
      <c r="AP523" s="1"/>
      <c r="AQ523" s="1"/>
      <c r="AR523" s="2"/>
      <c r="AS523" s="1"/>
      <c r="AT523" s="2"/>
      <c r="AU523" s="4"/>
      <c r="AV523" s="4"/>
      <c r="AW523" s="4"/>
      <c r="AX523" s="3"/>
      <c r="AY523" s="4"/>
      <c r="AZ523" s="1"/>
      <c r="BA523" s="1"/>
      <c r="BB523" s="1"/>
      <c r="BC523" s="4"/>
      <c r="BD523" s="1"/>
      <c r="BE523" s="4"/>
      <c r="BF523" s="2"/>
      <c r="BG523" s="4"/>
      <c r="BH523" s="1"/>
      <c r="BI523" s="1"/>
    </row>
    <row r="524" spans="1:61" ht="15" customHeight="1" x14ac:dyDescent="0.25">
      <c r="A524" s="2"/>
      <c r="B524" s="1"/>
      <c r="E524" s="1"/>
      <c r="F524" s="1"/>
      <c r="G524" s="1"/>
      <c r="H524" s="1"/>
      <c r="J524" s="2"/>
      <c r="K524" s="3"/>
      <c r="L524" s="1"/>
      <c r="N524" s="3"/>
      <c r="P524" s="1"/>
      <c r="Q524" s="2"/>
      <c r="R524" s="3"/>
      <c r="S524" s="4"/>
      <c r="T524" s="3"/>
      <c r="U524" s="1"/>
      <c r="V524" s="1"/>
      <c r="W524" s="3"/>
      <c r="X524" s="1"/>
      <c r="Y524" s="4"/>
      <c r="Z524" s="4"/>
      <c r="AA524" s="1"/>
      <c r="AB524" s="1"/>
      <c r="AC524" s="1"/>
      <c r="AD524" s="2"/>
      <c r="AE524" s="1"/>
      <c r="AF524" s="1"/>
      <c r="AG524" s="1"/>
      <c r="AH524" s="3"/>
      <c r="AI524" s="1"/>
      <c r="AJ524" s="1"/>
      <c r="AK524" s="1"/>
      <c r="AL524" s="1"/>
      <c r="AM524" s="1"/>
      <c r="AN524" s="2"/>
      <c r="AO524" s="1"/>
      <c r="AP524" s="1"/>
      <c r="AQ524" s="1"/>
      <c r="AR524" s="2"/>
      <c r="AS524" s="1"/>
      <c r="AT524" s="2"/>
      <c r="AU524" s="4"/>
      <c r="AV524" s="4"/>
      <c r="AW524" s="4"/>
      <c r="AX524" s="3"/>
      <c r="AY524" s="4"/>
      <c r="AZ524" s="1"/>
      <c r="BA524" s="1"/>
      <c r="BB524" s="1"/>
      <c r="BC524" s="4"/>
      <c r="BD524" s="1"/>
      <c r="BE524" s="4"/>
      <c r="BF524" s="2"/>
      <c r="BG524" s="4"/>
      <c r="BH524" s="1"/>
      <c r="BI524" s="1"/>
    </row>
    <row r="525" spans="1:61" ht="15" customHeight="1" x14ac:dyDescent="0.25">
      <c r="A525" s="2"/>
      <c r="B525" s="1"/>
      <c r="E525" s="1"/>
      <c r="F525" s="1"/>
      <c r="G525" s="1"/>
      <c r="H525" s="1"/>
      <c r="J525" s="2"/>
      <c r="K525" s="3"/>
      <c r="L525" s="1"/>
      <c r="N525" s="3"/>
      <c r="P525" s="1"/>
      <c r="Q525" s="2"/>
      <c r="R525" s="3"/>
      <c r="S525" s="4"/>
      <c r="T525" s="3"/>
      <c r="U525" s="1"/>
      <c r="V525" s="1"/>
      <c r="W525" s="3"/>
      <c r="X525" s="1"/>
      <c r="Y525" s="4"/>
      <c r="Z525" s="4"/>
      <c r="AA525" s="1"/>
      <c r="AB525" s="1"/>
      <c r="AC525" s="1"/>
      <c r="AD525" s="2"/>
      <c r="AE525" s="1"/>
      <c r="AF525" s="1"/>
      <c r="AG525" s="1"/>
      <c r="AH525" s="3"/>
      <c r="AI525" s="1"/>
      <c r="AJ525" s="1"/>
      <c r="AK525" s="1"/>
      <c r="AL525" s="1"/>
      <c r="AM525" s="1"/>
      <c r="AN525" s="2"/>
      <c r="AO525" s="1"/>
      <c r="AP525" s="1"/>
      <c r="AQ525" s="1"/>
      <c r="AR525" s="2"/>
      <c r="AS525" s="1"/>
      <c r="AT525" s="2"/>
      <c r="AU525" s="4"/>
      <c r="AV525" s="7"/>
      <c r="AW525" s="4"/>
      <c r="AX525" s="3"/>
      <c r="AY525" s="4"/>
      <c r="AZ525" s="1"/>
      <c r="BA525" s="1"/>
      <c r="BB525" s="1"/>
      <c r="BC525" s="4"/>
      <c r="BD525" s="1"/>
      <c r="BE525" s="4"/>
      <c r="BF525" s="2"/>
      <c r="BG525" s="4"/>
      <c r="BH525" s="1"/>
      <c r="BI525" s="1"/>
    </row>
    <row r="526" spans="1:61" ht="15" customHeight="1" x14ac:dyDescent="0.25">
      <c r="A526" s="2"/>
      <c r="B526" s="1"/>
      <c r="E526" s="1"/>
      <c r="F526" s="1"/>
      <c r="G526" s="1"/>
      <c r="H526" s="1"/>
      <c r="J526" s="2"/>
      <c r="K526" s="3"/>
      <c r="L526" s="1"/>
      <c r="N526" s="3"/>
      <c r="P526" s="1"/>
      <c r="Q526" s="2"/>
      <c r="R526" s="3"/>
      <c r="S526" s="4"/>
      <c r="T526" s="3"/>
      <c r="U526" s="1"/>
      <c r="V526" s="1"/>
      <c r="W526" s="3"/>
      <c r="X526" s="1"/>
      <c r="Y526" s="4"/>
      <c r="Z526" s="4"/>
      <c r="AA526" s="1"/>
      <c r="AB526" s="1"/>
      <c r="AC526" s="1"/>
      <c r="AD526" s="2"/>
      <c r="AE526" s="1"/>
      <c r="AF526" s="1"/>
      <c r="AG526" s="1"/>
      <c r="AH526" s="3"/>
      <c r="AI526" s="1"/>
      <c r="AJ526" s="1"/>
      <c r="AK526" s="1"/>
      <c r="AL526" s="1"/>
      <c r="AM526" s="1"/>
      <c r="AN526" s="2"/>
      <c r="AO526" s="1"/>
      <c r="AP526" s="1"/>
      <c r="AQ526" s="1"/>
      <c r="AR526" s="2"/>
      <c r="AS526" s="1"/>
      <c r="AT526" s="2"/>
      <c r="AU526" s="4"/>
      <c r="AV526" s="7"/>
      <c r="AW526" s="4"/>
      <c r="AX526" s="3"/>
      <c r="AY526" s="4"/>
      <c r="AZ526" s="1"/>
      <c r="BA526" s="1"/>
      <c r="BB526" s="1"/>
      <c r="BC526" s="4"/>
      <c r="BD526" s="1"/>
      <c r="BE526" s="4"/>
      <c r="BF526" s="2"/>
      <c r="BG526" s="4"/>
      <c r="BH526" s="1"/>
      <c r="BI526" s="1"/>
    </row>
    <row r="527" spans="1:61" ht="15" customHeight="1" x14ac:dyDescent="0.25">
      <c r="A527" s="2"/>
      <c r="B527" s="1"/>
      <c r="E527" s="1"/>
      <c r="F527" s="1"/>
      <c r="G527" s="1"/>
      <c r="H527" s="1"/>
      <c r="J527" s="2"/>
      <c r="K527" s="3"/>
      <c r="L527" s="1"/>
      <c r="N527" s="3"/>
      <c r="P527" s="1"/>
      <c r="Q527" s="2"/>
      <c r="R527" s="3"/>
      <c r="S527" s="4"/>
      <c r="T527" s="3"/>
      <c r="U527" s="1"/>
      <c r="V527" s="1"/>
      <c r="W527" s="3"/>
      <c r="X527" s="1"/>
      <c r="Y527" s="4"/>
      <c r="Z527" s="4"/>
      <c r="AA527" s="1"/>
      <c r="AB527" s="1"/>
      <c r="AC527" s="1"/>
      <c r="AD527" s="2"/>
      <c r="AE527" s="1"/>
      <c r="AF527" s="1"/>
      <c r="AG527" s="1"/>
      <c r="AH527" s="3"/>
      <c r="AI527" s="1"/>
      <c r="AJ527" s="1"/>
      <c r="AK527" s="1"/>
      <c r="AL527" s="1"/>
      <c r="AM527" s="1"/>
      <c r="AN527" s="2"/>
      <c r="AO527" s="1"/>
      <c r="AP527" s="1"/>
      <c r="AQ527" s="1"/>
      <c r="AR527" s="2"/>
      <c r="AS527" s="1"/>
      <c r="AT527" s="2"/>
      <c r="AU527" s="4"/>
      <c r="AV527" s="7"/>
      <c r="AW527" s="4"/>
      <c r="AX527" s="3"/>
      <c r="AY527" s="4"/>
      <c r="AZ527" s="1"/>
      <c r="BA527" s="1"/>
      <c r="BB527" s="1"/>
      <c r="BC527" s="4"/>
      <c r="BD527" s="1"/>
      <c r="BE527" s="4"/>
      <c r="BF527" s="2"/>
      <c r="BG527" s="4"/>
      <c r="BH527" s="1"/>
      <c r="BI527" s="1"/>
    </row>
    <row r="528" spans="1:61" ht="15" customHeight="1" x14ac:dyDescent="0.25">
      <c r="A528" s="2"/>
      <c r="B528" s="1"/>
      <c r="E528" s="1"/>
      <c r="F528" s="1"/>
      <c r="G528" s="1"/>
      <c r="H528" s="1"/>
      <c r="J528" s="2"/>
      <c r="K528" s="3"/>
      <c r="L528" s="1"/>
      <c r="N528" s="3"/>
      <c r="P528" s="1"/>
      <c r="Q528" s="2"/>
      <c r="R528" s="3"/>
      <c r="S528" s="4"/>
      <c r="T528" s="3"/>
      <c r="U528" s="1"/>
      <c r="V528" s="1"/>
      <c r="W528" s="3"/>
      <c r="X528" s="1"/>
      <c r="Y528" s="4"/>
      <c r="Z528" s="4"/>
      <c r="AA528" s="1"/>
      <c r="AB528" s="1"/>
      <c r="AC528" s="1"/>
      <c r="AD528" s="2"/>
      <c r="AE528" s="1"/>
      <c r="AF528" s="1"/>
      <c r="AG528" s="1"/>
      <c r="AH528" s="3"/>
      <c r="AI528" s="1"/>
      <c r="AJ528" s="1"/>
      <c r="AK528" s="1"/>
      <c r="AL528" s="1"/>
      <c r="AM528" s="1"/>
      <c r="AN528" s="2"/>
      <c r="AO528" s="1"/>
      <c r="AP528" s="1"/>
      <c r="AQ528" s="1"/>
      <c r="AR528" s="2"/>
      <c r="AS528" s="1"/>
      <c r="AT528" s="2"/>
      <c r="AU528" s="4"/>
      <c r="AV528" s="7"/>
      <c r="AW528" s="4"/>
      <c r="AX528" s="3"/>
      <c r="AY528" s="4"/>
      <c r="AZ528" s="1"/>
      <c r="BA528" s="1"/>
      <c r="BB528" s="1"/>
      <c r="BC528" s="4"/>
      <c r="BD528" s="1"/>
      <c r="BE528" s="4"/>
      <c r="BF528" s="2"/>
      <c r="BG528" s="4"/>
      <c r="BH528" s="1"/>
      <c r="BI528" s="1"/>
    </row>
    <row r="529" spans="1:61" ht="15" customHeight="1" x14ac:dyDescent="0.25">
      <c r="A529" s="2"/>
      <c r="B529" s="1"/>
      <c r="E529" s="1"/>
      <c r="F529" s="1"/>
      <c r="G529" s="1"/>
      <c r="H529" s="1"/>
      <c r="J529" s="2"/>
      <c r="K529" s="3"/>
      <c r="L529" s="1"/>
      <c r="N529" s="3"/>
      <c r="P529" s="1"/>
      <c r="Q529" s="2"/>
      <c r="R529" s="3"/>
      <c r="S529" s="4"/>
      <c r="T529" s="3"/>
      <c r="U529" s="1"/>
      <c r="V529" s="1"/>
      <c r="W529" s="3"/>
      <c r="X529" s="1"/>
      <c r="Y529" s="4"/>
      <c r="Z529" s="4"/>
      <c r="AA529" s="1"/>
      <c r="AB529" s="1"/>
      <c r="AC529" s="1"/>
      <c r="AD529" s="2"/>
      <c r="AE529" s="1"/>
      <c r="AF529" s="1"/>
      <c r="AG529" s="1"/>
      <c r="AH529" s="3"/>
      <c r="AI529" s="1"/>
      <c r="AJ529" s="1"/>
      <c r="AK529" s="1"/>
      <c r="AL529" s="1"/>
      <c r="AM529" s="1"/>
      <c r="AN529" s="2"/>
      <c r="AO529" s="1"/>
      <c r="AP529" s="1"/>
      <c r="AQ529" s="1"/>
      <c r="AR529" s="2"/>
      <c r="AS529" s="1"/>
      <c r="AT529" s="2"/>
      <c r="AU529" s="4"/>
      <c r="AV529" s="7"/>
      <c r="AW529" s="4"/>
      <c r="AX529" s="3"/>
      <c r="AY529" s="4"/>
      <c r="AZ529" s="1"/>
      <c r="BA529" s="1"/>
      <c r="BB529" s="1"/>
      <c r="BC529" s="4"/>
      <c r="BD529" s="1"/>
      <c r="BE529" s="4"/>
      <c r="BF529" s="2"/>
      <c r="BG529" s="4"/>
      <c r="BH529" s="1"/>
      <c r="BI529" s="1"/>
    </row>
    <row r="530" spans="1:61" ht="15" customHeight="1" x14ac:dyDescent="0.25">
      <c r="A530" s="2"/>
      <c r="B530" s="1"/>
      <c r="E530" s="1"/>
      <c r="F530" s="1"/>
      <c r="G530" s="1"/>
      <c r="H530" s="1"/>
      <c r="J530" s="2"/>
      <c r="K530" s="3"/>
      <c r="L530" s="1"/>
      <c r="N530" s="3"/>
      <c r="P530" s="1"/>
      <c r="Q530" s="2"/>
      <c r="R530" s="3"/>
      <c r="S530" s="4"/>
      <c r="T530" s="3"/>
      <c r="U530" s="1"/>
      <c r="V530" s="1"/>
      <c r="W530" s="3"/>
      <c r="X530" s="1"/>
      <c r="Y530" s="4"/>
      <c r="Z530" s="4"/>
      <c r="AA530" s="1"/>
      <c r="AB530" s="1"/>
      <c r="AC530" s="1"/>
      <c r="AD530" s="2"/>
      <c r="AE530" s="1"/>
      <c r="AF530" s="1"/>
      <c r="AG530" s="1"/>
      <c r="AH530" s="3"/>
      <c r="AI530" s="1"/>
      <c r="AJ530" s="1"/>
      <c r="AK530" s="1"/>
      <c r="AL530" s="1"/>
      <c r="AM530" s="1"/>
      <c r="AN530" s="2"/>
      <c r="AO530" s="1"/>
      <c r="AP530" s="1"/>
      <c r="AQ530" s="1"/>
      <c r="AR530" s="2"/>
      <c r="AS530" s="1"/>
      <c r="AT530" s="2"/>
      <c r="AU530" s="4"/>
      <c r="AV530" s="7"/>
      <c r="AW530" s="4"/>
      <c r="AX530" s="3"/>
      <c r="AY530" s="4"/>
      <c r="AZ530" s="1"/>
      <c r="BA530" s="1"/>
      <c r="BB530" s="1"/>
      <c r="BC530" s="4"/>
      <c r="BD530" s="1"/>
      <c r="BE530" s="4"/>
      <c r="BF530" s="2"/>
      <c r="BG530" s="4"/>
      <c r="BH530" s="1"/>
      <c r="BI530" s="1"/>
    </row>
    <row r="531" spans="1:61" ht="15" customHeight="1" x14ac:dyDescent="0.25">
      <c r="A531" s="2"/>
      <c r="B531" s="1"/>
      <c r="E531" s="1"/>
      <c r="F531" s="1"/>
      <c r="G531" s="1"/>
      <c r="H531" s="1"/>
      <c r="J531" s="2"/>
      <c r="K531" s="3"/>
      <c r="L531" s="1"/>
      <c r="N531" s="3"/>
      <c r="P531" s="1"/>
      <c r="Q531" s="2"/>
      <c r="R531" s="3"/>
      <c r="S531" s="4"/>
      <c r="T531" s="3"/>
      <c r="U531" s="1"/>
      <c r="V531" s="1"/>
      <c r="W531" s="3"/>
      <c r="X531" s="1"/>
      <c r="Y531" s="4"/>
      <c r="Z531" s="4"/>
      <c r="AA531" s="1"/>
      <c r="AB531" s="1"/>
      <c r="AC531" s="1"/>
      <c r="AD531" s="2"/>
      <c r="AE531" s="1"/>
      <c r="AF531" s="1"/>
      <c r="AG531" s="1"/>
      <c r="AH531" s="3"/>
      <c r="AI531" s="1"/>
      <c r="AJ531" s="1"/>
      <c r="AK531" s="1"/>
      <c r="AL531" s="1"/>
      <c r="AM531" s="1"/>
      <c r="AN531" s="2"/>
      <c r="AO531" s="1"/>
      <c r="AP531" s="1"/>
      <c r="AQ531" s="1"/>
      <c r="AR531" s="2"/>
      <c r="AS531" s="1"/>
      <c r="AT531" s="2"/>
      <c r="AU531" s="4"/>
      <c r="AV531" s="7"/>
      <c r="AW531" s="4"/>
      <c r="AX531" s="3"/>
      <c r="AY531" s="4"/>
      <c r="AZ531" s="1"/>
      <c r="BA531" s="1"/>
      <c r="BB531" s="1"/>
      <c r="BC531" s="4"/>
      <c r="BD531" s="1"/>
      <c r="BE531" s="4"/>
      <c r="BF531" s="2"/>
      <c r="BG531" s="4"/>
      <c r="BH531" s="1"/>
      <c r="BI531" s="1"/>
    </row>
    <row r="532" spans="1:61" ht="15" customHeight="1" x14ac:dyDescent="0.25">
      <c r="A532" s="2"/>
      <c r="B532" s="1"/>
      <c r="E532" s="1"/>
      <c r="F532" s="1"/>
      <c r="G532" s="1"/>
      <c r="H532" s="1"/>
      <c r="J532" s="2"/>
      <c r="K532" s="3"/>
      <c r="L532" s="1"/>
      <c r="N532" s="3"/>
      <c r="P532" s="1"/>
      <c r="Q532" s="2"/>
      <c r="R532" s="3"/>
      <c r="S532" s="4"/>
      <c r="T532" s="3"/>
      <c r="U532" s="1"/>
      <c r="V532" s="1"/>
      <c r="W532" s="3"/>
      <c r="X532" s="1"/>
      <c r="Y532" s="4"/>
      <c r="Z532" s="4"/>
      <c r="AA532" s="1"/>
      <c r="AB532" s="1"/>
      <c r="AC532" s="1"/>
      <c r="AD532" s="2"/>
      <c r="AE532" s="1"/>
      <c r="AF532" s="1"/>
      <c r="AG532" s="1"/>
      <c r="AH532" s="3"/>
      <c r="AI532" s="1"/>
      <c r="AJ532" s="1"/>
      <c r="AK532" s="1"/>
      <c r="AL532" s="1"/>
      <c r="AM532" s="1"/>
      <c r="AN532" s="2"/>
      <c r="AO532" s="1"/>
      <c r="AP532" s="1"/>
      <c r="AQ532" s="1"/>
      <c r="AR532" s="2"/>
      <c r="AS532" s="1"/>
      <c r="AT532" s="2"/>
      <c r="AU532" s="4"/>
      <c r="AV532" s="7"/>
      <c r="AW532" s="4"/>
      <c r="AX532" s="3"/>
      <c r="AY532" s="4"/>
      <c r="AZ532" s="1"/>
      <c r="BA532" s="1"/>
      <c r="BB532" s="1"/>
      <c r="BC532" s="4"/>
      <c r="BD532" s="1"/>
      <c r="BE532" s="4"/>
      <c r="BF532" s="2"/>
      <c r="BG532" s="4"/>
      <c r="BH532" s="1"/>
      <c r="BI532" s="1"/>
    </row>
    <row r="533" spans="1:61" ht="15" customHeight="1" x14ac:dyDescent="0.25">
      <c r="A533" s="2"/>
      <c r="B533" s="1"/>
      <c r="E533" s="1"/>
      <c r="F533" s="1"/>
      <c r="G533" s="1"/>
      <c r="H533" s="1"/>
      <c r="J533" s="2"/>
      <c r="K533" s="3"/>
      <c r="L533" s="1"/>
      <c r="N533" s="3"/>
      <c r="P533" s="1"/>
      <c r="Q533" s="2"/>
      <c r="R533" s="3"/>
      <c r="S533" s="4"/>
      <c r="T533" s="3"/>
      <c r="U533" s="1"/>
      <c r="V533" s="1"/>
      <c r="W533" s="3"/>
      <c r="X533" s="1"/>
      <c r="Y533" s="4"/>
      <c r="Z533" s="4"/>
      <c r="AA533" s="1"/>
      <c r="AB533" s="1"/>
      <c r="AC533" s="1"/>
      <c r="AD533" s="2"/>
      <c r="AE533" s="1"/>
      <c r="AF533" s="1"/>
      <c r="AG533" s="1"/>
      <c r="AH533" s="3"/>
      <c r="AI533" s="1"/>
      <c r="AJ533" s="1"/>
      <c r="AK533" s="1"/>
      <c r="AL533" s="1"/>
      <c r="AM533" s="1"/>
      <c r="AN533" s="2"/>
      <c r="AO533" s="1"/>
      <c r="AP533" s="1"/>
      <c r="AQ533" s="1"/>
      <c r="AR533" s="2"/>
      <c r="AS533" s="1"/>
      <c r="AT533" s="2"/>
      <c r="AU533" s="4"/>
      <c r="AV533" s="7"/>
      <c r="AW533" s="4"/>
      <c r="AX533" s="3"/>
      <c r="AY533" s="4"/>
      <c r="AZ533" s="1"/>
      <c r="BA533" s="1"/>
      <c r="BB533" s="1"/>
      <c r="BC533" s="4"/>
      <c r="BD533" s="1"/>
      <c r="BE533" s="4"/>
      <c r="BF533" s="2"/>
      <c r="BG533" s="4"/>
      <c r="BH533" s="1"/>
      <c r="BI533" s="1"/>
    </row>
    <row r="534" spans="1:61" ht="15" customHeight="1" x14ac:dyDescent="0.25">
      <c r="A534" s="2"/>
      <c r="B534" s="1"/>
      <c r="E534" s="1"/>
      <c r="F534" s="1"/>
      <c r="G534" s="1"/>
      <c r="H534" s="1"/>
      <c r="J534" s="2"/>
      <c r="K534" s="3"/>
      <c r="L534" s="1"/>
      <c r="N534" s="3"/>
      <c r="P534" s="1"/>
      <c r="Q534" s="2"/>
      <c r="R534" s="3"/>
      <c r="S534" s="4"/>
      <c r="T534" s="3"/>
      <c r="U534" s="1"/>
      <c r="V534" s="1"/>
      <c r="W534" s="3"/>
      <c r="X534" s="1"/>
      <c r="Y534" s="4"/>
      <c r="Z534" s="4"/>
      <c r="AA534" s="1"/>
      <c r="AB534" s="1"/>
      <c r="AC534" s="1"/>
      <c r="AD534" s="2"/>
      <c r="AE534" s="1"/>
      <c r="AF534" s="1"/>
      <c r="AG534" s="1"/>
      <c r="AH534" s="3"/>
      <c r="AI534" s="1"/>
      <c r="AJ534" s="1"/>
      <c r="AK534" s="1"/>
      <c r="AL534" s="1"/>
      <c r="AM534" s="1"/>
      <c r="AN534" s="2"/>
      <c r="AO534" s="1"/>
      <c r="AP534" s="1"/>
      <c r="AQ534" s="1"/>
      <c r="AR534" s="2"/>
      <c r="AS534" s="1"/>
      <c r="AT534" s="2"/>
      <c r="AU534" s="4"/>
      <c r="AV534" s="7"/>
      <c r="AW534" s="4"/>
      <c r="AX534" s="3"/>
      <c r="AY534" s="4"/>
      <c r="AZ534" s="1"/>
      <c r="BA534" s="1"/>
      <c r="BB534" s="1"/>
      <c r="BC534" s="4"/>
      <c r="BD534" s="1"/>
      <c r="BE534" s="4"/>
      <c r="BF534" s="2"/>
      <c r="BG534" s="4"/>
      <c r="BH534" s="1"/>
      <c r="BI534" s="1"/>
    </row>
    <row r="535" spans="1:61" ht="15" customHeight="1" x14ac:dyDescent="0.25">
      <c r="A535" s="2"/>
      <c r="B535" s="1"/>
      <c r="E535" s="1"/>
      <c r="F535" s="1"/>
      <c r="G535" s="1"/>
      <c r="H535" s="1"/>
      <c r="J535" s="2"/>
      <c r="K535" s="3"/>
      <c r="L535" s="1"/>
      <c r="N535" s="3"/>
      <c r="P535" s="1"/>
      <c r="Q535" s="2"/>
      <c r="R535" s="3"/>
      <c r="S535" s="4"/>
      <c r="T535" s="3"/>
      <c r="U535" s="1"/>
      <c r="V535" s="1"/>
      <c r="W535" s="3"/>
      <c r="X535" s="1"/>
      <c r="Y535" s="4"/>
      <c r="Z535" s="4"/>
      <c r="AA535" s="1"/>
      <c r="AB535" s="1"/>
      <c r="AC535" s="1"/>
      <c r="AD535" s="2"/>
      <c r="AE535" s="1"/>
      <c r="AF535" s="1"/>
      <c r="AG535" s="1"/>
      <c r="AH535" s="3"/>
      <c r="AI535" s="1"/>
      <c r="AJ535" s="1"/>
      <c r="AK535" s="1"/>
      <c r="AL535" s="1"/>
      <c r="AM535" s="1"/>
      <c r="AN535" s="2"/>
      <c r="AO535" s="1"/>
      <c r="AP535" s="1"/>
      <c r="AQ535" s="1"/>
      <c r="AR535" s="2"/>
      <c r="AS535" s="1"/>
      <c r="AT535" s="2"/>
      <c r="AU535" s="4"/>
      <c r="AV535" s="7"/>
      <c r="AW535" s="4"/>
      <c r="AX535" s="3"/>
      <c r="AY535" s="4"/>
      <c r="AZ535" s="1"/>
      <c r="BA535" s="1"/>
      <c r="BB535" s="1"/>
      <c r="BC535" s="4"/>
      <c r="BD535" s="1"/>
      <c r="BE535" s="4"/>
      <c r="BF535" s="2"/>
      <c r="BG535" s="4"/>
      <c r="BH535" s="1"/>
      <c r="BI535" s="1"/>
    </row>
    <row r="536" spans="1:61" ht="15" customHeight="1" x14ac:dyDescent="0.25">
      <c r="A536" s="2"/>
      <c r="B536" s="1"/>
      <c r="E536" s="1"/>
      <c r="F536" s="1"/>
      <c r="G536" s="1"/>
      <c r="H536" s="1"/>
      <c r="J536" s="2"/>
      <c r="K536" s="3"/>
      <c r="L536" s="1"/>
      <c r="N536" s="3"/>
      <c r="P536" s="1"/>
      <c r="Q536" s="2"/>
      <c r="R536" s="3"/>
      <c r="S536" s="4"/>
      <c r="T536" s="3"/>
      <c r="U536" s="1"/>
      <c r="V536" s="1"/>
      <c r="W536" s="3"/>
      <c r="X536" s="1"/>
      <c r="Y536" s="4"/>
      <c r="Z536" s="4"/>
      <c r="AA536" s="1"/>
      <c r="AB536" s="1"/>
      <c r="AC536" s="1"/>
      <c r="AD536" s="2"/>
      <c r="AE536" s="1"/>
      <c r="AF536" s="1"/>
      <c r="AG536" s="1"/>
      <c r="AH536" s="3"/>
      <c r="AI536" s="1"/>
      <c r="AJ536" s="1"/>
      <c r="AK536" s="1"/>
      <c r="AL536" s="1"/>
      <c r="AM536" s="1"/>
      <c r="AN536" s="2"/>
      <c r="AO536" s="1"/>
      <c r="AP536" s="1"/>
      <c r="AQ536" s="1"/>
      <c r="AR536" s="2"/>
      <c r="AS536" s="1"/>
      <c r="AT536" s="2"/>
      <c r="AU536" s="4"/>
      <c r="AV536" s="7"/>
      <c r="AW536" s="4"/>
      <c r="AX536" s="3"/>
      <c r="AY536" s="4"/>
      <c r="AZ536" s="1"/>
      <c r="BA536" s="1"/>
      <c r="BB536" s="1"/>
      <c r="BC536" s="4"/>
      <c r="BD536" s="1"/>
      <c r="BE536" s="4"/>
      <c r="BF536" s="2"/>
      <c r="BG536" s="4"/>
      <c r="BH536" s="1"/>
      <c r="BI536" s="1"/>
    </row>
    <row r="537" spans="1:61" ht="15" customHeight="1" x14ac:dyDescent="0.25">
      <c r="BE537" s="4"/>
      <c r="BF537" s="2"/>
      <c r="BG537" s="4"/>
      <c r="BH537" s="1"/>
      <c r="BI537" s="1"/>
    </row>
    <row r="538" spans="1:61" ht="15" customHeight="1" x14ac:dyDescent="0.25">
      <c r="BE538" s="4"/>
      <c r="BF538" s="2"/>
      <c r="BG538" s="4"/>
      <c r="BH538" s="1"/>
      <c r="BI538" s="1"/>
    </row>
    <row r="539" spans="1:61" ht="15" customHeight="1" x14ac:dyDescent="0.25">
      <c r="BE539" s="4"/>
      <c r="BF539" s="2"/>
      <c r="BG539" s="4"/>
      <c r="BH539" s="1"/>
      <c r="BI539" s="1"/>
    </row>
    <row r="540" spans="1:61" ht="15" customHeight="1" x14ac:dyDescent="0.25">
      <c r="BE540" s="4"/>
      <c r="BF540" s="2"/>
      <c r="BG540" s="4"/>
      <c r="BH540" s="1"/>
      <c r="BI540" s="1"/>
    </row>
    <row r="541" spans="1:61" ht="15" customHeight="1" x14ac:dyDescent="0.25">
      <c r="BE541" s="4"/>
      <c r="BF541" s="2"/>
      <c r="BG541" s="4"/>
      <c r="BH541" s="1"/>
      <c r="BI541" s="1"/>
    </row>
    <row r="542" spans="1:61" ht="15" customHeight="1" x14ac:dyDescent="0.25">
      <c r="BE542" s="4"/>
      <c r="BF542" s="2"/>
      <c r="BG542" s="4"/>
      <c r="BH542" s="1"/>
      <c r="BI542" s="1"/>
    </row>
    <row r="543" spans="1:61" ht="15" customHeight="1" x14ac:dyDescent="0.25">
      <c r="BE543" s="4"/>
      <c r="BF543" s="2"/>
      <c r="BG543" s="4"/>
      <c r="BH543" s="1"/>
      <c r="BI543" s="1"/>
    </row>
    <row r="544" spans="1:61" ht="15" customHeight="1" x14ac:dyDescent="0.25">
      <c r="BE544" s="4"/>
      <c r="BF544" s="2"/>
      <c r="BG544" s="4"/>
      <c r="BH544" s="1"/>
      <c r="BI544" s="1"/>
    </row>
    <row r="545" spans="57:61" ht="15" customHeight="1" x14ac:dyDescent="0.25">
      <c r="BE545" s="4"/>
      <c r="BF545" s="2"/>
      <c r="BG545" s="4"/>
      <c r="BH545" s="1"/>
      <c r="BI545" s="1"/>
    </row>
    <row r="546" spans="57:61" ht="15" customHeight="1" x14ac:dyDescent="0.25">
      <c r="BE546" s="4"/>
      <c r="BF546" s="2"/>
      <c r="BG546" s="4"/>
      <c r="BH546" s="1"/>
      <c r="BI546" s="1"/>
    </row>
    <row r="547" spans="57:61" ht="15" customHeight="1" x14ac:dyDescent="0.25">
      <c r="BE547" s="4"/>
      <c r="BF547" s="2"/>
      <c r="BG547" s="4"/>
      <c r="BH547" s="1"/>
      <c r="BI547" s="1"/>
    </row>
    <row r="548" spans="57:61" ht="15" customHeight="1" x14ac:dyDescent="0.25">
      <c r="BE548" s="4"/>
      <c r="BF548" s="2"/>
      <c r="BG548" s="4"/>
      <c r="BH548" s="1"/>
      <c r="BI548" s="1"/>
    </row>
    <row r="549" spans="57:61" ht="15" customHeight="1" x14ac:dyDescent="0.25">
      <c r="BE549" s="4"/>
      <c r="BF549" s="2"/>
      <c r="BG549" s="4"/>
      <c r="BH549" s="1"/>
      <c r="BI549" s="1"/>
    </row>
    <row r="550" spans="57:61" ht="15" customHeight="1" x14ac:dyDescent="0.25">
      <c r="BE550" s="4"/>
      <c r="BF550" s="2"/>
      <c r="BG550" s="4"/>
      <c r="BH550" s="1"/>
      <c r="BI550" s="1"/>
    </row>
    <row r="551" spans="57:61" ht="15" customHeight="1" x14ac:dyDescent="0.25">
      <c r="BE551" s="4"/>
      <c r="BF551" s="2"/>
      <c r="BG551" s="4"/>
      <c r="BH551" s="1"/>
      <c r="BI551" s="1"/>
    </row>
    <row r="552" spans="57:61" ht="15" customHeight="1" x14ac:dyDescent="0.25">
      <c r="BE552" s="4"/>
      <c r="BF552" s="2"/>
      <c r="BG552" s="4"/>
      <c r="BH552" s="1"/>
      <c r="BI552" s="1"/>
    </row>
    <row r="553" spans="57:61" ht="15" customHeight="1" x14ac:dyDescent="0.25">
      <c r="BE553" s="4"/>
      <c r="BF553" s="2"/>
      <c r="BG553" s="4"/>
      <c r="BH553" s="1"/>
      <c r="BI553" s="1"/>
    </row>
    <row r="554" spans="57:61" ht="15" customHeight="1" x14ac:dyDescent="0.25">
      <c r="BE554" s="4"/>
      <c r="BF554" s="2"/>
      <c r="BG554" s="4"/>
      <c r="BH554" s="1"/>
      <c r="BI554" s="1"/>
    </row>
    <row r="555" spans="57:61" ht="15" customHeight="1" x14ac:dyDescent="0.25">
      <c r="BE555" s="4"/>
      <c r="BF555" s="2"/>
      <c r="BG555" s="4"/>
      <c r="BH555" s="1"/>
      <c r="BI555" s="1"/>
    </row>
    <row r="556" spans="57:61" ht="15" customHeight="1" x14ac:dyDescent="0.25">
      <c r="BE556" s="4"/>
      <c r="BF556" s="2"/>
      <c r="BG556" s="4"/>
      <c r="BH556" s="1"/>
      <c r="BI556" s="1"/>
    </row>
    <row r="557" spans="57:61" ht="15" customHeight="1" x14ac:dyDescent="0.25">
      <c r="BE557" s="4"/>
      <c r="BF557" s="2"/>
      <c r="BG557" s="4"/>
      <c r="BH557" s="1"/>
      <c r="BI557" s="1"/>
    </row>
    <row r="558" spans="57:61" ht="15" customHeight="1" x14ac:dyDescent="0.25">
      <c r="BE558" s="4"/>
      <c r="BF558" s="2"/>
      <c r="BG558" s="4"/>
      <c r="BH558" s="1"/>
      <c r="BI558" s="1"/>
    </row>
    <row r="559" spans="57:61" ht="15" customHeight="1" x14ac:dyDescent="0.25">
      <c r="BE559" s="4"/>
      <c r="BF559" s="2"/>
      <c r="BG559" s="4"/>
      <c r="BH559" s="1"/>
      <c r="BI559" s="1"/>
    </row>
    <row r="560" spans="57:61" ht="15" customHeight="1" x14ac:dyDescent="0.25">
      <c r="BE560" s="4"/>
      <c r="BF560" s="2"/>
      <c r="BG560" s="4"/>
      <c r="BH560" s="1"/>
      <c r="BI560" s="1"/>
    </row>
    <row r="561" spans="57:61" ht="15" customHeight="1" x14ac:dyDescent="0.25">
      <c r="BE561" s="4"/>
      <c r="BF561" s="2"/>
      <c r="BG561" s="4"/>
      <c r="BH561" s="1"/>
      <c r="BI561" s="1"/>
    </row>
    <row r="562" spans="57:61" ht="15" customHeight="1" x14ac:dyDescent="0.25">
      <c r="BE562" s="4"/>
      <c r="BF562" s="2"/>
      <c r="BG562" s="4"/>
      <c r="BH562" s="1"/>
      <c r="BI562" s="1"/>
    </row>
    <row r="563" spans="57:61" ht="15" customHeight="1" x14ac:dyDescent="0.25">
      <c r="BE563" s="4"/>
      <c r="BF563" s="2"/>
      <c r="BG563" s="4"/>
      <c r="BH563" s="1"/>
      <c r="BI563" s="1"/>
    </row>
    <row r="564" spans="57:61" ht="15" customHeight="1" x14ac:dyDescent="0.25">
      <c r="BE564" s="4"/>
      <c r="BF564" s="2"/>
      <c r="BG564" s="4"/>
      <c r="BH564" s="1"/>
      <c r="BI564" s="1"/>
    </row>
    <row r="565" spans="57:61" ht="15" customHeight="1" x14ac:dyDescent="0.25">
      <c r="BE565" s="4"/>
      <c r="BF565" s="2"/>
      <c r="BG565" s="4"/>
      <c r="BH565" s="1"/>
      <c r="BI565" s="1"/>
    </row>
    <row r="566" spans="57:61" ht="15" customHeight="1" x14ac:dyDescent="0.25">
      <c r="BE566" s="4"/>
      <c r="BF566" s="2"/>
      <c r="BG566" s="4"/>
      <c r="BH566" s="1"/>
      <c r="BI566" s="1"/>
    </row>
    <row r="567" spans="57:61" ht="15" customHeight="1" x14ac:dyDescent="0.25">
      <c r="BE567" s="4"/>
      <c r="BF567" s="2"/>
      <c r="BG567" s="4"/>
      <c r="BH567" s="1"/>
      <c r="BI567" s="1"/>
    </row>
    <row r="568" spans="57:61" ht="15" customHeight="1" x14ac:dyDescent="0.25">
      <c r="BE568" s="4"/>
      <c r="BF568" s="2"/>
      <c r="BG568" s="4"/>
      <c r="BH568" s="1"/>
      <c r="BI568" s="1"/>
    </row>
    <row r="569" spans="57:61" ht="15" customHeight="1" x14ac:dyDescent="0.25">
      <c r="BE569" s="4"/>
      <c r="BF569" s="2"/>
      <c r="BG569" s="4"/>
      <c r="BH569" s="1"/>
      <c r="BI569" s="1"/>
    </row>
    <row r="570" spans="57:61" ht="15" customHeight="1" x14ac:dyDescent="0.25">
      <c r="BE570" s="4"/>
      <c r="BF570" s="2"/>
      <c r="BG570" s="4"/>
      <c r="BH570" s="1"/>
      <c r="BI570" s="1"/>
    </row>
    <row r="571" spans="57:61" ht="15" customHeight="1" x14ac:dyDescent="0.25">
      <c r="BE571" s="4"/>
      <c r="BF571" s="2"/>
      <c r="BG571" s="4"/>
      <c r="BH571" s="1"/>
      <c r="BI571" s="1"/>
    </row>
    <row r="572" spans="57:61" ht="15" customHeight="1" x14ac:dyDescent="0.25">
      <c r="BE572" s="4"/>
      <c r="BF572" s="2"/>
      <c r="BG572" s="4"/>
      <c r="BH572" s="1"/>
      <c r="BI572" s="1"/>
    </row>
    <row r="573" spans="57:61" ht="15" customHeight="1" x14ac:dyDescent="0.25">
      <c r="BE573" s="4"/>
      <c r="BF573" s="2"/>
      <c r="BG573" s="4"/>
      <c r="BH573" s="1"/>
      <c r="BI573" s="1"/>
    </row>
    <row r="574" spans="57:61" ht="15" customHeight="1" x14ac:dyDescent="0.25">
      <c r="BE574" s="4"/>
      <c r="BF574" s="2"/>
      <c r="BG574" s="4"/>
      <c r="BH574" s="1"/>
      <c r="BI574" s="1"/>
    </row>
    <row r="575" spans="57:61" ht="15" customHeight="1" x14ac:dyDescent="0.25">
      <c r="BE575" s="4"/>
      <c r="BF575" s="2"/>
      <c r="BG575" s="4"/>
      <c r="BH575" s="1"/>
      <c r="BI575" s="1"/>
    </row>
    <row r="576" spans="57:61" ht="15" customHeight="1" x14ac:dyDescent="0.25">
      <c r="BE576" s="4"/>
      <c r="BF576" s="2"/>
      <c r="BG576" s="4"/>
      <c r="BH576" s="1"/>
      <c r="BI576" s="1"/>
    </row>
    <row r="577" spans="57:61" ht="15" customHeight="1" x14ac:dyDescent="0.25">
      <c r="BE577" s="4"/>
      <c r="BF577" s="2"/>
      <c r="BG577" s="4"/>
      <c r="BH577" s="1"/>
      <c r="BI577" s="1"/>
    </row>
    <row r="578" spans="57:61" ht="15" customHeight="1" x14ac:dyDescent="0.25">
      <c r="BE578" s="4"/>
      <c r="BF578" s="2"/>
      <c r="BG578" s="4"/>
      <c r="BH578" s="1"/>
      <c r="BI578" s="1"/>
    </row>
    <row r="579" spans="57:61" ht="15" customHeight="1" x14ac:dyDescent="0.25">
      <c r="BE579" s="4"/>
      <c r="BF579" s="2"/>
      <c r="BG579" s="4"/>
      <c r="BH579" s="1"/>
      <c r="BI579" s="1"/>
    </row>
    <row r="580" spans="57:61" ht="15" customHeight="1" x14ac:dyDescent="0.25">
      <c r="BE580" s="4"/>
      <c r="BF580" s="2"/>
      <c r="BG580" s="4"/>
      <c r="BH580" s="1"/>
      <c r="BI580" s="1"/>
    </row>
    <row r="581" spans="57:61" ht="15" customHeight="1" x14ac:dyDescent="0.25">
      <c r="BE581" s="4"/>
      <c r="BF581" s="2"/>
      <c r="BG581" s="4"/>
      <c r="BH581" s="1"/>
      <c r="BI581" s="1"/>
    </row>
    <row r="582" spans="57:61" ht="15" customHeight="1" x14ac:dyDescent="0.25">
      <c r="BE582" s="4"/>
      <c r="BF582" s="2"/>
      <c r="BG582" s="4"/>
      <c r="BH582" s="1"/>
      <c r="BI582" s="1"/>
    </row>
    <row r="583" spans="57:61" ht="15" customHeight="1" x14ac:dyDescent="0.25">
      <c r="BE583" s="4"/>
      <c r="BF583" s="2"/>
      <c r="BG583" s="4"/>
      <c r="BH583" s="1"/>
      <c r="BI583" s="1"/>
    </row>
    <row r="584" spans="57:61" ht="15" customHeight="1" x14ac:dyDescent="0.25">
      <c r="BE584" s="4"/>
      <c r="BF584" s="2"/>
      <c r="BG584" s="4"/>
      <c r="BH584" s="1"/>
      <c r="BI584" s="1"/>
    </row>
    <row r="585" spans="57:61" ht="15" customHeight="1" x14ac:dyDescent="0.25">
      <c r="BE585" s="4"/>
      <c r="BF585" s="2"/>
      <c r="BG585" s="4"/>
      <c r="BH585" s="1"/>
      <c r="BI585" s="1"/>
    </row>
    <row r="586" spans="57:61" ht="15" customHeight="1" x14ac:dyDescent="0.25">
      <c r="BE586" s="4"/>
      <c r="BF586" s="2"/>
      <c r="BG586" s="4"/>
      <c r="BH586" s="1"/>
      <c r="BI586" s="1"/>
    </row>
    <row r="587" spans="57:61" ht="15" customHeight="1" x14ac:dyDescent="0.25">
      <c r="BE587" s="4"/>
      <c r="BF587" s="2"/>
      <c r="BG587" s="4"/>
      <c r="BH587" s="1"/>
      <c r="BI587" s="1"/>
    </row>
    <row r="588" spans="57:61" ht="15" customHeight="1" x14ac:dyDescent="0.25">
      <c r="BE588" s="4"/>
      <c r="BF588" s="2"/>
      <c r="BG588" s="4"/>
      <c r="BH588" s="1"/>
      <c r="BI588" s="1"/>
    </row>
    <row r="589" spans="57:61" ht="15" customHeight="1" x14ac:dyDescent="0.25">
      <c r="BE589" s="4"/>
      <c r="BF589" s="2"/>
      <c r="BG589" s="4"/>
      <c r="BH589" s="1"/>
      <c r="BI589" s="1"/>
    </row>
    <row r="590" spans="57:61" ht="15" customHeight="1" x14ac:dyDescent="0.25">
      <c r="BE590" s="4"/>
      <c r="BF590" s="2"/>
      <c r="BG590" s="4"/>
      <c r="BH590" s="1"/>
      <c r="BI590" s="1"/>
    </row>
    <row r="591" spans="57:61" ht="15" customHeight="1" x14ac:dyDescent="0.25">
      <c r="BE591" s="4"/>
      <c r="BF591" s="2"/>
      <c r="BG591" s="4"/>
      <c r="BH591" s="1"/>
      <c r="BI591" s="1"/>
    </row>
    <row r="592" spans="57:61" ht="15" customHeight="1" x14ac:dyDescent="0.25">
      <c r="BE592" s="4"/>
      <c r="BF592" s="2"/>
      <c r="BG592" s="4"/>
      <c r="BH592" s="1"/>
      <c r="BI592" s="1"/>
    </row>
    <row r="593" spans="57:61" ht="15" customHeight="1" x14ac:dyDescent="0.25">
      <c r="BE593" s="4"/>
      <c r="BF593" s="2"/>
      <c r="BG593" s="4"/>
      <c r="BH593" s="1"/>
      <c r="BI593" s="1"/>
    </row>
    <row r="594" spans="57:61" ht="15" customHeight="1" x14ac:dyDescent="0.25">
      <c r="BE594" s="4"/>
      <c r="BF594" s="2"/>
      <c r="BG594" s="4"/>
      <c r="BH594" s="1"/>
      <c r="BI594" s="1"/>
    </row>
    <row r="595" spans="57:61" ht="15" customHeight="1" x14ac:dyDescent="0.25">
      <c r="BE595" s="4"/>
      <c r="BF595" s="2"/>
      <c r="BG595" s="4"/>
      <c r="BH595" s="1"/>
      <c r="BI595" s="1"/>
    </row>
    <row r="596" spans="57:61" ht="15" customHeight="1" x14ac:dyDescent="0.25">
      <c r="BE596" s="4"/>
      <c r="BF596" s="2"/>
      <c r="BG596" s="4"/>
      <c r="BH596" s="1"/>
      <c r="BI596" s="1"/>
    </row>
    <row r="597" spans="57:61" ht="15" customHeight="1" x14ac:dyDescent="0.25">
      <c r="BE597" s="4"/>
      <c r="BF597" s="2"/>
      <c r="BG597" s="4"/>
      <c r="BH597" s="1"/>
      <c r="BI597" s="1"/>
    </row>
    <row r="598" spans="57:61" ht="15" customHeight="1" x14ac:dyDescent="0.25">
      <c r="BE598" s="4"/>
      <c r="BF598" s="2"/>
      <c r="BG598" s="4"/>
      <c r="BH598" s="1"/>
      <c r="BI598" s="1"/>
    </row>
    <row r="599" spans="57:61" ht="15" customHeight="1" x14ac:dyDescent="0.25">
      <c r="BE599" s="4"/>
      <c r="BF599" s="2"/>
      <c r="BG599" s="4"/>
      <c r="BH599" s="1"/>
      <c r="BI599" s="1"/>
    </row>
    <row r="600" spans="57:61" ht="15" customHeight="1" x14ac:dyDescent="0.25">
      <c r="BE600" s="4"/>
      <c r="BF600" s="2"/>
      <c r="BG600" s="4"/>
      <c r="BH600" s="1"/>
      <c r="BI600" s="1"/>
    </row>
    <row r="601" spans="57:61" ht="15" customHeight="1" x14ac:dyDescent="0.25">
      <c r="BE601" s="4"/>
      <c r="BF601" s="2"/>
      <c r="BG601" s="4"/>
      <c r="BH601" s="1"/>
      <c r="BI601" s="1"/>
    </row>
    <row r="602" spans="57:61" ht="15" customHeight="1" x14ac:dyDescent="0.25">
      <c r="BE602" s="4"/>
      <c r="BF602" s="2"/>
      <c r="BG602" s="4"/>
      <c r="BH602" s="1"/>
      <c r="BI602" s="1"/>
    </row>
    <row r="603" spans="57:61" ht="15" customHeight="1" x14ac:dyDescent="0.25">
      <c r="BE603" s="4"/>
      <c r="BF603" s="2"/>
      <c r="BG603" s="4"/>
      <c r="BH603" s="1"/>
      <c r="BI603" s="1"/>
    </row>
    <row r="604" spans="57:61" ht="15" customHeight="1" x14ac:dyDescent="0.25">
      <c r="BE604" s="4"/>
      <c r="BF604" s="2"/>
      <c r="BG604" s="4"/>
      <c r="BH604" s="1"/>
      <c r="BI604" s="1"/>
    </row>
    <row r="605" spans="57:61" ht="15" customHeight="1" x14ac:dyDescent="0.25">
      <c r="BE605" s="4"/>
      <c r="BF605" s="2"/>
      <c r="BG605" s="4"/>
      <c r="BH605" s="1"/>
      <c r="BI605" s="1"/>
    </row>
    <row r="606" spans="57:61" ht="15" customHeight="1" x14ac:dyDescent="0.25">
      <c r="BF606" s="2"/>
      <c r="BG606" s="4"/>
      <c r="BH606" s="1"/>
      <c r="BI606" s="1"/>
    </row>
    <row r="607" spans="57:61" ht="15" customHeight="1" x14ac:dyDescent="0.25">
      <c r="BF607" s="2"/>
      <c r="BG607" s="4"/>
      <c r="BH607" s="1"/>
      <c r="BI607" s="1"/>
    </row>
  </sheetData>
  <dataValidations count="154">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2" xr:uid="{070DC515-5A6F-4DBD-8862-E9DCBC14C399}">
      <formula1>"ID"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2" xr:uid="{BE0720D5-1CFE-4544-9184-28A599E73360}">
      <formula1>"Title"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C2" xr:uid="{4073CC85-EDB5-4C89-A8A1-38F7069963B0}">
      <formula1>"Board Column"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D2" xr:uid="{0EE0D91C-E884-4BB4-AD5F-9786FE402641}">
      <formula1>"Assigned To"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E2" xr:uid="{0382321A-F175-4165-8C2C-60FFB188B275}">
      <formula1>"Tags"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F2" xr:uid="{C1270C82-C5F5-402A-84F8-8C444617AD51}">
      <formula1>"State"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G2" xr:uid="{725B881A-784A-4F64-B3A6-290B41C252A5}">
      <formula1>"Priority"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H2" xr:uid="{7B2D3ECC-68E3-4577-8060-BF1B9A63C757}">
      <formula1>"Changed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I2" xr:uid="{05A7570B-CFC1-4A92-BBB8-9FA43BB67078}">
      <formula1>"Changed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J2" xr:uid="{E71CF2AB-6285-4C96-B603-9B39B68F69F6}">
      <formula1>"Created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K2" xr:uid="{D0BC3FFE-48B8-4981-BB05-FC8F774A5F22}">
      <formula1>"Created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L2" xr:uid="{0A867B1D-B65A-4A83-843D-15664F63DA99}">
      <formula1>"Work Item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M2" xr:uid="{F9E98F78-51B9-44CD-A7DC-F655BDE4FB96}">
      <formula1>"State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N2" xr:uid="{94AE4592-6371-4663-A4F2-5FA66BD88BF8}">
      <formula1>"Closed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O2" xr:uid="{E65EF78C-2126-457E-97E0-016163189654}">
      <formula1>"Accepted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P2" xr:uid="{8E58F275-ABD8-4403-A900-B53B3638F36E}">
      <formula1>"Accepted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Q2" xr:uid="{7D99CD28-47DD-49EF-9303-DF955226236A}">
      <formula1>"Activated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R2" xr:uid="{9F9755B9-E4FC-4621-A1CF-90254AD72783}">
      <formula1>"Activated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S2" xr:uid="{FDAD83EC-997F-448F-99A1-0592D2A8D62C}">
      <formula1>"Activity"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T2" xr:uid="{F0401904-10D5-4EA8-90CD-7AEFB8296EAC}">
      <formula1>"Application Launch Instructions"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U2" xr:uid="{8B6A9EEC-85C9-4234-AEFE-FA4D01532CC6}">
      <formula1>"Application Start Information"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V2" xr:uid="{3200800D-9FFC-45D4-B1B2-6AFB2BBF8E4F}">
      <formula1>"Application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W2" xr:uid="{40C02F69-D068-49E7-94B5-882C38F1EAAE}">
      <formula1>"Area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X2" xr:uid="{A8EF56ED-C8DB-4D46-A0D2-388D00C558E8}">
      <formula1>"Associated Context"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Y2" xr:uid="{35B28524-050E-48F8-85C1-AA04603EC455}">
      <formula1>"Associated Context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Z2" xr:uid="{4E8CDA66-2A27-4EBF-915B-38EB7D3A0697}">
      <formula1>"Associated Context Owner"</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A2" xr:uid="{B652CE34-E739-405F-8D41-56A2848A8BC9}">
      <formula1>"Associated Context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B2" xr:uid="{361B5F5A-F2F5-4E34-82FF-48B216DA275D}">
      <formula1>"Authorized As"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C2" xr:uid="{886A391D-AD6E-4819-9AB6-C1E8CA8D16FD}">
      <formula1>"Authorized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D2" xr:uid="{FABD0606-9DFA-485A-B41F-ACC6F19F1A44}">
      <formula1>"Automated Test 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E2" xr:uid="{F4832BCA-5689-4A37-BFEE-D6B579221F64}">
      <formula1>"Automated Test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F2" xr:uid="{CA1A4A21-9E73-4DCE-A22D-A11445C45B8F}">
      <formula1>"Automated Test Storage"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G2" xr:uid="{86CFFA4F-615E-4467-973B-594C1DC2D6F4}">
      <formula1>"Automated Test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H2" xr:uid="{FD04779B-D38D-4AF3-825D-85BAEBE4C3B3}">
      <formula1>"Automation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I2" xr:uid="{3D257B83-AEA0-42C3-BA08-F2FC6224CF78}">
      <formula1>"Board Column Done"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J2" xr:uid="{C2D52A78-AC51-4FF1-9E96-644CF43D022F}">
      <formula1>"Board Lane"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K2" xr:uid="{8DDCE72D-DFF7-4E25-B4BA-E15EED2DB06B}">
      <formula1>"Closed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L2" xr:uid="{A09D0056-8186-4AE5-8665-3E6ECA78F5F7}">
      <formula1>"Closed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M2" xr:uid="{9555A7AE-3E27-4CE4-ADA7-7CA94740D1EE}">
      <formula1>"Closed Status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N2" xr:uid="{055B7278-1D65-4A48-B275-3783894E17F5}">
      <formula1>"Closing Comment"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O2" xr:uid="{35092E73-29F2-46C0-88F3-81BC59553806}">
      <formula1>"Comment Count"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P2" xr:uid="{F07EFC05-890B-44F8-8F36-DF2D578D058A}">
      <formula1>"Completed Work"</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Q2" xr:uid="{B4ABAE32-B539-450A-A622-527EE7591EC4}">
      <formula1>"Description"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R2" xr:uid="{83646457-D5B4-4DF4-AA4C-F9FF43FBCBA1}">
      <formula1>"Effort"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S2" xr:uid="{C84D57FB-8152-4452-9B0A-CAF449738BB8}">
      <formula1>"Finish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T2" xr:uid="{E89A0E79-52FA-40FB-BDD9-09201B1A4182}">
      <formula1>"History"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U2" xr:uid="{510C18CF-FC51-49B6-B24F-C5E92A5EFC7A}">
      <formula1>"Integration Build"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V2" xr:uid="{25F0E11F-21ED-4286-BF8A-888B1AEDCB61}">
      <formula1>"Issue"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W2" xr:uid="{DBC806E7-F6EF-4E08-8A26-AC77FF1F1FA9}">
      <formula1>"Iteration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X2" xr:uid="{487ED752-0913-4D67-976C-5CCEED47C4C5}">
      <formula1>"Local Data Source"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Y2" xr:uid="{81B5E77D-A326-4C5F-BEAF-A01195CA1078}">
      <formula1>"Node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Z2" xr:uid="{49C546DA-E9FE-4773-9A2A-901CBC5D5E9A}">
      <formula1>"Parameters"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2" xr:uid="{42E0DF0C-BE5B-4383-BD84-F44E8B68B8A5}">
      <formula1>"Parent"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B2" xr:uid="{862CE8E8-A8E5-413E-BB84-897C1A6D6F4A}">
      <formula1>"Query 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C2" xr:uid="{67C5B8CC-58F1-470D-A21E-AA2E78983A6E}">
      <formula1>"Rating"</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D2" xr:uid="{87ADB2DA-977E-4295-B922-E25D9707BF82}">
      <formula1>"Reason"</formula1>
    </dataValidation>
    <dataValidation type="textLength" showInputMessage="1" sqref="B3 B12:B17 B6:B8" xr:uid="{1EECC087-C7CB-44BA-9230-0376C5D7995C}">
      <formula1>1</formula1>
      <formula2>255</formula2>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C3 C12:C17 C6:C8" xr:uid="{0F58D452-F27C-444A-B716-39FB7944C5A5}">
      <formula1>"Release"</formula1>
    </dataValidation>
    <dataValidation type="list" operator="equal" allowBlank="1" showInputMessage="1" sqref="D6 I6 I12 D12" xr:uid="{0BF240D1-841A-43C1-BE85-5BC50A0A347D}">
      <formula1>VSTS_ValidationRange_547c8ed2fbca42c6aaa0e3c90751ba1b</formula1>
    </dataValidation>
    <dataValidation type="textLength" allowBlank="1" showInputMessage="1" sqref="AQ3 E3 AQ12:AQ17 E12:E17 E6:E8 AQ6:AQ8" xr:uid="{F8EA350C-7396-4462-AF02-AC8262B7E2D1}">
      <formula1>0</formula1>
      <formula2>32767</formula2>
    </dataValidation>
    <dataValidation type="list" operator="equal" showInputMessage="1" showErrorMessage="1" errorTitle="Microsoft Excel" error="TF84042: The value you entered is not supported in this field. Select a supported value from the list." sqref="F3 F12:F17 F6:F8" xr:uid="{3A6CFDA3-CCF5-4900-B000-29672D2494F6}">
      <formula1>VSTS_ValidationRange_c799066d5c46435badf9432a52949d93</formula1>
    </dataValidation>
    <dataValidation type="list" operator="equal" allowBlank="1" showInputMessage="1" showErrorMessage="1" errorTitle="Microsoft Excel" error="TF84042: The value you entered is not supported in this field. Select a supported value from the list." sqref="G3 G12:G17 G6:G8" xr:uid="{CE5F5812-5951-4CEB-807D-ADE2FBFE4DB2}">
      <formula1>VSTS_ValidationRange_690b5c99f49e451ab24f0a31cb67f740</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7:K8 K16" xr:uid="{90A41E1F-39E7-4836-B5D5-301E51DEBC34}">
      <formula1>"DANTON DA ROSA ABREU"</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L3 L12:L17 L6:L8" xr:uid="{B8719922-1B4F-415F-BD0D-82981B8105C6}">
      <formula1>"Issue"</formula1>
    </dataValidation>
    <dataValidation type="list" operator="equal" allowBlank="1" showDropDown="1" showInputMessage="1" showErrorMessage="1" errorTitle="Read-only column" error="TF84027: This field is not available for this type of work item and must be left blank." prompt="Read-only" sqref="BB3:BC3 AZ3 AX3 AU3:AV3 AS3 AP3 AL3:AN3 AD3:AH3 X3:AA3 S3:V3 O3:P3 M3 O12:P17 S12:V17 X12:AA17 AD12:AH17 AL12:AN17 AU12:AV17 BB12:BC17 AZ12:AZ17 AX12:AX17 AS12:AS17 AP12:AP17 M12:M17 M6:M8 P6:P8 V6:V8 AA6:AA8 AH6:AH8 AS6:AS8 AZ6:AZ8 AX6:AX8 AV6:AV8 AP6:AP8 AN6:AN8 O6:O8 S6:S8 T6:T8 U6:U8 X6:X8 Y6:Y8 Z6:Z8 AD6:AD8 AE6:AE8 AF6:AF8 AG6:AG8 AL6:AL8 AM6:AM8 AU6:AU8 BB6:BB8 BC6:BC8" xr:uid="{F35E21CE-EC57-4FBD-A11C-0476D8B18BF3}">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3 AJ3:AK3 Q3:R3 N3 Q12:R17 AJ12:AK17 BA12:BA17 N12:N17 N6:N8 R6:R8 AK6:AK8 Q6:Q8 AJ6:AJ8 BA6:BA8" xr:uid="{60BBB4D6-F1C2-415E-97DA-EDDF96CFD7F5}">
      <formula1>" "</formula1>
    </dataValidation>
    <dataValidation type="list" operator="equal" allowBlank="1" showInputMessage="1" showErrorMessage="1" errorTitle="Microsoft Excel" error="TF84042: The value you entered is not supported in this field. Select a supported value from the list." sqref="W3 W12:W17 W6:W8" xr:uid="{07BC1422-EF0D-4BEA-8A35-8D949206154F}">
      <formula1>VSTS_ValidationRange_c3008bc0b7144e1792767f1b563597f2</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B3 AB12:AB17 AB6:AB8" xr:uid="{7A2A05AA-95F6-49FA-8FB3-8D8127EF546B}">
      <formula1>"DANTON DA ROSA ABREU"</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I3 AI12:AI17 AI6:AI8" xr:uid="{92369C98-C3AA-48B2-8C21-69E3432466AC}">
      <formula1>"FALSO"</formula1>
    </dataValidation>
    <dataValidation type="textLength" allowBlank="1" showInputMessage="1" prompt="Type a comment here and publish to add a new history entry. After publishing this cell will be cleared." sqref="AT3 AT12:AT17 AT6:AT8" xr:uid="{4EB6D434-8EC7-4D26-9667-ACEA3FFBB543}">
      <formula1>0</formula1>
      <formula2>32767</formula2>
    </dataValidation>
    <dataValidation type="list" operator="equal" allowBlank="1" showInputMessage="1" showErrorMessage="1" errorTitle="Microsoft Excel" error="TF84042: The value you entered is not supported in this field. Select a supported value from the list." sqref="AW3 AW12:AW17 AW6:AW8" xr:uid="{F3B68D8E-6D69-453A-9035-59C4B82D2219}">
      <formula1>VSTS_ValidationRange_4285ea9b436242fe984af7d885f28337</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Y3 AY12:AY17 AY6:AY8" xr:uid="{AEEB5D87-4527-4D13-BB20-C6585BC72608}">
      <formula1>"JBSTerminais Suporte TEAM"</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12:BD16 BD6:BD8" xr:uid="{2332673D-99AA-4DB1-8EEC-0684F345CF06}">
      <formula1>"Moved to backlog"</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12 AO7:AO8" xr:uid="{C3FB0564-46B8-48BB-B2ED-2A55A07BA306}">
      <formula1>"1"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3 AO14 AO16" xr:uid="{6EE09E77-ED92-49E8-8FC2-5370A967DC92}">
      <formula1>"0"</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2" xr:uid="{5A8D961E-ED37-4F45-AFE4-09C8899302BB}">
      <formula1>"1510"</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6 K3 K17 K12:K13" xr:uid="{3E65A3FF-A54E-4F1A-8684-84F215C8BC8E}">
      <formula1>"Vinícius Birsenek de Moraes"</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2" xr:uid="{5FA8069D-797E-4E45-A921-3FDBB0C7BDCA}">
      <formula1>"01/12/2025 13:07"</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17 AO6 AO15 AO13" xr:uid="{6FF9FA21-2DA9-4103-BAEE-15496BE87FAB}">
      <formula1>"2"</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6" xr:uid="{0F952165-0300-4274-9CAB-A869080A026F}">
      <formula1>"1352"</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6" xr:uid="{E97E0FB5-B79F-4814-9DBA-571C77DEC10B}">
      <formula1>"25/11/2025 16:52"</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 xr:uid="{297AFACD-67D7-4AB5-A9BC-61FEB55503ED}">
      <formula1>"507"</formula1>
    </dataValidation>
    <dataValidation type="list" operator="equal" allowBlank="1" showInputMessage="1" sqref="D3 I3 I15 I17 I7:I8 D7:D8 D17 D15" xr:uid="{50D0F82B-8192-4EA7-955A-7059C6F85DAC}">
      <formula1>VSTS_ValidationRange_f9ca90b4e6dd414c9ac9d2482c2a78c9</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3" xr:uid="{2100D6B1-BB2D-4D2B-A2B4-FDAB21A89CE7}">
      <formula1>"01/12/2025 13:03"</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3 BD17" xr:uid="{063818E6-E695-4BBB-B8A9-4509EF102C47}">
      <formula1>"Added to backlog"</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8" xr:uid="{C9AFE87B-1AF0-4F95-ABD3-9DF0AEF14529}">
      <formula1>"1440"</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8" xr:uid="{974AFC53-36A3-4E8C-9778-51B314A6DD84}">
      <formula1>"01/12/2025 13:05"</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7" xr:uid="{30E3193E-8280-4C24-ADA4-8D5EE965619F}">
      <formula1>"1432"</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7" xr:uid="{1A4F752C-07C5-4E28-B704-453ADB393CD8}">
      <formula1>"01/12/2025 13:04"</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5" xr:uid="{DEC20149-370F-4AAA-9F57-19BCD7AD73B9}">
      <formula1>"1495"</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14:K15" xr:uid="{D940F9A1-20B5-495E-8D77-C865E0543D4C}">
      <formula1>"Vinícius Francisco de Sousa Pereira"</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5" xr:uid="{E325C298-A64D-4412-9EE9-C4F91CD4CD52}">
      <formula1>"01/12/2025 10:21"</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7" xr:uid="{4E497B49-7CEE-4D3C-97FF-0107AAAEDDC1}">
      <formula1>"1529"</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7" xr:uid="{E3E15E5D-6F84-481C-8B45-A9165769C384}">
      <formula1>"01/12/2025 10:24"</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4" xr:uid="{69DC1E06-5F62-45EB-9ECC-167A7A1AA070}">
      <formula1>"1192"</formula1>
    </dataValidation>
    <dataValidation type="list" operator="equal" allowBlank="1" showInputMessage="1" sqref="I16 D16 I13:I14 D13:D14" xr:uid="{E0EAAA79-730F-4937-B16E-0BCC35CB5C02}">
      <formula1>VSTS_ValidationRange_27f51316384e469c825dcbee612e26d3</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4" xr:uid="{9CC5028A-F95E-4A9A-A755-2330AC422955}">
      <formula1>"28/11/2025 10:51"</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6" xr:uid="{32BB80FA-335F-4C4C-A319-7DF20E9072A9}">
      <formula1>"1523"</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6" xr:uid="{9AEC4DD5-FCCB-46E4-B198-E81B97CE0BB1}">
      <formula1>"27/11/2025 09:54"</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3" xr:uid="{D6CEC783-B636-4FA3-8548-98FF6EA27B99}">
      <formula1>"1515"</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3" xr:uid="{6E89E270-5DDA-4D19-80AE-C7C0C0268FEB}">
      <formula1>"01/12/2025 13:08"</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9" xr:uid="{7D1C58C8-9A1A-4D99-A3DE-809B63532B33}">
      <formula1>"1469"</formula1>
    </dataValidation>
    <dataValidation type="textLength" showInputMessage="1" sqref="B9" xr:uid="{BB1AA089-BC33-4DC2-807B-7A95C8D8D43B}">
      <formula1>1</formula1>
      <formula2>255</formula2>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C9" xr:uid="{A5D0177D-FBDA-4D1C-9502-85CED1BF2DBA}">
      <formula1>"Release"</formula1>
    </dataValidation>
    <dataValidation type="list" operator="equal" allowBlank="1" showInputMessage="1" sqref="D9" xr:uid="{E582AFEA-22CD-4DA4-84B3-2C688563A038}">
      <formula1>VSTS_ValidationRange_27f51316384e469c825dcbee612e26d3</formula1>
    </dataValidation>
    <dataValidation type="textLength" allowBlank="1" showInputMessage="1" sqref="E9" xr:uid="{8497596F-2B1E-4F2B-A88C-63F2EEA9A0B2}">
      <formula1>0</formula1>
      <formula2>32767</formula2>
    </dataValidation>
    <dataValidation type="list" operator="equal" showInputMessage="1" showErrorMessage="1" errorTitle="Microsoft Excel" error="TF84042: The value you entered is not supported in this field. Select a supported value from the list." sqref="F9" xr:uid="{163A2A87-0F3B-498A-81B0-1EAFA71BBA5A}">
      <formula1>VSTS_ValidationRange_c799066d5c46435badf9432a52949d93</formula1>
    </dataValidation>
    <dataValidation type="list" operator="equal" allowBlank="1" showInputMessage="1" showErrorMessage="1" errorTitle="Microsoft Excel" error="TF84042: The value you entered is not supported in this field. Select a supported value from the list." sqref="G9" xr:uid="{7485C8D7-EFB6-4C86-A5A2-D729E836B28F}">
      <formula1>VSTS_ValidationRange_690b5c99f49e451ab24f0a31cb67f740</formula1>
    </dataValidation>
    <dataValidation type="list" operator="equal" allowBlank="1" showInputMessage="1" sqref="I9" xr:uid="{2EE1497E-B1A6-4CF1-9BD3-F2B6E974D94E}">
      <formula1>VSTS_ValidationRange_27f51316384e469c825dcbee612e26d3</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9" xr:uid="{77CEDB9F-B786-453B-895F-5707A4290414}">
      <formula1>"Rafael Marcello"</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L9" xr:uid="{5C2AE559-E06F-4D92-869E-96BEE9A9DE9C}">
      <formula1>"Issue"</formula1>
    </dataValidation>
    <dataValidation type="list" operator="equal" allowBlank="1" showDropDown="1" showInputMessage="1" showErrorMessage="1" errorTitle="Read-only column" error="TF84027: This field is not available for this type of work item and must be left blank." prompt="Read-only" sqref="M9" xr:uid="{09DE21C5-7A17-4CA2-B595-D0A68F769B18}">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N9" xr:uid="{9506D311-6B8E-47CC-A153-64EE921F9D99}">
      <formula1>" "</formula1>
    </dataValidation>
    <dataValidation type="list" operator="equal" allowBlank="1" showDropDown="1" showInputMessage="1" showErrorMessage="1" errorTitle="Read-only column" error="TF84027: This field is not available for this type of work item and must be left blank." prompt="Read-only" sqref="O9" xr:uid="{02E47B60-7E03-4F29-9AEB-5F076407DE59}">
      <formula1>" "</formula1>
    </dataValidation>
    <dataValidation type="list" operator="equal" allowBlank="1" showDropDown="1" showInputMessage="1" showErrorMessage="1" errorTitle="Read-only column" error="TF84027: This field is not available for this type of work item and must be left blank." prompt="Read-only" sqref="P9" xr:uid="{6BA191FA-2221-4485-97A8-EDE55E8A4435}">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Q9" xr:uid="{EAACD49F-34B3-4787-A425-A588D05AE0AC}">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R9" xr:uid="{10E06A00-C9C5-4A44-9F45-3C81230381FC}">
      <formula1>" "</formula1>
    </dataValidation>
    <dataValidation type="list" operator="equal" allowBlank="1" showDropDown="1" showInputMessage="1" showErrorMessage="1" errorTitle="Read-only column" error="TF84027: This field is not available for this type of work item and must be left blank." prompt="Read-only" sqref="S9" xr:uid="{A9C707C2-6EA6-422E-A45E-697BECF335F1}">
      <formula1>" "</formula1>
    </dataValidation>
    <dataValidation type="list" operator="equal" allowBlank="1" showDropDown="1" showInputMessage="1" showErrorMessage="1" errorTitle="Read-only column" error="TF84027: This field is not available for this type of work item and must be left blank." prompt="Read-only" sqref="T9" xr:uid="{BD2D6ABE-AE70-4074-A9CC-A2392E20259F}">
      <formula1>" "</formula1>
    </dataValidation>
    <dataValidation type="list" operator="equal" allowBlank="1" showDropDown="1" showInputMessage="1" showErrorMessage="1" errorTitle="Read-only column" error="TF84027: This field is not available for this type of work item and must be left blank." prompt="Read-only" sqref="U9" xr:uid="{9C02DD12-8FC9-4DB5-ADAB-FCAF1FFC1433}">
      <formula1>" "</formula1>
    </dataValidation>
    <dataValidation type="list" operator="equal" allowBlank="1" showDropDown="1" showInputMessage="1" showErrorMessage="1" errorTitle="Read-only column" error="TF84027: This field is not available for this type of work item and must be left blank." prompt="Read-only" sqref="V9" xr:uid="{4E59C7D2-D0C6-48C3-80E5-ED34F2E1EF3F}">
      <formula1>" "</formula1>
    </dataValidation>
    <dataValidation type="list" operator="equal" allowBlank="1" showInputMessage="1" showErrorMessage="1" errorTitle="Microsoft Excel" error="TF84042: The value you entered is not supported in this field. Select a supported value from the list." sqref="W9" xr:uid="{5CD21CB7-B4BE-4732-BA8D-1908C494A678}">
      <formula1>VSTS_ValidationRange_c3008bc0b7144e1792767f1b563597f2</formula1>
    </dataValidation>
    <dataValidation type="list" operator="equal" allowBlank="1" showDropDown="1" showInputMessage="1" showErrorMessage="1" errorTitle="Read-only column" error="TF84027: This field is not available for this type of work item and must be left blank." prompt="Read-only" sqref="X9" xr:uid="{E0FFA79C-2902-4068-BE90-389123C44FEC}">
      <formula1>" "</formula1>
    </dataValidation>
    <dataValidation type="list" operator="equal" allowBlank="1" showDropDown="1" showInputMessage="1" showErrorMessage="1" errorTitle="Read-only column" error="TF84027: This field is not available for this type of work item and must be left blank." prompt="Read-only" sqref="Y9" xr:uid="{C7892C51-03B8-4D93-BE96-A5C01E645A0F}">
      <formula1>" "</formula1>
    </dataValidation>
    <dataValidation type="list" operator="equal" allowBlank="1" showDropDown="1" showInputMessage="1" showErrorMessage="1" errorTitle="Read-only column" error="TF84027: This field is not available for this type of work item and must be left blank." prompt="Read-only" sqref="Z9" xr:uid="{01AC2A49-0285-4678-A936-8FA86A526226}">
      <formula1>" "</formula1>
    </dataValidation>
    <dataValidation type="list" operator="equal" allowBlank="1" showDropDown="1" showInputMessage="1" showErrorMessage="1" errorTitle="Read-only column" error="TF84027: This field is not available for this type of work item and must be left blank." prompt="Read-only" sqref="AA9" xr:uid="{022FE068-27F4-4920-BB01-580123DC0C9C}">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B9" xr:uid="{00663402-4AA9-4D5A-8EF6-F6A9AC5AAC05}">
      <formula1>"DANTON DA ROSA ABREU"</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9" xr:uid="{60420A8C-B41F-4FC0-95FC-BD205A72843D}">
      <formula1>"25/11/2025 16:53"</formula1>
    </dataValidation>
    <dataValidation type="list" operator="equal" allowBlank="1" showDropDown="1" showInputMessage="1" showErrorMessage="1" errorTitle="Read-only column" error="TF84027: This field is not available for this type of work item and must be left blank." prompt="Read-only" sqref="AD9" xr:uid="{36E2478B-3284-405E-9E7E-7DAE1F8FCFC9}">
      <formula1>" "</formula1>
    </dataValidation>
    <dataValidation type="list" operator="equal" allowBlank="1" showDropDown="1" showInputMessage="1" showErrorMessage="1" errorTitle="Read-only column" error="TF84027: This field is not available for this type of work item and must be left blank." prompt="Read-only" sqref="AE9" xr:uid="{7573A6FF-E7C4-46A2-A516-245260FE8F1E}">
      <formula1>" "</formula1>
    </dataValidation>
    <dataValidation type="list" operator="equal" allowBlank="1" showDropDown="1" showInputMessage="1" showErrorMessage="1" errorTitle="Read-only column" error="TF84027: This field is not available for this type of work item and must be left blank." prompt="Read-only" sqref="AF9" xr:uid="{CECA0F23-4454-4267-B299-7E8A94887E01}">
      <formula1>" "</formula1>
    </dataValidation>
    <dataValidation type="list" operator="equal" allowBlank="1" showDropDown="1" showInputMessage="1" showErrorMessage="1" errorTitle="Read-only column" error="TF84027: This field is not available for this type of work item and must be left blank." prompt="Read-only" sqref="AG9" xr:uid="{505AE2C5-61BB-4B5E-A211-26BF4219AA91}">
      <formula1>" "</formula1>
    </dataValidation>
    <dataValidation type="list" operator="equal" allowBlank="1" showDropDown="1" showInputMessage="1" showErrorMessage="1" errorTitle="Read-only column" error="TF84027: This field is not available for this type of work item and must be left blank." prompt="Read-only" sqref="AH9" xr:uid="{9536A15E-C167-4CBB-9985-CD4846700938}">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I9" xr:uid="{050A7507-C4A8-4E0D-8018-5A493F29B451}">
      <formula1>"FALSO"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J9" xr:uid="{2DD87739-E23A-4DDD-B00A-170BBD9F635B}">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K9" xr:uid="{DD3036E4-3E00-4CF8-BB9D-D85E64963824}">
      <formula1>" "</formula1>
    </dataValidation>
    <dataValidation type="list" operator="equal" allowBlank="1" showDropDown="1" showInputMessage="1" showErrorMessage="1" errorTitle="Read-only column" error="TF84027: This field is not available for this type of work item and must be left blank." prompt="Read-only" sqref="AL9" xr:uid="{A1090EE0-868F-4BE8-B299-EDDE0A16ACCD}">
      <formula1>" "</formula1>
    </dataValidation>
    <dataValidation type="list" operator="equal" allowBlank="1" showDropDown="1" showInputMessage="1" showErrorMessage="1" errorTitle="Read-only column" error="TF84027: This field is not available for this type of work item and must be left blank." prompt="Read-only" sqref="AM9" xr:uid="{F1939F54-C369-48DF-83BA-D12C44C881A5}">
      <formula1>" "</formula1>
    </dataValidation>
    <dataValidation type="list" operator="equal" allowBlank="1" showDropDown="1" showInputMessage="1" showErrorMessage="1" errorTitle="Read-only column" error="TF84027: This field is not available for this type of work item and must be left blank." prompt="Read-only" sqref="AN9" xr:uid="{B4E7F062-CFC4-4D10-B744-F3E0164C037F}">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9" xr:uid="{BF9544CA-DEEC-42FC-9620-4C6D58AA6A80}">
      <formula1>"0"</formula1>
    </dataValidation>
    <dataValidation type="list" operator="equal" allowBlank="1" showDropDown="1" showInputMessage="1" showErrorMessage="1" errorTitle="Read-only column" error="TF84027: This field is not available for this type of work item and must be left blank." prompt="Read-only" sqref="AP9" xr:uid="{C8592B27-7B14-4AC9-AA40-8EDE4E41C50F}">
      <formula1>" "</formula1>
    </dataValidation>
    <dataValidation type="textLength" allowBlank="1" showInputMessage="1" sqref="AQ9" xr:uid="{AC9C07D4-FFAB-49A0-A070-10B13B85E596}">
      <formula1>0</formula1>
      <formula2>32767</formula2>
    </dataValidation>
    <dataValidation type="list" operator="equal" allowBlank="1" showDropDown="1" showInputMessage="1" showErrorMessage="1" errorTitle="Read-only column" error="TF84027: This field is not available for this type of work item and must be left blank." prompt="Read-only" sqref="AS9" xr:uid="{7A69D591-569F-4900-98E7-C1E98C392322}">
      <formula1>" "</formula1>
    </dataValidation>
    <dataValidation type="textLength" allowBlank="1" showInputMessage="1" prompt="Type a comment here and publish to add a new history entry. After publishing this cell will be cleared." sqref="AT9" xr:uid="{8138902B-1D02-4FE6-8BB8-2EFC93DA763B}">
      <formula1>0</formula1>
      <formula2>32767</formula2>
    </dataValidation>
    <dataValidation type="list" operator="equal" allowBlank="1" showDropDown="1" showInputMessage="1" showErrorMessage="1" errorTitle="Read-only column" error="TF84027: This field is not available for this type of work item and must be left blank." prompt="Read-only" sqref="AU9" xr:uid="{88817F82-5923-41DA-8385-0E6A5267D614}">
      <formula1>" "</formula1>
    </dataValidation>
    <dataValidation type="list" operator="equal" allowBlank="1" showDropDown="1" showInputMessage="1" showErrorMessage="1" errorTitle="Read-only column" error="TF84027: This field is not available for this type of work item and must be left blank." prompt="Read-only" sqref="AV9" xr:uid="{41900C58-83F2-43F6-B968-1DC85F6DAC78}">
      <formula1>" "</formula1>
    </dataValidation>
    <dataValidation type="list" operator="equal" allowBlank="1" showInputMessage="1" showErrorMessage="1" errorTitle="Microsoft Excel" error="TF84042: The value you entered is not supported in this field. Select a supported value from the list." sqref="AW9" xr:uid="{A30D69D1-F476-4928-BEFD-32E761B35B42}">
      <formula1>VSTS_ValidationRange_4285ea9b436242fe984af7d885f28337</formula1>
    </dataValidation>
    <dataValidation type="list" operator="equal" allowBlank="1" showDropDown="1" showInputMessage="1" showErrorMessage="1" errorTitle="Read-only column" error="TF84027: This field is not available for this type of work item and must be left blank." prompt="Read-only" sqref="AX9" xr:uid="{2C457555-CF83-455B-B2B4-F78135665850}">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Y9" xr:uid="{749F4EF6-E8A0-4886-A777-10DA590D2083}">
      <formula1>"JBSTerminais Suporte TEAM"</formula1>
    </dataValidation>
    <dataValidation type="list" operator="equal" allowBlank="1" showDropDown="1" showInputMessage="1" showErrorMessage="1" errorTitle="Read-only column" error="TF84027: This field is not available for this type of work item and must be left blank." prompt="Read-only" sqref="AZ9" xr:uid="{12F164D2-9062-435A-8C3C-BDD036E6763C}">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9" xr:uid="{EAC87C15-B34D-4224-9AA4-9FA1FDF62900}">
      <formula1>" "</formula1>
    </dataValidation>
    <dataValidation type="list" operator="equal" allowBlank="1" showDropDown="1" showInputMessage="1" showErrorMessage="1" errorTitle="Read-only column" error="TF84027: This field is not available for this type of work item and must be left blank." prompt="Read-only" sqref="BB9" xr:uid="{5B4CB72E-5D3C-4930-BE13-3A513F79CF9E}">
      <formula1>" "</formula1>
    </dataValidation>
    <dataValidation type="list" operator="equal" allowBlank="1" showDropDown="1" showInputMessage="1" showErrorMessage="1" errorTitle="Read-only column" error="TF84027: This field is not available for this type of work item and must be left blank." prompt="Read-only" sqref="BC9" xr:uid="{7D2A7EB6-7A0D-4D3D-BD84-F3E85EF805F3}">
      <formula1>" "</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9" xr:uid="{C9CFFE50-B50A-4F4F-BDDD-631657F1A271}">
      <formula1>"Moved to backlog"</formula1>
    </dataValidation>
  </dataValidations>
  <pageMargins left="0.511811024" right="0.511811024" top="0.78740157499999996" bottom="0.78740157499999996" header="0.31496062000000002" footer="0.31496062000000002"/>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A32E9-6529-43A7-9EFC-1423920E45E5}">
  <dimension ref="A1:BK2581"/>
  <sheetViews>
    <sheetView zoomScaleNormal="100" workbookViewId="0">
      <pane ySplit="1" topLeftCell="A2" activePane="bottomLeft" state="frozen"/>
      <selection pane="bottomLeft" activeCell="D10" sqref="D10"/>
    </sheetView>
  </sheetViews>
  <sheetFormatPr defaultColWidth="9.140625" defaultRowHeight="15" x14ac:dyDescent="0.25"/>
  <cols>
    <col min="1" max="1" width="10.42578125" style="46" bestFit="1" customWidth="1"/>
    <col min="2" max="2" width="9.42578125" style="42" bestFit="1" customWidth="1"/>
    <col min="3" max="3" width="17.7109375" style="46" customWidth="1"/>
    <col min="4" max="4" width="30.42578125" style="46" customWidth="1"/>
    <col min="5" max="5" width="13" style="46" bestFit="1" customWidth="1"/>
    <col min="6" max="6" width="5.140625" style="46" bestFit="1" customWidth="1"/>
    <col min="7" max="7" width="87" style="46" customWidth="1"/>
    <col min="8" max="8" width="9.85546875" style="42" bestFit="1" customWidth="1"/>
    <col min="9" max="9" width="20.140625" style="46" bestFit="1" customWidth="1"/>
    <col min="10" max="10" width="20.5703125" style="42" bestFit="1" customWidth="1"/>
    <col min="11" max="11" width="28" style="60" customWidth="1"/>
    <col min="12" max="12" width="7.7109375" style="48" bestFit="1" customWidth="1"/>
    <col min="13" max="13" width="15.85546875" style="56" bestFit="1" customWidth="1"/>
    <col min="14" max="14" width="15.7109375" style="57" bestFit="1" customWidth="1"/>
    <col min="15" max="16" width="15.85546875" style="57" bestFit="1" customWidth="1"/>
    <col min="17" max="18" width="32.28515625" style="46" bestFit="1" customWidth="1"/>
    <col min="19" max="19" width="95.140625" style="46" bestFit="1" customWidth="1"/>
    <col min="20" max="20" width="13.85546875" style="46" bestFit="1" customWidth="1"/>
    <col min="21" max="21" width="12.85546875" style="46" bestFit="1" customWidth="1"/>
    <col min="22" max="22" width="16.28515625" style="57" bestFit="1" customWidth="1"/>
    <col min="23" max="23" width="14.140625" style="48" bestFit="1" customWidth="1"/>
    <col min="24" max="24" width="16.42578125" style="48" bestFit="1" customWidth="1"/>
    <col min="25" max="25" width="16.42578125" style="57" bestFit="1" customWidth="1"/>
    <col min="26" max="26" width="10" style="46" bestFit="1" customWidth="1"/>
    <col min="27" max="27" width="29.5703125" style="46" bestFit="1" customWidth="1"/>
    <col min="28" max="28" width="18.28515625" style="46" bestFit="1" customWidth="1"/>
    <col min="29" max="29" width="26.85546875" style="46" bestFit="1" customWidth="1"/>
    <col min="30" max="30" width="20.5703125" style="46" bestFit="1" customWidth="1"/>
    <col min="31" max="31" width="25.7109375" style="46" bestFit="1" customWidth="1"/>
    <col min="32" max="32" width="27.140625" style="46" bestFit="1" customWidth="1"/>
    <col min="33" max="33" width="25.42578125" style="46" bestFit="1" customWidth="1"/>
    <col min="34" max="34" width="32.28515625" style="46" bestFit="1" customWidth="1"/>
    <col min="35" max="35" width="17.85546875" style="46" bestFit="1" customWidth="1"/>
    <col min="36" max="36" width="19.85546875" style="46" bestFit="1" customWidth="1"/>
    <col min="37" max="37" width="23.42578125" style="46" bestFit="1" customWidth="1"/>
    <col min="38" max="38" width="25" style="46" bestFit="1" customWidth="1"/>
    <col min="39" max="39" width="22.42578125" style="46" bestFit="1" customWidth="1"/>
    <col min="40" max="40" width="19.85546875" style="46" bestFit="1" customWidth="1"/>
    <col min="41" max="41" width="21.140625" style="46" bestFit="1" customWidth="1"/>
    <col min="42" max="42" width="13" style="46" bestFit="1" customWidth="1"/>
    <col min="43" max="43" width="11.85546875" style="46" bestFit="1" customWidth="1"/>
    <col min="44" max="44" width="15.140625" style="46" bestFit="1" customWidth="1"/>
    <col min="45" max="45" width="20.42578125" style="46" bestFit="1" customWidth="1"/>
    <col min="46" max="46" width="19" style="46" bestFit="1" customWidth="1"/>
    <col min="47" max="47" width="17.85546875" style="46" bestFit="1" customWidth="1"/>
    <col min="48" max="48" width="18.5703125" style="46" bestFit="1" customWidth="1"/>
    <col min="49" max="49" width="8.28515625" style="46" bestFit="1" customWidth="1"/>
    <col min="50" max="50" width="13.140625" style="46" bestFit="1" customWidth="1"/>
    <col min="51" max="51" width="9.5703125" style="46" bestFit="1" customWidth="1"/>
    <col min="52" max="52" width="18.28515625" style="46" bestFit="1" customWidth="1"/>
    <col min="53" max="53" width="7.85546875" style="46" bestFit="1" customWidth="1"/>
    <col min="54" max="54" width="15.5703125" style="46" bestFit="1" customWidth="1"/>
    <col min="55" max="55" width="18.7109375" style="46" bestFit="1" customWidth="1"/>
    <col min="56" max="56" width="26" style="46" bestFit="1" customWidth="1"/>
    <col min="57" max="57" width="13.42578125" style="46" bestFit="1" customWidth="1"/>
    <col min="58" max="58" width="9.140625" style="46"/>
    <col min="59" max="59" width="13" style="46" bestFit="1" customWidth="1"/>
    <col min="60" max="60" width="8.85546875" style="46" bestFit="1" customWidth="1"/>
    <col min="61" max="61" width="16.7109375" style="46" bestFit="1" customWidth="1"/>
    <col min="62" max="16384" width="9.140625" style="46"/>
  </cols>
  <sheetData>
    <row r="1" spans="1:63" s="49" customFormat="1" ht="15.75" thickBot="1" x14ac:dyDescent="0.3">
      <c r="A1" s="55" t="s">
        <v>714</v>
      </c>
      <c r="B1" s="55" t="s">
        <v>630</v>
      </c>
      <c r="C1" s="55" t="s">
        <v>604</v>
      </c>
      <c r="D1" s="55" t="s">
        <v>605</v>
      </c>
      <c r="E1" s="55" t="s">
        <v>608</v>
      </c>
      <c r="F1" s="97" t="e" cm="1" vm="1">
        <f t="array" aca="1" ref="F1" ca="1">VSTS_d6760eb0_ea3a_4c33_85d6_f85b26745a24[#All]</f>
        <v>#VALUE!</v>
      </c>
      <c r="G1" s="55"/>
      <c r="H1" s="55"/>
      <c r="I1" s="55"/>
      <c r="J1" s="55"/>
      <c r="K1" s="59"/>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row>
    <row r="2" spans="1:63" x14ac:dyDescent="0.25">
      <c r="A2" s="46" t="str" cm="1">
        <f t="array" ref="A2">IFERROR(INDEX(#REF!,MATCH(TRUE,ISNUMBER(FIND(SUBSTITUTE(SUBSTITUTE(UPPER(#REF!)," ",""),":",": "),SUBSTITUTE(SUBSTITUTE(UPPER(S2)," ",""),":",": "))),0)),"Undefined")</f>
        <v>Undefined</v>
      </c>
      <c r="B2" s="42" t="str" cm="1">
        <f t="array" ref="B2">IFERROR(INDEX({"URGENTE"},MATCH(TRUE,ISNUMBER(FIND(SUBSTITUTE(SUBSTITUTE(UPPER({"URGENTE"})," ",""),":",": "),SUBSTITUTE(SUBSTITUTE(UPPER(S2)," ",""),":",": "))),0)),"-")</f>
        <v>-</v>
      </c>
      <c r="C2" s="46" t="str" cm="1">
        <f t="array" ref="C2">IFERROR(INDEX(#REF!,MATCH(TRUE,ISNUMBER(FIND(SUBSTITUTE(SUBSTITUTE(UPPER(#REF!)," ",""),":",": "),SUBSTITUTE(SUBSTITUTE(UPPER(S2)," ",""),":",": "))),0)),"Não encontrado")</f>
        <v>Não encontrado</v>
      </c>
      <c r="D2" s="46" t="str" cm="1">
        <f t="array" ref="D2">IFERROR(INDEX(#REF!,MATCH(TRUE,ISNUMBER(FIND(SUBSTITUTE(SUBSTITUTE(UPPER(#REF!)," ",""),":",": "),SUBSTITUTE(SUBSTITUTE(UPPER(S2)," ",""),":",": "))),0)),"Não encontrado")</f>
        <v>Não encontrado</v>
      </c>
      <c r="E2" s="42" t="str" cm="1">
        <f t="array" ref="E2">IFERROR(INDEX({"IMPEDITIVO"},MATCH(TRUE,ISNUMBER(FIND(SUBSTITUTE(SUBSTITUTE(UPPER({"IMPEDITIVO"})," ",""),":",": "),SUBSTITUTE(SUBSTITUTE(UPPER(S2)," ",""),":",": "))),0)),"-")</f>
        <v>-</v>
      </c>
      <c r="F2" s="47"/>
      <c r="G2" s="47"/>
      <c r="H2" s="44"/>
      <c r="I2" s="47"/>
      <c r="J2" s="44"/>
      <c r="K2" s="62"/>
    </row>
    <row r="3" spans="1:63" x14ac:dyDescent="0.25">
      <c r="A3" s="46" t="str" cm="1">
        <f t="array" ref="A3">IFERROR(INDEX(#REF!,MATCH(TRUE,ISNUMBER(FIND(SUBSTITUTE(SUBSTITUTE(UPPER(#REF!)," ",""),":",": "),SUBSTITUTE(SUBSTITUTE(UPPER(S3)," ",""),":",": "))),0)),"Undefined")</f>
        <v>Undefined</v>
      </c>
      <c r="B3" s="42" t="str" cm="1">
        <f t="array" ref="B3">IFERROR(INDEX({"URGENTE"},MATCH(TRUE,ISNUMBER(FIND(SUBSTITUTE(SUBSTITUTE(UPPER({"URGENTE"})," ",""),":",": "),SUBSTITUTE(SUBSTITUTE(UPPER(S3)," ",""),":",": "))),0)),"-")</f>
        <v>-</v>
      </c>
      <c r="C3" s="46" t="str" cm="1">
        <f t="array" ref="C3">IFERROR(INDEX(#REF!,MATCH(TRUE,ISNUMBER(FIND(SUBSTITUTE(SUBSTITUTE(UPPER(#REF!)," ",""),":",": "),SUBSTITUTE(SUBSTITUTE(UPPER(S3)," ",""),":",": "))),0)),"Não encontrado")</f>
        <v>Não encontrado</v>
      </c>
      <c r="D3" s="46" t="str" cm="1">
        <f t="array" ref="D3">IFERROR(INDEX(#REF!,MATCH(TRUE,ISNUMBER(FIND(SUBSTITUTE(SUBSTITUTE(UPPER(#REF!)," ",""),":",": "),SUBSTITUTE(SUBSTITUTE(UPPER(S3)," ",""),":",": "))),0)),"Não encontrado")</f>
        <v>Não encontrado</v>
      </c>
      <c r="E3" s="42" t="str" cm="1">
        <f t="array" ref="E3">IFERROR(INDEX({"IMPEDITIVO"},MATCH(TRUE,ISNUMBER(FIND(SUBSTITUTE(SUBSTITUTE(UPPER({"IMPEDITIVO"})," ",""),":",": "),SUBSTITUTE(SUBSTITUTE(UPPER(S3)," ",""),":",": "))),0)),"-")</f>
        <v>-</v>
      </c>
    </row>
    <row r="4" spans="1:63" x14ac:dyDescent="0.25">
      <c r="A4" s="46" t="str" cm="1">
        <f t="array" ref="A4">IFERROR(INDEX(#REF!,MATCH(TRUE,ISNUMBER(FIND(SUBSTITUTE(SUBSTITUTE(UPPER(#REF!)," ",""),":",": "),SUBSTITUTE(SUBSTITUTE(UPPER(S4)," ",""),":",": "))),0)),"Undefined")</f>
        <v>Undefined</v>
      </c>
      <c r="B4" s="42" t="str" cm="1">
        <f t="array" ref="B4">IFERROR(INDEX({"URGENTE"},MATCH(TRUE,ISNUMBER(FIND(SUBSTITUTE(SUBSTITUTE(UPPER({"URGENTE"})," ",""),":",": "),SUBSTITUTE(SUBSTITUTE(UPPER(S4)," ",""),":",": "))),0)),"-")</f>
        <v>-</v>
      </c>
      <c r="C4" s="46" t="str" cm="1">
        <f t="array" ref="C4">IFERROR(INDEX(#REF!,MATCH(TRUE,ISNUMBER(FIND(SUBSTITUTE(SUBSTITUTE(UPPER(#REF!)," ",""),":",": "),SUBSTITUTE(SUBSTITUTE(UPPER(S4)," ",""),":",": "))),0)),"Não encontrado")</f>
        <v>Não encontrado</v>
      </c>
      <c r="D4" s="46" t="str" cm="1">
        <f t="array" ref="D4">IFERROR(INDEX(#REF!,MATCH(TRUE,ISNUMBER(FIND(SUBSTITUTE(SUBSTITUTE(UPPER(#REF!)," ",""),":",": "),SUBSTITUTE(SUBSTITUTE(UPPER(S4)," ",""),":",": "))),0)),"Não encontrado")</f>
        <v>Não encontrado</v>
      </c>
      <c r="E4" s="42" t="str" cm="1">
        <f t="array" ref="E4">IFERROR(INDEX({"IMPEDITIVO"},MATCH(TRUE,ISNUMBER(FIND(SUBSTITUTE(SUBSTITUTE(UPPER({"IMPEDITIVO"})," ",""),":",": "),SUBSTITUTE(SUBSTITUTE(UPPER(S4)," ",""),":",": "))),0)),"-")</f>
        <v>-</v>
      </c>
      <c r="K4" s="49"/>
    </row>
    <row r="5" spans="1:63" x14ac:dyDescent="0.25">
      <c r="A5" s="46" t="str" cm="1">
        <f t="array" ref="A5">IFERROR(INDEX(#REF!,MATCH(TRUE,ISNUMBER(FIND(SUBSTITUTE(SUBSTITUTE(UPPER(#REF!)," ",""),":",": "),SUBSTITUTE(SUBSTITUTE(UPPER(S5)," ",""),":",": "))),0)),"Undefined")</f>
        <v>Undefined</v>
      </c>
      <c r="B5" s="42" t="str" cm="1">
        <f t="array" ref="B5">IFERROR(INDEX({"URGENTE"},MATCH(TRUE,ISNUMBER(FIND(SUBSTITUTE(SUBSTITUTE(UPPER({"URGENTE"})," ",""),":",": "),SUBSTITUTE(SUBSTITUTE(UPPER(S5)," ",""),":",": "))),0)),"-")</f>
        <v>-</v>
      </c>
      <c r="C5" s="46" t="str" cm="1">
        <f t="array" ref="C5">IFERROR(INDEX(#REF!,MATCH(TRUE,ISNUMBER(FIND(SUBSTITUTE(SUBSTITUTE(UPPER(#REF!)," ",""),":",": "),SUBSTITUTE(SUBSTITUTE(UPPER(S5)," ",""),":",": "))),0)),"Não encontrado")</f>
        <v>Não encontrado</v>
      </c>
      <c r="D5" s="46" t="str" cm="1">
        <f t="array" ref="D5">IFERROR(INDEX(#REF!,MATCH(TRUE,ISNUMBER(FIND(SUBSTITUTE(SUBSTITUTE(UPPER(#REF!)," ",""),":",": "),SUBSTITUTE(SUBSTITUTE(UPPER(S5)," ",""),":",": "))),0)),"Não encontrado")</f>
        <v>Não encontrado</v>
      </c>
      <c r="E5" s="42" t="str" cm="1">
        <f t="array" ref="E5">IFERROR(INDEX({"IMPEDITIVO"},MATCH(TRUE,ISNUMBER(FIND(SUBSTITUTE(SUBSTITUTE(UPPER({"IMPEDITIVO"})," ",""),":",": "),SUBSTITUTE(SUBSTITUTE(UPPER(S5)," ",""),":",": "))),0)),"-")</f>
        <v>-</v>
      </c>
    </row>
    <row r="6" spans="1:63" x14ac:dyDescent="0.25">
      <c r="A6" s="46" t="str" cm="1">
        <f t="array" ref="A6">IFERROR(INDEX(#REF!,MATCH(TRUE,ISNUMBER(FIND(SUBSTITUTE(SUBSTITUTE(UPPER(#REF!)," ",""),":",": "),SUBSTITUTE(SUBSTITUTE(UPPER(S6)," ",""),":",": "))),0)),"Undefined")</f>
        <v>Undefined</v>
      </c>
      <c r="B6" s="42" t="str" cm="1">
        <f t="array" ref="B6">IFERROR(INDEX({"URGENTE"},MATCH(TRUE,ISNUMBER(FIND(SUBSTITUTE(SUBSTITUTE(UPPER({"URGENTE"})," ",""),":",": "),SUBSTITUTE(SUBSTITUTE(UPPER(S6)," ",""),":",": "))),0)),"-")</f>
        <v>-</v>
      </c>
      <c r="C6" s="46" t="str" cm="1">
        <f t="array" ref="C6">IFERROR(INDEX(#REF!,MATCH(TRUE,ISNUMBER(FIND(SUBSTITUTE(SUBSTITUTE(UPPER(#REF!)," ",""),":",": "),SUBSTITUTE(SUBSTITUTE(UPPER(S6)," ",""),":",": "))),0)),"Não encontrado")</f>
        <v>Não encontrado</v>
      </c>
      <c r="D6" s="46" t="str" cm="1">
        <f t="array" ref="D6">IFERROR(INDEX(#REF!,MATCH(TRUE,ISNUMBER(FIND(SUBSTITUTE(SUBSTITUTE(UPPER(#REF!)," ",""),":",": "),SUBSTITUTE(SUBSTITUTE(UPPER(S6)," ",""),":",": "))),0)),"Não encontrado")</f>
        <v>Não encontrado</v>
      </c>
      <c r="E6" s="42" t="str" cm="1">
        <f t="array" ref="E6">IFERROR(INDEX({"IMPEDITIVO"},MATCH(TRUE,ISNUMBER(FIND(SUBSTITUTE(SUBSTITUTE(UPPER({"IMPEDITIVO"})," ",""),":",": "),SUBSTITUTE(SUBSTITUTE(UPPER(S6)," ",""),":",": "))),0)),"-")</f>
        <v>-</v>
      </c>
      <c r="BK6" s="46" cm="1">
        <f t="array" ref="BK6">_xlfn.UNIQUE(I6:I128)</f>
        <v>0</v>
      </c>
    </row>
    <row r="7" spans="1:63" x14ac:dyDescent="0.25">
      <c r="A7" s="46" t="str" cm="1">
        <f t="array" ref="A7">IFERROR(INDEX(#REF!,MATCH(TRUE,ISNUMBER(FIND(SUBSTITUTE(SUBSTITUTE(UPPER(#REF!)," ",""),":",": "),SUBSTITUTE(SUBSTITUTE(UPPER(S7)," ",""),":",": "))),0)),"Undefined")</f>
        <v>Undefined</v>
      </c>
      <c r="B7" s="42" t="str" cm="1">
        <f t="array" ref="B7">IFERROR(INDEX({"URGENTE"},MATCH(TRUE,ISNUMBER(FIND(SUBSTITUTE(SUBSTITUTE(UPPER({"URGENTE"})," ",""),":",": "),SUBSTITUTE(SUBSTITUTE(UPPER(S7)," ",""),":",": "))),0)),"-")</f>
        <v>-</v>
      </c>
      <c r="C7" s="46" t="str" cm="1">
        <f t="array" ref="C7">IFERROR(INDEX(#REF!,MATCH(TRUE,ISNUMBER(FIND(SUBSTITUTE(SUBSTITUTE(UPPER(#REF!)," ",""),":",": "),SUBSTITUTE(SUBSTITUTE(UPPER(S7)," ",""),":",": "))),0)),"Não encontrado")</f>
        <v>Não encontrado</v>
      </c>
      <c r="D7" s="46" t="str" cm="1">
        <f t="array" ref="D7">IFERROR(INDEX(#REF!,MATCH(TRUE,ISNUMBER(FIND(SUBSTITUTE(SUBSTITUTE(UPPER(#REF!)," ",""),":",": "),SUBSTITUTE(SUBSTITUTE(UPPER(S7)," ",""),":",": "))),0)),"Não encontrado")</f>
        <v>Não encontrado</v>
      </c>
      <c r="E7" s="42" t="str" cm="1">
        <f t="array" ref="E7">IFERROR(INDEX({"IMPEDITIVO"},MATCH(TRUE,ISNUMBER(FIND(SUBSTITUTE(SUBSTITUTE(UPPER({"IMPEDITIVO"})," ",""),":",": "),SUBSTITUTE(SUBSTITUTE(UPPER(S7)," ",""),":",": "))),0)),"-")</f>
        <v>-</v>
      </c>
    </row>
    <row r="8" spans="1:63" customFormat="1" x14ac:dyDescent="0.25">
      <c r="A8" s="46" t="str" cm="1">
        <f t="array" ref="A8">IFERROR(INDEX(#REF!,MATCH(TRUE,ISNUMBER(FIND(SUBSTITUTE(SUBSTITUTE(UPPER(#REF!)," ",""),":",": "),SUBSTITUTE(SUBSTITUTE(UPPER(S8)," ",""),":",": "))),0)),"Undefined")</f>
        <v>Undefined</v>
      </c>
      <c r="B8" s="42" t="str" cm="1">
        <f t="array" ref="B8">IFERROR(INDEX({"URGENTE"},MATCH(TRUE,ISNUMBER(FIND(SUBSTITUTE(SUBSTITUTE(UPPER({"URGENTE"})," ",""),":",": "),SUBSTITUTE(SUBSTITUTE(UPPER(S8)," ",""),":",": "))),0)),"-")</f>
        <v>-</v>
      </c>
      <c r="C8" s="46" t="str" cm="1">
        <f t="array" ref="C8">IFERROR(INDEX(#REF!,MATCH(TRUE,ISNUMBER(FIND(SUBSTITUTE(SUBSTITUTE(UPPER(#REF!)," ",""),":",": "),SUBSTITUTE(SUBSTITUTE(UPPER(S8)," ",""),":",": "))),0)),"Não encontrado")</f>
        <v>Não encontrado</v>
      </c>
      <c r="D8" s="46" t="str" cm="1">
        <f t="array" ref="D8">IFERROR(INDEX(#REF!,MATCH(TRUE,ISNUMBER(FIND(SUBSTITUTE(SUBSTITUTE(UPPER(#REF!)," ",""),":",": "),SUBSTITUTE(SUBSTITUTE(UPPER(S8)," ",""),":",": "))),0)),"Não encontrado")</f>
        <v>Não encontrado</v>
      </c>
      <c r="E8" s="42" t="str" cm="1">
        <f t="array" ref="E8">IFERROR(INDEX({"IMPEDITIVO"},MATCH(TRUE,ISNUMBER(FIND(SUBSTITUTE(SUBSTITUTE(UPPER({"IMPEDITIVO"})," ",""),":",": "),SUBSTITUTE(SUBSTITUTE(UPPER(S8)," ",""),":",": "))),0)),"-")</f>
        <v>-</v>
      </c>
      <c r="F8" s="96"/>
      <c r="H8" s="40"/>
      <c r="J8" s="40"/>
      <c r="K8" s="54"/>
      <c r="L8" s="1"/>
      <c r="M8" s="45"/>
      <c r="N8" s="43"/>
      <c r="O8" s="43"/>
      <c r="P8" s="43"/>
      <c r="V8" s="43"/>
      <c r="W8" s="1"/>
      <c r="X8" s="1"/>
      <c r="Y8" s="43"/>
    </row>
    <row r="9" spans="1:63" customFormat="1" x14ac:dyDescent="0.25">
      <c r="A9" s="46" t="str" cm="1">
        <f t="array" ref="A9">IFERROR(INDEX(#REF!,MATCH(TRUE,ISNUMBER(FIND(SUBSTITUTE(SUBSTITUTE(UPPER(#REF!)," ",""),":",": "),SUBSTITUTE(SUBSTITUTE(UPPER(S9)," ",""),":",": "))),0)),"Undefined")</f>
        <v>Undefined</v>
      </c>
      <c r="B9" s="42" t="str" cm="1">
        <f t="array" ref="B9">IFERROR(INDEX({"URGENTE"},MATCH(TRUE,ISNUMBER(FIND(SUBSTITUTE(SUBSTITUTE(UPPER({"URGENTE"})," ",""),":",": "),SUBSTITUTE(SUBSTITUTE(UPPER(S9)," ",""),":",": "))),0)),"-")</f>
        <v>-</v>
      </c>
      <c r="C9" s="46" t="str" cm="1">
        <f t="array" ref="C9">IFERROR(INDEX(#REF!,MATCH(TRUE,ISNUMBER(FIND(SUBSTITUTE(SUBSTITUTE(UPPER(#REF!)," ",""),":",": "),SUBSTITUTE(SUBSTITUTE(UPPER(S9)," ",""),":",": "))),0)),"Não encontrado")</f>
        <v>Não encontrado</v>
      </c>
      <c r="D9" s="46" t="str" cm="1">
        <f t="array" ref="D9">IFERROR(INDEX(#REF!,MATCH(TRUE,ISNUMBER(FIND(SUBSTITUTE(SUBSTITUTE(UPPER(#REF!)," ",""),":",": "),SUBSTITUTE(SUBSTITUTE(UPPER(S9)," ",""),":",": "))),0)),"Não encontrado")</f>
        <v>Não encontrado</v>
      </c>
      <c r="E9" s="42" t="str" cm="1">
        <f t="array" ref="E9">IFERROR(INDEX({"IMPEDITIVO"},MATCH(TRUE,ISNUMBER(FIND(SUBSTITUTE(SUBSTITUTE(UPPER({"IMPEDITIVO"})," ",""),":",": "),SUBSTITUTE(SUBSTITUTE(UPPER(S9)," ",""),":",": "))),0)),"-")</f>
        <v>-</v>
      </c>
      <c r="F9" s="96"/>
      <c r="H9" s="40"/>
      <c r="J9" s="40"/>
      <c r="K9" s="61"/>
      <c r="L9" s="1"/>
      <c r="M9" s="45"/>
      <c r="N9" s="43"/>
      <c r="O9" s="43"/>
      <c r="P9" s="43"/>
      <c r="V9" s="43"/>
      <c r="W9" s="1"/>
      <c r="X9" s="1"/>
      <c r="Y9" s="43"/>
    </row>
    <row r="10" spans="1:63" x14ac:dyDescent="0.25">
      <c r="A10" s="46" t="str" cm="1">
        <f t="array" ref="A10">IFERROR(INDEX(#REF!,MATCH(TRUE,ISNUMBER(FIND(SUBSTITUTE(SUBSTITUTE(UPPER(#REF!)," ",""),":",": "),SUBSTITUTE(SUBSTITUTE(UPPER(S10)," ",""),":",": "))),0)),"Undefined")</f>
        <v>Undefined</v>
      </c>
      <c r="B10" s="42" t="str" cm="1">
        <f t="array" ref="B10">IFERROR(INDEX({"URGENTE"},MATCH(TRUE,ISNUMBER(FIND(SUBSTITUTE(SUBSTITUTE(UPPER({"URGENTE"})," ",""),":",": "),SUBSTITUTE(SUBSTITUTE(UPPER(S10)," ",""),":",": "))),0)),"-")</f>
        <v>-</v>
      </c>
      <c r="C10" s="46" t="str" cm="1">
        <f t="array" ref="C10">IFERROR(INDEX(#REF!,MATCH(TRUE,ISNUMBER(FIND(SUBSTITUTE(SUBSTITUTE(UPPER(#REF!)," ",""),":",": "),SUBSTITUTE(SUBSTITUTE(UPPER(S10)," ",""),":",": "))),0)),"Não encontrado")</f>
        <v>Não encontrado</v>
      </c>
      <c r="D10" s="46" t="str" cm="1">
        <f t="array" ref="D10">IFERROR(INDEX(#REF!,MATCH(TRUE,ISNUMBER(FIND(SUBSTITUTE(SUBSTITUTE(UPPER(#REF!)," ",""),":",": "),SUBSTITUTE(SUBSTITUTE(UPPER(S10)," ",""),":",": "))),0)),"Não encontrado")</f>
        <v>Não encontrado</v>
      </c>
      <c r="E10" s="42" t="str" cm="1">
        <f t="array" ref="E10">IFERROR(INDEX({"IMPEDITIVO"},MATCH(TRUE,ISNUMBER(FIND(SUBSTITUTE(SUBSTITUTE(UPPER({"IMPEDITIVO"})," ",""),":",": "),SUBSTITUTE(SUBSTITUTE(UPPER(S10)," ",""),":",": "))),0)),"-")</f>
        <v>-</v>
      </c>
    </row>
    <row r="11" spans="1:63" s="47" customFormat="1" x14ac:dyDescent="0.25">
      <c r="A11" s="46" t="str" cm="1">
        <f t="array" ref="A11">IFERROR(INDEX(#REF!,MATCH(TRUE,ISNUMBER(FIND(SUBSTITUTE(SUBSTITUTE(UPPER(#REF!)," ",""),":",": "),SUBSTITUTE(SUBSTITUTE(UPPER(S11)," ",""),":",": "))),0)),"Undefined")</f>
        <v>Undefined</v>
      </c>
      <c r="B11" s="42" t="str" cm="1">
        <f t="array" ref="B11">IFERROR(INDEX({"URGENTE"},MATCH(TRUE,ISNUMBER(FIND(SUBSTITUTE(SUBSTITUTE(UPPER({"URGENTE"})," ",""),":",": "),SUBSTITUTE(SUBSTITUTE(UPPER(S11)," ",""),":",": "))),0)),"-")</f>
        <v>-</v>
      </c>
      <c r="C11" s="46" t="str" cm="1">
        <f t="array" ref="C11">IFERROR(INDEX(#REF!,MATCH(TRUE,ISNUMBER(FIND(SUBSTITUTE(SUBSTITUTE(UPPER(#REF!)," ",""),":",": "),SUBSTITUTE(SUBSTITUTE(UPPER(S11)," ",""),":",": "))),0)),"Não encontrado")</f>
        <v>Não encontrado</v>
      </c>
      <c r="D11" s="46" t="str" cm="1">
        <f t="array" ref="D11">IFERROR(INDEX(#REF!,MATCH(TRUE,ISNUMBER(FIND(SUBSTITUTE(SUBSTITUTE(UPPER(#REF!)," ",""),":",": "),SUBSTITUTE(SUBSTITUTE(UPPER(S11)," ",""),":",": "))),0)),"Não encontrado")</f>
        <v>Não encontrado</v>
      </c>
      <c r="E11" s="44" t="str" cm="1">
        <f t="array" ref="E11">IFERROR(INDEX({"IMPEDITIVO"},MATCH(TRUE,ISNUMBER(FIND(SUBSTITUTE(SUBSTITUTE(UPPER({"IMPEDITIVO"})," ",""),":",": "),SUBSTITUTE(SUBSTITUTE(UPPER(S11)," ",""),":",": "))),0)),"-")</f>
        <v>-</v>
      </c>
      <c r="H11" s="44"/>
      <c r="J11" s="44"/>
      <c r="K11" s="62"/>
      <c r="L11" s="58"/>
      <c r="M11" s="56"/>
      <c r="N11" s="57"/>
      <c r="O11" s="57"/>
      <c r="P11" s="57"/>
      <c r="V11" s="57"/>
      <c r="W11" s="58"/>
      <c r="X11" s="58"/>
      <c r="Y11" s="57"/>
    </row>
    <row r="12" spans="1:63" x14ac:dyDescent="0.25">
      <c r="A12" s="46" t="str" cm="1">
        <f t="array" ref="A12">IFERROR(INDEX(#REF!,MATCH(TRUE,ISNUMBER(FIND(SUBSTITUTE(SUBSTITUTE(UPPER(#REF!)," ",""),":",": "),SUBSTITUTE(SUBSTITUTE(UPPER(S12)," ",""),":",": "))),0)),"Undefined")</f>
        <v>Undefined</v>
      </c>
      <c r="B12" s="42" t="str" cm="1">
        <f t="array" ref="B12">IFERROR(INDEX({"URGENTE"},MATCH(TRUE,ISNUMBER(FIND(SUBSTITUTE(SUBSTITUTE(UPPER({"URGENTE"})," ",""),":",": "),SUBSTITUTE(SUBSTITUTE(UPPER(S12)," ",""),":",": "))),0)),"-")</f>
        <v>-</v>
      </c>
      <c r="C12" s="46" t="str" cm="1">
        <f t="array" ref="C12">IFERROR(INDEX(#REF!,MATCH(TRUE,ISNUMBER(FIND(SUBSTITUTE(SUBSTITUTE(UPPER(#REF!)," ",""),":",": "),SUBSTITUTE(SUBSTITUTE(UPPER(S12)," ",""),":",": "))),0)),"Não encontrado")</f>
        <v>Não encontrado</v>
      </c>
      <c r="D12" s="46" t="str" cm="1">
        <f t="array" ref="D12">IFERROR(INDEX(#REF!,MATCH(TRUE,ISNUMBER(FIND(SUBSTITUTE(SUBSTITUTE(UPPER(#REF!)," ",""),":",": "),SUBSTITUTE(SUBSTITUTE(UPPER(S12)," ",""),":",": "))),0)),"Não encontrado")</f>
        <v>Não encontrado</v>
      </c>
      <c r="E12" s="42" t="str" cm="1">
        <f t="array" ref="E12">IFERROR(INDEX({"IMPEDITIVO"},MATCH(TRUE,ISNUMBER(FIND(SUBSTITUTE(SUBSTITUTE(UPPER({"IMPEDITIVO"})," ",""),":",": "),SUBSTITUTE(SUBSTITUTE(UPPER(S12)," ",""),":",": "))),0)),"-")</f>
        <v>-</v>
      </c>
      <c r="K12" s="49"/>
    </row>
    <row r="13" spans="1:63" x14ac:dyDescent="0.25">
      <c r="A13" s="46" t="str" cm="1">
        <f t="array" ref="A13">IFERROR(INDEX(#REF!,MATCH(TRUE,ISNUMBER(FIND(SUBSTITUTE(SUBSTITUTE(UPPER(#REF!)," ",""),":",": "),SUBSTITUTE(SUBSTITUTE(UPPER(S13)," ",""),":",": "))),0)),"Undefined")</f>
        <v>Undefined</v>
      </c>
      <c r="B13" s="42" t="str" cm="1">
        <f t="array" ref="B13">IFERROR(INDEX({"URGENTE"},MATCH(TRUE,ISNUMBER(FIND(SUBSTITUTE(SUBSTITUTE(UPPER({"URGENTE"})," ",""),":",": "),SUBSTITUTE(SUBSTITUTE(UPPER(S13)," ",""),":",": "))),0)),"-")</f>
        <v>-</v>
      </c>
      <c r="C13" s="46" t="str" cm="1">
        <f t="array" ref="C13">IFERROR(INDEX(#REF!,MATCH(TRUE,ISNUMBER(FIND(SUBSTITUTE(SUBSTITUTE(UPPER(#REF!)," ",""),":",": "),SUBSTITUTE(SUBSTITUTE(UPPER(S13)," ",""),":",": "))),0)),"Não encontrado")</f>
        <v>Não encontrado</v>
      </c>
      <c r="D13" s="46" t="str" cm="1">
        <f t="array" ref="D13">IFERROR(INDEX(#REF!,MATCH(TRUE,ISNUMBER(FIND(SUBSTITUTE(SUBSTITUTE(UPPER(#REF!)," ",""),":",": "),SUBSTITUTE(SUBSTITUTE(UPPER(S13)," ",""),":",": "))),0)),"Não encontrado")</f>
        <v>Não encontrado</v>
      </c>
      <c r="E13" s="42" t="str" cm="1">
        <f t="array" ref="E13">IFERROR(INDEX({"IMPEDITIVO"},MATCH(TRUE,ISNUMBER(FIND(SUBSTITUTE(SUBSTITUTE(UPPER({"IMPEDITIVO"})," ",""),":",": "),SUBSTITUTE(SUBSTITUTE(UPPER(S13)," ",""),":",": "))),0)),"-")</f>
        <v>-</v>
      </c>
      <c r="K13" s="49"/>
    </row>
    <row r="14" spans="1:63" x14ac:dyDescent="0.25">
      <c r="A14" s="46" t="str" cm="1">
        <f t="array" ref="A14">IFERROR(INDEX(#REF!,MATCH(TRUE,ISNUMBER(FIND(SUBSTITUTE(SUBSTITUTE(UPPER(#REF!)," ",""),":",": "),SUBSTITUTE(SUBSTITUTE(UPPER(S14)," ",""),":",": "))),0)),"Undefined")</f>
        <v>Undefined</v>
      </c>
      <c r="B14" s="42" t="str" cm="1">
        <f t="array" ref="B14">IFERROR(INDEX({"URGENTE"},MATCH(TRUE,ISNUMBER(FIND(SUBSTITUTE(SUBSTITUTE(UPPER({"URGENTE"})," ",""),":",": "),SUBSTITUTE(SUBSTITUTE(UPPER(S14)," ",""),":",": "))),0)),"-")</f>
        <v>-</v>
      </c>
      <c r="C14" s="46" t="str" cm="1">
        <f t="array" ref="C14">IFERROR(INDEX(#REF!,MATCH(TRUE,ISNUMBER(FIND(SUBSTITUTE(SUBSTITUTE(UPPER(#REF!)," ",""),":",": "),SUBSTITUTE(SUBSTITUTE(UPPER(S14)," ",""),":",": "))),0)),"Não encontrado")</f>
        <v>Não encontrado</v>
      </c>
      <c r="D14" s="46" t="str" cm="1">
        <f t="array" ref="D14">IFERROR(INDEX(#REF!,MATCH(TRUE,ISNUMBER(FIND(SUBSTITUTE(SUBSTITUTE(UPPER(#REF!)," ",""),":",": "),SUBSTITUTE(SUBSTITUTE(UPPER(S14)," ",""),":",": "))),0)),"Não encontrado")</f>
        <v>Não encontrado</v>
      </c>
      <c r="E14" s="42" t="str" cm="1">
        <f t="array" ref="E14">IFERROR(INDEX({"IMPEDITIVO"},MATCH(TRUE,ISNUMBER(FIND(SUBSTITUTE(SUBSTITUTE(UPPER({"IMPEDITIVO"})," ",""),":",": "),SUBSTITUTE(SUBSTITUTE(UPPER(S14)," ",""),":",": "))),0)),"-")</f>
        <v>-</v>
      </c>
      <c r="K14" s="49"/>
    </row>
    <row r="15" spans="1:63" customFormat="1" x14ac:dyDescent="0.25">
      <c r="A15" s="46" t="str" cm="1">
        <f t="array" ref="A15">IFERROR(INDEX(#REF!,MATCH(TRUE,ISNUMBER(FIND(SUBSTITUTE(SUBSTITUTE(UPPER(#REF!)," ",""),":",": "),SUBSTITUTE(SUBSTITUTE(UPPER(S15)," ",""),":",": "))),0)),"Undefined")</f>
        <v>Undefined</v>
      </c>
      <c r="B15" s="42" t="str" cm="1">
        <f t="array" ref="B15">IFERROR(INDEX({"URGENTE"},MATCH(TRUE,ISNUMBER(FIND(SUBSTITUTE(SUBSTITUTE(UPPER({"URGENTE"})," ",""),":",": "),SUBSTITUTE(SUBSTITUTE(UPPER(S15)," ",""),":",": "))),0)),"-")</f>
        <v>-</v>
      </c>
      <c r="C15" s="46" t="str" cm="1">
        <f t="array" ref="C15">IFERROR(INDEX(#REF!,MATCH(TRUE,ISNUMBER(FIND(SUBSTITUTE(SUBSTITUTE(UPPER(#REF!)," ",""),":",": "),SUBSTITUTE(SUBSTITUTE(UPPER(S15)," ",""),":",": "))),0)),"Não encontrado")</f>
        <v>Não encontrado</v>
      </c>
      <c r="D15" s="46" t="str" cm="1">
        <f t="array" ref="D15">IFERROR(INDEX(#REF!,MATCH(TRUE,ISNUMBER(FIND(SUBSTITUTE(SUBSTITUTE(UPPER(#REF!)," ",""),":",": "),SUBSTITUTE(SUBSTITUTE(UPPER(S15)," ",""),":",": "))),0)),"Não encontrado")</f>
        <v>Não encontrado</v>
      </c>
      <c r="E15" s="42" t="str" cm="1">
        <f t="array" ref="E15">IFERROR(INDEX({"IMPEDITIVO"},MATCH(TRUE,ISNUMBER(FIND(SUBSTITUTE(SUBSTITUTE(UPPER({"IMPEDITIVO"})," ",""),":",": "),SUBSTITUTE(SUBSTITUTE(UPPER(S15)," ",""),":",": "))),0)),"-")</f>
        <v>-</v>
      </c>
      <c r="F15" s="96"/>
      <c r="H15" s="40"/>
      <c r="J15" s="40"/>
      <c r="K15" s="54"/>
      <c r="L15" s="1"/>
      <c r="M15" s="45"/>
      <c r="N15" s="43"/>
      <c r="O15" s="43"/>
      <c r="P15" s="43"/>
      <c r="V15" s="43"/>
      <c r="W15" s="1"/>
      <c r="X15" s="1"/>
      <c r="Y15" s="43"/>
    </row>
    <row r="16" spans="1:63" x14ac:dyDescent="0.25">
      <c r="A16" s="46" t="str" cm="1">
        <f t="array" ref="A16">IFERROR(INDEX(#REF!,MATCH(TRUE,ISNUMBER(FIND(SUBSTITUTE(SUBSTITUTE(UPPER(#REF!)," ",""),":",": "),SUBSTITUTE(SUBSTITUTE(UPPER(S16)," ",""),":",": "))),0)),"Undefined")</f>
        <v>Undefined</v>
      </c>
      <c r="B16" s="42" t="str" cm="1">
        <f t="array" ref="B16">IFERROR(INDEX({"URGENTE"},MATCH(TRUE,ISNUMBER(FIND(SUBSTITUTE(SUBSTITUTE(UPPER({"URGENTE"})," ",""),":",": "),SUBSTITUTE(SUBSTITUTE(UPPER(S16)," ",""),":",": "))),0)),"-")</f>
        <v>-</v>
      </c>
      <c r="C16" s="46" t="str" cm="1">
        <f t="array" ref="C16">IFERROR(INDEX(#REF!,MATCH(TRUE,ISNUMBER(FIND(SUBSTITUTE(SUBSTITUTE(UPPER(#REF!)," ",""),":",": "),SUBSTITUTE(SUBSTITUTE(UPPER(S16)," ",""),":",": "))),0)),"Não encontrado")</f>
        <v>Não encontrado</v>
      </c>
      <c r="D16" s="46" t="str" cm="1">
        <f t="array" ref="D16">IFERROR(INDEX(#REF!,MATCH(TRUE,ISNUMBER(FIND(SUBSTITUTE(SUBSTITUTE(UPPER(#REF!)," ",""),":",": "),SUBSTITUTE(SUBSTITUTE(UPPER(S16)," ",""),":",": "))),0)),"Não encontrado")</f>
        <v>Não encontrado</v>
      </c>
      <c r="E16" s="42" t="str" cm="1">
        <f t="array" ref="E16">IFERROR(INDEX({"IMPEDITIVO"},MATCH(TRUE,ISNUMBER(FIND(SUBSTITUTE(SUBSTITUTE(UPPER({"IMPEDITIVO"})," ",""),":",": "),SUBSTITUTE(SUBSTITUTE(UPPER(S16)," ",""),":",": "))),0)),"-")</f>
        <v>-</v>
      </c>
    </row>
    <row r="17" spans="1:25" x14ac:dyDescent="0.25">
      <c r="A17" s="46" t="str" cm="1">
        <f t="array" ref="A17">IFERROR(INDEX(#REF!,MATCH(TRUE,ISNUMBER(FIND(SUBSTITUTE(SUBSTITUTE(UPPER(#REF!)," ",""),":",": "),SUBSTITUTE(SUBSTITUTE(UPPER(S17)," ",""),":",": "))),0)),"Undefined")</f>
        <v>Undefined</v>
      </c>
      <c r="B17" s="42" t="str" cm="1">
        <f t="array" ref="B17">IFERROR(INDEX({"URGENTE"},MATCH(TRUE,ISNUMBER(FIND(SUBSTITUTE(SUBSTITUTE(UPPER({"URGENTE"})," ",""),":",": "),SUBSTITUTE(SUBSTITUTE(UPPER(S17)," ",""),":",": "))),0)),"-")</f>
        <v>-</v>
      </c>
      <c r="C17" s="46" t="str" cm="1">
        <f t="array" ref="C17">IFERROR(INDEX(#REF!,MATCH(TRUE,ISNUMBER(FIND(SUBSTITUTE(SUBSTITUTE(UPPER(#REF!)," ",""),":",": "),SUBSTITUTE(SUBSTITUTE(UPPER(S17)," ",""),":",": "))),0)),"Não encontrado")</f>
        <v>Não encontrado</v>
      </c>
      <c r="D17" s="46" t="str" cm="1">
        <f t="array" ref="D17">IFERROR(INDEX(#REF!,MATCH(TRUE,ISNUMBER(FIND(SUBSTITUTE(SUBSTITUTE(UPPER(#REF!)," ",""),":",": "),SUBSTITUTE(SUBSTITUTE(UPPER(S17)," ",""),":",": "))),0)),"Não encontrado")</f>
        <v>Não encontrado</v>
      </c>
      <c r="E17" s="42" t="str" cm="1">
        <f t="array" ref="E17">IFERROR(INDEX({"IMPEDITIVO"},MATCH(TRUE,ISNUMBER(FIND(SUBSTITUTE(SUBSTITUTE(UPPER({"IMPEDITIVO"})," ",""),":",": "),SUBSTITUTE(SUBSTITUTE(UPPER(S17)," ",""),":",": "))),0)),"-")</f>
        <v>-</v>
      </c>
      <c r="K17" s="49"/>
    </row>
    <row r="18" spans="1:25" x14ac:dyDescent="0.25">
      <c r="A18" s="46" t="str" cm="1">
        <f t="array" ref="A18">IFERROR(INDEX(#REF!,MATCH(TRUE,ISNUMBER(FIND(SUBSTITUTE(SUBSTITUTE(UPPER(#REF!)," ",""),":",": "),SUBSTITUTE(SUBSTITUTE(UPPER(S18)," ",""),":",": "))),0)),"Undefined")</f>
        <v>Undefined</v>
      </c>
      <c r="B18" s="42" t="str" cm="1">
        <f t="array" ref="B18">IFERROR(INDEX({"URGENTE"},MATCH(TRUE,ISNUMBER(FIND(SUBSTITUTE(SUBSTITUTE(UPPER({"URGENTE"})," ",""),":",": "),SUBSTITUTE(SUBSTITUTE(UPPER(S18)," ",""),":",": "))),0)),"-")</f>
        <v>-</v>
      </c>
      <c r="C18" s="46" t="str" cm="1">
        <f t="array" ref="C18">IFERROR(INDEX(#REF!,MATCH(TRUE,ISNUMBER(FIND(SUBSTITUTE(SUBSTITUTE(UPPER(#REF!)," ",""),":",": "),SUBSTITUTE(SUBSTITUTE(UPPER(S18)," ",""),":",": "))),0)),"Não encontrado")</f>
        <v>Não encontrado</v>
      </c>
      <c r="D18" s="46" t="str" cm="1">
        <f t="array" ref="D18">IFERROR(INDEX(#REF!,MATCH(TRUE,ISNUMBER(FIND(SUBSTITUTE(SUBSTITUTE(UPPER(#REF!)," ",""),":",": "),SUBSTITUTE(SUBSTITUTE(UPPER(S18)," ",""),":",": "))),0)),"Não encontrado")</f>
        <v>Não encontrado</v>
      </c>
      <c r="E18" s="42" t="str" cm="1">
        <f t="array" ref="E18">IFERROR(INDEX({"IMPEDITIVO"},MATCH(TRUE,ISNUMBER(FIND(SUBSTITUTE(SUBSTITUTE(UPPER({"IMPEDITIVO"})," ",""),":",": "),SUBSTITUTE(SUBSTITUTE(UPPER(S18)," ",""),":",": "))),0)),"-")</f>
        <v>-</v>
      </c>
      <c r="K18" s="49"/>
    </row>
    <row r="19" spans="1:25" x14ac:dyDescent="0.25">
      <c r="A19" s="46" t="str" cm="1">
        <f t="array" ref="A19">IFERROR(INDEX(#REF!,MATCH(TRUE,ISNUMBER(FIND(SUBSTITUTE(SUBSTITUTE(UPPER(#REF!)," ",""),":",": "),SUBSTITUTE(SUBSTITUTE(UPPER(S19)," ",""),":",": "))),0)),"Undefined")</f>
        <v>Undefined</v>
      </c>
      <c r="B19" s="42" t="str" cm="1">
        <f t="array" ref="B19">IFERROR(INDEX({"URGENTE"},MATCH(TRUE,ISNUMBER(FIND(SUBSTITUTE(SUBSTITUTE(UPPER({"URGENTE"})," ",""),":",": "),SUBSTITUTE(SUBSTITUTE(UPPER(S19)," ",""),":",": "))),0)),"-")</f>
        <v>-</v>
      </c>
      <c r="C19" s="46" t="str" cm="1">
        <f t="array" ref="C19">IFERROR(INDEX(#REF!,MATCH(TRUE,ISNUMBER(FIND(SUBSTITUTE(SUBSTITUTE(UPPER(#REF!)," ",""),":",": "),SUBSTITUTE(SUBSTITUTE(UPPER(S19)," ",""),":",": "))),0)),"Não encontrado")</f>
        <v>Não encontrado</v>
      </c>
      <c r="D19" s="46" t="str" cm="1">
        <f t="array" ref="D19">IFERROR(INDEX(#REF!,MATCH(TRUE,ISNUMBER(FIND(SUBSTITUTE(SUBSTITUTE(UPPER(#REF!)," ",""),":",": "),SUBSTITUTE(SUBSTITUTE(UPPER(S19)," ",""),":",": "))),0)),"Não encontrado")</f>
        <v>Não encontrado</v>
      </c>
      <c r="E19" s="42" t="str" cm="1">
        <f t="array" ref="E19">IFERROR(INDEX({"IMPEDITIVO"},MATCH(TRUE,ISNUMBER(FIND(SUBSTITUTE(SUBSTITUTE(UPPER({"IMPEDITIVO"})," ",""),":",": "),SUBSTITUTE(SUBSTITUTE(UPPER(S19)," ",""),":",": "))),0)),"-")</f>
        <v>-</v>
      </c>
      <c r="K19" s="49"/>
    </row>
    <row r="20" spans="1:25" x14ac:dyDescent="0.25">
      <c r="A20" s="46" t="str" cm="1">
        <f t="array" ref="A20">IFERROR(INDEX(#REF!,MATCH(TRUE,ISNUMBER(FIND(SUBSTITUTE(SUBSTITUTE(UPPER(#REF!)," ",""),":",": "),SUBSTITUTE(SUBSTITUTE(UPPER(S20)," ",""),":",": "))),0)),"Undefined")</f>
        <v>Undefined</v>
      </c>
      <c r="B20" s="42" t="str" cm="1">
        <f t="array" ref="B20">IFERROR(INDEX({"URGENTE"},MATCH(TRUE,ISNUMBER(FIND(SUBSTITUTE(SUBSTITUTE(UPPER({"URGENTE"})," ",""),":",": "),SUBSTITUTE(SUBSTITUTE(UPPER(S20)," ",""),":",": "))),0)),"-")</f>
        <v>-</v>
      </c>
      <c r="C20" s="46" t="str" cm="1">
        <f t="array" ref="C20">IFERROR(INDEX(#REF!,MATCH(TRUE,ISNUMBER(FIND(SUBSTITUTE(SUBSTITUTE(UPPER(#REF!)," ",""),":",": "),SUBSTITUTE(SUBSTITUTE(UPPER(S20)," ",""),":",": "))),0)),"Não encontrado")</f>
        <v>Não encontrado</v>
      </c>
      <c r="D20" s="46" t="str" cm="1">
        <f t="array" ref="D20">IFERROR(INDEX(#REF!,MATCH(TRUE,ISNUMBER(FIND(SUBSTITUTE(SUBSTITUTE(UPPER(#REF!)," ",""),":",": "),SUBSTITUTE(SUBSTITUTE(UPPER(S20)," ",""),":",": "))),0)),"Não encontrado")</f>
        <v>Não encontrado</v>
      </c>
      <c r="E20" s="42" t="str" cm="1">
        <f t="array" ref="E20">IFERROR(INDEX({"IMPEDITIVO"},MATCH(TRUE,ISNUMBER(FIND(SUBSTITUTE(SUBSTITUTE(UPPER({"IMPEDITIVO"})," ",""),":",": "),SUBSTITUTE(SUBSTITUTE(UPPER(S20)," ",""),":",": "))),0)),"-")</f>
        <v>-</v>
      </c>
      <c r="K20" s="49"/>
    </row>
    <row r="21" spans="1:25" x14ac:dyDescent="0.25">
      <c r="A21" s="46" t="str" cm="1">
        <f t="array" ref="A21">IFERROR(INDEX(#REF!,MATCH(TRUE,ISNUMBER(FIND(SUBSTITUTE(SUBSTITUTE(UPPER(#REF!)," ",""),":",": "),SUBSTITUTE(SUBSTITUTE(UPPER(S21)," ",""),":",": "))),0)),"Undefined")</f>
        <v>Undefined</v>
      </c>
      <c r="B21" s="42" t="str" cm="1">
        <f t="array" ref="B21">IFERROR(INDEX({"URGENTE"},MATCH(TRUE,ISNUMBER(FIND(SUBSTITUTE(SUBSTITUTE(UPPER({"URGENTE"})," ",""),":",": "),SUBSTITUTE(SUBSTITUTE(UPPER(S21)," ",""),":",": "))),0)),"-")</f>
        <v>-</v>
      </c>
      <c r="C21" s="46" t="str" cm="1">
        <f t="array" ref="C21">IFERROR(INDEX(#REF!,MATCH(TRUE,ISNUMBER(FIND(SUBSTITUTE(SUBSTITUTE(UPPER(#REF!)," ",""),":",": "),SUBSTITUTE(SUBSTITUTE(UPPER(S21)," ",""),":",": "))),0)),"Não encontrado")</f>
        <v>Não encontrado</v>
      </c>
      <c r="D21" s="46" t="str" cm="1">
        <f t="array" ref="D21">IFERROR(INDEX(#REF!,MATCH(TRUE,ISNUMBER(FIND(SUBSTITUTE(SUBSTITUTE(UPPER(#REF!)," ",""),":",": "),SUBSTITUTE(SUBSTITUTE(UPPER(S21)," ",""),":",": "))),0)),"Não encontrado")</f>
        <v>Não encontrado</v>
      </c>
      <c r="E21" s="42" t="str" cm="1">
        <f t="array" ref="E21">IFERROR(INDEX({"IMPEDITIVO"},MATCH(TRUE,ISNUMBER(FIND(SUBSTITUTE(SUBSTITUTE(UPPER({"IMPEDITIVO"})," ",""),":",": "),SUBSTITUTE(SUBSTITUTE(UPPER(S21)," ",""),":",": "))),0)),"-")</f>
        <v>-</v>
      </c>
      <c r="K21" s="49"/>
    </row>
    <row r="22" spans="1:25" x14ac:dyDescent="0.25">
      <c r="A22" s="46" t="str" cm="1">
        <f t="array" ref="A22">IFERROR(INDEX(#REF!,MATCH(TRUE,ISNUMBER(FIND(SUBSTITUTE(SUBSTITUTE(UPPER(#REF!)," ",""),":",": "),SUBSTITUTE(SUBSTITUTE(UPPER(S22)," ",""),":",": "))),0)),"Undefined")</f>
        <v>Undefined</v>
      </c>
      <c r="B22" s="42" t="str" cm="1">
        <f t="array" ref="B22">IFERROR(INDEX({"URGENTE"},MATCH(TRUE,ISNUMBER(FIND(SUBSTITUTE(SUBSTITUTE(UPPER({"URGENTE"})," ",""),":",": "),SUBSTITUTE(SUBSTITUTE(UPPER(S22)," ",""),":",": "))),0)),"-")</f>
        <v>-</v>
      </c>
      <c r="C22" s="46" t="str" cm="1">
        <f t="array" ref="C22">IFERROR(INDEX(#REF!,MATCH(TRUE,ISNUMBER(FIND(SUBSTITUTE(SUBSTITUTE(UPPER(#REF!)," ",""),":",": "),SUBSTITUTE(SUBSTITUTE(UPPER(S22)," ",""),":",": "))),0)),"Não encontrado")</f>
        <v>Não encontrado</v>
      </c>
      <c r="D22" s="46" t="str" cm="1">
        <f t="array" ref="D22">IFERROR(INDEX(#REF!,MATCH(TRUE,ISNUMBER(FIND(SUBSTITUTE(SUBSTITUTE(UPPER(#REF!)," ",""),":",": "),SUBSTITUTE(SUBSTITUTE(UPPER(S22)," ",""),":",": "))),0)),"Não encontrado")</f>
        <v>Não encontrado</v>
      </c>
      <c r="E22" s="42" t="str" cm="1">
        <f t="array" ref="E22">IFERROR(INDEX({"IMPEDITIVO"},MATCH(TRUE,ISNUMBER(FIND(SUBSTITUTE(SUBSTITUTE(UPPER({"IMPEDITIVO"})," ",""),":",": "),SUBSTITUTE(SUBSTITUTE(UPPER(S22)," ",""),":",": "))),0)),"-")</f>
        <v>-</v>
      </c>
      <c r="K22" s="49"/>
    </row>
    <row r="23" spans="1:25" customFormat="1" x14ac:dyDescent="0.25">
      <c r="A23" s="46" t="str" cm="1">
        <f t="array" ref="A23">IFERROR(INDEX(#REF!,MATCH(TRUE,ISNUMBER(FIND(SUBSTITUTE(SUBSTITUTE(UPPER(#REF!)," ",""),":",": "),SUBSTITUTE(SUBSTITUTE(UPPER(S23)," ",""),":",": "))),0)),"Undefined")</f>
        <v>Undefined</v>
      </c>
      <c r="B23" s="42" t="str" cm="1">
        <f t="array" ref="B23">IFERROR(INDEX({"URGENTE"},MATCH(TRUE,ISNUMBER(FIND(SUBSTITUTE(SUBSTITUTE(UPPER({"URGENTE"})," ",""),":",": "),SUBSTITUTE(SUBSTITUTE(UPPER(S23)," ",""),":",": "))),0)),"-")</f>
        <v>-</v>
      </c>
      <c r="C23" s="46" t="str" cm="1">
        <f t="array" ref="C23">IFERROR(INDEX(#REF!,MATCH(TRUE,ISNUMBER(FIND(SUBSTITUTE(SUBSTITUTE(UPPER(#REF!)," ",""),":",": "),SUBSTITUTE(SUBSTITUTE(UPPER(S23)," ",""),":",": "))),0)),"Não encontrado")</f>
        <v>Não encontrado</v>
      </c>
      <c r="D23" s="46" t="str" cm="1">
        <f t="array" ref="D23">IFERROR(INDEX(#REF!,MATCH(TRUE,ISNUMBER(FIND(SUBSTITUTE(SUBSTITUTE(UPPER(#REF!)," ",""),":",": "),SUBSTITUTE(SUBSTITUTE(UPPER(S23)," ",""),":",": "))),0)),"Não encontrado")</f>
        <v>Não encontrado</v>
      </c>
      <c r="E23" s="42" t="str" cm="1">
        <f t="array" ref="E23">IFERROR(INDEX({"IMPEDITIVO"},MATCH(TRUE,ISNUMBER(FIND(SUBSTITUTE(SUBSTITUTE(UPPER({"IMPEDITIVO"})," ",""),":",": "),SUBSTITUTE(SUBSTITUTE(UPPER(S23)," ",""),":",": "))),0)),"-")</f>
        <v>-</v>
      </c>
      <c r="F23" s="96"/>
      <c r="H23" s="40"/>
      <c r="J23" s="40"/>
      <c r="K23" s="61"/>
      <c r="L23" s="1"/>
      <c r="M23" s="45"/>
      <c r="N23" s="43"/>
      <c r="O23" s="43"/>
      <c r="P23" s="43"/>
      <c r="V23" s="43"/>
      <c r="W23" s="1"/>
      <c r="X23" s="1"/>
      <c r="Y23" s="43"/>
    </row>
    <row r="24" spans="1:25" customFormat="1" x14ac:dyDescent="0.25">
      <c r="A24" s="46" t="str" cm="1">
        <f t="array" ref="A24">IFERROR(INDEX(#REF!,MATCH(TRUE,ISNUMBER(FIND(SUBSTITUTE(SUBSTITUTE(UPPER(#REF!)," ",""),":",": "),SUBSTITUTE(SUBSTITUTE(UPPER(S24)," ",""),":",": "))),0)),"Undefined")</f>
        <v>Undefined</v>
      </c>
      <c r="B24" s="42" t="str" cm="1">
        <f t="array" ref="B24">IFERROR(INDEX({"URGENTE"},MATCH(TRUE,ISNUMBER(FIND(SUBSTITUTE(SUBSTITUTE(UPPER({"URGENTE"})," ",""),":",": "),SUBSTITUTE(SUBSTITUTE(UPPER(S24)," ",""),":",": "))),0)),"-")</f>
        <v>-</v>
      </c>
      <c r="C24" s="46" t="str" cm="1">
        <f t="array" ref="C24">IFERROR(INDEX(#REF!,MATCH(TRUE,ISNUMBER(FIND(SUBSTITUTE(SUBSTITUTE(UPPER(#REF!)," ",""),":",": "),SUBSTITUTE(SUBSTITUTE(UPPER(S24)," ",""),":",": "))),0)),"Não encontrado")</f>
        <v>Não encontrado</v>
      </c>
      <c r="D24" s="46" t="str" cm="1">
        <f t="array" ref="D24">IFERROR(INDEX(#REF!,MATCH(TRUE,ISNUMBER(FIND(SUBSTITUTE(SUBSTITUTE(UPPER(#REF!)," ",""),":",": "),SUBSTITUTE(SUBSTITUTE(UPPER(S24)," ",""),":",": "))),0)),"Não encontrado")</f>
        <v>Não encontrado</v>
      </c>
      <c r="E24" s="42" t="str" cm="1">
        <f t="array" ref="E24">IFERROR(INDEX({"IMPEDITIVO"},MATCH(TRUE,ISNUMBER(FIND(SUBSTITUTE(SUBSTITUTE(UPPER({"IMPEDITIVO"})," ",""),":",": "),SUBSTITUTE(SUBSTITUTE(UPPER(S24)," ",""),":",": "))),0)),"-")</f>
        <v>-</v>
      </c>
      <c r="F24" s="96"/>
      <c r="H24" s="40"/>
      <c r="J24" s="40"/>
      <c r="K24" s="54"/>
      <c r="L24" s="1"/>
      <c r="M24" s="45"/>
      <c r="N24" s="43"/>
      <c r="O24" s="43"/>
      <c r="P24" s="43"/>
      <c r="V24" s="43"/>
      <c r="W24" s="1"/>
      <c r="X24" s="1"/>
      <c r="Y24" s="43"/>
    </row>
    <row r="25" spans="1:25" x14ac:dyDescent="0.25">
      <c r="A25" s="46" t="str" cm="1">
        <f t="array" ref="A25">IFERROR(INDEX(#REF!,MATCH(TRUE,ISNUMBER(FIND(SUBSTITUTE(SUBSTITUTE(UPPER(#REF!)," ",""),":",": "),SUBSTITUTE(SUBSTITUTE(UPPER(S25)," ",""),":",": "))),0)),"Undefined")</f>
        <v>Undefined</v>
      </c>
      <c r="B25" s="42" t="str" cm="1">
        <f t="array" ref="B25">IFERROR(INDEX({"URGENTE"},MATCH(TRUE,ISNUMBER(FIND(SUBSTITUTE(SUBSTITUTE(UPPER({"URGENTE"})," ",""),":",": "),SUBSTITUTE(SUBSTITUTE(UPPER(S25)," ",""),":",": "))),0)),"-")</f>
        <v>-</v>
      </c>
      <c r="C25" s="46" t="str" cm="1">
        <f t="array" ref="C25">IFERROR(INDEX(#REF!,MATCH(TRUE,ISNUMBER(FIND(SUBSTITUTE(SUBSTITUTE(UPPER(#REF!)," ",""),":",": "),SUBSTITUTE(SUBSTITUTE(UPPER(S25)," ",""),":",": "))),0)),"Não encontrado")</f>
        <v>Não encontrado</v>
      </c>
      <c r="D25" s="46" t="str" cm="1">
        <f t="array" ref="D25">IFERROR(INDEX(#REF!,MATCH(TRUE,ISNUMBER(FIND(SUBSTITUTE(SUBSTITUTE(UPPER(#REF!)," ",""),":",": "),SUBSTITUTE(SUBSTITUTE(UPPER(S25)," ",""),":",": "))),0)),"Não encontrado")</f>
        <v>Não encontrado</v>
      </c>
      <c r="E25" s="42" t="str" cm="1">
        <f t="array" ref="E25">IFERROR(INDEX({"IMPEDITIVO"},MATCH(TRUE,ISNUMBER(FIND(SUBSTITUTE(SUBSTITUTE(UPPER({"IMPEDITIVO"})," ",""),":",": "),SUBSTITUTE(SUBSTITUTE(UPPER(S25)," ",""),":",": "))),0)),"-")</f>
        <v>-</v>
      </c>
    </row>
    <row r="26" spans="1:25" customFormat="1" x14ac:dyDescent="0.25">
      <c r="A26" s="46" t="str" cm="1">
        <f t="array" ref="A26">IFERROR(INDEX(#REF!,MATCH(TRUE,ISNUMBER(FIND(SUBSTITUTE(SUBSTITUTE(UPPER(#REF!)," ",""),":",": "),SUBSTITUTE(SUBSTITUTE(UPPER(S26)," ",""),":",": "))),0)),"Undefined")</f>
        <v>Undefined</v>
      </c>
      <c r="B26" s="42" t="str" cm="1">
        <f t="array" ref="B26">IFERROR(INDEX({"URGENTE"},MATCH(TRUE,ISNUMBER(FIND(SUBSTITUTE(SUBSTITUTE(UPPER({"URGENTE"})," ",""),":",": "),SUBSTITUTE(SUBSTITUTE(UPPER(S26)," ",""),":",": "))),0)),"-")</f>
        <v>-</v>
      </c>
      <c r="C26" s="46" t="str" cm="1">
        <f t="array" ref="C26">IFERROR(INDEX(#REF!,MATCH(TRUE,ISNUMBER(FIND(SUBSTITUTE(SUBSTITUTE(UPPER(#REF!)," ",""),":",": "),SUBSTITUTE(SUBSTITUTE(UPPER(S26)," ",""),":",": "))),0)),"Não encontrado")</f>
        <v>Não encontrado</v>
      </c>
      <c r="D26" s="46" t="str" cm="1">
        <f t="array" ref="D26">IFERROR(INDEX(#REF!,MATCH(TRUE,ISNUMBER(FIND(SUBSTITUTE(SUBSTITUTE(UPPER(#REF!)," ",""),":",": "),SUBSTITUTE(SUBSTITUTE(UPPER(S26)," ",""),":",": "))),0)),"Não encontrado")</f>
        <v>Não encontrado</v>
      </c>
      <c r="E26" s="42" t="str" cm="1">
        <f t="array" ref="E26">IFERROR(INDEX({"IMPEDITIVO"},MATCH(TRUE,ISNUMBER(FIND(SUBSTITUTE(SUBSTITUTE(UPPER({"IMPEDITIVO"})," ",""),":",": "),SUBSTITUTE(SUBSTITUTE(UPPER(S26)," ",""),":",": "))),0)),"-")</f>
        <v>-</v>
      </c>
      <c r="F26" s="96"/>
      <c r="H26" s="40"/>
      <c r="J26" s="40"/>
      <c r="K26" s="61"/>
      <c r="L26" s="1"/>
      <c r="M26" s="45"/>
      <c r="N26" s="43"/>
      <c r="O26" s="43"/>
      <c r="P26" s="43"/>
      <c r="V26" s="43"/>
      <c r="W26" s="1"/>
      <c r="X26" s="1"/>
      <c r="Y26" s="43"/>
    </row>
    <row r="27" spans="1:25" x14ac:dyDescent="0.25">
      <c r="A27" s="46" t="str" cm="1">
        <f t="array" ref="A27">IFERROR(INDEX(#REF!,MATCH(TRUE,ISNUMBER(FIND(SUBSTITUTE(SUBSTITUTE(UPPER(#REF!)," ",""),":",": "),SUBSTITUTE(SUBSTITUTE(UPPER(S27)," ",""),":",": "))),0)),"Undefined")</f>
        <v>Undefined</v>
      </c>
      <c r="B27" s="42" t="str" cm="1">
        <f t="array" ref="B27">IFERROR(INDEX({"URGENTE"},MATCH(TRUE,ISNUMBER(FIND(SUBSTITUTE(SUBSTITUTE(UPPER({"URGENTE"})," ",""),":",": "),SUBSTITUTE(SUBSTITUTE(UPPER(S27)," ",""),":",": "))),0)),"-")</f>
        <v>-</v>
      </c>
      <c r="C27" s="46" t="str" cm="1">
        <f t="array" ref="C27">IFERROR(INDEX(#REF!,MATCH(TRUE,ISNUMBER(FIND(SUBSTITUTE(SUBSTITUTE(UPPER(#REF!)," ",""),":",": "),SUBSTITUTE(SUBSTITUTE(UPPER(S27)," ",""),":",": "))),0)),"Não encontrado")</f>
        <v>Não encontrado</v>
      </c>
      <c r="D27" s="46" t="str" cm="1">
        <f t="array" ref="D27">IFERROR(INDEX(#REF!,MATCH(TRUE,ISNUMBER(FIND(SUBSTITUTE(SUBSTITUTE(UPPER(#REF!)," ",""),":",": "),SUBSTITUTE(SUBSTITUTE(UPPER(S27)," ",""),":",": "))),0)),"Não encontrado")</f>
        <v>Não encontrado</v>
      </c>
      <c r="E27" s="42" t="str" cm="1">
        <f t="array" ref="E27">IFERROR(INDEX({"IMPEDITIVO"},MATCH(TRUE,ISNUMBER(FIND(SUBSTITUTE(SUBSTITUTE(UPPER({"IMPEDITIVO"})," ",""),":",": "),SUBSTITUTE(SUBSTITUTE(UPPER(S27)," ",""),":",": "))),0)),"-")</f>
        <v>-</v>
      </c>
      <c r="F27" s="47"/>
      <c r="G27" s="47"/>
      <c r="H27" s="44"/>
      <c r="I27" s="47"/>
      <c r="J27" s="44"/>
      <c r="K27" s="62"/>
    </row>
    <row r="28" spans="1:25" x14ac:dyDescent="0.25">
      <c r="A28" s="46" t="str" cm="1">
        <f t="array" ref="A28">IFERROR(INDEX(#REF!,MATCH(TRUE,ISNUMBER(FIND(SUBSTITUTE(SUBSTITUTE(UPPER(#REF!)," ",""),":",": "),SUBSTITUTE(SUBSTITUTE(UPPER(S28)," ",""),":",": "))),0)),"Undefined")</f>
        <v>Undefined</v>
      </c>
      <c r="B28" s="42" t="str" cm="1">
        <f t="array" ref="B28">IFERROR(INDEX({"URGENTE"},MATCH(TRUE,ISNUMBER(FIND(SUBSTITUTE(SUBSTITUTE(UPPER({"URGENTE"})," ",""),":",": "),SUBSTITUTE(SUBSTITUTE(UPPER(S28)," ",""),":",": "))),0)),"-")</f>
        <v>-</v>
      </c>
      <c r="C28" s="46" t="str" cm="1">
        <f t="array" ref="C28">IFERROR(INDEX(#REF!,MATCH(TRUE,ISNUMBER(FIND(SUBSTITUTE(SUBSTITUTE(UPPER(#REF!)," ",""),":",": "),SUBSTITUTE(SUBSTITUTE(UPPER(S28)," ",""),":",": "))),0)),"Não encontrado")</f>
        <v>Não encontrado</v>
      </c>
      <c r="D28" s="46" t="str" cm="1">
        <f t="array" ref="D28">IFERROR(INDEX(#REF!,MATCH(TRUE,ISNUMBER(FIND(SUBSTITUTE(SUBSTITUTE(UPPER(#REF!)," ",""),":",": "),SUBSTITUTE(SUBSTITUTE(UPPER(S28)," ",""),":",": "))),0)),"Não encontrado")</f>
        <v>Não encontrado</v>
      </c>
      <c r="E28" s="42" t="str" cm="1">
        <f t="array" ref="E28">IFERROR(INDEX({"IMPEDITIVO"},MATCH(TRUE,ISNUMBER(FIND(SUBSTITUTE(SUBSTITUTE(UPPER({"IMPEDITIVO"})," ",""),":",": "),SUBSTITUTE(SUBSTITUTE(UPPER(S28)," ",""),":",": "))),0)),"-")</f>
        <v>-</v>
      </c>
      <c r="F28" s="47"/>
      <c r="G28" s="47"/>
      <c r="H28" s="44"/>
      <c r="I28" s="47"/>
      <c r="J28" s="44"/>
      <c r="K28" s="62"/>
    </row>
    <row r="29" spans="1:25" x14ac:dyDescent="0.25">
      <c r="A29" s="46" t="str" cm="1">
        <f t="array" ref="A29">IFERROR(INDEX(#REF!,MATCH(TRUE,ISNUMBER(FIND(SUBSTITUTE(SUBSTITUTE(UPPER(#REF!)," ",""),":",": "),SUBSTITUTE(SUBSTITUTE(UPPER(S29)," ",""),":",": "))),0)),"Undefined")</f>
        <v>Undefined</v>
      </c>
      <c r="B29" s="42" t="str" cm="1">
        <f t="array" ref="B29">IFERROR(INDEX({"URGENTE"},MATCH(TRUE,ISNUMBER(FIND(SUBSTITUTE(SUBSTITUTE(UPPER({"URGENTE"})," ",""),":",": "),SUBSTITUTE(SUBSTITUTE(UPPER(S29)," ",""),":",": "))),0)),"-")</f>
        <v>-</v>
      </c>
      <c r="C29" s="46" t="str" cm="1">
        <f t="array" ref="C29">IFERROR(INDEX(#REF!,MATCH(TRUE,ISNUMBER(FIND(SUBSTITUTE(SUBSTITUTE(UPPER(#REF!)," ",""),":",": "),SUBSTITUTE(SUBSTITUTE(UPPER(S29)," ",""),":",": "))),0)),"Não encontrado")</f>
        <v>Não encontrado</v>
      </c>
      <c r="D29" s="46" t="str" cm="1">
        <f t="array" ref="D29">IFERROR(INDEX(#REF!,MATCH(TRUE,ISNUMBER(FIND(SUBSTITUTE(SUBSTITUTE(UPPER(#REF!)," ",""),":",": "),SUBSTITUTE(SUBSTITUTE(UPPER(S29)," ",""),":",": "))),0)),"Não encontrado")</f>
        <v>Não encontrado</v>
      </c>
      <c r="E29" s="42" t="str" cm="1">
        <f t="array" ref="E29">IFERROR(INDEX({"IMPEDITIVO"},MATCH(TRUE,ISNUMBER(FIND(SUBSTITUTE(SUBSTITUTE(UPPER({"IMPEDITIVO"})," ",""),":",": "),SUBSTITUTE(SUBSTITUTE(UPPER(S29)," ",""),":",": "))),0)),"-")</f>
        <v>-</v>
      </c>
    </row>
    <row r="30" spans="1:25" customFormat="1" x14ac:dyDescent="0.25">
      <c r="A30" s="46" t="str" cm="1">
        <f t="array" ref="A30">IFERROR(INDEX(#REF!,MATCH(TRUE,ISNUMBER(FIND(SUBSTITUTE(SUBSTITUTE(UPPER(#REF!)," ",""),":",": "),SUBSTITUTE(SUBSTITUTE(UPPER(S30)," ",""),":",": "))),0)),"Undefined")</f>
        <v>Undefined</v>
      </c>
      <c r="B30" s="42" t="str" cm="1">
        <f t="array" ref="B30">IFERROR(INDEX({"URGENTE"},MATCH(TRUE,ISNUMBER(FIND(SUBSTITUTE(SUBSTITUTE(UPPER({"URGENTE"})," ",""),":",": "),SUBSTITUTE(SUBSTITUTE(UPPER(S30)," ",""),":",": "))),0)),"-")</f>
        <v>-</v>
      </c>
      <c r="C30" s="46" t="str" cm="1">
        <f t="array" ref="C30">IFERROR(INDEX(#REF!,MATCH(TRUE,ISNUMBER(FIND(SUBSTITUTE(SUBSTITUTE(UPPER(#REF!)," ",""),":",": "),SUBSTITUTE(SUBSTITUTE(UPPER(S30)," ",""),":",": "))),0)),"Não encontrado")</f>
        <v>Não encontrado</v>
      </c>
      <c r="D30" s="46" t="str" cm="1">
        <f t="array" ref="D30">IFERROR(INDEX(#REF!,MATCH(TRUE,ISNUMBER(FIND(SUBSTITUTE(SUBSTITUTE(UPPER(#REF!)," ",""),":",": "),SUBSTITUTE(SUBSTITUTE(UPPER(S30)," ",""),":",": "))),0)),"Não encontrado")</f>
        <v>Não encontrado</v>
      </c>
      <c r="E30" s="42" t="str" cm="1">
        <f t="array" ref="E30">IFERROR(INDEX({"IMPEDITIVO"},MATCH(TRUE,ISNUMBER(FIND(SUBSTITUTE(SUBSTITUTE(UPPER({"IMPEDITIVO"})," ",""),":",": "),SUBSTITUTE(SUBSTITUTE(UPPER(S30)," ",""),":",": "))),0)),"-")</f>
        <v>-</v>
      </c>
      <c r="F30" s="96"/>
      <c r="H30" s="40"/>
      <c r="J30" s="40"/>
      <c r="K30" s="61"/>
      <c r="L30" s="1"/>
      <c r="M30" s="45"/>
      <c r="N30" s="43"/>
      <c r="O30" s="43"/>
      <c r="P30" s="43"/>
      <c r="V30" s="43"/>
      <c r="W30" s="1"/>
      <c r="X30" s="1"/>
      <c r="Y30" s="43"/>
    </row>
    <row r="31" spans="1:25" x14ac:dyDescent="0.25">
      <c r="A31" s="46" t="str" cm="1">
        <f t="array" ref="A31">IFERROR(INDEX(#REF!,MATCH(TRUE,ISNUMBER(FIND(SUBSTITUTE(SUBSTITUTE(UPPER(#REF!)," ",""),":",": "),SUBSTITUTE(SUBSTITUTE(UPPER(S31)," ",""),":",": "))),0)),"Undefined")</f>
        <v>Undefined</v>
      </c>
      <c r="B31" s="42" t="str" cm="1">
        <f t="array" ref="B31">IFERROR(INDEX({"URGENTE"},MATCH(TRUE,ISNUMBER(FIND(SUBSTITUTE(SUBSTITUTE(UPPER({"URGENTE"})," ",""),":",": "),SUBSTITUTE(SUBSTITUTE(UPPER(S31)," ",""),":",": "))),0)),"-")</f>
        <v>-</v>
      </c>
      <c r="C31" s="46" t="str" cm="1">
        <f t="array" ref="C31">IFERROR(INDEX(#REF!,MATCH(TRUE,ISNUMBER(FIND(SUBSTITUTE(SUBSTITUTE(UPPER(#REF!)," ",""),":",": "),SUBSTITUTE(SUBSTITUTE(UPPER(S31)," ",""),":",": "))),0)),"Não encontrado")</f>
        <v>Não encontrado</v>
      </c>
      <c r="D31" s="46" t="str" cm="1">
        <f t="array" ref="D31">IFERROR(INDEX(#REF!,MATCH(TRUE,ISNUMBER(FIND(SUBSTITUTE(SUBSTITUTE(UPPER(#REF!)," ",""),":",": "),SUBSTITUTE(SUBSTITUTE(UPPER(S31)," ",""),":",": "))),0)),"Não encontrado")</f>
        <v>Não encontrado</v>
      </c>
      <c r="E31" s="42" t="str" cm="1">
        <f t="array" ref="E31">IFERROR(INDEX({"IMPEDITIVO"},MATCH(TRUE,ISNUMBER(FIND(SUBSTITUTE(SUBSTITUTE(UPPER({"IMPEDITIVO"})," ",""),":",": "),SUBSTITUTE(SUBSTITUTE(UPPER(S31)," ",""),":",": "))),0)),"-")</f>
        <v>-</v>
      </c>
      <c r="F31" s="47"/>
      <c r="G31" s="47"/>
      <c r="H31" s="44"/>
      <c r="I31" s="47"/>
      <c r="J31" s="44"/>
      <c r="K31" s="62"/>
    </row>
    <row r="32" spans="1:25" customFormat="1" x14ac:dyDescent="0.25">
      <c r="A32" s="46" t="str" cm="1">
        <f t="array" ref="A32">IFERROR(INDEX(#REF!,MATCH(TRUE,ISNUMBER(FIND(SUBSTITUTE(SUBSTITUTE(UPPER(#REF!)," ",""),":",": "),SUBSTITUTE(SUBSTITUTE(UPPER(S32)," ",""),":",": "))),0)),"Undefined")</f>
        <v>Undefined</v>
      </c>
      <c r="B32" s="42" t="str" cm="1">
        <f t="array" ref="B32">IFERROR(INDEX({"URGENTE"},MATCH(TRUE,ISNUMBER(FIND(SUBSTITUTE(SUBSTITUTE(UPPER({"URGENTE"})," ",""),":",": "),SUBSTITUTE(SUBSTITUTE(UPPER(S32)," ",""),":",": "))),0)),"-")</f>
        <v>-</v>
      </c>
      <c r="C32" s="46" t="str" cm="1">
        <f t="array" ref="C32">IFERROR(INDEX(#REF!,MATCH(TRUE,ISNUMBER(FIND(SUBSTITUTE(SUBSTITUTE(UPPER(#REF!)," ",""),":",": "),SUBSTITUTE(SUBSTITUTE(UPPER(S32)," ",""),":",": "))),0)),"Não encontrado")</f>
        <v>Não encontrado</v>
      </c>
      <c r="D32" s="46" t="str" cm="1">
        <f t="array" ref="D32">IFERROR(INDEX(#REF!,MATCH(TRUE,ISNUMBER(FIND(SUBSTITUTE(SUBSTITUTE(UPPER(#REF!)," ",""),":",": "),SUBSTITUTE(SUBSTITUTE(UPPER(S32)," ",""),":",": "))),0)),"Não encontrado")</f>
        <v>Não encontrado</v>
      </c>
      <c r="E32" s="42" t="str" cm="1">
        <f t="array" ref="E32">IFERROR(INDEX({"IMPEDITIVO"},MATCH(TRUE,ISNUMBER(FIND(SUBSTITUTE(SUBSTITUTE(UPPER({"IMPEDITIVO"})," ",""),":",": "),SUBSTITUTE(SUBSTITUTE(UPPER(S32)," ",""),":",": "))),0)),"-")</f>
        <v>-</v>
      </c>
      <c r="F32" s="96"/>
      <c r="H32" s="40"/>
      <c r="J32" s="40"/>
      <c r="K32" s="61"/>
      <c r="L32" s="1"/>
      <c r="M32" s="45"/>
      <c r="N32" s="43"/>
      <c r="O32" s="43"/>
      <c r="P32" s="43"/>
      <c r="V32" s="43"/>
      <c r="W32" s="1"/>
      <c r="X32" s="1"/>
      <c r="Y32" s="43"/>
    </row>
    <row r="33" spans="1:25" x14ac:dyDescent="0.25">
      <c r="A33" s="46" t="str" cm="1">
        <f t="array" ref="A33">IFERROR(INDEX(#REF!,MATCH(TRUE,ISNUMBER(FIND(SUBSTITUTE(SUBSTITUTE(UPPER(#REF!)," ",""),":",": "),SUBSTITUTE(SUBSTITUTE(UPPER(S33)," ",""),":",": "))),0)),"Undefined")</f>
        <v>Undefined</v>
      </c>
      <c r="B33" s="42" t="str" cm="1">
        <f t="array" ref="B33">IFERROR(INDEX({"URGENTE"},MATCH(TRUE,ISNUMBER(FIND(SUBSTITUTE(SUBSTITUTE(UPPER({"URGENTE"})," ",""),":",": "),SUBSTITUTE(SUBSTITUTE(UPPER(S33)," ",""),":",": "))),0)),"-")</f>
        <v>-</v>
      </c>
      <c r="C33" s="46" t="str" cm="1">
        <f t="array" ref="C33">IFERROR(INDEX(#REF!,MATCH(TRUE,ISNUMBER(FIND(SUBSTITUTE(SUBSTITUTE(UPPER(#REF!)," ",""),":",": "),SUBSTITUTE(SUBSTITUTE(UPPER(S33)," ",""),":",": "))),0)),"Não encontrado")</f>
        <v>Não encontrado</v>
      </c>
      <c r="D33" s="46" t="str" cm="1">
        <f t="array" ref="D33">IFERROR(INDEX(#REF!,MATCH(TRUE,ISNUMBER(FIND(SUBSTITUTE(SUBSTITUTE(UPPER(#REF!)," ",""),":",": "),SUBSTITUTE(SUBSTITUTE(UPPER(S33)," ",""),":",": "))),0)),"Não encontrado")</f>
        <v>Não encontrado</v>
      </c>
      <c r="E33" s="42" t="str" cm="1">
        <f t="array" ref="E33">IFERROR(INDEX({"IMPEDITIVO"},MATCH(TRUE,ISNUMBER(FIND(SUBSTITUTE(SUBSTITUTE(UPPER({"IMPEDITIVO"})," ",""),":",": "),SUBSTITUTE(SUBSTITUTE(UPPER(S33)," ",""),":",": "))),0)),"-")</f>
        <v>-</v>
      </c>
    </row>
    <row r="34" spans="1:25" x14ac:dyDescent="0.25">
      <c r="A34" s="46" t="str" cm="1">
        <f t="array" ref="A34">IFERROR(INDEX(#REF!,MATCH(TRUE,ISNUMBER(FIND(SUBSTITUTE(SUBSTITUTE(UPPER(#REF!)," ",""),":",": "),SUBSTITUTE(SUBSTITUTE(UPPER(S34)," ",""),":",": "))),0)),"Undefined")</f>
        <v>Undefined</v>
      </c>
      <c r="B34" s="42" t="str" cm="1">
        <f t="array" ref="B34">IFERROR(INDEX({"URGENTE"},MATCH(TRUE,ISNUMBER(FIND(SUBSTITUTE(SUBSTITUTE(UPPER({"URGENTE"})," ",""),":",": "),SUBSTITUTE(SUBSTITUTE(UPPER(S34)," ",""),":",": "))),0)),"-")</f>
        <v>-</v>
      </c>
      <c r="C34" s="46" t="str" cm="1">
        <f t="array" ref="C34">IFERROR(INDEX(#REF!,MATCH(TRUE,ISNUMBER(FIND(SUBSTITUTE(SUBSTITUTE(UPPER(#REF!)," ",""),":",": "),SUBSTITUTE(SUBSTITUTE(UPPER(S34)," ",""),":",": "))),0)),"Não encontrado")</f>
        <v>Não encontrado</v>
      </c>
      <c r="D34" s="46" t="str" cm="1">
        <f t="array" ref="D34">IFERROR(INDEX(#REF!,MATCH(TRUE,ISNUMBER(FIND(SUBSTITUTE(SUBSTITUTE(UPPER(#REF!)," ",""),":",": "),SUBSTITUTE(SUBSTITUTE(UPPER(S34)," ",""),":",": "))),0)),"Não encontrado")</f>
        <v>Não encontrado</v>
      </c>
      <c r="E34" s="42" t="str" cm="1">
        <f t="array" ref="E34">IFERROR(INDEX({"IMPEDITIVO"},MATCH(TRUE,ISNUMBER(FIND(SUBSTITUTE(SUBSTITUTE(UPPER({"IMPEDITIVO"})," ",""),":",": "),SUBSTITUTE(SUBSTITUTE(UPPER(S34)," ",""),":",": "))),0)),"-")</f>
        <v>-</v>
      </c>
    </row>
    <row r="35" spans="1:25" customFormat="1" x14ac:dyDescent="0.25">
      <c r="A35" s="46" t="str" cm="1">
        <f t="array" ref="A35">IFERROR(INDEX(#REF!,MATCH(TRUE,ISNUMBER(FIND(SUBSTITUTE(SUBSTITUTE(UPPER(#REF!)," ",""),":",": "),SUBSTITUTE(SUBSTITUTE(UPPER(S35)," ",""),":",": "))),0)),"Undefined")</f>
        <v>Undefined</v>
      </c>
      <c r="B35" s="42" t="str" cm="1">
        <f t="array" ref="B35">IFERROR(INDEX({"URGENTE"},MATCH(TRUE,ISNUMBER(FIND(SUBSTITUTE(SUBSTITUTE(UPPER({"URGENTE"})," ",""),":",": "),SUBSTITUTE(SUBSTITUTE(UPPER(S35)," ",""),":",": "))),0)),"-")</f>
        <v>-</v>
      </c>
      <c r="C35" s="46" t="str" cm="1">
        <f t="array" ref="C35">IFERROR(INDEX(#REF!,MATCH(TRUE,ISNUMBER(FIND(SUBSTITUTE(SUBSTITUTE(UPPER(#REF!)," ",""),":",": "),SUBSTITUTE(SUBSTITUTE(UPPER(S35)," ",""),":",": "))),0)),"Não encontrado")</f>
        <v>Não encontrado</v>
      </c>
      <c r="D35" s="46" t="str" cm="1">
        <f t="array" ref="D35">IFERROR(INDEX(#REF!,MATCH(TRUE,ISNUMBER(FIND(SUBSTITUTE(SUBSTITUTE(UPPER(#REF!)," ",""),":",": "),SUBSTITUTE(SUBSTITUTE(UPPER(S35)," ",""),":",": "))),0)),"Não encontrado")</f>
        <v>Não encontrado</v>
      </c>
      <c r="E35" s="42" t="str" cm="1">
        <f t="array" ref="E35">IFERROR(INDEX({"IMPEDITIVO"},MATCH(TRUE,ISNUMBER(FIND(SUBSTITUTE(SUBSTITUTE(UPPER({"IMPEDITIVO"})," ",""),":",": "),SUBSTITUTE(SUBSTITUTE(UPPER(S35)," ",""),":",": "))),0)),"-")</f>
        <v>-</v>
      </c>
      <c r="F35" s="96"/>
      <c r="H35" s="40"/>
      <c r="J35" s="40"/>
      <c r="K35" s="61"/>
      <c r="L35" s="1"/>
      <c r="M35" s="45"/>
      <c r="N35" s="43"/>
      <c r="O35" s="43"/>
      <c r="P35" s="43"/>
      <c r="V35" s="43"/>
      <c r="W35" s="1"/>
      <c r="X35" s="1"/>
      <c r="Y35" s="43"/>
    </row>
    <row r="36" spans="1:25" x14ac:dyDescent="0.25">
      <c r="A36" s="46" t="str" cm="1">
        <f t="array" ref="A36">IFERROR(INDEX(#REF!,MATCH(TRUE,ISNUMBER(FIND(SUBSTITUTE(SUBSTITUTE(UPPER(#REF!)," ",""),":",": "),SUBSTITUTE(SUBSTITUTE(UPPER(S36)," ",""),":",": "))),0)),"Undefined")</f>
        <v>Undefined</v>
      </c>
      <c r="B36" s="42" t="str" cm="1">
        <f t="array" ref="B36">IFERROR(INDEX({"URGENTE"},MATCH(TRUE,ISNUMBER(FIND(SUBSTITUTE(SUBSTITUTE(UPPER({"URGENTE"})," ",""),":",": "),SUBSTITUTE(SUBSTITUTE(UPPER(S36)," ",""),":",": "))),0)),"-")</f>
        <v>-</v>
      </c>
      <c r="C36" s="46" t="str" cm="1">
        <f t="array" ref="C36">IFERROR(INDEX(#REF!,MATCH(TRUE,ISNUMBER(FIND(SUBSTITUTE(SUBSTITUTE(UPPER(#REF!)," ",""),":",": "),SUBSTITUTE(SUBSTITUTE(UPPER(S36)," ",""),":",": "))),0)),"Não encontrado")</f>
        <v>Não encontrado</v>
      </c>
      <c r="D36" s="46" t="str" cm="1">
        <f t="array" ref="D36">IFERROR(INDEX(#REF!,MATCH(TRUE,ISNUMBER(FIND(SUBSTITUTE(SUBSTITUTE(UPPER(#REF!)," ",""),":",": "),SUBSTITUTE(SUBSTITUTE(UPPER(S36)," ",""),":",": "))),0)),"Não encontrado")</f>
        <v>Não encontrado</v>
      </c>
      <c r="E36" s="42" t="str" cm="1">
        <f t="array" ref="E36">IFERROR(INDEX({"IMPEDITIVO"},MATCH(TRUE,ISNUMBER(FIND(SUBSTITUTE(SUBSTITUTE(UPPER({"IMPEDITIVO"})," ",""),":",": "),SUBSTITUTE(SUBSTITUTE(UPPER(S36)," ",""),":",": "))),0)),"-")</f>
        <v>-</v>
      </c>
    </row>
    <row r="37" spans="1:25" customFormat="1" x14ac:dyDescent="0.25">
      <c r="A37" s="46" t="str" cm="1">
        <f t="array" ref="A37">IFERROR(INDEX(#REF!,MATCH(TRUE,ISNUMBER(FIND(SUBSTITUTE(SUBSTITUTE(UPPER(#REF!)," ",""),":",": "),SUBSTITUTE(SUBSTITUTE(UPPER(S37)," ",""),":",": "))),0)),"Undefined")</f>
        <v>Undefined</v>
      </c>
      <c r="B37" s="42" t="str" cm="1">
        <f t="array" ref="B37">IFERROR(INDEX({"URGENTE"},MATCH(TRUE,ISNUMBER(FIND(SUBSTITUTE(SUBSTITUTE(UPPER({"URGENTE"})," ",""),":",": "),SUBSTITUTE(SUBSTITUTE(UPPER(S37)," ",""),":",": "))),0)),"-")</f>
        <v>-</v>
      </c>
      <c r="C37" s="46" t="str" cm="1">
        <f t="array" ref="C37">IFERROR(INDEX(#REF!,MATCH(TRUE,ISNUMBER(FIND(SUBSTITUTE(SUBSTITUTE(UPPER(#REF!)," ",""),":",": "),SUBSTITUTE(SUBSTITUTE(UPPER(S37)," ",""),":",": "))),0)),"Não encontrado")</f>
        <v>Não encontrado</v>
      </c>
      <c r="D37" s="46" t="str" cm="1">
        <f t="array" ref="D37">IFERROR(INDEX(#REF!,MATCH(TRUE,ISNUMBER(FIND(SUBSTITUTE(SUBSTITUTE(UPPER(#REF!)," ",""),":",": "),SUBSTITUTE(SUBSTITUTE(UPPER(S37)," ",""),":",": "))),0)),"Não encontrado")</f>
        <v>Não encontrado</v>
      </c>
      <c r="E37" s="42" t="str" cm="1">
        <f t="array" ref="E37">IFERROR(INDEX({"IMPEDITIVO"},MATCH(TRUE,ISNUMBER(FIND(SUBSTITUTE(SUBSTITUTE(UPPER({"IMPEDITIVO"})," ",""),":",": "),SUBSTITUTE(SUBSTITUTE(UPPER(S37)," ",""),":",": "))),0)),"-")</f>
        <v>-</v>
      </c>
      <c r="F37" s="96"/>
      <c r="H37" s="40"/>
      <c r="J37" s="40"/>
      <c r="K37" s="61"/>
      <c r="L37" s="1"/>
      <c r="M37" s="45"/>
      <c r="N37" s="43"/>
      <c r="O37" s="43"/>
      <c r="P37" s="43"/>
      <c r="V37" s="43"/>
      <c r="W37" s="1"/>
      <c r="X37" s="1"/>
      <c r="Y37" s="43"/>
    </row>
    <row r="38" spans="1:25" customFormat="1" x14ac:dyDescent="0.25">
      <c r="A38" s="46" t="str" cm="1">
        <f t="array" ref="A38">IFERROR(INDEX(#REF!,MATCH(TRUE,ISNUMBER(FIND(SUBSTITUTE(SUBSTITUTE(UPPER(#REF!)," ",""),":",": "),SUBSTITUTE(SUBSTITUTE(UPPER(S38)," ",""),":",": "))),0)),"Undefined")</f>
        <v>Undefined</v>
      </c>
      <c r="B38" s="42" t="str" cm="1">
        <f t="array" ref="B38">IFERROR(INDEX({"URGENTE"},MATCH(TRUE,ISNUMBER(FIND(SUBSTITUTE(SUBSTITUTE(UPPER({"URGENTE"})," ",""),":",": "),SUBSTITUTE(SUBSTITUTE(UPPER(S38)," ",""),":",": "))),0)),"-")</f>
        <v>-</v>
      </c>
      <c r="C38" s="46" t="str" cm="1">
        <f t="array" ref="C38">IFERROR(INDEX(#REF!,MATCH(TRUE,ISNUMBER(FIND(SUBSTITUTE(SUBSTITUTE(UPPER(#REF!)," ",""),":",": "),SUBSTITUTE(SUBSTITUTE(UPPER(S38)," ",""),":",": "))),0)),"Não encontrado")</f>
        <v>Não encontrado</v>
      </c>
      <c r="D38" s="46" t="str" cm="1">
        <f t="array" ref="D38">IFERROR(INDEX(#REF!,MATCH(TRUE,ISNUMBER(FIND(SUBSTITUTE(SUBSTITUTE(UPPER(#REF!)," ",""),":",": "),SUBSTITUTE(SUBSTITUTE(UPPER(S38)," ",""),":",": "))),0)),"Não encontrado")</f>
        <v>Não encontrado</v>
      </c>
      <c r="E38" s="42" t="str" cm="1">
        <f t="array" ref="E38">IFERROR(INDEX({"IMPEDITIVO"},MATCH(TRUE,ISNUMBER(FIND(SUBSTITUTE(SUBSTITUTE(UPPER({"IMPEDITIVO"})," ",""),":",": "),SUBSTITUTE(SUBSTITUTE(UPPER(S38)," ",""),":",": "))),0)),"-")</f>
        <v>-</v>
      </c>
      <c r="F38" s="96"/>
      <c r="H38" s="40"/>
      <c r="J38" s="40"/>
      <c r="K38" s="54"/>
      <c r="L38" s="1"/>
      <c r="M38" s="45"/>
      <c r="N38" s="43"/>
      <c r="O38" s="43"/>
      <c r="P38" s="43"/>
      <c r="V38" s="43"/>
      <c r="W38" s="1"/>
      <c r="X38" s="1"/>
      <c r="Y38" s="43"/>
    </row>
    <row r="39" spans="1:25" customFormat="1" x14ac:dyDescent="0.25">
      <c r="A39" s="46" t="str" cm="1">
        <f t="array" ref="A39">IFERROR(INDEX(#REF!,MATCH(TRUE,ISNUMBER(FIND(SUBSTITUTE(SUBSTITUTE(UPPER(#REF!)," ",""),":",": "),SUBSTITUTE(SUBSTITUTE(UPPER(S39)," ",""),":",": "))),0)),"Undefined")</f>
        <v>Undefined</v>
      </c>
      <c r="B39" s="42" t="str" cm="1">
        <f t="array" ref="B39">IFERROR(INDEX({"URGENTE"},MATCH(TRUE,ISNUMBER(FIND(SUBSTITUTE(SUBSTITUTE(UPPER({"URGENTE"})," ",""),":",": "),SUBSTITUTE(SUBSTITUTE(UPPER(S39)," ",""),":",": "))),0)),"-")</f>
        <v>-</v>
      </c>
      <c r="C39" s="46" t="str" cm="1">
        <f t="array" ref="C39">IFERROR(INDEX(#REF!,MATCH(TRUE,ISNUMBER(FIND(SUBSTITUTE(SUBSTITUTE(UPPER(#REF!)," ",""),":",": "),SUBSTITUTE(SUBSTITUTE(UPPER(S39)," ",""),":",": "))),0)),"Não encontrado")</f>
        <v>Não encontrado</v>
      </c>
      <c r="D39" s="46" t="str" cm="1">
        <f t="array" ref="D39">IFERROR(INDEX(#REF!,MATCH(TRUE,ISNUMBER(FIND(SUBSTITUTE(SUBSTITUTE(UPPER(#REF!)," ",""),":",": "),SUBSTITUTE(SUBSTITUTE(UPPER(S39)," ",""),":",": "))),0)),"Não encontrado")</f>
        <v>Não encontrado</v>
      </c>
      <c r="E39" s="42" t="str" cm="1">
        <f t="array" ref="E39">IFERROR(INDEX({"IMPEDITIVO"},MATCH(TRUE,ISNUMBER(FIND(SUBSTITUTE(SUBSTITUTE(UPPER({"IMPEDITIVO"})," ",""),":",": "),SUBSTITUTE(SUBSTITUTE(UPPER(S39)," ",""),":",": "))),0)),"-")</f>
        <v>-</v>
      </c>
      <c r="F39" s="96"/>
      <c r="H39" s="40"/>
      <c r="J39" s="40"/>
      <c r="K39" s="54"/>
      <c r="L39" s="1"/>
      <c r="M39" s="45"/>
      <c r="N39" s="43"/>
      <c r="O39" s="43"/>
      <c r="P39" s="43"/>
      <c r="V39" s="43"/>
      <c r="W39" s="1"/>
      <c r="X39" s="1"/>
      <c r="Y39" s="43"/>
    </row>
    <row r="40" spans="1:25" x14ac:dyDescent="0.25">
      <c r="A40" s="46" t="str" cm="1">
        <f t="array" ref="A40">IFERROR(INDEX(#REF!,MATCH(TRUE,ISNUMBER(FIND(SUBSTITUTE(SUBSTITUTE(UPPER(#REF!)," ",""),":",": "),SUBSTITUTE(SUBSTITUTE(UPPER(S40)," ",""),":",": "))),0)),"Undefined")</f>
        <v>Undefined</v>
      </c>
      <c r="B40" s="42" t="str" cm="1">
        <f t="array" ref="B40">IFERROR(INDEX({"URGENTE"},MATCH(TRUE,ISNUMBER(FIND(SUBSTITUTE(SUBSTITUTE(UPPER({"URGENTE"})," ",""),":",": "),SUBSTITUTE(SUBSTITUTE(UPPER(S40)," ",""),":",": "))),0)),"-")</f>
        <v>-</v>
      </c>
      <c r="C40" s="46" t="str" cm="1">
        <f t="array" ref="C40">IFERROR(INDEX(#REF!,MATCH(TRUE,ISNUMBER(FIND(SUBSTITUTE(SUBSTITUTE(UPPER(#REF!)," ",""),":",": "),SUBSTITUTE(SUBSTITUTE(UPPER(S40)," ",""),":",": "))),0)),"Não encontrado")</f>
        <v>Não encontrado</v>
      </c>
      <c r="D40" s="46" t="str" cm="1">
        <f t="array" ref="D40">IFERROR(INDEX(#REF!,MATCH(TRUE,ISNUMBER(FIND(SUBSTITUTE(SUBSTITUTE(UPPER(#REF!)," ",""),":",": "),SUBSTITUTE(SUBSTITUTE(UPPER(S40)," ",""),":",": "))),0)),"Não encontrado")</f>
        <v>Não encontrado</v>
      </c>
      <c r="E40" s="42" t="str" cm="1">
        <f t="array" ref="E40">IFERROR(INDEX({"IMPEDITIVO"},MATCH(TRUE,ISNUMBER(FIND(SUBSTITUTE(SUBSTITUTE(UPPER({"IMPEDITIVO"})," ",""),":",": "),SUBSTITUTE(SUBSTITUTE(UPPER(S40)," ",""),":",": "))),0)),"-")</f>
        <v>-</v>
      </c>
    </row>
    <row r="41" spans="1:25" x14ac:dyDescent="0.25">
      <c r="A41" s="46" t="str" cm="1">
        <f t="array" ref="A41">IFERROR(INDEX(#REF!,MATCH(TRUE,ISNUMBER(FIND(SUBSTITUTE(SUBSTITUTE(UPPER(#REF!)," ",""),":",": "),SUBSTITUTE(SUBSTITUTE(UPPER(S41)," ",""),":",": "))),0)),"Undefined")</f>
        <v>Undefined</v>
      </c>
      <c r="B41" s="42" t="str" cm="1">
        <f t="array" ref="B41">IFERROR(INDEX({"URGENTE"},MATCH(TRUE,ISNUMBER(FIND(SUBSTITUTE(SUBSTITUTE(UPPER({"URGENTE"})," ",""),":",": "),SUBSTITUTE(SUBSTITUTE(UPPER(S41)," ",""),":",": "))),0)),"-")</f>
        <v>-</v>
      </c>
      <c r="C41" s="46" t="str" cm="1">
        <f t="array" ref="C41">IFERROR(INDEX(#REF!,MATCH(TRUE,ISNUMBER(FIND(SUBSTITUTE(SUBSTITUTE(UPPER(#REF!)," ",""),":",": "),SUBSTITUTE(SUBSTITUTE(UPPER(S41)," ",""),":",": "))),0)),"Não encontrado")</f>
        <v>Não encontrado</v>
      </c>
      <c r="D41" s="46" t="str" cm="1">
        <f t="array" ref="D41">IFERROR(INDEX(#REF!,MATCH(TRUE,ISNUMBER(FIND(SUBSTITUTE(SUBSTITUTE(UPPER(#REF!)," ",""),":",": "),SUBSTITUTE(SUBSTITUTE(UPPER(S41)," ",""),":",": "))),0)),"Não encontrado")</f>
        <v>Não encontrado</v>
      </c>
      <c r="E41" s="42" t="str" cm="1">
        <f t="array" ref="E41">IFERROR(INDEX({"IMPEDITIVO"},MATCH(TRUE,ISNUMBER(FIND(SUBSTITUTE(SUBSTITUTE(UPPER({"IMPEDITIVO"})," ",""),":",": "),SUBSTITUTE(SUBSTITUTE(UPPER(S41)," ",""),":",": "))),0)),"-")</f>
        <v>-</v>
      </c>
      <c r="K41" s="49"/>
    </row>
    <row r="42" spans="1:25" customFormat="1" x14ac:dyDescent="0.25">
      <c r="A42" s="46" t="str" cm="1">
        <f t="array" ref="A42">IFERROR(INDEX(#REF!,MATCH(TRUE,ISNUMBER(FIND(SUBSTITUTE(SUBSTITUTE(UPPER(#REF!)," ",""),":",": "),SUBSTITUTE(SUBSTITUTE(UPPER(S42)," ",""),":",": "))),0)),"Undefined")</f>
        <v>Undefined</v>
      </c>
      <c r="B42" s="42" t="str" cm="1">
        <f t="array" ref="B42">IFERROR(INDEX({"URGENTE"},MATCH(TRUE,ISNUMBER(FIND(SUBSTITUTE(SUBSTITUTE(UPPER({"URGENTE"})," ",""),":",": "),SUBSTITUTE(SUBSTITUTE(UPPER(S42)," ",""),":",": "))),0)),"-")</f>
        <v>-</v>
      </c>
      <c r="C42" s="46" t="str" cm="1">
        <f t="array" ref="C42">IFERROR(INDEX(#REF!,MATCH(TRUE,ISNUMBER(FIND(SUBSTITUTE(SUBSTITUTE(UPPER(#REF!)," ",""),":",": "),SUBSTITUTE(SUBSTITUTE(UPPER(S42)," ",""),":",": "))),0)),"Não encontrado")</f>
        <v>Não encontrado</v>
      </c>
      <c r="D42" s="46" t="str" cm="1">
        <f t="array" ref="D42">IFERROR(INDEX(#REF!,MATCH(TRUE,ISNUMBER(FIND(SUBSTITUTE(SUBSTITUTE(UPPER(#REF!)," ",""),":",": "),SUBSTITUTE(SUBSTITUTE(UPPER(S42)," ",""),":",": "))),0)),"Não encontrado")</f>
        <v>Não encontrado</v>
      </c>
      <c r="E42" s="42" t="str" cm="1">
        <f t="array" ref="E42">IFERROR(INDEX({"IMPEDITIVO"},MATCH(TRUE,ISNUMBER(FIND(SUBSTITUTE(SUBSTITUTE(UPPER({"IMPEDITIVO"})," ",""),":",": "),SUBSTITUTE(SUBSTITUTE(UPPER(S42)," ",""),":",": "))),0)),"-")</f>
        <v>-</v>
      </c>
      <c r="F42" s="96"/>
      <c r="H42" s="40"/>
      <c r="J42" s="40"/>
      <c r="K42" s="61"/>
      <c r="L42" s="1"/>
      <c r="M42" s="45"/>
      <c r="N42" s="43"/>
      <c r="O42" s="43"/>
      <c r="P42" s="43"/>
      <c r="V42" s="43"/>
      <c r="W42" s="1"/>
      <c r="X42" s="1"/>
      <c r="Y42" s="43"/>
    </row>
    <row r="43" spans="1:25" customFormat="1" x14ac:dyDescent="0.25">
      <c r="A43" s="46" t="str" cm="1">
        <f t="array" ref="A43">IFERROR(INDEX(#REF!,MATCH(TRUE,ISNUMBER(FIND(SUBSTITUTE(SUBSTITUTE(UPPER(#REF!)," ",""),":",": "),SUBSTITUTE(SUBSTITUTE(UPPER(S43)," ",""),":",": "))),0)),"Undefined")</f>
        <v>Undefined</v>
      </c>
      <c r="B43" s="42" t="str" cm="1">
        <f t="array" ref="B43">IFERROR(INDEX({"URGENTE"},MATCH(TRUE,ISNUMBER(FIND(SUBSTITUTE(SUBSTITUTE(UPPER({"URGENTE"})," ",""),":",": "),SUBSTITUTE(SUBSTITUTE(UPPER(S43)," ",""),":",": "))),0)),"-")</f>
        <v>-</v>
      </c>
      <c r="C43" s="46" t="str" cm="1">
        <f t="array" ref="C43">IFERROR(INDEX(#REF!,MATCH(TRUE,ISNUMBER(FIND(SUBSTITUTE(SUBSTITUTE(UPPER(#REF!)," ",""),":",": "),SUBSTITUTE(SUBSTITUTE(UPPER(S43)," ",""),":",": "))),0)),"Não encontrado")</f>
        <v>Não encontrado</v>
      </c>
      <c r="D43" s="46" t="str" cm="1">
        <f t="array" ref="D43">IFERROR(INDEX(#REF!,MATCH(TRUE,ISNUMBER(FIND(SUBSTITUTE(SUBSTITUTE(UPPER(#REF!)," ",""),":",": "),SUBSTITUTE(SUBSTITUTE(UPPER(S43)," ",""),":",": "))),0)),"Não encontrado")</f>
        <v>Não encontrado</v>
      </c>
      <c r="E43" s="42" t="str" cm="1">
        <f t="array" ref="E43">IFERROR(INDEX({"IMPEDITIVO"},MATCH(TRUE,ISNUMBER(FIND(SUBSTITUTE(SUBSTITUTE(UPPER({"IMPEDITIVO"})," ",""),":",": "),SUBSTITUTE(SUBSTITUTE(UPPER(S43)," ",""),":",": "))),0)),"-")</f>
        <v>-</v>
      </c>
      <c r="F43" s="96"/>
      <c r="H43" s="40"/>
      <c r="J43" s="40"/>
      <c r="K43" s="54"/>
      <c r="L43" s="1"/>
      <c r="M43" s="45"/>
      <c r="N43" s="43"/>
      <c r="O43" s="43"/>
      <c r="P43" s="43"/>
      <c r="V43" s="43"/>
      <c r="W43" s="1"/>
      <c r="X43" s="1"/>
      <c r="Y43" s="43"/>
    </row>
    <row r="44" spans="1:25" customFormat="1" x14ac:dyDescent="0.25">
      <c r="A44" s="46" t="str" cm="1">
        <f t="array" ref="A44">IFERROR(INDEX(#REF!,MATCH(TRUE,ISNUMBER(FIND(SUBSTITUTE(SUBSTITUTE(UPPER(#REF!)," ",""),":",": "),SUBSTITUTE(SUBSTITUTE(UPPER(S44)," ",""),":",": "))),0)),"Undefined")</f>
        <v>Undefined</v>
      </c>
      <c r="B44" s="42" t="str" cm="1">
        <f t="array" ref="B44">IFERROR(INDEX({"URGENTE"},MATCH(TRUE,ISNUMBER(FIND(SUBSTITUTE(SUBSTITUTE(UPPER({"URGENTE"})," ",""),":",": "),SUBSTITUTE(SUBSTITUTE(UPPER(S44)," ",""),":",": "))),0)),"-")</f>
        <v>-</v>
      </c>
      <c r="C44" s="46" t="str" cm="1">
        <f t="array" ref="C44">IFERROR(INDEX(#REF!,MATCH(TRUE,ISNUMBER(FIND(SUBSTITUTE(SUBSTITUTE(UPPER(#REF!)," ",""),":",": "),SUBSTITUTE(SUBSTITUTE(UPPER(S44)," ",""),":",": "))),0)),"Não encontrado")</f>
        <v>Não encontrado</v>
      </c>
      <c r="D44" s="46" t="str" cm="1">
        <f t="array" ref="D44">IFERROR(INDEX(#REF!,MATCH(TRUE,ISNUMBER(FIND(SUBSTITUTE(SUBSTITUTE(UPPER(#REF!)," ",""),":",": "),SUBSTITUTE(SUBSTITUTE(UPPER(S44)," ",""),":",": "))),0)),"Não encontrado")</f>
        <v>Não encontrado</v>
      </c>
      <c r="E44" s="42" t="str" cm="1">
        <f t="array" ref="E44">IFERROR(INDEX({"IMPEDITIVO"},MATCH(TRUE,ISNUMBER(FIND(SUBSTITUTE(SUBSTITUTE(UPPER({"IMPEDITIVO"})," ",""),":",": "),SUBSTITUTE(SUBSTITUTE(UPPER(S44)," ",""),":",": "))),0)),"-")</f>
        <v>-</v>
      </c>
      <c r="F44" s="96"/>
      <c r="H44" s="40"/>
      <c r="J44" s="40"/>
      <c r="K44" s="54"/>
      <c r="L44" s="1"/>
      <c r="M44" s="45"/>
      <c r="N44" s="43"/>
      <c r="O44" s="43"/>
      <c r="P44" s="43"/>
      <c r="V44" s="43"/>
      <c r="W44" s="1"/>
      <c r="X44" s="1"/>
      <c r="Y44" s="43"/>
    </row>
    <row r="45" spans="1:25" x14ac:dyDescent="0.25">
      <c r="A45" s="46" t="str" cm="1">
        <f t="array" ref="A45">IFERROR(INDEX(#REF!,MATCH(TRUE,ISNUMBER(FIND(SUBSTITUTE(SUBSTITUTE(UPPER(#REF!)," ",""),":",": "),SUBSTITUTE(SUBSTITUTE(UPPER(S45)," ",""),":",": "))),0)),"Undefined")</f>
        <v>Undefined</v>
      </c>
      <c r="B45" s="42" t="str" cm="1">
        <f t="array" ref="B45">IFERROR(INDEX({"URGENTE"},MATCH(TRUE,ISNUMBER(FIND(SUBSTITUTE(SUBSTITUTE(UPPER({"URGENTE"})," ",""),":",": "),SUBSTITUTE(SUBSTITUTE(UPPER(S45)," ",""),":",": "))),0)),"-")</f>
        <v>-</v>
      </c>
      <c r="C45" s="46" t="str" cm="1">
        <f t="array" ref="C45">IFERROR(INDEX(#REF!,MATCH(TRUE,ISNUMBER(FIND(SUBSTITUTE(SUBSTITUTE(UPPER(#REF!)," ",""),":",": "),SUBSTITUTE(SUBSTITUTE(UPPER(S45)," ",""),":",": "))),0)),"Não encontrado")</f>
        <v>Não encontrado</v>
      </c>
      <c r="D45" s="46" t="str" cm="1">
        <f t="array" ref="D45">IFERROR(INDEX(#REF!,MATCH(TRUE,ISNUMBER(FIND(SUBSTITUTE(SUBSTITUTE(UPPER(#REF!)," ",""),":",": "),SUBSTITUTE(SUBSTITUTE(UPPER(S45)," ",""),":",": "))),0)),"Não encontrado")</f>
        <v>Não encontrado</v>
      </c>
      <c r="E45" s="42" t="str" cm="1">
        <f t="array" ref="E45">IFERROR(INDEX({"IMPEDITIVO"},MATCH(TRUE,ISNUMBER(FIND(SUBSTITUTE(SUBSTITUTE(UPPER({"IMPEDITIVO"})," ",""),":",": "),SUBSTITUTE(SUBSTITUTE(UPPER(S45)," ",""),":",": "))),0)),"-")</f>
        <v>-</v>
      </c>
      <c r="K45" s="49"/>
    </row>
    <row r="46" spans="1:25" s="47" customFormat="1" x14ac:dyDescent="0.25">
      <c r="A46" s="46" t="str" cm="1">
        <f t="array" ref="A46">IFERROR(INDEX(#REF!,MATCH(TRUE,ISNUMBER(FIND(SUBSTITUTE(SUBSTITUTE(UPPER(#REF!)," ",""),":",": "),SUBSTITUTE(SUBSTITUTE(UPPER(S46)," ",""),":",": "))),0)),"Undefined")</f>
        <v>Undefined</v>
      </c>
      <c r="B46" s="42" t="str" cm="1">
        <f t="array" ref="B46">IFERROR(INDEX({"URGENTE"},MATCH(TRUE,ISNUMBER(FIND(SUBSTITUTE(SUBSTITUTE(UPPER({"URGENTE"})," ",""),":",": "),SUBSTITUTE(SUBSTITUTE(UPPER(S46)," ",""),":",": "))),0)),"-")</f>
        <v>-</v>
      </c>
      <c r="C46" s="46" t="str" cm="1">
        <f t="array" ref="C46">IFERROR(INDEX(#REF!,MATCH(TRUE,ISNUMBER(FIND(SUBSTITUTE(SUBSTITUTE(UPPER(#REF!)," ",""),":",": "),SUBSTITUTE(SUBSTITUTE(UPPER(S46)," ",""),":",": "))),0)),"Não encontrado")</f>
        <v>Não encontrado</v>
      </c>
      <c r="D46" s="46" t="str" cm="1">
        <f t="array" ref="D46">IFERROR(INDEX(#REF!,MATCH(TRUE,ISNUMBER(FIND(SUBSTITUTE(SUBSTITUTE(UPPER(#REF!)," ",""),":",": "),SUBSTITUTE(SUBSTITUTE(UPPER(S46)," ",""),":",": "))),0)),"Não encontrado")</f>
        <v>Não encontrado</v>
      </c>
      <c r="E46" s="44" t="str" cm="1">
        <f t="array" ref="E46">IFERROR(INDEX({"IMPEDITIVO"},MATCH(TRUE,ISNUMBER(FIND(SUBSTITUTE(SUBSTITUTE(UPPER({"IMPEDITIVO"})," ",""),":",": "),SUBSTITUTE(SUBSTITUTE(UPPER(S46)," ",""),":",": "))),0)),"-")</f>
        <v>-</v>
      </c>
      <c r="H46" s="44"/>
      <c r="J46" s="44"/>
      <c r="K46" s="63"/>
      <c r="L46" s="58"/>
      <c r="M46" s="56"/>
      <c r="N46" s="57"/>
      <c r="O46" s="57"/>
      <c r="P46" s="57"/>
      <c r="V46" s="57"/>
      <c r="W46" s="58"/>
      <c r="X46" s="58"/>
      <c r="Y46" s="57"/>
    </row>
    <row r="47" spans="1:25" x14ac:dyDescent="0.25">
      <c r="A47" s="46" t="str" cm="1">
        <f t="array" ref="A47">IFERROR(INDEX(#REF!,MATCH(TRUE,ISNUMBER(FIND(SUBSTITUTE(SUBSTITUTE(UPPER(#REF!)," ",""),":",": "),SUBSTITUTE(SUBSTITUTE(UPPER(S47)," ",""),":",": "))),0)),"Undefined")</f>
        <v>Undefined</v>
      </c>
      <c r="B47" s="42" t="str" cm="1">
        <f t="array" ref="B47">IFERROR(INDEX({"URGENTE"},MATCH(TRUE,ISNUMBER(FIND(SUBSTITUTE(SUBSTITUTE(UPPER({"URGENTE"})," ",""),":",": "),SUBSTITUTE(SUBSTITUTE(UPPER(S47)," ",""),":",": "))),0)),"-")</f>
        <v>-</v>
      </c>
      <c r="C47" s="46" t="str" cm="1">
        <f t="array" ref="C47">IFERROR(INDEX(#REF!,MATCH(TRUE,ISNUMBER(FIND(SUBSTITUTE(SUBSTITUTE(UPPER(#REF!)," ",""),":",": "),SUBSTITUTE(SUBSTITUTE(UPPER(S47)," ",""),":",": "))),0)),"Não encontrado")</f>
        <v>Não encontrado</v>
      </c>
      <c r="D47" s="46" t="str" cm="1">
        <f t="array" ref="D47">IFERROR(INDEX(#REF!,MATCH(TRUE,ISNUMBER(FIND(SUBSTITUTE(SUBSTITUTE(UPPER(#REF!)," ",""),":",": "),SUBSTITUTE(SUBSTITUTE(UPPER(S47)," ",""),":",": "))),0)),"Não encontrado")</f>
        <v>Não encontrado</v>
      </c>
      <c r="E47" s="42" t="str" cm="1">
        <f t="array" ref="E47">IFERROR(INDEX({"IMPEDITIVO"},MATCH(TRUE,ISNUMBER(FIND(SUBSTITUTE(SUBSTITUTE(UPPER({"IMPEDITIVO"})," ",""),":",": "),SUBSTITUTE(SUBSTITUTE(UPPER(S47)," ",""),":",": "))),0)),"-")</f>
        <v>-</v>
      </c>
    </row>
    <row r="48" spans="1:25" customFormat="1" x14ac:dyDescent="0.25">
      <c r="A48" s="46" t="str" cm="1">
        <f t="array" ref="A48">IFERROR(INDEX(#REF!,MATCH(TRUE,ISNUMBER(FIND(SUBSTITUTE(SUBSTITUTE(UPPER(#REF!)," ",""),":",": "),SUBSTITUTE(SUBSTITUTE(UPPER(S48)," ",""),":",": "))),0)),"Undefined")</f>
        <v>Undefined</v>
      </c>
      <c r="B48" s="42" t="str" cm="1">
        <f t="array" ref="B48">IFERROR(INDEX({"URGENTE"},MATCH(TRUE,ISNUMBER(FIND(SUBSTITUTE(SUBSTITUTE(UPPER({"URGENTE"})," ",""),":",": "),SUBSTITUTE(SUBSTITUTE(UPPER(S48)," ",""),":",": "))),0)),"-")</f>
        <v>-</v>
      </c>
      <c r="C48" s="46" t="str" cm="1">
        <f t="array" ref="C48">IFERROR(INDEX(#REF!,MATCH(TRUE,ISNUMBER(FIND(SUBSTITUTE(SUBSTITUTE(UPPER(#REF!)," ",""),":",": "),SUBSTITUTE(SUBSTITUTE(UPPER(S48)," ",""),":",": "))),0)),"Não encontrado")</f>
        <v>Não encontrado</v>
      </c>
      <c r="D48" s="46" t="str" cm="1">
        <f t="array" ref="D48">IFERROR(INDEX(#REF!,MATCH(TRUE,ISNUMBER(FIND(SUBSTITUTE(SUBSTITUTE(UPPER(#REF!)," ",""),":",": "),SUBSTITUTE(SUBSTITUTE(UPPER(S48)," ",""),":",": "))),0)),"Não encontrado")</f>
        <v>Não encontrado</v>
      </c>
      <c r="E48" s="42" t="str" cm="1">
        <f t="array" ref="E48">IFERROR(INDEX({"IMPEDITIVO"},MATCH(TRUE,ISNUMBER(FIND(SUBSTITUTE(SUBSTITUTE(UPPER({"IMPEDITIVO"})," ",""),":",": "),SUBSTITUTE(SUBSTITUTE(UPPER(S48)," ",""),":",": "))),0)),"-")</f>
        <v>-</v>
      </c>
      <c r="F48" s="96"/>
      <c r="H48" s="40"/>
      <c r="J48" s="40"/>
      <c r="K48" s="61"/>
      <c r="L48" s="1"/>
      <c r="M48" s="45"/>
      <c r="N48" s="43"/>
      <c r="O48" s="43"/>
      <c r="P48" s="43"/>
      <c r="V48" s="43"/>
      <c r="W48" s="1"/>
      <c r="X48" s="1"/>
      <c r="Y48" s="43"/>
    </row>
    <row r="49" spans="1:25" customFormat="1" x14ac:dyDescent="0.25">
      <c r="A49" s="46" t="str" cm="1">
        <f t="array" ref="A49">IFERROR(INDEX(#REF!,MATCH(TRUE,ISNUMBER(FIND(SUBSTITUTE(SUBSTITUTE(UPPER(#REF!)," ",""),":",": "),SUBSTITUTE(SUBSTITUTE(UPPER(S49)," ",""),":",": "))),0)),"Undefined")</f>
        <v>Undefined</v>
      </c>
      <c r="B49" s="42" t="str" cm="1">
        <f t="array" ref="B49">IFERROR(INDEX({"URGENTE"},MATCH(TRUE,ISNUMBER(FIND(SUBSTITUTE(SUBSTITUTE(UPPER({"URGENTE"})," ",""),":",": "),SUBSTITUTE(SUBSTITUTE(UPPER(S49)," ",""),":",": "))),0)),"-")</f>
        <v>-</v>
      </c>
      <c r="C49" s="46" t="str" cm="1">
        <f t="array" ref="C49">IFERROR(INDEX(#REF!,MATCH(TRUE,ISNUMBER(FIND(SUBSTITUTE(SUBSTITUTE(UPPER(#REF!)," ",""),":",": "),SUBSTITUTE(SUBSTITUTE(UPPER(S49)," ",""),":",": "))),0)),"Não encontrado")</f>
        <v>Não encontrado</v>
      </c>
      <c r="D49" s="46" t="str" cm="1">
        <f t="array" ref="D49">IFERROR(INDEX(#REF!,MATCH(TRUE,ISNUMBER(FIND(SUBSTITUTE(SUBSTITUTE(UPPER(#REF!)," ",""),":",": "),SUBSTITUTE(SUBSTITUTE(UPPER(S49)," ",""),":",": "))),0)),"Não encontrado")</f>
        <v>Não encontrado</v>
      </c>
      <c r="E49" s="42" t="str" cm="1">
        <f t="array" ref="E49">IFERROR(INDEX({"IMPEDITIVO"},MATCH(TRUE,ISNUMBER(FIND(SUBSTITUTE(SUBSTITUTE(UPPER({"IMPEDITIVO"})," ",""),":",": "),SUBSTITUTE(SUBSTITUTE(UPPER(S49)," ",""),":",": "))),0)),"-")</f>
        <v>-</v>
      </c>
      <c r="F49" s="96"/>
      <c r="H49" s="40"/>
      <c r="J49" s="40"/>
      <c r="K49" s="61"/>
      <c r="L49" s="1"/>
      <c r="M49" s="45"/>
      <c r="N49" s="43"/>
      <c r="O49" s="43"/>
      <c r="P49" s="43"/>
      <c r="V49" s="43"/>
      <c r="W49" s="1"/>
      <c r="X49" s="1"/>
      <c r="Y49" s="43"/>
    </row>
    <row r="50" spans="1:25" customFormat="1" x14ac:dyDescent="0.25">
      <c r="A50" s="46" t="str" cm="1">
        <f t="array" ref="A50">IFERROR(INDEX(#REF!,MATCH(TRUE,ISNUMBER(FIND(SUBSTITUTE(SUBSTITUTE(UPPER(#REF!)," ",""),":",": "),SUBSTITUTE(SUBSTITUTE(UPPER(S50)," ",""),":",": "))),0)),"Undefined")</f>
        <v>Undefined</v>
      </c>
      <c r="B50" s="42" t="str" cm="1">
        <f t="array" ref="B50">IFERROR(INDEX({"URGENTE"},MATCH(TRUE,ISNUMBER(FIND(SUBSTITUTE(SUBSTITUTE(UPPER({"URGENTE"})," ",""),":",": "),SUBSTITUTE(SUBSTITUTE(UPPER(S50)," ",""),":",": "))),0)),"-")</f>
        <v>-</v>
      </c>
      <c r="C50" s="46" t="str" cm="1">
        <f t="array" ref="C50">IFERROR(INDEX(#REF!,MATCH(TRUE,ISNUMBER(FIND(SUBSTITUTE(SUBSTITUTE(UPPER(#REF!)," ",""),":",": "),SUBSTITUTE(SUBSTITUTE(UPPER(S50)," ",""),":",": "))),0)),"Não encontrado")</f>
        <v>Não encontrado</v>
      </c>
      <c r="D50" s="46" t="str" cm="1">
        <f t="array" ref="D50">IFERROR(INDEX(#REF!,MATCH(TRUE,ISNUMBER(FIND(SUBSTITUTE(SUBSTITUTE(UPPER(#REF!)," ",""),":",": "),SUBSTITUTE(SUBSTITUTE(UPPER(S50)," ",""),":",": "))),0)),"Não encontrado")</f>
        <v>Não encontrado</v>
      </c>
      <c r="E50" s="42" t="str" cm="1">
        <f t="array" ref="E50">IFERROR(INDEX({"IMPEDITIVO"},MATCH(TRUE,ISNUMBER(FIND(SUBSTITUTE(SUBSTITUTE(UPPER({"IMPEDITIVO"})," ",""),":",": "),SUBSTITUTE(SUBSTITUTE(UPPER(S50)," ",""),":",": "))),0)),"-")</f>
        <v>-</v>
      </c>
      <c r="F50" s="96"/>
      <c r="H50" s="40"/>
      <c r="J50" s="40"/>
      <c r="K50" s="61"/>
      <c r="L50" s="1"/>
      <c r="M50" s="45"/>
      <c r="N50" s="43"/>
      <c r="O50" s="43"/>
      <c r="P50" s="43"/>
      <c r="V50" s="43"/>
      <c r="W50" s="1"/>
      <c r="X50" s="1"/>
      <c r="Y50" s="43"/>
    </row>
    <row r="51" spans="1:25" s="9" customFormat="1" x14ac:dyDescent="0.25">
      <c r="A51" s="46" t="str" cm="1">
        <f t="array" ref="A51">IFERROR(INDEX(#REF!,MATCH(TRUE,ISNUMBER(FIND(SUBSTITUTE(SUBSTITUTE(UPPER(#REF!)," ",""),":",": "),SUBSTITUTE(SUBSTITUTE(UPPER(S51)," ",""),":",": "))),0)),"Undefined")</f>
        <v>Undefined</v>
      </c>
      <c r="B51" s="42" t="str" cm="1">
        <f t="array" ref="B51">IFERROR(INDEX({"URGENTE"},MATCH(TRUE,ISNUMBER(FIND(SUBSTITUTE(SUBSTITUTE(UPPER({"URGENTE"})," ",""),":",": "),SUBSTITUTE(SUBSTITUTE(UPPER(S51)," ",""),":",": "))),0)),"-")</f>
        <v>-</v>
      </c>
      <c r="C51" s="46" t="str" cm="1">
        <f t="array" ref="C51">IFERROR(INDEX(#REF!,MATCH(TRUE,ISNUMBER(FIND(SUBSTITUTE(SUBSTITUTE(UPPER(#REF!)," ",""),":",": "),SUBSTITUTE(SUBSTITUTE(UPPER(S51)," ",""),":",": "))),0)),"Não encontrado")</f>
        <v>Não encontrado</v>
      </c>
      <c r="D51" s="46" t="str" cm="1">
        <f t="array" ref="D51">IFERROR(INDEX(#REF!,MATCH(TRUE,ISNUMBER(FIND(SUBSTITUTE(SUBSTITUTE(UPPER(#REF!)," ",""),":",": "),SUBSTITUTE(SUBSTITUTE(UPPER(S51)," ",""),":",": "))),0)),"Não encontrado")</f>
        <v>Não encontrado</v>
      </c>
      <c r="E51" s="42" t="str" cm="1">
        <f t="array" ref="E51">IFERROR(INDEX({"IMPEDITIVO"},MATCH(TRUE,ISNUMBER(FIND(SUBSTITUTE(SUBSTITUTE(UPPER({"IMPEDITIVO"})," ",""),":",": "),SUBSTITUTE(SUBSTITUTE(UPPER(S51)," ",""),":",": "))),0)),"-")</f>
        <v>-</v>
      </c>
      <c r="F51" s="98"/>
      <c r="H51" s="50"/>
      <c r="J51" s="50"/>
      <c r="K51" s="64"/>
      <c r="L51" s="36"/>
      <c r="M51" s="45"/>
      <c r="N51" s="43"/>
      <c r="O51" s="43"/>
      <c r="P51" s="43"/>
      <c r="V51" s="43"/>
      <c r="W51" s="36"/>
      <c r="X51" s="36"/>
      <c r="Y51" s="43"/>
    </row>
    <row r="52" spans="1:25" customFormat="1" x14ac:dyDescent="0.25">
      <c r="A52" s="46" t="str" cm="1">
        <f t="array" ref="A52">IFERROR(INDEX(#REF!,MATCH(TRUE,ISNUMBER(FIND(SUBSTITUTE(SUBSTITUTE(UPPER(#REF!)," ",""),":",": "),SUBSTITUTE(SUBSTITUTE(UPPER(S52)," ",""),":",": "))),0)),"Undefined")</f>
        <v>Undefined</v>
      </c>
      <c r="B52" s="42" t="str" cm="1">
        <f t="array" ref="B52">IFERROR(INDEX({"URGENTE"},MATCH(TRUE,ISNUMBER(FIND(SUBSTITUTE(SUBSTITUTE(UPPER({"URGENTE"})," ",""),":",": "),SUBSTITUTE(SUBSTITUTE(UPPER(S52)," ",""),":",": "))),0)),"-")</f>
        <v>-</v>
      </c>
      <c r="C52" s="46" t="str" cm="1">
        <f t="array" ref="C52">IFERROR(INDEX(#REF!,MATCH(TRUE,ISNUMBER(FIND(SUBSTITUTE(SUBSTITUTE(UPPER(#REF!)," ",""),":",": "),SUBSTITUTE(SUBSTITUTE(UPPER(S52)," ",""),":",": "))),0)),"Não encontrado")</f>
        <v>Não encontrado</v>
      </c>
      <c r="D52" s="46" t="str" cm="1">
        <f t="array" ref="D52">IFERROR(INDEX(#REF!,MATCH(TRUE,ISNUMBER(FIND(SUBSTITUTE(SUBSTITUTE(UPPER(#REF!)," ",""),":",": "),SUBSTITUTE(SUBSTITUTE(UPPER(S52)," ",""),":",": "))),0)),"Não encontrado")</f>
        <v>Não encontrado</v>
      </c>
      <c r="E52" s="42" t="str" cm="1">
        <f t="array" ref="E52">IFERROR(INDEX({"IMPEDITIVO"},MATCH(TRUE,ISNUMBER(FIND(SUBSTITUTE(SUBSTITUTE(UPPER({"IMPEDITIVO"})," ",""),":",": "),SUBSTITUTE(SUBSTITUTE(UPPER(S52)," ",""),":",": "))),0)),"-")</f>
        <v>-</v>
      </c>
      <c r="F52" s="96"/>
      <c r="H52" s="40"/>
      <c r="J52" s="40"/>
      <c r="K52" s="61"/>
      <c r="L52" s="1"/>
      <c r="M52" s="45"/>
      <c r="N52" s="43"/>
      <c r="O52" s="43"/>
      <c r="P52" s="43"/>
      <c r="V52" s="43"/>
      <c r="W52" s="1"/>
      <c r="X52" s="1"/>
      <c r="Y52" s="43"/>
    </row>
    <row r="53" spans="1:25" x14ac:dyDescent="0.25">
      <c r="A53" s="46" t="str" cm="1">
        <f t="array" ref="A53">IFERROR(INDEX(#REF!,MATCH(TRUE,ISNUMBER(FIND(SUBSTITUTE(SUBSTITUTE(UPPER(#REF!)," ",""),":",": "),SUBSTITUTE(SUBSTITUTE(UPPER(S53)," ",""),":",": "))),0)),"Undefined")</f>
        <v>Undefined</v>
      </c>
      <c r="B53" s="42" t="str" cm="1">
        <f t="array" ref="B53">IFERROR(INDEX({"URGENTE"},MATCH(TRUE,ISNUMBER(FIND(SUBSTITUTE(SUBSTITUTE(UPPER({"URGENTE"})," ",""),":",": "),SUBSTITUTE(SUBSTITUTE(UPPER(S53)," ",""),":",": "))),0)),"-")</f>
        <v>-</v>
      </c>
      <c r="C53" s="46" t="str" cm="1">
        <f t="array" ref="C53">IFERROR(INDEX(#REF!,MATCH(TRUE,ISNUMBER(FIND(SUBSTITUTE(SUBSTITUTE(UPPER(#REF!)," ",""),":",": "),SUBSTITUTE(SUBSTITUTE(UPPER(S53)," ",""),":",": "))),0)),"Não encontrado")</f>
        <v>Não encontrado</v>
      </c>
      <c r="D53" s="46" t="str" cm="1">
        <f t="array" ref="D53">IFERROR(INDEX(#REF!,MATCH(TRUE,ISNUMBER(FIND(SUBSTITUTE(SUBSTITUTE(UPPER(#REF!)," ",""),":",": "),SUBSTITUTE(SUBSTITUTE(UPPER(S53)," ",""),":",": "))),0)),"Não encontrado")</f>
        <v>Não encontrado</v>
      </c>
      <c r="E53" s="42" t="str" cm="1">
        <f t="array" ref="E53">IFERROR(INDEX({"IMPEDITIVO"},MATCH(TRUE,ISNUMBER(FIND(SUBSTITUTE(SUBSTITUTE(UPPER({"IMPEDITIVO"})," ",""),":",": "),SUBSTITUTE(SUBSTITUTE(UPPER(S53)," ",""),":",": "))),0)),"-")</f>
        <v>-</v>
      </c>
    </row>
    <row r="54" spans="1:25" customFormat="1" x14ac:dyDescent="0.25">
      <c r="A54" s="46" t="str" cm="1">
        <f t="array" ref="A54">IFERROR(INDEX(#REF!,MATCH(TRUE,ISNUMBER(FIND(SUBSTITUTE(SUBSTITUTE(UPPER(#REF!)," ",""),":",": "),SUBSTITUTE(SUBSTITUTE(UPPER(S54)," ",""),":",": "))),0)),"Undefined")</f>
        <v>Undefined</v>
      </c>
      <c r="B54" s="42" t="str" cm="1">
        <f t="array" ref="B54">IFERROR(INDEX({"URGENTE"},MATCH(TRUE,ISNUMBER(FIND(SUBSTITUTE(SUBSTITUTE(UPPER({"URGENTE"})," ",""),":",": "),SUBSTITUTE(SUBSTITUTE(UPPER(S54)," ",""),":",": "))),0)),"-")</f>
        <v>-</v>
      </c>
      <c r="C54" s="46" t="str" cm="1">
        <f t="array" ref="C54">IFERROR(INDEX(#REF!,MATCH(TRUE,ISNUMBER(FIND(SUBSTITUTE(SUBSTITUTE(UPPER(#REF!)," ",""),":",": "),SUBSTITUTE(SUBSTITUTE(UPPER(S54)," ",""),":",": "))),0)),"Não encontrado")</f>
        <v>Não encontrado</v>
      </c>
      <c r="D54" s="46" t="str" cm="1">
        <f t="array" ref="D54">IFERROR(INDEX(#REF!,MATCH(TRUE,ISNUMBER(FIND(SUBSTITUTE(SUBSTITUTE(UPPER(#REF!)," ",""),":",": "),SUBSTITUTE(SUBSTITUTE(UPPER(S54)," ",""),":",": "))),0)),"Não encontrado")</f>
        <v>Não encontrado</v>
      </c>
      <c r="E54" s="42" t="str" cm="1">
        <f t="array" ref="E54">IFERROR(INDEX({"IMPEDITIVO"},MATCH(TRUE,ISNUMBER(FIND(SUBSTITUTE(SUBSTITUTE(UPPER({"IMPEDITIVO"})," ",""),":",": "),SUBSTITUTE(SUBSTITUTE(UPPER(S54)," ",""),":",": "))),0)),"-")</f>
        <v>-</v>
      </c>
      <c r="F54" s="96"/>
      <c r="H54" s="40"/>
      <c r="J54" s="40"/>
      <c r="K54" s="61"/>
      <c r="L54" s="1"/>
      <c r="M54" s="45"/>
      <c r="N54" s="43"/>
      <c r="O54" s="43"/>
      <c r="P54" s="43"/>
      <c r="V54" s="43"/>
      <c r="W54" s="1"/>
      <c r="X54" s="1"/>
      <c r="Y54" s="43"/>
    </row>
    <row r="55" spans="1:25" customFormat="1" x14ac:dyDescent="0.25">
      <c r="A55" s="46" t="str" cm="1">
        <f t="array" ref="A55">IFERROR(INDEX(#REF!,MATCH(TRUE,ISNUMBER(FIND(SUBSTITUTE(SUBSTITUTE(UPPER(#REF!)," ",""),":",": "),SUBSTITUTE(SUBSTITUTE(UPPER(S55)," ",""),":",": "))),0)),"Undefined")</f>
        <v>Undefined</v>
      </c>
      <c r="B55" s="42" t="str" cm="1">
        <f t="array" ref="B55">IFERROR(INDEX({"URGENTE"},MATCH(TRUE,ISNUMBER(FIND(SUBSTITUTE(SUBSTITUTE(UPPER({"URGENTE"})," ",""),":",": "),SUBSTITUTE(SUBSTITUTE(UPPER(S55)," ",""),":",": "))),0)),"-")</f>
        <v>-</v>
      </c>
      <c r="C55" s="46" t="str" cm="1">
        <f t="array" ref="C55">IFERROR(INDEX(#REF!,MATCH(TRUE,ISNUMBER(FIND(SUBSTITUTE(SUBSTITUTE(UPPER(#REF!)," ",""),":",": "),SUBSTITUTE(SUBSTITUTE(UPPER(S55)," ",""),":",": "))),0)),"Não encontrado")</f>
        <v>Não encontrado</v>
      </c>
      <c r="D55" s="46" t="str" cm="1">
        <f t="array" ref="D55">IFERROR(INDEX(#REF!,MATCH(TRUE,ISNUMBER(FIND(SUBSTITUTE(SUBSTITUTE(UPPER(#REF!)," ",""),":",": "),SUBSTITUTE(SUBSTITUTE(UPPER(S55)," ",""),":",": "))),0)),"Não encontrado")</f>
        <v>Não encontrado</v>
      </c>
      <c r="E55" s="42" t="str" cm="1">
        <f t="array" ref="E55">IFERROR(INDEX({"IMPEDITIVO"},MATCH(TRUE,ISNUMBER(FIND(SUBSTITUTE(SUBSTITUTE(UPPER({"IMPEDITIVO"})," ",""),":",": "),SUBSTITUTE(SUBSTITUTE(UPPER(S55)," ",""),":",": "))),0)),"-")</f>
        <v>-</v>
      </c>
      <c r="F55" s="96"/>
      <c r="H55" s="40"/>
      <c r="J55" s="40"/>
      <c r="K55" s="61"/>
      <c r="L55" s="1"/>
      <c r="M55" s="45"/>
      <c r="N55" s="43"/>
      <c r="O55" s="43"/>
      <c r="P55" s="43"/>
      <c r="V55" s="43"/>
      <c r="W55" s="1"/>
      <c r="X55" s="1"/>
      <c r="Y55" s="43"/>
    </row>
    <row r="56" spans="1:25" x14ac:dyDescent="0.25">
      <c r="A56" s="46" t="str" cm="1">
        <f t="array" ref="A56">IFERROR(INDEX(#REF!,MATCH(TRUE,ISNUMBER(FIND(SUBSTITUTE(SUBSTITUTE(UPPER(#REF!)," ",""),":",": "),SUBSTITUTE(SUBSTITUTE(UPPER(S56)," ",""),":",": "))),0)),"Undefined")</f>
        <v>Undefined</v>
      </c>
      <c r="B56" s="42" t="str" cm="1">
        <f t="array" ref="B56">IFERROR(INDEX({"URGENTE"},MATCH(TRUE,ISNUMBER(FIND(SUBSTITUTE(SUBSTITUTE(UPPER({"URGENTE"})," ",""),":",": "),SUBSTITUTE(SUBSTITUTE(UPPER(S56)," ",""),":",": "))),0)),"-")</f>
        <v>-</v>
      </c>
      <c r="C56" s="46" t="str" cm="1">
        <f t="array" ref="C56">IFERROR(INDEX(#REF!,MATCH(TRUE,ISNUMBER(FIND(SUBSTITUTE(SUBSTITUTE(UPPER(#REF!)," ",""),":",": "),SUBSTITUTE(SUBSTITUTE(UPPER(S56)," ",""),":",": "))),0)),"Não encontrado")</f>
        <v>Não encontrado</v>
      </c>
      <c r="D56" s="46" t="str" cm="1">
        <f t="array" ref="D56">IFERROR(INDEX(#REF!,MATCH(TRUE,ISNUMBER(FIND(SUBSTITUTE(SUBSTITUTE(UPPER(#REF!)," ",""),":",": "),SUBSTITUTE(SUBSTITUTE(UPPER(S56)," ",""),":",": "))),0)),"Não encontrado")</f>
        <v>Não encontrado</v>
      </c>
      <c r="E56" s="42" t="str" cm="1">
        <f t="array" ref="E56">IFERROR(INDEX({"IMPEDITIVO"},MATCH(TRUE,ISNUMBER(FIND(SUBSTITUTE(SUBSTITUTE(UPPER({"IMPEDITIVO"})," ",""),":",": "),SUBSTITUTE(SUBSTITUTE(UPPER(S56)," ",""),":",": "))),0)),"-")</f>
        <v>-</v>
      </c>
    </row>
    <row r="57" spans="1:25" customFormat="1" x14ac:dyDescent="0.25">
      <c r="A57" s="46" t="str" cm="1">
        <f t="array" ref="A57">IFERROR(INDEX(#REF!,MATCH(TRUE,ISNUMBER(FIND(SUBSTITUTE(SUBSTITUTE(UPPER(#REF!)," ",""),":",": "),SUBSTITUTE(SUBSTITUTE(UPPER(S57)," ",""),":",": "))),0)),"Undefined")</f>
        <v>Undefined</v>
      </c>
      <c r="B57" s="42" t="str" cm="1">
        <f t="array" ref="B57">IFERROR(INDEX({"URGENTE"},MATCH(TRUE,ISNUMBER(FIND(SUBSTITUTE(SUBSTITUTE(UPPER({"URGENTE"})," ",""),":",": "),SUBSTITUTE(SUBSTITUTE(UPPER(S57)," ",""),":",": "))),0)),"-")</f>
        <v>-</v>
      </c>
      <c r="C57" s="46" t="str" cm="1">
        <f t="array" ref="C57">IFERROR(INDEX(#REF!,MATCH(TRUE,ISNUMBER(FIND(SUBSTITUTE(SUBSTITUTE(UPPER(#REF!)," ",""),":",": "),SUBSTITUTE(SUBSTITUTE(UPPER(S57)," ",""),":",": "))),0)),"Não encontrado")</f>
        <v>Não encontrado</v>
      </c>
      <c r="D57" s="46" t="str" cm="1">
        <f t="array" ref="D57">IFERROR(INDEX(#REF!,MATCH(TRUE,ISNUMBER(FIND(SUBSTITUTE(SUBSTITUTE(UPPER(#REF!)," ",""),":",": "),SUBSTITUTE(SUBSTITUTE(UPPER(S57)," ",""),":",": "))),0)),"Não encontrado")</f>
        <v>Não encontrado</v>
      </c>
      <c r="E57" s="42" t="str" cm="1">
        <f t="array" ref="E57">IFERROR(INDEX({"IMPEDITIVO"},MATCH(TRUE,ISNUMBER(FIND(SUBSTITUTE(SUBSTITUTE(UPPER({"IMPEDITIVO"})," ",""),":",": "),SUBSTITUTE(SUBSTITUTE(UPPER(S57)," ",""),":",": "))),0)),"-")</f>
        <v>-</v>
      </c>
      <c r="F57" s="96"/>
      <c r="H57" s="40"/>
      <c r="J57" s="40"/>
      <c r="K57" s="61"/>
      <c r="L57" s="1"/>
      <c r="M57" s="45"/>
      <c r="N57" s="43"/>
      <c r="O57" s="43"/>
      <c r="P57" s="43"/>
      <c r="V57" s="43"/>
      <c r="W57" s="1"/>
      <c r="X57" s="1"/>
      <c r="Y57" s="43"/>
    </row>
    <row r="58" spans="1:25" s="9" customFormat="1" x14ac:dyDescent="0.25">
      <c r="A58" s="46" t="str" cm="1">
        <f t="array" ref="A58">IFERROR(INDEX(#REF!,MATCH(TRUE,ISNUMBER(FIND(SUBSTITUTE(SUBSTITUTE(UPPER(#REF!)," ",""),":",": "),SUBSTITUTE(SUBSTITUTE(UPPER(S58)," ",""),":",": "))),0)),"Undefined")</f>
        <v>Undefined</v>
      </c>
      <c r="B58" s="42" t="str" cm="1">
        <f t="array" ref="B58">IFERROR(INDEX({"URGENTE"},MATCH(TRUE,ISNUMBER(FIND(SUBSTITUTE(SUBSTITUTE(UPPER({"URGENTE"})," ",""),":",": "),SUBSTITUTE(SUBSTITUTE(UPPER(S58)," ",""),":",": "))),0)),"-")</f>
        <v>-</v>
      </c>
      <c r="C58" s="46" t="str" cm="1">
        <f t="array" ref="C58">IFERROR(INDEX(#REF!,MATCH(TRUE,ISNUMBER(FIND(SUBSTITUTE(SUBSTITUTE(UPPER(#REF!)," ",""),":",": "),SUBSTITUTE(SUBSTITUTE(UPPER(S58)," ",""),":",": "))),0)),"Não encontrado")</f>
        <v>Não encontrado</v>
      </c>
      <c r="D58" s="46" t="str" cm="1">
        <f t="array" ref="D58">IFERROR(INDEX(#REF!,MATCH(TRUE,ISNUMBER(FIND(SUBSTITUTE(SUBSTITUTE(UPPER(#REF!)," ",""),":",": "),SUBSTITUTE(SUBSTITUTE(UPPER(S58)," ",""),":",": "))),0)),"Não encontrado")</f>
        <v>Não encontrado</v>
      </c>
      <c r="E58" s="42" t="str" cm="1">
        <f t="array" ref="E58">IFERROR(INDEX({"IMPEDITIVO"},MATCH(TRUE,ISNUMBER(FIND(SUBSTITUTE(SUBSTITUTE(UPPER({"IMPEDITIVO"})," ",""),":",": "),SUBSTITUTE(SUBSTITUTE(UPPER(S58)," ",""),":",": "))),0)),"-")</f>
        <v>-</v>
      </c>
      <c r="F58" s="98"/>
      <c r="H58" s="50"/>
      <c r="J58" s="50"/>
      <c r="K58" s="64"/>
      <c r="L58" s="36"/>
      <c r="M58" s="45"/>
      <c r="N58" s="43"/>
      <c r="O58" s="43"/>
      <c r="P58" s="43"/>
      <c r="V58" s="43"/>
      <c r="W58" s="36"/>
      <c r="X58" s="36"/>
      <c r="Y58" s="43"/>
    </row>
    <row r="59" spans="1:25" s="9" customFormat="1" x14ac:dyDescent="0.25">
      <c r="A59" s="46" t="str" cm="1">
        <f t="array" ref="A59">IFERROR(INDEX(#REF!,MATCH(TRUE,ISNUMBER(FIND(SUBSTITUTE(SUBSTITUTE(UPPER(#REF!)," ",""),":",": "),SUBSTITUTE(SUBSTITUTE(UPPER(S59)," ",""),":",": "))),0)),"Undefined")</f>
        <v>Undefined</v>
      </c>
      <c r="B59" s="42" t="str" cm="1">
        <f t="array" ref="B59">IFERROR(INDEX({"URGENTE"},MATCH(TRUE,ISNUMBER(FIND(SUBSTITUTE(SUBSTITUTE(UPPER({"URGENTE"})," ",""),":",": "),SUBSTITUTE(SUBSTITUTE(UPPER(S59)," ",""),":",": "))),0)),"-")</f>
        <v>-</v>
      </c>
      <c r="C59" s="46" t="str" cm="1">
        <f t="array" ref="C59">IFERROR(INDEX(#REF!,MATCH(TRUE,ISNUMBER(FIND(SUBSTITUTE(SUBSTITUTE(UPPER(#REF!)," ",""),":",": "),SUBSTITUTE(SUBSTITUTE(UPPER(S59)," ",""),":",": "))),0)),"Não encontrado")</f>
        <v>Não encontrado</v>
      </c>
      <c r="D59" s="46" t="str" cm="1">
        <f t="array" ref="D59">IFERROR(INDEX(#REF!,MATCH(TRUE,ISNUMBER(FIND(SUBSTITUTE(SUBSTITUTE(UPPER(#REF!)," ",""),":",": "),SUBSTITUTE(SUBSTITUTE(UPPER(S59)," ",""),":",": "))),0)),"Não encontrado")</f>
        <v>Não encontrado</v>
      </c>
      <c r="E59" s="42" t="str" cm="1">
        <f t="array" ref="E59">IFERROR(INDEX({"IMPEDITIVO"},MATCH(TRUE,ISNUMBER(FIND(SUBSTITUTE(SUBSTITUTE(UPPER({"IMPEDITIVO"})," ",""),":",": "),SUBSTITUTE(SUBSTITUTE(UPPER(S59)," ",""),":",": "))),0)),"-")</f>
        <v>-</v>
      </c>
      <c r="F59" s="98"/>
      <c r="H59" s="50"/>
      <c r="J59" s="50"/>
      <c r="K59" s="64"/>
      <c r="L59" s="36"/>
      <c r="M59" s="45"/>
      <c r="N59" s="43"/>
      <c r="O59" s="43"/>
      <c r="P59" s="43"/>
      <c r="V59" s="43"/>
      <c r="W59" s="36"/>
      <c r="X59" s="36"/>
      <c r="Y59" s="43"/>
    </row>
    <row r="60" spans="1:25" s="9" customFormat="1" x14ac:dyDescent="0.25">
      <c r="A60" s="46" t="str" cm="1">
        <f t="array" ref="A60">IFERROR(INDEX(#REF!,MATCH(TRUE,ISNUMBER(FIND(SUBSTITUTE(SUBSTITUTE(UPPER(#REF!)," ",""),":",": "),SUBSTITUTE(SUBSTITUTE(UPPER(S60)," ",""),":",": "))),0)),"Undefined")</f>
        <v>Undefined</v>
      </c>
      <c r="B60" s="42" t="str" cm="1">
        <f t="array" ref="B60">IFERROR(INDEX({"URGENTE"},MATCH(TRUE,ISNUMBER(FIND(SUBSTITUTE(SUBSTITUTE(UPPER({"URGENTE"})," ",""),":",": "),SUBSTITUTE(SUBSTITUTE(UPPER(S60)," ",""),":",": "))),0)),"-")</f>
        <v>-</v>
      </c>
      <c r="C60" s="46" t="str" cm="1">
        <f t="array" ref="C60">IFERROR(INDEX(#REF!,MATCH(TRUE,ISNUMBER(FIND(SUBSTITUTE(SUBSTITUTE(UPPER(#REF!)," ",""),":",": "),SUBSTITUTE(SUBSTITUTE(UPPER(S60)," ",""),":",": "))),0)),"Não encontrado")</f>
        <v>Não encontrado</v>
      </c>
      <c r="D60" s="46" t="str" cm="1">
        <f t="array" ref="D60">IFERROR(INDEX(#REF!,MATCH(TRUE,ISNUMBER(FIND(SUBSTITUTE(SUBSTITUTE(UPPER(#REF!)," ",""),":",": "),SUBSTITUTE(SUBSTITUTE(UPPER(S60)," ",""),":",": "))),0)),"Não encontrado")</f>
        <v>Não encontrado</v>
      </c>
      <c r="E60" s="42" t="str" cm="1">
        <f t="array" ref="E60">IFERROR(INDEX({"IMPEDITIVO"},MATCH(TRUE,ISNUMBER(FIND(SUBSTITUTE(SUBSTITUTE(UPPER({"IMPEDITIVO"})," ",""),":",": "),SUBSTITUTE(SUBSTITUTE(UPPER(S60)," ",""),":",": "))),0)),"-")</f>
        <v>-</v>
      </c>
      <c r="F60" s="98"/>
      <c r="H60" s="50"/>
      <c r="J60" s="50"/>
      <c r="K60" s="64"/>
      <c r="L60" s="36"/>
      <c r="M60" s="45"/>
      <c r="N60" s="43"/>
      <c r="O60" s="43"/>
      <c r="P60" s="43"/>
      <c r="V60" s="43"/>
      <c r="W60" s="36"/>
      <c r="X60" s="36"/>
      <c r="Y60" s="43"/>
    </row>
    <row r="61" spans="1:25" s="47" customFormat="1" x14ac:dyDescent="0.25">
      <c r="A61" s="46" t="str" cm="1">
        <f t="array" ref="A61">IFERROR(INDEX(#REF!,MATCH(TRUE,ISNUMBER(FIND(SUBSTITUTE(SUBSTITUTE(UPPER(#REF!)," ",""),":",": "),SUBSTITUTE(SUBSTITUTE(UPPER(S61)," ",""),":",": "))),0)),"Undefined")</f>
        <v>Undefined</v>
      </c>
      <c r="B61" s="42" t="str" cm="1">
        <f t="array" ref="B61">IFERROR(INDEX({"URGENTE"},MATCH(TRUE,ISNUMBER(FIND(SUBSTITUTE(SUBSTITUTE(UPPER({"URGENTE"})," ",""),":",": "),SUBSTITUTE(SUBSTITUTE(UPPER(S61)," ",""),":",": "))),0)),"-")</f>
        <v>-</v>
      </c>
      <c r="C61" s="46" t="str" cm="1">
        <f t="array" ref="C61">IFERROR(INDEX(#REF!,MATCH(TRUE,ISNUMBER(FIND(SUBSTITUTE(SUBSTITUTE(UPPER(#REF!)," ",""),":",": "),SUBSTITUTE(SUBSTITUTE(UPPER(S61)," ",""),":",": "))),0)),"Não encontrado")</f>
        <v>Não encontrado</v>
      </c>
      <c r="D61" s="46" t="str" cm="1">
        <f t="array" ref="D61">IFERROR(INDEX(#REF!,MATCH(TRUE,ISNUMBER(FIND(SUBSTITUTE(SUBSTITUTE(UPPER(#REF!)," ",""),":",": "),SUBSTITUTE(SUBSTITUTE(UPPER(S61)," ",""),":",": "))),0)),"Não encontrado")</f>
        <v>Não encontrado</v>
      </c>
      <c r="E61" s="42" t="str" cm="1">
        <f t="array" ref="E61">IFERROR(INDEX({"IMPEDITIVO"},MATCH(TRUE,ISNUMBER(FIND(SUBSTITUTE(SUBSTITUTE(UPPER({"IMPEDITIVO"})," ",""),":",": "),SUBSTITUTE(SUBSTITUTE(UPPER(S61)," ",""),":",": "))),0)),"-")</f>
        <v>-</v>
      </c>
      <c r="H61" s="44"/>
      <c r="J61" s="44"/>
      <c r="K61" s="62"/>
      <c r="L61" s="58"/>
      <c r="M61" s="56"/>
      <c r="N61" s="57"/>
      <c r="O61" s="57"/>
      <c r="P61" s="57"/>
      <c r="V61" s="57"/>
      <c r="W61" s="58"/>
      <c r="X61" s="58"/>
      <c r="Y61" s="57"/>
    </row>
    <row r="62" spans="1:25" s="9" customFormat="1" x14ac:dyDescent="0.25">
      <c r="A62" s="46" t="str" cm="1">
        <f t="array" ref="A62">IFERROR(INDEX(#REF!,MATCH(TRUE,ISNUMBER(FIND(SUBSTITUTE(SUBSTITUTE(UPPER(#REF!)," ",""),":",": "),SUBSTITUTE(SUBSTITUTE(UPPER(S62)," ",""),":",": "))),0)),"Undefined")</f>
        <v>Undefined</v>
      </c>
      <c r="B62" s="42" t="str" cm="1">
        <f t="array" ref="B62">IFERROR(INDEX({"URGENTE"},MATCH(TRUE,ISNUMBER(FIND(SUBSTITUTE(SUBSTITUTE(UPPER({"URGENTE"})," ",""),":",": "),SUBSTITUTE(SUBSTITUTE(UPPER(S62)," ",""),":",": "))),0)),"-")</f>
        <v>-</v>
      </c>
      <c r="C62" s="46" t="str" cm="1">
        <f t="array" ref="C62">IFERROR(INDEX(#REF!,MATCH(TRUE,ISNUMBER(FIND(SUBSTITUTE(SUBSTITUTE(UPPER(#REF!)," ",""),":",": "),SUBSTITUTE(SUBSTITUTE(UPPER(S62)," ",""),":",": "))),0)),"Não encontrado")</f>
        <v>Não encontrado</v>
      </c>
      <c r="D62" s="46" t="str" cm="1">
        <f t="array" ref="D62">IFERROR(INDEX(#REF!,MATCH(TRUE,ISNUMBER(FIND(SUBSTITUTE(SUBSTITUTE(UPPER(#REF!)," ",""),":",": "),SUBSTITUTE(SUBSTITUTE(UPPER(S62)," ",""),":",": "))),0)),"Não encontrado")</f>
        <v>Não encontrado</v>
      </c>
      <c r="E62" s="42" t="str" cm="1">
        <f t="array" ref="E62">IFERROR(INDEX({"IMPEDITIVO"},MATCH(TRUE,ISNUMBER(FIND(SUBSTITUTE(SUBSTITUTE(UPPER({"IMPEDITIVO"})," ",""),":",": "),SUBSTITUTE(SUBSTITUTE(UPPER(S62)," ",""),":",": "))),0)),"-")</f>
        <v>-</v>
      </c>
      <c r="F62" s="98"/>
      <c r="H62" s="50"/>
      <c r="J62" s="50"/>
      <c r="K62" s="64"/>
      <c r="L62" s="36"/>
      <c r="M62" s="45"/>
      <c r="N62" s="43"/>
      <c r="O62" s="43"/>
      <c r="P62" s="43"/>
      <c r="V62" s="43"/>
      <c r="W62" s="36"/>
      <c r="X62" s="36"/>
      <c r="Y62" s="43"/>
    </row>
    <row r="63" spans="1:25" s="47" customFormat="1" x14ac:dyDescent="0.25">
      <c r="A63" s="46" t="str" cm="1">
        <f t="array" ref="A63">IFERROR(INDEX(#REF!,MATCH(TRUE,ISNUMBER(FIND(SUBSTITUTE(SUBSTITUTE(UPPER(#REF!)," ",""),":",": "),SUBSTITUTE(SUBSTITUTE(UPPER(S63)," ",""),":",": "))),0)),"Undefined")</f>
        <v>Undefined</v>
      </c>
      <c r="B63" s="42" t="str" cm="1">
        <f t="array" ref="B63">IFERROR(INDEX({"URGENTE"},MATCH(TRUE,ISNUMBER(FIND(SUBSTITUTE(SUBSTITUTE(UPPER({"URGENTE"})," ",""),":",": "),SUBSTITUTE(SUBSTITUTE(UPPER(S63)," ",""),":",": "))),0)),"-")</f>
        <v>-</v>
      </c>
      <c r="C63" s="46" t="str" cm="1">
        <f t="array" ref="C63">IFERROR(INDEX(#REF!,MATCH(TRUE,ISNUMBER(FIND(SUBSTITUTE(SUBSTITUTE(UPPER(#REF!)," ",""),":",": "),SUBSTITUTE(SUBSTITUTE(UPPER(S63)," ",""),":",": "))),0)),"Não encontrado")</f>
        <v>Não encontrado</v>
      </c>
      <c r="D63" s="46" t="str" cm="1">
        <f t="array" ref="D63">IFERROR(INDEX(#REF!,MATCH(TRUE,ISNUMBER(FIND(SUBSTITUTE(SUBSTITUTE(UPPER(#REF!)," ",""),":",": "),SUBSTITUTE(SUBSTITUTE(UPPER(S63)," ",""),":",": "))),0)),"Não encontrado")</f>
        <v>Não encontrado</v>
      </c>
      <c r="E63" s="42" t="str" cm="1">
        <f t="array" ref="E63">IFERROR(INDEX({"IMPEDITIVO"},MATCH(TRUE,ISNUMBER(FIND(SUBSTITUTE(SUBSTITUTE(UPPER({"IMPEDITIVO"})," ",""),":",": "),SUBSTITUTE(SUBSTITUTE(UPPER(S63)," ",""),":",": "))),0)),"-")</f>
        <v>-</v>
      </c>
      <c r="H63" s="44"/>
      <c r="J63" s="44"/>
      <c r="K63" s="62"/>
      <c r="L63" s="58"/>
      <c r="M63" s="56"/>
      <c r="N63" s="57"/>
      <c r="O63" s="57"/>
      <c r="P63" s="57"/>
      <c r="V63" s="57"/>
      <c r="W63" s="58"/>
      <c r="X63" s="58"/>
      <c r="Y63" s="57"/>
    </row>
    <row r="64" spans="1:25" s="47" customFormat="1" x14ac:dyDescent="0.25">
      <c r="A64" s="46" t="str" cm="1">
        <f t="array" ref="A64">IFERROR(INDEX(#REF!,MATCH(TRUE,ISNUMBER(FIND(SUBSTITUTE(SUBSTITUTE(UPPER(#REF!)," ",""),":",": "),SUBSTITUTE(SUBSTITUTE(UPPER(S64)," ",""),":",": "))),0)),"Undefined")</f>
        <v>Undefined</v>
      </c>
      <c r="B64" s="42" t="str" cm="1">
        <f t="array" ref="B64">IFERROR(INDEX({"URGENTE"},MATCH(TRUE,ISNUMBER(FIND(SUBSTITUTE(SUBSTITUTE(UPPER({"URGENTE"})," ",""),":",": "),SUBSTITUTE(SUBSTITUTE(UPPER(S64)," ",""),":",": "))),0)),"-")</f>
        <v>-</v>
      </c>
      <c r="C64" s="46" t="str" cm="1">
        <f t="array" ref="C64">IFERROR(INDEX(#REF!,MATCH(TRUE,ISNUMBER(FIND(SUBSTITUTE(SUBSTITUTE(UPPER(#REF!)," ",""),":",": "),SUBSTITUTE(SUBSTITUTE(UPPER(S64)," ",""),":",": "))),0)),"Não encontrado")</f>
        <v>Não encontrado</v>
      </c>
      <c r="D64" s="46" t="str" cm="1">
        <f t="array" ref="D64">IFERROR(INDEX(#REF!,MATCH(TRUE,ISNUMBER(FIND(SUBSTITUTE(SUBSTITUTE(UPPER(#REF!)," ",""),":",": "),SUBSTITUTE(SUBSTITUTE(UPPER(S64)," ",""),":",": "))),0)),"Não encontrado")</f>
        <v>Não encontrado</v>
      </c>
      <c r="E64" s="42" t="str" cm="1">
        <f t="array" ref="E64">IFERROR(INDEX({"IMPEDITIVO"},MATCH(TRUE,ISNUMBER(FIND(SUBSTITUTE(SUBSTITUTE(UPPER({"IMPEDITIVO"})," ",""),":",": "),SUBSTITUTE(SUBSTITUTE(UPPER(S64)," ",""),":",": "))),0)),"-")</f>
        <v>-</v>
      </c>
      <c r="H64" s="44"/>
      <c r="J64" s="44"/>
      <c r="K64" s="62"/>
      <c r="L64" s="58"/>
      <c r="M64" s="56"/>
      <c r="N64" s="57"/>
      <c r="O64" s="57"/>
      <c r="P64" s="57"/>
      <c r="V64" s="57"/>
      <c r="W64" s="58"/>
      <c r="X64" s="58"/>
      <c r="Y64" s="57"/>
    </row>
    <row r="65" spans="1:25" customFormat="1" x14ac:dyDescent="0.25">
      <c r="A65" s="46" t="str" cm="1">
        <f t="array" ref="A65">IFERROR(INDEX(#REF!,MATCH(TRUE,ISNUMBER(FIND(SUBSTITUTE(SUBSTITUTE(UPPER(#REF!)," ",""),":",": "),SUBSTITUTE(SUBSTITUTE(UPPER(S65)," ",""),":",": "))),0)),"Undefined")</f>
        <v>Undefined</v>
      </c>
      <c r="B65" s="42" t="str" cm="1">
        <f t="array" ref="B65">IFERROR(INDEX({"URGENTE"},MATCH(TRUE,ISNUMBER(FIND(SUBSTITUTE(SUBSTITUTE(UPPER({"URGENTE"})," ",""),":",": "),SUBSTITUTE(SUBSTITUTE(UPPER(S65)," ",""),":",": "))),0)),"-")</f>
        <v>-</v>
      </c>
      <c r="C65" s="46" t="str" cm="1">
        <f t="array" ref="C65">IFERROR(INDEX(#REF!,MATCH(TRUE,ISNUMBER(FIND(SUBSTITUTE(SUBSTITUTE(UPPER(#REF!)," ",""),":",": "),SUBSTITUTE(SUBSTITUTE(UPPER(S65)," ",""),":",": "))),0)),"Não encontrado")</f>
        <v>Não encontrado</v>
      </c>
      <c r="D65" s="46" t="str" cm="1">
        <f t="array" ref="D65">IFERROR(INDEX(#REF!,MATCH(TRUE,ISNUMBER(FIND(SUBSTITUTE(SUBSTITUTE(UPPER(#REF!)," ",""),":",": "),SUBSTITUTE(SUBSTITUTE(UPPER(S65)," ",""),":",": "))),0)),"Não encontrado")</f>
        <v>Não encontrado</v>
      </c>
      <c r="E65" s="42" t="str" cm="1">
        <f t="array" ref="E65">IFERROR(INDEX({"IMPEDITIVO"},MATCH(TRUE,ISNUMBER(FIND(SUBSTITUTE(SUBSTITUTE(UPPER({"IMPEDITIVO"})," ",""),":",": "),SUBSTITUTE(SUBSTITUTE(UPPER(S65)," ",""),":",": "))),0)),"-")</f>
        <v>-</v>
      </c>
      <c r="F65" s="96"/>
      <c r="H65" s="40"/>
      <c r="J65" s="40"/>
      <c r="K65" s="61"/>
      <c r="L65" s="1"/>
      <c r="M65" s="45"/>
      <c r="N65" s="43"/>
      <c r="O65" s="43"/>
      <c r="P65" s="43"/>
      <c r="V65" s="43"/>
      <c r="W65" s="1"/>
      <c r="X65" s="1"/>
      <c r="Y65" s="43"/>
    </row>
    <row r="66" spans="1:25" customFormat="1" x14ac:dyDescent="0.25">
      <c r="A66" s="46" t="str" cm="1">
        <f t="array" ref="A66">IFERROR(INDEX(#REF!,MATCH(TRUE,ISNUMBER(FIND(SUBSTITUTE(SUBSTITUTE(UPPER(#REF!)," ",""),":",": "),SUBSTITUTE(SUBSTITUTE(UPPER(S66)," ",""),":",": "))),0)),"Undefined")</f>
        <v>Undefined</v>
      </c>
      <c r="B66" s="42" t="str" cm="1">
        <f t="array" ref="B66">IFERROR(INDEX({"URGENTE"},MATCH(TRUE,ISNUMBER(FIND(SUBSTITUTE(SUBSTITUTE(UPPER({"URGENTE"})," ",""),":",": "),SUBSTITUTE(SUBSTITUTE(UPPER(S66)," ",""),":",": "))),0)),"-")</f>
        <v>-</v>
      </c>
      <c r="C66" s="46" t="str" cm="1">
        <f t="array" ref="C66">IFERROR(INDEX(#REF!,MATCH(TRUE,ISNUMBER(FIND(SUBSTITUTE(SUBSTITUTE(UPPER(#REF!)," ",""),":",": "),SUBSTITUTE(SUBSTITUTE(UPPER(S66)," ",""),":",": "))),0)),"Não encontrado")</f>
        <v>Não encontrado</v>
      </c>
      <c r="D66" s="46" t="str" cm="1">
        <f t="array" ref="D66">IFERROR(INDEX(#REF!,MATCH(TRUE,ISNUMBER(FIND(SUBSTITUTE(SUBSTITUTE(UPPER(#REF!)," ",""),":",": "),SUBSTITUTE(SUBSTITUTE(UPPER(S66)," ",""),":",": "))),0)),"Não encontrado")</f>
        <v>Não encontrado</v>
      </c>
      <c r="E66" s="42" t="str" cm="1">
        <f t="array" ref="E66">IFERROR(INDEX({"IMPEDITIVO"},MATCH(TRUE,ISNUMBER(FIND(SUBSTITUTE(SUBSTITUTE(UPPER({"IMPEDITIVO"})," ",""),":",": "),SUBSTITUTE(SUBSTITUTE(UPPER(S66)," ",""),":",": "))),0)),"-")</f>
        <v>-</v>
      </c>
      <c r="F66" s="96"/>
      <c r="H66" s="40"/>
      <c r="J66" s="40"/>
      <c r="K66" s="61"/>
      <c r="L66" s="1"/>
      <c r="M66" s="45"/>
      <c r="N66" s="43"/>
      <c r="O66" s="43"/>
      <c r="P66" s="43"/>
      <c r="V66" s="43"/>
      <c r="W66" s="1"/>
      <c r="X66" s="1"/>
      <c r="Y66" s="43"/>
    </row>
    <row r="67" spans="1:25" x14ac:dyDescent="0.25">
      <c r="A67" s="46" t="str" cm="1">
        <f t="array" ref="A67">IFERROR(INDEX(#REF!,MATCH(TRUE,ISNUMBER(FIND(SUBSTITUTE(SUBSTITUTE(UPPER(#REF!)," ",""),":",": "),SUBSTITUTE(SUBSTITUTE(UPPER(S67)," ",""),":",": "))),0)),"Undefined")</f>
        <v>Undefined</v>
      </c>
      <c r="B67" s="42" t="str" cm="1">
        <f t="array" ref="B67">IFERROR(INDEX({"URGENTE"},MATCH(TRUE,ISNUMBER(FIND(SUBSTITUTE(SUBSTITUTE(UPPER({"URGENTE"})," ",""),":",": "),SUBSTITUTE(SUBSTITUTE(UPPER(S67)," ",""),":",": "))),0)),"-")</f>
        <v>-</v>
      </c>
      <c r="C67" s="46" t="str" cm="1">
        <f t="array" ref="C67">IFERROR(INDEX(#REF!,MATCH(TRUE,ISNUMBER(FIND(SUBSTITUTE(SUBSTITUTE(UPPER(#REF!)," ",""),":",": "),SUBSTITUTE(SUBSTITUTE(UPPER(S67)," ",""),":",": "))),0)),"Não encontrado")</f>
        <v>Não encontrado</v>
      </c>
      <c r="D67" s="46" t="str" cm="1">
        <f t="array" ref="D67">IFERROR(INDEX(#REF!,MATCH(TRUE,ISNUMBER(FIND(SUBSTITUTE(SUBSTITUTE(UPPER(#REF!)," ",""),":",": "),SUBSTITUTE(SUBSTITUTE(UPPER(S67)," ",""),":",": "))),0)),"Não encontrado")</f>
        <v>Não encontrado</v>
      </c>
      <c r="E67" s="42" t="str" cm="1">
        <f t="array" ref="E67">IFERROR(INDEX({"IMPEDITIVO"},MATCH(TRUE,ISNUMBER(FIND(SUBSTITUTE(SUBSTITUTE(UPPER({"IMPEDITIVO"})," ",""),":",": "),SUBSTITUTE(SUBSTITUTE(UPPER(S67)," ",""),":",": "))),0)),"-")</f>
        <v>-</v>
      </c>
    </row>
    <row r="68" spans="1:25" customFormat="1" x14ac:dyDescent="0.25">
      <c r="A68" s="46" t="str" cm="1">
        <f t="array" ref="A68">IFERROR(INDEX(#REF!,MATCH(TRUE,ISNUMBER(FIND(SUBSTITUTE(SUBSTITUTE(UPPER(#REF!)," ",""),":",": "),SUBSTITUTE(SUBSTITUTE(UPPER(S68)," ",""),":",": "))),0)),"Undefined")</f>
        <v>Undefined</v>
      </c>
      <c r="B68" s="42" t="str" cm="1">
        <f t="array" ref="B68">IFERROR(INDEX({"URGENTE"},MATCH(TRUE,ISNUMBER(FIND(SUBSTITUTE(SUBSTITUTE(UPPER({"URGENTE"})," ",""),":",": "),SUBSTITUTE(SUBSTITUTE(UPPER(S68)," ",""),":",": "))),0)),"-")</f>
        <v>-</v>
      </c>
      <c r="C68" s="46" t="str" cm="1">
        <f t="array" ref="C68">IFERROR(INDEX(#REF!,MATCH(TRUE,ISNUMBER(FIND(SUBSTITUTE(SUBSTITUTE(UPPER(#REF!)," ",""),":",": "),SUBSTITUTE(SUBSTITUTE(UPPER(S68)," ",""),":",": "))),0)),"Não encontrado")</f>
        <v>Não encontrado</v>
      </c>
      <c r="D68" s="46" t="str" cm="1">
        <f t="array" ref="D68">IFERROR(INDEX(#REF!,MATCH(TRUE,ISNUMBER(FIND(SUBSTITUTE(SUBSTITUTE(UPPER(#REF!)," ",""),":",": "),SUBSTITUTE(SUBSTITUTE(UPPER(S68)," ",""),":",": "))),0)),"Não encontrado")</f>
        <v>Não encontrado</v>
      </c>
      <c r="E68" s="42" t="str" cm="1">
        <f t="array" ref="E68">IFERROR(INDEX({"IMPEDITIVO"},MATCH(TRUE,ISNUMBER(FIND(SUBSTITUTE(SUBSTITUTE(UPPER({"IMPEDITIVO"})," ",""),":",": "),SUBSTITUTE(SUBSTITUTE(UPPER(S68)," ",""),":",": "))),0)),"-")</f>
        <v>-</v>
      </c>
      <c r="F68" s="96"/>
      <c r="H68" s="40"/>
      <c r="J68" s="40"/>
      <c r="K68" s="61"/>
      <c r="L68" s="1"/>
      <c r="M68" s="45"/>
      <c r="N68" s="43"/>
      <c r="O68" s="43"/>
      <c r="P68" s="43"/>
      <c r="V68" s="43"/>
      <c r="W68" s="1"/>
      <c r="X68" s="1"/>
      <c r="Y68" s="43"/>
    </row>
    <row r="69" spans="1:25" customFormat="1" x14ac:dyDescent="0.25">
      <c r="A69" s="46" t="str" cm="1">
        <f t="array" ref="A69">IFERROR(INDEX(#REF!,MATCH(TRUE,ISNUMBER(FIND(SUBSTITUTE(SUBSTITUTE(UPPER(#REF!)," ",""),":",": "),SUBSTITUTE(SUBSTITUTE(UPPER(S69)," ",""),":",": "))),0)),"Undefined")</f>
        <v>Undefined</v>
      </c>
      <c r="B69" s="42" t="str" cm="1">
        <f t="array" ref="B69">IFERROR(INDEX({"URGENTE"},MATCH(TRUE,ISNUMBER(FIND(SUBSTITUTE(SUBSTITUTE(UPPER({"URGENTE"})," ",""),":",": "),SUBSTITUTE(SUBSTITUTE(UPPER(S69)," ",""),":",": "))),0)),"-")</f>
        <v>-</v>
      </c>
      <c r="C69" s="46" t="str" cm="1">
        <f t="array" ref="C69">IFERROR(INDEX(#REF!,MATCH(TRUE,ISNUMBER(FIND(SUBSTITUTE(SUBSTITUTE(UPPER(#REF!)," ",""),":",": "),SUBSTITUTE(SUBSTITUTE(UPPER(S69)," ",""),":",": "))),0)),"Não encontrado")</f>
        <v>Não encontrado</v>
      </c>
      <c r="D69" s="46" t="str" cm="1">
        <f t="array" ref="D69">IFERROR(INDEX(#REF!,MATCH(TRUE,ISNUMBER(FIND(SUBSTITUTE(SUBSTITUTE(UPPER(#REF!)," ",""),":",": "),SUBSTITUTE(SUBSTITUTE(UPPER(S69)," ",""),":",": "))),0)),"Não encontrado")</f>
        <v>Não encontrado</v>
      </c>
      <c r="E69" s="42" t="str" cm="1">
        <f t="array" ref="E69">IFERROR(INDEX({"IMPEDITIVO"},MATCH(TRUE,ISNUMBER(FIND(SUBSTITUTE(SUBSTITUTE(UPPER({"IMPEDITIVO"})," ",""),":",": "),SUBSTITUTE(SUBSTITUTE(UPPER(S69)," ",""),":",": "))),0)),"-")</f>
        <v>-</v>
      </c>
      <c r="F69" s="96"/>
      <c r="H69" s="40"/>
      <c r="J69" s="40"/>
      <c r="K69" s="61"/>
      <c r="L69" s="1"/>
      <c r="M69" s="45"/>
      <c r="N69" s="43"/>
      <c r="O69" s="43"/>
      <c r="P69" s="43"/>
      <c r="V69" s="43"/>
      <c r="W69" s="1"/>
      <c r="X69" s="1"/>
      <c r="Y69" s="43"/>
    </row>
    <row r="70" spans="1:25" customFormat="1" x14ac:dyDescent="0.25">
      <c r="A70" s="46" t="str" cm="1">
        <f t="array" ref="A70">IFERROR(INDEX(#REF!,MATCH(TRUE,ISNUMBER(FIND(SUBSTITUTE(SUBSTITUTE(UPPER(#REF!)," ",""),":",": "),SUBSTITUTE(SUBSTITUTE(UPPER(S70)," ",""),":",": "))),0)),"Undefined")</f>
        <v>Undefined</v>
      </c>
      <c r="B70" s="42" t="str" cm="1">
        <f t="array" ref="B70">IFERROR(INDEX({"URGENTE"},MATCH(TRUE,ISNUMBER(FIND(SUBSTITUTE(SUBSTITUTE(UPPER({"URGENTE"})," ",""),":",": "),SUBSTITUTE(SUBSTITUTE(UPPER(S70)," ",""),":",": "))),0)),"-")</f>
        <v>-</v>
      </c>
      <c r="C70" s="46" t="str" cm="1">
        <f t="array" ref="C70">IFERROR(INDEX(#REF!,MATCH(TRUE,ISNUMBER(FIND(SUBSTITUTE(SUBSTITUTE(UPPER(#REF!)," ",""),":",": "),SUBSTITUTE(SUBSTITUTE(UPPER(S70)," ",""),":",": "))),0)),"Não encontrado")</f>
        <v>Não encontrado</v>
      </c>
      <c r="D70" s="46" t="str" cm="1">
        <f t="array" ref="D70">IFERROR(INDEX(#REF!,MATCH(TRUE,ISNUMBER(FIND(SUBSTITUTE(SUBSTITUTE(UPPER(#REF!)," ",""),":",": "),SUBSTITUTE(SUBSTITUTE(UPPER(S70)," ",""),":",": "))),0)),"Não encontrado")</f>
        <v>Não encontrado</v>
      </c>
      <c r="E70" s="42" t="str" cm="1">
        <f t="array" ref="E70">IFERROR(INDEX({"IMPEDITIVO"},MATCH(TRUE,ISNUMBER(FIND(SUBSTITUTE(SUBSTITUTE(UPPER({"IMPEDITIVO"})," ",""),":",": "),SUBSTITUTE(SUBSTITUTE(UPPER(S70)," ",""),":",": "))),0)),"-")</f>
        <v>-</v>
      </c>
      <c r="F70" s="96"/>
      <c r="H70" s="40"/>
      <c r="J70" s="40"/>
      <c r="K70" s="61"/>
      <c r="L70" s="1"/>
      <c r="M70" s="45"/>
      <c r="N70" s="43"/>
      <c r="O70" s="43"/>
      <c r="P70" s="43"/>
      <c r="V70" s="43"/>
      <c r="W70" s="1"/>
      <c r="X70" s="1"/>
      <c r="Y70" s="43"/>
    </row>
    <row r="71" spans="1:25" x14ac:dyDescent="0.25">
      <c r="A71" s="46" t="str" cm="1">
        <f t="array" ref="A71">IFERROR(INDEX(#REF!,MATCH(TRUE,ISNUMBER(FIND(SUBSTITUTE(SUBSTITUTE(UPPER(#REF!)," ",""),":",": "),SUBSTITUTE(SUBSTITUTE(UPPER(S71)," ",""),":",": "))),0)),"Undefined")</f>
        <v>Undefined</v>
      </c>
      <c r="B71" s="42" t="str" cm="1">
        <f t="array" ref="B71">IFERROR(INDEX({"URGENTE"},MATCH(TRUE,ISNUMBER(FIND(SUBSTITUTE(SUBSTITUTE(UPPER({"URGENTE"})," ",""),":",": "),SUBSTITUTE(SUBSTITUTE(UPPER(S71)," ",""),":",": "))),0)),"-")</f>
        <v>-</v>
      </c>
      <c r="C71" s="46" t="str" cm="1">
        <f t="array" ref="C71">IFERROR(INDEX(#REF!,MATCH(TRUE,ISNUMBER(FIND(SUBSTITUTE(SUBSTITUTE(UPPER(#REF!)," ",""),":",": "),SUBSTITUTE(SUBSTITUTE(UPPER(S71)," ",""),":",": "))),0)),"Não encontrado")</f>
        <v>Não encontrado</v>
      </c>
      <c r="D71" s="46" t="str" cm="1">
        <f t="array" ref="D71">IFERROR(INDEX(#REF!,MATCH(TRUE,ISNUMBER(FIND(SUBSTITUTE(SUBSTITUTE(UPPER(#REF!)," ",""),":",": "),SUBSTITUTE(SUBSTITUTE(UPPER(S71)," ",""),":",": "))),0)),"Não encontrado")</f>
        <v>Não encontrado</v>
      </c>
      <c r="E71" s="42" t="str" cm="1">
        <f t="array" ref="E71">IFERROR(INDEX({"IMPEDITIVO"},MATCH(TRUE,ISNUMBER(FIND(SUBSTITUTE(SUBSTITUTE(UPPER({"IMPEDITIVO"})," ",""),":",": "),SUBSTITUTE(SUBSTITUTE(UPPER(S71)," ",""),":",": "))),0)),"-")</f>
        <v>-</v>
      </c>
    </row>
    <row r="72" spans="1:25" customFormat="1" x14ac:dyDescent="0.25">
      <c r="A72" s="46" t="str" cm="1">
        <f t="array" ref="A72">IFERROR(INDEX(#REF!,MATCH(TRUE,ISNUMBER(FIND(SUBSTITUTE(SUBSTITUTE(UPPER(#REF!)," ",""),":",": "),SUBSTITUTE(SUBSTITUTE(UPPER(S72)," ",""),":",": "))),0)),"Undefined")</f>
        <v>Undefined</v>
      </c>
      <c r="B72" s="42" t="str" cm="1">
        <f t="array" ref="B72">IFERROR(INDEX({"URGENTE"},MATCH(TRUE,ISNUMBER(FIND(SUBSTITUTE(SUBSTITUTE(UPPER({"URGENTE"})," ",""),":",": "),SUBSTITUTE(SUBSTITUTE(UPPER(S72)," ",""),":",": "))),0)),"-")</f>
        <v>-</v>
      </c>
      <c r="C72" s="46" t="str" cm="1">
        <f t="array" ref="C72">IFERROR(INDEX(#REF!,MATCH(TRUE,ISNUMBER(FIND(SUBSTITUTE(SUBSTITUTE(UPPER(#REF!)," ",""),":",": "),SUBSTITUTE(SUBSTITUTE(UPPER(S72)," ",""),":",": "))),0)),"Não encontrado")</f>
        <v>Não encontrado</v>
      </c>
      <c r="D72" s="46" t="str" cm="1">
        <f t="array" ref="D72">IFERROR(INDEX(#REF!,MATCH(TRUE,ISNUMBER(FIND(SUBSTITUTE(SUBSTITUTE(UPPER(#REF!)," ",""),":",": "),SUBSTITUTE(SUBSTITUTE(UPPER(S72)," ",""),":",": "))),0)),"Não encontrado")</f>
        <v>Não encontrado</v>
      </c>
      <c r="E72" s="42" t="str" cm="1">
        <f t="array" ref="E72">IFERROR(INDEX({"IMPEDITIVO"},MATCH(TRUE,ISNUMBER(FIND(SUBSTITUTE(SUBSTITUTE(UPPER({"IMPEDITIVO"})," ",""),":",": "),SUBSTITUTE(SUBSTITUTE(UPPER(S72)," ",""),":",": "))),0)),"-")</f>
        <v>-</v>
      </c>
      <c r="F72" s="96"/>
      <c r="H72" s="40"/>
      <c r="J72" s="40"/>
      <c r="K72" s="61"/>
      <c r="L72" s="1"/>
      <c r="M72" s="45"/>
      <c r="N72" s="43"/>
      <c r="O72" s="43"/>
      <c r="P72" s="43"/>
      <c r="V72" s="43"/>
      <c r="W72" s="1"/>
      <c r="X72" s="1"/>
      <c r="Y72" s="43"/>
    </row>
    <row r="73" spans="1:25" x14ac:dyDescent="0.25">
      <c r="A73" s="46" t="str" cm="1">
        <f t="array" ref="A73">IFERROR(INDEX(#REF!,MATCH(TRUE,ISNUMBER(FIND(SUBSTITUTE(SUBSTITUTE(UPPER(#REF!)," ",""),":",": "),SUBSTITUTE(SUBSTITUTE(UPPER(S73)," ",""),":",": "))),0)),"Undefined")</f>
        <v>Undefined</v>
      </c>
      <c r="B73" s="42" t="str" cm="1">
        <f t="array" ref="B73">IFERROR(INDEX({"URGENTE"},MATCH(TRUE,ISNUMBER(FIND(SUBSTITUTE(SUBSTITUTE(UPPER({"URGENTE"})," ",""),":",": "),SUBSTITUTE(SUBSTITUTE(UPPER(S73)," ",""),":",": "))),0)),"-")</f>
        <v>-</v>
      </c>
      <c r="C73" s="46" t="str" cm="1">
        <f t="array" ref="C73">IFERROR(INDEX(#REF!,MATCH(TRUE,ISNUMBER(FIND(SUBSTITUTE(SUBSTITUTE(UPPER(#REF!)," ",""),":",": "),SUBSTITUTE(SUBSTITUTE(UPPER(S73)," ",""),":",": "))),0)),"Não encontrado")</f>
        <v>Não encontrado</v>
      </c>
      <c r="D73" s="46" t="str" cm="1">
        <f t="array" ref="D73">IFERROR(INDEX(#REF!,MATCH(TRUE,ISNUMBER(FIND(SUBSTITUTE(SUBSTITUTE(UPPER(#REF!)," ",""),":",": "),SUBSTITUTE(SUBSTITUTE(UPPER(S73)," ",""),":",": "))),0)),"Não encontrado")</f>
        <v>Não encontrado</v>
      </c>
      <c r="E73" s="42" t="str" cm="1">
        <f t="array" ref="E73">IFERROR(INDEX({"IMPEDITIVO"},MATCH(TRUE,ISNUMBER(FIND(SUBSTITUTE(SUBSTITUTE(UPPER({"IMPEDITIVO"})," ",""),":",": "),SUBSTITUTE(SUBSTITUTE(UPPER(S73)," ",""),":",": "))),0)),"-")</f>
        <v>-</v>
      </c>
    </row>
    <row r="74" spans="1:25" x14ac:dyDescent="0.25">
      <c r="A74" s="46" t="str" cm="1">
        <f t="array" ref="A74">IFERROR(INDEX(#REF!,MATCH(TRUE,ISNUMBER(FIND(SUBSTITUTE(SUBSTITUTE(UPPER(#REF!)," ",""),":",": "),SUBSTITUTE(SUBSTITUTE(UPPER(S74)," ",""),":",": "))),0)),"Undefined")</f>
        <v>Undefined</v>
      </c>
      <c r="B74" s="42" t="str" cm="1">
        <f t="array" ref="B74">IFERROR(INDEX({"URGENTE"},MATCH(TRUE,ISNUMBER(FIND(SUBSTITUTE(SUBSTITUTE(UPPER({"URGENTE"})," ",""),":",": "),SUBSTITUTE(SUBSTITUTE(UPPER(S74)," ",""),":",": "))),0)),"-")</f>
        <v>-</v>
      </c>
      <c r="C74" s="46" t="str" cm="1">
        <f t="array" ref="C74">IFERROR(INDEX(#REF!,MATCH(TRUE,ISNUMBER(FIND(SUBSTITUTE(SUBSTITUTE(UPPER(#REF!)," ",""),":",": "),SUBSTITUTE(SUBSTITUTE(UPPER(S74)," ",""),":",": "))),0)),"Não encontrado")</f>
        <v>Não encontrado</v>
      </c>
      <c r="D74" s="46" t="str" cm="1">
        <f t="array" ref="D74">IFERROR(INDEX(#REF!,MATCH(TRUE,ISNUMBER(FIND(SUBSTITUTE(SUBSTITUTE(UPPER(#REF!)," ",""),":",": "),SUBSTITUTE(SUBSTITUTE(UPPER(S74)," ",""),":",": "))),0)),"Não encontrado")</f>
        <v>Não encontrado</v>
      </c>
      <c r="E74" s="42" t="str" cm="1">
        <f t="array" ref="E74">IFERROR(INDEX({"IMPEDITIVO"},MATCH(TRUE,ISNUMBER(FIND(SUBSTITUTE(SUBSTITUTE(UPPER({"IMPEDITIVO"})," ",""),":",": "),SUBSTITUTE(SUBSTITUTE(UPPER(S74)," ",""),":",": "))),0)),"-")</f>
        <v>-</v>
      </c>
    </row>
    <row r="75" spans="1:25" customFormat="1" x14ac:dyDescent="0.25">
      <c r="A75" s="46" t="str" cm="1">
        <f t="array" ref="A75">IFERROR(INDEX(#REF!,MATCH(TRUE,ISNUMBER(FIND(SUBSTITUTE(SUBSTITUTE(UPPER(#REF!)," ",""),":",": "),SUBSTITUTE(SUBSTITUTE(UPPER(S75)," ",""),":",": "))),0)),"Undefined")</f>
        <v>Undefined</v>
      </c>
      <c r="B75" s="42" t="str" cm="1">
        <f t="array" ref="B75">IFERROR(INDEX({"URGENTE"},MATCH(TRUE,ISNUMBER(FIND(SUBSTITUTE(SUBSTITUTE(UPPER({"URGENTE"})," ",""),":",": "),SUBSTITUTE(SUBSTITUTE(UPPER(S75)," ",""),":",": "))),0)),"-")</f>
        <v>-</v>
      </c>
      <c r="C75" s="46" t="str" cm="1">
        <f t="array" ref="C75">IFERROR(INDEX(#REF!,MATCH(TRUE,ISNUMBER(FIND(SUBSTITUTE(SUBSTITUTE(UPPER(#REF!)," ",""),":",": "),SUBSTITUTE(SUBSTITUTE(UPPER(S75)," ",""),":",": "))),0)),"Não encontrado")</f>
        <v>Não encontrado</v>
      </c>
      <c r="D75" s="46" t="str" cm="1">
        <f t="array" ref="D75">IFERROR(INDEX(#REF!,MATCH(TRUE,ISNUMBER(FIND(SUBSTITUTE(SUBSTITUTE(UPPER(#REF!)," ",""),":",": "),SUBSTITUTE(SUBSTITUTE(UPPER(S75)," ",""),":",": "))),0)),"Não encontrado")</f>
        <v>Não encontrado</v>
      </c>
      <c r="E75" s="42" t="str" cm="1">
        <f t="array" ref="E75">IFERROR(INDEX({"IMPEDITIVO"},MATCH(TRUE,ISNUMBER(FIND(SUBSTITUTE(SUBSTITUTE(UPPER({"IMPEDITIVO"})," ",""),":",": "),SUBSTITUTE(SUBSTITUTE(UPPER(S75)," ",""),":",": "))),0)),"-")</f>
        <v>-</v>
      </c>
      <c r="F75" s="96"/>
      <c r="H75" s="40"/>
      <c r="J75" s="40"/>
      <c r="K75" s="61"/>
      <c r="L75" s="1"/>
      <c r="M75" s="45"/>
      <c r="N75" s="43"/>
      <c r="O75" s="43"/>
      <c r="P75" s="43"/>
      <c r="V75" s="43"/>
      <c r="W75" s="1"/>
      <c r="X75" s="1"/>
      <c r="Y75" s="43"/>
    </row>
    <row r="76" spans="1:25" customFormat="1" x14ac:dyDescent="0.25">
      <c r="A76" s="46" t="str" cm="1">
        <f t="array" ref="A76">IFERROR(INDEX(#REF!,MATCH(TRUE,ISNUMBER(FIND(SUBSTITUTE(SUBSTITUTE(UPPER(#REF!)," ",""),":",": "),SUBSTITUTE(SUBSTITUTE(UPPER(S76)," ",""),":",": "))),0)),"Undefined")</f>
        <v>Undefined</v>
      </c>
      <c r="B76" s="42" t="str" cm="1">
        <f t="array" ref="B76">IFERROR(INDEX({"URGENTE"},MATCH(TRUE,ISNUMBER(FIND(SUBSTITUTE(SUBSTITUTE(UPPER({"URGENTE"})," ",""),":",": "),SUBSTITUTE(SUBSTITUTE(UPPER(S76)," ",""),":",": "))),0)),"-")</f>
        <v>-</v>
      </c>
      <c r="C76" s="46" t="str" cm="1">
        <f t="array" ref="C76">IFERROR(INDEX(#REF!,MATCH(TRUE,ISNUMBER(FIND(SUBSTITUTE(SUBSTITUTE(UPPER(#REF!)," ",""),":",": "),SUBSTITUTE(SUBSTITUTE(UPPER(S76)," ",""),":",": "))),0)),"Não encontrado")</f>
        <v>Não encontrado</v>
      </c>
      <c r="D76" s="46" t="str" cm="1">
        <f t="array" ref="D76">IFERROR(INDEX(#REF!,MATCH(TRUE,ISNUMBER(FIND(SUBSTITUTE(SUBSTITUTE(UPPER(#REF!)," ",""),":",": "),SUBSTITUTE(SUBSTITUTE(UPPER(S76)," ",""),":",": "))),0)),"Não encontrado")</f>
        <v>Não encontrado</v>
      </c>
      <c r="E76" s="42" t="str" cm="1">
        <f t="array" ref="E76">IFERROR(INDEX({"IMPEDITIVO"},MATCH(TRUE,ISNUMBER(FIND(SUBSTITUTE(SUBSTITUTE(UPPER({"IMPEDITIVO"})," ",""),":",": "),SUBSTITUTE(SUBSTITUTE(UPPER(S76)," ",""),":",": "))),0)),"-")</f>
        <v>-</v>
      </c>
      <c r="F76" s="96"/>
      <c r="H76" s="40"/>
      <c r="J76" s="40"/>
      <c r="K76" s="61"/>
      <c r="L76" s="1"/>
      <c r="M76" s="45"/>
      <c r="N76" s="43"/>
      <c r="O76" s="43"/>
      <c r="P76" s="43"/>
      <c r="V76" s="43"/>
      <c r="W76" s="1"/>
      <c r="X76" s="1"/>
      <c r="Y76" s="43"/>
    </row>
    <row r="77" spans="1:25" x14ac:dyDescent="0.25">
      <c r="A77" s="46" t="str" cm="1">
        <f t="array" ref="A77">IFERROR(INDEX(#REF!,MATCH(TRUE,ISNUMBER(FIND(SUBSTITUTE(SUBSTITUTE(UPPER(#REF!)," ",""),":",": "),SUBSTITUTE(SUBSTITUTE(UPPER(S77)," ",""),":",": "))),0)),"Undefined")</f>
        <v>Undefined</v>
      </c>
      <c r="B77" s="42" t="str" cm="1">
        <f t="array" ref="B77">IFERROR(INDEX({"URGENTE"},MATCH(TRUE,ISNUMBER(FIND(SUBSTITUTE(SUBSTITUTE(UPPER({"URGENTE"})," ",""),":",": "),SUBSTITUTE(SUBSTITUTE(UPPER(S77)," ",""),":",": "))),0)),"-")</f>
        <v>-</v>
      </c>
      <c r="C77" s="46" t="str" cm="1">
        <f t="array" ref="C77">IFERROR(INDEX(#REF!,MATCH(TRUE,ISNUMBER(FIND(SUBSTITUTE(SUBSTITUTE(UPPER(#REF!)," ",""),":",": "),SUBSTITUTE(SUBSTITUTE(UPPER(S77)," ",""),":",": "))),0)),"Não encontrado")</f>
        <v>Não encontrado</v>
      </c>
      <c r="D77" s="46" t="str" cm="1">
        <f t="array" ref="D77">IFERROR(INDEX(#REF!,MATCH(TRUE,ISNUMBER(FIND(SUBSTITUTE(SUBSTITUTE(UPPER(#REF!)," ",""),":",": "),SUBSTITUTE(SUBSTITUTE(UPPER(S77)," ",""),":",": "))),0)),"Não encontrado")</f>
        <v>Não encontrado</v>
      </c>
      <c r="E77" s="42" t="str" cm="1">
        <f t="array" ref="E77">IFERROR(INDEX({"IMPEDITIVO"},MATCH(TRUE,ISNUMBER(FIND(SUBSTITUTE(SUBSTITUTE(UPPER({"IMPEDITIVO"})," ",""),":",": "),SUBSTITUTE(SUBSTITUTE(UPPER(S77)," ",""),":",": "))),0)),"-")</f>
        <v>-</v>
      </c>
    </row>
    <row r="78" spans="1:25" customFormat="1" x14ac:dyDescent="0.25">
      <c r="A78" s="46" t="str" cm="1">
        <f t="array" ref="A78">IFERROR(INDEX(#REF!,MATCH(TRUE,ISNUMBER(FIND(SUBSTITUTE(SUBSTITUTE(UPPER(#REF!)," ",""),":",": "),SUBSTITUTE(SUBSTITUTE(UPPER(S78)," ",""),":",": "))),0)),"Undefined")</f>
        <v>Undefined</v>
      </c>
      <c r="B78" s="42" t="str" cm="1">
        <f t="array" ref="B78">IFERROR(INDEX({"URGENTE"},MATCH(TRUE,ISNUMBER(FIND(SUBSTITUTE(SUBSTITUTE(UPPER({"URGENTE"})," ",""),":",": "),SUBSTITUTE(SUBSTITUTE(UPPER(S78)," ",""),":",": "))),0)),"-")</f>
        <v>-</v>
      </c>
      <c r="C78" s="46" t="str" cm="1">
        <f t="array" ref="C78">IFERROR(INDEX(#REF!,MATCH(TRUE,ISNUMBER(FIND(SUBSTITUTE(SUBSTITUTE(UPPER(#REF!)," ",""),":",": "),SUBSTITUTE(SUBSTITUTE(UPPER(S78)," ",""),":",": "))),0)),"Não encontrado")</f>
        <v>Não encontrado</v>
      </c>
      <c r="D78" s="46" t="str" cm="1">
        <f t="array" ref="D78">IFERROR(INDEX(#REF!,MATCH(TRUE,ISNUMBER(FIND(SUBSTITUTE(SUBSTITUTE(UPPER(#REF!)," ",""),":",": "),SUBSTITUTE(SUBSTITUTE(UPPER(S78)," ",""),":",": "))),0)),"Não encontrado")</f>
        <v>Não encontrado</v>
      </c>
      <c r="E78" s="42" t="str" cm="1">
        <f t="array" ref="E78">IFERROR(INDEX({"IMPEDITIVO"},MATCH(TRUE,ISNUMBER(FIND(SUBSTITUTE(SUBSTITUTE(UPPER({"IMPEDITIVO"})," ",""),":",": "),SUBSTITUTE(SUBSTITUTE(UPPER(S78)," ",""),":",": "))),0)),"-")</f>
        <v>-</v>
      </c>
      <c r="F78" s="96"/>
      <c r="H78" s="40"/>
      <c r="J78" s="40"/>
      <c r="K78" s="61"/>
      <c r="L78" s="1"/>
      <c r="M78" s="45"/>
      <c r="N78" s="43"/>
      <c r="O78" s="43"/>
      <c r="P78" s="43"/>
      <c r="V78" s="43"/>
      <c r="W78" s="1"/>
      <c r="X78" s="1"/>
      <c r="Y78" s="43"/>
    </row>
    <row r="79" spans="1:25" customFormat="1" x14ac:dyDescent="0.25">
      <c r="A79" s="46" t="str" cm="1">
        <f t="array" ref="A79">IFERROR(INDEX(#REF!,MATCH(TRUE,ISNUMBER(FIND(SUBSTITUTE(SUBSTITUTE(UPPER(#REF!)," ",""),":",": "),SUBSTITUTE(SUBSTITUTE(UPPER(S79)," ",""),":",": "))),0)),"Undefined")</f>
        <v>Undefined</v>
      </c>
      <c r="B79" s="42" t="str" cm="1">
        <f t="array" ref="B79">IFERROR(INDEX({"URGENTE"},MATCH(TRUE,ISNUMBER(FIND(SUBSTITUTE(SUBSTITUTE(UPPER({"URGENTE"})," ",""),":",": "),SUBSTITUTE(SUBSTITUTE(UPPER(S79)," ",""),":",": "))),0)),"-")</f>
        <v>-</v>
      </c>
      <c r="C79" s="46" t="str" cm="1">
        <f t="array" ref="C79">IFERROR(INDEX(#REF!,MATCH(TRUE,ISNUMBER(FIND(SUBSTITUTE(SUBSTITUTE(UPPER(#REF!)," ",""),":",": "),SUBSTITUTE(SUBSTITUTE(UPPER(S79)," ",""),":",": "))),0)),"Não encontrado")</f>
        <v>Não encontrado</v>
      </c>
      <c r="D79" s="46" t="str" cm="1">
        <f t="array" ref="D79">IFERROR(INDEX(#REF!,MATCH(TRUE,ISNUMBER(FIND(SUBSTITUTE(SUBSTITUTE(UPPER(#REF!)," ",""),":",": "),SUBSTITUTE(SUBSTITUTE(UPPER(S79)," ",""),":",": "))),0)),"Não encontrado")</f>
        <v>Não encontrado</v>
      </c>
      <c r="E79" s="42" t="str" cm="1">
        <f t="array" ref="E79">IFERROR(INDEX({"IMPEDITIVO"},MATCH(TRUE,ISNUMBER(FIND(SUBSTITUTE(SUBSTITUTE(UPPER({"IMPEDITIVO"})," ",""),":",": "),SUBSTITUTE(SUBSTITUTE(UPPER(S79)," ",""),":",": "))),0)),"-")</f>
        <v>-</v>
      </c>
      <c r="F79" s="96"/>
      <c r="H79" s="40"/>
      <c r="J79" s="40"/>
      <c r="K79" s="61"/>
      <c r="L79" s="1"/>
      <c r="M79" s="45"/>
      <c r="N79" s="43"/>
      <c r="O79" s="43"/>
      <c r="P79" s="43"/>
      <c r="V79" s="43"/>
      <c r="W79" s="1"/>
      <c r="X79" s="1"/>
      <c r="Y79" s="43"/>
    </row>
    <row r="80" spans="1:25" customFormat="1" x14ac:dyDescent="0.25">
      <c r="A80" s="46" t="str" cm="1">
        <f t="array" ref="A80">IFERROR(INDEX(#REF!,MATCH(TRUE,ISNUMBER(FIND(SUBSTITUTE(SUBSTITUTE(UPPER(#REF!)," ",""),":",": "),SUBSTITUTE(SUBSTITUTE(UPPER(S80)," ",""),":",": "))),0)),"Undefined")</f>
        <v>Undefined</v>
      </c>
      <c r="B80" s="42" t="str" cm="1">
        <f t="array" ref="B80">IFERROR(INDEX({"URGENTE"},MATCH(TRUE,ISNUMBER(FIND(SUBSTITUTE(SUBSTITUTE(UPPER({"URGENTE"})," ",""),":",": "),SUBSTITUTE(SUBSTITUTE(UPPER(S80)," ",""),":",": "))),0)),"-")</f>
        <v>-</v>
      </c>
      <c r="C80" s="46" t="str" cm="1">
        <f t="array" ref="C80">IFERROR(INDEX(#REF!,MATCH(TRUE,ISNUMBER(FIND(SUBSTITUTE(SUBSTITUTE(UPPER(#REF!)," ",""),":",": "),SUBSTITUTE(SUBSTITUTE(UPPER(S80)," ",""),":",": "))),0)),"Não encontrado")</f>
        <v>Não encontrado</v>
      </c>
      <c r="D80" s="46" t="str" cm="1">
        <f t="array" ref="D80">IFERROR(INDEX(#REF!,MATCH(TRUE,ISNUMBER(FIND(SUBSTITUTE(SUBSTITUTE(UPPER(#REF!)," ",""),":",": "),SUBSTITUTE(SUBSTITUTE(UPPER(S80)," ",""),":",": "))),0)),"Não encontrado")</f>
        <v>Não encontrado</v>
      </c>
      <c r="E80" s="42" t="str" cm="1">
        <f t="array" ref="E80">IFERROR(INDEX({"IMPEDITIVO"},MATCH(TRUE,ISNUMBER(FIND(SUBSTITUTE(SUBSTITUTE(UPPER({"IMPEDITIVO"})," ",""),":",": "),SUBSTITUTE(SUBSTITUTE(UPPER(S80)," ",""),":",": "))),0)),"-")</f>
        <v>-</v>
      </c>
      <c r="F80" s="96"/>
      <c r="H80" s="40"/>
      <c r="J80" s="40"/>
      <c r="K80" s="61"/>
      <c r="L80" s="1"/>
      <c r="M80" s="45"/>
      <c r="N80" s="43"/>
      <c r="O80" s="43"/>
      <c r="P80" s="43"/>
      <c r="V80" s="43"/>
      <c r="W80" s="1"/>
      <c r="X80" s="1"/>
      <c r="Y80" s="43"/>
    </row>
    <row r="81" spans="1:25" customFormat="1" x14ac:dyDescent="0.25">
      <c r="A81" s="46" t="str" cm="1">
        <f t="array" ref="A81">IFERROR(INDEX(#REF!,MATCH(TRUE,ISNUMBER(FIND(SUBSTITUTE(SUBSTITUTE(UPPER(#REF!)," ",""),":",": "),SUBSTITUTE(SUBSTITUTE(UPPER(S81)," ",""),":",": "))),0)),"Undefined")</f>
        <v>Undefined</v>
      </c>
      <c r="B81" s="42" t="str" cm="1">
        <f t="array" ref="B81">IFERROR(INDEX({"URGENTE"},MATCH(TRUE,ISNUMBER(FIND(SUBSTITUTE(SUBSTITUTE(UPPER({"URGENTE"})," ",""),":",": "),SUBSTITUTE(SUBSTITUTE(UPPER(S81)," ",""),":",": "))),0)),"-")</f>
        <v>-</v>
      </c>
      <c r="C81" s="46" t="str" cm="1">
        <f t="array" ref="C81">IFERROR(INDEX(#REF!,MATCH(TRUE,ISNUMBER(FIND(SUBSTITUTE(SUBSTITUTE(UPPER(#REF!)," ",""),":",": "),SUBSTITUTE(SUBSTITUTE(UPPER(S81)," ",""),":",": "))),0)),"Não encontrado")</f>
        <v>Não encontrado</v>
      </c>
      <c r="D81" s="46" t="str" cm="1">
        <f t="array" ref="D81">IFERROR(INDEX(#REF!,MATCH(TRUE,ISNUMBER(FIND(SUBSTITUTE(SUBSTITUTE(UPPER(#REF!)," ",""),":",": "),SUBSTITUTE(SUBSTITUTE(UPPER(S81)," ",""),":",": "))),0)),"Não encontrado")</f>
        <v>Não encontrado</v>
      </c>
      <c r="E81" s="42" t="str" cm="1">
        <f t="array" ref="E81">IFERROR(INDEX({"IMPEDITIVO"},MATCH(TRUE,ISNUMBER(FIND(SUBSTITUTE(SUBSTITUTE(UPPER({"IMPEDITIVO"})," ",""),":",": "),SUBSTITUTE(SUBSTITUTE(UPPER(S81)," ",""),":",": "))),0)),"-")</f>
        <v>-</v>
      </c>
      <c r="F81" s="96"/>
      <c r="H81" s="40"/>
      <c r="J81" s="40"/>
      <c r="K81" s="61"/>
      <c r="L81" s="1"/>
      <c r="M81" s="45"/>
      <c r="N81" s="43"/>
      <c r="O81" s="43"/>
      <c r="P81" s="43"/>
      <c r="V81" s="43"/>
      <c r="W81" s="1"/>
      <c r="X81" s="1"/>
      <c r="Y81" s="43"/>
    </row>
    <row r="82" spans="1:25" customFormat="1" x14ac:dyDescent="0.25">
      <c r="A82" s="46" t="str" cm="1">
        <f t="array" ref="A82">IFERROR(INDEX(#REF!,MATCH(TRUE,ISNUMBER(FIND(SUBSTITUTE(SUBSTITUTE(UPPER(#REF!)," ",""),":",": "),SUBSTITUTE(SUBSTITUTE(UPPER(S82)," ",""),":",": "))),0)),"Undefined")</f>
        <v>Undefined</v>
      </c>
      <c r="B82" s="42" t="str" cm="1">
        <f t="array" ref="B82">IFERROR(INDEX({"URGENTE"},MATCH(TRUE,ISNUMBER(FIND(SUBSTITUTE(SUBSTITUTE(UPPER({"URGENTE"})," ",""),":",": "),SUBSTITUTE(SUBSTITUTE(UPPER(S82)," ",""),":",": "))),0)),"-")</f>
        <v>-</v>
      </c>
      <c r="C82" s="46" t="str" cm="1">
        <f t="array" ref="C82">IFERROR(INDEX(#REF!,MATCH(TRUE,ISNUMBER(FIND(SUBSTITUTE(SUBSTITUTE(UPPER(#REF!)," ",""),":",": "),SUBSTITUTE(SUBSTITUTE(UPPER(S82)," ",""),":",": "))),0)),"Não encontrado")</f>
        <v>Não encontrado</v>
      </c>
      <c r="D82" s="46" t="str" cm="1">
        <f t="array" ref="D82">IFERROR(INDEX(#REF!,MATCH(TRUE,ISNUMBER(FIND(SUBSTITUTE(SUBSTITUTE(UPPER(#REF!)," ",""),":",": "),SUBSTITUTE(SUBSTITUTE(UPPER(S82)," ",""),":",": "))),0)),"Não encontrado")</f>
        <v>Não encontrado</v>
      </c>
      <c r="E82" s="42" t="str" cm="1">
        <f t="array" ref="E82">IFERROR(INDEX({"IMPEDITIVO"},MATCH(TRUE,ISNUMBER(FIND(SUBSTITUTE(SUBSTITUTE(UPPER({"IMPEDITIVO"})," ",""),":",": "),SUBSTITUTE(SUBSTITUTE(UPPER(S82)," ",""),":",": "))),0)),"-")</f>
        <v>-</v>
      </c>
      <c r="F82" s="96"/>
      <c r="H82" s="40"/>
      <c r="J82" s="40"/>
      <c r="K82" s="61"/>
      <c r="L82" s="1"/>
      <c r="M82" s="45"/>
      <c r="N82" s="43"/>
      <c r="O82" s="43"/>
      <c r="P82" s="43"/>
      <c r="V82" s="43"/>
      <c r="W82" s="1"/>
      <c r="X82" s="1"/>
      <c r="Y82" s="43"/>
    </row>
    <row r="83" spans="1:25" customFormat="1" x14ac:dyDescent="0.25">
      <c r="A83" s="46" t="str" cm="1">
        <f t="array" ref="A83">IFERROR(INDEX(#REF!,MATCH(TRUE,ISNUMBER(FIND(SUBSTITUTE(SUBSTITUTE(UPPER(#REF!)," ",""),":",": "),SUBSTITUTE(SUBSTITUTE(UPPER(S83)," ",""),":",": "))),0)),"Undefined")</f>
        <v>Undefined</v>
      </c>
      <c r="B83" s="42" t="str" cm="1">
        <f t="array" ref="B83">IFERROR(INDEX({"URGENTE"},MATCH(TRUE,ISNUMBER(FIND(SUBSTITUTE(SUBSTITUTE(UPPER({"URGENTE"})," ",""),":",": "),SUBSTITUTE(SUBSTITUTE(UPPER(S83)," ",""),":",": "))),0)),"-")</f>
        <v>-</v>
      </c>
      <c r="C83" s="46" t="str" cm="1">
        <f t="array" ref="C83">IFERROR(INDEX(#REF!,MATCH(TRUE,ISNUMBER(FIND(SUBSTITUTE(SUBSTITUTE(UPPER(#REF!)," ",""),":",": "),SUBSTITUTE(SUBSTITUTE(UPPER(S83)," ",""),":",": "))),0)),"Não encontrado")</f>
        <v>Não encontrado</v>
      </c>
      <c r="D83" s="46" t="str" cm="1">
        <f t="array" ref="D83">IFERROR(INDEX(#REF!,MATCH(TRUE,ISNUMBER(FIND(SUBSTITUTE(SUBSTITUTE(UPPER(#REF!)," ",""),":",": "),SUBSTITUTE(SUBSTITUTE(UPPER(S83)," ",""),":",": "))),0)),"Não encontrado")</f>
        <v>Não encontrado</v>
      </c>
      <c r="E83" s="42" t="str" cm="1">
        <f t="array" ref="E83">IFERROR(INDEX({"IMPEDITIVO"},MATCH(TRUE,ISNUMBER(FIND(SUBSTITUTE(SUBSTITUTE(UPPER({"IMPEDITIVO"})," ",""),":",": "),SUBSTITUTE(SUBSTITUTE(UPPER(S83)," ",""),":",": "))),0)),"-")</f>
        <v>-</v>
      </c>
      <c r="F83" s="96"/>
      <c r="H83" s="40"/>
      <c r="J83" s="40"/>
      <c r="K83" s="61"/>
      <c r="L83" s="1"/>
      <c r="M83" s="45"/>
      <c r="N83" s="43"/>
      <c r="O83" s="43"/>
      <c r="P83" s="43"/>
      <c r="V83" s="43"/>
      <c r="W83" s="1"/>
      <c r="X83" s="1"/>
      <c r="Y83" s="43"/>
    </row>
    <row r="84" spans="1:25" x14ac:dyDescent="0.25">
      <c r="A84" s="46" t="str" cm="1">
        <f t="array" ref="A84">IFERROR(INDEX(#REF!,MATCH(TRUE,ISNUMBER(FIND(SUBSTITUTE(SUBSTITUTE(UPPER(#REF!)," ",""),":",": "),SUBSTITUTE(SUBSTITUTE(UPPER(S84)," ",""),":",": "))),0)),"Undefined")</f>
        <v>Undefined</v>
      </c>
      <c r="B84" s="42" t="str" cm="1">
        <f t="array" ref="B84">IFERROR(INDEX({"URGENTE"},MATCH(TRUE,ISNUMBER(FIND(SUBSTITUTE(SUBSTITUTE(UPPER({"URGENTE"})," ",""),":",": "),SUBSTITUTE(SUBSTITUTE(UPPER(S84)," ",""),":",": "))),0)),"-")</f>
        <v>-</v>
      </c>
      <c r="C84" s="46" t="str" cm="1">
        <f t="array" ref="C84">IFERROR(INDEX(#REF!,MATCH(TRUE,ISNUMBER(FIND(SUBSTITUTE(SUBSTITUTE(UPPER(#REF!)," ",""),":",": "),SUBSTITUTE(SUBSTITUTE(UPPER(S84)," ",""),":",": "))),0)),"Não encontrado")</f>
        <v>Não encontrado</v>
      </c>
      <c r="D84" s="46" t="str" cm="1">
        <f t="array" ref="D84">IFERROR(INDEX(#REF!,MATCH(TRUE,ISNUMBER(FIND(SUBSTITUTE(SUBSTITUTE(UPPER(#REF!)," ",""),":",": "),SUBSTITUTE(SUBSTITUTE(UPPER(S84)," ",""),":",": "))),0)),"Não encontrado")</f>
        <v>Não encontrado</v>
      </c>
      <c r="E84" s="42" t="str" cm="1">
        <f t="array" ref="E84">IFERROR(INDEX({"IMPEDITIVO"},MATCH(TRUE,ISNUMBER(FIND(SUBSTITUTE(SUBSTITUTE(UPPER({"IMPEDITIVO"})," ",""),":",": "),SUBSTITUTE(SUBSTITUTE(UPPER(S84)," ",""),":",": "))),0)),"-")</f>
        <v>-</v>
      </c>
    </row>
    <row r="85" spans="1:25" x14ac:dyDescent="0.25">
      <c r="A85" s="46" t="str" cm="1">
        <f t="array" ref="A85">IFERROR(INDEX(#REF!,MATCH(TRUE,ISNUMBER(FIND(SUBSTITUTE(SUBSTITUTE(UPPER(#REF!)," ",""),":",": "),SUBSTITUTE(SUBSTITUTE(UPPER(S85)," ",""),":",": "))),0)),"Undefined")</f>
        <v>Undefined</v>
      </c>
      <c r="B85" s="42" t="str" cm="1">
        <f t="array" ref="B85">IFERROR(INDEX({"URGENTE"},MATCH(TRUE,ISNUMBER(FIND(SUBSTITUTE(SUBSTITUTE(UPPER({"URGENTE"})," ",""),":",": "),SUBSTITUTE(SUBSTITUTE(UPPER(S85)," ",""),":",": "))),0)),"-")</f>
        <v>-</v>
      </c>
      <c r="C85" s="46" t="str" cm="1">
        <f t="array" ref="C85">IFERROR(INDEX(#REF!,MATCH(TRUE,ISNUMBER(FIND(SUBSTITUTE(SUBSTITUTE(UPPER(#REF!)," ",""),":",": "),SUBSTITUTE(SUBSTITUTE(UPPER(S85)," ",""),":",": "))),0)),"Não encontrado")</f>
        <v>Não encontrado</v>
      </c>
      <c r="D85" s="46" t="str" cm="1">
        <f t="array" ref="D85">IFERROR(INDEX(#REF!,MATCH(TRUE,ISNUMBER(FIND(SUBSTITUTE(SUBSTITUTE(UPPER(#REF!)," ",""),":",": "),SUBSTITUTE(SUBSTITUTE(UPPER(S85)," ",""),":",": "))),0)),"Não encontrado")</f>
        <v>Não encontrado</v>
      </c>
      <c r="E85" s="42" t="str" cm="1">
        <f t="array" ref="E85">IFERROR(INDEX({"IMPEDITIVO"},MATCH(TRUE,ISNUMBER(FIND(SUBSTITUTE(SUBSTITUTE(UPPER({"IMPEDITIVO"})," ",""),":",": "),SUBSTITUTE(SUBSTITUTE(UPPER(S85)," ",""),":",": "))),0)),"-")</f>
        <v>-</v>
      </c>
    </row>
    <row r="86" spans="1:25" x14ac:dyDescent="0.25">
      <c r="A86" s="46" t="str" cm="1">
        <f t="array" ref="A86">IFERROR(INDEX(#REF!,MATCH(TRUE,ISNUMBER(FIND(SUBSTITUTE(SUBSTITUTE(UPPER(#REF!)," ",""),":",": "),SUBSTITUTE(SUBSTITUTE(UPPER(S86)," ",""),":",": "))),0)),"Undefined")</f>
        <v>Undefined</v>
      </c>
      <c r="B86" s="42" t="str" cm="1">
        <f t="array" ref="B86">IFERROR(INDEX({"URGENTE"},MATCH(TRUE,ISNUMBER(FIND(SUBSTITUTE(SUBSTITUTE(UPPER({"URGENTE"})," ",""),":",": "),SUBSTITUTE(SUBSTITUTE(UPPER(S86)," ",""),":",": "))),0)),"-")</f>
        <v>-</v>
      </c>
      <c r="C86" s="46" t="str" cm="1">
        <f t="array" ref="C86">IFERROR(INDEX(#REF!,MATCH(TRUE,ISNUMBER(FIND(SUBSTITUTE(SUBSTITUTE(UPPER(#REF!)," ",""),":",": "),SUBSTITUTE(SUBSTITUTE(UPPER(S86)," ",""),":",": "))),0)),"Não encontrado")</f>
        <v>Não encontrado</v>
      </c>
      <c r="D86" s="46" t="str" cm="1">
        <f t="array" ref="D86">IFERROR(INDEX(#REF!,MATCH(TRUE,ISNUMBER(FIND(SUBSTITUTE(SUBSTITUTE(UPPER(#REF!)," ",""),":",": "),SUBSTITUTE(SUBSTITUTE(UPPER(S86)," ",""),":",": "))),0)),"Não encontrado")</f>
        <v>Não encontrado</v>
      </c>
      <c r="E86" s="42" t="str" cm="1">
        <f t="array" ref="E86">IFERROR(INDEX({"IMPEDITIVO"},MATCH(TRUE,ISNUMBER(FIND(SUBSTITUTE(SUBSTITUTE(UPPER({"IMPEDITIVO"})," ",""),":",": "),SUBSTITUTE(SUBSTITUTE(UPPER(S86)," ",""),":",": "))),0)),"-")</f>
        <v>-</v>
      </c>
    </row>
    <row r="87" spans="1:25" x14ac:dyDescent="0.25">
      <c r="A87" s="46" t="str" cm="1">
        <f t="array" ref="A87">IFERROR(INDEX(#REF!,MATCH(TRUE,ISNUMBER(FIND(SUBSTITUTE(SUBSTITUTE(UPPER(#REF!)," ",""),":",": "),SUBSTITUTE(SUBSTITUTE(UPPER(S87)," ",""),":",": "))),0)),"Undefined")</f>
        <v>Undefined</v>
      </c>
      <c r="B87" s="42" t="str" cm="1">
        <f t="array" ref="B87">IFERROR(INDEX({"URGENTE"},MATCH(TRUE,ISNUMBER(FIND(SUBSTITUTE(SUBSTITUTE(UPPER({"URGENTE"})," ",""),":",": "),SUBSTITUTE(SUBSTITUTE(UPPER(S87)," ",""),":",": "))),0)),"-")</f>
        <v>-</v>
      </c>
      <c r="C87" s="46" t="str" cm="1">
        <f t="array" ref="C87">IFERROR(INDEX(#REF!,MATCH(TRUE,ISNUMBER(FIND(SUBSTITUTE(SUBSTITUTE(UPPER(#REF!)," ",""),":",": "),SUBSTITUTE(SUBSTITUTE(UPPER(S87)," ",""),":",": "))),0)),"Não encontrado")</f>
        <v>Não encontrado</v>
      </c>
      <c r="D87" s="46" t="str" cm="1">
        <f t="array" ref="D87">IFERROR(INDEX(#REF!,MATCH(TRUE,ISNUMBER(FIND(SUBSTITUTE(SUBSTITUTE(UPPER(#REF!)," ",""),":",": "),SUBSTITUTE(SUBSTITUTE(UPPER(S87)," ",""),":",": "))),0)),"Não encontrado")</f>
        <v>Não encontrado</v>
      </c>
      <c r="E87" s="42" t="str" cm="1">
        <f t="array" ref="E87">IFERROR(INDEX({"IMPEDITIVO"},MATCH(TRUE,ISNUMBER(FIND(SUBSTITUTE(SUBSTITUTE(UPPER({"IMPEDITIVO"})," ",""),":",": "),SUBSTITUTE(SUBSTITUTE(UPPER(S87)," ",""),":",": "))),0)),"-")</f>
        <v>-</v>
      </c>
    </row>
    <row r="88" spans="1:25" customFormat="1" x14ac:dyDescent="0.25">
      <c r="A88" s="46" t="str" cm="1">
        <f t="array" ref="A88">IFERROR(INDEX(#REF!,MATCH(TRUE,ISNUMBER(FIND(SUBSTITUTE(SUBSTITUTE(UPPER(#REF!)," ",""),":",": "),SUBSTITUTE(SUBSTITUTE(UPPER(S88)," ",""),":",": "))),0)),"Undefined")</f>
        <v>Undefined</v>
      </c>
      <c r="B88" s="42" t="str" cm="1">
        <f t="array" ref="B88">IFERROR(INDEX({"URGENTE"},MATCH(TRUE,ISNUMBER(FIND(SUBSTITUTE(SUBSTITUTE(UPPER({"URGENTE"})," ",""),":",": "),SUBSTITUTE(SUBSTITUTE(UPPER(S88)," ",""),":",": "))),0)),"-")</f>
        <v>-</v>
      </c>
      <c r="C88" s="46" t="str" cm="1">
        <f t="array" ref="C88">IFERROR(INDEX(#REF!,MATCH(TRUE,ISNUMBER(FIND(SUBSTITUTE(SUBSTITUTE(UPPER(#REF!)," ",""),":",": "),SUBSTITUTE(SUBSTITUTE(UPPER(S88)," ",""),":",": "))),0)),"Não encontrado")</f>
        <v>Não encontrado</v>
      </c>
      <c r="D88" s="46" t="str" cm="1">
        <f t="array" ref="D88">IFERROR(INDEX(#REF!,MATCH(TRUE,ISNUMBER(FIND(SUBSTITUTE(SUBSTITUTE(UPPER(#REF!)," ",""),":",": "),SUBSTITUTE(SUBSTITUTE(UPPER(S88)," ",""),":",": "))),0)),"Não encontrado")</f>
        <v>Não encontrado</v>
      </c>
      <c r="E88" s="42" t="str" cm="1">
        <f t="array" ref="E88">IFERROR(INDEX({"IMPEDITIVO"},MATCH(TRUE,ISNUMBER(FIND(SUBSTITUTE(SUBSTITUTE(UPPER({"IMPEDITIVO"})," ",""),":",": "),SUBSTITUTE(SUBSTITUTE(UPPER(S88)," ",""),":",": "))),0)),"-")</f>
        <v>-</v>
      </c>
      <c r="F88" s="96"/>
      <c r="H88" s="40"/>
      <c r="J88" s="40"/>
      <c r="K88" s="61"/>
      <c r="L88" s="1"/>
      <c r="M88" s="45"/>
      <c r="N88" s="43"/>
      <c r="O88" s="43"/>
      <c r="P88" s="43"/>
      <c r="V88" s="43"/>
      <c r="W88" s="1"/>
      <c r="X88" s="1"/>
      <c r="Y88" s="43"/>
    </row>
    <row r="89" spans="1:25" customFormat="1" x14ac:dyDescent="0.25">
      <c r="A89" s="46" t="str" cm="1">
        <f t="array" ref="A89">IFERROR(INDEX(#REF!,MATCH(TRUE,ISNUMBER(FIND(SUBSTITUTE(SUBSTITUTE(UPPER(#REF!)," ",""),":",": "),SUBSTITUTE(SUBSTITUTE(UPPER(S89)," ",""),":",": "))),0)),"Undefined")</f>
        <v>Undefined</v>
      </c>
      <c r="B89" s="42" t="str" cm="1">
        <f t="array" ref="B89">IFERROR(INDEX({"URGENTE"},MATCH(TRUE,ISNUMBER(FIND(SUBSTITUTE(SUBSTITUTE(UPPER({"URGENTE"})," ",""),":",": "),SUBSTITUTE(SUBSTITUTE(UPPER(S89)," ",""),":",": "))),0)),"-")</f>
        <v>-</v>
      </c>
      <c r="C89" s="46" t="str" cm="1">
        <f t="array" ref="C89">IFERROR(INDEX(#REF!,MATCH(TRUE,ISNUMBER(FIND(SUBSTITUTE(SUBSTITUTE(UPPER(#REF!)," ",""),":",": "),SUBSTITUTE(SUBSTITUTE(UPPER(S89)," ",""),":",": "))),0)),"Não encontrado")</f>
        <v>Não encontrado</v>
      </c>
      <c r="D89" s="46" t="str" cm="1">
        <f t="array" ref="D89">IFERROR(INDEX(#REF!,MATCH(TRUE,ISNUMBER(FIND(SUBSTITUTE(SUBSTITUTE(UPPER(#REF!)," ",""),":",": "),SUBSTITUTE(SUBSTITUTE(UPPER(S89)," ",""),":",": "))),0)),"Não encontrado")</f>
        <v>Não encontrado</v>
      </c>
      <c r="E89" s="42" t="str" cm="1">
        <f t="array" ref="E89">IFERROR(INDEX({"IMPEDITIVO"},MATCH(TRUE,ISNUMBER(FIND(SUBSTITUTE(SUBSTITUTE(UPPER({"IMPEDITIVO"})," ",""),":",": "),SUBSTITUTE(SUBSTITUTE(UPPER(S89)," ",""),":",": "))),0)),"-")</f>
        <v>-</v>
      </c>
      <c r="F89" s="96"/>
      <c r="H89" s="40"/>
      <c r="J89" s="40"/>
      <c r="K89" s="61"/>
      <c r="L89" s="1"/>
      <c r="M89" s="45"/>
      <c r="N89" s="43"/>
      <c r="O89" s="43"/>
      <c r="P89" s="43"/>
      <c r="V89" s="43"/>
      <c r="W89" s="1"/>
      <c r="X89" s="1"/>
      <c r="Y89" s="43"/>
    </row>
    <row r="90" spans="1:25" customFormat="1" x14ac:dyDescent="0.25">
      <c r="A90" s="46" t="str" cm="1">
        <f t="array" ref="A90">IFERROR(INDEX(#REF!,MATCH(TRUE,ISNUMBER(FIND(SUBSTITUTE(SUBSTITUTE(UPPER(#REF!)," ",""),":",": "),SUBSTITUTE(SUBSTITUTE(UPPER(S90)," ",""),":",": "))),0)),"Undefined")</f>
        <v>Undefined</v>
      </c>
      <c r="B90" s="42" t="str" cm="1">
        <f t="array" ref="B90">IFERROR(INDEX({"URGENTE"},MATCH(TRUE,ISNUMBER(FIND(SUBSTITUTE(SUBSTITUTE(UPPER({"URGENTE"})," ",""),":",": "),SUBSTITUTE(SUBSTITUTE(UPPER(S90)," ",""),":",": "))),0)),"-")</f>
        <v>-</v>
      </c>
      <c r="C90" s="46" t="str" cm="1">
        <f t="array" ref="C90">IFERROR(INDEX(#REF!,MATCH(TRUE,ISNUMBER(FIND(SUBSTITUTE(SUBSTITUTE(UPPER(#REF!)," ",""),":",": "),SUBSTITUTE(SUBSTITUTE(UPPER(S90)," ",""),":",": "))),0)),"Não encontrado")</f>
        <v>Não encontrado</v>
      </c>
      <c r="D90" s="46" t="str" cm="1">
        <f t="array" ref="D90">IFERROR(INDEX(#REF!,MATCH(TRUE,ISNUMBER(FIND(SUBSTITUTE(SUBSTITUTE(UPPER(#REF!)," ",""),":",": "),SUBSTITUTE(SUBSTITUTE(UPPER(S90)," ",""),":",": "))),0)),"Não encontrado")</f>
        <v>Não encontrado</v>
      </c>
      <c r="E90" s="42" t="str" cm="1">
        <f t="array" ref="E90">IFERROR(INDEX({"IMPEDITIVO"},MATCH(TRUE,ISNUMBER(FIND(SUBSTITUTE(SUBSTITUTE(UPPER({"IMPEDITIVO"})," ",""),":",": "),SUBSTITUTE(SUBSTITUTE(UPPER(S90)," ",""),":",": "))),0)),"-")</f>
        <v>-</v>
      </c>
      <c r="F90" s="96"/>
      <c r="H90" s="40"/>
      <c r="J90" s="40"/>
      <c r="K90" s="61"/>
      <c r="L90" s="1"/>
      <c r="M90" s="45"/>
      <c r="N90" s="43"/>
      <c r="O90" s="43"/>
      <c r="P90" s="43"/>
      <c r="V90" s="43"/>
      <c r="W90" s="1"/>
      <c r="X90" s="1"/>
      <c r="Y90" s="43"/>
    </row>
    <row r="91" spans="1:25" x14ac:dyDescent="0.25">
      <c r="A91" s="46" t="str" cm="1">
        <f t="array" ref="A91">IFERROR(INDEX(#REF!,MATCH(TRUE,ISNUMBER(FIND(SUBSTITUTE(SUBSTITUTE(UPPER(#REF!)," ",""),":",": "),SUBSTITUTE(SUBSTITUTE(UPPER(S91)," ",""),":",": "))),0)),"Undefined")</f>
        <v>Undefined</v>
      </c>
      <c r="B91" s="42" t="str" cm="1">
        <f t="array" ref="B91">IFERROR(INDEX({"URGENTE"},MATCH(TRUE,ISNUMBER(FIND(SUBSTITUTE(SUBSTITUTE(UPPER({"URGENTE"})," ",""),":",": "),SUBSTITUTE(SUBSTITUTE(UPPER(S91)," ",""),":",": "))),0)),"-")</f>
        <v>-</v>
      </c>
      <c r="C91" s="46" t="str" cm="1">
        <f t="array" ref="C91">IFERROR(INDEX(#REF!,MATCH(TRUE,ISNUMBER(FIND(SUBSTITUTE(SUBSTITUTE(UPPER(#REF!)," ",""),":",": "),SUBSTITUTE(SUBSTITUTE(UPPER(S91)," ",""),":",": "))),0)),"Não encontrado")</f>
        <v>Não encontrado</v>
      </c>
      <c r="D91" s="46" t="str" cm="1">
        <f t="array" ref="D91">IFERROR(INDEX(#REF!,MATCH(TRUE,ISNUMBER(FIND(SUBSTITUTE(SUBSTITUTE(UPPER(#REF!)," ",""),":",": "),SUBSTITUTE(SUBSTITUTE(UPPER(S91)," ",""),":",": "))),0)),"Não encontrado")</f>
        <v>Não encontrado</v>
      </c>
      <c r="E91" s="42" t="str" cm="1">
        <f t="array" ref="E91">IFERROR(INDEX({"IMPEDITIVO"},MATCH(TRUE,ISNUMBER(FIND(SUBSTITUTE(SUBSTITUTE(UPPER({"IMPEDITIVO"})," ",""),":",": "),SUBSTITUTE(SUBSTITUTE(UPPER(S91)," ",""),":",": "))),0)),"-")</f>
        <v>-</v>
      </c>
    </row>
    <row r="92" spans="1:25" customFormat="1" x14ac:dyDescent="0.25">
      <c r="A92" s="46" t="str" cm="1">
        <f t="array" ref="A92">IFERROR(INDEX(#REF!,MATCH(TRUE,ISNUMBER(FIND(SUBSTITUTE(SUBSTITUTE(UPPER(#REF!)," ",""),":",": "),SUBSTITUTE(SUBSTITUTE(UPPER(S92)," ",""),":",": "))),0)),"Undefined")</f>
        <v>Undefined</v>
      </c>
      <c r="B92" s="42" t="str" cm="1">
        <f t="array" ref="B92">IFERROR(INDEX({"URGENTE"},MATCH(TRUE,ISNUMBER(FIND(SUBSTITUTE(SUBSTITUTE(UPPER({"URGENTE"})," ",""),":",": "),SUBSTITUTE(SUBSTITUTE(UPPER(S92)," ",""),":",": "))),0)),"-")</f>
        <v>-</v>
      </c>
      <c r="C92" s="46" t="str" cm="1">
        <f t="array" ref="C92">IFERROR(INDEX(#REF!,MATCH(TRUE,ISNUMBER(FIND(SUBSTITUTE(SUBSTITUTE(UPPER(#REF!)," ",""),":",": "),SUBSTITUTE(SUBSTITUTE(UPPER(S92)," ",""),":",": "))),0)),"Não encontrado")</f>
        <v>Não encontrado</v>
      </c>
      <c r="D92" s="46" t="str" cm="1">
        <f t="array" ref="D92">IFERROR(INDEX(#REF!,MATCH(TRUE,ISNUMBER(FIND(SUBSTITUTE(SUBSTITUTE(UPPER(#REF!)," ",""),":",": "),SUBSTITUTE(SUBSTITUTE(UPPER(S92)," ",""),":",": "))),0)),"Não encontrado")</f>
        <v>Não encontrado</v>
      </c>
      <c r="E92" s="42" t="str" cm="1">
        <f t="array" ref="E92">IFERROR(INDEX({"IMPEDITIVO"},MATCH(TRUE,ISNUMBER(FIND(SUBSTITUTE(SUBSTITUTE(UPPER({"IMPEDITIVO"})," ",""),":",": "),SUBSTITUTE(SUBSTITUTE(UPPER(S92)," ",""),":",": "))),0)),"-")</f>
        <v>-</v>
      </c>
      <c r="F92" s="96"/>
      <c r="H92" s="40"/>
      <c r="J92" s="40"/>
      <c r="K92" s="61"/>
      <c r="L92" s="1"/>
      <c r="M92" s="45"/>
      <c r="N92" s="43"/>
      <c r="O92" s="43"/>
      <c r="P92" s="43"/>
      <c r="V92" s="43"/>
      <c r="W92" s="1"/>
      <c r="X92" s="1"/>
      <c r="Y92" s="43"/>
    </row>
    <row r="93" spans="1:25" customFormat="1" x14ac:dyDescent="0.25">
      <c r="A93" s="46" t="str" cm="1">
        <f t="array" ref="A93">IFERROR(INDEX(#REF!,MATCH(TRUE,ISNUMBER(FIND(SUBSTITUTE(SUBSTITUTE(UPPER(#REF!)," ",""),":",": "),SUBSTITUTE(SUBSTITUTE(UPPER(S93)," ",""),":",": "))),0)),"Undefined")</f>
        <v>Undefined</v>
      </c>
      <c r="B93" s="42" t="str" cm="1">
        <f t="array" ref="B93">IFERROR(INDEX({"URGENTE"},MATCH(TRUE,ISNUMBER(FIND(SUBSTITUTE(SUBSTITUTE(UPPER({"URGENTE"})," ",""),":",": "),SUBSTITUTE(SUBSTITUTE(UPPER(S93)," ",""),":",": "))),0)),"-")</f>
        <v>-</v>
      </c>
      <c r="C93" s="46" t="str" cm="1">
        <f t="array" ref="C93">IFERROR(INDEX(#REF!,MATCH(TRUE,ISNUMBER(FIND(SUBSTITUTE(SUBSTITUTE(UPPER(#REF!)," ",""),":",": "),SUBSTITUTE(SUBSTITUTE(UPPER(S93)," ",""),":",": "))),0)),"Não encontrado")</f>
        <v>Não encontrado</v>
      </c>
      <c r="D93" s="46" t="str" cm="1">
        <f t="array" ref="D93">IFERROR(INDEX(#REF!,MATCH(TRUE,ISNUMBER(FIND(SUBSTITUTE(SUBSTITUTE(UPPER(#REF!)," ",""),":",": "),SUBSTITUTE(SUBSTITUTE(UPPER(S93)," ",""),":",": "))),0)),"Não encontrado")</f>
        <v>Não encontrado</v>
      </c>
      <c r="E93" s="42" t="str" cm="1">
        <f t="array" ref="E93">IFERROR(INDEX({"IMPEDITIVO"},MATCH(TRUE,ISNUMBER(FIND(SUBSTITUTE(SUBSTITUTE(UPPER({"IMPEDITIVO"})," ",""),":",": "),SUBSTITUTE(SUBSTITUTE(UPPER(S93)," ",""),":",": "))),0)),"-")</f>
        <v>-</v>
      </c>
      <c r="F93" s="96"/>
      <c r="H93" s="40"/>
      <c r="J93" s="40"/>
      <c r="K93" s="61"/>
      <c r="L93" s="1"/>
      <c r="M93" s="45"/>
      <c r="N93" s="43"/>
      <c r="O93" s="43"/>
      <c r="P93" s="43"/>
      <c r="V93" s="43"/>
      <c r="W93" s="1"/>
      <c r="X93" s="1"/>
      <c r="Y93" s="43"/>
    </row>
    <row r="94" spans="1:25" customFormat="1" x14ac:dyDescent="0.25">
      <c r="A94" s="46" t="str" cm="1">
        <f t="array" ref="A94">IFERROR(INDEX(#REF!,MATCH(TRUE,ISNUMBER(FIND(SUBSTITUTE(SUBSTITUTE(UPPER(#REF!)," ",""),":",": "),SUBSTITUTE(SUBSTITUTE(UPPER(S94)," ",""),":",": "))),0)),"Undefined")</f>
        <v>Undefined</v>
      </c>
      <c r="B94" s="42" t="str" cm="1">
        <f t="array" ref="B94">IFERROR(INDEX({"URGENTE"},MATCH(TRUE,ISNUMBER(FIND(SUBSTITUTE(SUBSTITUTE(UPPER({"URGENTE"})," ",""),":",": "),SUBSTITUTE(SUBSTITUTE(UPPER(S94)," ",""),":",": "))),0)),"-")</f>
        <v>-</v>
      </c>
      <c r="C94" s="46" t="str" cm="1">
        <f t="array" ref="C94">IFERROR(INDEX(#REF!,MATCH(TRUE,ISNUMBER(FIND(SUBSTITUTE(SUBSTITUTE(UPPER(#REF!)," ",""),":",": "),SUBSTITUTE(SUBSTITUTE(UPPER(S94)," ",""),":",": "))),0)),"Não encontrado")</f>
        <v>Não encontrado</v>
      </c>
      <c r="D94" s="46" t="str" cm="1">
        <f t="array" ref="D94">IFERROR(INDEX(#REF!,MATCH(TRUE,ISNUMBER(FIND(SUBSTITUTE(SUBSTITUTE(UPPER(#REF!)," ",""),":",": "),SUBSTITUTE(SUBSTITUTE(UPPER(S94)," ",""),":",": "))),0)),"Não encontrado")</f>
        <v>Não encontrado</v>
      </c>
      <c r="E94" s="42" t="str" cm="1">
        <f t="array" ref="E94">IFERROR(INDEX({"IMPEDITIVO"},MATCH(TRUE,ISNUMBER(FIND(SUBSTITUTE(SUBSTITUTE(UPPER({"IMPEDITIVO"})," ",""),":",": "),SUBSTITUTE(SUBSTITUTE(UPPER(S94)," ",""),":",": "))),0)),"-")</f>
        <v>-</v>
      </c>
      <c r="F94" s="96"/>
      <c r="H94" s="40"/>
      <c r="J94" s="40"/>
      <c r="K94" s="61"/>
      <c r="L94" s="1"/>
      <c r="M94" s="45"/>
      <c r="N94" s="43"/>
      <c r="O94" s="43"/>
      <c r="P94" s="43"/>
      <c r="V94" s="43"/>
      <c r="W94" s="1"/>
      <c r="X94" s="1"/>
      <c r="Y94" s="43"/>
    </row>
    <row r="95" spans="1:25" customFormat="1" x14ac:dyDescent="0.25">
      <c r="A95" s="46" t="str" cm="1">
        <f t="array" ref="A95">IFERROR(INDEX(#REF!,MATCH(TRUE,ISNUMBER(FIND(SUBSTITUTE(SUBSTITUTE(UPPER(#REF!)," ",""),":",": "),SUBSTITUTE(SUBSTITUTE(UPPER(S95)," ",""),":",": "))),0)),"Undefined")</f>
        <v>Undefined</v>
      </c>
      <c r="B95" s="42" t="str" cm="1">
        <f t="array" ref="B95">IFERROR(INDEX({"URGENTE"},MATCH(TRUE,ISNUMBER(FIND(SUBSTITUTE(SUBSTITUTE(UPPER({"URGENTE"})," ",""),":",": "),SUBSTITUTE(SUBSTITUTE(UPPER(S95)," ",""),":",": "))),0)),"-")</f>
        <v>-</v>
      </c>
      <c r="C95" s="46" t="str" cm="1">
        <f t="array" ref="C95">IFERROR(INDEX(#REF!,MATCH(TRUE,ISNUMBER(FIND(SUBSTITUTE(SUBSTITUTE(UPPER(#REF!)," ",""),":",": "),SUBSTITUTE(SUBSTITUTE(UPPER(S95)," ",""),":",": "))),0)),"Não encontrado")</f>
        <v>Não encontrado</v>
      </c>
      <c r="D95" s="46" t="str" cm="1">
        <f t="array" ref="D95">IFERROR(INDEX(#REF!,MATCH(TRUE,ISNUMBER(FIND(SUBSTITUTE(SUBSTITUTE(UPPER(#REF!)," ",""),":",": "),SUBSTITUTE(SUBSTITUTE(UPPER(S95)," ",""),":",": "))),0)),"Não encontrado")</f>
        <v>Não encontrado</v>
      </c>
      <c r="E95" s="42" t="str" cm="1">
        <f t="array" ref="E95">IFERROR(INDEX({"IMPEDITIVO"},MATCH(TRUE,ISNUMBER(FIND(SUBSTITUTE(SUBSTITUTE(UPPER({"IMPEDITIVO"})," ",""),":",": "),SUBSTITUTE(SUBSTITUTE(UPPER(S95)," ",""),":",": "))),0)),"-")</f>
        <v>-</v>
      </c>
      <c r="F95" s="96"/>
      <c r="H95" s="40"/>
      <c r="J95" s="40"/>
      <c r="K95" s="61"/>
      <c r="L95" s="1"/>
      <c r="M95" s="45"/>
      <c r="N95" s="43"/>
      <c r="O95" s="43"/>
      <c r="P95" s="43"/>
      <c r="V95" s="43"/>
      <c r="W95" s="1"/>
      <c r="X95" s="1"/>
      <c r="Y95" s="43"/>
    </row>
    <row r="96" spans="1:25" x14ac:dyDescent="0.25">
      <c r="A96" s="46" t="str" cm="1">
        <f t="array" ref="A96">IFERROR(INDEX(#REF!,MATCH(TRUE,ISNUMBER(FIND(SUBSTITUTE(SUBSTITUTE(UPPER(#REF!)," ",""),":",": "),SUBSTITUTE(SUBSTITUTE(UPPER(S96)," ",""),":",": "))),0)),"Undefined")</f>
        <v>Undefined</v>
      </c>
      <c r="B96" s="42" t="str" cm="1">
        <f t="array" ref="B96">IFERROR(INDEX({"URGENTE"},MATCH(TRUE,ISNUMBER(FIND(SUBSTITUTE(SUBSTITUTE(UPPER({"URGENTE"})," ",""),":",": "),SUBSTITUTE(SUBSTITUTE(UPPER(S96)," ",""),":",": "))),0)),"-")</f>
        <v>-</v>
      </c>
      <c r="C96" s="46" t="str" cm="1">
        <f t="array" ref="C96">IFERROR(INDEX(#REF!,MATCH(TRUE,ISNUMBER(FIND(SUBSTITUTE(SUBSTITUTE(UPPER(#REF!)," ",""),":",": "),SUBSTITUTE(SUBSTITUTE(UPPER(S96)," ",""),":",": "))),0)),"Não encontrado")</f>
        <v>Não encontrado</v>
      </c>
      <c r="D96" s="46" t="str" cm="1">
        <f t="array" ref="D96">IFERROR(INDEX(#REF!,MATCH(TRUE,ISNUMBER(FIND(SUBSTITUTE(SUBSTITUTE(UPPER(#REF!)," ",""),":",": "),SUBSTITUTE(SUBSTITUTE(UPPER(S96)," ",""),":",": "))),0)),"Não encontrado")</f>
        <v>Não encontrado</v>
      </c>
      <c r="E96" s="42" t="str" cm="1">
        <f t="array" ref="E96">IFERROR(INDEX({"IMPEDITIVO"},MATCH(TRUE,ISNUMBER(FIND(SUBSTITUTE(SUBSTITUTE(UPPER({"IMPEDITIVO"})," ",""),":",": "),SUBSTITUTE(SUBSTITUTE(UPPER(S96)," ",""),":",": "))),0)),"-")</f>
        <v>-</v>
      </c>
    </row>
    <row r="97" spans="1:25" x14ac:dyDescent="0.25">
      <c r="A97" s="46" t="str" cm="1">
        <f t="array" ref="A97">IFERROR(INDEX(#REF!,MATCH(TRUE,ISNUMBER(FIND(SUBSTITUTE(SUBSTITUTE(UPPER(#REF!)," ",""),":",": "),SUBSTITUTE(SUBSTITUTE(UPPER(S97)," ",""),":",": "))),0)),"Undefined")</f>
        <v>Undefined</v>
      </c>
      <c r="B97" s="42" t="str" cm="1">
        <f t="array" ref="B97">IFERROR(INDEX({"URGENTE"},MATCH(TRUE,ISNUMBER(FIND(SUBSTITUTE(SUBSTITUTE(UPPER({"URGENTE"})," ",""),":",": "),SUBSTITUTE(SUBSTITUTE(UPPER(S97)," ",""),":",": "))),0)),"-")</f>
        <v>-</v>
      </c>
      <c r="C97" s="46" t="str" cm="1">
        <f t="array" ref="C97">IFERROR(INDEX(#REF!,MATCH(TRUE,ISNUMBER(FIND(SUBSTITUTE(SUBSTITUTE(UPPER(#REF!)," ",""),":",": "),SUBSTITUTE(SUBSTITUTE(UPPER(S97)," ",""),":",": "))),0)),"Não encontrado")</f>
        <v>Não encontrado</v>
      </c>
      <c r="D97" s="46" t="str" cm="1">
        <f t="array" ref="D97">IFERROR(INDEX(#REF!,MATCH(TRUE,ISNUMBER(FIND(SUBSTITUTE(SUBSTITUTE(UPPER(#REF!)," ",""),":",": "),SUBSTITUTE(SUBSTITUTE(UPPER(S97)," ",""),":",": "))),0)),"Não encontrado")</f>
        <v>Não encontrado</v>
      </c>
      <c r="E97" s="42" t="str" cm="1">
        <f t="array" ref="E97">IFERROR(INDEX({"IMPEDITIVO"},MATCH(TRUE,ISNUMBER(FIND(SUBSTITUTE(SUBSTITUTE(UPPER({"IMPEDITIVO"})," ",""),":",": "),SUBSTITUTE(SUBSTITUTE(UPPER(S97)," ",""),":",": "))),0)),"-")</f>
        <v>-</v>
      </c>
    </row>
    <row r="98" spans="1:25" x14ac:dyDescent="0.25">
      <c r="A98" s="46" t="str" cm="1">
        <f t="array" ref="A98">IFERROR(INDEX(#REF!,MATCH(TRUE,ISNUMBER(FIND(SUBSTITUTE(SUBSTITUTE(UPPER(#REF!)," ",""),":",": "),SUBSTITUTE(SUBSTITUTE(UPPER(S98)," ",""),":",": "))),0)),"Undefined")</f>
        <v>Undefined</v>
      </c>
      <c r="B98" s="42" t="str" cm="1">
        <f t="array" ref="B98">IFERROR(INDEX({"URGENTE"},MATCH(TRUE,ISNUMBER(FIND(SUBSTITUTE(SUBSTITUTE(UPPER({"URGENTE"})," ",""),":",": "),SUBSTITUTE(SUBSTITUTE(UPPER(S98)," ",""),":",": "))),0)),"-")</f>
        <v>-</v>
      </c>
      <c r="C98" s="46" t="str" cm="1">
        <f t="array" ref="C98">IFERROR(INDEX(#REF!,MATCH(TRUE,ISNUMBER(FIND(SUBSTITUTE(SUBSTITUTE(UPPER(#REF!)," ",""),":",": "),SUBSTITUTE(SUBSTITUTE(UPPER(S98)," ",""),":",": "))),0)),"Não encontrado")</f>
        <v>Não encontrado</v>
      </c>
      <c r="D98" s="46" t="str" cm="1">
        <f t="array" ref="D98">IFERROR(INDEX(#REF!,MATCH(TRUE,ISNUMBER(FIND(SUBSTITUTE(SUBSTITUTE(UPPER(#REF!)," ",""),":",": "),SUBSTITUTE(SUBSTITUTE(UPPER(S98)," ",""),":",": "))),0)),"Não encontrado")</f>
        <v>Não encontrado</v>
      </c>
      <c r="E98" s="42" t="str" cm="1">
        <f t="array" ref="E98">IFERROR(INDEX({"IMPEDITIVO"},MATCH(TRUE,ISNUMBER(FIND(SUBSTITUTE(SUBSTITUTE(UPPER({"IMPEDITIVO"})," ",""),":",": "),SUBSTITUTE(SUBSTITUTE(UPPER(S98)," ",""),":",": "))),0)),"-")</f>
        <v>-</v>
      </c>
    </row>
    <row r="99" spans="1:25" customFormat="1" x14ac:dyDescent="0.25">
      <c r="A99" s="46" t="str" cm="1">
        <f t="array" ref="A99">IFERROR(INDEX(#REF!,MATCH(TRUE,ISNUMBER(FIND(SUBSTITUTE(SUBSTITUTE(UPPER(#REF!)," ",""),":",": "),SUBSTITUTE(SUBSTITUTE(UPPER(S99)," ",""),":",": "))),0)),"Undefined")</f>
        <v>Undefined</v>
      </c>
      <c r="B99" s="42" t="str" cm="1">
        <f t="array" ref="B99">IFERROR(INDEX({"URGENTE"},MATCH(TRUE,ISNUMBER(FIND(SUBSTITUTE(SUBSTITUTE(UPPER({"URGENTE"})," ",""),":",": "),SUBSTITUTE(SUBSTITUTE(UPPER(S99)," ",""),":",": "))),0)),"-")</f>
        <v>-</v>
      </c>
      <c r="C99" s="46" t="str" cm="1">
        <f t="array" ref="C99">IFERROR(INDEX(#REF!,MATCH(TRUE,ISNUMBER(FIND(SUBSTITUTE(SUBSTITUTE(UPPER(#REF!)," ",""),":",": "),SUBSTITUTE(SUBSTITUTE(UPPER(S99)," ",""),":",": "))),0)),"Não encontrado")</f>
        <v>Não encontrado</v>
      </c>
      <c r="D99" s="46" t="str" cm="1">
        <f t="array" ref="D99">IFERROR(INDEX(#REF!,MATCH(TRUE,ISNUMBER(FIND(SUBSTITUTE(SUBSTITUTE(UPPER(#REF!)," ",""),":",": "),SUBSTITUTE(SUBSTITUTE(UPPER(S99)," ",""),":",": "))),0)),"Não encontrado")</f>
        <v>Não encontrado</v>
      </c>
      <c r="E99" s="42" t="str" cm="1">
        <f t="array" ref="E99">IFERROR(INDEX({"IMPEDITIVO"},MATCH(TRUE,ISNUMBER(FIND(SUBSTITUTE(SUBSTITUTE(UPPER({"IMPEDITIVO"})," ",""),":",": "),SUBSTITUTE(SUBSTITUTE(UPPER(S99)," ",""),":",": "))),0)),"-")</f>
        <v>-</v>
      </c>
      <c r="F99" s="96"/>
      <c r="H99" s="40"/>
      <c r="J99" s="40"/>
      <c r="K99" s="61"/>
      <c r="L99" s="1"/>
      <c r="M99" s="45"/>
      <c r="N99" s="43"/>
      <c r="O99" s="43"/>
      <c r="P99" s="43"/>
      <c r="V99" s="43"/>
      <c r="W99" s="1"/>
      <c r="X99" s="1"/>
      <c r="Y99" s="43"/>
    </row>
    <row r="100" spans="1:25" customFormat="1" x14ac:dyDescent="0.25">
      <c r="A100" s="46" t="str" cm="1">
        <f t="array" ref="A100">IFERROR(INDEX(#REF!,MATCH(TRUE,ISNUMBER(FIND(SUBSTITUTE(SUBSTITUTE(UPPER(#REF!)," ",""),":",": "),SUBSTITUTE(SUBSTITUTE(UPPER(S100)," ",""),":",": "))),0)),"Undefined")</f>
        <v>Undefined</v>
      </c>
      <c r="B100" s="42" t="str" cm="1">
        <f t="array" ref="B100">IFERROR(INDEX({"URGENTE"},MATCH(TRUE,ISNUMBER(FIND(SUBSTITUTE(SUBSTITUTE(UPPER({"URGENTE"})," ",""),":",": "),SUBSTITUTE(SUBSTITUTE(UPPER(S100)," ",""),":",": "))),0)),"-")</f>
        <v>-</v>
      </c>
      <c r="C100" s="46" t="str" cm="1">
        <f t="array" ref="C100">IFERROR(INDEX(#REF!,MATCH(TRUE,ISNUMBER(FIND(SUBSTITUTE(SUBSTITUTE(UPPER(#REF!)," ",""),":",": "),SUBSTITUTE(SUBSTITUTE(UPPER(S100)," ",""),":",": "))),0)),"Não encontrado")</f>
        <v>Não encontrado</v>
      </c>
      <c r="D100" s="46" t="str" cm="1">
        <f t="array" ref="D100">IFERROR(INDEX(#REF!,MATCH(TRUE,ISNUMBER(FIND(SUBSTITUTE(SUBSTITUTE(UPPER(#REF!)," ",""),":",": "),SUBSTITUTE(SUBSTITUTE(UPPER(S100)," ",""),":",": "))),0)),"Não encontrado")</f>
        <v>Não encontrado</v>
      </c>
      <c r="E100" s="42" t="str" cm="1">
        <f t="array" ref="E100">IFERROR(INDEX({"IMPEDITIVO"},MATCH(TRUE,ISNUMBER(FIND(SUBSTITUTE(SUBSTITUTE(UPPER({"IMPEDITIVO"})," ",""),":",": "),SUBSTITUTE(SUBSTITUTE(UPPER(S100)," ",""),":",": "))),0)),"-")</f>
        <v>-</v>
      </c>
      <c r="F100" s="96"/>
      <c r="H100" s="40"/>
      <c r="J100" s="40"/>
      <c r="K100" s="61"/>
      <c r="L100" s="1"/>
      <c r="M100" s="45"/>
      <c r="N100" s="43"/>
      <c r="O100" s="43"/>
      <c r="P100" s="43"/>
      <c r="V100" s="43"/>
      <c r="W100" s="1"/>
      <c r="X100" s="1"/>
      <c r="Y100" s="43"/>
    </row>
    <row r="101" spans="1:25" s="9" customFormat="1" x14ac:dyDescent="0.25">
      <c r="A101" s="46" t="str" cm="1">
        <f t="array" ref="A101">IFERROR(INDEX(#REF!,MATCH(TRUE,ISNUMBER(FIND(SUBSTITUTE(SUBSTITUTE(UPPER(#REF!)," ",""),":",": "),SUBSTITUTE(SUBSTITUTE(UPPER(S101)," ",""),":",": "))),0)),"Undefined")</f>
        <v>Undefined</v>
      </c>
      <c r="B101" s="42" t="str" cm="1">
        <f t="array" ref="B101">IFERROR(INDEX({"URGENTE"},MATCH(TRUE,ISNUMBER(FIND(SUBSTITUTE(SUBSTITUTE(UPPER({"URGENTE"})," ",""),":",": "),SUBSTITUTE(SUBSTITUTE(UPPER(S101)," ",""),":",": "))),0)),"-")</f>
        <v>-</v>
      </c>
      <c r="C101" s="46" t="str" cm="1">
        <f t="array" ref="C101">IFERROR(INDEX(#REF!,MATCH(TRUE,ISNUMBER(FIND(SUBSTITUTE(SUBSTITUTE(UPPER(#REF!)," ",""),":",": "),SUBSTITUTE(SUBSTITUTE(UPPER(S101)," ",""),":",": "))),0)),"Não encontrado")</f>
        <v>Não encontrado</v>
      </c>
      <c r="D101" s="46" t="str" cm="1">
        <f t="array" ref="D101">IFERROR(INDEX(#REF!,MATCH(TRUE,ISNUMBER(FIND(SUBSTITUTE(SUBSTITUTE(UPPER(#REF!)," ",""),":",": "),SUBSTITUTE(SUBSTITUTE(UPPER(S101)," ",""),":",": "))),0)),"Não encontrado")</f>
        <v>Não encontrado</v>
      </c>
      <c r="E101" s="42" t="str" cm="1">
        <f t="array" ref="E101">IFERROR(INDEX({"IMPEDITIVO"},MATCH(TRUE,ISNUMBER(FIND(SUBSTITUTE(SUBSTITUTE(UPPER({"IMPEDITIVO"})," ",""),":",": "),SUBSTITUTE(SUBSTITUTE(UPPER(S101)," ",""),":",": "))),0)),"-")</f>
        <v>-</v>
      </c>
      <c r="F101" s="98"/>
      <c r="H101" s="50"/>
      <c r="J101" s="50"/>
      <c r="K101" s="64"/>
      <c r="L101" s="36"/>
      <c r="M101" s="45"/>
      <c r="N101" s="43"/>
      <c r="O101" s="43"/>
      <c r="P101" s="43"/>
      <c r="V101" s="43"/>
      <c r="W101" s="36"/>
      <c r="X101" s="36"/>
      <c r="Y101" s="43"/>
    </row>
    <row r="102" spans="1:25" s="9" customFormat="1" x14ac:dyDescent="0.25">
      <c r="A102" s="46" t="str" cm="1">
        <f t="array" ref="A102">IFERROR(INDEX(#REF!,MATCH(TRUE,ISNUMBER(FIND(SUBSTITUTE(SUBSTITUTE(UPPER(#REF!)," ",""),":",": "),SUBSTITUTE(SUBSTITUTE(UPPER(S102)," ",""),":",": "))),0)),"Undefined")</f>
        <v>Undefined</v>
      </c>
      <c r="B102" s="42" t="str" cm="1">
        <f t="array" ref="B102">IFERROR(INDEX({"URGENTE"},MATCH(TRUE,ISNUMBER(FIND(SUBSTITUTE(SUBSTITUTE(UPPER({"URGENTE"})," ",""),":",": "),SUBSTITUTE(SUBSTITUTE(UPPER(S102)," ",""),":",": "))),0)),"-")</f>
        <v>-</v>
      </c>
      <c r="C102" s="46" t="str" cm="1">
        <f t="array" ref="C102">IFERROR(INDEX(#REF!,MATCH(TRUE,ISNUMBER(FIND(SUBSTITUTE(SUBSTITUTE(UPPER(#REF!)," ",""),":",": "),SUBSTITUTE(SUBSTITUTE(UPPER(S102)," ",""),":",": "))),0)),"Não encontrado")</f>
        <v>Não encontrado</v>
      </c>
      <c r="D102" s="46" t="str" cm="1">
        <f t="array" ref="D102">IFERROR(INDEX(#REF!,MATCH(TRUE,ISNUMBER(FIND(SUBSTITUTE(SUBSTITUTE(UPPER(#REF!)," ",""),":",": "),SUBSTITUTE(SUBSTITUTE(UPPER(S102)," ",""),":",": "))),0)),"Não encontrado")</f>
        <v>Não encontrado</v>
      </c>
      <c r="E102" s="42" t="str" cm="1">
        <f t="array" ref="E102">IFERROR(INDEX({"IMPEDITIVO"},MATCH(TRUE,ISNUMBER(FIND(SUBSTITUTE(SUBSTITUTE(UPPER({"IMPEDITIVO"})," ",""),":",": "),SUBSTITUTE(SUBSTITUTE(UPPER(S102)," ",""),":",": "))),0)),"-")</f>
        <v>-</v>
      </c>
      <c r="F102" s="98"/>
      <c r="H102" s="50"/>
      <c r="J102" s="50"/>
      <c r="K102" s="64"/>
      <c r="L102" s="36"/>
      <c r="M102" s="45"/>
      <c r="N102" s="43"/>
      <c r="O102" s="43"/>
      <c r="P102" s="43"/>
      <c r="V102" s="43"/>
      <c r="W102" s="36"/>
      <c r="X102" s="36"/>
      <c r="Y102" s="43"/>
    </row>
    <row r="103" spans="1:25" s="9" customFormat="1" x14ac:dyDescent="0.25">
      <c r="A103" s="46" t="str" cm="1">
        <f t="array" ref="A103">IFERROR(INDEX(#REF!,MATCH(TRUE,ISNUMBER(FIND(SUBSTITUTE(SUBSTITUTE(UPPER(#REF!)," ",""),":",": "),SUBSTITUTE(SUBSTITUTE(UPPER(S103)," ",""),":",": "))),0)),"Undefined")</f>
        <v>Undefined</v>
      </c>
      <c r="B103" s="42" t="str" cm="1">
        <f t="array" ref="B103">IFERROR(INDEX({"URGENTE"},MATCH(TRUE,ISNUMBER(FIND(SUBSTITUTE(SUBSTITUTE(UPPER({"URGENTE"})," ",""),":",": "),SUBSTITUTE(SUBSTITUTE(UPPER(S103)," ",""),":",": "))),0)),"-")</f>
        <v>-</v>
      </c>
      <c r="C103" s="46" t="str" cm="1">
        <f t="array" ref="C103">IFERROR(INDEX(#REF!,MATCH(TRUE,ISNUMBER(FIND(SUBSTITUTE(SUBSTITUTE(UPPER(#REF!)," ",""),":",": "),SUBSTITUTE(SUBSTITUTE(UPPER(S103)," ",""),":",": "))),0)),"Não encontrado")</f>
        <v>Não encontrado</v>
      </c>
      <c r="D103" s="46" t="str" cm="1">
        <f t="array" ref="D103">IFERROR(INDEX(#REF!,MATCH(TRUE,ISNUMBER(FIND(SUBSTITUTE(SUBSTITUTE(UPPER(#REF!)," ",""),":",": "),SUBSTITUTE(SUBSTITUTE(UPPER(S103)," ",""),":",": "))),0)),"Não encontrado")</f>
        <v>Não encontrado</v>
      </c>
      <c r="E103" s="42" t="str" cm="1">
        <f t="array" ref="E103">IFERROR(INDEX({"IMPEDITIVO"},MATCH(TRUE,ISNUMBER(FIND(SUBSTITUTE(SUBSTITUTE(UPPER({"IMPEDITIVO"})," ",""),":",": "),SUBSTITUTE(SUBSTITUTE(UPPER(S103)," ",""),":",": "))),0)),"-")</f>
        <v>-</v>
      </c>
      <c r="F103" s="98"/>
      <c r="H103" s="50"/>
      <c r="J103" s="50"/>
      <c r="K103" s="64"/>
      <c r="L103" s="36"/>
      <c r="M103" s="45"/>
      <c r="N103" s="43"/>
      <c r="O103" s="43"/>
      <c r="P103" s="43"/>
      <c r="V103" s="43"/>
      <c r="W103" s="36"/>
      <c r="X103" s="36"/>
      <c r="Y103" s="43"/>
    </row>
    <row r="104" spans="1:25" s="9" customFormat="1" x14ac:dyDescent="0.25">
      <c r="A104" s="46" t="str" cm="1">
        <f t="array" ref="A104">IFERROR(INDEX(#REF!,MATCH(TRUE,ISNUMBER(FIND(SUBSTITUTE(SUBSTITUTE(UPPER(#REF!)," ",""),":",": "),SUBSTITUTE(SUBSTITUTE(UPPER(S104)," ",""),":",": "))),0)),"Undefined")</f>
        <v>Undefined</v>
      </c>
      <c r="B104" s="42" t="str" cm="1">
        <f t="array" ref="B104">IFERROR(INDEX({"URGENTE"},MATCH(TRUE,ISNUMBER(FIND(SUBSTITUTE(SUBSTITUTE(UPPER({"URGENTE"})," ",""),":",": "),SUBSTITUTE(SUBSTITUTE(UPPER(S104)," ",""),":",": "))),0)),"-")</f>
        <v>-</v>
      </c>
      <c r="C104" s="46" t="str" cm="1">
        <f t="array" ref="C104">IFERROR(INDEX(#REF!,MATCH(TRUE,ISNUMBER(FIND(SUBSTITUTE(SUBSTITUTE(UPPER(#REF!)," ",""),":",": "),SUBSTITUTE(SUBSTITUTE(UPPER(S104)," ",""),":",": "))),0)),"Não encontrado")</f>
        <v>Não encontrado</v>
      </c>
      <c r="D104" s="46" t="str" cm="1">
        <f t="array" ref="D104">IFERROR(INDEX(#REF!,MATCH(TRUE,ISNUMBER(FIND(SUBSTITUTE(SUBSTITUTE(UPPER(#REF!)," ",""),":",": "),SUBSTITUTE(SUBSTITUTE(UPPER(S104)," ",""),":",": "))),0)),"Não encontrado")</f>
        <v>Não encontrado</v>
      </c>
      <c r="E104" s="42" t="str" cm="1">
        <f t="array" ref="E104">IFERROR(INDEX({"IMPEDITIVO"},MATCH(TRUE,ISNUMBER(FIND(SUBSTITUTE(SUBSTITUTE(UPPER({"IMPEDITIVO"})," ",""),":",": "),SUBSTITUTE(SUBSTITUTE(UPPER(S104)," ",""),":",": "))),0)),"-")</f>
        <v>-</v>
      </c>
      <c r="F104" s="98"/>
      <c r="H104" s="50"/>
      <c r="J104" s="50"/>
      <c r="K104" s="64"/>
      <c r="L104" s="36"/>
      <c r="M104" s="45"/>
      <c r="N104" s="43"/>
      <c r="O104" s="43"/>
      <c r="P104" s="43"/>
      <c r="V104" s="43"/>
      <c r="W104" s="36"/>
      <c r="X104" s="36"/>
      <c r="Y104" s="43"/>
    </row>
    <row r="105" spans="1:25" s="9" customFormat="1" x14ac:dyDescent="0.25">
      <c r="A105" s="46" t="str" cm="1">
        <f t="array" ref="A105">IFERROR(INDEX(#REF!,MATCH(TRUE,ISNUMBER(FIND(SUBSTITUTE(SUBSTITUTE(UPPER(#REF!)," ",""),":",": "),SUBSTITUTE(SUBSTITUTE(UPPER(S105)," ",""),":",": "))),0)),"Undefined")</f>
        <v>Undefined</v>
      </c>
      <c r="B105" s="42" t="str" cm="1">
        <f t="array" ref="B105">IFERROR(INDEX({"URGENTE"},MATCH(TRUE,ISNUMBER(FIND(SUBSTITUTE(SUBSTITUTE(UPPER({"URGENTE"})," ",""),":",": "),SUBSTITUTE(SUBSTITUTE(UPPER(S105)," ",""),":",": "))),0)),"-")</f>
        <v>-</v>
      </c>
      <c r="C105" s="46" t="str" cm="1">
        <f t="array" ref="C105">IFERROR(INDEX(#REF!,MATCH(TRUE,ISNUMBER(FIND(SUBSTITUTE(SUBSTITUTE(UPPER(#REF!)," ",""),":",": "),SUBSTITUTE(SUBSTITUTE(UPPER(S105)," ",""),":",": "))),0)),"Não encontrado")</f>
        <v>Não encontrado</v>
      </c>
      <c r="D105" s="46" t="str" cm="1">
        <f t="array" ref="D105">IFERROR(INDEX(#REF!,MATCH(TRUE,ISNUMBER(FIND(SUBSTITUTE(SUBSTITUTE(UPPER(#REF!)," ",""),":",": "),SUBSTITUTE(SUBSTITUTE(UPPER(S105)," ",""),":",": "))),0)),"Não encontrado")</f>
        <v>Não encontrado</v>
      </c>
      <c r="E105" s="42" t="str" cm="1">
        <f t="array" ref="E105">IFERROR(INDEX({"IMPEDITIVO"},MATCH(TRUE,ISNUMBER(FIND(SUBSTITUTE(SUBSTITUTE(UPPER({"IMPEDITIVO"})," ",""),":",": "),SUBSTITUTE(SUBSTITUTE(UPPER(S105)," ",""),":",": "))),0)),"-")</f>
        <v>-</v>
      </c>
      <c r="F105" s="98"/>
      <c r="H105" s="50"/>
      <c r="J105" s="50"/>
      <c r="K105" s="64"/>
      <c r="L105" s="36"/>
      <c r="M105" s="45"/>
      <c r="N105" s="43"/>
      <c r="O105" s="43"/>
      <c r="P105" s="43"/>
      <c r="V105" s="43"/>
      <c r="W105" s="36"/>
      <c r="X105" s="36"/>
      <c r="Y105" s="43"/>
    </row>
    <row r="106" spans="1:25" s="47" customFormat="1" x14ac:dyDescent="0.25">
      <c r="A106" s="46" t="str" cm="1">
        <f t="array" ref="A106">IFERROR(INDEX(#REF!,MATCH(TRUE,ISNUMBER(FIND(SUBSTITUTE(SUBSTITUTE(UPPER(#REF!)," ",""),":",": "),SUBSTITUTE(SUBSTITUTE(UPPER(S106)," ",""),":",": "))),0)),"Undefined")</f>
        <v>Undefined</v>
      </c>
      <c r="B106" s="42" t="str" cm="1">
        <f t="array" ref="B106">IFERROR(INDEX({"URGENTE"},MATCH(TRUE,ISNUMBER(FIND(SUBSTITUTE(SUBSTITUTE(UPPER({"URGENTE"})," ",""),":",": "),SUBSTITUTE(SUBSTITUTE(UPPER(S106)," ",""),":",": "))),0)),"-")</f>
        <v>-</v>
      </c>
      <c r="C106" s="46" t="str" cm="1">
        <f t="array" ref="C106">IFERROR(INDEX(#REF!,MATCH(TRUE,ISNUMBER(FIND(SUBSTITUTE(SUBSTITUTE(UPPER(#REF!)," ",""),":",": "),SUBSTITUTE(SUBSTITUTE(UPPER(S106)," ",""),":",": "))),0)),"Não encontrado")</f>
        <v>Não encontrado</v>
      </c>
      <c r="D106" s="46" t="str" cm="1">
        <f t="array" ref="D106">IFERROR(INDEX(#REF!,MATCH(TRUE,ISNUMBER(FIND(SUBSTITUTE(SUBSTITUTE(UPPER(#REF!)," ",""),":",": "),SUBSTITUTE(SUBSTITUTE(UPPER(S106)," ",""),":",": "))),0)),"Não encontrado")</f>
        <v>Não encontrado</v>
      </c>
      <c r="E106" s="42" t="str" cm="1">
        <f t="array" ref="E106">IFERROR(INDEX({"IMPEDITIVO"},MATCH(TRUE,ISNUMBER(FIND(SUBSTITUTE(SUBSTITUTE(UPPER({"IMPEDITIVO"})," ",""),":",": "),SUBSTITUTE(SUBSTITUTE(UPPER(S106)," ",""),":",": "))),0)),"-")</f>
        <v>-</v>
      </c>
      <c r="H106" s="44"/>
      <c r="J106" s="44"/>
      <c r="K106" s="62"/>
      <c r="L106" s="58"/>
      <c r="M106" s="56"/>
      <c r="N106" s="57"/>
      <c r="O106" s="57"/>
      <c r="P106" s="57"/>
      <c r="V106" s="57"/>
      <c r="W106" s="58"/>
      <c r="X106" s="58"/>
      <c r="Y106" s="57"/>
    </row>
    <row r="107" spans="1:25" s="9" customFormat="1" x14ac:dyDescent="0.25">
      <c r="A107" s="46" t="str" cm="1">
        <f t="array" ref="A107">IFERROR(INDEX(#REF!,MATCH(TRUE,ISNUMBER(FIND(SUBSTITUTE(SUBSTITUTE(UPPER(#REF!)," ",""),":",": "),SUBSTITUTE(SUBSTITUTE(UPPER(S107)," ",""),":",": "))),0)),"Undefined")</f>
        <v>Undefined</v>
      </c>
      <c r="B107" s="42" t="str" cm="1">
        <f t="array" ref="B107">IFERROR(INDEX({"URGENTE"},MATCH(TRUE,ISNUMBER(FIND(SUBSTITUTE(SUBSTITUTE(UPPER({"URGENTE"})," ",""),":",": "),SUBSTITUTE(SUBSTITUTE(UPPER(S107)," ",""),":",": "))),0)),"-")</f>
        <v>-</v>
      </c>
      <c r="C107" s="46" t="str" cm="1">
        <f t="array" ref="C107">IFERROR(INDEX(#REF!,MATCH(TRUE,ISNUMBER(FIND(SUBSTITUTE(SUBSTITUTE(UPPER(#REF!)," ",""),":",": "),SUBSTITUTE(SUBSTITUTE(UPPER(S107)," ",""),":",": "))),0)),"Não encontrado")</f>
        <v>Não encontrado</v>
      </c>
      <c r="D107" s="46" t="str" cm="1">
        <f t="array" ref="D107">IFERROR(INDEX(#REF!,MATCH(TRUE,ISNUMBER(FIND(SUBSTITUTE(SUBSTITUTE(UPPER(#REF!)," ",""),":",": "),SUBSTITUTE(SUBSTITUTE(UPPER(S107)," ",""),":",": "))),0)),"Não encontrado")</f>
        <v>Não encontrado</v>
      </c>
      <c r="E107" s="42" t="str" cm="1">
        <f t="array" ref="E107">IFERROR(INDEX({"IMPEDITIVO"},MATCH(TRUE,ISNUMBER(FIND(SUBSTITUTE(SUBSTITUTE(UPPER({"IMPEDITIVO"})," ",""),":",": "),SUBSTITUTE(SUBSTITUTE(UPPER(S107)," ",""),":",": "))),0)),"-")</f>
        <v>-</v>
      </c>
      <c r="F107" s="98"/>
      <c r="H107" s="50"/>
      <c r="J107" s="50"/>
      <c r="K107" s="65"/>
      <c r="L107" s="36"/>
      <c r="M107" s="45"/>
      <c r="N107" s="43"/>
      <c r="O107" s="43"/>
      <c r="P107" s="43"/>
      <c r="V107" s="43"/>
      <c r="W107" s="36"/>
      <c r="X107" s="36"/>
      <c r="Y107" s="43"/>
    </row>
    <row r="108" spans="1:25" s="9" customFormat="1" x14ac:dyDescent="0.25">
      <c r="A108" s="46" t="str" cm="1">
        <f t="array" ref="A108">IFERROR(INDEX(#REF!,MATCH(TRUE,ISNUMBER(FIND(SUBSTITUTE(SUBSTITUTE(UPPER(#REF!)," ",""),":",": "),SUBSTITUTE(SUBSTITUTE(UPPER(S108)," ",""),":",": "))),0)),"Undefined")</f>
        <v>Undefined</v>
      </c>
      <c r="B108" s="42" t="str" cm="1">
        <f t="array" ref="B108">IFERROR(INDEX({"URGENTE"},MATCH(TRUE,ISNUMBER(FIND(SUBSTITUTE(SUBSTITUTE(UPPER({"URGENTE"})," ",""),":",": "),SUBSTITUTE(SUBSTITUTE(UPPER(S108)," ",""),":",": "))),0)),"-")</f>
        <v>-</v>
      </c>
      <c r="C108" s="46" t="str" cm="1">
        <f t="array" ref="C108">IFERROR(INDEX(#REF!,MATCH(TRUE,ISNUMBER(FIND(SUBSTITUTE(SUBSTITUTE(UPPER(#REF!)," ",""),":",": "),SUBSTITUTE(SUBSTITUTE(UPPER(S108)," ",""),":",": "))),0)),"Não encontrado")</f>
        <v>Não encontrado</v>
      </c>
      <c r="D108" s="46" t="str" cm="1">
        <f t="array" ref="D108">IFERROR(INDEX(#REF!,MATCH(TRUE,ISNUMBER(FIND(SUBSTITUTE(SUBSTITUTE(UPPER(#REF!)," ",""),":",": "),SUBSTITUTE(SUBSTITUTE(UPPER(S108)," ",""),":",": "))),0)),"Não encontrado")</f>
        <v>Não encontrado</v>
      </c>
      <c r="E108" s="42" t="str" cm="1">
        <f t="array" ref="E108">IFERROR(INDEX({"IMPEDITIVO"},MATCH(TRUE,ISNUMBER(FIND(SUBSTITUTE(SUBSTITUTE(UPPER({"IMPEDITIVO"})," ",""),":",": "),SUBSTITUTE(SUBSTITUTE(UPPER(S108)," ",""),":",": "))),0)),"-")</f>
        <v>-</v>
      </c>
      <c r="F108" s="98"/>
      <c r="H108" s="50"/>
      <c r="J108" s="50"/>
      <c r="K108" s="65"/>
      <c r="L108" s="36"/>
      <c r="M108" s="45"/>
      <c r="N108" s="43"/>
      <c r="O108" s="43"/>
      <c r="P108" s="43"/>
      <c r="V108" s="43"/>
      <c r="W108" s="36"/>
      <c r="X108" s="36"/>
      <c r="Y108" s="43"/>
    </row>
    <row r="109" spans="1:25" s="9" customFormat="1" x14ac:dyDescent="0.25">
      <c r="A109" s="46" t="str" cm="1">
        <f t="array" ref="A109">IFERROR(INDEX(#REF!,MATCH(TRUE,ISNUMBER(FIND(SUBSTITUTE(SUBSTITUTE(UPPER(#REF!)," ",""),":",": "),SUBSTITUTE(SUBSTITUTE(UPPER(S109)," ",""),":",": "))),0)),"Undefined")</f>
        <v>Undefined</v>
      </c>
      <c r="B109" s="42" t="str" cm="1">
        <f t="array" ref="B109">IFERROR(INDEX({"URGENTE"},MATCH(TRUE,ISNUMBER(FIND(SUBSTITUTE(SUBSTITUTE(UPPER({"URGENTE"})," ",""),":",": "),SUBSTITUTE(SUBSTITUTE(UPPER(S109)," ",""),":",": "))),0)),"-")</f>
        <v>-</v>
      </c>
      <c r="C109" s="46" t="str" cm="1">
        <f t="array" ref="C109">IFERROR(INDEX(#REF!,MATCH(TRUE,ISNUMBER(FIND(SUBSTITUTE(SUBSTITUTE(UPPER(#REF!)," ",""),":",": "),SUBSTITUTE(SUBSTITUTE(UPPER(S109)," ",""),":",": "))),0)),"Não encontrado")</f>
        <v>Não encontrado</v>
      </c>
      <c r="D109" s="46" t="str" cm="1">
        <f t="array" ref="D109">IFERROR(INDEX(#REF!,MATCH(TRUE,ISNUMBER(FIND(SUBSTITUTE(SUBSTITUTE(UPPER(#REF!)," ",""),":",": "),SUBSTITUTE(SUBSTITUTE(UPPER(S109)," ",""),":",": "))),0)),"Não encontrado")</f>
        <v>Não encontrado</v>
      </c>
      <c r="E109" s="42" t="str" cm="1">
        <f t="array" ref="E109">IFERROR(INDEX({"IMPEDITIVO"},MATCH(TRUE,ISNUMBER(FIND(SUBSTITUTE(SUBSTITUTE(UPPER({"IMPEDITIVO"})," ",""),":",": "),SUBSTITUTE(SUBSTITUTE(UPPER(S109)," ",""),":",": "))),0)),"-")</f>
        <v>-</v>
      </c>
      <c r="F109" s="98"/>
      <c r="H109" s="50"/>
      <c r="J109" s="50"/>
      <c r="K109" s="65"/>
      <c r="L109" s="36"/>
      <c r="M109" s="45"/>
      <c r="N109" s="43"/>
      <c r="O109" s="43"/>
      <c r="P109" s="43"/>
      <c r="V109" s="43"/>
      <c r="W109" s="36"/>
      <c r="X109" s="36"/>
      <c r="Y109" s="43"/>
    </row>
    <row r="110" spans="1:25" s="9" customFormat="1" x14ac:dyDescent="0.25">
      <c r="A110" s="46" t="str" cm="1">
        <f t="array" ref="A110">IFERROR(INDEX(#REF!,MATCH(TRUE,ISNUMBER(FIND(SUBSTITUTE(SUBSTITUTE(UPPER(#REF!)," ",""),":",": "),SUBSTITUTE(SUBSTITUTE(UPPER(S110)," ",""),":",": "))),0)),"Undefined")</f>
        <v>Undefined</v>
      </c>
      <c r="B110" s="42" t="str" cm="1">
        <f t="array" ref="B110">IFERROR(INDEX({"URGENTE"},MATCH(TRUE,ISNUMBER(FIND(SUBSTITUTE(SUBSTITUTE(UPPER({"URGENTE"})," ",""),":",": "),SUBSTITUTE(SUBSTITUTE(UPPER(S110)," ",""),":",": "))),0)),"-")</f>
        <v>-</v>
      </c>
      <c r="C110" s="46" t="str" cm="1">
        <f t="array" ref="C110">IFERROR(INDEX(#REF!,MATCH(TRUE,ISNUMBER(FIND(SUBSTITUTE(SUBSTITUTE(UPPER(#REF!)," ",""),":",": "),SUBSTITUTE(SUBSTITUTE(UPPER(S110)," ",""),":",": "))),0)),"Não encontrado")</f>
        <v>Não encontrado</v>
      </c>
      <c r="D110" s="46" t="str" cm="1">
        <f t="array" ref="D110">IFERROR(INDEX(#REF!,MATCH(TRUE,ISNUMBER(FIND(SUBSTITUTE(SUBSTITUTE(UPPER(#REF!)," ",""),":",": "),SUBSTITUTE(SUBSTITUTE(UPPER(S110)," ",""),":",": "))),0)),"Não encontrado")</f>
        <v>Não encontrado</v>
      </c>
      <c r="E110" s="42" t="str" cm="1">
        <f t="array" ref="E110">IFERROR(INDEX({"IMPEDITIVO"},MATCH(TRUE,ISNUMBER(FIND(SUBSTITUTE(SUBSTITUTE(UPPER({"IMPEDITIVO"})," ",""),":",": "),SUBSTITUTE(SUBSTITUTE(UPPER(S110)," ",""),":",": "))),0)),"-")</f>
        <v>-</v>
      </c>
      <c r="F110" s="98"/>
      <c r="H110" s="50"/>
      <c r="J110" s="50"/>
      <c r="K110" s="65"/>
      <c r="L110" s="36"/>
      <c r="M110" s="45"/>
      <c r="N110" s="43"/>
      <c r="O110" s="43"/>
      <c r="P110" s="43"/>
      <c r="V110" s="43"/>
      <c r="W110" s="36"/>
      <c r="X110" s="36"/>
      <c r="Y110" s="43"/>
    </row>
    <row r="111" spans="1:25" s="47" customFormat="1" x14ac:dyDescent="0.25">
      <c r="A111" s="46" t="str" cm="1">
        <f t="array" ref="A111">IFERROR(INDEX(#REF!,MATCH(TRUE,ISNUMBER(FIND(SUBSTITUTE(SUBSTITUTE(UPPER(#REF!)," ",""),":",": "),SUBSTITUTE(SUBSTITUTE(UPPER(S111)," ",""),":",": "))),0)),"Undefined")</f>
        <v>Undefined</v>
      </c>
      <c r="B111" s="42" t="str" cm="1">
        <f t="array" ref="B111">IFERROR(INDEX({"URGENTE"},MATCH(TRUE,ISNUMBER(FIND(SUBSTITUTE(SUBSTITUTE(UPPER({"URGENTE"})," ",""),":",": "),SUBSTITUTE(SUBSTITUTE(UPPER(S111)," ",""),":",": "))),0)),"-")</f>
        <v>-</v>
      </c>
      <c r="C111" s="46" t="str" cm="1">
        <f t="array" ref="C111">IFERROR(INDEX(#REF!,MATCH(TRUE,ISNUMBER(FIND(SUBSTITUTE(SUBSTITUTE(UPPER(#REF!)," ",""),":",": "),SUBSTITUTE(SUBSTITUTE(UPPER(S111)," ",""),":",": "))),0)),"Não encontrado")</f>
        <v>Não encontrado</v>
      </c>
      <c r="D111" s="46" t="str" cm="1">
        <f t="array" ref="D111">IFERROR(INDEX(#REF!,MATCH(TRUE,ISNUMBER(FIND(SUBSTITUTE(SUBSTITUTE(UPPER(#REF!)," ",""),":",": "),SUBSTITUTE(SUBSTITUTE(UPPER(S111)," ",""),":",": "))),0)),"Não encontrado")</f>
        <v>Não encontrado</v>
      </c>
      <c r="E111" s="42" t="str" cm="1">
        <f t="array" ref="E111">IFERROR(INDEX({"IMPEDITIVO"},MATCH(TRUE,ISNUMBER(FIND(SUBSTITUTE(SUBSTITUTE(UPPER({"IMPEDITIVO"})," ",""),":",": "),SUBSTITUTE(SUBSTITUTE(UPPER(S111)," ",""),":",": "))),0)),"-")</f>
        <v>-</v>
      </c>
      <c r="H111" s="44"/>
      <c r="J111" s="44"/>
      <c r="K111" s="63"/>
      <c r="L111" s="58"/>
      <c r="M111" s="56"/>
      <c r="N111" s="57"/>
      <c r="O111" s="57"/>
      <c r="P111" s="57"/>
      <c r="V111" s="57"/>
      <c r="W111" s="58"/>
      <c r="X111" s="58"/>
      <c r="Y111" s="57"/>
    </row>
    <row r="112" spans="1:25" s="47" customFormat="1" x14ac:dyDescent="0.25">
      <c r="A112" s="46" t="str" cm="1">
        <f t="array" ref="A112">IFERROR(INDEX(#REF!,MATCH(TRUE,ISNUMBER(FIND(SUBSTITUTE(SUBSTITUTE(UPPER(#REF!)," ",""),":",": "),SUBSTITUTE(SUBSTITUTE(UPPER(S112)," ",""),":",": "))),0)),"Undefined")</f>
        <v>Undefined</v>
      </c>
      <c r="B112" s="42" t="str" cm="1">
        <f t="array" ref="B112">IFERROR(INDEX({"URGENTE"},MATCH(TRUE,ISNUMBER(FIND(SUBSTITUTE(SUBSTITUTE(UPPER({"URGENTE"})," ",""),":",": "),SUBSTITUTE(SUBSTITUTE(UPPER(S112)," ",""),":",": "))),0)),"-")</f>
        <v>-</v>
      </c>
      <c r="C112" s="46" t="str" cm="1">
        <f t="array" ref="C112">IFERROR(INDEX(#REF!,MATCH(TRUE,ISNUMBER(FIND(SUBSTITUTE(SUBSTITUTE(UPPER(#REF!)," ",""),":",": "),SUBSTITUTE(SUBSTITUTE(UPPER(S112)," ",""),":",": "))),0)),"Não encontrado")</f>
        <v>Não encontrado</v>
      </c>
      <c r="D112" s="46" t="str" cm="1">
        <f t="array" ref="D112">IFERROR(INDEX(#REF!,MATCH(TRUE,ISNUMBER(FIND(SUBSTITUTE(SUBSTITUTE(UPPER(#REF!)," ",""),":",": "),SUBSTITUTE(SUBSTITUTE(UPPER(S112)," ",""),":",": "))),0)),"Não encontrado")</f>
        <v>Não encontrado</v>
      </c>
      <c r="E112" s="42" t="str" cm="1">
        <f t="array" ref="E112">IFERROR(INDEX({"IMPEDITIVO"},MATCH(TRUE,ISNUMBER(FIND(SUBSTITUTE(SUBSTITUTE(UPPER({"IMPEDITIVO"})," ",""),":",": "),SUBSTITUTE(SUBSTITUTE(UPPER(S112)," ",""),":",": "))),0)),"-")</f>
        <v>-</v>
      </c>
      <c r="H112" s="44"/>
      <c r="J112" s="44"/>
      <c r="K112" s="63"/>
      <c r="L112" s="58"/>
      <c r="M112" s="56"/>
      <c r="N112" s="57"/>
      <c r="O112" s="57"/>
      <c r="P112" s="57"/>
      <c r="V112" s="57"/>
      <c r="W112" s="58"/>
      <c r="X112" s="58"/>
      <c r="Y112" s="57"/>
    </row>
    <row r="113" spans="1:25" s="9" customFormat="1" x14ac:dyDescent="0.25">
      <c r="A113" s="46" t="str" cm="1">
        <f t="array" ref="A113">IFERROR(INDEX(#REF!,MATCH(TRUE,ISNUMBER(FIND(SUBSTITUTE(SUBSTITUTE(UPPER(#REF!)," ",""),":",": "),SUBSTITUTE(SUBSTITUTE(UPPER(S113)," ",""),":",": "))),0)),"Undefined")</f>
        <v>Undefined</v>
      </c>
      <c r="B113" s="42" t="str" cm="1">
        <f t="array" ref="B113">IFERROR(INDEX({"URGENTE"},MATCH(TRUE,ISNUMBER(FIND(SUBSTITUTE(SUBSTITUTE(UPPER({"URGENTE"})," ",""),":",": "),SUBSTITUTE(SUBSTITUTE(UPPER(S113)," ",""),":",": "))),0)),"-")</f>
        <v>-</v>
      </c>
      <c r="C113" s="46" t="str" cm="1">
        <f t="array" ref="C113">IFERROR(INDEX(#REF!,MATCH(TRUE,ISNUMBER(FIND(SUBSTITUTE(SUBSTITUTE(UPPER(#REF!)," ",""),":",": "),SUBSTITUTE(SUBSTITUTE(UPPER(S113)," ",""),":",": "))),0)),"Não encontrado")</f>
        <v>Não encontrado</v>
      </c>
      <c r="D113" s="46" t="str" cm="1">
        <f t="array" ref="D113">IFERROR(INDEX(#REF!,MATCH(TRUE,ISNUMBER(FIND(SUBSTITUTE(SUBSTITUTE(UPPER(#REF!)," ",""),":",": "),SUBSTITUTE(SUBSTITUTE(UPPER(S113)," ",""),":",": "))),0)),"Não encontrado")</f>
        <v>Não encontrado</v>
      </c>
      <c r="E113" s="42" t="str" cm="1">
        <f t="array" ref="E113">IFERROR(INDEX({"IMPEDITIVO"},MATCH(TRUE,ISNUMBER(FIND(SUBSTITUTE(SUBSTITUTE(UPPER({"IMPEDITIVO"})," ",""),":",": "),SUBSTITUTE(SUBSTITUTE(UPPER(S113)," ",""),":",": "))),0)),"-")</f>
        <v>-</v>
      </c>
      <c r="F113" s="98"/>
      <c r="H113" s="50"/>
      <c r="J113" s="50"/>
      <c r="K113" s="65"/>
      <c r="L113" s="36"/>
      <c r="M113" s="45"/>
      <c r="N113" s="43"/>
      <c r="O113" s="43"/>
      <c r="P113" s="43"/>
      <c r="V113" s="43"/>
      <c r="W113" s="36"/>
      <c r="X113" s="36"/>
      <c r="Y113" s="43"/>
    </row>
    <row r="114" spans="1:25" customFormat="1" x14ac:dyDescent="0.25">
      <c r="A114" s="46" t="str" cm="1">
        <f t="array" ref="A114">IFERROR(INDEX(#REF!,MATCH(TRUE,ISNUMBER(FIND(SUBSTITUTE(SUBSTITUTE(UPPER(#REF!)," ",""),":",": "),SUBSTITUTE(SUBSTITUTE(UPPER(S114)," ",""),":",": "))),0)),"Undefined")</f>
        <v>Undefined</v>
      </c>
      <c r="B114" s="42" t="str" cm="1">
        <f t="array" ref="B114">IFERROR(INDEX({"URGENTE"},MATCH(TRUE,ISNUMBER(FIND(SUBSTITUTE(SUBSTITUTE(UPPER({"URGENTE"})," ",""),":",": "),SUBSTITUTE(SUBSTITUTE(UPPER(S114)," ",""),":",": "))),0)),"-")</f>
        <v>-</v>
      </c>
      <c r="C114" s="46" t="str" cm="1">
        <f t="array" ref="C114">IFERROR(INDEX(#REF!,MATCH(TRUE,ISNUMBER(FIND(SUBSTITUTE(SUBSTITUTE(UPPER(#REF!)," ",""),":",": "),SUBSTITUTE(SUBSTITUTE(UPPER(S114)," ",""),":",": "))),0)),"Não encontrado")</f>
        <v>Não encontrado</v>
      </c>
      <c r="D114" s="46" t="str" cm="1">
        <f t="array" ref="D114">IFERROR(INDEX(#REF!,MATCH(TRUE,ISNUMBER(FIND(SUBSTITUTE(SUBSTITUTE(UPPER(#REF!)," ",""),":",": "),SUBSTITUTE(SUBSTITUTE(UPPER(S114)," ",""),":",": "))),0)),"Não encontrado")</f>
        <v>Não encontrado</v>
      </c>
      <c r="E114" s="42" t="str" cm="1">
        <f t="array" ref="E114">IFERROR(INDEX({"IMPEDITIVO"},MATCH(TRUE,ISNUMBER(FIND(SUBSTITUTE(SUBSTITUTE(UPPER({"IMPEDITIVO"})," ",""),":",": "),SUBSTITUTE(SUBSTITUTE(UPPER(S114)," ",""),":",": "))),0)),"-")</f>
        <v>-</v>
      </c>
      <c r="F114" s="96"/>
      <c r="H114" s="40"/>
      <c r="J114" s="40"/>
      <c r="K114" s="54"/>
      <c r="L114" s="1"/>
      <c r="M114" s="45"/>
      <c r="N114" s="43"/>
      <c r="O114" s="43"/>
      <c r="P114" s="43"/>
      <c r="V114" s="43"/>
      <c r="W114" s="1"/>
      <c r="X114" s="1"/>
      <c r="Y114" s="43"/>
    </row>
    <row r="115" spans="1:25" customFormat="1" x14ac:dyDescent="0.25">
      <c r="A115" s="46" t="str" cm="1">
        <f t="array" ref="A115">IFERROR(INDEX(#REF!,MATCH(TRUE,ISNUMBER(FIND(SUBSTITUTE(SUBSTITUTE(UPPER(#REF!)," ",""),":",": "),SUBSTITUTE(SUBSTITUTE(UPPER(S115)," ",""),":",": "))),0)),"Undefined")</f>
        <v>Undefined</v>
      </c>
      <c r="B115" s="42" t="str" cm="1">
        <f t="array" ref="B115">IFERROR(INDEX({"URGENTE"},MATCH(TRUE,ISNUMBER(FIND(SUBSTITUTE(SUBSTITUTE(UPPER({"URGENTE"})," ",""),":",": "),SUBSTITUTE(SUBSTITUTE(UPPER(S115)," ",""),":",": "))),0)),"-")</f>
        <v>-</v>
      </c>
      <c r="C115" s="46" t="str" cm="1">
        <f t="array" ref="C115">IFERROR(INDEX(#REF!,MATCH(TRUE,ISNUMBER(FIND(SUBSTITUTE(SUBSTITUTE(UPPER(#REF!)," ",""),":",": "),SUBSTITUTE(SUBSTITUTE(UPPER(S115)," ",""),":",": "))),0)),"Não encontrado")</f>
        <v>Não encontrado</v>
      </c>
      <c r="D115" s="46" t="str" cm="1">
        <f t="array" ref="D115">IFERROR(INDEX(#REF!,MATCH(TRUE,ISNUMBER(FIND(SUBSTITUTE(SUBSTITUTE(UPPER(#REF!)," ",""),":",": "),SUBSTITUTE(SUBSTITUTE(UPPER(S115)," ",""),":",": "))),0)),"Não encontrado")</f>
        <v>Não encontrado</v>
      </c>
      <c r="E115" s="42" t="str" cm="1">
        <f t="array" ref="E115">IFERROR(INDEX({"IMPEDITIVO"},MATCH(TRUE,ISNUMBER(FIND(SUBSTITUTE(SUBSTITUTE(UPPER({"IMPEDITIVO"})," ",""),":",": "),SUBSTITUTE(SUBSTITUTE(UPPER(S115)," ",""),":",": "))),0)),"-")</f>
        <v>-</v>
      </c>
      <c r="F115" s="96"/>
      <c r="H115" s="40"/>
      <c r="J115" s="40"/>
      <c r="K115" s="54"/>
      <c r="L115" s="1"/>
      <c r="M115" s="45"/>
      <c r="N115" s="43"/>
      <c r="O115" s="43"/>
      <c r="P115" s="43"/>
      <c r="V115" s="43"/>
      <c r="W115" s="1"/>
      <c r="X115" s="1"/>
      <c r="Y115" s="43"/>
    </row>
    <row r="116" spans="1:25" customFormat="1" x14ac:dyDescent="0.25">
      <c r="A116" s="46" t="str" cm="1">
        <f t="array" ref="A116">IFERROR(INDEX(#REF!,MATCH(TRUE,ISNUMBER(FIND(SUBSTITUTE(SUBSTITUTE(UPPER(#REF!)," ",""),":",": "),SUBSTITUTE(SUBSTITUTE(UPPER(S116)," ",""),":",": "))),0)),"Undefined")</f>
        <v>Undefined</v>
      </c>
      <c r="B116" s="42" t="str" cm="1">
        <f t="array" ref="B116">IFERROR(INDEX({"URGENTE"},MATCH(TRUE,ISNUMBER(FIND(SUBSTITUTE(SUBSTITUTE(UPPER({"URGENTE"})," ",""),":",": "),SUBSTITUTE(SUBSTITUTE(UPPER(S116)," ",""),":",": "))),0)),"-")</f>
        <v>-</v>
      </c>
      <c r="C116" s="46" t="str" cm="1">
        <f t="array" ref="C116">IFERROR(INDEX(#REF!,MATCH(TRUE,ISNUMBER(FIND(SUBSTITUTE(SUBSTITUTE(UPPER(#REF!)," ",""),":",": "),SUBSTITUTE(SUBSTITUTE(UPPER(S116)," ",""),":",": "))),0)),"Não encontrado")</f>
        <v>Não encontrado</v>
      </c>
      <c r="D116" s="46" t="str" cm="1">
        <f t="array" ref="D116">IFERROR(INDEX(#REF!,MATCH(TRUE,ISNUMBER(FIND(SUBSTITUTE(SUBSTITUTE(UPPER(#REF!)," ",""),":",": "),SUBSTITUTE(SUBSTITUTE(UPPER(S116)," ",""),":",": "))),0)),"Não encontrado")</f>
        <v>Não encontrado</v>
      </c>
      <c r="E116" s="42" t="str" cm="1">
        <f t="array" ref="E116">IFERROR(INDEX({"IMPEDITIVO"},MATCH(TRUE,ISNUMBER(FIND(SUBSTITUTE(SUBSTITUTE(UPPER({"IMPEDITIVO"})," ",""),":",": "),SUBSTITUTE(SUBSTITUTE(UPPER(S116)," ",""),":",": "))),0)),"-")</f>
        <v>-</v>
      </c>
      <c r="F116" s="96"/>
      <c r="H116" s="40"/>
      <c r="J116" s="40"/>
      <c r="K116" s="54"/>
      <c r="L116" s="1"/>
      <c r="M116" s="45"/>
      <c r="N116" s="43"/>
      <c r="O116" s="43"/>
      <c r="P116" s="43"/>
      <c r="V116" s="43"/>
      <c r="W116" s="1"/>
      <c r="X116" s="1"/>
      <c r="Y116" s="43"/>
    </row>
    <row r="117" spans="1:25" customFormat="1" x14ac:dyDescent="0.25">
      <c r="A117" s="46" t="str" cm="1">
        <f t="array" ref="A117">IFERROR(INDEX(#REF!,MATCH(TRUE,ISNUMBER(FIND(SUBSTITUTE(SUBSTITUTE(UPPER(#REF!)," ",""),":",": "),SUBSTITUTE(SUBSTITUTE(UPPER(S117)," ",""),":",": "))),0)),"Undefined")</f>
        <v>Undefined</v>
      </c>
      <c r="B117" s="42" t="str" cm="1">
        <f t="array" ref="B117">IFERROR(INDEX({"URGENTE"},MATCH(TRUE,ISNUMBER(FIND(SUBSTITUTE(SUBSTITUTE(UPPER({"URGENTE"})," ",""),":",": "),SUBSTITUTE(SUBSTITUTE(UPPER(S117)," ",""),":",": "))),0)),"-")</f>
        <v>-</v>
      </c>
      <c r="C117" s="46" t="str" cm="1">
        <f t="array" ref="C117">IFERROR(INDEX(#REF!,MATCH(TRUE,ISNUMBER(FIND(SUBSTITUTE(SUBSTITUTE(UPPER(#REF!)," ",""),":",": "),SUBSTITUTE(SUBSTITUTE(UPPER(S117)," ",""),":",": "))),0)),"Não encontrado")</f>
        <v>Não encontrado</v>
      </c>
      <c r="D117" s="46" t="str" cm="1">
        <f t="array" ref="D117">IFERROR(INDEX(#REF!,MATCH(TRUE,ISNUMBER(FIND(SUBSTITUTE(SUBSTITUTE(UPPER(#REF!)," ",""),":",": "),SUBSTITUTE(SUBSTITUTE(UPPER(S117)," ",""),":",": "))),0)),"Não encontrado")</f>
        <v>Não encontrado</v>
      </c>
      <c r="E117" s="42" t="str" cm="1">
        <f t="array" ref="E117">IFERROR(INDEX({"IMPEDITIVO"},MATCH(TRUE,ISNUMBER(FIND(SUBSTITUTE(SUBSTITUTE(UPPER({"IMPEDITIVO"})," ",""),":",": "),SUBSTITUTE(SUBSTITUTE(UPPER(S117)," ",""),":",": "))),0)),"-")</f>
        <v>-</v>
      </c>
      <c r="F117" s="96"/>
      <c r="H117" s="40"/>
      <c r="J117" s="40"/>
      <c r="K117" s="54"/>
      <c r="L117" s="1"/>
      <c r="M117" s="45"/>
      <c r="N117" s="43"/>
      <c r="O117" s="43"/>
      <c r="P117" s="43"/>
      <c r="V117" s="43"/>
      <c r="W117" s="1"/>
      <c r="X117" s="1"/>
      <c r="Y117" s="43"/>
    </row>
    <row r="118" spans="1:25" x14ac:dyDescent="0.25">
      <c r="A118" s="46" t="str" cm="1">
        <f t="array" ref="A118">IFERROR(INDEX(#REF!,MATCH(TRUE,ISNUMBER(FIND(SUBSTITUTE(SUBSTITUTE(UPPER(#REF!)," ",""),":",": "),SUBSTITUTE(SUBSTITUTE(UPPER(S118)," ",""),":",": "))),0)),"Undefined")</f>
        <v>Undefined</v>
      </c>
      <c r="B118" s="42" t="str" cm="1">
        <f t="array" ref="B118">IFERROR(INDEX({"URGENTE"},MATCH(TRUE,ISNUMBER(FIND(SUBSTITUTE(SUBSTITUTE(UPPER({"URGENTE"})," ",""),":",": "),SUBSTITUTE(SUBSTITUTE(UPPER(S118)," ",""),":",": "))),0)),"-")</f>
        <v>-</v>
      </c>
      <c r="C118" s="46" t="str" cm="1">
        <f t="array" ref="C118">IFERROR(INDEX(#REF!,MATCH(TRUE,ISNUMBER(FIND(SUBSTITUTE(SUBSTITUTE(UPPER(#REF!)," ",""),":",": "),SUBSTITUTE(SUBSTITUTE(UPPER(S118)," ",""),":",": "))),0)),"Não encontrado")</f>
        <v>Não encontrado</v>
      </c>
      <c r="D118" s="46" t="str" cm="1">
        <f t="array" ref="D118">IFERROR(INDEX(#REF!,MATCH(TRUE,ISNUMBER(FIND(SUBSTITUTE(SUBSTITUTE(UPPER(#REF!)," ",""),":",": "),SUBSTITUTE(SUBSTITUTE(UPPER(S118)," ",""),":",": "))),0)),"Não encontrado")</f>
        <v>Não encontrado</v>
      </c>
      <c r="E118" s="42" t="str" cm="1">
        <f t="array" ref="E118">IFERROR(INDEX({"IMPEDITIVO"},MATCH(TRUE,ISNUMBER(FIND(SUBSTITUTE(SUBSTITUTE(UPPER({"IMPEDITIVO"})," ",""),":",": "),SUBSTITUTE(SUBSTITUTE(UPPER(S118)," ",""),":",": "))),0)),"-")</f>
        <v>-</v>
      </c>
      <c r="K118" s="49"/>
    </row>
    <row r="119" spans="1:25" x14ac:dyDescent="0.25">
      <c r="A119" s="46" t="str" cm="1">
        <f t="array" ref="A119">IFERROR(INDEX(#REF!,MATCH(TRUE,ISNUMBER(FIND(SUBSTITUTE(SUBSTITUTE(UPPER(#REF!)," ",""),":",": "),SUBSTITUTE(SUBSTITUTE(UPPER(S119)," ",""),":",": "))),0)),"Undefined")</f>
        <v>Undefined</v>
      </c>
      <c r="B119" s="42" t="str" cm="1">
        <f t="array" ref="B119">IFERROR(INDEX({"URGENTE"},MATCH(TRUE,ISNUMBER(FIND(SUBSTITUTE(SUBSTITUTE(UPPER({"URGENTE"})," ",""),":",": "),SUBSTITUTE(SUBSTITUTE(UPPER(S119)," ",""),":",": "))),0)),"-")</f>
        <v>-</v>
      </c>
      <c r="C119" s="46" t="str" cm="1">
        <f t="array" ref="C119">IFERROR(INDEX(#REF!,MATCH(TRUE,ISNUMBER(FIND(SUBSTITUTE(SUBSTITUTE(UPPER(#REF!)," ",""),":",": "),SUBSTITUTE(SUBSTITUTE(UPPER(S119)," ",""),":",": "))),0)),"Não encontrado")</f>
        <v>Não encontrado</v>
      </c>
      <c r="D119" s="46" t="str" cm="1">
        <f t="array" ref="D119">IFERROR(INDEX(#REF!,MATCH(TRUE,ISNUMBER(FIND(SUBSTITUTE(SUBSTITUTE(UPPER(#REF!)," ",""),":",": "),SUBSTITUTE(SUBSTITUTE(UPPER(S119)," ",""),":",": "))),0)),"Não encontrado")</f>
        <v>Não encontrado</v>
      </c>
      <c r="E119" s="42" t="str" cm="1">
        <f t="array" ref="E119">IFERROR(INDEX({"IMPEDITIVO"},MATCH(TRUE,ISNUMBER(FIND(SUBSTITUTE(SUBSTITUTE(UPPER({"IMPEDITIVO"})," ",""),":",": "),SUBSTITUTE(SUBSTITUTE(UPPER(S119)," ",""),":",": "))),0)),"-")</f>
        <v>-</v>
      </c>
      <c r="K119" s="49"/>
    </row>
    <row r="120" spans="1:25" x14ac:dyDescent="0.25">
      <c r="A120" s="46" t="str" cm="1">
        <f t="array" ref="A120">IFERROR(INDEX(#REF!,MATCH(TRUE,ISNUMBER(FIND(SUBSTITUTE(SUBSTITUTE(UPPER(#REF!)," ",""),":",": "),SUBSTITUTE(SUBSTITUTE(UPPER(S120)," ",""),":",": "))),0)),"Undefined")</f>
        <v>Undefined</v>
      </c>
      <c r="B120" s="42" t="str" cm="1">
        <f t="array" ref="B120">IFERROR(INDEX({"URGENTE"},MATCH(TRUE,ISNUMBER(FIND(SUBSTITUTE(SUBSTITUTE(UPPER({"URGENTE"})," ",""),":",": "),SUBSTITUTE(SUBSTITUTE(UPPER(S120)," ",""),":",": "))),0)),"-")</f>
        <v>-</v>
      </c>
      <c r="C120" s="46" t="str" cm="1">
        <f t="array" ref="C120">IFERROR(INDEX(#REF!,MATCH(TRUE,ISNUMBER(FIND(SUBSTITUTE(SUBSTITUTE(UPPER(#REF!)," ",""),":",": "),SUBSTITUTE(SUBSTITUTE(UPPER(S120)," ",""),":",": "))),0)),"Não encontrado")</f>
        <v>Não encontrado</v>
      </c>
      <c r="D120" s="46" t="str" cm="1">
        <f t="array" ref="D120">IFERROR(INDEX(#REF!,MATCH(TRUE,ISNUMBER(FIND(SUBSTITUTE(SUBSTITUTE(UPPER(#REF!)," ",""),":",": "),SUBSTITUTE(SUBSTITUTE(UPPER(S120)," ",""),":",": "))),0)),"Não encontrado")</f>
        <v>Não encontrado</v>
      </c>
      <c r="E120" s="42" t="str" cm="1">
        <f t="array" ref="E120">IFERROR(INDEX({"IMPEDITIVO"},MATCH(TRUE,ISNUMBER(FIND(SUBSTITUTE(SUBSTITUTE(UPPER({"IMPEDITIVO"})," ",""),":",": "),SUBSTITUTE(SUBSTITUTE(UPPER(S120)," ",""),":",": "))),0)),"-")</f>
        <v>-</v>
      </c>
      <c r="K120" s="49"/>
    </row>
    <row r="121" spans="1:25" x14ac:dyDescent="0.25">
      <c r="A121" s="46" t="str" cm="1">
        <f t="array" ref="A121">IFERROR(INDEX(#REF!,MATCH(TRUE,ISNUMBER(FIND(SUBSTITUTE(SUBSTITUTE(UPPER(#REF!)," ",""),":",": "),SUBSTITUTE(SUBSTITUTE(UPPER(S121)," ",""),":",": "))),0)),"Undefined")</f>
        <v>Undefined</v>
      </c>
      <c r="B121" s="42" t="str" cm="1">
        <f t="array" ref="B121">IFERROR(INDEX({"URGENTE"},MATCH(TRUE,ISNUMBER(FIND(SUBSTITUTE(SUBSTITUTE(UPPER({"URGENTE"})," ",""),":",": "),SUBSTITUTE(SUBSTITUTE(UPPER(S121)," ",""),":",": "))),0)),"-")</f>
        <v>-</v>
      </c>
      <c r="C121" s="46" t="str" cm="1">
        <f t="array" ref="C121">IFERROR(INDEX(#REF!,MATCH(TRUE,ISNUMBER(FIND(SUBSTITUTE(SUBSTITUTE(UPPER(#REF!)," ",""),":",": "),SUBSTITUTE(SUBSTITUTE(UPPER(S121)," ",""),":",": "))),0)),"Não encontrado")</f>
        <v>Não encontrado</v>
      </c>
      <c r="D121" s="46" t="str" cm="1">
        <f t="array" ref="D121">IFERROR(INDEX(#REF!,MATCH(TRUE,ISNUMBER(FIND(SUBSTITUTE(SUBSTITUTE(UPPER(#REF!)," ",""),":",": "),SUBSTITUTE(SUBSTITUTE(UPPER(S121)," ",""),":",": "))),0)),"Não encontrado")</f>
        <v>Não encontrado</v>
      </c>
      <c r="E121" s="42" t="str" cm="1">
        <f t="array" ref="E121">IFERROR(INDEX({"IMPEDITIVO"},MATCH(TRUE,ISNUMBER(FIND(SUBSTITUTE(SUBSTITUTE(UPPER({"IMPEDITIVO"})," ",""),":",": "),SUBSTITUTE(SUBSTITUTE(UPPER(S121)," ",""),":",": "))),0)),"-")</f>
        <v>-</v>
      </c>
      <c r="K121" s="49"/>
    </row>
    <row r="122" spans="1:25" x14ac:dyDescent="0.25">
      <c r="A122" s="46" t="str" cm="1">
        <f t="array" ref="A122">IFERROR(INDEX(#REF!,MATCH(TRUE,ISNUMBER(FIND(SUBSTITUTE(SUBSTITUTE(UPPER(#REF!)," ",""),":",": "),SUBSTITUTE(SUBSTITUTE(UPPER(S122)," ",""),":",": "))),0)),"Undefined")</f>
        <v>Undefined</v>
      </c>
      <c r="B122" s="42" t="str" cm="1">
        <f t="array" ref="B122">IFERROR(INDEX({"URGENTE"},MATCH(TRUE,ISNUMBER(FIND(SUBSTITUTE(SUBSTITUTE(UPPER({"URGENTE"})," ",""),":",": "),SUBSTITUTE(SUBSTITUTE(UPPER(S122)," ",""),":",": "))),0)),"-")</f>
        <v>-</v>
      </c>
      <c r="C122" s="46" t="str" cm="1">
        <f t="array" ref="C122">IFERROR(INDEX(#REF!,MATCH(TRUE,ISNUMBER(FIND(SUBSTITUTE(SUBSTITUTE(UPPER(#REF!)," ",""),":",": "),SUBSTITUTE(SUBSTITUTE(UPPER(S122)," ",""),":",": "))),0)),"Não encontrado")</f>
        <v>Não encontrado</v>
      </c>
      <c r="D122" s="46" t="str" cm="1">
        <f t="array" ref="D122">IFERROR(INDEX(#REF!,MATCH(TRUE,ISNUMBER(FIND(SUBSTITUTE(SUBSTITUTE(UPPER(#REF!)," ",""),":",": "),SUBSTITUTE(SUBSTITUTE(UPPER(S122)," ",""),":",": "))),0)),"Não encontrado")</f>
        <v>Não encontrado</v>
      </c>
      <c r="E122" s="42" t="str" cm="1">
        <f t="array" ref="E122">IFERROR(INDEX({"IMPEDITIVO"},MATCH(TRUE,ISNUMBER(FIND(SUBSTITUTE(SUBSTITUTE(UPPER({"IMPEDITIVO"})," ",""),":",": "),SUBSTITUTE(SUBSTITUTE(UPPER(S122)," ",""),":",": "))),0)),"-")</f>
        <v>-</v>
      </c>
      <c r="K122" s="49"/>
    </row>
    <row r="123" spans="1:25" x14ac:dyDescent="0.25">
      <c r="A123" s="46" t="str" cm="1">
        <f t="array" ref="A123">IFERROR(INDEX(#REF!,MATCH(TRUE,ISNUMBER(FIND(SUBSTITUTE(SUBSTITUTE(UPPER(#REF!)," ",""),":",": "),SUBSTITUTE(SUBSTITUTE(UPPER(S123)," ",""),":",": "))),0)),"Undefined")</f>
        <v>Undefined</v>
      </c>
      <c r="B123" s="42" t="str" cm="1">
        <f t="array" ref="B123">IFERROR(INDEX({"URGENTE"},MATCH(TRUE,ISNUMBER(FIND(SUBSTITUTE(SUBSTITUTE(UPPER({"URGENTE"})," ",""),":",": "),SUBSTITUTE(SUBSTITUTE(UPPER(S123)," ",""),":",": "))),0)),"-")</f>
        <v>-</v>
      </c>
      <c r="C123" s="46" t="str" cm="1">
        <f t="array" ref="C123">IFERROR(INDEX(#REF!,MATCH(TRUE,ISNUMBER(FIND(SUBSTITUTE(SUBSTITUTE(UPPER(#REF!)," ",""),":",": "),SUBSTITUTE(SUBSTITUTE(UPPER(S123)," ",""),":",": "))),0)),"Não encontrado")</f>
        <v>Não encontrado</v>
      </c>
      <c r="D123" s="46" t="str" cm="1">
        <f t="array" ref="D123">IFERROR(INDEX(#REF!,MATCH(TRUE,ISNUMBER(FIND(SUBSTITUTE(SUBSTITUTE(UPPER(#REF!)," ",""),":",": "),SUBSTITUTE(SUBSTITUTE(UPPER(S123)," ",""),":",": "))),0)),"Não encontrado")</f>
        <v>Não encontrado</v>
      </c>
      <c r="E123" s="42" t="str" cm="1">
        <f t="array" ref="E123">IFERROR(INDEX({"IMPEDITIVO"},MATCH(TRUE,ISNUMBER(FIND(SUBSTITUTE(SUBSTITUTE(UPPER({"IMPEDITIVO"})," ",""),":",": "),SUBSTITUTE(SUBSTITUTE(UPPER(S123)," ",""),":",": "))),0)),"-")</f>
        <v>-</v>
      </c>
      <c r="K123" s="49"/>
    </row>
    <row r="124" spans="1:25" x14ac:dyDescent="0.25">
      <c r="A124" s="46" t="str" cm="1">
        <f t="array" ref="A124">IFERROR(INDEX(#REF!,MATCH(TRUE,ISNUMBER(FIND(SUBSTITUTE(SUBSTITUTE(UPPER(#REF!)," ",""),":",": "),SUBSTITUTE(SUBSTITUTE(UPPER(S124)," ",""),":",": "))),0)),"Undefined")</f>
        <v>Undefined</v>
      </c>
      <c r="B124" s="42" t="str" cm="1">
        <f t="array" ref="B124">IFERROR(INDEX({"URGENTE"},MATCH(TRUE,ISNUMBER(FIND(SUBSTITUTE(SUBSTITUTE(UPPER({"URGENTE"})," ",""),":",": "),SUBSTITUTE(SUBSTITUTE(UPPER(S124)," ",""),":",": "))),0)),"-")</f>
        <v>-</v>
      </c>
      <c r="C124" s="46" t="str" cm="1">
        <f t="array" ref="C124">IFERROR(INDEX(#REF!,MATCH(TRUE,ISNUMBER(FIND(SUBSTITUTE(SUBSTITUTE(UPPER(#REF!)," ",""),":",": "),SUBSTITUTE(SUBSTITUTE(UPPER(S124)," ",""),":",": "))),0)),"Não encontrado")</f>
        <v>Não encontrado</v>
      </c>
      <c r="D124" s="46" t="str" cm="1">
        <f t="array" ref="D124">IFERROR(INDEX(#REF!,MATCH(TRUE,ISNUMBER(FIND(SUBSTITUTE(SUBSTITUTE(UPPER(#REF!)," ",""),":",": "),SUBSTITUTE(SUBSTITUTE(UPPER(S124)," ",""),":",": "))),0)),"Não encontrado")</f>
        <v>Não encontrado</v>
      </c>
      <c r="E124" s="42" t="str" cm="1">
        <f t="array" ref="E124">IFERROR(INDEX({"IMPEDITIVO"},MATCH(TRUE,ISNUMBER(FIND(SUBSTITUTE(SUBSTITUTE(UPPER({"IMPEDITIVO"})," ",""),":",": "),SUBSTITUTE(SUBSTITUTE(UPPER(S124)," ",""),":",": "))),0)),"-")</f>
        <v>-</v>
      </c>
      <c r="K124" s="49"/>
    </row>
    <row r="125" spans="1:25" x14ac:dyDescent="0.25">
      <c r="A125" s="46" t="str" cm="1">
        <f t="array" ref="A125">IFERROR(INDEX(#REF!,MATCH(TRUE,ISNUMBER(FIND(SUBSTITUTE(SUBSTITUTE(UPPER(#REF!)," ",""),":",": "),SUBSTITUTE(SUBSTITUTE(UPPER(S125)," ",""),":",": "))),0)),"Undefined")</f>
        <v>Undefined</v>
      </c>
      <c r="B125" s="42" t="str" cm="1">
        <f t="array" ref="B125">IFERROR(INDEX({"URGENTE"},MATCH(TRUE,ISNUMBER(FIND(SUBSTITUTE(SUBSTITUTE(UPPER({"URGENTE"})," ",""),":",": "),SUBSTITUTE(SUBSTITUTE(UPPER(S125)," ",""),":",": "))),0)),"-")</f>
        <v>-</v>
      </c>
      <c r="C125" s="46" t="str" cm="1">
        <f t="array" ref="C125">IFERROR(INDEX(#REF!,MATCH(TRUE,ISNUMBER(FIND(SUBSTITUTE(SUBSTITUTE(UPPER(#REF!)," ",""),":",": "),SUBSTITUTE(SUBSTITUTE(UPPER(S125)," ",""),":",": "))),0)),"Não encontrado")</f>
        <v>Não encontrado</v>
      </c>
      <c r="D125" s="46" t="str" cm="1">
        <f t="array" ref="D125">IFERROR(INDEX(#REF!,MATCH(TRUE,ISNUMBER(FIND(SUBSTITUTE(SUBSTITUTE(UPPER(#REF!)," ",""),":",": "),SUBSTITUTE(SUBSTITUTE(UPPER(S125)," ",""),":",": "))),0)),"Não encontrado")</f>
        <v>Não encontrado</v>
      </c>
      <c r="E125" s="42" t="str" cm="1">
        <f t="array" ref="E125">IFERROR(INDEX({"IMPEDITIVO"},MATCH(TRUE,ISNUMBER(FIND(SUBSTITUTE(SUBSTITUTE(UPPER({"IMPEDITIVO"})," ",""),":",": "),SUBSTITUTE(SUBSTITUTE(UPPER(S125)," ",""),":",": "))),0)),"-")</f>
        <v>-</v>
      </c>
      <c r="K125" s="49"/>
    </row>
    <row r="126" spans="1:25" x14ac:dyDescent="0.25">
      <c r="A126" s="46" t="str" cm="1">
        <f t="array" ref="A126">IFERROR(INDEX(#REF!,MATCH(TRUE,ISNUMBER(FIND(SUBSTITUTE(SUBSTITUTE(UPPER(#REF!)," ",""),":",": "),SUBSTITUTE(SUBSTITUTE(UPPER(S126)," ",""),":",": "))),0)),"Undefined")</f>
        <v>Undefined</v>
      </c>
      <c r="B126" s="42" t="str" cm="1">
        <f t="array" ref="B126">IFERROR(INDEX({"URGENTE"},MATCH(TRUE,ISNUMBER(FIND(SUBSTITUTE(SUBSTITUTE(UPPER({"URGENTE"})," ",""),":",": "),SUBSTITUTE(SUBSTITUTE(UPPER(S126)," ",""),":",": "))),0)),"-")</f>
        <v>-</v>
      </c>
      <c r="C126" s="46" t="str" cm="1">
        <f t="array" ref="C126">IFERROR(INDEX(#REF!,MATCH(TRUE,ISNUMBER(FIND(SUBSTITUTE(SUBSTITUTE(UPPER(#REF!)," ",""),":",": "),SUBSTITUTE(SUBSTITUTE(UPPER(S126)," ",""),":",": "))),0)),"Não encontrado")</f>
        <v>Não encontrado</v>
      </c>
      <c r="D126" s="46" t="str" cm="1">
        <f t="array" ref="D126">IFERROR(INDEX(#REF!,MATCH(TRUE,ISNUMBER(FIND(SUBSTITUTE(SUBSTITUTE(UPPER(#REF!)," ",""),":",": "),SUBSTITUTE(SUBSTITUTE(UPPER(S126)," ",""),":",": "))),0)),"Não encontrado")</f>
        <v>Não encontrado</v>
      </c>
      <c r="E126" s="42" t="str" cm="1">
        <f t="array" ref="E126">IFERROR(INDEX({"IMPEDITIVO"},MATCH(TRUE,ISNUMBER(FIND(SUBSTITUTE(SUBSTITUTE(UPPER({"IMPEDITIVO"})," ",""),":",": "),SUBSTITUTE(SUBSTITUTE(UPPER(S126)," ",""),":",": "))),0)),"-")</f>
        <v>-</v>
      </c>
      <c r="K126" s="49"/>
    </row>
    <row r="127" spans="1:25" x14ac:dyDescent="0.25">
      <c r="A127" s="46" t="str" cm="1">
        <f t="array" ref="A127">IFERROR(INDEX(#REF!,MATCH(TRUE,ISNUMBER(FIND(SUBSTITUTE(SUBSTITUTE(UPPER(#REF!)," ",""),":",": "),SUBSTITUTE(SUBSTITUTE(UPPER(S127)," ",""),":",": "))),0)),"Undefined")</f>
        <v>Undefined</v>
      </c>
      <c r="B127" s="42" t="str" cm="1">
        <f t="array" ref="B127">IFERROR(INDEX({"URGENTE"},MATCH(TRUE,ISNUMBER(FIND(SUBSTITUTE(SUBSTITUTE(UPPER({"URGENTE"})," ",""),":",": "),SUBSTITUTE(SUBSTITUTE(UPPER(S127)," ",""),":",": "))),0)),"-")</f>
        <v>-</v>
      </c>
      <c r="C127" s="46" t="str" cm="1">
        <f t="array" ref="C127">IFERROR(INDEX(#REF!,MATCH(TRUE,ISNUMBER(FIND(SUBSTITUTE(SUBSTITUTE(UPPER(#REF!)," ",""),":",": "),SUBSTITUTE(SUBSTITUTE(UPPER(S127)," ",""),":",": "))),0)),"Não encontrado")</f>
        <v>Não encontrado</v>
      </c>
      <c r="D127" s="46" t="str" cm="1">
        <f t="array" ref="D127">IFERROR(INDEX(#REF!,MATCH(TRUE,ISNUMBER(FIND(SUBSTITUTE(SUBSTITUTE(UPPER(#REF!)," ",""),":",": "),SUBSTITUTE(SUBSTITUTE(UPPER(S127)," ",""),":",": "))),0)),"Não encontrado")</f>
        <v>Não encontrado</v>
      </c>
      <c r="E127" s="42" t="str" cm="1">
        <f t="array" ref="E127">IFERROR(INDEX({"IMPEDITIVO"},MATCH(TRUE,ISNUMBER(FIND(SUBSTITUTE(SUBSTITUTE(UPPER({"IMPEDITIVO"})," ",""),":",": "),SUBSTITUTE(SUBSTITUTE(UPPER(S127)," ",""),":",": "))),0)),"-")</f>
        <v>-</v>
      </c>
      <c r="K127" s="49"/>
    </row>
    <row r="128" spans="1:25" x14ac:dyDescent="0.25">
      <c r="A128" s="46" t="str" cm="1">
        <f t="array" ref="A128">IFERROR(INDEX(#REF!,MATCH(TRUE,ISNUMBER(FIND(SUBSTITUTE(SUBSTITUTE(UPPER(#REF!)," ",""),":",": "),SUBSTITUTE(SUBSTITUTE(UPPER(S128)," ",""),":",": "))),0)),"Undefined")</f>
        <v>Undefined</v>
      </c>
      <c r="B128" s="42" t="str" cm="1">
        <f t="array" ref="B128">IFERROR(INDEX({"URGENTE"},MATCH(TRUE,ISNUMBER(FIND(SUBSTITUTE(SUBSTITUTE(UPPER({"URGENTE"})," ",""),":",": "),SUBSTITUTE(SUBSTITUTE(UPPER(S128)," ",""),":",": "))),0)),"-")</f>
        <v>-</v>
      </c>
      <c r="C128" s="46" t="str" cm="1">
        <f t="array" ref="C128">IFERROR(INDEX(#REF!,MATCH(TRUE,ISNUMBER(FIND(SUBSTITUTE(SUBSTITUTE(UPPER(#REF!)," ",""),":",": "),SUBSTITUTE(SUBSTITUTE(UPPER(S128)," ",""),":",": "))),0)),"Não encontrado")</f>
        <v>Não encontrado</v>
      </c>
      <c r="D128" s="46" t="str" cm="1">
        <f t="array" ref="D128">IFERROR(INDEX(#REF!,MATCH(TRUE,ISNUMBER(FIND(SUBSTITUTE(SUBSTITUTE(UPPER(#REF!)," ",""),":",": "),SUBSTITUTE(SUBSTITUTE(UPPER(S128)," ",""),":",": "))),0)),"Não encontrado")</f>
        <v>Não encontrado</v>
      </c>
      <c r="E128" s="42" t="str" cm="1">
        <f t="array" ref="E128">IFERROR(INDEX({"IMPEDITIVO"},MATCH(TRUE,ISNUMBER(FIND(SUBSTITUTE(SUBSTITUTE(UPPER({"IMPEDITIVO"})," ",""),":",": "),SUBSTITUTE(SUBSTITUTE(UPPER(S128)," ",""),":",": "))),0)),"-")</f>
        <v>-</v>
      </c>
      <c r="K128" s="49"/>
    </row>
    <row r="129" spans="1:11" x14ac:dyDescent="0.25">
      <c r="A129" s="46" t="str" cm="1">
        <f t="array" ref="A129">IFERROR(INDEX(#REF!,MATCH(TRUE,ISNUMBER(FIND(SUBSTITUTE(SUBSTITUTE(UPPER(#REF!)," ",""),":",": "),SUBSTITUTE(SUBSTITUTE(UPPER(S129)," ",""),":",": "))),0)),"Undefined")</f>
        <v>Undefined</v>
      </c>
      <c r="B129" s="42" t="str" cm="1">
        <f t="array" ref="B129">IFERROR(INDEX({"URGENTE"},MATCH(TRUE,ISNUMBER(FIND(SUBSTITUTE(SUBSTITUTE(UPPER({"URGENTE"})," ",""),":",": "),SUBSTITUTE(SUBSTITUTE(UPPER(S129)," ",""),":",": "))),0)),"-")</f>
        <v>-</v>
      </c>
      <c r="C129" s="46" t="str" cm="1">
        <f t="array" ref="C129">IFERROR(INDEX(#REF!,MATCH(TRUE,ISNUMBER(FIND(SUBSTITUTE(SUBSTITUTE(UPPER(#REF!)," ",""),":",": "),SUBSTITUTE(SUBSTITUTE(UPPER(S129)," ",""),":",": "))),0)),"Não encontrado")</f>
        <v>Não encontrado</v>
      </c>
      <c r="D129" s="46" t="str" cm="1">
        <f t="array" ref="D129">IFERROR(INDEX(#REF!,MATCH(TRUE,ISNUMBER(FIND(SUBSTITUTE(SUBSTITUTE(UPPER(#REF!)," ",""),":",": "),SUBSTITUTE(SUBSTITUTE(UPPER(S129)," ",""),":",": "))),0)),"Não encontrado")</f>
        <v>Não encontrado</v>
      </c>
      <c r="E129" s="42" t="str" cm="1">
        <f t="array" ref="E129">IFERROR(INDEX({"IMPEDITIVO"},MATCH(TRUE,ISNUMBER(FIND(SUBSTITUTE(SUBSTITUTE(UPPER({"IMPEDITIVO"})," ",""),":",": "),SUBSTITUTE(SUBSTITUTE(UPPER(S129)," ",""),":",": "))),0)),"-")</f>
        <v>-</v>
      </c>
      <c r="K129" s="49"/>
    </row>
    <row r="130" spans="1:11" x14ac:dyDescent="0.25">
      <c r="A130" s="46" t="str" cm="1">
        <f t="array" ref="A130">IFERROR(INDEX(#REF!,MATCH(TRUE,ISNUMBER(FIND(SUBSTITUTE(SUBSTITUTE(UPPER(#REF!)," ",""),":",": "),SUBSTITUTE(SUBSTITUTE(UPPER(S130)," ",""),":",": "))),0)),"Undefined")</f>
        <v>Undefined</v>
      </c>
      <c r="B130" s="42" t="str" cm="1">
        <f t="array" ref="B130">IFERROR(INDEX({"URGENTE"},MATCH(TRUE,ISNUMBER(FIND(SUBSTITUTE(SUBSTITUTE(UPPER({"URGENTE"})," ",""),":",": "),SUBSTITUTE(SUBSTITUTE(UPPER(S130)," ",""),":",": "))),0)),"-")</f>
        <v>-</v>
      </c>
      <c r="C130" s="46" t="str" cm="1">
        <f t="array" ref="C130">IFERROR(INDEX(#REF!,MATCH(TRUE,ISNUMBER(FIND(SUBSTITUTE(SUBSTITUTE(UPPER(#REF!)," ",""),":",": "),SUBSTITUTE(SUBSTITUTE(UPPER(S130)," ",""),":",": "))),0)),"Não encontrado")</f>
        <v>Não encontrado</v>
      </c>
      <c r="D130" s="46" t="str" cm="1">
        <f t="array" ref="D130">IFERROR(INDEX(#REF!,MATCH(TRUE,ISNUMBER(FIND(SUBSTITUTE(SUBSTITUTE(UPPER(#REF!)," ",""),":",": "),SUBSTITUTE(SUBSTITUTE(UPPER(S130)," ",""),":",": "))),0)),"Não encontrado")</f>
        <v>Não encontrado</v>
      </c>
      <c r="E130" s="42" t="str" cm="1">
        <f t="array" ref="E130">IFERROR(INDEX({"IMPEDITIVO"},MATCH(TRUE,ISNUMBER(FIND(SUBSTITUTE(SUBSTITUTE(UPPER({"IMPEDITIVO"})," ",""),":",": "),SUBSTITUTE(SUBSTITUTE(UPPER(S130)," ",""),":",": "))),0)),"-")</f>
        <v>-</v>
      </c>
      <c r="K130" s="49"/>
    </row>
    <row r="131" spans="1:11" x14ac:dyDescent="0.25">
      <c r="A131" s="46" t="str" cm="1">
        <f t="array" ref="A131">IFERROR(INDEX(#REF!,MATCH(TRUE,ISNUMBER(FIND(SUBSTITUTE(SUBSTITUTE(UPPER(#REF!)," ",""),":",": "),SUBSTITUTE(SUBSTITUTE(UPPER(S131)," ",""),":",": "))),0)),"Undefined")</f>
        <v>Undefined</v>
      </c>
      <c r="B131" s="42" t="str" cm="1">
        <f t="array" ref="B131">IFERROR(INDEX({"URGENTE"},MATCH(TRUE,ISNUMBER(FIND(SUBSTITUTE(SUBSTITUTE(UPPER({"URGENTE"})," ",""),":",": "),SUBSTITUTE(SUBSTITUTE(UPPER(S131)," ",""),":",": "))),0)),"-")</f>
        <v>-</v>
      </c>
      <c r="C131" s="46" t="str" cm="1">
        <f t="array" ref="C131">IFERROR(INDEX(#REF!,MATCH(TRUE,ISNUMBER(FIND(SUBSTITUTE(SUBSTITUTE(UPPER(#REF!)," ",""),":",": "),SUBSTITUTE(SUBSTITUTE(UPPER(S131)," ",""),":",": "))),0)),"Não encontrado")</f>
        <v>Não encontrado</v>
      </c>
      <c r="D131" s="46" t="str" cm="1">
        <f t="array" ref="D131">IFERROR(INDEX(#REF!,MATCH(TRUE,ISNUMBER(FIND(SUBSTITUTE(SUBSTITUTE(UPPER(#REF!)," ",""),":",": "),SUBSTITUTE(SUBSTITUTE(UPPER(S131)," ",""),":",": "))),0)),"Não encontrado")</f>
        <v>Não encontrado</v>
      </c>
      <c r="E131" s="42" t="str" cm="1">
        <f t="array" ref="E131">IFERROR(INDEX({"IMPEDITIVO"},MATCH(TRUE,ISNUMBER(FIND(SUBSTITUTE(SUBSTITUTE(UPPER({"IMPEDITIVO"})," ",""),":",": "),SUBSTITUTE(SUBSTITUTE(UPPER(S131)," ",""),":",": "))),0)),"-")</f>
        <v>-</v>
      </c>
      <c r="K131" s="49"/>
    </row>
    <row r="132" spans="1:11" x14ac:dyDescent="0.25">
      <c r="A132" s="46" t="str" cm="1">
        <f t="array" ref="A132">IFERROR(INDEX(#REF!,MATCH(TRUE,ISNUMBER(FIND(SUBSTITUTE(SUBSTITUTE(UPPER(#REF!)," ",""),":",": "),SUBSTITUTE(SUBSTITUTE(UPPER(S132)," ",""),":",": "))),0)),"Undefined")</f>
        <v>Undefined</v>
      </c>
      <c r="B132" s="42" t="str" cm="1">
        <f t="array" ref="B132">IFERROR(INDEX({"URGENTE"},MATCH(TRUE,ISNUMBER(FIND(SUBSTITUTE(SUBSTITUTE(UPPER({"URGENTE"})," ",""),":",": "),SUBSTITUTE(SUBSTITUTE(UPPER(S132)," ",""),":",": "))),0)),"-")</f>
        <v>-</v>
      </c>
      <c r="C132" s="46" t="str" cm="1">
        <f t="array" ref="C132">IFERROR(INDEX(#REF!,MATCH(TRUE,ISNUMBER(FIND(SUBSTITUTE(SUBSTITUTE(UPPER(#REF!)," ",""),":",": "),SUBSTITUTE(SUBSTITUTE(UPPER(S132)," ",""),":",": "))),0)),"Não encontrado")</f>
        <v>Não encontrado</v>
      </c>
      <c r="D132" s="46" t="str" cm="1">
        <f t="array" ref="D132">IFERROR(INDEX(#REF!,MATCH(TRUE,ISNUMBER(FIND(SUBSTITUTE(SUBSTITUTE(UPPER(#REF!)," ",""),":",": "),SUBSTITUTE(SUBSTITUTE(UPPER(S132)," ",""),":",": "))),0)),"Não encontrado")</f>
        <v>Não encontrado</v>
      </c>
      <c r="E132" s="42" t="str" cm="1">
        <f t="array" ref="E132">IFERROR(INDEX({"IMPEDITIVO"},MATCH(TRUE,ISNUMBER(FIND(SUBSTITUTE(SUBSTITUTE(UPPER({"IMPEDITIVO"})," ",""),":",": "),SUBSTITUTE(SUBSTITUTE(UPPER(S132)," ",""),":",": "))),0)),"-")</f>
        <v>-</v>
      </c>
      <c r="K132" s="49"/>
    </row>
    <row r="133" spans="1:11" x14ac:dyDescent="0.25">
      <c r="A133" s="46" t="str" cm="1">
        <f t="array" ref="A133">IFERROR(INDEX(#REF!,MATCH(TRUE,ISNUMBER(FIND(SUBSTITUTE(SUBSTITUTE(UPPER(#REF!)," ",""),":",": "),SUBSTITUTE(SUBSTITUTE(UPPER(S133)," ",""),":",": "))),0)),"Undefined")</f>
        <v>Undefined</v>
      </c>
      <c r="B133" s="42" t="str" cm="1">
        <f t="array" ref="B133">IFERROR(INDEX({"URGENTE"},MATCH(TRUE,ISNUMBER(FIND(SUBSTITUTE(SUBSTITUTE(UPPER({"URGENTE"})," ",""),":",": "),SUBSTITUTE(SUBSTITUTE(UPPER(S133)," ",""),":",": "))),0)),"-")</f>
        <v>-</v>
      </c>
      <c r="C133" s="46" t="str" cm="1">
        <f t="array" ref="C133">IFERROR(INDEX(#REF!,MATCH(TRUE,ISNUMBER(FIND(SUBSTITUTE(SUBSTITUTE(UPPER(#REF!)," ",""),":",": "),SUBSTITUTE(SUBSTITUTE(UPPER(S133)," ",""),":",": "))),0)),"Não encontrado")</f>
        <v>Não encontrado</v>
      </c>
      <c r="D133" s="46" t="str" cm="1">
        <f t="array" ref="D133">IFERROR(INDEX(#REF!,MATCH(TRUE,ISNUMBER(FIND(SUBSTITUTE(SUBSTITUTE(UPPER(#REF!)," ",""),":",": "),SUBSTITUTE(SUBSTITUTE(UPPER(S133)," ",""),":",": "))),0)),"Não encontrado")</f>
        <v>Não encontrado</v>
      </c>
      <c r="E133" s="42" t="str" cm="1">
        <f t="array" ref="E133">IFERROR(INDEX({"IMPEDITIVO"},MATCH(TRUE,ISNUMBER(FIND(SUBSTITUTE(SUBSTITUTE(UPPER({"IMPEDITIVO"})," ",""),":",": "),SUBSTITUTE(SUBSTITUTE(UPPER(S133)," ",""),":",": "))),0)),"-")</f>
        <v>-</v>
      </c>
      <c r="K133" s="49"/>
    </row>
    <row r="134" spans="1:11" x14ac:dyDescent="0.25">
      <c r="A134" s="46" t="str" cm="1">
        <f t="array" ref="A134">IFERROR(INDEX(#REF!,MATCH(TRUE,ISNUMBER(FIND(SUBSTITUTE(SUBSTITUTE(UPPER(#REF!)," ",""),":",": "),SUBSTITUTE(SUBSTITUTE(UPPER(S134)," ",""),":",": "))),0)),"Undefined")</f>
        <v>Undefined</v>
      </c>
      <c r="B134" s="42" t="str" cm="1">
        <f t="array" ref="B134">IFERROR(INDEX({"URGENTE"},MATCH(TRUE,ISNUMBER(FIND(SUBSTITUTE(SUBSTITUTE(UPPER({"URGENTE"})," ",""),":",": "),SUBSTITUTE(SUBSTITUTE(UPPER(S134)," ",""),":",": "))),0)),"-")</f>
        <v>-</v>
      </c>
      <c r="C134" s="46" t="str" cm="1">
        <f t="array" ref="C134">IFERROR(INDEX(#REF!,MATCH(TRUE,ISNUMBER(FIND(SUBSTITUTE(SUBSTITUTE(UPPER(#REF!)," ",""),":",": "),SUBSTITUTE(SUBSTITUTE(UPPER(S134)," ",""),":",": "))),0)),"Não encontrado")</f>
        <v>Não encontrado</v>
      </c>
      <c r="D134" s="46" t="str" cm="1">
        <f t="array" ref="D134">IFERROR(INDEX(#REF!,MATCH(TRUE,ISNUMBER(FIND(SUBSTITUTE(SUBSTITUTE(UPPER(#REF!)," ",""),":",": "),SUBSTITUTE(SUBSTITUTE(UPPER(S134)," ",""),":",": "))),0)),"Não encontrado")</f>
        <v>Não encontrado</v>
      </c>
      <c r="E134" s="42" t="str" cm="1">
        <f t="array" ref="E134">IFERROR(INDEX({"IMPEDITIVO"},MATCH(TRUE,ISNUMBER(FIND(SUBSTITUTE(SUBSTITUTE(UPPER({"IMPEDITIVO"})," ",""),":",": "),SUBSTITUTE(SUBSTITUTE(UPPER(S134)," ",""),":",": "))),0)),"-")</f>
        <v>-</v>
      </c>
      <c r="K134" s="49"/>
    </row>
    <row r="135" spans="1:11" x14ac:dyDescent="0.25">
      <c r="A135" s="46" t="str" cm="1">
        <f t="array" ref="A135">IFERROR(INDEX(#REF!,MATCH(TRUE,ISNUMBER(FIND(SUBSTITUTE(SUBSTITUTE(UPPER(#REF!)," ",""),":",": "),SUBSTITUTE(SUBSTITUTE(UPPER(S135)," ",""),":",": "))),0)),"Undefined")</f>
        <v>Undefined</v>
      </c>
      <c r="B135" s="42" t="str" cm="1">
        <f t="array" ref="B135">IFERROR(INDEX({"URGENTE"},MATCH(TRUE,ISNUMBER(FIND(SUBSTITUTE(SUBSTITUTE(UPPER({"URGENTE"})," ",""),":",": "),SUBSTITUTE(SUBSTITUTE(UPPER(S135)," ",""),":",": "))),0)),"-")</f>
        <v>-</v>
      </c>
      <c r="C135" s="46" t="str" cm="1">
        <f t="array" ref="C135">IFERROR(INDEX(#REF!,MATCH(TRUE,ISNUMBER(FIND(SUBSTITUTE(SUBSTITUTE(UPPER(#REF!)," ",""),":",": "),SUBSTITUTE(SUBSTITUTE(UPPER(S135)," ",""),":",": "))),0)),"Não encontrado")</f>
        <v>Não encontrado</v>
      </c>
      <c r="D135" s="46" t="str" cm="1">
        <f t="array" ref="D135">IFERROR(INDEX(#REF!,MATCH(TRUE,ISNUMBER(FIND(SUBSTITUTE(SUBSTITUTE(UPPER(#REF!)," ",""),":",": "),SUBSTITUTE(SUBSTITUTE(UPPER(S135)," ",""),":",": "))),0)),"Não encontrado")</f>
        <v>Não encontrado</v>
      </c>
      <c r="E135" s="42" t="str" cm="1">
        <f t="array" ref="E135">IFERROR(INDEX({"IMPEDITIVO"},MATCH(TRUE,ISNUMBER(FIND(SUBSTITUTE(SUBSTITUTE(UPPER({"IMPEDITIVO"})," ",""),":",": "),SUBSTITUTE(SUBSTITUTE(UPPER(S135)," ",""),":",": "))),0)),"-")</f>
        <v>-</v>
      </c>
      <c r="K135" s="49"/>
    </row>
    <row r="136" spans="1:11" x14ac:dyDescent="0.25">
      <c r="A136" s="46" t="str" cm="1">
        <f t="array" ref="A136">IFERROR(INDEX(#REF!,MATCH(TRUE,ISNUMBER(FIND(SUBSTITUTE(SUBSTITUTE(UPPER(#REF!)," ",""),":",": "),SUBSTITUTE(SUBSTITUTE(UPPER(S136)," ",""),":",": "))),0)),"Undefined")</f>
        <v>Undefined</v>
      </c>
      <c r="B136" s="42" t="str" cm="1">
        <f t="array" ref="B136">IFERROR(INDEX({"URGENTE"},MATCH(TRUE,ISNUMBER(FIND(SUBSTITUTE(SUBSTITUTE(UPPER({"URGENTE"})," ",""),":",": "),SUBSTITUTE(SUBSTITUTE(UPPER(S136)," ",""),":",": "))),0)),"-")</f>
        <v>-</v>
      </c>
      <c r="C136" s="46" t="str" cm="1">
        <f t="array" ref="C136">IFERROR(INDEX(#REF!,MATCH(TRUE,ISNUMBER(FIND(SUBSTITUTE(SUBSTITUTE(UPPER(#REF!)," ",""),":",": "),SUBSTITUTE(SUBSTITUTE(UPPER(S136)," ",""),":",": "))),0)),"Não encontrado")</f>
        <v>Não encontrado</v>
      </c>
      <c r="D136" s="46" t="str" cm="1">
        <f t="array" ref="D136">IFERROR(INDEX(#REF!,MATCH(TRUE,ISNUMBER(FIND(SUBSTITUTE(SUBSTITUTE(UPPER(#REF!)," ",""),":",": "),SUBSTITUTE(SUBSTITUTE(UPPER(S136)," ",""),":",": "))),0)),"Não encontrado")</f>
        <v>Não encontrado</v>
      </c>
      <c r="E136" s="42" t="str" cm="1">
        <f t="array" ref="E136">IFERROR(INDEX({"IMPEDITIVO"},MATCH(TRUE,ISNUMBER(FIND(SUBSTITUTE(SUBSTITUTE(UPPER({"IMPEDITIVO"})," ",""),":",": "),SUBSTITUTE(SUBSTITUTE(UPPER(S136)," ",""),":",": "))),0)),"-")</f>
        <v>-</v>
      </c>
      <c r="K136" s="49"/>
    </row>
    <row r="137" spans="1:11" x14ac:dyDescent="0.25">
      <c r="A137" s="46" t="str" cm="1">
        <f t="array" ref="A137">IFERROR(INDEX(#REF!,MATCH(TRUE,ISNUMBER(FIND(SUBSTITUTE(SUBSTITUTE(UPPER(#REF!)," ",""),":",": "),SUBSTITUTE(SUBSTITUTE(UPPER(S137)," ",""),":",": "))),0)),"Undefined")</f>
        <v>Undefined</v>
      </c>
      <c r="B137" s="42" t="str" cm="1">
        <f t="array" ref="B137">IFERROR(INDEX({"URGENTE"},MATCH(TRUE,ISNUMBER(FIND(SUBSTITUTE(SUBSTITUTE(UPPER({"URGENTE"})," ",""),":",": "),SUBSTITUTE(SUBSTITUTE(UPPER(S137)," ",""),":",": "))),0)),"-")</f>
        <v>-</v>
      </c>
      <c r="C137" s="46" t="str" cm="1">
        <f t="array" ref="C137">IFERROR(INDEX(#REF!,MATCH(TRUE,ISNUMBER(FIND(SUBSTITUTE(SUBSTITUTE(UPPER(#REF!)," ",""),":",": "),SUBSTITUTE(SUBSTITUTE(UPPER(S137)," ",""),":",": "))),0)),"Não encontrado")</f>
        <v>Não encontrado</v>
      </c>
      <c r="D137" s="46" t="str" cm="1">
        <f t="array" ref="D137">IFERROR(INDEX(#REF!,MATCH(TRUE,ISNUMBER(FIND(SUBSTITUTE(SUBSTITUTE(UPPER(#REF!)," ",""),":",": "),SUBSTITUTE(SUBSTITUTE(UPPER(S137)," ",""),":",": "))),0)),"Não encontrado")</f>
        <v>Não encontrado</v>
      </c>
      <c r="E137" s="42" t="str" cm="1">
        <f t="array" ref="E137">IFERROR(INDEX({"IMPEDITIVO"},MATCH(TRUE,ISNUMBER(FIND(SUBSTITUTE(SUBSTITUTE(UPPER({"IMPEDITIVO"})," ",""),":",": "),SUBSTITUTE(SUBSTITUTE(UPPER(S137)," ",""),":",": "))),0)),"-")</f>
        <v>-</v>
      </c>
      <c r="K137" s="49"/>
    </row>
    <row r="138" spans="1:11" x14ac:dyDescent="0.25">
      <c r="A138" s="46" t="str" cm="1">
        <f t="array" ref="A138">IFERROR(INDEX(#REF!,MATCH(TRUE,ISNUMBER(FIND(SUBSTITUTE(SUBSTITUTE(UPPER(#REF!)," ",""),":",": "),SUBSTITUTE(SUBSTITUTE(UPPER(S138)," ",""),":",": "))),0)),"Undefined")</f>
        <v>Undefined</v>
      </c>
      <c r="B138" s="42" t="str" cm="1">
        <f t="array" ref="B138">IFERROR(INDEX({"URGENTE"},MATCH(TRUE,ISNUMBER(FIND(SUBSTITUTE(SUBSTITUTE(UPPER({"URGENTE"})," ",""),":",": "),SUBSTITUTE(SUBSTITUTE(UPPER(S138)," ",""),":",": "))),0)),"-")</f>
        <v>-</v>
      </c>
      <c r="C138" s="46" t="str" cm="1">
        <f t="array" ref="C138">IFERROR(INDEX(#REF!,MATCH(TRUE,ISNUMBER(FIND(SUBSTITUTE(SUBSTITUTE(UPPER(#REF!)," ",""),":",": "),SUBSTITUTE(SUBSTITUTE(UPPER(S138)," ",""),":",": "))),0)),"Não encontrado")</f>
        <v>Não encontrado</v>
      </c>
      <c r="D138" s="46" t="str" cm="1">
        <f t="array" ref="D138">IFERROR(INDEX(#REF!,MATCH(TRUE,ISNUMBER(FIND(SUBSTITUTE(SUBSTITUTE(UPPER(#REF!)," ",""),":",": "),SUBSTITUTE(SUBSTITUTE(UPPER(S138)," ",""),":",": "))),0)),"Não encontrado")</f>
        <v>Não encontrado</v>
      </c>
      <c r="E138" s="42" t="str" cm="1">
        <f t="array" ref="E138">IFERROR(INDEX({"IMPEDITIVO"},MATCH(TRUE,ISNUMBER(FIND(SUBSTITUTE(SUBSTITUTE(UPPER({"IMPEDITIVO"})," ",""),":",": "),SUBSTITUTE(SUBSTITUTE(UPPER(S138)," ",""),":",": "))),0)),"-")</f>
        <v>-</v>
      </c>
      <c r="K138" s="49"/>
    </row>
    <row r="139" spans="1:11" x14ac:dyDescent="0.25">
      <c r="A139" s="46" t="str" cm="1">
        <f t="array" ref="A139">IFERROR(INDEX(#REF!,MATCH(TRUE,ISNUMBER(FIND(SUBSTITUTE(SUBSTITUTE(UPPER(#REF!)," ",""),":",": "),SUBSTITUTE(SUBSTITUTE(UPPER(S139)," ",""),":",": "))),0)),"Undefined")</f>
        <v>Undefined</v>
      </c>
      <c r="B139" s="42" t="str" cm="1">
        <f t="array" ref="B139">IFERROR(INDEX({"URGENTE"},MATCH(TRUE,ISNUMBER(FIND(SUBSTITUTE(SUBSTITUTE(UPPER({"URGENTE"})," ",""),":",": "),SUBSTITUTE(SUBSTITUTE(UPPER(S139)," ",""),":",": "))),0)),"-")</f>
        <v>-</v>
      </c>
      <c r="C139" s="46" t="str" cm="1">
        <f t="array" ref="C139">IFERROR(INDEX(#REF!,MATCH(TRUE,ISNUMBER(FIND(SUBSTITUTE(SUBSTITUTE(UPPER(#REF!)," ",""),":",": "),SUBSTITUTE(SUBSTITUTE(UPPER(S139)," ",""),":",": "))),0)),"Não encontrado")</f>
        <v>Não encontrado</v>
      </c>
      <c r="D139" s="46" t="str" cm="1">
        <f t="array" ref="D139">IFERROR(INDEX(#REF!,MATCH(TRUE,ISNUMBER(FIND(SUBSTITUTE(SUBSTITUTE(UPPER(#REF!)," ",""),":",": "),SUBSTITUTE(SUBSTITUTE(UPPER(S139)," ",""),":",": "))),0)),"Não encontrado")</f>
        <v>Não encontrado</v>
      </c>
      <c r="E139" s="42" t="str" cm="1">
        <f t="array" ref="E139">IFERROR(INDEX({"IMPEDITIVO"},MATCH(TRUE,ISNUMBER(FIND(SUBSTITUTE(SUBSTITUTE(UPPER({"IMPEDITIVO"})," ",""),":",": "),SUBSTITUTE(SUBSTITUTE(UPPER(S139)," ",""),":",": "))),0)),"-")</f>
        <v>-</v>
      </c>
      <c r="K139" s="49"/>
    </row>
    <row r="140" spans="1:11" x14ac:dyDescent="0.25">
      <c r="A140" s="46" t="str" cm="1">
        <f t="array" ref="A140">IFERROR(INDEX(#REF!,MATCH(TRUE,ISNUMBER(FIND(SUBSTITUTE(SUBSTITUTE(UPPER(#REF!)," ",""),":",": "),SUBSTITUTE(SUBSTITUTE(UPPER(S140)," ",""),":",": "))),0)),"Undefined")</f>
        <v>Undefined</v>
      </c>
      <c r="B140" s="42" t="str" cm="1">
        <f t="array" ref="B140">IFERROR(INDEX({"URGENTE"},MATCH(TRUE,ISNUMBER(FIND(SUBSTITUTE(SUBSTITUTE(UPPER({"URGENTE"})," ",""),":",": "),SUBSTITUTE(SUBSTITUTE(UPPER(S140)," ",""),":",": "))),0)),"-")</f>
        <v>-</v>
      </c>
      <c r="C140" s="46" t="str" cm="1">
        <f t="array" ref="C140">IFERROR(INDEX(#REF!,MATCH(TRUE,ISNUMBER(FIND(SUBSTITUTE(SUBSTITUTE(UPPER(#REF!)," ",""),":",": "),SUBSTITUTE(SUBSTITUTE(UPPER(S140)," ",""),":",": "))),0)),"Não encontrado")</f>
        <v>Não encontrado</v>
      </c>
      <c r="D140" s="46" t="str" cm="1">
        <f t="array" ref="D140">IFERROR(INDEX(#REF!,MATCH(TRUE,ISNUMBER(FIND(SUBSTITUTE(SUBSTITUTE(UPPER(#REF!)," ",""),":",": "),SUBSTITUTE(SUBSTITUTE(UPPER(S140)," ",""),":",": "))),0)),"Não encontrado")</f>
        <v>Não encontrado</v>
      </c>
      <c r="E140" s="42" t="str" cm="1">
        <f t="array" ref="E140">IFERROR(INDEX({"IMPEDITIVO"},MATCH(TRUE,ISNUMBER(FIND(SUBSTITUTE(SUBSTITUTE(UPPER({"IMPEDITIVO"})," ",""),":",": "),SUBSTITUTE(SUBSTITUTE(UPPER(S140)," ",""),":",": "))),0)),"-")</f>
        <v>-</v>
      </c>
      <c r="K140" s="49"/>
    </row>
    <row r="141" spans="1:11" x14ac:dyDescent="0.25">
      <c r="A141" s="46" t="str" cm="1">
        <f t="array" ref="A141">IFERROR(INDEX(#REF!,MATCH(TRUE,ISNUMBER(FIND(SUBSTITUTE(SUBSTITUTE(UPPER(#REF!)," ",""),":",": "),SUBSTITUTE(SUBSTITUTE(UPPER(S141)," ",""),":",": "))),0)),"Undefined")</f>
        <v>Undefined</v>
      </c>
      <c r="B141" s="42" t="str" cm="1">
        <f t="array" ref="B141">IFERROR(INDEX({"URGENTE"},MATCH(TRUE,ISNUMBER(FIND(SUBSTITUTE(SUBSTITUTE(UPPER({"URGENTE"})," ",""),":",": "),SUBSTITUTE(SUBSTITUTE(UPPER(S141)," ",""),":",": "))),0)),"-")</f>
        <v>-</v>
      </c>
      <c r="C141" s="46" t="str" cm="1">
        <f t="array" ref="C141">IFERROR(INDEX(#REF!,MATCH(TRUE,ISNUMBER(FIND(SUBSTITUTE(SUBSTITUTE(UPPER(#REF!)," ",""),":",": "),SUBSTITUTE(SUBSTITUTE(UPPER(S141)," ",""),":",": "))),0)),"Não encontrado")</f>
        <v>Não encontrado</v>
      </c>
      <c r="D141" s="46" t="str" cm="1">
        <f t="array" ref="D141">IFERROR(INDEX(#REF!,MATCH(TRUE,ISNUMBER(FIND(SUBSTITUTE(SUBSTITUTE(UPPER(#REF!)," ",""),":",": "),SUBSTITUTE(SUBSTITUTE(UPPER(S141)," ",""),":",": "))),0)),"Não encontrado")</f>
        <v>Não encontrado</v>
      </c>
      <c r="E141" s="42" t="str" cm="1">
        <f t="array" ref="E141">IFERROR(INDEX({"IMPEDITIVO"},MATCH(TRUE,ISNUMBER(FIND(SUBSTITUTE(SUBSTITUTE(UPPER({"IMPEDITIVO"})," ",""),":",": "),SUBSTITUTE(SUBSTITUTE(UPPER(S141)," ",""),":",": "))),0)),"-")</f>
        <v>-</v>
      </c>
      <c r="K141" s="49"/>
    </row>
    <row r="142" spans="1:11" x14ac:dyDescent="0.25">
      <c r="A142" s="46" t="str" cm="1">
        <f t="array" ref="A142">IFERROR(INDEX(#REF!,MATCH(TRUE,ISNUMBER(FIND(SUBSTITUTE(SUBSTITUTE(UPPER(#REF!)," ",""),":",": "),SUBSTITUTE(SUBSTITUTE(UPPER(S142)," ",""),":",": "))),0)),"Undefined")</f>
        <v>Undefined</v>
      </c>
      <c r="B142" s="42" t="str" cm="1">
        <f t="array" ref="B142">IFERROR(INDEX({"URGENTE"},MATCH(TRUE,ISNUMBER(FIND(SUBSTITUTE(SUBSTITUTE(UPPER({"URGENTE"})," ",""),":",": "),SUBSTITUTE(SUBSTITUTE(UPPER(S142)," ",""),":",": "))),0)),"-")</f>
        <v>-</v>
      </c>
      <c r="C142" s="46" t="str" cm="1">
        <f t="array" ref="C142">IFERROR(INDEX(#REF!,MATCH(TRUE,ISNUMBER(FIND(SUBSTITUTE(SUBSTITUTE(UPPER(#REF!)," ",""),":",": "),SUBSTITUTE(SUBSTITUTE(UPPER(S142)," ",""),":",": "))),0)),"Não encontrado")</f>
        <v>Não encontrado</v>
      </c>
      <c r="D142" s="46" t="str" cm="1">
        <f t="array" ref="D142">IFERROR(INDEX(#REF!,MATCH(TRUE,ISNUMBER(FIND(SUBSTITUTE(SUBSTITUTE(UPPER(#REF!)," ",""),":",": "),SUBSTITUTE(SUBSTITUTE(UPPER(S142)," ",""),":",": "))),0)),"Não encontrado")</f>
        <v>Não encontrado</v>
      </c>
      <c r="E142" s="42" t="str" cm="1">
        <f t="array" ref="E142">IFERROR(INDEX({"IMPEDITIVO"},MATCH(TRUE,ISNUMBER(FIND(SUBSTITUTE(SUBSTITUTE(UPPER({"IMPEDITIVO"})," ",""),":",": "),SUBSTITUTE(SUBSTITUTE(UPPER(S142)," ",""),":",": "))),0)),"-")</f>
        <v>-</v>
      </c>
      <c r="K142" s="49"/>
    </row>
    <row r="143" spans="1:11" x14ac:dyDescent="0.25">
      <c r="A143" s="46" t="str" cm="1">
        <f t="array" ref="A143">IFERROR(INDEX(#REF!,MATCH(TRUE,ISNUMBER(FIND(SUBSTITUTE(SUBSTITUTE(UPPER(#REF!)," ",""),":",": "),SUBSTITUTE(SUBSTITUTE(UPPER(S143)," ",""),":",": "))),0)),"Undefined")</f>
        <v>Undefined</v>
      </c>
      <c r="B143" s="42" t="str" cm="1">
        <f t="array" ref="B143">IFERROR(INDEX({"URGENTE"},MATCH(TRUE,ISNUMBER(FIND(SUBSTITUTE(SUBSTITUTE(UPPER({"URGENTE"})," ",""),":",": "),SUBSTITUTE(SUBSTITUTE(UPPER(S143)," ",""),":",": "))),0)),"-")</f>
        <v>-</v>
      </c>
      <c r="C143" s="46" t="str" cm="1">
        <f t="array" ref="C143">IFERROR(INDEX(#REF!,MATCH(TRUE,ISNUMBER(FIND(SUBSTITUTE(SUBSTITUTE(UPPER(#REF!)," ",""),":",": "),SUBSTITUTE(SUBSTITUTE(UPPER(S143)," ",""),":",": "))),0)),"Não encontrado")</f>
        <v>Não encontrado</v>
      </c>
      <c r="D143" s="46" t="str" cm="1">
        <f t="array" ref="D143">IFERROR(INDEX(#REF!,MATCH(TRUE,ISNUMBER(FIND(SUBSTITUTE(SUBSTITUTE(UPPER(#REF!)," ",""),":",": "),SUBSTITUTE(SUBSTITUTE(UPPER(S143)," ",""),":",": "))),0)),"Não encontrado")</f>
        <v>Não encontrado</v>
      </c>
      <c r="E143" s="42" t="str" cm="1">
        <f t="array" ref="E143">IFERROR(INDEX({"IMPEDITIVO"},MATCH(TRUE,ISNUMBER(FIND(SUBSTITUTE(SUBSTITUTE(UPPER({"IMPEDITIVO"})," ",""),":",": "),SUBSTITUTE(SUBSTITUTE(UPPER(S143)," ",""),":",": "))),0)),"-")</f>
        <v>-</v>
      </c>
      <c r="K143" s="49"/>
    </row>
    <row r="144" spans="1:11" x14ac:dyDescent="0.25">
      <c r="A144" s="46" t="str" cm="1">
        <f t="array" ref="A144">IFERROR(INDEX(#REF!,MATCH(TRUE,ISNUMBER(FIND(SUBSTITUTE(SUBSTITUTE(UPPER(#REF!)," ",""),":",": "),SUBSTITUTE(SUBSTITUTE(UPPER(S144)," ",""),":",": "))),0)),"Undefined")</f>
        <v>Undefined</v>
      </c>
      <c r="B144" s="42" t="str" cm="1">
        <f t="array" ref="B144">IFERROR(INDEX({"URGENTE"},MATCH(TRUE,ISNUMBER(FIND(SUBSTITUTE(SUBSTITUTE(UPPER({"URGENTE"})," ",""),":",": "),SUBSTITUTE(SUBSTITUTE(UPPER(S144)," ",""),":",": "))),0)),"-")</f>
        <v>-</v>
      </c>
      <c r="C144" s="46" t="str" cm="1">
        <f t="array" ref="C144">IFERROR(INDEX(#REF!,MATCH(TRUE,ISNUMBER(FIND(SUBSTITUTE(SUBSTITUTE(UPPER(#REF!)," ",""),":",": "),SUBSTITUTE(SUBSTITUTE(UPPER(S144)," ",""),":",": "))),0)),"Não encontrado")</f>
        <v>Não encontrado</v>
      </c>
      <c r="D144" s="46" t="str" cm="1">
        <f t="array" ref="D144">IFERROR(INDEX(#REF!,MATCH(TRUE,ISNUMBER(FIND(SUBSTITUTE(SUBSTITUTE(UPPER(#REF!)," ",""),":",": "),SUBSTITUTE(SUBSTITUTE(UPPER(S144)," ",""),":",": "))),0)),"Não encontrado")</f>
        <v>Não encontrado</v>
      </c>
      <c r="E144" s="42" t="str" cm="1">
        <f t="array" ref="E144">IFERROR(INDEX({"IMPEDITIVO"},MATCH(TRUE,ISNUMBER(FIND(SUBSTITUTE(SUBSTITUTE(UPPER({"IMPEDITIVO"})," ",""),":",": "),SUBSTITUTE(SUBSTITUTE(UPPER(S144)," ",""),":",": "))),0)),"-")</f>
        <v>-</v>
      </c>
      <c r="K144" s="49"/>
    </row>
    <row r="145" spans="1:11" x14ac:dyDescent="0.25">
      <c r="A145" s="46" t="str" cm="1">
        <f t="array" ref="A145">IFERROR(INDEX(#REF!,MATCH(TRUE,ISNUMBER(FIND(SUBSTITUTE(SUBSTITUTE(UPPER(#REF!)," ",""),":",": "),SUBSTITUTE(SUBSTITUTE(UPPER(S145)," ",""),":",": "))),0)),"Undefined")</f>
        <v>Undefined</v>
      </c>
      <c r="B145" s="42" t="str" cm="1">
        <f t="array" ref="B145">IFERROR(INDEX({"URGENTE"},MATCH(TRUE,ISNUMBER(FIND(SUBSTITUTE(SUBSTITUTE(UPPER({"URGENTE"})," ",""),":",": "),SUBSTITUTE(SUBSTITUTE(UPPER(S145)," ",""),":",": "))),0)),"-")</f>
        <v>-</v>
      </c>
      <c r="C145" s="46" t="str" cm="1">
        <f t="array" ref="C145">IFERROR(INDEX(#REF!,MATCH(TRUE,ISNUMBER(FIND(SUBSTITUTE(SUBSTITUTE(UPPER(#REF!)," ",""),":",": "),SUBSTITUTE(SUBSTITUTE(UPPER(S145)," ",""),":",": "))),0)),"Não encontrado")</f>
        <v>Não encontrado</v>
      </c>
      <c r="D145" s="46" t="str" cm="1">
        <f t="array" ref="D145">IFERROR(INDEX(#REF!,MATCH(TRUE,ISNUMBER(FIND(SUBSTITUTE(SUBSTITUTE(UPPER(#REF!)," ",""),":",": "),SUBSTITUTE(SUBSTITUTE(UPPER(S145)," ",""),":",": "))),0)),"Não encontrado")</f>
        <v>Não encontrado</v>
      </c>
      <c r="E145" s="42" t="str" cm="1">
        <f t="array" ref="E145">IFERROR(INDEX({"IMPEDITIVO"},MATCH(TRUE,ISNUMBER(FIND(SUBSTITUTE(SUBSTITUTE(UPPER({"IMPEDITIVO"})," ",""),":",": "),SUBSTITUTE(SUBSTITUTE(UPPER(S145)," ",""),":",": "))),0)),"-")</f>
        <v>-</v>
      </c>
      <c r="K145" s="49"/>
    </row>
    <row r="146" spans="1:11" x14ac:dyDescent="0.25">
      <c r="A146" s="46" t="str" cm="1">
        <f t="array" ref="A146">IFERROR(INDEX(#REF!,MATCH(TRUE,ISNUMBER(FIND(SUBSTITUTE(SUBSTITUTE(UPPER(#REF!)," ",""),":",": "),SUBSTITUTE(SUBSTITUTE(UPPER(S146)," ",""),":",": "))),0)),"Undefined")</f>
        <v>Undefined</v>
      </c>
      <c r="B146" s="42" t="str" cm="1">
        <f t="array" ref="B146">IFERROR(INDEX({"URGENTE"},MATCH(TRUE,ISNUMBER(FIND(SUBSTITUTE(SUBSTITUTE(UPPER({"URGENTE"})," ",""),":",": "),SUBSTITUTE(SUBSTITUTE(UPPER(S146)," ",""),":",": "))),0)),"-")</f>
        <v>-</v>
      </c>
      <c r="C146" s="46" t="str" cm="1">
        <f t="array" ref="C146">IFERROR(INDEX(#REF!,MATCH(TRUE,ISNUMBER(FIND(SUBSTITUTE(SUBSTITUTE(UPPER(#REF!)," ",""),":",": "),SUBSTITUTE(SUBSTITUTE(UPPER(S146)," ",""),":",": "))),0)),"Não encontrado")</f>
        <v>Não encontrado</v>
      </c>
      <c r="D146" s="46" t="str" cm="1">
        <f t="array" ref="D146">IFERROR(INDEX(#REF!,MATCH(TRUE,ISNUMBER(FIND(SUBSTITUTE(SUBSTITUTE(UPPER(#REF!)," ",""),":",": "),SUBSTITUTE(SUBSTITUTE(UPPER(S146)," ",""),":",": "))),0)),"Não encontrado")</f>
        <v>Não encontrado</v>
      </c>
      <c r="E146" s="42" t="str" cm="1">
        <f t="array" ref="E146">IFERROR(INDEX({"IMPEDITIVO"},MATCH(TRUE,ISNUMBER(FIND(SUBSTITUTE(SUBSTITUTE(UPPER({"IMPEDITIVO"})," ",""),":",": "),SUBSTITUTE(SUBSTITUTE(UPPER(S146)," ",""),":",": "))),0)),"-")</f>
        <v>-</v>
      </c>
      <c r="K146" s="49"/>
    </row>
    <row r="147" spans="1:11" x14ac:dyDescent="0.25">
      <c r="A147" s="46" t="str" cm="1">
        <f t="array" ref="A147">IFERROR(INDEX(#REF!,MATCH(TRUE,ISNUMBER(FIND(SUBSTITUTE(SUBSTITUTE(UPPER(#REF!)," ",""),":",": "),SUBSTITUTE(SUBSTITUTE(UPPER(S147)," ",""),":",": "))),0)),"Undefined")</f>
        <v>Undefined</v>
      </c>
      <c r="B147" s="42" t="str" cm="1">
        <f t="array" ref="B147">IFERROR(INDEX({"URGENTE"},MATCH(TRUE,ISNUMBER(FIND(SUBSTITUTE(SUBSTITUTE(UPPER({"URGENTE"})," ",""),":",": "),SUBSTITUTE(SUBSTITUTE(UPPER(S147)," ",""),":",": "))),0)),"-")</f>
        <v>-</v>
      </c>
      <c r="C147" s="46" t="str" cm="1">
        <f t="array" ref="C147">IFERROR(INDEX(#REF!,MATCH(TRUE,ISNUMBER(FIND(SUBSTITUTE(SUBSTITUTE(UPPER(#REF!)," ",""),":",": "),SUBSTITUTE(SUBSTITUTE(UPPER(S147)," ",""),":",": "))),0)),"Não encontrado")</f>
        <v>Não encontrado</v>
      </c>
      <c r="D147" s="46" t="str" cm="1">
        <f t="array" ref="D147">IFERROR(INDEX(#REF!,MATCH(TRUE,ISNUMBER(FIND(SUBSTITUTE(SUBSTITUTE(UPPER(#REF!)," ",""),":",": "),SUBSTITUTE(SUBSTITUTE(UPPER(S147)," ",""),":",": "))),0)),"Não encontrado")</f>
        <v>Não encontrado</v>
      </c>
      <c r="E147" s="42" t="str" cm="1">
        <f t="array" ref="E147">IFERROR(INDEX({"IMPEDITIVO"},MATCH(TRUE,ISNUMBER(FIND(SUBSTITUTE(SUBSTITUTE(UPPER({"IMPEDITIVO"})," ",""),":",": "),SUBSTITUTE(SUBSTITUTE(UPPER(S147)," ",""),":",": "))),0)),"-")</f>
        <v>-</v>
      </c>
      <c r="K147" s="49"/>
    </row>
    <row r="148" spans="1:11" x14ac:dyDescent="0.25">
      <c r="A148" s="46" t="str" cm="1">
        <f t="array" ref="A148">IFERROR(INDEX(#REF!,MATCH(TRUE,ISNUMBER(FIND(SUBSTITUTE(SUBSTITUTE(UPPER(#REF!)," ",""),":",": "),SUBSTITUTE(SUBSTITUTE(UPPER(S148)," ",""),":",": "))),0)),"Undefined")</f>
        <v>Undefined</v>
      </c>
      <c r="B148" s="42" t="str" cm="1">
        <f t="array" ref="B148">IFERROR(INDEX({"URGENTE"},MATCH(TRUE,ISNUMBER(FIND(SUBSTITUTE(SUBSTITUTE(UPPER({"URGENTE"})," ",""),":",": "),SUBSTITUTE(SUBSTITUTE(UPPER(S148)," ",""),":",": "))),0)),"-")</f>
        <v>-</v>
      </c>
      <c r="C148" s="46" t="str" cm="1">
        <f t="array" ref="C148">IFERROR(INDEX(#REF!,MATCH(TRUE,ISNUMBER(FIND(SUBSTITUTE(SUBSTITUTE(UPPER(#REF!)," ",""),":",": "),SUBSTITUTE(SUBSTITUTE(UPPER(S148)," ",""),":",": "))),0)),"Não encontrado")</f>
        <v>Não encontrado</v>
      </c>
      <c r="D148" s="46" t="str" cm="1">
        <f t="array" ref="D148">IFERROR(INDEX(#REF!,MATCH(TRUE,ISNUMBER(FIND(SUBSTITUTE(SUBSTITUTE(UPPER(#REF!)," ",""),":",": "),SUBSTITUTE(SUBSTITUTE(UPPER(S148)," ",""),":",": "))),0)),"Não encontrado")</f>
        <v>Não encontrado</v>
      </c>
      <c r="E148" s="42" t="str" cm="1">
        <f t="array" ref="E148">IFERROR(INDEX({"IMPEDITIVO"},MATCH(TRUE,ISNUMBER(FIND(SUBSTITUTE(SUBSTITUTE(UPPER({"IMPEDITIVO"})," ",""),":",": "),SUBSTITUTE(SUBSTITUTE(UPPER(S148)," ",""),":",": "))),0)),"-")</f>
        <v>-</v>
      </c>
      <c r="K148" s="49"/>
    </row>
    <row r="149" spans="1:11" x14ac:dyDescent="0.25">
      <c r="A149" s="46" t="str" cm="1">
        <f t="array" ref="A149">IFERROR(INDEX(#REF!,MATCH(TRUE,ISNUMBER(FIND(SUBSTITUTE(SUBSTITUTE(UPPER(#REF!)," ",""),":",": "),SUBSTITUTE(SUBSTITUTE(UPPER(S149)," ",""),":",": "))),0)),"Undefined")</f>
        <v>Undefined</v>
      </c>
      <c r="B149" s="42" t="str" cm="1">
        <f t="array" ref="B149">IFERROR(INDEX({"URGENTE"},MATCH(TRUE,ISNUMBER(FIND(SUBSTITUTE(SUBSTITUTE(UPPER({"URGENTE"})," ",""),":",": "),SUBSTITUTE(SUBSTITUTE(UPPER(S149)," ",""),":",": "))),0)),"-")</f>
        <v>-</v>
      </c>
      <c r="C149" s="46" t="str" cm="1">
        <f t="array" ref="C149">IFERROR(INDEX(#REF!,MATCH(TRUE,ISNUMBER(FIND(SUBSTITUTE(SUBSTITUTE(UPPER(#REF!)," ",""),":",": "),SUBSTITUTE(SUBSTITUTE(UPPER(S149)," ",""),":",": "))),0)),"Não encontrado")</f>
        <v>Não encontrado</v>
      </c>
      <c r="D149" s="46" t="str" cm="1">
        <f t="array" ref="D149">IFERROR(INDEX(#REF!,MATCH(TRUE,ISNUMBER(FIND(SUBSTITUTE(SUBSTITUTE(UPPER(#REF!)," ",""),":",": "),SUBSTITUTE(SUBSTITUTE(UPPER(S149)," ",""),":",": "))),0)),"Não encontrado")</f>
        <v>Não encontrado</v>
      </c>
      <c r="E149" s="42" t="str" cm="1">
        <f t="array" ref="E149">IFERROR(INDEX({"IMPEDITIVO"},MATCH(TRUE,ISNUMBER(FIND(SUBSTITUTE(SUBSTITUTE(UPPER({"IMPEDITIVO"})," ",""),":",": "),SUBSTITUTE(SUBSTITUTE(UPPER(S149)," ",""),":",": "))),0)),"-")</f>
        <v>-</v>
      </c>
      <c r="K149" s="49"/>
    </row>
    <row r="150" spans="1:11" x14ac:dyDescent="0.25">
      <c r="A150" s="46" t="str" cm="1">
        <f t="array" ref="A150">IFERROR(INDEX(#REF!,MATCH(TRUE,ISNUMBER(FIND(SUBSTITUTE(SUBSTITUTE(UPPER(#REF!)," ",""),":",": "),SUBSTITUTE(SUBSTITUTE(UPPER(S150)," ",""),":",": "))),0)),"Undefined")</f>
        <v>Undefined</v>
      </c>
      <c r="B150" s="42" t="str" cm="1">
        <f t="array" ref="B150">IFERROR(INDEX({"URGENTE"},MATCH(TRUE,ISNUMBER(FIND(SUBSTITUTE(SUBSTITUTE(UPPER({"URGENTE"})," ",""),":",": "),SUBSTITUTE(SUBSTITUTE(UPPER(S150)," ",""),":",": "))),0)),"-")</f>
        <v>-</v>
      </c>
      <c r="C150" s="46" t="str" cm="1">
        <f t="array" ref="C150">IFERROR(INDEX(#REF!,MATCH(TRUE,ISNUMBER(FIND(SUBSTITUTE(SUBSTITUTE(UPPER(#REF!)," ",""),":",": "),SUBSTITUTE(SUBSTITUTE(UPPER(S150)," ",""),":",": "))),0)),"Não encontrado")</f>
        <v>Não encontrado</v>
      </c>
      <c r="D150" s="46" t="str" cm="1">
        <f t="array" ref="D150">IFERROR(INDEX(#REF!,MATCH(TRUE,ISNUMBER(FIND(SUBSTITUTE(SUBSTITUTE(UPPER(#REF!)," ",""),":",": "),SUBSTITUTE(SUBSTITUTE(UPPER(S150)," ",""),":",": "))),0)),"Não encontrado")</f>
        <v>Não encontrado</v>
      </c>
      <c r="E150" s="42" t="str" cm="1">
        <f t="array" ref="E150">IFERROR(INDEX({"IMPEDITIVO"},MATCH(TRUE,ISNUMBER(FIND(SUBSTITUTE(SUBSTITUTE(UPPER({"IMPEDITIVO"})," ",""),":",": "),SUBSTITUTE(SUBSTITUTE(UPPER(S150)," ",""),":",": "))),0)),"-")</f>
        <v>-</v>
      </c>
      <c r="K150" s="49"/>
    </row>
    <row r="151" spans="1:11" x14ac:dyDescent="0.25">
      <c r="A151" s="46" t="str" cm="1">
        <f t="array" ref="A151">IFERROR(INDEX(#REF!,MATCH(TRUE,ISNUMBER(FIND(SUBSTITUTE(SUBSTITUTE(UPPER(#REF!)," ",""),":",": "),SUBSTITUTE(SUBSTITUTE(UPPER(S151)," ",""),":",": "))),0)),"Undefined")</f>
        <v>Undefined</v>
      </c>
      <c r="B151" s="42" t="str" cm="1">
        <f t="array" ref="B151">IFERROR(INDEX({"URGENTE"},MATCH(TRUE,ISNUMBER(FIND(SUBSTITUTE(SUBSTITUTE(UPPER({"URGENTE"})," ",""),":",": "),SUBSTITUTE(SUBSTITUTE(UPPER(S151)," ",""),":",": "))),0)),"-")</f>
        <v>-</v>
      </c>
      <c r="C151" s="46" t="str" cm="1">
        <f t="array" ref="C151">IFERROR(INDEX(#REF!,MATCH(TRUE,ISNUMBER(FIND(SUBSTITUTE(SUBSTITUTE(UPPER(#REF!)," ",""),":",": "),SUBSTITUTE(SUBSTITUTE(UPPER(S151)," ",""),":",": "))),0)),"Não encontrado")</f>
        <v>Não encontrado</v>
      </c>
      <c r="D151" s="46" t="str" cm="1">
        <f t="array" ref="D151">IFERROR(INDEX(#REF!,MATCH(TRUE,ISNUMBER(FIND(SUBSTITUTE(SUBSTITUTE(UPPER(#REF!)," ",""),":",": "),SUBSTITUTE(SUBSTITUTE(UPPER(S151)," ",""),":",": "))),0)),"Não encontrado")</f>
        <v>Não encontrado</v>
      </c>
      <c r="E151" s="42" t="str" cm="1">
        <f t="array" ref="E151">IFERROR(INDEX({"IMPEDITIVO"},MATCH(TRUE,ISNUMBER(FIND(SUBSTITUTE(SUBSTITUTE(UPPER({"IMPEDITIVO"})," ",""),":",": "),SUBSTITUTE(SUBSTITUTE(UPPER(S151)," ",""),":",": "))),0)),"-")</f>
        <v>-</v>
      </c>
      <c r="K151" s="49"/>
    </row>
    <row r="152" spans="1:11" x14ac:dyDescent="0.25">
      <c r="A152" s="46" t="str" cm="1">
        <f t="array" ref="A152">IFERROR(INDEX(#REF!,MATCH(TRUE,ISNUMBER(FIND(SUBSTITUTE(SUBSTITUTE(UPPER(#REF!)," ",""),":",": "),SUBSTITUTE(SUBSTITUTE(UPPER(S152)," ",""),":",": "))),0)),"Undefined")</f>
        <v>Undefined</v>
      </c>
      <c r="B152" s="42" t="str" cm="1">
        <f t="array" ref="B152">IFERROR(INDEX({"URGENTE"},MATCH(TRUE,ISNUMBER(FIND(SUBSTITUTE(SUBSTITUTE(UPPER({"URGENTE"})," ",""),":",": "),SUBSTITUTE(SUBSTITUTE(UPPER(S152)," ",""),":",": "))),0)),"-")</f>
        <v>-</v>
      </c>
      <c r="C152" s="46" t="str" cm="1">
        <f t="array" ref="C152">IFERROR(INDEX(#REF!,MATCH(TRUE,ISNUMBER(FIND(SUBSTITUTE(SUBSTITUTE(UPPER(#REF!)," ",""),":",": "),SUBSTITUTE(SUBSTITUTE(UPPER(S152)," ",""),":",": "))),0)),"Não encontrado")</f>
        <v>Não encontrado</v>
      </c>
      <c r="D152" s="46" t="str" cm="1">
        <f t="array" ref="D152">IFERROR(INDEX(#REF!,MATCH(TRUE,ISNUMBER(FIND(SUBSTITUTE(SUBSTITUTE(UPPER(#REF!)," ",""),":",": "),SUBSTITUTE(SUBSTITUTE(UPPER(S152)," ",""),":",": "))),0)),"Não encontrado")</f>
        <v>Não encontrado</v>
      </c>
      <c r="E152" s="42" t="str" cm="1">
        <f t="array" ref="E152">IFERROR(INDEX({"IMPEDITIVO"},MATCH(TRUE,ISNUMBER(FIND(SUBSTITUTE(SUBSTITUTE(UPPER({"IMPEDITIVO"})," ",""),":",": "),SUBSTITUTE(SUBSTITUTE(UPPER(S152)," ",""),":",": "))),0)),"-")</f>
        <v>-</v>
      </c>
      <c r="K152" s="49"/>
    </row>
    <row r="153" spans="1:11" x14ac:dyDescent="0.25">
      <c r="A153" s="46" t="str" cm="1">
        <f t="array" ref="A153">IFERROR(INDEX(#REF!,MATCH(TRUE,ISNUMBER(FIND(SUBSTITUTE(SUBSTITUTE(UPPER(#REF!)," ",""),":",": "),SUBSTITUTE(SUBSTITUTE(UPPER(S153)," ",""),":",": "))),0)),"Undefined")</f>
        <v>Undefined</v>
      </c>
      <c r="B153" s="42" t="str" cm="1">
        <f t="array" ref="B153">IFERROR(INDEX({"URGENTE"},MATCH(TRUE,ISNUMBER(FIND(SUBSTITUTE(SUBSTITUTE(UPPER({"URGENTE"})," ",""),":",": "),SUBSTITUTE(SUBSTITUTE(UPPER(S153)," ",""),":",": "))),0)),"-")</f>
        <v>-</v>
      </c>
      <c r="C153" s="46" t="str" cm="1">
        <f t="array" ref="C153">IFERROR(INDEX(#REF!,MATCH(TRUE,ISNUMBER(FIND(SUBSTITUTE(SUBSTITUTE(UPPER(#REF!)," ",""),":",": "),SUBSTITUTE(SUBSTITUTE(UPPER(S153)," ",""),":",": "))),0)),"Não encontrado")</f>
        <v>Não encontrado</v>
      </c>
      <c r="D153" s="46" t="str" cm="1">
        <f t="array" ref="D153">IFERROR(INDEX(#REF!,MATCH(TRUE,ISNUMBER(FIND(SUBSTITUTE(SUBSTITUTE(UPPER(#REF!)," ",""),":",": "),SUBSTITUTE(SUBSTITUTE(UPPER(S153)," ",""),":",": "))),0)),"Não encontrado")</f>
        <v>Não encontrado</v>
      </c>
      <c r="E153" s="42" t="str" cm="1">
        <f t="array" ref="E153">IFERROR(INDEX({"IMPEDITIVO"},MATCH(TRUE,ISNUMBER(FIND(SUBSTITUTE(SUBSTITUTE(UPPER({"IMPEDITIVO"})," ",""),":",": "),SUBSTITUTE(SUBSTITUTE(UPPER(S153)," ",""),":",": "))),0)),"-")</f>
        <v>-</v>
      </c>
      <c r="K153" s="49"/>
    </row>
    <row r="154" spans="1:11" x14ac:dyDescent="0.25">
      <c r="A154" s="46" t="str" cm="1">
        <f t="array" ref="A154">IFERROR(INDEX(#REF!,MATCH(TRUE,ISNUMBER(FIND(SUBSTITUTE(SUBSTITUTE(UPPER(#REF!)," ",""),":",": "),SUBSTITUTE(SUBSTITUTE(UPPER(S154)," ",""),":",": "))),0)),"Undefined")</f>
        <v>Undefined</v>
      </c>
      <c r="B154" s="42" t="str" cm="1">
        <f t="array" ref="B154">IFERROR(INDEX({"URGENTE"},MATCH(TRUE,ISNUMBER(FIND(SUBSTITUTE(SUBSTITUTE(UPPER({"URGENTE"})," ",""),":",": "),SUBSTITUTE(SUBSTITUTE(UPPER(S154)," ",""),":",": "))),0)),"-")</f>
        <v>-</v>
      </c>
      <c r="C154" s="46" t="str" cm="1">
        <f t="array" ref="C154">IFERROR(INDEX(#REF!,MATCH(TRUE,ISNUMBER(FIND(SUBSTITUTE(SUBSTITUTE(UPPER(#REF!)," ",""),":",": "),SUBSTITUTE(SUBSTITUTE(UPPER(S154)," ",""),":",": "))),0)),"Não encontrado")</f>
        <v>Não encontrado</v>
      </c>
      <c r="D154" s="46" t="str" cm="1">
        <f t="array" ref="D154">IFERROR(INDEX(#REF!,MATCH(TRUE,ISNUMBER(FIND(SUBSTITUTE(SUBSTITUTE(UPPER(#REF!)," ",""),":",": "),SUBSTITUTE(SUBSTITUTE(UPPER(S154)," ",""),":",": "))),0)),"Não encontrado")</f>
        <v>Não encontrado</v>
      </c>
      <c r="E154" s="42" t="str" cm="1">
        <f t="array" ref="E154">IFERROR(INDEX({"IMPEDITIVO"},MATCH(TRUE,ISNUMBER(FIND(SUBSTITUTE(SUBSTITUTE(UPPER({"IMPEDITIVO"})," ",""),":",": "),SUBSTITUTE(SUBSTITUTE(UPPER(S154)," ",""),":",": "))),0)),"-")</f>
        <v>-</v>
      </c>
      <c r="K154" s="49"/>
    </row>
    <row r="155" spans="1:11" x14ac:dyDescent="0.25">
      <c r="A155" s="46" t="str" cm="1">
        <f t="array" ref="A155">IFERROR(INDEX(#REF!,MATCH(TRUE,ISNUMBER(FIND(SUBSTITUTE(SUBSTITUTE(UPPER(#REF!)," ",""),":",": "),SUBSTITUTE(SUBSTITUTE(UPPER(S155)," ",""),":",": "))),0)),"Undefined")</f>
        <v>Undefined</v>
      </c>
      <c r="B155" s="42" t="str" cm="1">
        <f t="array" ref="B155">IFERROR(INDEX({"URGENTE"},MATCH(TRUE,ISNUMBER(FIND(SUBSTITUTE(SUBSTITUTE(UPPER({"URGENTE"})," ",""),":",": "),SUBSTITUTE(SUBSTITUTE(UPPER(S155)," ",""),":",": "))),0)),"-")</f>
        <v>-</v>
      </c>
      <c r="C155" s="46" t="str" cm="1">
        <f t="array" ref="C155">IFERROR(INDEX(#REF!,MATCH(TRUE,ISNUMBER(FIND(SUBSTITUTE(SUBSTITUTE(UPPER(#REF!)," ",""),":",": "),SUBSTITUTE(SUBSTITUTE(UPPER(S155)," ",""),":",": "))),0)),"Não encontrado")</f>
        <v>Não encontrado</v>
      </c>
      <c r="D155" s="46" t="str" cm="1">
        <f t="array" ref="D155">IFERROR(INDEX(#REF!,MATCH(TRUE,ISNUMBER(FIND(SUBSTITUTE(SUBSTITUTE(UPPER(#REF!)," ",""),":",": "),SUBSTITUTE(SUBSTITUTE(UPPER(S155)," ",""),":",": "))),0)),"Não encontrado")</f>
        <v>Não encontrado</v>
      </c>
      <c r="E155" s="42" t="str" cm="1">
        <f t="array" ref="E155">IFERROR(INDEX({"IMPEDITIVO"},MATCH(TRUE,ISNUMBER(FIND(SUBSTITUTE(SUBSTITUTE(UPPER({"IMPEDITIVO"})," ",""),":",": "),SUBSTITUTE(SUBSTITUTE(UPPER(S155)," ",""),":",": "))),0)),"-")</f>
        <v>-</v>
      </c>
      <c r="K155" s="49"/>
    </row>
    <row r="156" spans="1:11" x14ac:dyDescent="0.25">
      <c r="A156" s="46" t="str" cm="1">
        <f t="array" ref="A156">IFERROR(INDEX(#REF!,MATCH(TRUE,ISNUMBER(FIND(SUBSTITUTE(SUBSTITUTE(UPPER(#REF!)," ",""),":",": "),SUBSTITUTE(SUBSTITUTE(UPPER(S156)," ",""),":",": "))),0)),"Undefined")</f>
        <v>Undefined</v>
      </c>
      <c r="B156" s="42" t="str" cm="1">
        <f t="array" ref="B156">IFERROR(INDEX({"URGENTE"},MATCH(TRUE,ISNUMBER(FIND(SUBSTITUTE(SUBSTITUTE(UPPER({"URGENTE"})," ",""),":",": "),SUBSTITUTE(SUBSTITUTE(UPPER(S156)," ",""),":",": "))),0)),"-")</f>
        <v>-</v>
      </c>
      <c r="C156" s="46" t="str" cm="1">
        <f t="array" ref="C156">IFERROR(INDEX(#REF!,MATCH(TRUE,ISNUMBER(FIND(SUBSTITUTE(SUBSTITUTE(UPPER(#REF!)," ",""),":",": "),SUBSTITUTE(SUBSTITUTE(UPPER(S156)," ",""),":",": "))),0)),"Não encontrado")</f>
        <v>Não encontrado</v>
      </c>
      <c r="D156" s="46" t="str" cm="1">
        <f t="array" ref="D156">IFERROR(INDEX(#REF!,MATCH(TRUE,ISNUMBER(FIND(SUBSTITUTE(SUBSTITUTE(UPPER(#REF!)," ",""),":",": "),SUBSTITUTE(SUBSTITUTE(UPPER(S156)," ",""),":",": "))),0)),"Não encontrado")</f>
        <v>Não encontrado</v>
      </c>
      <c r="E156" s="42" t="str" cm="1">
        <f t="array" ref="E156">IFERROR(INDEX({"IMPEDITIVO"},MATCH(TRUE,ISNUMBER(FIND(SUBSTITUTE(SUBSTITUTE(UPPER({"IMPEDITIVO"})," ",""),":",": "),SUBSTITUTE(SUBSTITUTE(UPPER(S156)," ",""),":",": "))),0)),"-")</f>
        <v>-</v>
      </c>
      <c r="K156" s="49"/>
    </row>
    <row r="157" spans="1:11" x14ac:dyDescent="0.25">
      <c r="A157" s="46" t="str" cm="1">
        <f t="array" ref="A157">IFERROR(INDEX(#REF!,MATCH(TRUE,ISNUMBER(FIND(SUBSTITUTE(SUBSTITUTE(UPPER(#REF!)," ",""),":",": "),SUBSTITUTE(SUBSTITUTE(UPPER(S157)," ",""),":",": "))),0)),"Undefined")</f>
        <v>Undefined</v>
      </c>
      <c r="B157" s="42" t="str" cm="1">
        <f t="array" ref="B157">IFERROR(INDEX({"URGENTE"},MATCH(TRUE,ISNUMBER(FIND(SUBSTITUTE(SUBSTITUTE(UPPER({"URGENTE"})," ",""),":",": "),SUBSTITUTE(SUBSTITUTE(UPPER(S157)," ",""),":",": "))),0)),"-")</f>
        <v>-</v>
      </c>
      <c r="C157" s="46" t="str" cm="1">
        <f t="array" ref="C157">IFERROR(INDEX(#REF!,MATCH(TRUE,ISNUMBER(FIND(SUBSTITUTE(SUBSTITUTE(UPPER(#REF!)," ",""),":",": "),SUBSTITUTE(SUBSTITUTE(UPPER(S157)," ",""),":",": "))),0)),"Não encontrado")</f>
        <v>Não encontrado</v>
      </c>
      <c r="D157" s="46" t="str" cm="1">
        <f t="array" ref="D157">IFERROR(INDEX(#REF!,MATCH(TRUE,ISNUMBER(FIND(SUBSTITUTE(SUBSTITUTE(UPPER(#REF!)," ",""),":",": "),SUBSTITUTE(SUBSTITUTE(UPPER(S157)," ",""),":",": "))),0)),"Não encontrado")</f>
        <v>Não encontrado</v>
      </c>
      <c r="E157" s="42" t="str" cm="1">
        <f t="array" ref="E157">IFERROR(INDEX({"IMPEDITIVO"},MATCH(TRUE,ISNUMBER(FIND(SUBSTITUTE(SUBSTITUTE(UPPER({"IMPEDITIVO"})," ",""),":",": "),SUBSTITUTE(SUBSTITUTE(UPPER(S157)," ",""),":",": "))),0)),"-")</f>
        <v>-</v>
      </c>
      <c r="K157" s="49"/>
    </row>
    <row r="158" spans="1:11" x14ac:dyDescent="0.25">
      <c r="A158" s="46" t="str" cm="1">
        <f t="array" ref="A158">IFERROR(INDEX(#REF!,MATCH(TRUE,ISNUMBER(FIND(SUBSTITUTE(SUBSTITUTE(UPPER(#REF!)," ",""),":",": "),SUBSTITUTE(SUBSTITUTE(UPPER(S158)," ",""),":",": "))),0)),"Undefined")</f>
        <v>Undefined</v>
      </c>
      <c r="B158" s="42" t="str" cm="1">
        <f t="array" ref="B158">IFERROR(INDEX({"URGENTE"},MATCH(TRUE,ISNUMBER(FIND(SUBSTITUTE(SUBSTITUTE(UPPER({"URGENTE"})," ",""),":",": "),SUBSTITUTE(SUBSTITUTE(UPPER(S158)," ",""),":",": "))),0)),"-")</f>
        <v>-</v>
      </c>
      <c r="C158" s="46" t="str" cm="1">
        <f t="array" ref="C158">IFERROR(INDEX(#REF!,MATCH(TRUE,ISNUMBER(FIND(SUBSTITUTE(SUBSTITUTE(UPPER(#REF!)," ",""),":",": "),SUBSTITUTE(SUBSTITUTE(UPPER(S158)," ",""),":",": "))),0)),"Não encontrado")</f>
        <v>Não encontrado</v>
      </c>
      <c r="D158" s="46" t="str" cm="1">
        <f t="array" ref="D158">IFERROR(INDEX(#REF!,MATCH(TRUE,ISNUMBER(FIND(SUBSTITUTE(SUBSTITUTE(UPPER(#REF!)," ",""),":",": "),SUBSTITUTE(SUBSTITUTE(UPPER(S158)," ",""),":",": "))),0)),"Não encontrado")</f>
        <v>Não encontrado</v>
      </c>
      <c r="E158" s="42" t="str" cm="1">
        <f t="array" ref="E158">IFERROR(INDEX({"IMPEDITIVO"},MATCH(TRUE,ISNUMBER(FIND(SUBSTITUTE(SUBSTITUTE(UPPER({"IMPEDITIVO"})," ",""),":",": "),SUBSTITUTE(SUBSTITUTE(UPPER(S158)," ",""),":",": "))),0)),"-")</f>
        <v>-</v>
      </c>
      <c r="K158" s="49"/>
    </row>
    <row r="159" spans="1:11" x14ac:dyDescent="0.25">
      <c r="A159" s="46" t="str" cm="1">
        <f t="array" ref="A159">IFERROR(INDEX(#REF!,MATCH(TRUE,ISNUMBER(FIND(SUBSTITUTE(SUBSTITUTE(UPPER(#REF!)," ",""),":",": "),SUBSTITUTE(SUBSTITUTE(UPPER(S159)," ",""),":",": "))),0)),"Undefined")</f>
        <v>Undefined</v>
      </c>
      <c r="B159" s="42" t="str" cm="1">
        <f t="array" ref="B159">IFERROR(INDEX({"URGENTE"},MATCH(TRUE,ISNUMBER(FIND(SUBSTITUTE(SUBSTITUTE(UPPER({"URGENTE"})," ",""),":",": "),SUBSTITUTE(SUBSTITUTE(UPPER(S159)," ",""),":",": "))),0)),"-")</f>
        <v>-</v>
      </c>
      <c r="C159" s="46" t="str" cm="1">
        <f t="array" ref="C159">IFERROR(INDEX(#REF!,MATCH(TRUE,ISNUMBER(FIND(SUBSTITUTE(SUBSTITUTE(UPPER(#REF!)," ",""),":",": "),SUBSTITUTE(SUBSTITUTE(UPPER(S159)," ",""),":",": "))),0)),"Não encontrado")</f>
        <v>Não encontrado</v>
      </c>
      <c r="D159" s="46" t="str" cm="1">
        <f t="array" ref="D159">IFERROR(INDEX(#REF!,MATCH(TRUE,ISNUMBER(FIND(SUBSTITUTE(SUBSTITUTE(UPPER(#REF!)," ",""),":",": "),SUBSTITUTE(SUBSTITUTE(UPPER(S159)," ",""),":",": "))),0)),"Não encontrado")</f>
        <v>Não encontrado</v>
      </c>
      <c r="E159" s="42" t="str" cm="1">
        <f t="array" ref="E159">IFERROR(INDEX({"IMPEDITIVO"},MATCH(TRUE,ISNUMBER(FIND(SUBSTITUTE(SUBSTITUTE(UPPER({"IMPEDITIVO"})," ",""),":",": "),SUBSTITUTE(SUBSTITUTE(UPPER(S159)," ",""),":",": "))),0)),"-")</f>
        <v>-</v>
      </c>
      <c r="K159" s="49"/>
    </row>
    <row r="160" spans="1:11" x14ac:dyDescent="0.25">
      <c r="A160" s="46" t="str" cm="1">
        <f t="array" ref="A160">IFERROR(INDEX(#REF!,MATCH(TRUE,ISNUMBER(FIND(SUBSTITUTE(SUBSTITUTE(UPPER(#REF!)," ",""),":",": "),SUBSTITUTE(SUBSTITUTE(UPPER(S160)," ",""),":",": "))),0)),"Undefined")</f>
        <v>Undefined</v>
      </c>
      <c r="B160" s="42" t="str" cm="1">
        <f t="array" ref="B160">IFERROR(INDEX({"URGENTE"},MATCH(TRUE,ISNUMBER(FIND(SUBSTITUTE(SUBSTITUTE(UPPER({"URGENTE"})," ",""),":",": "),SUBSTITUTE(SUBSTITUTE(UPPER(S160)," ",""),":",": "))),0)),"-")</f>
        <v>-</v>
      </c>
      <c r="C160" s="46" t="str" cm="1">
        <f t="array" ref="C160">IFERROR(INDEX(#REF!,MATCH(TRUE,ISNUMBER(FIND(SUBSTITUTE(SUBSTITUTE(UPPER(#REF!)," ",""),":",": "),SUBSTITUTE(SUBSTITUTE(UPPER(S160)," ",""),":",": "))),0)),"Não encontrado")</f>
        <v>Não encontrado</v>
      </c>
      <c r="D160" s="46" t="str" cm="1">
        <f t="array" ref="D160">IFERROR(INDEX(#REF!,MATCH(TRUE,ISNUMBER(FIND(SUBSTITUTE(SUBSTITUTE(UPPER(#REF!)," ",""),":",": "),SUBSTITUTE(SUBSTITUTE(UPPER(S160)," ",""),":",": "))),0)),"Não encontrado")</f>
        <v>Não encontrado</v>
      </c>
      <c r="E160" s="42" t="str" cm="1">
        <f t="array" ref="E160">IFERROR(INDEX({"IMPEDITIVO"},MATCH(TRUE,ISNUMBER(FIND(SUBSTITUTE(SUBSTITUTE(UPPER({"IMPEDITIVO"})," ",""),":",": "),SUBSTITUTE(SUBSTITUTE(UPPER(S160)," ",""),":",": "))),0)),"-")</f>
        <v>-</v>
      </c>
      <c r="K160" s="49"/>
    </row>
    <row r="161" spans="1:11" x14ac:dyDescent="0.25">
      <c r="A161" s="46" t="str" cm="1">
        <f t="array" ref="A161">IFERROR(INDEX(#REF!,MATCH(TRUE,ISNUMBER(FIND(SUBSTITUTE(SUBSTITUTE(UPPER(#REF!)," ",""),":",": "),SUBSTITUTE(SUBSTITUTE(UPPER(S161)," ",""),":",": "))),0)),"Undefined")</f>
        <v>Undefined</v>
      </c>
      <c r="B161" s="42" t="str" cm="1">
        <f t="array" ref="B161">IFERROR(INDEX({"URGENTE"},MATCH(TRUE,ISNUMBER(FIND(SUBSTITUTE(SUBSTITUTE(UPPER({"URGENTE"})," ",""),":",": "),SUBSTITUTE(SUBSTITUTE(UPPER(S161)," ",""),":",": "))),0)),"-")</f>
        <v>-</v>
      </c>
      <c r="C161" s="46" t="str" cm="1">
        <f t="array" ref="C161">IFERROR(INDEX(#REF!,MATCH(TRUE,ISNUMBER(FIND(SUBSTITUTE(SUBSTITUTE(UPPER(#REF!)," ",""),":",": "),SUBSTITUTE(SUBSTITUTE(UPPER(S161)," ",""),":",": "))),0)),"Não encontrado")</f>
        <v>Não encontrado</v>
      </c>
      <c r="D161" s="46" t="str" cm="1">
        <f t="array" ref="D161">IFERROR(INDEX(#REF!,MATCH(TRUE,ISNUMBER(FIND(SUBSTITUTE(SUBSTITUTE(UPPER(#REF!)," ",""),":",": "),SUBSTITUTE(SUBSTITUTE(UPPER(S161)," ",""),":",": "))),0)),"Não encontrado")</f>
        <v>Não encontrado</v>
      </c>
      <c r="E161" s="42" t="str" cm="1">
        <f t="array" ref="E161">IFERROR(INDEX({"IMPEDITIVO"},MATCH(TRUE,ISNUMBER(FIND(SUBSTITUTE(SUBSTITUTE(UPPER({"IMPEDITIVO"})," ",""),":",": "),SUBSTITUTE(SUBSTITUTE(UPPER(S161)," ",""),":",": "))),0)),"-")</f>
        <v>-</v>
      </c>
      <c r="K161" s="49"/>
    </row>
    <row r="162" spans="1:11" x14ac:dyDescent="0.25">
      <c r="A162" s="46" t="str" cm="1">
        <f t="array" ref="A162">IFERROR(INDEX(#REF!,MATCH(TRUE,ISNUMBER(FIND(SUBSTITUTE(SUBSTITUTE(UPPER(#REF!)," ",""),":",": "),SUBSTITUTE(SUBSTITUTE(UPPER(S162)," ",""),":",": "))),0)),"Undefined")</f>
        <v>Undefined</v>
      </c>
      <c r="B162" s="42" t="str" cm="1">
        <f t="array" ref="B162">IFERROR(INDEX({"URGENTE"},MATCH(TRUE,ISNUMBER(FIND(SUBSTITUTE(SUBSTITUTE(UPPER({"URGENTE"})," ",""),":",": "),SUBSTITUTE(SUBSTITUTE(UPPER(S162)," ",""),":",": "))),0)),"-")</f>
        <v>-</v>
      </c>
      <c r="C162" s="46" t="str" cm="1">
        <f t="array" ref="C162">IFERROR(INDEX(#REF!,MATCH(TRUE,ISNUMBER(FIND(SUBSTITUTE(SUBSTITUTE(UPPER(#REF!)," ",""),":",": "),SUBSTITUTE(SUBSTITUTE(UPPER(S162)," ",""),":",": "))),0)),"Não encontrado")</f>
        <v>Não encontrado</v>
      </c>
      <c r="D162" s="46" t="str" cm="1">
        <f t="array" ref="D162">IFERROR(INDEX(#REF!,MATCH(TRUE,ISNUMBER(FIND(SUBSTITUTE(SUBSTITUTE(UPPER(#REF!)," ",""),":",": "),SUBSTITUTE(SUBSTITUTE(UPPER(S162)," ",""),":",": "))),0)),"Não encontrado")</f>
        <v>Não encontrado</v>
      </c>
      <c r="E162" s="42" t="str" cm="1">
        <f t="array" ref="E162">IFERROR(INDEX({"IMPEDITIVO"},MATCH(TRUE,ISNUMBER(FIND(SUBSTITUTE(SUBSTITUTE(UPPER({"IMPEDITIVO"})," ",""),":",": "),SUBSTITUTE(SUBSTITUTE(UPPER(S162)," ",""),":",": "))),0)),"-")</f>
        <v>-</v>
      </c>
      <c r="K162" s="49"/>
    </row>
    <row r="163" spans="1:11" x14ac:dyDescent="0.25">
      <c r="A163" s="46" t="str" cm="1">
        <f t="array" ref="A163">IFERROR(INDEX(#REF!,MATCH(TRUE,ISNUMBER(FIND(SUBSTITUTE(SUBSTITUTE(UPPER(#REF!)," ",""),":",": "),SUBSTITUTE(SUBSTITUTE(UPPER(S163)," ",""),":",": "))),0)),"Undefined")</f>
        <v>Undefined</v>
      </c>
      <c r="B163" s="42" t="str" cm="1">
        <f t="array" ref="B163">IFERROR(INDEX({"URGENTE"},MATCH(TRUE,ISNUMBER(FIND(SUBSTITUTE(SUBSTITUTE(UPPER({"URGENTE"})," ",""),":",": "),SUBSTITUTE(SUBSTITUTE(UPPER(S163)," ",""),":",": "))),0)),"-")</f>
        <v>-</v>
      </c>
      <c r="C163" s="46" t="str" cm="1">
        <f t="array" ref="C163">IFERROR(INDEX(#REF!,MATCH(TRUE,ISNUMBER(FIND(SUBSTITUTE(SUBSTITUTE(UPPER(#REF!)," ",""),":",": "),SUBSTITUTE(SUBSTITUTE(UPPER(S163)," ",""),":",": "))),0)),"Não encontrado")</f>
        <v>Não encontrado</v>
      </c>
      <c r="D163" s="46" t="str" cm="1">
        <f t="array" ref="D163">IFERROR(INDEX(#REF!,MATCH(TRUE,ISNUMBER(FIND(SUBSTITUTE(SUBSTITUTE(UPPER(#REF!)," ",""),":",": "),SUBSTITUTE(SUBSTITUTE(UPPER(S163)," ",""),":",": "))),0)),"Não encontrado")</f>
        <v>Não encontrado</v>
      </c>
      <c r="E163" s="42" t="str" cm="1">
        <f t="array" ref="E163">IFERROR(INDEX({"IMPEDITIVO"},MATCH(TRUE,ISNUMBER(FIND(SUBSTITUTE(SUBSTITUTE(UPPER({"IMPEDITIVO"})," ",""),":",": "),SUBSTITUTE(SUBSTITUTE(UPPER(S163)," ",""),":",": "))),0)),"-")</f>
        <v>-</v>
      </c>
      <c r="K163" s="49"/>
    </row>
    <row r="164" spans="1:11" x14ac:dyDescent="0.25">
      <c r="A164" s="46" t="str" cm="1">
        <f t="array" ref="A164">IFERROR(INDEX(#REF!,MATCH(TRUE,ISNUMBER(FIND(SUBSTITUTE(SUBSTITUTE(UPPER(#REF!)," ",""),":",": "),SUBSTITUTE(SUBSTITUTE(UPPER(S164)," ",""),":",": "))),0)),"Undefined")</f>
        <v>Undefined</v>
      </c>
      <c r="B164" s="42" t="str" cm="1">
        <f t="array" ref="B164">IFERROR(INDEX({"URGENTE"},MATCH(TRUE,ISNUMBER(FIND(SUBSTITUTE(SUBSTITUTE(UPPER({"URGENTE"})," ",""),":",": "),SUBSTITUTE(SUBSTITUTE(UPPER(S164)," ",""),":",": "))),0)),"-")</f>
        <v>-</v>
      </c>
      <c r="C164" s="46" t="str" cm="1">
        <f t="array" ref="C164">IFERROR(INDEX(#REF!,MATCH(TRUE,ISNUMBER(FIND(SUBSTITUTE(SUBSTITUTE(UPPER(#REF!)," ",""),":",": "),SUBSTITUTE(SUBSTITUTE(UPPER(S164)," ",""),":",": "))),0)),"Não encontrado")</f>
        <v>Não encontrado</v>
      </c>
      <c r="D164" s="46" t="str" cm="1">
        <f t="array" ref="D164">IFERROR(INDEX(#REF!,MATCH(TRUE,ISNUMBER(FIND(SUBSTITUTE(SUBSTITUTE(UPPER(#REF!)," ",""),":",": "),SUBSTITUTE(SUBSTITUTE(UPPER(S164)," ",""),":",": "))),0)),"Não encontrado")</f>
        <v>Não encontrado</v>
      </c>
      <c r="E164" s="42" t="str" cm="1">
        <f t="array" ref="E164">IFERROR(INDEX({"IMPEDITIVO"},MATCH(TRUE,ISNUMBER(FIND(SUBSTITUTE(SUBSTITUTE(UPPER({"IMPEDITIVO"})," ",""),":",": "),SUBSTITUTE(SUBSTITUTE(UPPER(S164)," ",""),":",": "))),0)),"-")</f>
        <v>-</v>
      </c>
      <c r="K164" s="49"/>
    </row>
    <row r="165" spans="1:11" x14ac:dyDescent="0.25">
      <c r="A165" s="46" t="str" cm="1">
        <f t="array" ref="A165">IFERROR(INDEX(#REF!,MATCH(TRUE,ISNUMBER(FIND(SUBSTITUTE(SUBSTITUTE(UPPER(#REF!)," ",""),":",": "),SUBSTITUTE(SUBSTITUTE(UPPER(S165)," ",""),":",": "))),0)),"Undefined")</f>
        <v>Undefined</v>
      </c>
      <c r="B165" s="42" t="str" cm="1">
        <f t="array" ref="B165">IFERROR(INDEX({"URGENTE"},MATCH(TRUE,ISNUMBER(FIND(SUBSTITUTE(SUBSTITUTE(UPPER({"URGENTE"})," ",""),":",": "),SUBSTITUTE(SUBSTITUTE(UPPER(S165)," ",""),":",": "))),0)),"-")</f>
        <v>-</v>
      </c>
      <c r="C165" s="46" t="str" cm="1">
        <f t="array" ref="C165">IFERROR(INDEX(#REF!,MATCH(TRUE,ISNUMBER(FIND(SUBSTITUTE(SUBSTITUTE(UPPER(#REF!)," ",""),":",": "),SUBSTITUTE(SUBSTITUTE(UPPER(S165)," ",""),":",": "))),0)),"Não encontrado")</f>
        <v>Não encontrado</v>
      </c>
      <c r="D165" s="46" t="str" cm="1">
        <f t="array" ref="D165">IFERROR(INDEX(#REF!,MATCH(TRUE,ISNUMBER(FIND(SUBSTITUTE(SUBSTITUTE(UPPER(#REF!)," ",""),":",": "),SUBSTITUTE(SUBSTITUTE(UPPER(S165)," ",""),":",": "))),0)),"Não encontrado")</f>
        <v>Não encontrado</v>
      </c>
      <c r="E165" s="42" t="str" cm="1">
        <f t="array" ref="E165">IFERROR(INDEX({"IMPEDITIVO"},MATCH(TRUE,ISNUMBER(FIND(SUBSTITUTE(SUBSTITUTE(UPPER({"IMPEDITIVO"})," ",""),":",": "),SUBSTITUTE(SUBSTITUTE(UPPER(S165)," ",""),":",": "))),0)),"-")</f>
        <v>-</v>
      </c>
      <c r="K165" s="49"/>
    </row>
    <row r="166" spans="1:11" x14ac:dyDescent="0.25">
      <c r="A166" s="46" t="str" cm="1">
        <f t="array" ref="A166">IFERROR(INDEX(#REF!,MATCH(TRUE,ISNUMBER(FIND(SUBSTITUTE(SUBSTITUTE(UPPER(#REF!)," ",""),":",": "),SUBSTITUTE(SUBSTITUTE(UPPER(S166)," ",""),":",": "))),0)),"Undefined")</f>
        <v>Undefined</v>
      </c>
      <c r="B166" s="42" t="str" cm="1">
        <f t="array" ref="B166">IFERROR(INDEX({"URGENTE"},MATCH(TRUE,ISNUMBER(FIND(SUBSTITUTE(SUBSTITUTE(UPPER({"URGENTE"})," ",""),":",": "),SUBSTITUTE(SUBSTITUTE(UPPER(S166)," ",""),":",": "))),0)),"-")</f>
        <v>-</v>
      </c>
      <c r="C166" s="46" t="str" cm="1">
        <f t="array" ref="C166">IFERROR(INDEX(#REF!,MATCH(TRUE,ISNUMBER(FIND(SUBSTITUTE(SUBSTITUTE(UPPER(#REF!)," ",""),":",": "),SUBSTITUTE(SUBSTITUTE(UPPER(S166)," ",""),":",": "))),0)),"Não encontrado")</f>
        <v>Não encontrado</v>
      </c>
      <c r="D166" s="46" t="str" cm="1">
        <f t="array" ref="D166">IFERROR(INDEX(#REF!,MATCH(TRUE,ISNUMBER(FIND(SUBSTITUTE(SUBSTITUTE(UPPER(#REF!)," ",""),":",": "),SUBSTITUTE(SUBSTITUTE(UPPER(S166)," ",""),":",": "))),0)),"Não encontrado")</f>
        <v>Não encontrado</v>
      </c>
      <c r="E166" s="42" t="str" cm="1">
        <f t="array" ref="E166">IFERROR(INDEX({"IMPEDITIVO"},MATCH(TRUE,ISNUMBER(FIND(SUBSTITUTE(SUBSTITUTE(UPPER({"IMPEDITIVO"})," ",""),":",": "),SUBSTITUTE(SUBSTITUTE(UPPER(S166)," ",""),":",": "))),0)),"-")</f>
        <v>-</v>
      </c>
      <c r="K166" s="49"/>
    </row>
    <row r="167" spans="1:11" x14ac:dyDescent="0.25">
      <c r="A167" s="46" t="str" cm="1">
        <f t="array" ref="A167">IFERROR(INDEX(#REF!,MATCH(TRUE,ISNUMBER(FIND(SUBSTITUTE(SUBSTITUTE(UPPER(#REF!)," ",""),":",": "),SUBSTITUTE(SUBSTITUTE(UPPER(S167)," ",""),":",": "))),0)),"Undefined")</f>
        <v>Undefined</v>
      </c>
      <c r="B167" s="42" t="str" cm="1">
        <f t="array" ref="B167">IFERROR(INDEX({"URGENTE"},MATCH(TRUE,ISNUMBER(FIND(SUBSTITUTE(SUBSTITUTE(UPPER({"URGENTE"})," ",""),":",": "),SUBSTITUTE(SUBSTITUTE(UPPER(S167)," ",""),":",": "))),0)),"-")</f>
        <v>-</v>
      </c>
      <c r="C167" s="46" t="str" cm="1">
        <f t="array" ref="C167">IFERROR(INDEX(#REF!,MATCH(TRUE,ISNUMBER(FIND(SUBSTITUTE(SUBSTITUTE(UPPER(#REF!)," ",""),":",": "),SUBSTITUTE(SUBSTITUTE(UPPER(S167)," ",""),":",": "))),0)),"Não encontrado")</f>
        <v>Não encontrado</v>
      </c>
      <c r="D167" s="46" t="str" cm="1">
        <f t="array" ref="D167">IFERROR(INDEX(#REF!,MATCH(TRUE,ISNUMBER(FIND(SUBSTITUTE(SUBSTITUTE(UPPER(#REF!)," ",""),":",": "),SUBSTITUTE(SUBSTITUTE(UPPER(S167)," ",""),":",": "))),0)),"Não encontrado")</f>
        <v>Não encontrado</v>
      </c>
      <c r="E167" s="42" t="str" cm="1">
        <f t="array" ref="E167">IFERROR(INDEX({"IMPEDITIVO"},MATCH(TRUE,ISNUMBER(FIND(SUBSTITUTE(SUBSTITUTE(UPPER({"IMPEDITIVO"})," ",""),":",": "),SUBSTITUTE(SUBSTITUTE(UPPER(S167)," ",""),":",": "))),0)),"-")</f>
        <v>-</v>
      </c>
      <c r="K167" s="49"/>
    </row>
    <row r="168" spans="1:11" x14ac:dyDescent="0.25">
      <c r="A168" s="46" t="str" cm="1">
        <f t="array" ref="A168">IFERROR(INDEX(#REF!,MATCH(TRUE,ISNUMBER(FIND(SUBSTITUTE(SUBSTITUTE(UPPER(#REF!)," ",""),":",": "),SUBSTITUTE(SUBSTITUTE(UPPER(S168)," ",""),":",": "))),0)),"Undefined")</f>
        <v>Undefined</v>
      </c>
      <c r="B168" s="42" t="str" cm="1">
        <f t="array" ref="B168">IFERROR(INDEX({"URGENTE"},MATCH(TRUE,ISNUMBER(FIND(SUBSTITUTE(SUBSTITUTE(UPPER({"URGENTE"})," ",""),":",": "),SUBSTITUTE(SUBSTITUTE(UPPER(S168)," ",""),":",": "))),0)),"-")</f>
        <v>-</v>
      </c>
      <c r="C168" s="46" t="str" cm="1">
        <f t="array" ref="C168">IFERROR(INDEX(#REF!,MATCH(TRUE,ISNUMBER(FIND(SUBSTITUTE(SUBSTITUTE(UPPER(#REF!)," ",""),":",": "),SUBSTITUTE(SUBSTITUTE(UPPER(S168)," ",""),":",": "))),0)),"Não encontrado")</f>
        <v>Não encontrado</v>
      </c>
      <c r="D168" s="46" t="str" cm="1">
        <f t="array" ref="D168">IFERROR(INDEX(#REF!,MATCH(TRUE,ISNUMBER(FIND(SUBSTITUTE(SUBSTITUTE(UPPER(#REF!)," ",""),":",": "),SUBSTITUTE(SUBSTITUTE(UPPER(S168)," ",""),":",": "))),0)),"Não encontrado")</f>
        <v>Não encontrado</v>
      </c>
      <c r="E168" s="42" t="str" cm="1">
        <f t="array" ref="E168">IFERROR(INDEX({"IMPEDITIVO"},MATCH(TRUE,ISNUMBER(FIND(SUBSTITUTE(SUBSTITUTE(UPPER({"IMPEDITIVO"})," ",""),":",": "),SUBSTITUTE(SUBSTITUTE(UPPER(S168)," ",""),":",": "))),0)),"-")</f>
        <v>-</v>
      </c>
      <c r="K168" s="49"/>
    </row>
    <row r="169" spans="1:11" x14ac:dyDescent="0.25">
      <c r="A169" s="46" t="str" cm="1">
        <f t="array" ref="A169">IFERROR(INDEX(#REF!,MATCH(TRUE,ISNUMBER(FIND(SUBSTITUTE(SUBSTITUTE(UPPER(#REF!)," ",""),":",": "),SUBSTITUTE(SUBSTITUTE(UPPER(S169)," ",""),":",": "))),0)),"Undefined")</f>
        <v>Undefined</v>
      </c>
      <c r="B169" s="42" t="str" cm="1">
        <f t="array" ref="B169">IFERROR(INDEX({"URGENTE"},MATCH(TRUE,ISNUMBER(FIND(SUBSTITUTE(SUBSTITUTE(UPPER({"URGENTE"})," ",""),":",": "),SUBSTITUTE(SUBSTITUTE(UPPER(S169)," ",""),":",": "))),0)),"-")</f>
        <v>-</v>
      </c>
      <c r="C169" s="46" t="str" cm="1">
        <f t="array" ref="C169">IFERROR(INDEX(#REF!,MATCH(TRUE,ISNUMBER(FIND(SUBSTITUTE(SUBSTITUTE(UPPER(#REF!)," ",""),":",": "),SUBSTITUTE(SUBSTITUTE(UPPER(S169)," ",""),":",": "))),0)),"Não encontrado")</f>
        <v>Não encontrado</v>
      </c>
      <c r="D169" s="46" t="str" cm="1">
        <f t="array" ref="D169">IFERROR(INDEX(#REF!,MATCH(TRUE,ISNUMBER(FIND(SUBSTITUTE(SUBSTITUTE(UPPER(#REF!)," ",""),":",": "),SUBSTITUTE(SUBSTITUTE(UPPER(S169)," ",""),":",": "))),0)),"Não encontrado")</f>
        <v>Não encontrado</v>
      </c>
      <c r="E169" s="42" t="str" cm="1">
        <f t="array" ref="E169">IFERROR(INDEX({"IMPEDITIVO"},MATCH(TRUE,ISNUMBER(FIND(SUBSTITUTE(SUBSTITUTE(UPPER({"IMPEDITIVO"})," ",""),":",": "),SUBSTITUTE(SUBSTITUTE(UPPER(S169)," ",""),":",": "))),0)),"-")</f>
        <v>-</v>
      </c>
      <c r="K169" s="49"/>
    </row>
    <row r="170" spans="1:11" x14ac:dyDescent="0.25">
      <c r="A170" s="46" t="str" cm="1">
        <f t="array" ref="A170">IFERROR(INDEX(#REF!,MATCH(TRUE,ISNUMBER(FIND(SUBSTITUTE(SUBSTITUTE(UPPER(#REF!)," ",""),":",": "),SUBSTITUTE(SUBSTITUTE(UPPER(S170)," ",""),":",": "))),0)),"Undefined")</f>
        <v>Undefined</v>
      </c>
      <c r="B170" s="42" t="str" cm="1">
        <f t="array" ref="B170">IFERROR(INDEX({"URGENTE"},MATCH(TRUE,ISNUMBER(FIND(SUBSTITUTE(SUBSTITUTE(UPPER({"URGENTE"})," ",""),":",": "),SUBSTITUTE(SUBSTITUTE(UPPER(S170)," ",""),":",": "))),0)),"-")</f>
        <v>-</v>
      </c>
      <c r="C170" s="46" t="str" cm="1">
        <f t="array" ref="C170">IFERROR(INDEX(#REF!,MATCH(TRUE,ISNUMBER(FIND(SUBSTITUTE(SUBSTITUTE(UPPER(#REF!)," ",""),":",": "),SUBSTITUTE(SUBSTITUTE(UPPER(S170)," ",""),":",": "))),0)),"Não encontrado")</f>
        <v>Não encontrado</v>
      </c>
      <c r="D170" s="46" t="str" cm="1">
        <f t="array" ref="D170">IFERROR(INDEX(#REF!,MATCH(TRUE,ISNUMBER(FIND(SUBSTITUTE(SUBSTITUTE(UPPER(#REF!)," ",""),":",": "),SUBSTITUTE(SUBSTITUTE(UPPER(S170)," ",""),":",": "))),0)),"Não encontrado")</f>
        <v>Não encontrado</v>
      </c>
      <c r="E170" s="42" t="str" cm="1">
        <f t="array" ref="E170">IFERROR(INDEX({"IMPEDITIVO"},MATCH(TRUE,ISNUMBER(FIND(SUBSTITUTE(SUBSTITUTE(UPPER({"IMPEDITIVO"})," ",""),":",": "),SUBSTITUTE(SUBSTITUTE(UPPER(S170)," ",""),":",": "))),0)),"-")</f>
        <v>-</v>
      </c>
      <c r="K170" s="49"/>
    </row>
    <row r="171" spans="1:11" x14ac:dyDescent="0.25">
      <c r="A171" s="46" t="str" cm="1">
        <f t="array" ref="A171">IFERROR(INDEX(#REF!,MATCH(TRUE,ISNUMBER(FIND(SUBSTITUTE(SUBSTITUTE(UPPER(#REF!)," ",""),":",": "),SUBSTITUTE(SUBSTITUTE(UPPER(S171)," ",""),":",": "))),0)),"Undefined")</f>
        <v>Undefined</v>
      </c>
      <c r="B171" s="42" t="str" cm="1">
        <f t="array" ref="B171">IFERROR(INDEX({"URGENTE"},MATCH(TRUE,ISNUMBER(FIND(SUBSTITUTE(SUBSTITUTE(UPPER({"URGENTE"})," ",""),":",": "),SUBSTITUTE(SUBSTITUTE(UPPER(S171)," ",""),":",": "))),0)),"-")</f>
        <v>-</v>
      </c>
      <c r="C171" s="46" t="str" cm="1">
        <f t="array" ref="C171">IFERROR(INDEX(#REF!,MATCH(TRUE,ISNUMBER(FIND(SUBSTITUTE(SUBSTITUTE(UPPER(#REF!)," ",""),":",": "),SUBSTITUTE(SUBSTITUTE(UPPER(S171)," ",""),":",": "))),0)),"Não encontrado")</f>
        <v>Não encontrado</v>
      </c>
      <c r="D171" s="46" t="str" cm="1">
        <f t="array" ref="D171">IFERROR(INDEX(#REF!,MATCH(TRUE,ISNUMBER(FIND(SUBSTITUTE(SUBSTITUTE(UPPER(#REF!)," ",""),":",": "),SUBSTITUTE(SUBSTITUTE(UPPER(S171)," ",""),":",": "))),0)),"Não encontrado")</f>
        <v>Não encontrado</v>
      </c>
      <c r="E171" s="42" t="str" cm="1">
        <f t="array" ref="E171">IFERROR(INDEX({"IMPEDITIVO"},MATCH(TRUE,ISNUMBER(FIND(SUBSTITUTE(SUBSTITUTE(UPPER({"IMPEDITIVO"})," ",""),":",": "),SUBSTITUTE(SUBSTITUTE(UPPER(S171)," ",""),":",": "))),0)),"-")</f>
        <v>-</v>
      </c>
      <c r="K171" s="49"/>
    </row>
    <row r="172" spans="1:11" x14ac:dyDescent="0.25">
      <c r="A172" s="46" t="str" cm="1">
        <f t="array" ref="A172">IFERROR(INDEX(#REF!,MATCH(TRUE,ISNUMBER(FIND(SUBSTITUTE(SUBSTITUTE(UPPER(#REF!)," ",""),":",": "),SUBSTITUTE(SUBSTITUTE(UPPER(S172)," ",""),":",": "))),0)),"Undefined")</f>
        <v>Undefined</v>
      </c>
      <c r="B172" s="42" t="str" cm="1">
        <f t="array" ref="B172">IFERROR(INDEX({"URGENTE"},MATCH(TRUE,ISNUMBER(FIND(SUBSTITUTE(SUBSTITUTE(UPPER({"URGENTE"})," ",""),":",": "),SUBSTITUTE(SUBSTITUTE(UPPER(S172)," ",""),":",": "))),0)),"-")</f>
        <v>-</v>
      </c>
      <c r="C172" s="46" t="str" cm="1">
        <f t="array" ref="C172">IFERROR(INDEX(#REF!,MATCH(TRUE,ISNUMBER(FIND(SUBSTITUTE(SUBSTITUTE(UPPER(#REF!)," ",""),":",": "),SUBSTITUTE(SUBSTITUTE(UPPER(S172)," ",""),":",": "))),0)),"Não encontrado")</f>
        <v>Não encontrado</v>
      </c>
      <c r="D172" s="46" t="str" cm="1">
        <f t="array" ref="D172">IFERROR(INDEX(#REF!,MATCH(TRUE,ISNUMBER(FIND(SUBSTITUTE(SUBSTITUTE(UPPER(#REF!)," ",""),":",": "),SUBSTITUTE(SUBSTITUTE(UPPER(S172)," ",""),":",": "))),0)),"Não encontrado")</f>
        <v>Não encontrado</v>
      </c>
      <c r="E172" s="42" t="str" cm="1">
        <f t="array" ref="E172">IFERROR(INDEX({"IMPEDITIVO"},MATCH(TRUE,ISNUMBER(FIND(SUBSTITUTE(SUBSTITUTE(UPPER({"IMPEDITIVO"})," ",""),":",": "),SUBSTITUTE(SUBSTITUTE(UPPER(S172)," ",""),":",": "))),0)),"-")</f>
        <v>-</v>
      </c>
      <c r="K172" s="49"/>
    </row>
    <row r="173" spans="1:11" x14ac:dyDescent="0.25">
      <c r="A173" s="46" t="str" cm="1">
        <f t="array" ref="A173">IFERROR(INDEX(#REF!,MATCH(TRUE,ISNUMBER(FIND(SUBSTITUTE(SUBSTITUTE(UPPER(#REF!)," ",""),":",": "),SUBSTITUTE(SUBSTITUTE(UPPER(S173)," ",""),":",": "))),0)),"Undefined")</f>
        <v>Undefined</v>
      </c>
      <c r="B173" s="42" t="str" cm="1">
        <f t="array" ref="B173">IFERROR(INDEX({"URGENTE"},MATCH(TRUE,ISNUMBER(FIND(SUBSTITUTE(SUBSTITUTE(UPPER({"URGENTE"})," ",""),":",": "),SUBSTITUTE(SUBSTITUTE(UPPER(S173)," ",""),":",": "))),0)),"-")</f>
        <v>-</v>
      </c>
      <c r="C173" s="46" t="str" cm="1">
        <f t="array" ref="C173">IFERROR(INDEX(#REF!,MATCH(TRUE,ISNUMBER(FIND(SUBSTITUTE(SUBSTITUTE(UPPER(#REF!)," ",""),":",": "),SUBSTITUTE(SUBSTITUTE(UPPER(S173)," ",""),":",": "))),0)),"Não encontrado")</f>
        <v>Não encontrado</v>
      </c>
      <c r="D173" s="46" t="str" cm="1">
        <f t="array" ref="D173">IFERROR(INDEX(#REF!,MATCH(TRUE,ISNUMBER(FIND(SUBSTITUTE(SUBSTITUTE(UPPER(#REF!)," ",""),":",": "),SUBSTITUTE(SUBSTITUTE(UPPER(S173)," ",""),":",": "))),0)),"Não encontrado")</f>
        <v>Não encontrado</v>
      </c>
      <c r="E173" s="42" t="str" cm="1">
        <f t="array" ref="E173">IFERROR(INDEX({"IMPEDITIVO"},MATCH(TRUE,ISNUMBER(FIND(SUBSTITUTE(SUBSTITUTE(UPPER({"IMPEDITIVO"})," ",""),":",": "),SUBSTITUTE(SUBSTITUTE(UPPER(S173)," ",""),":",": "))),0)),"-")</f>
        <v>-</v>
      </c>
      <c r="K173" s="49"/>
    </row>
    <row r="174" spans="1:11" x14ac:dyDescent="0.25">
      <c r="A174" s="46" t="str" cm="1">
        <f t="array" ref="A174">IFERROR(INDEX(#REF!,MATCH(TRUE,ISNUMBER(FIND(SUBSTITUTE(SUBSTITUTE(UPPER(#REF!)," ",""),":",": "),SUBSTITUTE(SUBSTITUTE(UPPER(S174)," ",""),":",": "))),0)),"Undefined")</f>
        <v>Undefined</v>
      </c>
      <c r="B174" s="42" t="str" cm="1">
        <f t="array" ref="B174">IFERROR(INDEX({"URGENTE"},MATCH(TRUE,ISNUMBER(FIND(SUBSTITUTE(SUBSTITUTE(UPPER({"URGENTE"})," ",""),":",": "),SUBSTITUTE(SUBSTITUTE(UPPER(S174)," ",""),":",": "))),0)),"-")</f>
        <v>-</v>
      </c>
      <c r="C174" s="46" t="str" cm="1">
        <f t="array" ref="C174">IFERROR(INDEX(#REF!,MATCH(TRUE,ISNUMBER(FIND(SUBSTITUTE(SUBSTITUTE(UPPER(#REF!)," ",""),":",": "),SUBSTITUTE(SUBSTITUTE(UPPER(S174)," ",""),":",": "))),0)),"Não encontrado")</f>
        <v>Não encontrado</v>
      </c>
      <c r="D174" s="46" t="str" cm="1">
        <f t="array" ref="D174">IFERROR(INDEX(#REF!,MATCH(TRUE,ISNUMBER(FIND(SUBSTITUTE(SUBSTITUTE(UPPER(#REF!)," ",""),":",": "),SUBSTITUTE(SUBSTITUTE(UPPER(S174)," ",""),":",": "))),0)),"Não encontrado")</f>
        <v>Não encontrado</v>
      </c>
      <c r="E174" s="42" t="str" cm="1">
        <f t="array" ref="E174">IFERROR(INDEX({"IMPEDITIVO"},MATCH(TRUE,ISNUMBER(FIND(SUBSTITUTE(SUBSTITUTE(UPPER({"IMPEDITIVO"})," ",""),":",": "),SUBSTITUTE(SUBSTITUTE(UPPER(S174)," ",""),":",": "))),0)),"-")</f>
        <v>-</v>
      </c>
      <c r="K174" s="49"/>
    </row>
    <row r="175" spans="1:11" x14ac:dyDescent="0.25">
      <c r="A175" s="46" t="str" cm="1">
        <f t="array" ref="A175">IFERROR(INDEX(#REF!,MATCH(TRUE,ISNUMBER(FIND(SUBSTITUTE(SUBSTITUTE(UPPER(#REF!)," ",""),":",": "),SUBSTITUTE(SUBSTITUTE(UPPER(S175)," ",""),":",": "))),0)),"Undefined")</f>
        <v>Undefined</v>
      </c>
      <c r="B175" s="42" t="str" cm="1">
        <f t="array" ref="B175">IFERROR(INDEX({"URGENTE"},MATCH(TRUE,ISNUMBER(FIND(SUBSTITUTE(SUBSTITUTE(UPPER({"URGENTE"})," ",""),":",": "),SUBSTITUTE(SUBSTITUTE(UPPER(S175)," ",""),":",": "))),0)),"-")</f>
        <v>-</v>
      </c>
      <c r="C175" s="46" t="str" cm="1">
        <f t="array" ref="C175">IFERROR(INDEX(#REF!,MATCH(TRUE,ISNUMBER(FIND(SUBSTITUTE(SUBSTITUTE(UPPER(#REF!)," ",""),":",": "),SUBSTITUTE(SUBSTITUTE(UPPER(S175)," ",""),":",": "))),0)),"Não encontrado")</f>
        <v>Não encontrado</v>
      </c>
      <c r="D175" s="46" t="str" cm="1">
        <f t="array" ref="D175">IFERROR(INDEX(#REF!,MATCH(TRUE,ISNUMBER(FIND(SUBSTITUTE(SUBSTITUTE(UPPER(#REF!)," ",""),":",": "),SUBSTITUTE(SUBSTITUTE(UPPER(S175)," ",""),":",": "))),0)),"Não encontrado")</f>
        <v>Não encontrado</v>
      </c>
      <c r="E175" s="42" t="str" cm="1">
        <f t="array" ref="E175">IFERROR(INDEX({"IMPEDITIVO"},MATCH(TRUE,ISNUMBER(FIND(SUBSTITUTE(SUBSTITUTE(UPPER({"IMPEDITIVO"})," ",""),":",": "),SUBSTITUTE(SUBSTITUTE(UPPER(S175)," ",""),":",": "))),0)),"-")</f>
        <v>-</v>
      </c>
      <c r="K175" s="49"/>
    </row>
    <row r="176" spans="1:11" x14ac:dyDescent="0.25">
      <c r="A176" s="46" t="str" cm="1">
        <f t="array" ref="A176">IFERROR(INDEX(#REF!,MATCH(TRUE,ISNUMBER(FIND(SUBSTITUTE(SUBSTITUTE(UPPER(#REF!)," ",""),":",": "),SUBSTITUTE(SUBSTITUTE(UPPER(S176)," ",""),":",": "))),0)),"Undefined")</f>
        <v>Undefined</v>
      </c>
      <c r="B176" s="42" t="str" cm="1">
        <f t="array" ref="B176">IFERROR(INDEX({"URGENTE"},MATCH(TRUE,ISNUMBER(FIND(SUBSTITUTE(SUBSTITUTE(UPPER({"URGENTE"})," ",""),":",": "),SUBSTITUTE(SUBSTITUTE(UPPER(S176)," ",""),":",": "))),0)),"-")</f>
        <v>-</v>
      </c>
      <c r="C176" s="46" t="str" cm="1">
        <f t="array" ref="C176">IFERROR(INDEX(#REF!,MATCH(TRUE,ISNUMBER(FIND(SUBSTITUTE(SUBSTITUTE(UPPER(#REF!)," ",""),":",": "),SUBSTITUTE(SUBSTITUTE(UPPER(S176)," ",""),":",": "))),0)),"Não encontrado")</f>
        <v>Não encontrado</v>
      </c>
      <c r="D176" s="46" t="str" cm="1">
        <f t="array" ref="D176">IFERROR(INDEX(#REF!,MATCH(TRUE,ISNUMBER(FIND(SUBSTITUTE(SUBSTITUTE(UPPER(#REF!)," ",""),":",": "),SUBSTITUTE(SUBSTITUTE(UPPER(S176)," ",""),":",": "))),0)),"Não encontrado")</f>
        <v>Não encontrado</v>
      </c>
      <c r="E176" s="42" t="str" cm="1">
        <f t="array" ref="E176">IFERROR(INDEX({"IMPEDITIVO"},MATCH(TRUE,ISNUMBER(FIND(SUBSTITUTE(SUBSTITUTE(UPPER({"IMPEDITIVO"})," ",""),":",": "),SUBSTITUTE(SUBSTITUTE(UPPER(S176)," ",""),":",": "))),0)),"-")</f>
        <v>-</v>
      </c>
      <c r="K176" s="49"/>
    </row>
    <row r="177" spans="1:11" x14ac:dyDescent="0.25">
      <c r="A177" s="46" t="str" cm="1">
        <f t="array" ref="A177">IFERROR(INDEX(#REF!,MATCH(TRUE,ISNUMBER(FIND(SUBSTITUTE(SUBSTITUTE(UPPER(#REF!)," ",""),":",": "),SUBSTITUTE(SUBSTITUTE(UPPER(S177)," ",""),":",": "))),0)),"Undefined")</f>
        <v>Undefined</v>
      </c>
      <c r="B177" s="42" t="str" cm="1">
        <f t="array" ref="B177">IFERROR(INDEX({"URGENTE"},MATCH(TRUE,ISNUMBER(FIND(SUBSTITUTE(SUBSTITUTE(UPPER({"URGENTE"})," ",""),":",": "),SUBSTITUTE(SUBSTITUTE(UPPER(S177)," ",""),":",": "))),0)),"-")</f>
        <v>-</v>
      </c>
      <c r="C177" s="46" t="str" cm="1">
        <f t="array" ref="C177">IFERROR(INDEX(#REF!,MATCH(TRUE,ISNUMBER(FIND(SUBSTITUTE(SUBSTITUTE(UPPER(#REF!)," ",""),":",": "),SUBSTITUTE(SUBSTITUTE(UPPER(S177)," ",""),":",": "))),0)),"Não encontrado")</f>
        <v>Não encontrado</v>
      </c>
      <c r="D177" s="46" t="str" cm="1">
        <f t="array" ref="D177">IFERROR(INDEX(#REF!,MATCH(TRUE,ISNUMBER(FIND(SUBSTITUTE(SUBSTITUTE(UPPER(#REF!)," ",""),":",": "),SUBSTITUTE(SUBSTITUTE(UPPER(S177)," ",""),":",": "))),0)),"Não encontrado")</f>
        <v>Não encontrado</v>
      </c>
      <c r="E177" s="42" t="str" cm="1">
        <f t="array" ref="E177">IFERROR(INDEX({"IMPEDITIVO"},MATCH(TRUE,ISNUMBER(FIND(SUBSTITUTE(SUBSTITUTE(UPPER({"IMPEDITIVO"})," ",""),":",": "),SUBSTITUTE(SUBSTITUTE(UPPER(S177)," ",""),":",": "))),0)),"-")</f>
        <v>-</v>
      </c>
      <c r="K177" s="49"/>
    </row>
    <row r="178" spans="1:11" x14ac:dyDescent="0.25">
      <c r="A178" s="46" t="str" cm="1">
        <f t="array" ref="A178">IFERROR(INDEX(#REF!,MATCH(TRUE,ISNUMBER(FIND(SUBSTITUTE(SUBSTITUTE(UPPER(#REF!)," ",""),":",": "),SUBSTITUTE(SUBSTITUTE(UPPER(S178)," ",""),":",": "))),0)),"Undefined")</f>
        <v>Undefined</v>
      </c>
      <c r="B178" s="42" t="str" cm="1">
        <f t="array" ref="B178">IFERROR(INDEX({"URGENTE"},MATCH(TRUE,ISNUMBER(FIND(SUBSTITUTE(SUBSTITUTE(UPPER({"URGENTE"})," ",""),":",": "),SUBSTITUTE(SUBSTITUTE(UPPER(S178)," ",""),":",": "))),0)),"-")</f>
        <v>-</v>
      </c>
      <c r="C178" s="46" t="str" cm="1">
        <f t="array" ref="C178">IFERROR(INDEX(#REF!,MATCH(TRUE,ISNUMBER(FIND(SUBSTITUTE(SUBSTITUTE(UPPER(#REF!)," ",""),":",": "),SUBSTITUTE(SUBSTITUTE(UPPER(S178)," ",""),":",": "))),0)),"Não encontrado")</f>
        <v>Não encontrado</v>
      </c>
      <c r="D178" s="46" t="str" cm="1">
        <f t="array" ref="D178">IFERROR(INDEX(#REF!,MATCH(TRUE,ISNUMBER(FIND(SUBSTITUTE(SUBSTITUTE(UPPER(#REF!)," ",""),":",": "),SUBSTITUTE(SUBSTITUTE(UPPER(S178)," ",""),":",": "))),0)),"Não encontrado")</f>
        <v>Não encontrado</v>
      </c>
      <c r="E178" s="42" t="str" cm="1">
        <f t="array" ref="E178">IFERROR(INDEX({"IMPEDITIVO"},MATCH(TRUE,ISNUMBER(FIND(SUBSTITUTE(SUBSTITUTE(UPPER({"IMPEDITIVO"})," ",""),":",": "),SUBSTITUTE(SUBSTITUTE(UPPER(S178)," ",""),":",": "))),0)),"-")</f>
        <v>-</v>
      </c>
      <c r="K178" s="49"/>
    </row>
    <row r="179" spans="1:11" x14ac:dyDescent="0.25">
      <c r="A179" s="46" t="str" cm="1">
        <f t="array" ref="A179">IFERROR(INDEX(#REF!,MATCH(TRUE,ISNUMBER(FIND(SUBSTITUTE(SUBSTITUTE(UPPER(#REF!)," ",""),":",": "),SUBSTITUTE(SUBSTITUTE(UPPER(S179)," ",""),":",": "))),0)),"Undefined")</f>
        <v>Undefined</v>
      </c>
      <c r="B179" s="42" t="str" cm="1">
        <f t="array" ref="B179">IFERROR(INDEX({"URGENTE"},MATCH(TRUE,ISNUMBER(FIND(SUBSTITUTE(SUBSTITUTE(UPPER({"URGENTE"})," ",""),":",": "),SUBSTITUTE(SUBSTITUTE(UPPER(S179)," ",""),":",": "))),0)),"-")</f>
        <v>-</v>
      </c>
      <c r="C179" s="46" t="str" cm="1">
        <f t="array" ref="C179">IFERROR(INDEX(#REF!,MATCH(TRUE,ISNUMBER(FIND(SUBSTITUTE(SUBSTITUTE(UPPER(#REF!)," ",""),":",": "),SUBSTITUTE(SUBSTITUTE(UPPER(S179)," ",""),":",": "))),0)),"Não encontrado")</f>
        <v>Não encontrado</v>
      </c>
      <c r="D179" s="46" t="str" cm="1">
        <f t="array" ref="D179">IFERROR(INDEX(#REF!,MATCH(TRUE,ISNUMBER(FIND(SUBSTITUTE(SUBSTITUTE(UPPER(#REF!)," ",""),":",": "),SUBSTITUTE(SUBSTITUTE(UPPER(S179)," ",""),":",": "))),0)),"Não encontrado")</f>
        <v>Não encontrado</v>
      </c>
      <c r="E179" s="42" t="str" cm="1">
        <f t="array" ref="E179">IFERROR(INDEX({"IMPEDITIVO"},MATCH(TRUE,ISNUMBER(FIND(SUBSTITUTE(SUBSTITUTE(UPPER({"IMPEDITIVO"})," ",""),":",": "),SUBSTITUTE(SUBSTITUTE(UPPER(S179)," ",""),":",": "))),0)),"-")</f>
        <v>-</v>
      </c>
      <c r="K179" s="49"/>
    </row>
    <row r="180" spans="1:11" x14ac:dyDescent="0.25">
      <c r="A180" s="46" t="str" cm="1">
        <f t="array" ref="A180">IFERROR(INDEX(#REF!,MATCH(TRUE,ISNUMBER(FIND(SUBSTITUTE(SUBSTITUTE(UPPER(#REF!)," ",""),":",": "),SUBSTITUTE(SUBSTITUTE(UPPER(S180)," ",""),":",": "))),0)),"Undefined")</f>
        <v>Undefined</v>
      </c>
      <c r="B180" s="42" t="str" cm="1">
        <f t="array" ref="B180">IFERROR(INDEX({"URGENTE"},MATCH(TRUE,ISNUMBER(FIND(SUBSTITUTE(SUBSTITUTE(UPPER({"URGENTE"})," ",""),":",": "),SUBSTITUTE(SUBSTITUTE(UPPER(S180)," ",""),":",": "))),0)),"-")</f>
        <v>-</v>
      </c>
      <c r="C180" s="46" t="str" cm="1">
        <f t="array" ref="C180">IFERROR(INDEX(#REF!,MATCH(TRUE,ISNUMBER(FIND(SUBSTITUTE(SUBSTITUTE(UPPER(#REF!)," ",""),":",": "),SUBSTITUTE(SUBSTITUTE(UPPER(S180)," ",""),":",": "))),0)),"Não encontrado")</f>
        <v>Não encontrado</v>
      </c>
      <c r="D180" s="46" t="str" cm="1">
        <f t="array" ref="D180">IFERROR(INDEX(#REF!,MATCH(TRUE,ISNUMBER(FIND(SUBSTITUTE(SUBSTITUTE(UPPER(#REF!)," ",""),":",": "),SUBSTITUTE(SUBSTITUTE(UPPER(S180)," ",""),":",": "))),0)),"Não encontrado")</f>
        <v>Não encontrado</v>
      </c>
      <c r="E180" s="42" t="str" cm="1">
        <f t="array" ref="E180">IFERROR(INDEX({"IMPEDITIVO"},MATCH(TRUE,ISNUMBER(FIND(SUBSTITUTE(SUBSTITUTE(UPPER({"IMPEDITIVO"})," ",""),":",": "),SUBSTITUTE(SUBSTITUTE(UPPER(S180)," ",""),":",": "))),0)),"-")</f>
        <v>-</v>
      </c>
      <c r="K180" s="49"/>
    </row>
    <row r="181" spans="1:11" x14ac:dyDescent="0.25">
      <c r="A181" s="46" t="str" cm="1">
        <f t="array" ref="A181">IFERROR(INDEX(#REF!,MATCH(TRUE,ISNUMBER(FIND(SUBSTITUTE(SUBSTITUTE(UPPER(#REF!)," ",""),":",": "),SUBSTITUTE(SUBSTITUTE(UPPER(S181)," ",""),":",": "))),0)),"Undefined")</f>
        <v>Undefined</v>
      </c>
      <c r="B181" s="42" t="str" cm="1">
        <f t="array" ref="B181">IFERROR(INDEX({"URGENTE"},MATCH(TRUE,ISNUMBER(FIND(SUBSTITUTE(SUBSTITUTE(UPPER({"URGENTE"})," ",""),":",": "),SUBSTITUTE(SUBSTITUTE(UPPER(S181)," ",""),":",": "))),0)),"-")</f>
        <v>-</v>
      </c>
      <c r="C181" s="46" t="str" cm="1">
        <f t="array" ref="C181">IFERROR(INDEX(#REF!,MATCH(TRUE,ISNUMBER(FIND(SUBSTITUTE(SUBSTITUTE(UPPER(#REF!)," ",""),":",": "),SUBSTITUTE(SUBSTITUTE(UPPER(S181)," ",""),":",": "))),0)),"Não encontrado")</f>
        <v>Não encontrado</v>
      </c>
      <c r="D181" s="46" t="str" cm="1">
        <f t="array" ref="D181">IFERROR(INDEX(#REF!,MATCH(TRUE,ISNUMBER(FIND(SUBSTITUTE(SUBSTITUTE(UPPER(#REF!)," ",""),":",": "),SUBSTITUTE(SUBSTITUTE(UPPER(S181)," ",""),":",": "))),0)),"Não encontrado")</f>
        <v>Não encontrado</v>
      </c>
      <c r="E181" s="42" t="str" cm="1">
        <f t="array" ref="E181">IFERROR(INDEX({"IMPEDITIVO"},MATCH(TRUE,ISNUMBER(FIND(SUBSTITUTE(SUBSTITUTE(UPPER({"IMPEDITIVO"})," ",""),":",": "),SUBSTITUTE(SUBSTITUTE(UPPER(S181)," ",""),":",": "))),0)),"-")</f>
        <v>-</v>
      </c>
      <c r="K181" s="49"/>
    </row>
    <row r="182" spans="1:11" x14ac:dyDescent="0.25">
      <c r="A182" s="46" t="str" cm="1">
        <f t="array" ref="A182">IFERROR(INDEX(#REF!,MATCH(TRUE,ISNUMBER(FIND(SUBSTITUTE(SUBSTITUTE(UPPER(#REF!)," ",""),":",": "),SUBSTITUTE(SUBSTITUTE(UPPER(S182)," ",""),":",": "))),0)),"Undefined")</f>
        <v>Undefined</v>
      </c>
      <c r="B182" s="42" t="str" cm="1">
        <f t="array" ref="B182">IFERROR(INDEX({"URGENTE"},MATCH(TRUE,ISNUMBER(FIND(SUBSTITUTE(SUBSTITUTE(UPPER({"URGENTE"})," ",""),":",": "),SUBSTITUTE(SUBSTITUTE(UPPER(S182)," ",""),":",": "))),0)),"-")</f>
        <v>-</v>
      </c>
      <c r="C182" s="46" t="str" cm="1">
        <f t="array" ref="C182">IFERROR(INDEX(#REF!,MATCH(TRUE,ISNUMBER(FIND(SUBSTITUTE(SUBSTITUTE(UPPER(#REF!)," ",""),":",": "),SUBSTITUTE(SUBSTITUTE(UPPER(S182)," ",""),":",": "))),0)),"Não encontrado")</f>
        <v>Não encontrado</v>
      </c>
      <c r="D182" s="46" t="str" cm="1">
        <f t="array" ref="D182">IFERROR(INDEX(#REF!,MATCH(TRUE,ISNUMBER(FIND(SUBSTITUTE(SUBSTITUTE(UPPER(#REF!)," ",""),":",": "),SUBSTITUTE(SUBSTITUTE(UPPER(S182)," ",""),":",": "))),0)),"Não encontrado")</f>
        <v>Não encontrado</v>
      </c>
      <c r="E182" s="42" t="str" cm="1">
        <f t="array" ref="E182">IFERROR(INDEX({"IMPEDITIVO"},MATCH(TRUE,ISNUMBER(FIND(SUBSTITUTE(SUBSTITUTE(UPPER({"IMPEDITIVO"})," ",""),":",": "),SUBSTITUTE(SUBSTITUTE(UPPER(S182)," ",""),":",": "))),0)),"-")</f>
        <v>-</v>
      </c>
      <c r="K182" s="49"/>
    </row>
    <row r="183" spans="1:11" x14ac:dyDescent="0.25">
      <c r="A183" s="46" t="str" cm="1">
        <f t="array" ref="A183">IFERROR(INDEX(#REF!,MATCH(TRUE,ISNUMBER(FIND(SUBSTITUTE(SUBSTITUTE(UPPER(#REF!)," ",""),":",": "),SUBSTITUTE(SUBSTITUTE(UPPER(S183)," ",""),":",": "))),0)),"Undefined")</f>
        <v>Undefined</v>
      </c>
      <c r="B183" s="42" t="str" cm="1">
        <f t="array" ref="B183">IFERROR(INDEX({"URGENTE"},MATCH(TRUE,ISNUMBER(FIND(SUBSTITUTE(SUBSTITUTE(UPPER({"URGENTE"})," ",""),":",": "),SUBSTITUTE(SUBSTITUTE(UPPER(S183)," ",""),":",": "))),0)),"-")</f>
        <v>-</v>
      </c>
      <c r="C183" s="46" t="str" cm="1">
        <f t="array" ref="C183">IFERROR(INDEX(#REF!,MATCH(TRUE,ISNUMBER(FIND(SUBSTITUTE(SUBSTITUTE(UPPER(#REF!)," ",""),":",": "),SUBSTITUTE(SUBSTITUTE(UPPER(S183)," ",""),":",": "))),0)),"Não encontrado")</f>
        <v>Não encontrado</v>
      </c>
      <c r="D183" s="46" t="str" cm="1">
        <f t="array" ref="D183">IFERROR(INDEX(#REF!,MATCH(TRUE,ISNUMBER(FIND(SUBSTITUTE(SUBSTITUTE(UPPER(#REF!)," ",""),":",": "),SUBSTITUTE(SUBSTITUTE(UPPER(S183)," ",""),":",": "))),0)),"Não encontrado")</f>
        <v>Não encontrado</v>
      </c>
      <c r="E183" s="42" t="str" cm="1">
        <f t="array" ref="E183">IFERROR(INDEX({"IMPEDITIVO"},MATCH(TRUE,ISNUMBER(FIND(SUBSTITUTE(SUBSTITUTE(UPPER({"IMPEDITIVO"})," ",""),":",": "),SUBSTITUTE(SUBSTITUTE(UPPER(S183)," ",""),":",": "))),0)),"-")</f>
        <v>-</v>
      </c>
      <c r="K183" s="49"/>
    </row>
    <row r="184" spans="1:11" x14ac:dyDescent="0.25">
      <c r="A184" s="46" t="str" cm="1">
        <f t="array" ref="A184">IFERROR(INDEX(#REF!,MATCH(TRUE,ISNUMBER(FIND(SUBSTITUTE(SUBSTITUTE(UPPER(#REF!)," ",""),":",": "),SUBSTITUTE(SUBSTITUTE(UPPER(S184)," ",""),":",": "))),0)),"Undefined")</f>
        <v>Undefined</v>
      </c>
      <c r="B184" s="42" t="str" cm="1">
        <f t="array" ref="B184">IFERROR(INDEX({"URGENTE"},MATCH(TRUE,ISNUMBER(FIND(SUBSTITUTE(SUBSTITUTE(UPPER({"URGENTE"})," ",""),":",": "),SUBSTITUTE(SUBSTITUTE(UPPER(S184)," ",""),":",": "))),0)),"-")</f>
        <v>-</v>
      </c>
      <c r="C184" s="46" t="str" cm="1">
        <f t="array" ref="C184">IFERROR(INDEX(#REF!,MATCH(TRUE,ISNUMBER(FIND(SUBSTITUTE(SUBSTITUTE(UPPER(#REF!)," ",""),":",": "),SUBSTITUTE(SUBSTITUTE(UPPER(S184)," ",""),":",": "))),0)),"Não encontrado")</f>
        <v>Não encontrado</v>
      </c>
      <c r="D184" s="46" t="str" cm="1">
        <f t="array" ref="D184">IFERROR(INDEX(#REF!,MATCH(TRUE,ISNUMBER(FIND(SUBSTITUTE(SUBSTITUTE(UPPER(#REF!)," ",""),":",": "),SUBSTITUTE(SUBSTITUTE(UPPER(S184)," ",""),":",": "))),0)),"Não encontrado")</f>
        <v>Não encontrado</v>
      </c>
      <c r="E184" s="42" t="str" cm="1">
        <f t="array" ref="E184">IFERROR(INDEX({"IMPEDITIVO"},MATCH(TRUE,ISNUMBER(FIND(SUBSTITUTE(SUBSTITUTE(UPPER({"IMPEDITIVO"})," ",""),":",": "),SUBSTITUTE(SUBSTITUTE(UPPER(S184)," ",""),":",": "))),0)),"-")</f>
        <v>-</v>
      </c>
      <c r="K184" s="49"/>
    </row>
    <row r="185" spans="1:11" x14ac:dyDescent="0.25">
      <c r="A185" s="46" t="str" cm="1">
        <f t="array" ref="A185">IFERROR(INDEX(#REF!,MATCH(TRUE,ISNUMBER(FIND(SUBSTITUTE(SUBSTITUTE(UPPER(#REF!)," ",""),":",": "),SUBSTITUTE(SUBSTITUTE(UPPER(S185)," ",""),":",": "))),0)),"Undefined")</f>
        <v>Undefined</v>
      </c>
      <c r="B185" s="42" t="str" cm="1">
        <f t="array" ref="B185">IFERROR(INDEX({"URGENTE"},MATCH(TRUE,ISNUMBER(FIND(SUBSTITUTE(SUBSTITUTE(UPPER({"URGENTE"})," ",""),":",": "),SUBSTITUTE(SUBSTITUTE(UPPER(S185)," ",""),":",": "))),0)),"-")</f>
        <v>-</v>
      </c>
      <c r="C185" s="46" t="str" cm="1">
        <f t="array" ref="C185">IFERROR(INDEX(#REF!,MATCH(TRUE,ISNUMBER(FIND(SUBSTITUTE(SUBSTITUTE(UPPER(#REF!)," ",""),":",": "),SUBSTITUTE(SUBSTITUTE(UPPER(S185)," ",""),":",": "))),0)),"Não encontrado")</f>
        <v>Não encontrado</v>
      </c>
      <c r="D185" s="46" t="str" cm="1">
        <f t="array" ref="D185">IFERROR(INDEX(#REF!,MATCH(TRUE,ISNUMBER(FIND(SUBSTITUTE(SUBSTITUTE(UPPER(#REF!)," ",""),":",": "),SUBSTITUTE(SUBSTITUTE(UPPER(S185)," ",""),":",": "))),0)),"Não encontrado")</f>
        <v>Não encontrado</v>
      </c>
      <c r="E185" s="42" t="str" cm="1">
        <f t="array" ref="E185">IFERROR(INDEX({"IMPEDITIVO"},MATCH(TRUE,ISNUMBER(FIND(SUBSTITUTE(SUBSTITUTE(UPPER({"IMPEDITIVO"})," ",""),":",": "),SUBSTITUTE(SUBSTITUTE(UPPER(S185)," ",""),":",": "))),0)),"-")</f>
        <v>-</v>
      </c>
      <c r="K185" s="49"/>
    </row>
    <row r="186" spans="1:11" x14ac:dyDescent="0.25">
      <c r="A186" s="46" t="str" cm="1">
        <f t="array" ref="A186">IFERROR(INDEX(#REF!,MATCH(TRUE,ISNUMBER(FIND(SUBSTITUTE(SUBSTITUTE(UPPER(#REF!)," ",""),":",": "),SUBSTITUTE(SUBSTITUTE(UPPER(S186)," ",""),":",": "))),0)),"Undefined")</f>
        <v>Undefined</v>
      </c>
      <c r="B186" s="42" t="str" cm="1">
        <f t="array" ref="B186">IFERROR(INDEX({"URGENTE"},MATCH(TRUE,ISNUMBER(FIND(SUBSTITUTE(SUBSTITUTE(UPPER({"URGENTE"})," ",""),":",": "),SUBSTITUTE(SUBSTITUTE(UPPER(S186)," ",""),":",": "))),0)),"-")</f>
        <v>-</v>
      </c>
      <c r="C186" s="46" t="str" cm="1">
        <f t="array" ref="C186">IFERROR(INDEX(#REF!,MATCH(TRUE,ISNUMBER(FIND(SUBSTITUTE(SUBSTITUTE(UPPER(#REF!)," ",""),":",": "),SUBSTITUTE(SUBSTITUTE(UPPER(S186)," ",""),":",": "))),0)),"Não encontrado")</f>
        <v>Não encontrado</v>
      </c>
      <c r="D186" s="46" t="str" cm="1">
        <f t="array" ref="D186">IFERROR(INDEX(#REF!,MATCH(TRUE,ISNUMBER(FIND(SUBSTITUTE(SUBSTITUTE(UPPER(#REF!)," ",""),":",": "),SUBSTITUTE(SUBSTITUTE(UPPER(S186)," ",""),":",": "))),0)),"Não encontrado")</f>
        <v>Não encontrado</v>
      </c>
      <c r="E186" s="42" t="str" cm="1">
        <f t="array" ref="E186">IFERROR(INDEX({"IMPEDITIVO"},MATCH(TRUE,ISNUMBER(FIND(SUBSTITUTE(SUBSTITUTE(UPPER({"IMPEDITIVO"})," ",""),":",": "),SUBSTITUTE(SUBSTITUTE(UPPER(S186)," ",""),":",": "))),0)),"-")</f>
        <v>-</v>
      </c>
      <c r="K186" s="49"/>
    </row>
    <row r="187" spans="1:11" x14ac:dyDescent="0.25">
      <c r="A187" s="46" t="str" cm="1">
        <f t="array" ref="A187">IFERROR(INDEX(#REF!,MATCH(TRUE,ISNUMBER(FIND(SUBSTITUTE(SUBSTITUTE(UPPER(#REF!)," ",""),":",": "),SUBSTITUTE(SUBSTITUTE(UPPER(S187)," ",""),":",": "))),0)),"Undefined")</f>
        <v>Undefined</v>
      </c>
      <c r="B187" s="42" t="str" cm="1">
        <f t="array" ref="B187">IFERROR(INDEX({"URGENTE"},MATCH(TRUE,ISNUMBER(FIND(SUBSTITUTE(SUBSTITUTE(UPPER({"URGENTE"})," ",""),":",": "),SUBSTITUTE(SUBSTITUTE(UPPER(S187)," ",""),":",": "))),0)),"-")</f>
        <v>-</v>
      </c>
      <c r="C187" s="46" t="str" cm="1">
        <f t="array" ref="C187">IFERROR(INDEX(#REF!,MATCH(TRUE,ISNUMBER(FIND(SUBSTITUTE(SUBSTITUTE(UPPER(#REF!)," ",""),":",": "),SUBSTITUTE(SUBSTITUTE(UPPER(S187)," ",""),":",": "))),0)),"Não encontrado")</f>
        <v>Não encontrado</v>
      </c>
      <c r="D187" s="46" t="str" cm="1">
        <f t="array" ref="D187">IFERROR(INDEX(#REF!,MATCH(TRUE,ISNUMBER(FIND(SUBSTITUTE(SUBSTITUTE(UPPER(#REF!)," ",""),":",": "),SUBSTITUTE(SUBSTITUTE(UPPER(S187)," ",""),":",": "))),0)),"Não encontrado")</f>
        <v>Não encontrado</v>
      </c>
      <c r="E187" s="42" t="str" cm="1">
        <f t="array" ref="E187">IFERROR(INDEX({"IMPEDITIVO"},MATCH(TRUE,ISNUMBER(FIND(SUBSTITUTE(SUBSTITUTE(UPPER({"IMPEDITIVO"})," ",""),":",": "),SUBSTITUTE(SUBSTITUTE(UPPER(S187)," ",""),":",": "))),0)),"-")</f>
        <v>-</v>
      </c>
      <c r="K187" s="49"/>
    </row>
    <row r="188" spans="1:11" x14ac:dyDescent="0.25">
      <c r="A188" s="46" t="str" cm="1">
        <f t="array" ref="A188">IFERROR(INDEX(#REF!,MATCH(TRUE,ISNUMBER(FIND(SUBSTITUTE(SUBSTITUTE(UPPER(#REF!)," ",""),":",": "),SUBSTITUTE(SUBSTITUTE(UPPER(S188)," ",""),":",": "))),0)),"Undefined")</f>
        <v>Undefined</v>
      </c>
      <c r="B188" s="42" t="str" cm="1">
        <f t="array" ref="B188">IFERROR(INDEX({"URGENTE"},MATCH(TRUE,ISNUMBER(FIND(SUBSTITUTE(SUBSTITUTE(UPPER({"URGENTE"})," ",""),":",": "),SUBSTITUTE(SUBSTITUTE(UPPER(S188)," ",""),":",": "))),0)),"-")</f>
        <v>-</v>
      </c>
      <c r="C188" s="46" t="str" cm="1">
        <f t="array" ref="C188">IFERROR(INDEX(#REF!,MATCH(TRUE,ISNUMBER(FIND(SUBSTITUTE(SUBSTITUTE(UPPER(#REF!)," ",""),":",": "),SUBSTITUTE(SUBSTITUTE(UPPER(S188)," ",""),":",": "))),0)),"Não encontrado")</f>
        <v>Não encontrado</v>
      </c>
      <c r="D188" s="46" t="str" cm="1">
        <f t="array" ref="D188">IFERROR(INDEX(#REF!,MATCH(TRUE,ISNUMBER(FIND(SUBSTITUTE(SUBSTITUTE(UPPER(#REF!)," ",""),":",": "),SUBSTITUTE(SUBSTITUTE(UPPER(S188)," ",""),":",": "))),0)),"Não encontrado")</f>
        <v>Não encontrado</v>
      </c>
      <c r="E188" s="42" t="str" cm="1">
        <f t="array" ref="E188">IFERROR(INDEX({"IMPEDITIVO"},MATCH(TRUE,ISNUMBER(FIND(SUBSTITUTE(SUBSTITUTE(UPPER({"IMPEDITIVO"})," ",""),":",": "),SUBSTITUTE(SUBSTITUTE(UPPER(S188)," ",""),":",": "))),0)),"-")</f>
        <v>-</v>
      </c>
      <c r="K188" s="49"/>
    </row>
    <row r="189" spans="1:11" x14ac:dyDescent="0.25">
      <c r="A189" s="46" t="str" cm="1">
        <f t="array" ref="A189">IFERROR(INDEX(#REF!,MATCH(TRUE,ISNUMBER(FIND(SUBSTITUTE(SUBSTITUTE(UPPER(#REF!)," ",""),":",": "),SUBSTITUTE(SUBSTITUTE(UPPER(S189)," ",""),":",": "))),0)),"Undefined")</f>
        <v>Undefined</v>
      </c>
      <c r="B189" s="42" t="str" cm="1">
        <f t="array" ref="B189">IFERROR(INDEX({"URGENTE"},MATCH(TRUE,ISNUMBER(FIND(SUBSTITUTE(SUBSTITUTE(UPPER({"URGENTE"})," ",""),":",": "),SUBSTITUTE(SUBSTITUTE(UPPER(S189)," ",""),":",": "))),0)),"-")</f>
        <v>-</v>
      </c>
      <c r="C189" s="46" t="str" cm="1">
        <f t="array" ref="C189">IFERROR(INDEX(#REF!,MATCH(TRUE,ISNUMBER(FIND(SUBSTITUTE(SUBSTITUTE(UPPER(#REF!)," ",""),":",": "),SUBSTITUTE(SUBSTITUTE(UPPER(S189)," ",""),":",": "))),0)),"Não encontrado")</f>
        <v>Não encontrado</v>
      </c>
      <c r="D189" s="46" t="str" cm="1">
        <f t="array" ref="D189">IFERROR(INDEX(#REF!,MATCH(TRUE,ISNUMBER(FIND(SUBSTITUTE(SUBSTITUTE(UPPER(#REF!)," ",""),":",": "),SUBSTITUTE(SUBSTITUTE(UPPER(S189)," ",""),":",": "))),0)),"Não encontrado")</f>
        <v>Não encontrado</v>
      </c>
      <c r="E189" s="42" t="str" cm="1">
        <f t="array" ref="E189">IFERROR(INDEX({"IMPEDITIVO"},MATCH(TRUE,ISNUMBER(FIND(SUBSTITUTE(SUBSTITUTE(UPPER({"IMPEDITIVO"})," ",""),":",": "),SUBSTITUTE(SUBSTITUTE(UPPER(S189)," ",""),":",": "))),0)),"-")</f>
        <v>-</v>
      </c>
      <c r="K189" s="49"/>
    </row>
    <row r="190" spans="1:11" x14ac:dyDescent="0.25">
      <c r="A190" s="46" t="str" cm="1">
        <f t="array" ref="A190">IFERROR(INDEX(#REF!,MATCH(TRUE,ISNUMBER(FIND(SUBSTITUTE(SUBSTITUTE(UPPER(#REF!)," ",""),":",": "),SUBSTITUTE(SUBSTITUTE(UPPER(S190)," ",""),":",": "))),0)),"Undefined")</f>
        <v>Undefined</v>
      </c>
      <c r="B190" s="42" t="str" cm="1">
        <f t="array" ref="B190">IFERROR(INDEX({"URGENTE"},MATCH(TRUE,ISNUMBER(FIND(SUBSTITUTE(SUBSTITUTE(UPPER({"URGENTE"})," ",""),":",": "),SUBSTITUTE(SUBSTITUTE(UPPER(S190)," ",""),":",": "))),0)),"-")</f>
        <v>-</v>
      </c>
      <c r="C190" s="46" t="str" cm="1">
        <f t="array" ref="C190">IFERROR(INDEX(#REF!,MATCH(TRUE,ISNUMBER(FIND(SUBSTITUTE(SUBSTITUTE(UPPER(#REF!)," ",""),":",": "),SUBSTITUTE(SUBSTITUTE(UPPER(S190)," ",""),":",": "))),0)),"Não encontrado")</f>
        <v>Não encontrado</v>
      </c>
      <c r="D190" s="46" t="str" cm="1">
        <f t="array" ref="D190">IFERROR(INDEX(#REF!,MATCH(TRUE,ISNUMBER(FIND(SUBSTITUTE(SUBSTITUTE(UPPER(#REF!)," ",""),":",": "),SUBSTITUTE(SUBSTITUTE(UPPER(S190)," ",""),":",": "))),0)),"Não encontrado")</f>
        <v>Não encontrado</v>
      </c>
      <c r="E190" s="42" t="str" cm="1">
        <f t="array" ref="E190">IFERROR(INDEX({"IMPEDITIVO"},MATCH(TRUE,ISNUMBER(FIND(SUBSTITUTE(SUBSTITUTE(UPPER({"IMPEDITIVO"})," ",""),":",": "),SUBSTITUTE(SUBSTITUTE(UPPER(S190)," ",""),":",": "))),0)),"-")</f>
        <v>-</v>
      </c>
      <c r="K190" s="49"/>
    </row>
    <row r="191" spans="1:11" x14ac:dyDescent="0.25">
      <c r="A191" s="46" t="str" cm="1">
        <f t="array" ref="A191">IFERROR(INDEX(#REF!,MATCH(TRUE,ISNUMBER(FIND(SUBSTITUTE(SUBSTITUTE(UPPER(#REF!)," ",""),":",": "),SUBSTITUTE(SUBSTITUTE(UPPER(S191)," ",""),":",": "))),0)),"Undefined")</f>
        <v>Undefined</v>
      </c>
      <c r="B191" s="42" t="str" cm="1">
        <f t="array" ref="B191">IFERROR(INDEX({"URGENTE"},MATCH(TRUE,ISNUMBER(FIND(SUBSTITUTE(SUBSTITUTE(UPPER({"URGENTE"})," ",""),":",": "),SUBSTITUTE(SUBSTITUTE(UPPER(S191)," ",""),":",": "))),0)),"-")</f>
        <v>-</v>
      </c>
      <c r="C191" s="46" t="str" cm="1">
        <f t="array" ref="C191">IFERROR(INDEX(#REF!,MATCH(TRUE,ISNUMBER(FIND(SUBSTITUTE(SUBSTITUTE(UPPER(#REF!)," ",""),":",": "),SUBSTITUTE(SUBSTITUTE(UPPER(S191)," ",""),":",": "))),0)),"Não encontrado")</f>
        <v>Não encontrado</v>
      </c>
      <c r="D191" s="46" t="str" cm="1">
        <f t="array" ref="D191">IFERROR(INDEX(#REF!,MATCH(TRUE,ISNUMBER(FIND(SUBSTITUTE(SUBSTITUTE(UPPER(#REF!)," ",""),":",": "),SUBSTITUTE(SUBSTITUTE(UPPER(S191)," ",""),":",": "))),0)),"Não encontrado")</f>
        <v>Não encontrado</v>
      </c>
      <c r="E191" s="42" t="str" cm="1">
        <f t="array" ref="E191">IFERROR(INDEX({"IMPEDITIVO"},MATCH(TRUE,ISNUMBER(FIND(SUBSTITUTE(SUBSTITUTE(UPPER({"IMPEDITIVO"})," ",""),":",": "),SUBSTITUTE(SUBSTITUTE(UPPER(S191)," ",""),":",": "))),0)),"-")</f>
        <v>-</v>
      </c>
      <c r="K191" s="49"/>
    </row>
    <row r="192" spans="1:11" x14ac:dyDescent="0.25">
      <c r="A192" s="46" t="str" cm="1">
        <f t="array" ref="A192">IFERROR(INDEX(#REF!,MATCH(TRUE,ISNUMBER(FIND(SUBSTITUTE(SUBSTITUTE(UPPER(#REF!)," ",""),":",": "),SUBSTITUTE(SUBSTITUTE(UPPER(S192)," ",""),":",": "))),0)),"Undefined")</f>
        <v>Undefined</v>
      </c>
      <c r="B192" s="42" t="str" cm="1">
        <f t="array" ref="B192">IFERROR(INDEX({"URGENTE"},MATCH(TRUE,ISNUMBER(FIND(SUBSTITUTE(SUBSTITUTE(UPPER({"URGENTE"})," ",""),":",": "),SUBSTITUTE(SUBSTITUTE(UPPER(S192)," ",""),":",": "))),0)),"-")</f>
        <v>-</v>
      </c>
      <c r="C192" s="46" t="str" cm="1">
        <f t="array" ref="C192">IFERROR(INDEX(#REF!,MATCH(TRUE,ISNUMBER(FIND(SUBSTITUTE(SUBSTITUTE(UPPER(#REF!)," ",""),":",": "),SUBSTITUTE(SUBSTITUTE(UPPER(S192)," ",""),":",": "))),0)),"Não encontrado")</f>
        <v>Não encontrado</v>
      </c>
      <c r="D192" s="46" t="str" cm="1">
        <f t="array" ref="D192">IFERROR(INDEX(#REF!,MATCH(TRUE,ISNUMBER(FIND(SUBSTITUTE(SUBSTITUTE(UPPER(#REF!)," ",""),":",": "),SUBSTITUTE(SUBSTITUTE(UPPER(S192)," ",""),":",": "))),0)),"Não encontrado")</f>
        <v>Não encontrado</v>
      </c>
      <c r="E192" s="42" t="str" cm="1">
        <f t="array" ref="E192">IFERROR(INDEX({"IMPEDITIVO"},MATCH(TRUE,ISNUMBER(FIND(SUBSTITUTE(SUBSTITUTE(UPPER({"IMPEDITIVO"})," ",""),":",": "),SUBSTITUTE(SUBSTITUTE(UPPER(S192)," ",""),":",": "))),0)),"-")</f>
        <v>-</v>
      </c>
      <c r="K192" s="49"/>
    </row>
    <row r="193" spans="1:11" x14ac:dyDescent="0.25">
      <c r="A193" s="46" t="str" cm="1">
        <f t="array" ref="A193">IFERROR(INDEX(#REF!,MATCH(TRUE,ISNUMBER(FIND(SUBSTITUTE(SUBSTITUTE(UPPER(#REF!)," ",""),":",": "),SUBSTITUTE(SUBSTITUTE(UPPER(S193)," ",""),":",": "))),0)),"Undefined")</f>
        <v>Undefined</v>
      </c>
      <c r="B193" s="42" t="str" cm="1">
        <f t="array" ref="B193">IFERROR(INDEX({"URGENTE"},MATCH(TRUE,ISNUMBER(FIND(SUBSTITUTE(SUBSTITUTE(UPPER({"URGENTE"})," ",""),":",": "),SUBSTITUTE(SUBSTITUTE(UPPER(S193)," ",""),":",": "))),0)),"-")</f>
        <v>-</v>
      </c>
      <c r="C193" s="46" t="str" cm="1">
        <f t="array" ref="C193">IFERROR(INDEX(#REF!,MATCH(TRUE,ISNUMBER(FIND(SUBSTITUTE(SUBSTITUTE(UPPER(#REF!)," ",""),":",": "),SUBSTITUTE(SUBSTITUTE(UPPER(S193)," ",""),":",": "))),0)),"Não encontrado")</f>
        <v>Não encontrado</v>
      </c>
      <c r="D193" s="46" t="str" cm="1">
        <f t="array" ref="D193">IFERROR(INDEX(#REF!,MATCH(TRUE,ISNUMBER(FIND(SUBSTITUTE(SUBSTITUTE(UPPER(#REF!)," ",""),":",": "),SUBSTITUTE(SUBSTITUTE(UPPER(S193)," ",""),":",": "))),0)),"Não encontrado")</f>
        <v>Não encontrado</v>
      </c>
      <c r="E193" s="42" t="str" cm="1">
        <f t="array" ref="E193">IFERROR(INDEX({"IMPEDITIVO"},MATCH(TRUE,ISNUMBER(FIND(SUBSTITUTE(SUBSTITUTE(UPPER({"IMPEDITIVO"})," ",""),":",": "),SUBSTITUTE(SUBSTITUTE(UPPER(S193)," ",""),":",": "))),0)),"-")</f>
        <v>-</v>
      </c>
      <c r="K193" s="49"/>
    </row>
    <row r="194" spans="1:11" x14ac:dyDescent="0.25">
      <c r="A194" s="46" t="str" cm="1">
        <f t="array" ref="A194">IFERROR(INDEX(#REF!,MATCH(TRUE,ISNUMBER(FIND(SUBSTITUTE(SUBSTITUTE(UPPER(#REF!)," ",""),":",": "),SUBSTITUTE(SUBSTITUTE(UPPER(S194)," ",""),":",": "))),0)),"Undefined")</f>
        <v>Undefined</v>
      </c>
      <c r="B194" s="42" t="str" cm="1">
        <f t="array" ref="B194">IFERROR(INDEX({"URGENTE"},MATCH(TRUE,ISNUMBER(FIND(SUBSTITUTE(SUBSTITUTE(UPPER({"URGENTE"})," ",""),":",": "),SUBSTITUTE(SUBSTITUTE(UPPER(S194)," ",""),":",": "))),0)),"-")</f>
        <v>-</v>
      </c>
      <c r="C194" s="46" t="str" cm="1">
        <f t="array" ref="C194">IFERROR(INDEX(#REF!,MATCH(TRUE,ISNUMBER(FIND(SUBSTITUTE(SUBSTITUTE(UPPER(#REF!)," ",""),":",": "),SUBSTITUTE(SUBSTITUTE(UPPER(S194)," ",""),":",": "))),0)),"Não encontrado")</f>
        <v>Não encontrado</v>
      </c>
      <c r="D194" s="46" t="str" cm="1">
        <f t="array" ref="D194">IFERROR(INDEX(#REF!,MATCH(TRUE,ISNUMBER(FIND(SUBSTITUTE(SUBSTITUTE(UPPER(#REF!)," ",""),":",": "),SUBSTITUTE(SUBSTITUTE(UPPER(S194)," ",""),":",": "))),0)),"Não encontrado")</f>
        <v>Não encontrado</v>
      </c>
      <c r="E194" s="42" t="str" cm="1">
        <f t="array" ref="E194">IFERROR(INDEX({"IMPEDITIVO"},MATCH(TRUE,ISNUMBER(FIND(SUBSTITUTE(SUBSTITUTE(UPPER({"IMPEDITIVO"})," ",""),":",": "),SUBSTITUTE(SUBSTITUTE(UPPER(S194)," ",""),":",": "))),0)),"-")</f>
        <v>-</v>
      </c>
      <c r="K194" s="49"/>
    </row>
    <row r="195" spans="1:11" x14ac:dyDescent="0.25">
      <c r="A195" s="46" t="str" cm="1">
        <f t="array" ref="A195">IFERROR(INDEX(#REF!,MATCH(TRUE,ISNUMBER(FIND(SUBSTITUTE(SUBSTITUTE(UPPER(#REF!)," ",""),":",": "),SUBSTITUTE(SUBSTITUTE(UPPER(S195)," ",""),":",": "))),0)),"Undefined")</f>
        <v>Undefined</v>
      </c>
      <c r="B195" s="42" t="str" cm="1">
        <f t="array" ref="B195">IFERROR(INDEX({"URGENTE"},MATCH(TRUE,ISNUMBER(FIND(SUBSTITUTE(SUBSTITUTE(UPPER({"URGENTE"})," ",""),":",": "),SUBSTITUTE(SUBSTITUTE(UPPER(S195)," ",""),":",": "))),0)),"-")</f>
        <v>-</v>
      </c>
      <c r="C195" s="46" t="str" cm="1">
        <f t="array" ref="C195">IFERROR(INDEX(#REF!,MATCH(TRUE,ISNUMBER(FIND(SUBSTITUTE(SUBSTITUTE(UPPER(#REF!)," ",""),":",": "),SUBSTITUTE(SUBSTITUTE(UPPER(S195)," ",""),":",": "))),0)),"Não encontrado")</f>
        <v>Não encontrado</v>
      </c>
      <c r="D195" s="46" t="str" cm="1">
        <f t="array" ref="D195">IFERROR(INDEX(#REF!,MATCH(TRUE,ISNUMBER(FIND(SUBSTITUTE(SUBSTITUTE(UPPER(#REF!)," ",""),":",": "),SUBSTITUTE(SUBSTITUTE(UPPER(S195)," ",""),":",": "))),0)),"Não encontrado")</f>
        <v>Não encontrado</v>
      </c>
      <c r="E195" s="42" t="str" cm="1">
        <f t="array" ref="E195">IFERROR(INDEX({"IMPEDITIVO"},MATCH(TRUE,ISNUMBER(FIND(SUBSTITUTE(SUBSTITUTE(UPPER({"IMPEDITIVO"})," ",""),":",": "),SUBSTITUTE(SUBSTITUTE(UPPER(S195)," ",""),":",": "))),0)),"-")</f>
        <v>-</v>
      </c>
      <c r="K195" s="49"/>
    </row>
    <row r="196" spans="1:11" x14ac:dyDescent="0.25">
      <c r="A196" s="46" t="str" cm="1">
        <f t="array" ref="A196">IFERROR(INDEX(#REF!,MATCH(TRUE,ISNUMBER(FIND(SUBSTITUTE(SUBSTITUTE(UPPER(#REF!)," ",""),":",": "),SUBSTITUTE(SUBSTITUTE(UPPER(S196)," ",""),":",": "))),0)),"Undefined")</f>
        <v>Undefined</v>
      </c>
      <c r="B196" s="42" t="str" cm="1">
        <f t="array" ref="B196">IFERROR(INDEX({"URGENTE"},MATCH(TRUE,ISNUMBER(FIND(SUBSTITUTE(SUBSTITUTE(UPPER({"URGENTE"})," ",""),":",": "),SUBSTITUTE(SUBSTITUTE(UPPER(S196)," ",""),":",": "))),0)),"-")</f>
        <v>-</v>
      </c>
      <c r="C196" s="46" t="str" cm="1">
        <f t="array" ref="C196">IFERROR(INDEX(#REF!,MATCH(TRUE,ISNUMBER(FIND(SUBSTITUTE(SUBSTITUTE(UPPER(#REF!)," ",""),":",": "),SUBSTITUTE(SUBSTITUTE(UPPER(S196)," ",""),":",": "))),0)),"Não encontrado")</f>
        <v>Não encontrado</v>
      </c>
      <c r="D196" s="46" t="str" cm="1">
        <f t="array" ref="D196">IFERROR(INDEX(#REF!,MATCH(TRUE,ISNUMBER(FIND(SUBSTITUTE(SUBSTITUTE(UPPER(#REF!)," ",""),":",": "),SUBSTITUTE(SUBSTITUTE(UPPER(S196)," ",""),":",": "))),0)),"Não encontrado")</f>
        <v>Não encontrado</v>
      </c>
      <c r="E196" s="42" t="str" cm="1">
        <f t="array" ref="E196">IFERROR(INDEX({"IMPEDITIVO"},MATCH(TRUE,ISNUMBER(FIND(SUBSTITUTE(SUBSTITUTE(UPPER({"IMPEDITIVO"})," ",""),":",": "),SUBSTITUTE(SUBSTITUTE(UPPER(S196)," ",""),":",": "))),0)),"-")</f>
        <v>-</v>
      </c>
      <c r="K196" s="49"/>
    </row>
    <row r="197" spans="1:11" x14ac:dyDescent="0.25">
      <c r="A197" s="46" t="str" cm="1">
        <f t="array" ref="A197">IFERROR(INDEX(#REF!,MATCH(TRUE,ISNUMBER(FIND(SUBSTITUTE(SUBSTITUTE(UPPER(#REF!)," ",""),":",": "),SUBSTITUTE(SUBSTITUTE(UPPER(S197)," ",""),":",": "))),0)),"Undefined")</f>
        <v>Undefined</v>
      </c>
      <c r="B197" s="42" t="str" cm="1">
        <f t="array" ref="B197">IFERROR(INDEX({"URGENTE"},MATCH(TRUE,ISNUMBER(FIND(SUBSTITUTE(SUBSTITUTE(UPPER({"URGENTE"})," ",""),":",": "),SUBSTITUTE(SUBSTITUTE(UPPER(S197)," ",""),":",": "))),0)),"-")</f>
        <v>-</v>
      </c>
      <c r="C197" s="46" t="str" cm="1">
        <f t="array" ref="C197">IFERROR(INDEX(#REF!,MATCH(TRUE,ISNUMBER(FIND(SUBSTITUTE(SUBSTITUTE(UPPER(#REF!)," ",""),":",": "),SUBSTITUTE(SUBSTITUTE(UPPER(S197)," ",""),":",": "))),0)),"Não encontrado")</f>
        <v>Não encontrado</v>
      </c>
      <c r="D197" s="46" t="str" cm="1">
        <f t="array" ref="D197">IFERROR(INDEX(#REF!,MATCH(TRUE,ISNUMBER(FIND(SUBSTITUTE(SUBSTITUTE(UPPER(#REF!)," ",""),":",": "),SUBSTITUTE(SUBSTITUTE(UPPER(S197)," ",""),":",": "))),0)),"Não encontrado")</f>
        <v>Não encontrado</v>
      </c>
      <c r="E197" s="42" t="str" cm="1">
        <f t="array" ref="E197">IFERROR(INDEX({"IMPEDITIVO"},MATCH(TRUE,ISNUMBER(FIND(SUBSTITUTE(SUBSTITUTE(UPPER({"IMPEDITIVO"})," ",""),":",": "),SUBSTITUTE(SUBSTITUTE(UPPER(S197)," ",""),":",": "))),0)),"-")</f>
        <v>-</v>
      </c>
      <c r="K197" s="49"/>
    </row>
    <row r="198" spans="1:11" x14ac:dyDescent="0.25">
      <c r="A198" s="46" t="str" cm="1">
        <f t="array" ref="A198">IFERROR(INDEX(#REF!,MATCH(TRUE,ISNUMBER(FIND(SUBSTITUTE(SUBSTITUTE(UPPER(#REF!)," ",""),":",": "),SUBSTITUTE(SUBSTITUTE(UPPER(S198)," ",""),":",": "))),0)),"Undefined")</f>
        <v>Undefined</v>
      </c>
      <c r="B198" s="42" t="str" cm="1">
        <f t="array" ref="B198">IFERROR(INDEX({"URGENTE"},MATCH(TRUE,ISNUMBER(FIND(SUBSTITUTE(SUBSTITUTE(UPPER({"URGENTE"})," ",""),":",": "),SUBSTITUTE(SUBSTITUTE(UPPER(S198)," ",""),":",": "))),0)),"-")</f>
        <v>-</v>
      </c>
      <c r="C198" s="46" t="str" cm="1">
        <f t="array" ref="C198">IFERROR(INDEX(#REF!,MATCH(TRUE,ISNUMBER(FIND(SUBSTITUTE(SUBSTITUTE(UPPER(#REF!)," ",""),":",": "),SUBSTITUTE(SUBSTITUTE(UPPER(S198)," ",""),":",": "))),0)),"Não encontrado")</f>
        <v>Não encontrado</v>
      </c>
      <c r="D198" s="46" t="str" cm="1">
        <f t="array" ref="D198">IFERROR(INDEX(#REF!,MATCH(TRUE,ISNUMBER(FIND(SUBSTITUTE(SUBSTITUTE(UPPER(#REF!)," ",""),":",": "),SUBSTITUTE(SUBSTITUTE(UPPER(S198)," ",""),":",": "))),0)),"Não encontrado")</f>
        <v>Não encontrado</v>
      </c>
      <c r="E198" s="42" t="str" cm="1">
        <f t="array" ref="E198">IFERROR(INDEX({"IMPEDITIVO"},MATCH(TRUE,ISNUMBER(FIND(SUBSTITUTE(SUBSTITUTE(UPPER({"IMPEDITIVO"})," ",""),":",": "),SUBSTITUTE(SUBSTITUTE(UPPER(S198)," ",""),":",": "))),0)),"-")</f>
        <v>-</v>
      </c>
      <c r="K198" s="49"/>
    </row>
    <row r="199" spans="1:11" x14ac:dyDescent="0.25">
      <c r="A199" s="46" t="str" cm="1">
        <f t="array" ref="A199">IFERROR(INDEX(#REF!,MATCH(TRUE,ISNUMBER(FIND(SUBSTITUTE(SUBSTITUTE(UPPER(#REF!)," ",""),":",": "),SUBSTITUTE(SUBSTITUTE(UPPER(S199)," ",""),":",": "))),0)),"Undefined")</f>
        <v>Undefined</v>
      </c>
      <c r="B199" s="42" t="str" cm="1">
        <f t="array" ref="B199">IFERROR(INDEX({"URGENTE"},MATCH(TRUE,ISNUMBER(FIND(SUBSTITUTE(SUBSTITUTE(UPPER({"URGENTE"})," ",""),":",": "),SUBSTITUTE(SUBSTITUTE(UPPER(S199)," ",""),":",": "))),0)),"-")</f>
        <v>-</v>
      </c>
      <c r="C199" s="46" t="str" cm="1">
        <f t="array" ref="C199">IFERROR(INDEX(#REF!,MATCH(TRUE,ISNUMBER(FIND(SUBSTITUTE(SUBSTITUTE(UPPER(#REF!)," ",""),":",": "),SUBSTITUTE(SUBSTITUTE(UPPER(S199)," ",""),":",": "))),0)),"Não encontrado")</f>
        <v>Não encontrado</v>
      </c>
      <c r="D199" s="46" t="str" cm="1">
        <f t="array" ref="D199">IFERROR(INDEX(#REF!,MATCH(TRUE,ISNUMBER(FIND(SUBSTITUTE(SUBSTITUTE(UPPER(#REF!)," ",""),":",": "),SUBSTITUTE(SUBSTITUTE(UPPER(S199)," ",""),":",": "))),0)),"Não encontrado")</f>
        <v>Não encontrado</v>
      </c>
      <c r="E199" s="42" t="str" cm="1">
        <f t="array" ref="E199">IFERROR(INDEX({"IMPEDITIVO"},MATCH(TRUE,ISNUMBER(FIND(SUBSTITUTE(SUBSTITUTE(UPPER({"IMPEDITIVO"})," ",""),":",": "),SUBSTITUTE(SUBSTITUTE(UPPER(S199)," ",""),":",": "))),0)),"-")</f>
        <v>-</v>
      </c>
      <c r="K199" s="49"/>
    </row>
    <row r="200" spans="1:11" x14ac:dyDescent="0.25">
      <c r="A200" s="46" t="str" cm="1">
        <f t="array" ref="A200">IFERROR(INDEX(#REF!,MATCH(TRUE,ISNUMBER(FIND(SUBSTITUTE(SUBSTITUTE(UPPER(#REF!)," ",""),":",": "),SUBSTITUTE(SUBSTITUTE(UPPER(S200)," ",""),":",": "))),0)),"Undefined")</f>
        <v>Undefined</v>
      </c>
      <c r="B200" s="42" t="str" cm="1">
        <f t="array" ref="B200">IFERROR(INDEX({"URGENTE"},MATCH(TRUE,ISNUMBER(FIND(SUBSTITUTE(SUBSTITUTE(UPPER({"URGENTE"})," ",""),":",": "),SUBSTITUTE(SUBSTITUTE(UPPER(S200)," ",""),":",": "))),0)),"-")</f>
        <v>-</v>
      </c>
      <c r="C200" s="46" t="str" cm="1">
        <f t="array" ref="C200">IFERROR(INDEX(#REF!,MATCH(TRUE,ISNUMBER(FIND(SUBSTITUTE(SUBSTITUTE(UPPER(#REF!)," ",""),":",": "),SUBSTITUTE(SUBSTITUTE(UPPER(S200)," ",""),":",": "))),0)),"Não encontrado")</f>
        <v>Não encontrado</v>
      </c>
      <c r="D200" s="46" t="str" cm="1">
        <f t="array" ref="D200">IFERROR(INDEX(#REF!,MATCH(TRUE,ISNUMBER(FIND(SUBSTITUTE(SUBSTITUTE(UPPER(#REF!)," ",""),":",": "),SUBSTITUTE(SUBSTITUTE(UPPER(S200)," ",""),":",": "))),0)),"Não encontrado")</f>
        <v>Não encontrado</v>
      </c>
      <c r="E200" s="42" t="str" cm="1">
        <f t="array" ref="E200">IFERROR(INDEX({"IMPEDITIVO"},MATCH(TRUE,ISNUMBER(FIND(SUBSTITUTE(SUBSTITUTE(UPPER({"IMPEDITIVO"})," ",""),":",": "),SUBSTITUTE(SUBSTITUTE(UPPER(S200)," ",""),":",": "))),0)),"-")</f>
        <v>-</v>
      </c>
      <c r="K200" s="49"/>
    </row>
    <row r="201" spans="1:11" x14ac:dyDescent="0.25">
      <c r="A201" s="46" t="str" cm="1">
        <f t="array" ref="A201">IFERROR(INDEX(#REF!,MATCH(TRUE,ISNUMBER(FIND(SUBSTITUTE(SUBSTITUTE(UPPER(#REF!)," ",""),":",": "),SUBSTITUTE(SUBSTITUTE(UPPER(S201)," ",""),":",": "))),0)),"Undefined")</f>
        <v>Undefined</v>
      </c>
      <c r="B201" s="42" t="str" cm="1">
        <f t="array" ref="B201">IFERROR(INDEX({"URGENTE"},MATCH(TRUE,ISNUMBER(FIND(SUBSTITUTE(SUBSTITUTE(UPPER({"URGENTE"})," ",""),":",": "),SUBSTITUTE(SUBSTITUTE(UPPER(S201)," ",""),":",": "))),0)),"-")</f>
        <v>-</v>
      </c>
      <c r="C201" s="46" t="str" cm="1">
        <f t="array" ref="C201">IFERROR(INDEX(#REF!,MATCH(TRUE,ISNUMBER(FIND(SUBSTITUTE(SUBSTITUTE(UPPER(#REF!)," ",""),":",": "),SUBSTITUTE(SUBSTITUTE(UPPER(S201)," ",""),":",": "))),0)),"Não encontrado")</f>
        <v>Não encontrado</v>
      </c>
      <c r="D201" s="46" t="str" cm="1">
        <f t="array" ref="D201">IFERROR(INDEX(#REF!,MATCH(TRUE,ISNUMBER(FIND(SUBSTITUTE(SUBSTITUTE(UPPER(#REF!)," ",""),":",": "),SUBSTITUTE(SUBSTITUTE(UPPER(S201)," ",""),":",": "))),0)),"Não encontrado")</f>
        <v>Não encontrado</v>
      </c>
      <c r="E201" s="42" t="str" cm="1">
        <f t="array" ref="E201">IFERROR(INDEX({"IMPEDITIVO"},MATCH(TRUE,ISNUMBER(FIND(SUBSTITUTE(SUBSTITUTE(UPPER({"IMPEDITIVO"})," ",""),":",": "),SUBSTITUTE(SUBSTITUTE(UPPER(S201)," ",""),":",": "))),0)),"-")</f>
        <v>-</v>
      </c>
      <c r="K201" s="49"/>
    </row>
    <row r="202" spans="1:11" x14ac:dyDescent="0.25">
      <c r="A202" s="46" t="str" cm="1">
        <f t="array" ref="A202">IFERROR(INDEX(#REF!,MATCH(TRUE,ISNUMBER(FIND(SUBSTITUTE(SUBSTITUTE(UPPER(#REF!)," ",""),":",": "),SUBSTITUTE(SUBSTITUTE(UPPER(S202)," ",""),":",": "))),0)),"Undefined")</f>
        <v>Undefined</v>
      </c>
      <c r="B202" s="42" t="str" cm="1">
        <f t="array" ref="B202">IFERROR(INDEX({"URGENTE"},MATCH(TRUE,ISNUMBER(FIND(SUBSTITUTE(SUBSTITUTE(UPPER({"URGENTE"})," ",""),":",": "),SUBSTITUTE(SUBSTITUTE(UPPER(S202)," ",""),":",": "))),0)),"-")</f>
        <v>-</v>
      </c>
      <c r="C202" s="46" t="str" cm="1">
        <f t="array" ref="C202">IFERROR(INDEX(#REF!,MATCH(TRUE,ISNUMBER(FIND(SUBSTITUTE(SUBSTITUTE(UPPER(#REF!)," ",""),":",": "),SUBSTITUTE(SUBSTITUTE(UPPER(S202)," ",""),":",": "))),0)),"Não encontrado")</f>
        <v>Não encontrado</v>
      </c>
      <c r="D202" s="46" t="str" cm="1">
        <f t="array" ref="D202">IFERROR(INDEX(#REF!,MATCH(TRUE,ISNUMBER(FIND(SUBSTITUTE(SUBSTITUTE(UPPER(#REF!)," ",""),":",": "),SUBSTITUTE(SUBSTITUTE(UPPER(S202)," ",""),":",": "))),0)),"Não encontrado")</f>
        <v>Não encontrado</v>
      </c>
      <c r="E202" s="42" t="str" cm="1">
        <f t="array" ref="E202">IFERROR(INDEX({"IMPEDITIVO"},MATCH(TRUE,ISNUMBER(FIND(SUBSTITUTE(SUBSTITUTE(UPPER({"IMPEDITIVO"})," ",""),":",": "),SUBSTITUTE(SUBSTITUTE(UPPER(S202)," ",""),":",": "))),0)),"-")</f>
        <v>-</v>
      </c>
      <c r="K202" s="49"/>
    </row>
    <row r="203" spans="1:11" x14ac:dyDescent="0.25">
      <c r="A203" s="46" t="str" cm="1">
        <f t="array" ref="A203">IFERROR(INDEX(#REF!,MATCH(TRUE,ISNUMBER(FIND(SUBSTITUTE(SUBSTITUTE(UPPER(#REF!)," ",""),":",": "),SUBSTITUTE(SUBSTITUTE(UPPER(S203)," ",""),":",": "))),0)),"Undefined")</f>
        <v>Undefined</v>
      </c>
      <c r="B203" s="42" t="str" cm="1">
        <f t="array" ref="B203">IFERROR(INDEX({"URGENTE"},MATCH(TRUE,ISNUMBER(FIND(SUBSTITUTE(SUBSTITUTE(UPPER({"URGENTE"})," ",""),":",": "),SUBSTITUTE(SUBSTITUTE(UPPER(S203)," ",""),":",": "))),0)),"-")</f>
        <v>-</v>
      </c>
      <c r="C203" s="46" t="str" cm="1">
        <f t="array" ref="C203">IFERROR(INDEX(#REF!,MATCH(TRUE,ISNUMBER(FIND(SUBSTITUTE(SUBSTITUTE(UPPER(#REF!)," ",""),":",": "),SUBSTITUTE(SUBSTITUTE(UPPER(S203)," ",""),":",": "))),0)),"Não encontrado")</f>
        <v>Não encontrado</v>
      </c>
      <c r="D203" s="46" t="str" cm="1">
        <f t="array" ref="D203">IFERROR(INDEX(#REF!,MATCH(TRUE,ISNUMBER(FIND(SUBSTITUTE(SUBSTITUTE(UPPER(#REF!)," ",""),":",": "),SUBSTITUTE(SUBSTITUTE(UPPER(S203)," ",""),":",": "))),0)),"Não encontrado")</f>
        <v>Não encontrado</v>
      </c>
      <c r="E203" s="42" t="str" cm="1">
        <f t="array" ref="E203">IFERROR(INDEX({"IMPEDITIVO"},MATCH(TRUE,ISNUMBER(FIND(SUBSTITUTE(SUBSTITUTE(UPPER({"IMPEDITIVO"})," ",""),":",": "),SUBSTITUTE(SUBSTITUTE(UPPER(S203)," ",""),":",": "))),0)),"-")</f>
        <v>-</v>
      </c>
      <c r="K203" s="49"/>
    </row>
    <row r="204" spans="1:11" x14ac:dyDescent="0.25">
      <c r="A204" s="46" t="str" cm="1">
        <f t="array" ref="A204">IFERROR(INDEX(#REF!,MATCH(TRUE,ISNUMBER(FIND(SUBSTITUTE(SUBSTITUTE(UPPER(#REF!)," ",""),":",": "),SUBSTITUTE(SUBSTITUTE(UPPER(S204)," ",""),":",": "))),0)),"Undefined")</f>
        <v>Undefined</v>
      </c>
      <c r="B204" s="42" t="str" cm="1">
        <f t="array" ref="B204">IFERROR(INDEX({"URGENTE"},MATCH(TRUE,ISNUMBER(FIND(SUBSTITUTE(SUBSTITUTE(UPPER({"URGENTE"})," ",""),":",": "),SUBSTITUTE(SUBSTITUTE(UPPER(S204)," ",""),":",": "))),0)),"-")</f>
        <v>-</v>
      </c>
      <c r="C204" s="46" t="str" cm="1">
        <f t="array" ref="C204">IFERROR(INDEX(#REF!,MATCH(TRUE,ISNUMBER(FIND(SUBSTITUTE(SUBSTITUTE(UPPER(#REF!)," ",""),":",": "),SUBSTITUTE(SUBSTITUTE(UPPER(S204)," ",""),":",": "))),0)),"Não encontrado")</f>
        <v>Não encontrado</v>
      </c>
      <c r="D204" s="46" t="str" cm="1">
        <f t="array" ref="D204">IFERROR(INDEX(#REF!,MATCH(TRUE,ISNUMBER(FIND(SUBSTITUTE(SUBSTITUTE(UPPER(#REF!)," ",""),":",": "),SUBSTITUTE(SUBSTITUTE(UPPER(S204)," ",""),":",": "))),0)),"Não encontrado")</f>
        <v>Não encontrado</v>
      </c>
      <c r="E204" s="42" t="str" cm="1">
        <f t="array" ref="E204">IFERROR(INDEX({"IMPEDITIVO"},MATCH(TRUE,ISNUMBER(FIND(SUBSTITUTE(SUBSTITUTE(UPPER({"IMPEDITIVO"})," ",""),":",": "),SUBSTITUTE(SUBSTITUTE(UPPER(S204)," ",""),":",": "))),0)),"-")</f>
        <v>-</v>
      </c>
      <c r="K204" s="49"/>
    </row>
    <row r="205" spans="1:11" x14ac:dyDescent="0.25">
      <c r="A205" s="46" t="str" cm="1">
        <f t="array" ref="A205">IFERROR(INDEX(#REF!,MATCH(TRUE,ISNUMBER(FIND(SUBSTITUTE(SUBSTITUTE(UPPER(#REF!)," ",""),":",": "),SUBSTITUTE(SUBSTITUTE(UPPER(S205)," ",""),":",": "))),0)),"Undefined")</f>
        <v>Undefined</v>
      </c>
      <c r="B205" s="42" t="str" cm="1">
        <f t="array" ref="B205">IFERROR(INDEX({"URGENTE"},MATCH(TRUE,ISNUMBER(FIND(SUBSTITUTE(SUBSTITUTE(UPPER({"URGENTE"})," ",""),":",": "),SUBSTITUTE(SUBSTITUTE(UPPER(S205)," ",""),":",": "))),0)),"-")</f>
        <v>-</v>
      </c>
      <c r="C205" s="46" t="str" cm="1">
        <f t="array" ref="C205">IFERROR(INDEX(#REF!,MATCH(TRUE,ISNUMBER(FIND(SUBSTITUTE(SUBSTITUTE(UPPER(#REF!)," ",""),":",": "),SUBSTITUTE(SUBSTITUTE(UPPER(S205)," ",""),":",": "))),0)),"Não encontrado")</f>
        <v>Não encontrado</v>
      </c>
      <c r="D205" s="46" t="str" cm="1">
        <f t="array" ref="D205">IFERROR(INDEX(#REF!,MATCH(TRUE,ISNUMBER(FIND(SUBSTITUTE(SUBSTITUTE(UPPER(#REF!)," ",""),":",": "),SUBSTITUTE(SUBSTITUTE(UPPER(S205)," ",""),":",": "))),0)),"Não encontrado")</f>
        <v>Não encontrado</v>
      </c>
      <c r="E205" s="42" t="str" cm="1">
        <f t="array" ref="E205">IFERROR(INDEX({"IMPEDITIVO"},MATCH(TRUE,ISNUMBER(FIND(SUBSTITUTE(SUBSTITUTE(UPPER({"IMPEDITIVO"})," ",""),":",": "),SUBSTITUTE(SUBSTITUTE(UPPER(S205)," ",""),":",": "))),0)),"-")</f>
        <v>-</v>
      </c>
      <c r="K205" s="49"/>
    </row>
    <row r="206" spans="1:11" x14ac:dyDescent="0.25">
      <c r="A206" s="46" t="str" cm="1">
        <f t="array" ref="A206">IFERROR(INDEX(#REF!,MATCH(TRUE,ISNUMBER(FIND(SUBSTITUTE(SUBSTITUTE(UPPER(#REF!)," ",""),":",": "),SUBSTITUTE(SUBSTITUTE(UPPER(S206)," ",""),":",": "))),0)),"Undefined")</f>
        <v>Undefined</v>
      </c>
      <c r="B206" s="42" t="str" cm="1">
        <f t="array" ref="B206">IFERROR(INDEX({"URGENTE"},MATCH(TRUE,ISNUMBER(FIND(SUBSTITUTE(SUBSTITUTE(UPPER({"URGENTE"})," ",""),":",": "),SUBSTITUTE(SUBSTITUTE(UPPER(S206)," ",""),":",": "))),0)),"-")</f>
        <v>-</v>
      </c>
      <c r="C206" s="46" t="str" cm="1">
        <f t="array" ref="C206">IFERROR(INDEX(#REF!,MATCH(TRUE,ISNUMBER(FIND(SUBSTITUTE(SUBSTITUTE(UPPER(#REF!)," ",""),":",": "),SUBSTITUTE(SUBSTITUTE(UPPER(S206)," ",""),":",": "))),0)),"Não encontrado")</f>
        <v>Não encontrado</v>
      </c>
      <c r="D206" s="46" t="str" cm="1">
        <f t="array" ref="D206">IFERROR(INDEX(#REF!,MATCH(TRUE,ISNUMBER(FIND(SUBSTITUTE(SUBSTITUTE(UPPER(#REF!)," ",""),":",": "),SUBSTITUTE(SUBSTITUTE(UPPER(S206)," ",""),":",": "))),0)),"Não encontrado")</f>
        <v>Não encontrado</v>
      </c>
      <c r="E206" s="42" t="str" cm="1">
        <f t="array" ref="E206">IFERROR(INDEX({"IMPEDITIVO"},MATCH(TRUE,ISNUMBER(FIND(SUBSTITUTE(SUBSTITUTE(UPPER({"IMPEDITIVO"})," ",""),":",": "),SUBSTITUTE(SUBSTITUTE(UPPER(S206)," ",""),":",": "))),0)),"-")</f>
        <v>-</v>
      </c>
      <c r="K206" s="49"/>
    </row>
    <row r="207" spans="1:11" x14ac:dyDescent="0.25">
      <c r="A207" s="46" t="str" cm="1">
        <f t="array" ref="A207">IFERROR(INDEX(#REF!,MATCH(TRUE,ISNUMBER(FIND(SUBSTITUTE(SUBSTITUTE(UPPER(#REF!)," ",""),":",": "),SUBSTITUTE(SUBSTITUTE(UPPER(S207)," ",""),":",": "))),0)),"Undefined")</f>
        <v>Undefined</v>
      </c>
      <c r="B207" s="42" t="str" cm="1">
        <f t="array" ref="B207">IFERROR(INDEX({"URGENTE"},MATCH(TRUE,ISNUMBER(FIND(SUBSTITUTE(SUBSTITUTE(UPPER({"URGENTE"})," ",""),":",": "),SUBSTITUTE(SUBSTITUTE(UPPER(S207)," ",""),":",": "))),0)),"-")</f>
        <v>-</v>
      </c>
      <c r="C207" s="46" t="str" cm="1">
        <f t="array" ref="C207">IFERROR(INDEX(#REF!,MATCH(TRUE,ISNUMBER(FIND(SUBSTITUTE(SUBSTITUTE(UPPER(#REF!)," ",""),":",": "),SUBSTITUTE(SUBSTITUTE(UPPER(S207)," ",""),":",": "))),0)),"Não encontrado")</f>
        <v>Não encontrado</v>
      </c>
      <c r="D207" s="46" t="str" cm="1">
        <f t="array" ref="D207">IFERROR(INDEX(#REF!,MATCH(TRUE,ISNUMBER(FIND(SUBSTITUTE(SUBSTITUTE(UPPER(#REF!)," ",""),":",": "),SUBSTITUTE(SUBSTITUTE(UPPER(S207)," ",""),":",": "))),0)),"Não encontrado")</f>
        <v>Não encontrado</v>
      </c>
      <c r="E207" s="42" t="str" cm="1">
        <f t="array" ref="E207">IFERROR(INDEX({"IMPEDITIVO"},MATCH(TRUE,ISNUMBER(FIND(SUBSTITUTE(SUBSTITUTE(UPPER({"IMPEDITIVO"})," ",""),":",": "),SUBSTITUTE(SUBSTITUTE(UPPER(S207)," ",""),":",": "))),0)),"-")</f>
        <v>-</v>
      </c>
      <c r="K207" s="49"/>
    </row>
    <row r="208" spans="1:11" x14ac:dyDescent="0.25">
      <c r="A208" s="46" t="str" cm="1">
        <f t="array" ref="A208">IFERROR(INDEX(#REF!,MATCH(TRUE,ISNUMBER(FIND(SUBSTITUTE(SUBSTITUTE(UPPER(#REF!)," ",""),":",": "),SUBSTITUTE(SUBSTITUTE(UPPER(S208)," ",""),":",": "))),0)),"Undefined")</f>
        <v>Undefined</v>
      </c>
      <c r="B208" s="42" t="str" cm="1">
        <f t="array" ref="B208">IFERROR(INDEX({"URGENTE"},MATCH(TRUE,ISNUMBER(FIND(SUBSTITUTE(SUBSTITUTE(UPPER({"URGENTE"})," ",""),":",": "),SUBSTITUTE(SUBSTITUTE(UPPER(S208)," ",""),":",": "))),0)),"-")</f>
        <v>-</v>
      </c>
      <c r="C208" s="46" t="str" cm="1">
        <f t="array" ref="C208">IFERROR(INDEX(#REF!,MATCH(TRUE,ISNUMBER(FIND(SUBSTITUTE(SUBSTITUTE(UPPER(#REF!)," ",""),":",": "),SUBSTITUTE(SUBSTITUTE(UPPER(S208)," ",""),":",": "))),0)),"Não encontrado")</f>
        <v>Não encontrado</v>
      </c>
      <c r="D208" s="46" t="str" cm="1">
        <f t="array" ref="D208">IFERROR(INDEX(#REF!,MATCH(TRUE,ISNUMBER(FIND(SUBSTITUTE(SUBSTITUTE(UPPER(#REF!)," ",""),":",": "),SUBSTITUTE(SUBSTITUTE(UPPER(S208)," ",""),":",": "))),0)),"Não encontrado")</f>
        <v>Não encontrado</v>
      </c>
      <c r="E208" s="42" t="str" cm="1">
        <f t="array" ref="E208">IFERROR(INDEX({"IMPEDITIVO"},MATCH(TRUE,ISNUMBER(FIND(SUBSTITUTE(SUBSTITUTE(UPPER({"IMPEDITIVO"})," ",""),":",": "),SUBSTITUTE(SUBSTITUTE(UPPER(S208)," ",""),":",": "))),0)),"-")</f>
        <v>-</v>
      </c>
      <c r="K208" s="49"/>
    </row>
    <row r="209" spans="1:11" x14ac:dyDescent="0.25">
      <c r="A209" s="46" t="str" cm="1">
        <f t="array" ref="A209">IFERROR(INDEX(#REF!,MATCH(TRUE,ISNUMBER(FIND(SUBSTITUTE(SUBSTITUTE(UPPER(#REF!)," ",""),":",": "),SUBSTITUTE(SUBSTITUTE(UPPER(S209)," ",""),":",": "))),0)),"Undefined")</f>
        <v>Undefined</v>
      </c>
      <c r="B209" s="42" t="str" cm="1">
        <f t="array" ref="B209">IFERROR(INDEX({"URGENTE"},MATCH(TRUE,ISNUMBER(FIND(SUBSTITUTE(SUBSTITUTE(UPPER({"URGENTE"})," ",""),":",": "),SUBSTITUTE(SUBSTITUTE(UPPER(S209)," ",""),":",": "))),0)),"-")</f>
        <v>-</v>
      </c>
      <c r="C209" s="46" t="str" cm="1">
        <f t="array" ref="C209">IFERROR(INDEX(#REF!,MATCH(TRUE,ISNUMBER(FIND(SUBSTITUTE(SUBSTITUTE(UPPER(#REF!)," ",""),":",": "),SUBSTITUTE(SUBSTITUTE(UPPER(S209)," ",""),":",": "))),0)),"Não encontrado")</f>
        <v>Não encontrado</v>
      </c>
      <c r="D209" s="46" t="str" cm="1">
        <f t="array" ref="D209">IFERROR(INDEX(#REF!,MATCH(TRUE,ISNUMBER(FIND(SUBSTITUTE(SUBSTITUTE(UPPER(#REF!)," ",""),":",": "),SUBSTITUTE(SUBSTITUTE(UPPER(S209)," ",""),":",": "))),0)),"Não encontrado")</f>
        <v>Não encontrado</v>
      </c>
      <c r="E209" s="42" t="str" cm="1">
        <f t="array" ref="E209">IFERROR(INDEX({"IMPEDITIVO"},MATCH(TRUE,ISNUMBER(FIND(SUBSTITUTE(SUBSTITUTE(UPPER({"IMPEDITIVO"})," ",""),":",": "),SUBSTITUTE(SUBSTITUTE(UPPER(S209)," ",""),":",": "))),0)),"-")</f>
        <v>-</v>
      </c>
      <c r="K209" s="49"/>
    </row>
    <row r="210" spans="1:11" x14ac:dyDescent="0.25">
      <c r="A210" s="46" t="str" cm="1">
        <f t="array" ref="A210">IFERROR(INDEX(#REF!,MATCH(TRUE,ISNUMBER(FIND(SUBSTITUTE(SUBSTITUTE(UPPER(#REF!)," ",""),":",": "),SUBSTITUTE(SUBSTITUTE(UPPER(S210)," ",""),":",": "))),0)),"Undefined")</f>
        <v>Undefined</v>
      </c>
      <c r="B210" s="42" t="str" cm="1">
        <f t="array" ref="B210">IFERROR(INDEX({"URGENTE"},MATCH(TRUE,ISNUMBER(FIND(SUBSTITUTE(SUBSTITUTE(UPPER({"URGENTE"})," ",""),":",": "),SUBSTITUTE(SUBSTITUTE(UPPER(S210)," ",""),":",": "))),0)),"-")</f>
        <v>-</v>
      </c>
      <c r="C210" s="46" t="str" cm="1">
        <f t="array" ref="C210">IFERROR(INDEX(#REF!,MATCH(TRUE,ISNUMBER(FIND(SUBSTITUTE(SUBSTITUTE(UPPER(#REF!)," ",""),":",": "),SUBSTITUTE(SUBSTITUTE(UPPER(S210)," ",""),":",": "))),0)),"Não encontrado")</f>
        <v>Não encontrado</v>
      </c>
      <c r="D210" s="46" t="str" cm="1">
        <f t="array" ref="D210">IFERROR(INDEX(#REF!,MATCH(TRUE,ISNUMBER(FIND(SUBSTITUTE(SUBSTITUTE(UPPER(#REF!)," ",""),":",": "),SUBSTITUTE(SUBSTITUTE(UPPER(S210)," ",""),":",": "))),0)),"Não encontrado")</f>
        <v>Não encontrado</v>
      </c>
      <c r="E210" s="42" t="str" cm="1">
        <f t="array" ref="E210">IFERROR(INDEX({"IMPEDITIVO"},MATCH(TRUE,ISNUMBER(FIND(SUBSTITUTE(SUBSTITUTE(UPPER({"IMPEDITIVO"})," ",""),":",": "),SUBSTITUTE(SUBSTITUTE(UPPER(S210)," ",""),":",": "))),0)),"-")</f>
        <v>-</v>
      </c>
      <c r="K210" s="49"/>
    </row>
    <row r="211" spans="1:11" x14ac:dyDescent="0.25">
      <c r="A211" s="46" t="str" cm="1">
        <f t="array" ref="A211">IFERROR(INDEX(#REF!,MATCH(TRUE,ISNUMBER(FIND(SUBSTITUTE(SUBSTITUTE(UPPER(#REF!)," ",""),":",": "),SUBSTITUTE(SUBSTITUTE(UPPER(S211)," ",""),":",": "))),0)),"Undefined")</f>
        <v>Undefined</v>
      </c>
      <c r="B211" s="42" t="str" cm="1">
        <f t="array" ref="B211">IFERROR(INDEX({"URGENTE"},MATCH(TRUE,ISNUMBER(FIND(SUBSTITUTE(SUBSTITUTE(UPPER({"URGENTE"})," ",""),":",": "),SUBSTITUTE(SUBSTITUTE(UPPER(S211)," ",""),":",": "))),0)),"-")</f>
        <v>-</v>
      </c>
      <c r="C211" s="46" t="str" cm="1">
        <f t="array" ref="C211">IFERROR(INDEX(#REF!,MATCH(TRUE,ISNUMBER(FIND(SUBSTITUTE(SUBSTITUTE(UPPER(#REF!)," ",""),":",": "),SUBSTITUTE(SUBSTITUTE(UPPER(S211)," ",""),":",": "))),0)),"Não encontrado")</f>
        <v>Não encontrado</v>
      </c>
      <c r="D211" s="46" t="str" cm="1">
        <f t="array" ref="D211">IFERROR(INDEX(#REF!,MATCH(TRUE,ISNUMBER(FIND(SUBSTITUTE(SUBSTITUTE(UPPER(#REF!)," ",""),":",": "),SUBSTITUTE(SUBSTITUTE(UPPER(S211)," ",""),":",": "))),0)),"Não encontrado")</f>
        <v>Não encontrado</v>
      </c>
      <c r="E211" s="42" t="str" cm="1">
        <f t="array" ref="E211">IFERROR(INDEX({"IMPEDITIVO"},MATCH(TRUE,ISNUMBER(FIND(SUBSTITUTE(SUBSTITUTE(UPPER({"IMPEDITIVO"})," ",""),":",": "),SUBSTITUTE(SUBSTITUTE(UPPER(S211)," ",""),":",": "))),0)),"-")</f>
        <v>-</v>
      </c>
      <c r="K211" s="49"/>
    </row>
    <row r="212" spans="1:11" x14ac:dyDescent="0.25">
      <c r="A212" s="46" t="str" cm="1">
        <f t="array" ref="A212">IFERROR(INDEX(#REF!,MATCH(TRUE,ISNUMBER(FIND(SUBSTITUTE(SUBSTITUTE(UPPER(#REF!)," ",""),":",": "),SUBSTITUTE(SUBSTITUTE(UPPER(S212)," ",""),":",": "))),0)),"Undefined")</f>
        <v>Undefined</v>
      </c>
      <c r="B212" s="42" t="str" cm="1">
        <f t="array" ref="B212">IFERROR(INDEX({"URGENTE"},MATCH(TRUE,ISNUMBER(FIND(SUBSTITUTE(SUBSTITUTE(UPPER({"URGENTE"})," ",""),":",": "),SUBSTITUTE(SUBSTITUTE(UPPER(S212)," ",""),":",": "))),0)),"-")</f>
        <v>-</v>
      </c>
      <c r="C212" s="46" t="str" cm="1">
        <f t="array" ref="C212">IFERROR(INDEX(#REF!,MATCH(TRUE,ISNUMBER(FIND(SUBSTITUTE(SUBSTITUTE(UPPER(#REF!)," ",""),":",": "),SUBSTITUTE(SUBSTITUTE(UPPER(S212)," ",""),":",": "))),0)),"Não encontrado")</f>
        <v>Não encontrado</v>
      </c>
      <c r="D212" s="46" t="str" cm="1">
        <f t="array" ref="D212">IFERROR(INDEX(#REF!,MATCH(TRUE,ISNUMBER(FIND(SUBSTITUTE(SUBSTITUTE(UPPER(#REF!)," ",""),":",": "),SUBSTITUTE(SUBSTITUTE(UPPER(S212)," ",""),":",": "))),0)),"Não encontrado")</f>
        <v>Não encontrado</v>
      </c>
      <c r="E212" s="42" t="str" cm="1">
        <f t="array" ref="E212">IFERROR(INDEX({"IMPEDITIVO"},MATCH(TRUE,ISNUMBER(FIND(SUBSTITUTE(SUBSTITUTE(UPPER({"IMPEDITIVO"})," ",""),":",": "),SUBSTITUTE(SUBSTITUTE(UPPER(S212)," ",""),":",": "))),0)),"-")</f>
        <v>-</v>
      </c>
      <c r="K212" s="49"/>
    </row>
    <row r="213" spans="1:11" x14ac:dyDescent="0.25">
      <c r="A213" s="46" t="str" cm="1">
        <f t="array" ref="A213">IFERROR(INDEX(#REF!,MATCH(TRUE,ISNUMBER(FIND(SUBSTITUTE(SUBSTITUTE(UPPER(#REF!)," ",""),":",": "),SUBSTITUTE(SUBSTITUTE(UPPER(S213)," ",""),":",": "))),0)),"Undefined")</f>
        <v>Undefined</v>
      </c>
      <c r="B213" s="42" t="str" cm="1">
        <f t="array" ref="B213">IFERROR(INDEX({"URGENTE"},MATCH(TRUE,ISNUMBER(FIND(SUBSTITUTE(SUBSTITUTE(UPPER({"URGENTE"})," ",""),":",": "),SUBSTITUTE(SUBSTITUTE(UPPER(S213)," ",""),":",": "))),0)),"-")</f>
        <v>-</v>
      </c>
      <c r="C213" s="46" t="str" cm="1">
        <f t="array" ref="C213">IFERROR(INDEX(#REF!,MATCH(TRUE,ISNUMBER(FIND(SUBSTITUTE(SUBSTITUTE(UPPER(#REF!)," ",""),":",": "),SUBSTITUTE(SUBSTITUTE(UPPER(S213)," ",""),":",": "))),0)),"Não encontrado")</f>
        <v>Não encontrado</v>
      </c>
      <c r="D213" s="46" t="str" cm="1">
        <f t="array" ref="D213">IFERROR(INDEX(#REF!,MATCH(TRUE,ISNUMBER(FIND(SUBSTITUTE(SUBSTITUTE(UPPER(#REF!)," ",""),":",": "),SUBSTITUTE(SUBSTITUTE(UPPER(S213)," ",""),":",": "))),0)),"Não encontrado")</f>
        <v>Não encontrado</v>
      </c>
      <c r="E213" s="42" t="str" cm="1">
        <f t="array" ref="E213">IFERROR(INDEX({"IMPEDITIVO"},MATCH(TRUE,ISNUMBER(FIND(SUBSTITUTE(SUBSTITUTE(UPPER({"IMPEDITIVO"})," ",""),":",": "),SUBSTITUTE(SUBSTITUTE(UPPER(S213)," ",""),":",": "))),0)),"-")</f>
        <v>-</v>
      </c>
      <c r="K213" s="49"/>
    </row>
    <row r="214" spans="1:11" x14ac:dyDescent="0.25">
      <c r="A214" s="46" t="str" cm="1">
        <f t="array" ref="A214">IFERROR(INDEX(#REF!,MATCH(TRUE,ISNUMBER(FIND(SUBSTITUTE(SUBSTITUTE(UPPER(#REF!)," ",""),":",": "),SUBSTITUTE(SUBSTITUTE(UPPER(S214)," ",""),":",": "))),0)),"Undefined")</f>
        <v>Undefined</v>
      </c>
      <c r="B214" s="42" t="str" cm="1">
        <f t="array" ref="B214">IFERROR(INDEX({"URGENTE"},MATCH(TRUE,ISNUMBER(FIND(SUBSTITUTE(SUBSTITUTE(UPPER({"URGENTE"})," ",""),":",": "),SUBSTITUTE(SUBSTITUTE(UPPER(S214)," ",""),":",": "))),0)),"-")</f>
        <v>-</v>
      </c>
      <c r="C214" s="46" t="str" cm="1">
        <f t="array" ref="C214">IFERROR(INDEX(#REF!,MATCH(TRUE,ISNUMBER(FIND(SUBSTITUTE(SUBSTITUTE(UPPER(#REF!)," ",""),":",": "),SUBSTITUTE(SUBSTITUTE(UPPER(S214)," ",""),":",": "))),0)),"Não encontrado")</f>
        <v>Não encontrado</v>
      </c>
      <c r="D214" s="46" t="str" cm="1">
        <f t="array" ref="D214">IFERROR(INDEX(#REF!,MATCH(TRUE,ISNUMBER(FIND(SUBSTITUTE(SUBSTITUTE(UPPER(#REF!)," ",""),":",": "),SUBSTITUTE(SUBSTITUTE(UPPER(S214)," ",""),":",": "))),0)),"Não encontrado")</f>
        <v>Não encontrado</v>
      </c>
      <c r="E214" s="42" t="str" cm="1">
        <f t="array" ref="E214">IFERROR(INDEX({"IMPEDITIVO"},MATCH(TRUE,ISNUMBER(FIND(SUBSTITUTE(SUBSTITUTE(UPPER({"IMPEDITIVO"})," ",""),":",": "),SUBSTITUTE(SUBSTITUTE(UPPER(S214)," ",""),":",": "))),0)),"-")</f>
        <v>-</v>
      </c>
      <c r="K214" s="49"/>
    </row>
    <row r="215" spans="1:11" x14ac:dyDescent="0.25">
      <c r="A215" s="46" t="str" cm="1">
        <f t="array" ref="A215">IFERROR(INDEX(#REF!,MATCH(TRUE,ISNUMBER(FIND(SUBSTITUTE(SUBSTITUTE(UPPER(#REF!)," ",""),":",": "),SUBSTITUTE(SUBSTITUTE(UPPER(S215)," ",""),":",": "))),0)),"Undefined")</f>
        <v>Undefined</v>
      </c>
      <c r="B215" s="42" t="str" cm="1">
        <f t="array" ref="B215">IFERROR(INDEX({"URGENTE"},MATCH(TRUE,ISNUMBER(FIND(SUBSTITUTE(SUBSTITUTE(UPPER({"URGENTE"})," ",""),":",": "),SUBSTITUTE(SUBSTITUTE(UPPER(S215)," ",""),":",": "))),0)),"-")</f>
        <v>-</v>
      </c>
      <c r="C215" s="46" t="str" cm="1">
        <f t="array" ref="C215">IFERROR(INDEX(#REF!,MATCH(TRUE,ISNUMBER(FIND(SUBSTITUTE(SUBSTITUTE(UPPER(#REF!)," ",""),":",": "),SUBSTITUTE(SUBSTITUTE(UPPER(S215)," ",""),":",": "))),0)),"Não encontrado")</f>
        <v>Não encontrado</v>
      </c>
      <c r="D215" s="46" t="str" cm="1">
        <f t="array" ref="D215">IFERROR(INDEX(#REF!,MATCH(TRUE,ISNUMBER(FIND(SUBSTITUTE(SUBSTITUTE(UPPER(#REF!)," ",""),":",": "),SUBSTITUTE(SUBSTITUTE(UPPER(S215)," ",""),":",": "))),0)),"Não encontrado")</f>
        <v>Não encontrado</v>
      </c>
      <c r="E215" s="42" t="str" cm="1">
        <f t="array" ref="E215">IFERROR(INDEX({"IMPEDITIVO"},MATCH(TRUE,ISNUMBER(FIND(SUBSTITUTE(SUBSTITUTE(UPPER({"IMPEDITIVO"})," ",""),":",": "),SUBSTITUTE(SUBSTITUTE(UPPER(S215)," ",""),":",": "))),0)),"-")</f>
        <v>-</v>
      </c>
      <c r="K215" s="49"/>
    </row>
    <row r="216" spans="1:11" x14ac:dyDescent="0.25">
      <c r="A216" s="46" t="str" cm="1">
        <f t="array" ref="A216">IFERROR(INDEX(#REF!,MATCH(TRUE,ISNUMBER(FIND(SUBSTITUTE(SUBSTITUTE(UPPER(#REF!)," ",""),":",": "),SUBSTITUTE(SUBSTITUTE(UPPER(S216)," ",""),":",": "))),0)),"Undefined")</f>
        <v>Undefined</v>
      </c>
      <c r="B216" s="42" t="str" cm="1">
        <f t="array" ref="B216">IFERROR(INDEX({"URGENTE"},MATCH(TRUE,ISNUMBER(FIND(SUBSTITUTE(SUBSTITUTE(UPPER({"URGENTE"})," ",""),":",": "),SUBSTITUTE(SUBSTITUTE(UPPER(S216)," ",""),":",": "))),0)),"-")</f>
        <v>-</v>
      </c>
      <c r="C216" s="46" t="str" cm="1">
        <f t="array" ref="C216">IFERROR(INDEX(#REF!,MATCH(TRUE,ISNUMBER(FIND(SUBSTITUTE(SUBSTITUTE(UPPER(#REF!)," ",""),":",": "),SUBSTITUTE(SUBSTITUTE(UPPER(S216)," ",""),":",": "))),0)),"Não encontrado")</f>
        <v>Não encontrado</v>
      </c>
      <c r="D216" s="46" t="str" cm="1">
        <f t="array" ref="D216">IFERROR(INDEX(#REF!,MATCH(TRUE,ISNUMBER(FIND(SUBSTITUTE(SUBSTITUTE(UPPER(#REF!)," ",""),":",": "),SUBSTITUTE(SUBSTITUTE(UPPER(S216)," ",""),":",": "))),0)),"Não encontrado")</f>
        <v>Não encontrado</v>
      </c>
      <c r="E216" s="42" t="str" cm="1">
        <f t="array" ref="E216">IFERROR(INDEX({"IMPEDITIVO"},MATCH(TRUE,ISNUMBER(FIND(SUBSTITUTE(SUBSTITUTE(UPPER({"IMPEDITIVO"})," ",""),":",": "),SUBSTITUTE(SUBSTITUTE(UPPER(S216)," ",""),":",": "))),0)),"-")</f>
        <v>-</v>
      </c>
      <c r="K216" s="49"/>
    </row>
    <row r="217" spans="1:11" x14ac:dyDescent="0.25">
      <c r="A217" s="46" t="str" cm="1">
        <f t="array" ref="A217">IFERROR(INDEX(#REF!,MATCH(TRUE,ISNUMBER(FIND(SUBSTITUTE(SUBSTITUTE(UPPER(#REF!)," ",""),":",": "),SUBSTITUTE(SUBSTITUTE(UPPER(S217)," ",""),":",": "))),0)),"Undefined")</f>
        <v>Undefined</v>
      </c>
      <c r="B217" s="42" t="str" cm="1">
        <f t="array" ref="B217">IFERROR(INDEX({"URGENTE"},MATCH(TRUE,ISNUMBER(FIND(SUBSTITUTE(SUBSTITUTE(UPPER({"URGENTE"})," ",""),":",": "),SUBSTITUTE(SUBSTITUTE(UPPER(S217)," ",""),":",": "))),0)),"-")</f>
        <v>-</v>
      </c>
      <c r="C217" s="46" t="str" cm="1">
        <f t="array" ref="C217">IFERROR(INDEX(#REF!,MATCH(TRUE,ISNUMBER(FIND(SUBSTITUTE(SUBSTITUTE(UPPER(#REF!)," ",""),":",": "),SUBSTITUTE(SUBSTITUTE(UPPER(S217)," ",""),":",": "))),0)),"Não encontrado")</f>
        <v>Não encontrado</v>
      </c>
      <c r="D217" s="46" t="str" cm="1">
        <f t="array" ref="D217">IFERROR(INDEX(#REF!,MATCH(TRUE,ISNUMBER(FIND(SUBSTITUTE(SUBSTITUTE(UPPER(#REF!)," ",""),":",": "),SUBSTITUTE(SUBSTITUTE(UPPER(S217)," ",""),":",": "))),0)),"Não encontrado")</f>
        <v>Não encontrado</v>
      </c>
      <c r="E217" s="42" t="str" cm="1">
        <f t="array" ref="E217">IFERROR(INDEX({"IMPEDITIVO"},MATCH(TRUE,ISNUMBER(FIND(SUBSTITUTE(SUBSTITUTE(UPPER({"IMPEDITIVO"})," ",""),":",": "),SUBSTITUTE(SUBSTITUTE(UPPER(S217)," ",""),":",": "))),0)),"-")</f>
        <v>-</v>
      </c>
      <c r="K217" s="49"/>
    </row>
    <row r="218" spans="1:11" x14ac:dyDescent="0.25">
      <c r="A218" s="46" t="str" cm="1">
        <f t="array" ref="A218">IFERROR(INDEX(#REF!,MATCH(TRUE,ISNUMBER(FIND(SUBSTITUTE(SUBSTITUTE(UPPER(#REF!)," ",""),":",": "),SUBSTITUTE(SUBSTITUTE(UPPER(S218)," ",""),":",": "))),0)),"Undefined")</f>
        <v>Undefined</v>
      </c>
      <c r="B218" s="42" t="str" cm="1">
        <f t="array" ref="B218">IFERROR(INDEX({"URGENTE"},MATCH(TRUE,ISNUMBER(FIND(SUBSTITUTE(SUBSTITUTE(UPPER({"URGENTE"})," ",""),":",": "),SUBSTITUTE(SUBSTITUTE(UPPER(S218)," ",""),":",": "))),0)),"-")</f>
        <v>-</v>
      </c>
      <c r="C218" s="46" t="str" cm="1">
        <f t="array" ref="C218">IFERROR(INDEX(#REF!,MATCH(TRUE,ISNUMBER(FIND(SUBSTITUTE(SUBSTITUTE(UPPER(#REF!)," ",""),":",": "),SUBSTITUTE(SUBSTITUTE(UPPER(S218)," ",""),":",": "))),0)),"Não encontrado")</f>
        <v>Não encontrado</v>
      </c>
      <c r="D218" s="46" t="str" cm="1">
        <f t="array" ref="D218">IFERROR(INDEX(#REF!,MATCH(TRUE,ISNUMBER(FIND(SUBSTITUTE(SUBSTITUTE(UPPER(#REF!)," ",""),":",": "),SUBSTITUTE(SUBSTITUTE(UPPER(S218)," ",""),":",": "))),0)),"Não encontrado")</f>
        <v>Não encontrado</v>
      </c>
      <c r="E218" s="42" t="str" cm="1">
        <f t="array" ref="E218">IFERROR(INDEX({"IMPEDITIVO"},MATCH(TRUE,ISNUMBER(FIND(SUBSTITUTE(SUBSTITUTE(UPPER({"IMPEDITIVO"})," ",""),":",": "),SUBSTITUTE(SUBSTITUTE(UPPER(S218)," ",""),":",": "))),0)),"-")</f>
        <v>-</v>
      </c>
      <c r="K218" s="49"/>
    </row>
    <row r="219" spans="1:11" x14ac:dyDescent="0.25">
      <c r="A219" s="46" t="str" cm="1">
        <f t="array" ref="A219">IFERROR(INDEX(#REF!,MATCH(TRUE,ISNUMBER(FIND(SUBSTITUTE(SUBSTITUTE(UPPER(#REF!)," ",""),":",": "),SUBSTITUTE(SUBSTITUTE(UPPER(S219)," ",""),":",": "))),0)),"Undefined")</f>
        <v>Undefined</v>
      </c>
      <c r="B219" s="42" t="str" cm="1">
        <f t="array" ref="B219">IFERROR(INDEX({"URGENTE"},MATCH(TRUE,ISNUMBER(FIND(SUBSTITUTE(SUBSTITUTE(UPPER({"URGENTE"})," ",""),":",": "),SUBSTITUTE(SUBSTITUTE(UPPER(S219)," ",""),":",": "))),0)),"-")</f>
        <v>-</v>
      </c>
      <c r="C219" s="46" t="str" cm="1">
        <f t="array" ref="C219">IFERROR(INDEX(#REF!,MATCH(TRUE,ISNUMBER(FIND(SUBSTITUTE(SUBSTITUTE(UPPER(#REF!)," ",""),":",": "),SUBSTITUTE(SUBSTITUTE(UPPER(S219)," ",""),":",": "))),0)),"Não encontrado")</f>
        <v>Não encontrado</v>
      </c>
      <c r="D219" s="46" t="str" cm="1">
        <f t="array" ref="D219">IFERROR(INDEX(#REF!,MATCH(TRUE,ISNUMBER(FIND(SUBSTITUTE(SUBSTITUTE(UPPER(#REF!)," ",""),":",": "),SUBSTITUTE(SUBSTITUTE(UPPER(S219)," ",""),":",": "))),0)),"Não encontrado")</f>
        <v>Não encontrado</v>
      </c>
      <c r="E219" s="42" t="str" cm="1">
        <f t="array" ref="E219">IFERROR(INDEX({"IMPEDITIVO"},MATCH(TRUE,ISNUMBER(FIND(SUBSTITUTE(SUBSTITUTE(UPPER({"IMPEDITIVO"})," ",""),":",": "),SUBSTITUTE(SUBSTITUTE(UPPER(S219)," ",""),":",": "))),0)),"-")</f>
        <v>-</v>
      </c>
      <c r="K219" s="49"/>
    </row>
    <row r="220" spans="1:11" x14ac:dyDescent="0.25">
      <c r="A220" s="46" t="str" cm="1">
        <f t="array" ref="A220">IFERROR(INDEX(#REF!,MATCH(TRUE,ISNUMBER(FIND(SUBSTITUTE(SUBSTITUTE(UPPER(#REF!)," ",""),":",": "),SUBSTITUTE(SUBSTITUTE(UPPER(S220)," ",""),":",": "))),0)),"Undefined")</f>
        <v>Undefined</v>
      </c>
      <c r="B220" s="42" t="str" cm="1">
        <f t="array" ref="B220">IFERROR(INDEX({"URGENTE"},MATCH(TRUE,ISNUMBER(FIND(SUBSTITUTE(SUBSTITUTE(UPPER({"URGENTE"})," ",""),":",": "),SUBSTITUTE(SUBSTITUTE(UPPER(S220)," ",""),":",": "))),0)),"-")</f>
        <v>-</v>
      </c>
      <c r="C220" s="46" t="str" cm="1">
        <f t="array" ref="C220">IFERROR(INDEX(#REF!,MATCH(TRUE,ISNUMBER(FIND(SUBSTITUTE(SUBSTITUTE(UPPER(#REF!)," ",""),":",": "),SUBSTITUTE(SUBSTITUTE(UPPER(S220)," ",""),":",": "))),0)),"Não encontrado")</f>
        <v>Não encontrado</v>
      </c>
      <c r="D220" s="46" t="str" cm="1">
        <f t="array" ref="D220">IFERROR(INDEX(#REF!,MATCH(TRUE,ISNUMBER(FIND(SUBSTITUTE(SUBSTITUTE(UPPER(#REF!)," ",""),":",": "),SUBSTITUTE(SUBSTITUTE(UPPER(S220)," ",""),":",": "))),0)),"Não encontrado")</f>
        <v>Não encontrado</v>
      </c>
      <c r="E220" s="42" t="str" cm="1">
        <f t="array" ref="E220">IFERROR(INDEX({"IMPEDITIVO"},MATCH(TRUE,ISNUMBER(FIND(SUBSTITUTE(SUBSTITUTE(UPPER({"IMPEDITIVO"})," ",""),":",": "),SUBSTITUTE(SUBSTITUTE(UPPER(S220)," ",""),":",": "))),0)),"-")</f>
        <v>-</v>
      </c>
      <c r="K220" s="49"/>
    </row>
    <row r="221" spans="1:11" x14ac:dyDescent="0.25">
      <c r="A221" s="46" t="str" cm="1">
        <f t="array" ref="A221">IFERROR(INDEX(#REF!,MATCH(TRUE,ISNUMBER(FIND(SUBSTITUTE(SUBSTITUTE(UPPER(#REF!)," ",""),":",": "),SUBSTITUTE(SUBSTITUTE(UPPER(S221)," ",""),":",": "))),0)),"Undefined")</f>
        <v>Undefined</v>
      </c>
      <c r="B221" s="42" t="str" cm="1">
        <f t="array" ref="B221">IFERROR(INDEX({"URGENTE"},MATCH(TRUE,ISNUMBER(FIND(SUBSTITUTE(SUBSTITUTE(UPPER({"URGENTE"})," ",""),":",": "),SUBSTITUTE(SUBSTITUTE(UPPER(S221)," ",""),":",": "))),0)),"-")</f>
        <v>-</v>
      </c>
      <c r="C221" s="46" t="str" cm="1">
        <f t="array" ref="C221">IFERROR(INDEX(#REF!,MATCH(TRUE,ISNUMBER(FIND(SUBSTITUTE(SUBSTITUTE(UPPER(#REF!)," ",""),":",": "),SUBSTITUTE(SUBSTITUTE(UPPER(S221)," ",""),":",": "))),0)),"Não encontrado")</f>
        <v>Não encontrado</v>
      </c>
      <c r="D221" s="46" t="str" cm="1">
        <f t="array" ref="D221">IFERROR(INDEX(#REF!,MATCH(TRUE,ISNUMBER(FIND(SUBSTITUTE(SUBSTITUTE(UPPER(#REF!)," ",""),":",": "),SUBSTITUTE(SUBSTITUTE(UPPER(S221)," ",""),":",": "))),0)),"Não encontrado")</f>
        <v>Não encontrado</v>
      </c>
      <c r="E221" s="42" t="str" cm="1">
        <f t="array" ref="E221">IFERROR(INDEX({"IMPEDITIVO"},MATCH(TRUE,ISNUMBER(FIND(SUBSTITUTE(SUBSTITUTE(UPPER({"IMPEDITIVO"})," ",""),":",": "),SUBSTITUTE(SUBSTITUTE(UPPER(S221)," ",""),":",": "))),0)),"-")</f>
        <v>-</v>
      </c>
      <c r="K221" s="49"/>
    </row>
    <row r="222" spans="1:11" x14ac:dyDescent="0.25">
      <c r="A222" s="46" t="str" cm="1">
        <f t="array" ref="A222">IFERROR(INDEX(#REF!,MATCH(TRUE,ISNUMBER(FIND(SUBSTITUTE(SUBSTITUTE(UPPER(#REF!)," ",""),":",": "),SUBSTITUTE(SUBSTITUTE(UPPER(S222)," ",""),":",": "))),0)),"Undefined")</f>
        <v>Undefined</v>
      </c>
      <c r="B222" s="42" t="str" cm="1">
        <f t="array" ref="B222">IFERROR(INDEX({"URGENTE"},MATCH(TRUE,ISNUMBER(FIND(SUBSTITUTE(SUBSTITUTE(UPPER({"URGENTE"})," ",""),":",": "),SUBSTITUTE(SUBSTITUTE(UPPER(S222)," ",""),":",": "))),0)),"-")</f>
        <v>-</v>
      </c>
      <c r="C222" s="46" t="str" cm="1">
        <f t="array" ref="C222">IFERROR(INDEX(#REF!,MATCH(TRUE,ISNUMBER(FIND(SUBSTITUTE(SUBSTITUTE(UPPER(#REF!)," ",""),":",": "),SUBSTITUTE(SUBSTITUTE(UPPER(S222)," ",""),":",": "))),0)),"Não encontrado")</f>
        <v>Não encontrado</v>
      </c>
      <c r="D222" s="46" t="str" cm="1">
        <f t="array" ref="D222">IFERROR(INDEX(#REF!,MATCH(TRUE,ISNUMBER(FIND(SUBSTITUTE(SUBSTITUTE(UPPER(#REF!)," ",""),":",": "),SUBSTITUTE(SUBSTITUTE(UPPER(S222)," ",""),":",": "))),0)),"Não encontrado")</f>
        <v>Não encontrado</v>
      </c>
      <c r="E222" s="42" t="str" cm="1">
        <f t="array" ref="E222">IFERROR(INDEX({"IMPEDITIVO"},MATCH(TRUE,ISNUMBER(FIND(SUBSTITUTE(SUBSTITUTE(UPPER({"IMPEDITIVO"})," ",""),":",": "),SUBSTITUTE(SUBSTITUTE(UPPER(S222)," ",""),":",": "))),0)),"-")</f>
        <v>-</v>
      </c>
      <c r="K222" s="49"/>
    </row>
    <row r="223" spans="1:11" x14ac:dyDescent="0.25">
      <c r="A223" s="46" t="str" cm="1">
        <f t="array" ref="A223">IFERROR(INDEX(#REF!,MATCH(TRUE,ISNUMBER(FIND(SUBSTITUTE(SUBSTITUTE(UPPER(#REF!)," ",""),":",": "),SUBSTITUTE(SUBSTITUTE(UPPER(S223)," ",""),":",": "))),0)),"Undefined")</f>
        <v>Undefined</v>
      </c>
      <c r="B223" s="42" t="str" cm="1">
        <f t="array" ref="B223">IFERROR(INDEX({"URGENTE"},MATCH(TRUE,ISNUMBER(FIND(SUBSTITUTE(SUBSTITUTE(UPPER({"URGENTE"})," ",""),":",": "),SUBSTITUTE(SUBSTITUTE(UPPER(S223)," ",""),":",": "))),0)),"-")</f>
        <v>-</v>
      </c>
      <c r="C223" s="46" t="str" cm="1">
        <f t="array" ref="C223">IFERROR(INDEX(#REF!,MATCH(TRUE,ISNUMBER(FIND(SUBSTITUTE(SUBSTITUTE(UPPER(#REF!)," ",""),":",": "),SUBSTITUTE(SUBSTITUTE(UPPER(S223)," ",""),":",": "))),0)),"Não encontrado")</f>
        <v>Não encontrado</v>
      </c>
      <c r="D223" s="46" t="str" cm="1">
        <f t="array" ref="D223">IFERROR(INDEX(#REF!,MATCH(TRUE,ISNUMBER(FIND(SUBSTITUTE(SUBSTITUTE(UPPER(#REF!)," ",""),":",": "),SUBSTITUTE(SUBSTITUTE(UPPER(S223)," ",""),":",": "))),0)),"Não encontrado")</f>
        <v>Não encontrado</v>
      </c>
      <c r="E223" s="42" t="str" cm="1">
        <f t="array" ref="E223">IFERROR(INDEX({"IMPEDITIVO"},MATCH(TRUE,ISNUMBER(FIND(SUBSTITUTE(SUBSTITUTE(UPPER({"IMPEDITIVO"})," ",""),":",": "),SUBSTITUTE(SUBSTITUTE(UPPER(S223)," ",""),":",": "))),0)),"-")</f>
        <v>-</v>
      </c>
      <c r="K223" s="49"/>
    </row>
    <row r="224" spans="1:11" x14ac:dyDescent="0.25">
      <c r="A224" s="46" t="str" cm="1">
        <f t="array" ref="A224">IFERROR(INDEX(#REF!,MATCH(TRUE,ISNUMBER(FIND(SUBSTITUTE(SUBSTITUTE(UPPER(#REF!)," ",""),":",": "),SUBSTITUTE(SUBSTITUTE(UPPER(S224)," ",""),":",": "))),0)),"Undefined")</f>
        <v>Undefined</v>
      </c>
      <c r="B224" s="42" t="str" cm="1">
        <f t="array" ref="B224">IFERROR(INDEX({"URGENTE"},MATCH(TRUE,ISNUMBER(FIND(SUBSTITUTE(SUBSTITUTE(UPPER({"URGENTE"})," ",""),":",": "),SUBSTITUTE(SUBSTITUTE(UPPER(S224)," ",""),":",": "))),0)),"-")</f>
        <v>-</v>
      </c>
      <c r="C224" s="46" t="str" cm="1">
        <f t="array" ref="C224">IFERROR(INDEX(#REF!,MATCH(TRUE,ISNUMBER(FIND(SUBSTITUTE(SUBSTITUTE(UPPER(#REF!)," ",""),":",": "),SUBSTITUTE(SUBSTITUTE(UPPER(S224)," ",""),":",": "))),0)),"Não encontrado")</f>
        <v>Não encontrado</v>
      </c>
      <c r="D224" s="46" t="str" cm="1">
        <f t="array" ref="D224">IFERROR(INDEX(#REF!,MATCH(TRUE,ISNUMBER(FIND(SUBSTITUTE(SUBSTITUTE(UPPER(#REF!)," ",""),":",": "),SUBSTITUTE(SUBSTITUTE(UPPER(S224)," ",""),":",": "))),0)),"Não encontrado")</f>
        <v>Não encontrado</v>
      </c>
      <c r="E224" s="42" t="str" cm="1">
        <f t="array" ref="E224">IFERROR(INDEX({"IMPEDITIVO"},MATCH(TRUE,ISNUMBER(FIND(SUBSTITUTE(SUBSTITUTE(UPPER({"IMPEDITIVO"})," ",""),":",": "),SUBSTITUTE(SUBSTITUTE(UPPER(S224)," ",""),":",": "))),0)),"-")</f>
        <v>-</v>
      </c>
      <c r="K224" s="49"/>
    </row>
    <row r="225" spans="1:11" x14ac:dyDescent="0.25">
      <c r="A225" s="46" t="str" cm="1">
        <f t="array" ref="A225">IFERROR(INDEX(#REF!,MATCH(TRUE,ISNUMBER(FIND(SUBSTITUTE(SUBSTITUTE(UPPER(#REF!)," ",""),":",": "),SUBSTITUTE(SUBSTITUTE(UPPER(S225)," ",""),":",": "))),0)),"Undefined")</f>
        <v>Undefined</v>
      </c>
      <c r="B225" s="42" t="str" cm="1">
        <f t="array" ref="B225">IFERROR(INDEX({"URGENTE"},MATCH(TRUE,ISNUMBER(FIND(SUBSTITUTE(SUBSTITUTE(UPPER({"URGENTE"})," ",""),":",": "),SUBSTITUTE(SUBSTITUTE(UPPER(S225)," ",""),":",": "))),0)),"-")</f>
        <v>-</v>
      </c>
      <c r="C225" s="46" t="str" cm="1">
        <f t="array" ref="C225">IFERROR(INDEX(#REF!,MATCH(TRUE,ISNUMBER(FIND(SUBSTITUTE(SUBSTITUTE(UPPER(#REF!)," ",""),":",": "),SUBSTITUTE(SUBSTITUTE(UPPER(S225)," ",""),":",": "))),0)),"Não encontrado")</f>
        <v>Não encontrado</v>
      </c>
      <c r="D225" s="46" t="str" cm="1">
        <f t="array" ref="D225">IFERROR(INDEX(#REF!,MATCH(TRUE,ISNUMBER(FIND(SUBSTITUTE(SUBSTITUTE(UPPER(#REF!)," ",""),":",": "),SUBSTITUTE(SUBSTITUTE(UPPER(S225)," ",""),":",": "))),0)),"Não encontrado")</f>
        <v>Não encontrado</v>
      </c>
      <c r="E225" s="42" t="str" cm="1">
        <f t="array" ref="E225">IFERROR(INDEX({"IMPEDITIVO"},MATCH(TRUE,ISNUMBER(FIND(SUBSTITUTE(SUBSTITUTE(UPPER({"IMPEDITIVO"})," ",""),":",": "),SUBSTITUTE(SUBSTITUTE(UPPER(S225)," ",""),":",": "))),0)),"-")</f>
        <v>-</v>
      </c>
      <c r="K225" s="49"/>
    </row>
    <row r="226" spans="1:11" x14ac:dyDescent="0.25">
      <c r="A226" s="46" t="str" cm="1">
        <f t="array" ref="A226">IFERROR(INDEX(#REF!,MATCH(TRUE,ISNUMBER(FIND(SUBSTITUTE(SUBSTITUTE(UPPER(#REF!)," ",""),":",": "),SUBSTITUTE(SUBSTITUTE(UPPER(S226)," ",""),":",": "))),0)),"Undefined")</f>
        <v>Undefined</v>
      </c>
      <c r="B226" s="42" t="str" cm="1">
        <f t="array" ref="B226">IFERROR(INDEX({"URGENTE"},MATCH(TRUE,ISNUMBER(FIND(SUBSTITUTE(SUBSTITUTE(UPPER({"URGENTE"})," ",""),":",": "),SUBSTITUTE(SUBSTITUTE(UPPER(S226)," ",""),":",": "))),0)),"-")</f>
        <v>-</v>
      </c>
      <c r="C226" s="46" t="str" cm="1">
        <f t="array" ref="C226">IFERROR(INDEX(#REF!,MATCH(TRUE,ISNUMBER(FIND(SUBSTITUTE(SUBSTITUTE(UPPER(#REF!)," ",""),":",": "),SUBSTITUTE(SUBSTITUTE(UPPER(S226)," ",""),":",": "))),0)),"Não encontrado")</f>
        <v>Não encontrado</v>
      </c>
      <c r="D226" s="46" t="str" cm="1">
        <f t="array" ref="D226">IFERROR(INDEX(#REF!,MATCH(TRUE,ISNUMBER(FIND(SUBSTITUTE(SUBSTITUTE(UPPER(#REF!)," ",""),":",": "),SUBSTITUTE(SUBSTITUTE(UPPER(S226)," ",""),":",": "))),0)),"Não encontrado")</f>
        <v>Não encontrado</v>
      </c>
      <c r="E226" s="42" t="str" cm="1">
        <f t="array" ref="E226">IFERROR(INDEX({"IMPEDITIVO"},MATCH(TRUE,ISNUMBER(FIND(SUBSTITUTE(SUBSTITUTE(UPPER({"IMPEDITIVO"})," ",""),":",": "),SUBSTITUTE(SUBSTITUTE(UPPER(S226)," ",""),":",": "))),0)),"-")</f>
        <v>-</v>
      </c>
      <c r="K226" s="49"/>
    </row>
    <row r="227" spans="1:11" x14ac:dyDescent="0.25">
      <c r="A227" s="46" t="str" cm="1">
        <f t="array" ref="A227">IFERROR(INDEX(#REF!,MATCH(TRUE,ISNUMBER(FIND(SUBSTITUTE(SUBSTITUTE(UPPER(#REF!)," ",""),":",": "),SUBSTITUTE(SUBSTITUTE(UPPER(S227)," ",""),":",": "))),0)),"Undefined")</f>
        <v>Undefined</v>
      </c>
      <c r="B227" s="42" t="str" cm="1">
        <f t="array" ref="B227">IFERROR(INDEX({"URGENTE"},MATCH(TRUE,ISNUMBER(FIND(SUBSTITUTE(SUBSTITUTE(UPPER({"URGENTE"})," ",""),":",": "),SUBSTITUTE(SUBSTITUTE(UPPER(S227)," ",""),":",": "))),0)),"-")</f>
        <v>-</v>
      </c>
      <c r="C227" s="46" t="str" cm="1">
        <f t="array" ref="C227">IFERROR(INDEX(#REF!,MATCH(TRUE,ISNUMBER(FIND(SUBSTITUTE(SUBSTITUTE(UPPER(#REF!)," ",""),":",": "),SUBSTITUTE(SUBSTITUTE(UPPER(S227)," ",""),":",": "))),0)),"Não encontrado")</f>
        <v>Não encontrado</v>
      </c>
      <c r="D227" s="46" t="str" cm="1">
        <f t="array" ref="D227">IFERROR(INDEX(#REF!,MATCH(TRUE,ISNUMBER(FIND(SUBSTITUTE(SUBSTITUTE(UPPER(#REF!)," ",""),":",": "),SUBSTITUTE(SUBSTITUTE(UPPER(S227)," ",""),":",": "))),0)),"Não encontrado")</f>
        <v>Não encontrado</v>
      </c>
      <c r="E227" s="42" t="str" cm="1">
        <f t="array" ref="E227">IFERROR(INDEX({"IMPEDITIVO"},MATCH(TRUE,ISNUMBER(FIND(SUBSTITUTE(SUBSTITUTE(UPPER({"IMPEDITIVO"})," ",""),":",": "),SUBSTITUTE(SUBSTITUTE(UPPER(S227)," ",""),":",": "))),0)),"-")</f>
        <v>-</v>
      </c>
      <c r="K227" s="49"/>
    </row>
    <row r="228" spans="1:11" x14ac:dyDescent="0.25">
      <c r="A228" s="46" t="str" cm="1">
        <f t="array" ref="A228">IFERROR(INDEX(#REF!,MATCH(TRUE,ISNUMBER(FIND(SUBSTITUTE(SUBSTITUTE(UPPER(#REF!)," ",""),":",": "),SUBSTITUTE(SUBSTITUTE(UPPER(S228)," ",""),":",": "))),0)),"Undefined")</f>
        <v>Undefined</v>
      </c>
      <c r="B228" s="42" t="str" cm="1">
        <f t="array" ref="B228">IFERROR(INDEX({"URGENTE"},MATCH(TRUE,ISNUMBER(FIND(SUBSTITUTE(SUBSTITUTE(UPPER({"URGENTE"})," ",""),":",": "),SUBSTITUTE(SUBSTITUTE(UPPER(S228)," ",""),":",": "))),0)),"-")</f>
        <v>-</v>
      </c>
      <c r="C228" s="46" t="str" cm="1">
        <f t="array" ref="C228">IFERROR(INDEX(#REF!,MATCH(TRUE,ISNUMBER(FIND(SUBSTITUTE(SUBSTITUTE(UPPER(#REF!)," ",""),":",": "),SUBSTITUTE(SUBSTITUTE(UPPER(S228)," ",""),":",": "))),0)),"Não encontrado")</f>
        <v>Não encontrado</v>
      </c>
      <c r="D228" s="46" t="str" cm="1">
        <f t="array" ref="D228">IFERROR(INDEX(#REF!,MATCH(TRUE,ISNUMBER(FIND(SUBSTITUTE(SUBSTITUTE(UPPER(#REF!)," ",""),":",": "),SUBSTITUTE(SUBSTITUTE(UPPER(S228)," ",""),":",": "))),0)),"Não encontrado")</f>
        <v>Não encontrado</v>
      </c>
      <c r="E228" s="42" t="str" cm="1">
        <f t="array" ref="E228">IFERROR(INDEX({"IMPEDITIVO"},MATCH(TRUE,ISNUMBER(FIND(SUBSTITUTE(SUBSTITUTE(UPPER({"IMPEDITIVO"})," ",""),":",": "),SUBSTITUTE(SUBSTITUTE(UPPER(S228)," ",""),":",": "))),0)),"-")</f>
        <v>-</v>
      </c>
      <c r="K228" s="49"/>
    </row>
    <row r="229" spans="1:11" x14ac:dyDescent="0.25">
      <c r="A229" s="46" t="str" cm="1">
        <f t="array" ref="A229">IFERROR(INDEX(#REF!,MATCH(TRUE,ISNUMBER(FIND(SUBSTITUTE(SUBSTITUTE(UPPER(#REF!)," ",""),":",": "),SUBSTITUTE(SUBSTITUTE(UPPER(S229)," ",""),":",": "))),0)),"Undefined")</f>
        <v>Undefined</v>
      </c>
      <c r="B229" s="42" t="str" cm="1">
        <f t="array" ref="B229">IFERROR(INDEX({"URGENTE"},MATCH(TRUE,ISNUMBER(FIND(SUBSTITUTE(SUBSTITUTE(UPPER({"URGENTE"})," ",""),":",": "),SUBSTITUTE(SUBSTITUTE(UPPER(S229)," ",""),":",": "))),0)),"-")</f>
        <v>-</v>
      </c>
      <c r="C229" s="46" t="str" cm="1">
        <f t="array" ref="C229">IFERROR(INDEX(#REF!,MATCH(TRUE,ISNUMBER(FIND(SUBSTITUTE(SUBSTITUTE(UPPER(#REF!)," ",""),":",": "),SUBSTITUTE(SUBSTITUTE(UPPER(S229)," ",""),":",": "))),0)),"Não encontrado")</f>
        <v>Não encontrado</v>
      </c>
      <c r="D229" s="46" t="str" cm="1">
        <f t="array" ref="D229">IFERROR(INDEX(#REF!,MATCH(TRUE,ISNUMBER(FIND(SUBSTITUTE(SUBSTITUTE(UPPER(#REF!)," ",""),":",": "),SUBSTITUTE(SUBSTITUTE(UPPER(S229)," ",""),":",": "))),0)),"Não encontrado")</f>
        <v>Não encontrado</v>
      </c>
      <c r="E229" s="42" t="str" cm="1">
        <f t="array" ref="E229">IFERROR(INDEX({"IMPEDITIVO"},MATCH(TRUE,ISNUMBER(FIND(SUBSTITUTE(SUBSTITUTE(UPPER({"IMPEDITIVO"})," ",""),":",": "),SUBSTITUTE(SUBSTITUTE(UPPER(S229)," ",""),":",": "))),0)),"-")</f>
        <v>-</v>
      </c>
      <c r="K229" s="49"/>
    </row>
    <row r="230" spans="1:11" x14ac:dyDescent="0.25">
      <c r="A230" s="46" t="str" cm="1">
        <f t="array" ref="A230">IFERROR(INDEX(#REF!,MATCH(TRUE,ISNUMBER(FIND(SUBSTITUTE(SUBSTITUTE(UPPER(#REF!)," ",""),":",": "),SUBSTITUTE(SUBSTITUTE(UPPER(S230)," ",""),":",": "))),0)),"Undefined")</f>
        <v>Undefined</v>
      </c>
      <c r="B230" s="42" t="str" cm="1">
        <f t="array" ref="B230">IFERROR(INDEX({"URGENTE"},MATCH(TRUE,ISNUMBER(FIND(SUBSTITUTE(SUBSTITUTE(UPPER({"URGENTE"})," ",""),":",": "),SUBSTITUTE(SUBSTITUTE(UPPER(S230)," ",""),":",": "))),0)),"-")</f>
        <v>-</v>
      </c>
      <c r="C230" s="46" t="str" cm="1">
        <f t="array" ref="C230">IFERROR(INDEX(#REF!,MATCH(TRUE,ISNUMBER(FIND(SUBSTITUTE(SUBSTITUTE(UPPER(#REF!)," ",""),":",": "),SUBSTITUTE(SUBSTITUTE(UPPER(S230)," ",""),":",": "))),0)),"Não encontrado")</f>
        <v>Não encontrado</v>
      </c>
      <c r="D230" s="46" t="str" cm="1">
        <f t="array" ref="D230">IFERROR(INDEX(#REF!,MATCH(TRUE,ISNUMBER(FIND(SUBSTITUTE(SUBSTITUTE(UPPER(#REF!)," ",""),":",": "),SUBSTITUTE(SUBSTITUTE(UPPER(S230)," ",""),":",": "))),0)),"Não encontrado")</f>
        <v>Não encontrado</v>
      </c>
      <c r="E230" s="42" t="str" cm="1">
        <f t="array" ref="E230">IFERROR(INDEX({"IMPEDITIVO"},MATCH(TRUE,ISNUMBER(FIND(SUBSTITUTE(SUBSTITUTE(UPPER({"IMPEDITIVO"})," ",""),":",": "),SUBSTITUTE(SUBSTITUTE(UPPER(S230)," ",""),":",": "))),0)),"-")</f>
        <v>-</v>
      </c>
      <c r="K230" s="49"/>
    </row>
    <row r="231" spans="1:11" x14ac:dyDescent="0.25">
      <c r="A231" s="46" t="str" cm="1">
        <f t="array" ref="A231">IFERROR(INDEX(#REF!,MATCH(TRUE,ISNUMBER(FIND(SUBSTITUTE(SUBSTITUTE(UPPER(#REF!)," ",""),":",": "),SUBSTITUTE(SUBSTITUTE(UPPER(S231)," ",""),":",": "))),0)),"Undefined")</f>
        <v>Undefined</v>
      </c>
      <c r="B231" s="42" t="str" cm="1">
        <f t="array" ref="B231">IFERROR(INDEX({"URGENTE"},MATCH(TRUE,ISNUMBER(FIND(SUBSTITUTE(SUBSTITUTE(UPPER({"URGENTE"})," ",""),":",": "),SUBSTITUTE(SUBSTITUTE(UPPER(S231)," ",""),":",": "))),0)),"-")</f>
        <v>-</v>
      </c>
      <c r="C231" s="46" t="str" cm="1">
        <f t="array" ref="C231">IFERROR(INDEX(#REF!,MATCH(TRUE,ISNUMBER(FIND(SUBSTITUTE(SUBSTITUTE(UPPER(#REF!)," ",""),":",": "),SUBSTITUTE(SUBSTITUTE(UPPER(S231)," ",""),":",": "))),0)),"Não encontrado")</f>
        <v>Não encontrado</v>
      </c>
      <c r="D231" s="46" t="str" cm="1">
        <f t="array" ref="D231">IFERROR(INDEX(#REF!,MATCH(TRUE,ISNUMBER(FIND(SUBSTITUTE(SUBSTITUTE(UPPER(#REF!)," ",""),":",": "),SUBSTITUTE(SUBSTITUTE(UPPER(S231)," ",""),":",": "))),0)),"Não encontrado")</f>
        <v>Não encontrado</v>
      </c>
      <c r="E231" s="42" t="str" cm="1">
        <f t="array" ref="E231">IFERROR(INDEX({"IMPEDITIVO"},MATCH(TRUE,ISNUMBER(FIND(SUBSTITUTE(SUBSTITUTE(UPPER({"IMPEDITIVO"})," ",""),":",": "),SUBSTITUTE(SUBSTITUTE(UPPER(S231)," ",""),":",": "))),0)),"-")</f>
        <v>-</v>
      </c>
      <c r="K231" s="49"/>
    </row>
    <row r="232" spans="1:11" x14ac:dyDescent="0.25">
      <c r="A232" s="46" t="str" cm="1">
        <f t="array" ref="A232">IFERROR(INDEX(#REF!,MATCH(TRUE,ISNUMBER(FIND(SUBSTITUTE(SUBSTITUTE(UPPER(#REF!)," ",""),":",": "),SUBSTITUTE(SUBSTITUTE(UPPER(S232)," ",""),":",": "))),0)),"Undefined")</f>
        <v>Undefined</v>
      </c>
      <c r="B232" s="42" t="str" cm="1">
        <f t="array" ref="B232">IFERROR(INDEX({"URGENTE"},MATCH(TRUE,ISNUMBER(FIND(SUBSTITUTE(SUBSTITUTE(UPPER({"URGENTE"})," ",""),":",": "),SUBSTITUTE(SUBSTITUTE(UPPER(S232)," ",""),":",": "))),0)),"-")</f>
        <v>-</v>
      </c>
      <c r="C232" s="46" t="str" cm="1">
        <f t="array" ref="C232">IFERROR(INDEX(#REF!,MATCH(TRUE,ISNUMBER(FIND(SUBSTITUTE(SUBSTITUTE(UPPER(#REF!)," ",""),":",": "),SUBSTITUTE(SUBSTITUTE(UPPER(S232)," ",""),":",": "))),0)),"Não encontrado")</f>
        <v>Não encontrado</v>
      </c>
      <c r="D232" s="46" t="str" cm="1">
        <f t="array" ref="D232">IFERROR(INDEX(#REF!,MATCH(TRUE,ISNUMBER(FIND(SUBSTITUTE(SUBSTITUTE(UPPER(#REF!)," ",""),":",": "),SUBSTITUTE(SUBSTITUTE(UPPER(S232)," ",""),":",": "))),0)),"Não encontrado")</f>
        <v>Não encontrado</v>
      </c>
      <c r="E232" s="42" t="str" cm="1">
        <f t="array" ref="E232">IFERROR(INDEX({"IMPEDITIVO"},MATCH(TRUE,ISNUMBER(FIND(SUBSTITUTE(SUBSTITUTE(UPPER({"IMPEDITIVO"})," ",""),":",": "),SUBSTITUTE(SUBSTITUTE(UPPER(S232)," ",""),":",": "))),0)),"-")</f>
        <v>-</v>
      </c>
      <c r="K232" s="49"/>
    </row>
    <row r="233" spans="1:11" x14ac:dyDescent="0.25">
      <c r="A233" s="46" t="str" cm="1">
        <f t="array" ref="A233">IFERROR(INDEX(#REF!,MATCH(TRUE,ISNUMBER(FIND(SUBSTITUTE(SUBSTITUTE(UPPER(#REF!)," ",""),":",": "),SUBSTITUTE(SUBSTITUTE(UPPER(S233)," ",""),":",": "))),0)),"Undefined")</f>
        <v>Undefined</v>
      </c>
      <c r="B233" s="42" t="str" cm="1">
        <f t="array" ref="B233">IFERROR(INDEX({"URGENTE"},MATCH(TRUE,ISNUMBER(FIND(SUBSTITUTE(SUBSTITUTE(UPPER({"URGENTE"})," ",""),":",": "),SUBSTITUTE(SUBSTITUTE(UPPER(S233)," ",""),":",": "))),0)),"-")</f>
        <v>-</v>
      </c>
      <c r="C233" s="46" t="str" cm="1">
        <f t="array" ref="C233">IFERROR(INDEX(#REF!,MATCH(TRUE,ISNUMBER(FIND(SUBSTITUTE(SUBSTITUTE(UPPER(#REF!)," ",""),":",": "),SUBSTITUTE(SUBSTITUTE(UPPER(S233)," ",""),":",": "))),0)),"Não encontrado")</f>
        <v>Não encontrado</v>
      </c>
      <c r="D233" s="46" t="str" cm="1">
        <f t="array" ref="D233">IFERROR(INDEX(#REF!,MATCH(TRUE,ISNUMBER(FIND(SUBSTITUTE(SUBSTITUTE(UPPER(#REF!)," ",""),":",": "),SUBSTITUTE(SUBSTITUTE(UPPER(S233)," ",""),":",": "))),0)),"Não encontrado")</f>
        <v>Não encontrado</v>
      </c>
      <c r="E233" s="42" t="str" cm="1">
        <f t="array" ref="E233">IFERROR(INDEX({"IMPEDITIVO"},MATCH(TRUE,ISNUMBER(FIND(SUBSTITUTE(SUBSTITUTE(UPPER({"IMPEDITIVO"})," ",""),":",": "),SUBSTITUTE(SUBSTITUTE(UPPER(S233)," ",""),":",": "))),0)),"-")</f>
        <v>-</v>
      </c>
      <c r="K233" s="49"/>
    </row>
    <row r="234" spans="1:11" x14ac:dyDescent="0.25">
      <c r="A234" s="46" t="str" cm="1">
        <f t="array" ref="A234">IFERROR(INDEX(#REF!,MATCH(TRUE,ISNUMBER(FIND(SUBSTITUTE(SUBSTITUTE(UPPER(#REF!)," ",""),":",": "),SUBSTITUTE(SUBSTITUTE(UPPER(S234)," ",""),":",": "))),0)),"Undefined")</f>
        <v>Undefined</v>
      </c>
      <c r="B234" s="42" t="str" cm="1">
        <f t="array" ref="B234">IFERROR(INDEX({"URGENTE"},MATCH(TRUE,ISNUMBER(FIND(SUBSTITUTE(SUBSTITUTE(UPPER({"URGENTE"})," ",""),":",": "),SUBSTITUTE(SUBSTITUTE(UPPER(S234)," ",""),":",": "))),0)),"-")</f>
        <v>-</v>
      </c>
      <c r="C234" s="46" t="str" cm="1">
        <f t="array" ref="C234">IFERROR(INDEX(#REF!,MATCH(TRUE,ISNUMBER(FIND(SUBSTITUTE(SUBSTITUTE(UPPER(#REF!)," ",""),":",": "),SUBSTITUTE(SUBSTITUTE(UPPER(S234)," ",""),":",": "))),0)),"Não encontrado")</f>
        <v>Não encontrado</v>
      </c>
      <c r="D234" s="46" t="str" cm="1">
        <f t="array" ref="D234">IFERROR(INDEX(#REF!,MATCH(TRUE,ISNUMBER(FIND(SUBSTITUTE(SUBSTITUTE(UPPER(#REF!)," ",""),":",": "),SUBSTITUTE(SUBSTITUTE(UPPER(S234)," ",""),":",": "))),0)),"Não encontrado")</f>
        <v>Não encontrado</v>
      </c>
      <c r="E234" s="42" t="str" cm="1">
        <f t="array" ref="E234">IFERROR(INDEX({"IMPEDITIVO"},MATCH(TRUE,ISNUMBER(FIND(SUBSTITUTE(SUBSTITUTE(UPPER({"IMPEDITIVO"})," ",""),":",": "),SUBSTITUTE(SUBSTITUTE(UPPER(S234)," ",""),":",": "))),0)),"-")</f>
        <v>-</v>
      </c>
      <c r="K234" s="49"/>
    </row>
    <row r="235" spans="1:11" x14ac:dyDescent="0.25">
      <c r="A235" s="46" t="str" cm="1">
        <f t="array" ref="A235">IFERROR(INDEX(#REF!,MATCH(TRUE,ISNUMBER(FIND(SUBSTITUTE(SUBSTITUTE(UPPER(#REF!)," ",""),":",": "),SUBSTITUTE(SUBSTITUTE(UPPER(S235)," ",""),":",": "))),0)),"Undefined")</f>
        <v>Undefined</v>
      </c>
      <c r="B235" s="42" t="str" cm="1">
        <f t="array" ref="B235">IFERROR(INDEX({"URGENTE"},MATCH(TRUE,ISNUMBER(FIND(SUBSTITUTE(SUBSTITUTE(UPPER({"URGENTE"})," ",""),":",": "),SUBSTITUTE(SUBSTITUTE(UPPER(S235)," ",""),":",": "))),0)),"-")</f>
        <v>-</v>
      </c>
      <c r="C235" s="46" t="str" cm="1">
        <f t="array" ref="C235">IFERROR(INDEX(#REF!,MATCH(TRUE,ISNUMBER(FIND(SUBSTITUTE(SUBSTITUTE(UPPER(#REF!)," ",""),":",": "),SUBSTITUTE(SUBSTITUTE(UPPER(S235)," ",""),":",": "))),0)),"Não encontrado")</f>
        <v>Não encontrado</v>
      </c>
      <c r="D235" s="46" t="str" cm="1">
        <f t="array" ref="D235">IFERROR(INDEX(#REF!,MATCH(TRUE,ISNUMBER(FIND(SUBSTITUTE(SUBSTITUTE(UPPER(#REF!)," ",""),":",": "),SUBSTITUTE(SUBSTITUTE(UPPER(S235)," ",""),":",": "))),0)),"Não encontrado")</f>
        <v>Não encontrado</v>
      </c>
      <c r="E235" s="42" t="str" cm="1">
        <f t="array" ref="E235">IFERROR(INDEX({"IMPEDITIVO"},MATCH(TRUE,ISNUMBER(FIND(SUBSTITUTE(SUBSTITUTE(UPPER({"IMPEDITIVO"})," ",""),":",": "),SUBSTITUTE(SUBSTITUTE(UPPER(S235)," ",""),":",": "))),0)),"-")</f>
        <v>-</v>
      </c>
      <c r="K235" s="49"/>
    </row>
    <row r="236" spans="1:11" x14ac:dyDescent="0.25">
      <c r="A236" s="46" t="str" cm="1">
        <f t="array" ref="A236">IFERROR(INDEX(#REF!,MATCH(TRUE,ISNUMBER(FIND(SUBSTITUTE(SUBSTITUTE(UPPER(#REF!)," ",""),":",": "),SUBSTITUTE(SUBSTITUTE(UPPER(S236)," ",""),":",": "))),0)),"Undefined")</f>
        <v>Undefined</v>
      </c>
      <c r="B236" s="42" t="str" cm="1">
        <f t="array" ref="B236">IFERROR(INDEX({"URGENTE"},MATCH(TRUE,ISNUMBER(FIND(SUBSTITUTE(SUBSTITUTE(UPPER({"URGENTE"})," ",""),":",": "),SUBSTITUTE(SUBSTITUTE(UPPER(S236)," ",""),":",": "))),0)),"-")</f>
        <v>-</v>
      </c>
      <c r="C236" s="46" t="str" cm="1">
        <f t="array" ref="C236">IFERROR(INDEX(#REF!,MATCH(TRUE,ISNUMBER(FIND(SUBSTITUTE(SUBSTITUTE(UPPER(#REF!)," ",""),":",": "),SUBSTITUTE(SUBSTITUTE(UPPER(S236)," ",""),":",": "))),0)),"Não encontrado")</f>
        <v>Não encontrado</v>
      </c>
      <c r="D236" s="46" t="str" cm="1">
        <f t="array" ref="D236">IFERROR(INDEX(#REF!,MATCH(TRUE,ISNUMBER(FIND(SUBSTITUTE(SUBSTITUTE(UPPER(#REF!)," ",""),":",": "),SUBSTITUTE(SUBSTITUTE(UPPER(S236)," ",""),":",": "))),0)),"Não encontrado")</f>
        <v>Não encontrado</v>
      </c>
      <c r="E236" s="42" t="str" cm="1">
        <f t="array" ref="E236">IFERROR(INDEX({"IMPEDITIVO"},MATCH(TRUE,ISNUMBER(FIND(SUBSTITUTE(SUBSTITUTE(UPPER({"IMPEDITIVO"})," ",""),":",": "),SUBSTITUTE(SUBSTITUTE(UPPER(S236)," ",""),":",": "))),0)),"-")</f>
        <v>-</v>
      </c>
      <c r="K236" s="49"/>
    </row>
    <row r="237" spans="1:11" x14ac:dyDescent="0.25">
      <c r="A237" s="46" t="str" cm="1">
        <f t="array" ref="A237">IFERROR(INDEX(#REF!,MATCH(TRUE,ISNUMBER(FIND(SUBSTITUTE(SUBSTITUTE(UPPER(#REF!)," ",""),":",": "),SUBSTITUTE(SUBSTITUTE(UPPER(S237)," ",""),":",": "))),0)),"Undefined")</f>
        <v>Undefined</v>
      </c>
      <c r="B237" s="42" t="str" cm="1">
        <f t="array" ref="B237">IFERROR(INDEX({"URGENTE"},MATCH(TRUE,ISNUMBER(FIND(SUBSTITUTE(SUBSTITUTE(UPPER({"URGENTE"})," ",""),":",": "),SUBSTITUTE(SUBSTITUTE(UPPER(S237)," ",""),":",": "))),0)),"-")</f>
        <v>-</v>
      </c>
      <c r="C237" s="46" t="str" cm="1">
        <f t="array" ref="C237">IFERROR(INDEX(#REF!,MATCH(TRUE,ISNUMBER(FIND(SUBSTITUTE(SUBSTITUTE(UPPER(#REF!)," ",""),":",": "),SUBSTITUTE(SUBSTITUTE(UPPER(S237)," ",""),":",": "))),0)),"Não encontrado")</f>
        <v>Não encontrado</v>
      </c>
      <c r="D237" s="46" t="str" cm="1">
        <f t="array" ref="D237">IFERROR(INDEX(#REF!,MATCH(TRUE,ISNUMBER(FIND(SUBSTITUTE(SUBSTITUTE(UPPER(#REF!)," ",""),":",": "),SUBSTITUTE(SUBSTITUTE(UPPER(S237)," ",""),":",": "))),0)),"Não encontrado")</f>
        <v>Não encontrado</v>
      </c>
      <c r="E237" s="42" t="str" cm="1">
        <f t="array" ref="E237">IFERROR(INDEX({"IMPEDITIVO"},MATCH(TRUE,ISNUMBER(FIND(SUBSTITUTE(SUBSTITUTE(UPPER({"IMPEDITIVO"})," ",""),":",": "),SUBSTITUTE(SUBSTITUTE(UPPER(S237)," ",""),":",": "))),0)),"-")</f>
        <v>-</v>
      </c>
      <c r="K237" s="49"/>
    </row>
    <row r="238" spans="1:11" x14ac:dyDescent="0.25">
      <c r="A238" s="46" t="str" cm="1">
        <f t="array" ref="A238">IFERROR(INDEX(#REF!,MATCH(TRUE,ISNUMBER(FIND(SUBSTITUTE(SUBSTITUTE(UPPER(#REF!)," ",""),":",": "),SUBSTITUTE(SUBSTITUTE(UPPER(S238)," ",""),":",": "))),0)),"Undefined")</f>
        <v>Undefined</v>
      </c>
      <c r="B238" s="42" t="str" cm="1">
        <f t="array" ref="B238">IFERROR(INDEX({"URGENTE"},MATCH(TRUE,ISNUMBER(FIND(SUBSTITUTE(SUBSTITUTE(UPPER({"URGENTE"})," ",""),":",": "),SUBSTITUTE(SUBSTITUTE(UPPER(S238)," ",""),":",": "))),0)),"-")</f>
        <v>-</v>
      </c>
      <c r="C238" s="46" t="str" cm="1">
        <f t="array" ref="C238">IFERROR(INDEX(#REF!,MATCH(TRUE,ISNUMBER(FIND(SUBSTITUTE(SUBSTITUTE(UPPER(#REF!)," ",""),":",": "),SUBSTITUTE(SUBSTITUTE(UPPER(S238)," ",""),":",": "))),0)),"Não encontrado")</f>
        <v>Não encontrado</v>
      </c>
      <c r="D238" s="46" t="str" cm="1">
        <f t="array" ref="D238">IFERROR(INDEX(#REF!,MATCH(TRUE,ISNUMBER(FIND(SUBSTITUTE(SUBSTITUTE(UPPER(#REF!)," ",""),":",": "),SUBSTITUTE(SUBSTITUTE(UPPER(S238)," ",""),":",": "))),0)),"Não encontrado")</f>
        <v>Não encontrado</v>
      </c>
      <c r="E238" s="42" t="str" cm="1">
        <f t="array" ref="E238">IFERROR(INDEX({"IMPEDITIVO"},MATCH(TRUE,ISNUMBER(FIND(SUBSTITUTE(SUBSTITUTE(UPPER({"IMPEDITIVO"})," ",""),":",": "),SUBSTITUTE(SUBSTITUTE(UPPER(S238)," ",""),":",": "))),0)),"-")</f>
        <v>-</v>
      </c>
      <c r="K238" s="49"/>
    </row>
    <row r="239" spans="1:11" x14ac:dyDescent="0.25">
      <c r="A239" s="46" t="str" cm="1">
        <f t="array" ref="A239">IFERROR(INDEX(#REF!,MATCH(TRUE,ISNUMBER(FIND(SUBSTITUTE(SUBSTITUTE(UPPER(#REF!)," ",""),":",": "),SUBSTITUTE(SUBSTITUTE(UPPER(S239)," ",""),":",": "))),0)),"Undefined")</f>
        <v>Undefined</v>
      </c>
      <c r="B239" s="42" t="str" cm="1">
        <f t="array" ref="B239">IFERROR(INDEX({"URGENTE"},MATCH(TRUE,ISNUMBER(FIND(SUBSTITUTE(SUBSTITUTE(UPPER({"URGENTE"})," ",""),":",": "),SUBSTITUTE(SUBSTITUTE(UPPER(S239)," ",""),":",": "))),0)),"-")</f>
        <v>-</v>
      </c>
      <c r="C239" s="46" t="str" cm="1">
        <f t="array" ref="C239">IFERROR(INDEX(#REF!,MATCH(TRUE,ISNUMBER(FIND(SUBSTITUTE(SUBSTITUTE(UPPER(#REF!)," ",""),":",": "),SUBSTITUTE(SUBSTITUTE(UPPER(S239)," ",""),":",": "))),0)),"Não encontrado")</f>
        <v>Não encontrado</v>
      </c>
      <c r="D239" s="46" t="str" cm="1">
        <f t="array" ref="D239">IFERROR(INDEX(#REF!,MATCH(TRUE,ISNUMBER(FIND(SUBSTITUTE(SUBSTITUTE(UPPER(#REF!)," ",""),":",": "),SUBSTITUTE(SUBSTITUTE(UPPER(S239)," ",""),":",": "))),0)),"Não encontrado")</f>
        <v>Não encontrado</v>
      </c>
      <c r="E239" s="42" t="str" cm="1">
        <f t="array" ref="E239">IFERROR(INDEX({"IMPEDITIVO"},MATCH(TRUE,ISNUMBER(FIND(SUBSTITUTE(SUBSTITUTE(UPPER({"IMPEDITIVO"})," ",""),":",": "),SUBSTITUTE(SUBSTITUTE(UPPER(S239)," ",""),":",": "))),0)),"-")</f>
        <v>-</v>
      </c>
      <c r="K239" s="49"/>
    </row>
    <row r="240" spans="1:11" x14ac:dyDescent="0.25">
      <c r="A240" s="46" t="str" cm="1">
        <f t="array" ref="A240">IFERROR(INDEX(#REF!,MATCH(TRUE,ISNUMBER(FIND(SUBSTITUTE(SUBSTITUTE(UPPER(#REF!)," ",""),":",": "),SUBSTITUTE(SUBSTITUTE(UPPER(S240)," ",""),":",": "))),0)),"Undefined")</f>
        <v>Undefined</v>
      </c>
      <c r="B240" s="42" t="str" cm="1">
        <f t="array" ref="B240">IFERROR(INDEX({"URGENTE"},MATCH(TRUE,ISNUMBER(FIND(SUBSTITUTE(SUBSTITUTE(UPPER({"URGENTE"})," ",""),":",": "),SUBSTITUTE(SUBSTITUTE(UPPER(S240)," ",""),":",": "))),0)),"-")</f>
        <v>-</v>
      </c>
      <c r="C240" s="46" t="str" cm="1">
        <f t="array" ref="C240">IFERROR(INDEX(#REF!,MATCH(TRUE,ISNUMBER(FIND(SUBSTITUTE(SUBSTITUTE(UPPER(#REF!)," ",""),":",": "),SUBSTITUTE(SUBSTITUTE(UPPER(S240)," ",""),":",": "))),0)),"Não encontrado")</f>
        <v>Não encontrado</v>
      </c>
      <c r="D240" s="46" t="str" cm="1">
        <f t="array" ref="D240">IFERROR(INDEX(#REF!,MATCH(TRUE,ISNUMBER(FIND(SUBSTITUTE(SUBSTITUTE(UPPER(#REF!)," ",""),":",": "),SUBSTITUTE(SUBSTITUTE(UPPER(S240)," ",""),":",": "))),0)),"Não encontrado")</f>
        <v>Não encontrado</v>
      </c>
      <c r="E240" s="42" t="str" cm="1">
        <f t="array" ref="E240">IFERROR(INDEX({"IMPEDITIVO"},MATCH(TRUE,ISNUMBER(FIND(SUBSTITUTE(SUBSTITUTE(UPPER({"IMPEDITIVO"})," ",""),":",": "),SUBSTITUTE(SUBSTITUTE(UPPER(S240)," ",""),":",": "))),0)),"-")</f>
        <v>-</v>
      </c>
      <c r="K240" s="49"/>
    </row>
    <row r="241" spans="1:11" x14ac:dyDescent="0.25">
      <c r="A241" s="46" t="str" cm="1">
        <f t="array" ref="A241">IFERROR(INDEX(#REF!,MATCH(TRUE,ISNUMBER(FIND(SUBSTITUTE(SUBSTITUTE(UPPER(#REF!)," ",""),":",": "),SUBSTITUTE(SUBSTITUTE(UPPER(S241)," ",""),":",": "))),0)),"Undefined")</f>
        <v>Undefined</v>
      </c>
      <c r="B241" s="42" t="str" cm="1">
        <f t="array" ref="B241">IFERROR(INDEX({"URGENTE"},MATCH(TRUE,ISNUMBER(FIND(SUBSTITUTE(SUBSTITUTE(UPPER({"URGENTE"})," ",""),":",": "),SUBSTITUTE(SUBSTITUTE(UPPER(S241)," ",""),":",": "))),0)),"-")</f>
        <v>-</v>
      </c>
      <c r="C241" s="46" t="str" cm="1">
        <f t="array" ref="C241">IFERROR(INDEX(#REF!,MATCH(TRUE,ISNUMBER(FIND(SUBSTITUTE(SUBSTITUTE(UPPER(#REF!)," ",""),":",": "),SUBSTITUTE(SUBSTITUTE(UPPER(S241)," ",""),":",": "))),0)),"Não encontrado")</f>
        <v>Não encontrado</v>
      </c>
      <c r="D241" s="46" t="str" cm="1">
        <f t="array" ref="D241">IFERROR(INDEX(#REF!,MATCH(TRUE,ISNUMBER(FIND(SUBSTITUTE(SUBSTITUTE(UPPER(#REF!)," ",""),":",": "),SUBSTITUTE(SUBSTITUTE(UPPER(S241)," ",""),":",": "))),0)),"Não encontrado")</f>
        <v>Não encontrado</v>
      </c>
      <c r="E241" s="42" t="str" cm="1">
        <f t="array" ref="E241">IFERROR(INDEX({"IMPEDITIVO"},MATCH(TRUE,ISNUMBER(FIND(SUBSTITUTE(SUBSTITUTE(UPPER({"IMPEDITIVO"})," ",""),":",": "),SUBSTITUTE(SUBSTITUTE(UPPER(S241)," ",""),":",": "))),0)),"-")</f>
        <v>-</v>
      </c>
      <c r="K241" s="49"/>
    </row>
    <row r="242" spans="1:11" x14ac:dyDescent="0.25">
      <c r="A242" s="46" t="str" cm="1">
        <f t="array" ref="A242">IFERROR(INDEX(#REF!,MATCH(TRUE,ISNUMBER(FIND(SUBSTITUTE(SUBSTITUTE(UPPER(#REF!)," ",""),":",": "),SUBSTITUTE(SUBSTITUTE(UPPER(S242)," ",""),":",": "))),0)),"Undefined")</f>
        <v>Undefined</v>
      </c>
      <c r="B242" s="42" t="str" cm="1">
        <f t="array" ref="B242">IFERROR(INDEX({"URGENTE"},MATCH(TRUE,ISNUMBER(FIND(SUBSTITUTE(SUBSTITUTE(UPPER({"URGENTE"})," ",""),":",": "),SUBSTITUTE(SUBSTITUTE(UPPER(S242)," ",""),":",": "))),0)),"-")</f>
        <v>-</v>
      </c>
      <c r="C242" s="46" t="str" cm="1">
        <f t="array" ref="C242">IFERROR(INDEX(#REF!,MATCH(TRUE,ISNUMBER(FIND(SUBSTITUTE(SUBSTITUTE(UPPER(#REF!)," ",""),":",": "),SUBSTITUTE(SUBSTITUTE(UPPER(S242)," ",""),":",": "))),0)),"Não encontrado")</f>
        <v>Não encontrado</v>
      </c>
      <c r="D242" s="46" t="str" cm="1">
        <f t="array" ref="D242">IFERROR(INDEX(#REF!,MATCH(TRUE,ISNUMBER(FIND(SUBSTITUTE(SUBSTITUTE(UPPER(#REF!)," ",""),":",": "),SUBSTITUTE(SUBSTITUTE(UPPER(S242)," ",""),":",": "))),0)),"Não encontrado")</f>
        <v>Não encontrado</v>
      </c>
      <c r="E242" s="42" t="str" cm="1">
        <f t="array" ref="E242">IFERROR(INDEX({"IMPEDITIVO"},MATCH(TRUE,ISNUMBER(FIND(SUBSTITUTE(SUBSTITUTE(UPPER({"IMPEDITIVO"})," ",""),":",": "),SUBSTITUTE(SUBSTITUTE(UPPER(S242)," ",""),":",": "))),0)),"-")</f>
        <v>-</v>
      </c>
      <c r="K242" s="49"/>
    </row>
    <row r="243" spans="1:11" x14ac:dyDescent="0.25">
      <c r="A243" s="46" t="str" cm="1">
        <f t="array" ref="A243">IFERROR(INDEX(#REF!,MATCH(TRUE,ISNUMBER(FIND(SUBSTITUTE(SUBSTITUTE(UPPER(#REF!)," ",""),":",": "),SUBSTITUTE(SUBSTITUTE(UPPER(S243)," ",""),":",": "))),0)),"Undefined")</f>
        <v>Undefined</v>
      </c>
      <c r="B243" s="42" t="str" cm="1">
        <f t="array" ref="B243">IFERROR(INDEX({"URGENTE"},MATCH(TRUE,ISNUMBER(FIND(SUBSTITUTE(SUBSTITUTE(UPPER({"URGENTE"})," ",""),":",": "),SUBSTITUTE(SUBSTITUTE(UPPER(S243)," ",""),":",": "))),0)),"-")</f>
        <v>-</v>
      </c>
      <c r="C243" s="46" t="str" cm="1">
        <f t="array" ref="C243">IFERROR(INDEX(#REF!,MATCH(TRUE,ISNUMBER(FIND(SUBSTITUTE(SUBSTITUTE(UPPER(#REF!)," ",""),":",": "),SUBSTITUTE(SUBSTITUTE(UPPER(S243)," ",""),":",": "))),0)),"Não encontrado")</f>
        <v>Não encontrado</v>
      </c>
      <c r="D243" s="46" t="str" cm="1">
        <f t="array" ref="D243">IFERROR(INDEX(#REF!,MATCH(TRUE,ISNUMBER(FIND(SUBSTITUTE(SUBSTITUTE(UPPER(#REF!)," ",""),":",": "),SUBSTITUTE(SUBSTITUTE(UPPER(S243)," ",""),":",": "))),0)),"Não encontrado")</f>
        <v>Não encontrado</v>
      </c>
      <c r="E243" s="42" t="str" cm="1">
        <f t="array" ref="E243">IFERROR(INDEX({"IMPEDITIVO"},MATCH(TRUE,ISNUMBER(FIND(SUBSTITUTE(SUBSTITUTE(UPPER({"IMPEDITIVO"})," ",""),":",": "),SUBSTITUTE(SUBSTITUTE(UPPER(S243)," ",""),":",": "))),0)),"-")</f>
        <v>-</v>
      </c>
      <c r="K243" s="49"/>
    </row>
    <row r="244" spans="1:11" x14ac:dyDescent="0.25">
      <c r="A244" s="46" t="str" cm="1">
        <f t="array" ref="A244">IFERROR(INDEX(#REF!,MATCH(TRUE,ISNUMBER(FIND(SUBSTITUTE(SUBSTITUTE(UPPER(#REF!)," ",""),":",": "),SUBSTITUTE(SUBSTITUTE(UPPER(S244)," ",""),":",": "))),0)),"Undefined")</f>
        <v>Undefined</v>
      </c>
      <c r="B244" s="42" t="str" cm="1">
        <f t="array" ref="B244">IFERROR(INDEX({"URGENTE"},MATCH(TRUE,ISNUMBER(FIND(SUBSTITUTE(SUBSTITUTE(UPPER({"URGENTE"})," ",""),":",": "),SUBSTITUTE(SUBSTITUTE(UPPER(S244)," ",""),":",": "))),0)),"-")</f>
        <v>-</v>
      </c>
      <c r="C244" s="46" t="str" cm="1">
        <f t="array" ref="C244">IFERROR(INDEX(#REF!,MATCH(TRUE,ISNUMBER(FIND(SUBSTITUTE(SUBSTITUTE(UPPER(#REF!)," ",""),":",": "),SUBSTITUTE(SUBSTITUTE(UPPER(S244)," ",""),":",": "))),0)),"Não encontrado")</f>
        <v>Não encontrado</v>
      </c>
      <c r="D244" s="46" t="str" cm="1">
        <f t="array" ref="D244">IFERROR(INDEX(#REF!,MATCH(TRUE,ISNUMBER(FIND(SUBSTITUTE(SUBSTITUTE(UPPER(#REF!)," ",""),":",": "),SUBSTITUTE(SUBSTITUTE(UPPER(S244)," ",""),":",": "))),0)),"Não encontrado")</f>
        <v>Não encontrado</v>
      </c>
      <c r="E244" s="42" t="str" cm="1">
        <f t="array" ref="E244">IFERROR(INDEX({"IMPEDITIVO"},MATCH(TRUE,ISNUMBER(FIND(SUBSTITUTE(SUBSTITUTE(UPPER({"IMPEDITIVO"})," ",""),":",": "),SUBSTITUTE(SUBSTITUTE(UPPER(S244)," ",""),":",": "))),0)),"-")</f>
        <v>-</v>
      </c>
      <c r="K244" s="49"/>
    </row>
    <row r="245" spans="1:11" x14ac:dyDescent="0.25">
      <c r="A245" s="46" t="str" cm="1">
        <f t="array" ref="A245">IFERROR(INDEX(#REF!,MATCH(TRUE,ISNUMBER(FIND(SUBSTITUTE(SUBSTITUTE(UPPER(#REF!)," ",""),":",": "),SUBSTITUTE(SUBSTITUTE(UPPER(S245)," ",""),":",": "))),0)),"Undefined")</f>
        <v>Undefined</v>
      </c>
      <c r="B245" s="42" t="str" cm="1">
        <f t="array" ref="B245">IFERROR(INDEX({"URGENTE"},MATCH(TRUE,ISNUMBER(FIND(SUBSTITUTE(SUBSTITUTE(UPPER({"URGENTE"})," ",""),":",": "),SUBSTITUTE(SUBSTITUTE(UPPER(S245)," ",""),":",": "))),0)),"-")</f>
        <v>-</v>
      </c>
      <c r="C245" s="46" t="str" cm="1">
        <f t="array" ref="C245">IFERROR(INDEX(#REF!,MATCH(TRUE,ISNUMBER(FIND(SUBSTITUTE(SUBSTITUTE(UPPER(#REF!)," ",""),":",": "),SUBSTITUTE(SUBSTITUTE(UPPER(S245)," ",""),":",": "))),0)),"Não encontrado")</f>
        <v>Não encontrado</v>
      </c>
      <c r="D245" s="46" t="str" cm="1">
        <f t="array" ref="D245">IFERROR(INDEX(#REF!,MATCH(TRUE,ISNUMBER(FIND(SUBSTITUTE(SUBSTITUTE(UPPER(#REF!)," ",""),":",": "),SUBSTITUTE(SUBSTITUTE(UPPER(S245)," ",""),":",": "))),0)),"Não encontrado")</f>
        <v>Não encontrado</v>
      </c>
      <c r="E245" s="42" t="str" cm="1">
        <f t="array" ref="E245">IFERROR(INDEX({"IMPEDITIVO"},MATCH(TRUE,ISNUMBER(FIND(SUBSTITUTE(SUBSTITUTE(UPPER({"IMPEDITIVO"})," ",""),":",": "),SUBSTITUTE(SUBSTITUTE(UPPER(S245)," ",""),":",": "))),0)),"-")</f>
        <v>-</v>
      </c>
      <c r="K245" s="49"/>
    </row>
    <row r="246" spans="1:11" x14ac:dyDescent="0.25">
      <c r="A246" s="46" t="str" cm="1">
        <f t="array" ref="A246">IFERROR(INDEX(#REF!,MATCH(TRUE,ISNUMBER(FIND(SUBSTITUTE(SUBSTITUTE(UPPER(#REF!)," ",""),":",": "),SUBSTITUTE(SUBSTITUTE(UPPER(S246)," ",""),":",": "))),0)),"Undefined")</f>
        <v>Undefined</v>
      </c>
      <c r="B246" s="42" t="str" cm="1">
        <f t="array" ref="B246">IFERROR(INDEX({"URGENTE"},MATCH(TRUE,ISNUMBER(FIND(SUBSTITUTE(SUBSTITUTE(UPPER({"URGENTE"})," ",""),":",": "),SUBSTITUTE(SUBSTITUTE(UPPER(S246)," ",""),":",": "))),0)),"-")</f>
        <v>-</v>
      </c>
      <c r="C246" s="46" t="str" cm="1">
        <f t="array" ref="C246">IFERROR(INDEX(#REF!,MATCH(TRUE,ISNUMBER(FIND(SUBSTITUTE(SUBSTITUTE(UPPER(#REF!)," ",""),":",": "),SUBSTITUTE(SUBSTITUTE(UPPER(S246)," ",""),":",": "))),0)),"Não encontrado")</f>
        <v>Não encontrado</v>
      </c>
      <c r="D246" s="46" t="str" cm="1">
        <f t="array" ref="D246">IFERROR(INDEX(#REF!,MATCH(TRUE,ISNUMBER(FIND(SUBSTITUTE(SUBSTITUTE(UPPER(#REF!)," ",""),":",": "),SUBSTITUTE(SUBSTITUTE(UPPER(S246)," ",""),":",": "))),0)),"Não encontrado")</f>
        <v>Não encontrado</v>
      </c>
      <c r="E246" s="42" t="str" cm="1">
        <f t="array" ref="E246">IFERROR(INDEX({"IMPEDITIVO"},MATCH(TRUE,ISNUMBER(FIND(SUBSTITUTE(SUBSTITUTE(UPPER({"IMPEDITIVO"})," ",""),":",": "),SUBSTITUTE(SUBSTITUTE(UPPER(S246)," ",""),":",": "))),0)),"-")</f>
        <v>-</v>
      </c>
      <c r="K246" s="49"/>
    </row>
    <row r="247" spans="1:11" x14ac:dyDescent="0.25">
      <c r="A247" s="46" t="str" cm="1">
        <f t="array" ref="A247">IFERROR(INDEX(#REF!,MATCH(TRUE,ISNUMBER(FIND(SUBSTITUTE(SUBSTITUTE(UPPER(#REF!)," ",""),":",": "),SUBSTITUTE(SUBSTITUTE(UPPER(S247)," ",""),":",": "))),0)),"Undefined")</f>
        <v>Undefined</v>
      </c>
      <c r="B247" s="42" t="str" cm="1">
        <f t="array" ref="B247">IFERROR(INDEX({"URGENTE"},MATCH(TRUE,ISNUMBER(FIND(SUBSTITUTE(SUBSTITUTE(UPPER({"URGENTE"})," ",""),":",": "),SUBSTITUTE(SUBSTITUTE(UPPER(S247)," ",""),":",": "))),0)),"-")</f>
        <v>-</v>
      </c>
      <c r="C247" s="46" t="str" cm="1">
        <f t="array" ref="C247">IFERROR(INDEX(#REF!,MATCH(TRUE,ISNUMBER(FIND(SUBSTITUTE(SUBSTITUTE(UPPER(#REF!)," ",""),":",": "),SUBSTITUTE(SUBSTITUTE(UPPER(S247)," ",""),":",": "))),0)),"Não encontrado")</f>
        <v>Não encontrado</v>
      </c>
      <c r="D247" s="46" t="str" cm="1">
        <f t="array" ref="D247">IFERROR(INDEX(#REF!,MATCH(TRUE,ISNUMBER(FIND(SUBSTITUTE(SUBSTITUTE(UPPER(#REF!)," ",""),":",": "),SUBSTITUTE(SUBSTITUTE(UPPER(S247)," ",""),":",": "))),0)),"Não encontrado")</f>
        <v>Não encontrado</v>
      </c>
      <c r="E247" s="42" t="str" cm="1">
        <f t="array" ref="E247">IFERROR(INDEX({"IMPEDITIVO"},MATCH(TRUE,ISNUMBER(FIND(SUBSTITUTE(SUBSTITUTE(UPPER({"IMPEDITIVO"})," ",""),":",": "),SUBSTITUTE(SUBSTITUTE(UPPER(S247)," ",""),":",": "))),0)),"-")</f>
        <v>-</v>
      </c>
      <c r="K247" s="49"/>
    </row>
    <row r="248" spans="1:11" x14ac:dyDescent="0.25">
      <c r="A248" s="46" t="str" cm="1">
        <f t="array" ref="A248">IFERROR(INDEX(#REF!,MATCH(TRUE,ISNUMBER(FIND(SUBSTITUTE(SUBSTITUTE(UPPER(#REF!)," ",""),":",": "),SUBSTITUTE(SUBSTITUTE(UPPER(S248)," ",""),":",": "))),0)),"Undefined")</f>
        <v>Undefined</v>
      </c>
      <c r="B248" s="42" t="str" cm="1">
        <f t="array" ref="B248">IFERROR(INDEX({"URGENTE"},MATCH(TRUE,ISNUMBER(FIND(SUBSTITUTE(SUBSTITUTE(UPPER({"URGENTE"})," ",""),":",": "),SUBSTITUTE(SUBSTITUTE(UPPER(S248)," ",""),":",": "))),0)),"-")</f>
        <v>-</v>
      </c>
      <c r="C248" s="46" t="str" cm="1">
        <f t="array" ref="C248">IFERROR(INDEX(#REF!,MATCH(TRUE,ISNUMBER(FIND(SUBSTITUTE(SUBSTITUTE(UPPER(#REF!)," ",""),":",": "),SUBSTITUTE(SUBSTITUTE(UPPER(S248)," ",""),":",": "))),0)),"Não encontrado")</f>
        <v>Não encontrado</v>
      </c>
      <c r="D248" s="46" t="str" cm="1">
        <f t="array" ref="D248">IFERROR(INDEX(#REF!,MATCH(TRUE,ISNUMBER(FIND(SUBSTITUTE(SUBSTITUTE(UPPER(#REF!)," ",""),":",": "),SUBSTITUTE(SUBSTITUTE(UPPER(S248)," ",""),":",": "))),0)),"Não encontrado")</f>
        <v>Não encontrado</v>
      </c>
      <c r="E248" s="42" t="str" cm="1">
        <f t="array" ref="E248">IFERROR(INDEX({"IMPEDITIVO"},MATCH(TRUE,ISNUMBER(FIND(SUBSTITUTE(SUBSTITUTE(UPPER({"IMPEDITIVO"})," ",""),":",": "),SUBSTITUTE(SUBSTITUTE(UPPER(S248)," ",""),":",": "))),0)),"-")</f>
        <v>-</v>
      </c>
      <c r="K248" s="49"/>
    </row>
    <row r="249" spans="1:11" x14ac:dyDescent="0.25">
      <c r="A249" s="46" t="str" cm="1">
        <f t="array" ref="A249">IFERROR(INDEX(#REF!,MATCH(TRUE,ISNUMBER(FIND(SUBSTITUTE(SUBSTITUTE(UPPER(#REF!)," ",""),":",": "),SUBSTITUTE(SUBSTITUTE(UPPER(S249)," ",""),":",": "))),0)),"Undefined")</f>
        <v>Undefined</v>
      </c>
      <c r="B249" s="42" t="str" cm="1">
        <f t="array" ref="B249">IFERROR(INDEX({"URGENTE"},MATCH(TRUE,ISNUMBER(FIND(SUBSTITUTE(SUBSTITUTE(UPPER({"URGENTE"})," ",""),":",": "),SUBSTITUTE(SUBSTITUTE(UPPER(S249)," ",""),":",": "))),0)),"-")</f>
        <v>-</v>
      </c>
      <c r="C249" s="46" t="str" cm="1">
        <f t="array" ref="C249">IFERROR(INDEX(#REF!,MATCH(TRUE,ISNUMBER(FIND(SUBSTITUTE(SUBSTITUTE(UPPER(#REF!)," ",""),":",": "),SUBSTITUTE(SUBSTITUTE(UPPER(S249)," ",""),":",": "))),0)),"Não encontrado")</f>
        <v>Não encontrado</v>
      </c>
      <c r="D249" s="46" t="str" cm="1">
        <f t="array" ref="D249">IFERROR(INDEX(#REF!,MATCH(TRUE,ISNUMBER(FIND(SUBSTITUTE(SUBSTITUTE(UPPER(#REF!)," ",""),":",": "),SUBSTITUTE(SUBSTITUTE(UPPER(S249)," ",""),":",": "))),0)),"Não encontrado")</f>
        <v>Não encontrado</v>
      </c>
      <c r="E249" s="42" t="str" cm="1">
        <f t="array" ref="E249">IFERROR(INDEX({"IMPEDITIVO"},MATCH(TRUE,ISNUMBER(FIND(SUBSTITUTE(SUBSTITUTE(UPPER({"IMPEDITIVO"})," ",""),":",": "),SUBSTITUTE(SUBSTITUTE(UPPER(S249)," ",""),":",": "))),0)),"-")</f>
        <v>-</v>
      </c>
      <c r="K249" s="49"/>
    </row>
    <row r="250" spans="1:11" x14ac:dyDescent="0.25">
      <c r="A250" s="46" t="str" cm="1">
        <f t="array" ref="A250">IFERROR(INDEX(#REF!,MATCH(TRUE,ISNUMBER(FIND(SUBSTITUTE(SUBSTITUTE(UPPER(#REF!)," ",""),":",": "),SUBSTITUTE(SUBSTITUTE(UPPER(S250)," ",""),":",": "))),0)),"Undefined")</f>
        <v>Undefined</v>
      </c>
      <c r="B250" s="42" t="str" cm="1">
        <f t="array" ref="B250">IFERROR(INDEX({"URGENTE"},MATCH(TRUE,ISNUMBER(FIND(SUBSTITUTE(SUBSTITUTE(UPPER({"URGENTE"})," ",""),":",": "),SUBSTITUTE(SUBSTITUTE(UPPER(S250)," ",""),":",": "))),0)),"-")</f>
        <v>-</v>
      </c>
      <c r="C250" s="46" t="str" cm="1">
        <f t="array" ref="C250">IFERROR(INDEX(#REF!,MATCH(TRUE,ISNUMBER(FIND(SUBSTITUTE(SUBSTITUTE(UPPER(#REF!)," ",""),":",": "),SUBSTITUTE(SUBSTITUTE(UPPER(S250)," ",""),":",": "))),0)),"Não encontrado")</f>
        <v>Não encontrado</v>
      </c>
      <c r="D250" s="46" t="str" cm="1">
        <f t="array" ref="D250">IFERROR(INDEX(#REF!,MATCH(TRUE,ISNUMBER(FIND(SUBSTITUTE(SUBSTITUTE(UPPER(#REF!)," ",""),":",": "),SUBSTITUTE(SUBSTITUTE(UPPER(S250)," ",""),":",": "))),0)),"Não encontrado")</f>
        <v>Não encontrado</v>
      </c>
      <c r="E250" s="42" t="str" cm="1">
        <f t="array" ref="E250">IFERROR(INDEX({"IMPEDITIVO"},MATCH(TRUE,ISNUMBER(FIND(SUBSTITUTE(SUBSTITUTE(UPPER({"IMPEDITIVO"})," ",""),":",": "),SUBSTITUTE(SUBSTITUTE(UPPER(S250)," ",""),":",": "))),0)),"-")</f>
        <v>-</v>
      </c>
      <c r="K250" s="49"/>
    </row>
    <row r="251" spans="1:11" x14ac:dyDescent="0.25">
      <c r="A251" s="46" t="str" cm="1">
        <f t="array" ref="A251">IFERROR(INDEX(#REF!,MATCH(TRUE,ISNUMBER(FIND(SUBSTITUTE(SUBSTITUTE(UPPER(#REF!)," ",""),":",": "),SUBSTITUTE(SUBSTITUTE(UPPER(S251)," ",""),":",": "))),0)),"Undefined")</f>
        <v>Undefined</v>
      </c>
      <c r="B251" s="42" t="str" cm="1">
        <f t="array" ref="B251">IFERROR(INDEX({"URGENTE"},MATCH(TRUE,ISNUMBER(FIND(SUBSTITUTE(SUBSTITUTE(UPPER({"URGENTE"})," ",""),":",": "),SUBSTITUTE(SUBSTITUTE(UPPER(S251)," ",""),":",": "))),0)),"-")</f>
        <v>-</v>
      </c>
      <c r="C251" s="46" t="str" cm="1">
        <f t="array" ref="C251">IFERROR(INDEX(#REF!,MATCH(TRUE,ISNUMBER(FIND(SUBSTITUTE(SUBSTITUTE(UPPER(#REF!)," ",""),":",": "),SUBSTITUTE(SUBSTITUTE(UPPER(S251)," ",""),":",": "))),0)),"Não encontrado")</f>
        <v>Não encontrado</v>
      </c>
      <c r="D251" s="46" t="str" cm="1">
        <f t="array" ref="D251">IFERROR(INDEX(#REF!,MATCH(TRUE,ISNUMBER(FIND(SUBSTITUTE(SUBSTITUTE(UPPER(#REF!)," ",""),":",": "),SUBSTITUTE(SUBSTITUTE(UPPER(S251)," ",""),":",": "))),0)),"Não encontrado")</f>
        <v>Não encontrado</v>
      </c>
      <c r="E251" s="42" t="str" cm="1">
        <f t="array" ref="E251">IFERROR(INDEX({"IMPEDITIVO"},MATCH(TRUE,ISNUMBER(FIND(SUBSTITUTE(SUBSTITUTE(UPPER({"IMPEDITIVO"})," ",""),":",": "),SUBSTITUTE(SUBSTITUTE(UPPER(S251)," ",""),":",": "))),0)),"-")</f>
        <v>-</v>
      </c>
      <c r="K251" s="49"/>
    </row>
    <row r="252" spans="1:11" x14ac:dyDescent="0.25">
      <c r="A252" s="46" t="str" cm="1">
        <f t="array" ref="A252">IFERROR(INDEX(#REF!,MATCH(TRUE,ISNUMBER(FIND(SUBSTITUTE(SUBSTITUTE(UPPER(#REF!)," ",""),":",": "),SUBSTITUTE(SUBSTITUTE(UPPER(S252)," ",""),":",": "))),0)),"Undefined")</f>
        <v>Undefined</v>
      </c>
      <c r="B252" s="42" t="str" cm="1">
        <f t="array" ref="B252">IFERROR(INDEX({"URGENTE"},MATCH(TRUE,ISNUMBER(FIND(SUBSTITUTE(SUBSTITUTE(UPPER({"URGENTE"})," ",""),":",": "),SUBSTITUTE(SUBSTITUTE(UPPER(S252)," ",""),":",": "))),0)),"-")</f>
        <v>-</v>
      </c>
      <c r="C252" s="46" t="str" cm="1">
        <f t="array" ref="C252">IFERROR(INDEX(#REF!,MATCH(TRUE,ISNUMBER(FIND(SUBSTITUTE(SUBSTITUTE(UPPER(#REF!)," ",""),":",": "),SUBSTITUTE(SUBSTITUTE(UPPER(S252)," ",""),":",": "))),0)),"Não encontrado")</f>
        <v>Não encontrado</v>
      </c>
      <c r="D252" s="46" t="str" cm="1">
        <f t="array" ref="D252">IFERROR(INDEX(#REF!,MATCH(TRUE,ISNUMBER(FIND(SUBSTITUTE(SUBSTITUTE(UPPER(#REF!)," ",""),":",": "),SUBSTITUTE(SUBSTITUTE(UPPER(S252)," ",""),":",": "))),0)),"Não encontrado")</f>
        <v>Não encontrado</v>
      </c>
      <c r="E252" s="42" t="str" cm="1">
        <f t="array" ref="E252">IFERROR(INDEX({"IMPEDITIVO"},MATCH(TRUE,ISNUMBER(FIND(SUBSTITUTE(SUBSTITUTE(UPPER({"IMPEDITIVO"})," ",""),":",": "),SUBSTITUTE(SUBSTITUTE(UPPER(S252)," ",""),":",": "))),0)),"-")</f>
        <v>-</v>
      </c>
      <c r="K252" s="49"/>
    </row>
    <row r="253" spans="1:11" x14ac:dyDescent="0.25">
      <c r="A253" s="46" t="str" cm="1">
        <f t="array" ref="A253">IFERROR(INDEX(#REF!,MATCH(TRUE,ISNUMBER(FIND(SUBSTITUTE(SUBSTITUTE(UPPER(#REF!)," ",""),":",": "),SUBSTITUTE(SUBSTITUTE(UPPER(S253)," ",""),":",": "))),0)),"Undefined")</f>
        <v>Undefined</v>
      </c>
      <c r="B253" s="42" t="str" cm="1">
        <f t="array" ref="B253">IFERROR(INDEX({"URGENTE"},MATCH(TRUE,ISNUMBER(FIND(SUBSTITUTE(SUBSTITUTE(UPPER({"URGENTE"})," ",""),":",": "),SUBSTITUTE(SUBSTITUTE(UPPER(S253)," ",""),":",": "))),0)),"-")</f>
        <v>-</v>
      </c>
      <c r="C253" s="46" t="str" cm="1">
        <f t="array" ref="C253">IFERROR(INDEX(#REF!,MATCH(TRUE,ISNUMBER(FIND(SUBSTITUTE(SUBSTITUTE(UPPER(#REF!)," ",""),":",": "),SUBSTITUTE(SUBSTITUTE(UPPER(S253)," ",""),":",": "))),0)),"Não encontrado")</f>
        <v>Não encontrado</v>
      </c>
      <c r="D253" s="46" t="str" cm="1">
        <f t="array" ref="D253">IFERROR(INDEX(#REF!,MATCH(TRUE,ISNUMBER(FIND(SUBSTITUTE(SUBSTITUTE(UPPER(#REF!)," ",""),":",": "),SUBSTITUTE(SUBSTITUTE(UPPER(S253)," ",""),":",": "))),0)),"Não encontrado")</f>
        <v>Não encontrado</v>
      </c>
      <c r="E253" s="42" t="str" cm="1">
        <f t="array" ref="E253">IFERROR(INDEX({"IMPEDITIVO"},MATCH(TRUE,ISNUMBER(FIND(SUBSTITUTE(SUBSTITUTE(UPPER({"IMPEDITIVO"})," ",""),":",": "),SUBSTITUTE(SUBSTITUTE(UPPER(S253)," ",""),":",": "))),0)),"-")</f>
        <v>-</v>
      </c>
      <c r="K253" s="49"/>
    </row>
    <row r="254" spans="1:11" x14ac:dyDescent="0.25">
      <c r="A254" s="46" t="str" cm="1">
        <f t="array" ref="A254">IFERROR(INDEX(#REF!,MATCH(TRUE,ISNUMBER(FIND(SUBSTITUTE(SUBSTITUTE(UPPER(#REF!)," ",""),":",": "),SUBSTITUTE(SUBSTITUTE(UPPER(S254)," ",""),":",": "))),0)),"Undefined")</f>
        <v>Undefined</v>
      </c>
      <c r="B254" s="42" t="str" cm="1">
        <f t="array" ref="B254">IFERROR(INDEX({"URGENTE"},MATCH(TRUE,ISNUMBER(FIND(SUBSTITUTE(SUBSTITUTE(UPPER({"URGENTE"})," ",""),":",": "),SUBSTITUTE(SUBSTITUTE(UPPER(S254)," ",""),":",": "))),0)),"-")</f>
        <v>-</v>
      </c>
      <c r="C254" s="46" t="str" cm="1">
        <f t="array" ref="C254">IFERROR(INDEX(#REF!,MATCH(TRUE,ISNUMBER(FIND(SUBSTITUTE(SUBSTITUTE(UPPER(#REF!)," ",""),":",": "),SUBSTITUTE(SUBSTITUTE(UPPER(S254)," ",""),":",": "))),0)),"Não encontrado")</f>
        <v>Não encontrado</v>
      </c>
      <c r="D254" s="46" t="str" cm="1">
        <f t="array" ref="D254">IFERROR(INDEX(#REF!,MATCH(TRUE,ISNUMBER(FIND(SUBSTITUTE(SUBSTITUTE(UPPER(#REF!)," ",""),":",": "),SUBSTITUTE(SUBSTITUTE(UPPER(S254)," ",""),":",": "))),0)),"Não encontrado")</f>
        <v>Não encontrado</v>
      </c>
      <c r="E254" s="42" t="str" cm="1">
        <f t="array" ref="E254">IFERROR(INDEX({"IMPEDITIVO"},MATCH(TRUE,ISNUMBER(FIND(SUBSTITUTE(SUBSTITUTE(UPPER({"IMPEDITIVO"})," ",""),":",": "),SUBSTITUTE(SUBSTITUTE(UPPER(S254)," ",""),":",": "))),0)),"-")</f>
        <v>-</v>
      </c>
      <c r="K254" s="49"/>
    </row>
    <row r="255" spans="1:11" x14ac:dyDescent="0.25">
      <c r="A255" s="46" t="str" cm="1">
        <f t="array" ref="A255">IFERROR(INDEX(#REF!,MATCH(TRUE,ISNUMBER(FIND(SUBSTITUTE(SUBSTITUTE(UPPER(#REF!)," ",""),":",": "),SUBSTITUTE(SUBSTITUTE(UPPER(S255)," ",""),":",": "))),0)),"Undefined")</f>
        <v>Undefined</v>
      </c>
      <c r="B255" s="42" t="str" cm="1">
        <f t="array" ref="B255">IFERROR(INDEX({"URGENTE"},MATCH(TRUE,ISNUMBER(FIND(SUBSTITUTE(SUBSTITUTE(UPPER({"URGENTE"})," ",""),":",": "),SUBSTITUTE(SUBSTITUTE(UPPER(S255)," ",""),":",": "))),0)),"-")</f>
        <v>-</v>
      </c>
      <c r="C255" s="46" t="str" cm="1">
        <f t="array" ref="C255">IFERROR(INDEX(#REF!,MATCH(TRUE,ISNUMBER(FIND(SUBSTITUTE(SUBSTITUTE(UPPER(#REF!)," ",""),":",": "),SUBSTITUTE(SUBSTITUTE(UPPER(S255)," ",""),":",": "))),0)),"Não encontrado")</f>
        <v>Não encontrado</v>
      </c>
      <c r="D255" s="46" t="str" cm="1">
        <f t="array" ref="D255">IFERROR(INDEX(#REF!,MATCH(TRUE,ISNUMBER(FIND(SUBSTITUTE(SUBSTITUTE(UPPER(#REF!)," ",""),":",": "),SUBSTITUTE(SUBSTITUTE(UPPER(S255)," ",""),":",": "))),0)),"Não encontrado")</f>
        <v>Não encontrado</v>
      </c>
      <c r="E255" s="42" t="str" cm="1">
        <f t="array" ref="E255">IFERROR(INDEX({"IMPEDITIVO"},MATCH(TRUE,ISNUMBER(FIND(SUBSTITUTE(SUBSTITUTE(UPPER({"IMPEDITIVO"})," ",""),":",": "),SUBSTITUTE(SUBSTITUTE(UPPER(S255)," ",""),":",": "))),0)),"-")</f>
        <v>-</v>
      </c>
      <c r="K255" s="49"/>
    </row>
    <row r="256" spans="1:11" x14ac:dyDescent="0.25">
      <c r="A256" s="46" t="str" cm="1">
        <f t="array" ref="A256">IFERROR(INDEX(#REF!,MATCH(TRUE,ISNUMBER(FIND(SUBSTITUTE(SUBSTITUTE(UPPER(#REF!)," ",""),":",": "),SUBSTITUTE(SUBSTITUTE(UPPER(S256)," ",""),":",": "))),0)),"Undefined")</f>
        <v>Undefined</v>
      </c>
      <c r="B256" s="42" t="str" cm="1">
        <f t="array" ref="B256">IFERROR(INDEX({"URGENTE"},MATCH(TRUE,ISNUMBER(FIND(SUBSTITUTE(SUBSTITUTE(UPPER({"URGENTE"})," ",""),":",": "),SUBSTITUTE(SUBSTITUTE(UPPER(S256)," ",""),":",": "))),0)),"-")</f>
        <v>-</v>
      </c>
      <c r="C256" s="46" t="str" cm="1">
        <f t="array" ref="C256">IFERROR(INDEX(#REF!,MATCH(TRUE,ISNUMBER(FIND(SUBSTITUTE(SUBSTITUTE(UPPER(#REF!)," ",""),":",": "),SUBSTITUTE(SUBSTITUTE(UPPER(S256)," ",""),":",": "))),0)),"Não encontrado")</f>
        <v>Não encontrado</v>
      </c>
      <c r="D256" s="46" t="str" cm="1">
        <f t="array" ref="D256">IFERROR(INDEX(#REF!,MATCH(TRUE,ISNUMBER(FIND(SUBSTITUTE(SUBSTITUTE(UPPER(#REF!)," ",""),":",": "),SUBSTITUTE(SUBSTITUTE(UPPER(S256)," ",""),":",": "))),0)),"Não encontrado")</f>
        <v>Não encontrado</v>
      </c>
      <c r="E256" s="42" t="str" cm="1">
        <f t="array" ref="E256">IFERROR(INDEX({"IMPEDITIVO"},MATCH(TRUE,ISNUMBER(FIND(SUBSTITUTE(SUBSTITUTE(UPPER({"IMPEDITIVO"})," ",""),":",": "),SUBSTITUTE(SUBSTITUTE(UPPER(S256)," ",""),":",": "))),0)),"-")</f>
        <v>-</v>
      </c>
      <c r="K256" s="49"/>
    </row>
    <row r="257" spans="1:11" x14ac:dyDescent="0.25">
      <c r="A257" s="46" t="str" cm="1">
        <f t="array" ref="A257">IFERROR(INDEX(#REF!,MATCH(TRUE,ISNUMBER(FIND(SUBSTITUTE(SUBSTITUTE(UPPER(#REF!)," ",""),":",": "),SUBSTITUTE(SUBSTITUTE(UPPER(S257)," ",""),":",": "))),0)),"Undefined")</f>
        <v>Undefined</v>
      </c>
      <c r="B257" s="42" t="str" cm="1">
        <f t="array" ref="B257">IFERROR(INDEX({"URGENTE"},MATCH(TRUE,ISNUMBER(FIND(SUBSTITUTE(SUBSTITUTE(UPPER({"URGENTE"})," ",""),":",": "),SUBSTITUTE(SUBSTITUTE(UPPER(S257)," ",""),":",": "))),0)),"-")</f>
        <v>-</v>
      </c>
      <c r="C257" s="46" t="str" cm="1">
        <f t="array" ref="C257">IFERROR(INDEX(#REF!,MATCH(TRUE,ISNUMBER(FIND(SUBSTITUTE(SUBSTITUTE(UPPER(#REF!)," ",""),":",": "),SUBSTITUTE(SUBSTITUTE(UPPER(S257)," ",""),":",": "))),0)),"Não encontrado")</f>
        <v>Não encontrado</v>
      </c>
      <c r="D257" s="46" t="str" cm="1">
        <f t="array" ref="D257">IFERROR(INDEX(#REF!,MATCH(TRUE,ISNUMBER(FIND(SUBSTITUTE(SUBSTITUTE(UPPER(#REF!)," ",""),":",": "),SUBSTITUTE(SUBSTITUTE(UPPER(S257)," ",""),":",": "))),0)),"Não encontrado")</f>
        <v>Não encontrado</v>
      </c>
      <c r="E257" s="42" t="str" cm="1">
        <f t="array" ref="E257">IFERROR(INDEX({"IMPEDITIVO"},MATCH(TRUE,ISNUMBER(FIND(SUBSTITUTE(SUBSTITUTE(UPPER({"IMPEDITIVO"})," ",""),":",": "),SUBSTITUTE(SUBSTITUTE(UPPER(S257)," ",""),":",": "))),0)),"-")</f>
        <v>-</v>
      </c>
      <c r="K257" s="49"/>
    </row>
    <row r="258" spans="1:11" x14ac:dyDescent="0.25">
      <c r="A258" s="46" t="str" cm="1">
        <f t="array" ref="A258">IFERROR(INDEX(#REF!,MATCH(TRUE,ISNUMBER(FIND(SUBSTITUTE(SUBSTITUTE(UPPER(#REF!)," ",""),":",": "),SUBSTITUTE(SUBSTITUTE(UPPER(S258)," ",""),":",": "))),0)),"Undefined")</f>
        <v>Undefined</v>
      </c>
      <c r="B258" s="42" t="str" cm="1">
        <f t="array" ref="B258">IFERROR(INDEX({"URGENTE"},MATCH(TRUE,ISNUMBER(FIND(SUBSTITUTE(SUBSTITUTE(UPPER({"URGENTE"})," ",""),":",": "),SUBSTITUTE(SUBSTITUTE(UPPER(S258)," ",""),":",": "))),0)),"-")</f>
        <v>-</v>
      </c>
      <c r="C258" s="46" t="str" cm="1">
        <f t="array" ref="C258">IFERROR(INDEX(#REF!,MATCH(TRUE,ISNUMBER(FIND(SUBSTITUTE(SUBSTITUTE(UPPER(#REF!)," ",""),":",": "),SUBSTITUTE(SUBSTITUTE(UPPER(S258)," ",""),":",": "))),0)),"Não encontrado")</f>
        <v>Não encontrado</v>
      </c>
      <c r="D258" s="46" t="str" cm="1">
        <f t="array" ref="D258">IFERROR(INDEX(#REF!,MATCH(TRUE,ISNUMBER(FIND(SUBSTITUTE(SUBSTITUTE(UPPER(#REF!)," ",""),":",": "),SUBSTITUTE(SUBSTITUTE(UPPER(S258)," ",""),":",": "))),0)),"Não encontrado")</f>
        <v>Não encontrado</v>
      </c>
      <c r="E258" s="42" t="str" cm="1">
        <f t="array" ref="E258">IFERROR(INDEX({"IMPEDITIVO"},MATCH(TRUE,ISNUMBER(FIND(SUBSTITUTE(SUBSTITUTE(UPPER({"IMPEDITIVO"})," ",""),":",": "),SUBSTITUTE(SUBSTITUTE(UPPER(S258)," ",""),":",": "))),0)),"-")</f>
        <v>-</v>
      </c>
      <c r="K258" s="49"/>
    </row>
    <row r="259" spans="1:11" x14ac:dyDescent="0.25">
      <c r="A259" s="46" t="str" cm="1">
        <f t="array" ref="A259">IFERROR(INDEX(#REF!,MATCH(TRUE,ISNUMBER(FIND(SUBSTITUTE(SUBSTITUTE(UPPER(#REF!)," ",""),":",": "),SUBSTITUTE(SUBSTITUTE(UPPER(S259)," ",""),":",": "))),0)),"Undefined")</f>
        <v>Undefined</v>
      </c>
      <c r="B259" s="42" t="str" cm="1">
        <f t="array" ref="B259">IFERROR(INDEX({"URGENTE"},MATCH(TRUE,ISNUMBER(FIND(SUBSTITUTE(SUBSTITUTE(UPPER({"URGENTE"})," ",""),":",": "),SUBSTITUTE(SUBSTITUTE(UPPER(S259)," ",""),":",": "))),0)),"-")</f>
        <v>-</v>
      </c>
      <c r="C259" s="46" t="str" cm="1">
        <f t="array" ref="C259">IFERROR(INDEX(#REF!,MATCH(TRUE,ISNUMBER(FIND(SUBSTITUTE(SUBSTITUTE(UPPER(#REF!)," ",""),":",": "),SUBSTITUTE(SUBSTITUTE(UPPER(S259)," ",""),":",": "))),0)),"Não encontrado")</f>
        <v>Não encontrado</v>
      </c>
      <c r="D259" s="46" t="str" cm="1">
        <f t="array" ref="D259">IFERROR(INDEX(#REF!,MATCH(TRUE,ISNUMBER(FIND(SUBSTITUTE(SUBSTITUTE(UPPER(#REF!)," ",""),":",": "),SUBSTITUTE(SUBSTITUTE(UPPER(S259)," ",""),":",": "))),0)),"Não encontrado")</f>
        <v>Não encontrado</v>
      </c>
      <c r="E259" s="42" t="str" cm="1">
        <f t="array" ref="E259">IFERROR(INDEX({"IMPEDITIVO"},MATCH(TRUE,ISNUMBER(FIND(SUBSTITUTE(SUBSTITUTE(UPPER({"IMPEDITIVO"})," ",""),":",": "),SUBSTITUTE(SUBSTITUTE(UPPER(S259)," ",""),":",": "))),0)),"-")</f>
        <v>-</v>
      </c>
      <c r="K259" s="49"/>
    </row>
    <row r="260" spans="1:11" x14ac:dyDescent="0.25">
      <c r="A260" s="46" t="str" cm="1">
        <f t="array" ref="A260">IFERROR(INDEX(#REF!,MATCH(TRUE,ISNUMBER(FIND(SUBSTITUTE(SUBSTITUTE(UPPER(#REF!)," ",""),":",": "),SUBSTITUTE(SUBSTITUTE(UPPER(S260)," ",""),":",": "))),0)),"Undefined")</f>
        <v>Undefined</v>
      </c>
      <c r="B260" s="42" t="str" cm="1">
        <f t="array" ref="B260">IFERROR(INDEX({"URGENTE"},MATCH(TRUE,ISNUMBER(FIND(SUBSTITUTE(SUBSTITUTE(UPPER({"URGENTE"})," ",""),":",": "),SUBSTITUTE(SUBSTITUTE(UPPER(S260)," ",""),":",": "))),0)),"-")</f>
        <v>-</v>
      </c>
      <c r="C260" s="46" t="str" cm="1">
        <f t="array" ref="C260">IFERROR(INDEX(#REF!,MATCH(TRUE,ISNUMBER(FIND(SUBSTITUTE(SUBSTITUTE(UPPER(#REF!)," ",""),":",": "),SUBSTITUTE(SUBSTITUTE(UPPER(S260)," ",""),":",": "))),0)),"Não encontrado")</f>
        <v>Não encontrado</v>
      </c>
      <c r="D260" s="46" t="str" cm="1">
        <f t="array" ref="D260">IFERROR(INDEX(#REF!,MATCH(TRUE,ISNUMBER(FIND(SUBSTITUTE(SUBSTITUTE(UPPER(#REF!)," ",""),":",": "),SUBSTITUTE(SUBSTITUTE(UPPER(S260)," ",""),":",": "))),0)),"Não encontrado")</f>
        <v>Não encontrado</v>
      </c>
      <c r="E260" s="42" t="str" cm="1">
        <f t="array" ref="E260">IFERROR(INDEX({"IMPEDITIVO"},MATCH(TRUE,ISNUMBER(FIND(SUBSTITUTE(SUBSTITUTE(UPPER({"IMPEDITIVO"})," ",""),":",": "),SUBSTITUTE(SUBSTITUTE(UPPER(S260)," ",""),":",": "))),0)),"-")</f>
        <v>-</v>
      </c>
      <c r="K260" s="49"/>
    </row>
    <row r="261" spans="1:11" x14ac:dyDescent="0.25">
      <c r="A261" s="46" t="str" cm="1">
        <f t="array" ref="A261">IFERROR(INDEX(#REF!,MATCH(TRUE,ISNUMBER(FIND(SUBSTITUTE(SUBSTITUTE(UPPER(#REF!)," ",""),":",": "),SUBSTITUTE(SUBSTITUTE(UPPER(S261)," ",""),":",": "))),0)),"Undefined")</f>
        <v>Undefined</v>
      </c>
      <c r="B261" s="42" t="str" cm="1">
        <f t="array" ref="B261">IFERROR(INDEX({"URGENTE"},MATCH(TRUE,ISNUMBER(FIND(SUBSTITUTE(SUBSTITUTE(UPPER({"URGENTE"})," ",""),":",": "),SUBSTITUTE(SUBSTITUTE(UPPER(S261)," ",""),":",": "))),0)),"-")</f>
        <v>-</v>
      </c>
      <c r="C261" s="46" t="str" cm="1">
        <f t="array" ref="C261">IFERROR(INDEX(#REF!,MATCH(TRUE,ISNUMBER(FIND(SUBSTITUTE(SUBSTITUTE(UPPER(#REF!)," ",""),":",": "),SUBSTITUTE(SUBSTITUTE(UPPER(S261)," ",""),":",": "))),0)),"Não encontrado")</f>
        <v>Não encontrado</v>
      </c>
      <c r="D261" s="46" t="str" cm="1">
        <f t="array" ref="D261">IFERROR(INDEX(#REF!,MATCH(TRUE,ISNUMBER(FIND(SUBSTITUTE(SUBSTITUTE(UPPER(#REF!)," ",""),":",": "),SUBSTITUTE(SUBSTITUTE(UPPER(S261)," ",""),":",": "))),0)),"Não encontrado")</f>
        <v>Não encontrado</v>
      </c>
      <c r="E261" s="42" t="str" cm="1">
        <f t="array" ref="E261">IFERROR(INDEX({"IMPEDITIVO"},MATCH(TRUE,ISNUMBER(FIND(SUBSTITUTE(SUBSTITUTE(UPPER({"IMPEDITIVO"})," ",""),":",": "),SUBSTITUTE(SUBSTITUTE(UPPER(S261)," ",""),":",": "))),0)),"-")</f>
        <v>-</v>
      </c>
      <c r="K261" s="49"/>
    </row>
    <row r="262" spans="1:11" x14ac:dyDescent="0.25">
      <c r="A262" s="46" t="str" cm="1">
        <f t="array" ref="A262">IFERROR(INDEX(#REF!,MATCH(TRUE,ISNUMBER(FIND(SUBSTITUTE(SUBSTITUTE(UPPER(#REF!)," ",""),":",": "),SUBSTITUTE(SUBSTITUTE(UPPER(S262)," ",""),":",": "))),0)),"Undefined")</f>
        <v>Undefined</v>
      </c>
      <c r="B262" s="42" t="str" cm="1">
        <f t="array" ref="B262">IFERROR(INDEX({"URGENTE"},MATCH(TRUE,ISNUMBER(FIND(SUBSTITUTE(SUBSTITUTE(UPPER({"URGENTE"})," ",""),":",": "),SUBSTITUTE(SUBSTITUTE(UPPER(S262)," ",""),":",": "))),0)),"-")</f>
        <v>-</v>
      </c>
      <c r="C262" s="46" t="str" cm="1">
        <f t="array" ref="C262">IFERROR(INDEX(#REF!,MATCH(TRUE,ISNUMBER(FIND(SUBSTITUTE(SUBSTITUTE(UPPER(#REF!)," ",""),":",": "),SUBSTITUTE(SUBSTITUTE(UPPER(S262)," ",""),":",": "))),0)),"Não encontrado")</f>
        <v>Não encontrado</v>
      </c>
      <c r="D262" s="46" t="str" cm="1">
        <f t="array" ref="D262">IFERROR(INDEX(#REF!,MATCH(TRUE,ISNUMBER(FIND(SUBSTITUTE(SUBSTITUTE(UPPER(#REF!)," ",""),":",": "),SUBSTITUTE(SUBSTITUTE(UPPER(S262)," ",""),":",": "))),0)),"Não encontrado")</f>
        <v>Não encontrado</v>
      </c>
      <c r="E262" s="42" t="str" cm="1">
        <f t="array" ref="E262">IFERROR(INDEX({"IMPEDITIVO"},MATCH(TRUE,ISNUMBER(FIND(SUBSTITUTE(SUBSTITUTE(UPPER({"IMPEDITIVO"})," ",""),":",": "),SUBSTITUTE(SUBSTITUTE(UPPER(S262)," ",""),":",": "))),0)),"-")</f>
        <v>-</v>
      </c>
      <c r="K262" s="49"/>
    </row>
    <row r="263" spans="1:11" x14ac:dyDescent="0.25">
      <c r="A263" s="46" t="str" cm="1">
        <f t="array" ref="A263">IFERROR(INDEX(#REF!,MATCH(TRUE,ISNUMBER(FIND(SUBSTITUTE(SUBSTITUTE(UPPER(#REF!)," ",""),":",": "),SUBSTITUTE(SUBSTITUTE(UPPER(S263)," ",""),":",": "))),0)),"Undefined")</f>
        <v>Undefined</v>
      </c>
      <c r="B263" s="42" t="str" cm="1">
        <f t="array" ref="B263">IFERROR(INDEX({"URGENTE"},MATCH(TRUE,ISNUMBER(FIND(SUBSTITUTE(SUBSTITUTE(UPPER({"URGENTE"})," ",""),":",": "),SUBSTITUTE(SUBSTITUTE(UPPER(S263)," ",""),":",": "))),0)),"-")</f>
        <v>-</v>
      </c>
      <c r="C263" s="46" t="str" cm="1">
        <f t="array" ref="C263">IFERROR(INDEX(#REF!,MATCH(TRUE,ISNUMBER(FIND(SUBSTITUTE(SUBSTITUTE(UPPER(#REF!)," ",""),":",": "),SUBSTITUTE(SUBSTITUTE(UPPER(S263)," ",""),":",": "))),0)),"Não encontrado")</f>
        <v>Não encontrado</v>
      </c>
      <c r="D263" s="46" t="str" cm="1">
        <f t="array" ref="D263">IFERROR(INDEX(#REF!,MATCH(TRUE,ISNUMBER(FIND(SUBSTITUTE(SUBSTITUTE(UPPER(#REF!)," ",""),":",": "),SUBSTITUTE(SUBSTITUTE(UPPER(S263)," ",""),":",": "))),0)),"Não encontrado")</f>
        <v>Não encontrado</v>
      </c>
      <c r="E263" s="42" t="str" cm="1">
        <f t="array" ref="E263">IFERROR(INDEX({"IMPEDITIVO"},MATCH(TRUE,ISNUMBER(FIND(SUBSTITUTE(SUBSTITUTE(UPPER({"IMPEDITIVO"})," ",""),":",": "),SUBSTITUTE(SUBSTITUTE(UPPER(S263)," ",""),":",": "))),0)),"-")</f>
        <v>-</v>
      </c>
      <c r="K263" s="49"/>
    </row>
    <row r="264" spans="1:11" x14ac:dyDescent="0.25">
      <c r="A264" s="46" t="str" cm="1">
        <f t="array" ref="A264">IFERROR(INDEX(#REF!,MATCH(TRUE,ISNUMBER(FIND(SUBSTITUTE(SUBSTITUTE(UPPER(#REF!)," ",""),":",": "),SUBSTITUTE(SUBSTITUTE(UPPER(S264)," ",""),":",": "))),0)),"Undefined")</f>
        <v>Undefined</v>
      </c>
      <c r="B264" s="42" t="str" cm="1">
        <f t="array" ref="B264">IFERROR(INDEX({"URGENTE"},MATCH(TRUE,ISNUMBER(FIND(SUBSTITUTE(SUBSTITUTE(UPPER({"URGENTE"})," ",""),":",": "),SUBSTITUTE(SUBSTITUTE(UPPER(S264)," ",""),":",": "))),0)),"-")</f>
        <v>-</v>
      </c>
      <c r="C264" s="46" t="str" cm="1">
        <f t="array" ref="C264">IFERROR(INDEX(#REF!,MATCH(TRUE,ISNUMBER(FIND(SUBSTITUTE(SUBSTITUTE(UPPER(#REF!)," ",""),":",": "),SUBSTITUTE(SUBSTITUTE(UPPER(S264)," ",""),":",": "))),0)),"Não encontrado")</f>
        <v>Não encontrado</v>
      </c>
      <c r="D264" s="46" t="str" cm="1">
        <f t="array" ref="D264">IFERROR(INDEX(#REF!,MATCH(TRUE,ISNUMBER(FIND(SUBSTITUTE(SUBSTITUTE(UPPER(#REF!)," ",""),":",": "),SUBSTITUTE(SUBSTITUTE(UPPER(S264)," ",""),":",": "))),0)),"Não encontrado")</f>
        <v>Não encontrado</v>
      </c>
      <c r="E264" s="42" t="str" cm="1">
        <f t="array" ref="E264">IFERROR(INDEX({"IMPEDITIVO"},MATCH(TRUE,ISNUMBER(FIND(SUBSTITUTE(SUBSTITUTE(UPPER({"IMPEDITIVO"})," ",""),":",": "),SUBSTITUTE(SUBSTITUTE(UPPER(S264)," ",""),":",": "))),0)),"-")</f>
        <v>-</v>
      </c>
      <c r="K264" s="49"/>
    </row>
    <row r="265" spans="1:11" x14ac:dyDescent="0.25">
      <c r="A265" s="46" t="str" cm="1">
        <f t="array" ref="A265">IFERROR(INDEX(#REF!,MATCH(TRUE,ISNUMBER(FIND(SUBSTITUTE(SUBSTITUTE(UPPER(#REF!)," ",""),":",": "),SUBSTITUTE(SUBSTITUTE(UPPER(S265)," ",""),":",": "))),0)),"Undefined")</f>
        <v>Undefined</v>
      </c>
      <c r="B265" s="42" t="str" cm="1">
        <f t="array" ref="B265">IFERROR(INDEX({"URGENTE"},MATCH(TRUE,ISNUMBER(FIND(SUBSTITUTE(SUBSTITUTE(UPPER({"URGENTE"})," ",""),":",": "),SUBSTITUTE(SUBSTITUTE(UPPER(S265)," ",""),":",": "))),0)),"-")</f>
        <v>-</v>
      </c>
      <c r="C265" s="46" t="str" cm="1">
        <f t="array" ref="C265">IFERROR(INDEX(#REF!,MATCH(TRUE,ISNUMBER(FIND(SUBSTITUTE(SUBSTITUTE(UPPER(#REF!)," ",""),":",": "),SUBSTITUTE(SUBSTITUTE(UPPER(S265)," ",""),":",": "))),0)),"Não encontrado")</f>
        <v>Não encontrado</v>
      </c>
      <c r="D265" s="46" t="str" cm="1">
        <f t="array" ref="D265">IFERROR(INDEX(#REF!,MATCH(TRUE,ISNUMBER(FIND(SUBSTITUTE(SUBSTITUTE(UPPER(#REF!)," ",""),":",": "),SUBSTITUTE(SUBSTITUTE(UPPER(S265)," ",""),":",": "))),0)),"Não encontrado")</f>
        <v>Não encontrado</v>
      </c>
      <c r="E265" s="42" t="str" cm="1">
        <f t="array" ref="E265">IFERROR(INDEX({"IMPEDITIVO"},MATCH(TRUE,ISNUMBER(FIND(SUBSTITUTE(SUBSTITUTE(UPPER({"IMPEDITIVO"})," ",""),":",": "),SUBSTITUTE(SUBSTITUTE(UPPER(S265)," ",""),":",": "))),0)),"-")</f>
        <v>-</v>
      </c>
      <c r="K265" s="49"/>
    </row>
    <row r="266" spans="1:11" x14ac:dyDescent="0.25">
      <c r="A266" s="46" t="str" cm="1">
        <f t="array" ref="A266">IFERROR(INDEX(#REF!,MATCH(TRUE,ISNUMBER(FIND(SUBSTITUTE(SUBSTITUTE(UPPER(#REF!)," ",""),":",": "),SUBSTITUTE(SUBSTITUTE(UPPER(S266)," ",""),":",": "))),0)),"Undefined")</f>
        <v>Undefined</v>
      </c>
      <c r="B266" s="42" t="str" cm="1">
        <f t="array" ref="B266">IFERROR(INDEX({"URGENTE"},MATCH(TRUE,ISNUMBER(FIND(SUBSTITUTE(SUBSTITUTE(UPPER({"URGENTE"})," ",""),":",": "),SUBSTITUTE(SUBSTITUTE(UPPER(S266)," ",""),":",": "))),0)),"-")</f>
        <v>-</v>
      </c>
      <c r="C266" s="46" t="str" cm="1">
        <f t="array" ref="C266">IFERROR(INDEX(#REF!,MATCH(TRUE,ISNUMBER(FIND(SUBSTITUTE(SUBSTITUTE(UPPER(#REF!)," ",""),":",": "),SUBSTITUTE(SUBSTITUTE(UPPER(S266)," ",""),":",": "))),0)),"Não encontrado")</f>
        <v>Não encontrado</v>
      </c>
      <c r="D266" s="46" t="str" cm="1">
        <f t="array" ref="D266">IFERROR(INDEX(#REF!,MATCH(TRUE,ISNUMBER(FIND(SUBSTITUTE(SUBSTITUTE(UPPER(#REF!)," ",""),":",": "),SUBSTITUTE(SUBSTITUTE(UPPER(S266)," ",""),":",": "))),0)),"Não encontrado")</f>
        <v>Não encontrado</v>
      </c>
      <c r="E266" s="42" t="str" cm="1">
        <f t="array" ref="E266">IFERROR(INDEX({"IMPEDITIVO"},MATCH(TRUE,ISNUMBER(FIND(SUBSTITUTE(SUBSTITUTE(UPPER({"IMPEDITIVO"})," ",""),":",": "),SUBSTITUTE(SUBSTITUTE(UPPER(S266)," ",""),":",": "))),0)),"-")</f>
        <v>-</v>
      </c>
      <c r="K266" s="49"/>
    </row>
    <row r="267" spans="1:11" x14ac:dyDescent="0.25">
      <c r="A267" s="46" t="str" cm="1">
        <f t="array" ref="A267">IFERROR(INDEX(#REF!,MATCH(TRUE,ISNUMBER(FIND(SUBSTITUTE(SUBSTITUTE(UPPER(#REF!)," ",""),":",": "),SUBSTITUTE(SUBSTITUTE(UPPER(S267)," ",""),":",": "))),0)),"Undefined")</f>
        <v>Undefined</v>
      </c>
      <c r="B267" s="42" t="str" cm="1">
        <f t="array" ref="B267">IFERROR(INDEX({"URGENTE"},MATCH(TRUE,ISNUMBER(FIND(SUBSTITUTE(SUBSTITUTE(UPPER({"URGENTE"})," ",""),":",": "),SUBSTITUTE(SUBSTITUTE(UPPER(S267)," ",""),":",": "))),0)),"-")</f>
        <v>-</v>
      </c>
      <c r="C267" s="46" t="str" cm="1">
        <f t="array" ref="C267">IFERROR(INDEX(#REF!,MATCH(TRUE,ISNUMBER(FIND(SUBSTITUTE(SUBSTITUTE(UPPER(#REF!)," ",""),":",": "),SUBSTITUTE(SUBSTITUTE(UPPER(S267)," ",""),":",": "))),0)),"Não encontrado")</f>
        <v>Não encontrado</v>
      </c>
      <c r="D267" s="46" t="str" cm="1">
        <f t="array" ref="D267">IFERROR(INDEX(#REF!,MATCH(TRUE,ISNUMBER(FIND(SUBSTITUTE(SUBSTITUTE(UPPER(#REF!)," ",""),":",": "),SUBSTITUTE(SUBSTITUTE(UPPER(S267)," ",""),":",": "))),0)),"Não encontrado")</f>
        <v>Não encontrado</v>
      </c>
      <c r="E267" s="42" t="str" cm="1">
        <f t="array" ref="E267">IFERROR(INDEX({"IMPEDITIVO"},MATCH(TRUE,ISNUMBER(FIND(SUBSTITUTE(SUBSTITUTE(UPPER({"IMPEDITIVO"})," ",""),":",": "),SUBSTITUTE(SUBSTITUTE(UPPER(S267)," ",""),":",": "))),0)),"-")</f>
        <v>-</v>
      </c>
      <c r="K267" s="49"/>
    </row>
    <row r="268" spans="1:11" x14ac:dyDescent="0.25">
      <c r="A268" s="46" t="str" cm="1">
        <f t="array" ref="A268">IFERROR(INDEX(#REF!,MATCH(TRUE,ISNUMBER(FIND(SUBSTITUTE(SUBSTITUTE(UPPER(#REF!)," ",""),":",": "),SUBSTITUTE(SUBSTITUTE(UPPER(S268)," ",""),":",": "))),0)),"Undefined")</f>
        <v>Undefined</v>
      </c>
      <c r="B268" s="42" t="str" cm="1">
        <f t="array" ref="B268">IFERROR(INDEX({"URGENTE"},MATCH(TRUE,ISNUMBER(FIND(SUBSTITUTE(SUBSTITUTE(UPPER({"URGENTE"})," ",""),":",": "),SUBSTITUTE(SUBSTITUTE(UPPER(S268)," ",""),":",": "))),0)),"-")</f>
        <v>-</v>
      </c>
      <c r="C268" s="46" t="str" cm="1">
        <f t="array" ref="C268">IFERROR(INDEX(#REF!,MATCH(TRUE,ISNUMBER(FIND(SUBSTITUTE(SUBSTITUTE(UPPER(#REF!)," ",""),":",": "),SUBSTITUTE(SUBSTITUTE(UPPER(S268)," ",""),":",": "))),0)),"Não encontrado")</f>
        <v>Não encontrado</v>
      </c>
      <c r="D268" s="46" t="str" cm="1">
        <f t="array" ref="D268">IFERROR(INDEX(#REF!,MATCH(TRUE,ISNUMBER(FIND(SUBSTITUTE(SUBSTITUTE(UPPER(#REF!)," ",""),":",": "),SUBSTITUTE(SUBSTITUTE(UPPER(S268)," ",""),":",": "))),0)),"Não encontrado")</f>
        <v>Não encontrado</v>
      </c>
      <c r="E268" s="42" t="str" cm="1">
        <f t="array" ref="E268">IFERROR(INDEX({"IMPEDITIVO"},MATCH(TRUE,ISNUMBER(FIND(SUBSTITUTE(SUBSTITUTE(UPPER({"IMPEDITIVO"})," ",""),":",": "),SUBSTITUTE(SUBSTITUTE(UPPER(S268)," ",""),":",": "))),0)),"-")</f>
        <v>-</v>
      </c>
      <c r="K268" s="49"/>
    </row>
    <row r="269" spans="1:11" x14ac:dyDescent="0.25">
      <c r="A269" s="46" t="str" cm="1">
        <f t="array" ref="A269">IFERROR(INDEX(#REF!,MATCH(TRUE,ISNUMBER(FIND(SUBSTITUTE(SUBSTITUTE(UPPER(#REF!)," ",""),":",": "),SUBSTITUTE(SUBSTITUTE(UPPER(S269)," ",""),":",": "))),0)),"Undefined")</f>
        <v>Undefined</v>
      </c>
      <c r="B269" s="42" t="str" cm="1">
        <f t="array" ref="B269">IFERROR(INDEX({"URGENTE"},MATCH(TRUE,ISNUMBER(FIND(SUBSTITUTE(SUBSTITUTE(UPPER({"URGENTE"})," ",""),":",": "),SUBSTITUTE(SUBSTITUTE(UPPER(S269)," ",""),":",": "))),0)),"-")</f>
        <v>-</v>
      </c>
      <c r="C269" s="46" t="str" cm="1">
        <f t="array" ref="C269">IFERROR(INDEX(#REF!,MATCH(TRUE,ISNUMBER(FIND(SUBSTITUTE(SUBSTITUTE(UPPER(#REF!)," ",""),":",": "),SUBSTITUTE(SUBSTITUTE(UPPER(S269)," ",""),":",": "))),0)),"Não encontrado")</f>
        <v>Não encontrado</v>
      </c>
      <c r="D269" s="46" t="str" cm="1">
        <f t="array" ref="D269">IFERROR(INDEX(#REF!,MATCH(TRUE,ISNUMBER(FIND(SUBSTITUTE(SUBSTITUTE(UPPER(#REF!)," ",""),":",": "),SUBSTITUTE(SUBSTITUTE(UPPER(S269)," ",""),":",": "))),0)),"Não encontrado")</f>
        <v>Não encontrado</v>
      </c>
      <c r="E269" s="42" t="str" cm="1">
        <f t="array" ref="E269">IFERROR(INDEX({"IMPEDITIVO"},MATCH(TRUE,ISNUMBER(FIND(SUBSTITUTE(SUBSTITUTE(UPPER({"IMPEDITIVO"})," ",""),":",": "),SUBSTITUTE(SUBSTITUTE(UPPER(S269)," ",""),":",": "))),0)),"-")</f>
        <v>-</v>
      </c>
      <c r="K269" s="49"/>
    </row>
    <row r="270" spans="1:11" x14ac:dyDescent="0.25">
      <c r="A270" s="46" t="str" cm="1">
        <f t="array" ref="A270">IFERROR(INDEX(#REF!,MATCH(TRUE,ISNUMBER(FIND(SUBSTITUTE(SUBSTITUTE(UPPER(#REF!)," ",""),":",": "),SUBSTITUTE(SUBSTITUTE(UPPER(S270)," ",""),":",": "))),0)),"Undefined")</f>
        <v>Undefined</v>
      </c>
      <c r="B270" s="42" t="str" cm="1">
        <f t="array" ref="B270">IFERROR(INDEX({"URGENTE"},MATCH(TRUE,ISNUMBER(FIND(SUBSTITUTE(SUBSTITUTE(UPPER({"URGENTE"})," ",""),":",": "),SUBSTITUTE(SUBSTITUTE(UPPER(S270)," ",""),":",": "))),0)),"-")</f>
        <v>-</v>
      </c>
      <c r="C270" s="46" t="str" cm="1">
        <f t="array" ref="C270">IFERROR(INDEX(#REF!,MATCH(TRUE,ISNUMBER(FIND(SUBSTITUTE(SUBSTITUTE(UPPER(#REF!)," ",""),":",": "),SUBSTITUTE(SUBSTITUTE(UPPER(S270)," ",""),":",": "))),0)),"Não encontrado")</f>
        <v>Não encontrado</v>
      </c>
      <c r="D270" s="46" t="str" cm="1">
        <f t="array" ref="D270">IFERROR(INDEX(#REF!,MATCH(TRUE,ISNUMBER(FIND(SUBSTITUTE(SUBSTITUTE(UPPER(#REF!)," ",""),":",": "),SUBSTITUTE(SUBSTITUTE(UPPER(S270)," ",""),":",": "))),0)),"Não encontrado")</f>
        <v>Não encontrado</v>
      </c>
      <c r="E270" s="42" t="str" cm="1">
        <f t="array" ref="E270">IFERROR(INDEX({"IMPEDITIVO"},MATCH(TRUE,ISNUMBER(FIND(SUBSTITUTE(SUBSTITUTE(UPPER({"IMPEDITIVO"})," ",""),":",": "),SUBSTITUTE(SUBSTITUTE(UPPER(S270)," ",""),":",": "))),0)),"-")</f>
        <v>-</v>
      </c>
      <c r="K270" s="49"/>
    </row>
    <row r="271" spans="1:11" x14ac:dyDescent="0.25">
      <c r="A271" s="46" t="str" cm="1">
        <f t="array" ref="A271">IFERROR(INDEX(#REF!,MATCH(TRUE,ISNUMBER(FIND(SUBSTITUTE(SUBSTITUTE(UPPER(#REF!)," ",""),":",": "),SUBSTITUTE(SUBSTITUTE(UPPER(S271)," ",""),":",": "))),0)),"Undefined")</f>
        <v>Undefined</v>
      </c>
      <c r="B271" s="42" t="str" cm="1">
        <f t="array" ref="B271">IFERROR(INDEX({"URGENTE"},MATCH(TRUE,ISNUMBER(FIND(SUBSTITUTE(SUBSTITUTE(UPPER({"URGENTE"})," ",""),":",": "),SUBSTITUTE(SUBSTITUTE(UPPER(S271)," ",""),":",": "))),0)),"-")</f>
        <v>-</v>
      </c>
      <c r="C271" s="46" t="str" cm="1">
        <f t="array" ref="C271">IFERROR(INDEX(#REF!,MATCH(TRUE,ISNUMBER(FIND(SUBSTITUTE(SUBSTITUTE(UPPER(#REF!)," ",""),":",": "),SUBSTITUTE(SUBSTITUTE(UPPER(S271)," ",""),":",": "))),0)),"Não encontrado")</f>
        <v>Não encontrado</v>
      </c>
      <c r="D271" s="46" t="str" cm="1">
        <f t="array" ref="D271">IFERROR(INDEX(#REF!,MATCH(TRUE,ISNUMBER(FIND(SUBSTITUTE(SUBSTITUTE(UPPER(#REF!)," ",""),":",": "),SUBSTITUTE(SUBSTITUTE(UPPER(S271)," ",""),":",": "))),0)),"Não encontrado")</f>
        <v>Não encontrado</v>
      </c>
      <c r="E271" s="42" t="str" cm="1">
        <f t="array" ref="E271">IFERROR(INDEX({"IMPEDITIVO"},MATCH(TRUE,ISNUMBER(FIND(SUBSTITUTE(SUBSTITUTE(UPPER({"IMPEDITIVO"})," ",""),":",": "),SUBSTITUTE(SUBSTITUTE(UPPER(S271)," ",""),":",": "))),0)),"-")</f>
        <v>-</v>
      </c>
      <c r="K271" s="49"/>
    </row>
    <row r="272" spans="1:11" x14ac:dyDescent="0.25">
      <c r="A272" s="46" t="str" cm="1">
        <f t="array" ref="A272">IFERROR(INDEX(#REF!,MATCH(TRUE,ISNUMBER(FIND(SUBSTITUTE(SUBSTITUTE(UPPER(#REF!)," ",""),":",": "),SUBSTITUTE(SUBSTITUTE(UPPER(S272)," ",""),":",": "))),0)),"Undefined")</f>
        <v>Undefined</v>
      </c>
      <c r="B272" s="42" t="str" cm="1">
        <f t="array" ref="B272">IFERROR(INDEX({"URGENTE"},MATCH(TRUE,ISNUMBER(FIND(SUBSTITUTE(SUBSTITUTE(UPPER({"URGENTE"})," ",""),":",": "),SUBSTITUTE(SUBSTITUTE(UPPER(S272)," ",""),":",": "))),0)),"-")</f>
        <v>-</v>
      </c>
      <c r="C272" s="46" t="str" cm="1">
        <f t="array" ref="C272">IFERROR(INDEX(#REF!,MATCH(TRUE,ISNUMBER(FIND(SUBSTITUTE(SUBSTITUTE(UPPER(#REF!)," ",""),":",": "),SUBSTITUTE(SUBSTITUTE(UPPER(S272)," ",""),":",": "))),0)),"Não encontrado")</f>
        <v>Não encontrado</v>
      </c>
      <c r="D272" s="46" t="str" cm="1">
        <f t="array" ref="D272">IFERROR(INDEX(#REF!,MATCH(TRUE,ISNUMBER(FIND(SUBSTITUTE(SUBSTITUTE(UPPER(#REF!)," ",""),":",": "),SUBSTITUTE(SUBSTITUTE(UPPER(S272)," ",""),":",": "))),0)),"Não encontrado")</f>
        <v>Não encontrado</v>
      </c>
      <c r="E272" s="42" t="str" cm="1">
        <f t="array" ref="E272">IFERROR(INDEX({"IMPEDITIVO"},MATCH(TRUE,ISNUMBER(FIND(SUBSTITUTE(SUBSTITUTE(UPPER({"IMPEDITIVO"})," ",""),":",": "),SUBSTITUTE(SUBSTITUTE(UPPER(S272)," ",""),":",": "))),0)),"-")</f>
        <v>-</v>
      </c>
      <c r="K272" s="49"/>
    </row>
    <row r="273" spans="1:11" x14ac:dyDescent="0.25">
      <c r="A273" s="46" t="str" cm="1">
        <f t="array" ref="A273">IFERROR(INDEX(#REF!,MATCH(TRUE,ISNUMBER(FIND(SUBSTITUTE(SUBSTITUTE(UPPER(#REF!)," ",""),":",": "),SUBSTITUTE(SUBSTITUTE(UPPER(S273)," ",""),":",": "))),0)),"Undefined")</f>
        <v>Undefined</v>
      </c>
      <c r="B273" s="42" t="str" cm="1">
        <f t="array" ref="B273">IFERROR(INDEX({"URGENTE"},MATCH(TRUE,ISNUMBER(FIND(SUBSTITUTE(SUBSTITUTE(UPPER({"URGENTE"})," ",""),":",": "),SUBSTITUTE(SUBSTITUTE(UPPER(S273)," ",""),":",": "))),0)),"-")</f>
        <v>-</v>
      </c>
      <c r="C273" s="46" t="str" cm="1">
        <f t="array" ref="C273">IFERROR(INDEX(#REF!,MATCH(TRUE,ISNUMBER(FIND(SUBSTITUTE(SUBSTITUTE(UPPER(#REF!)," ",""),":",": "),SUBSTITUTE(SUBSTITUTE(UPPER(S273)," ",""),":",": "))),0)),"Não encontrado")</f>
        <v>Não encontrado</v>
      </c>
      <c r="D273" s="46" t="str" cm="1">
        <f t="array" ref="D273">IFERROR(INDEX(#REF!,MATCH(TRUE,ISNUMBER(FIND(SUBSTITUTE(SUBSTITUTE(UPPER(#REF!)," ",""),":",": "),SUBSTITUTE(SUBSTITUTE(UPPER(S273)," ",""),":",": "))),0)),"Não encontrado")</f>
        <v>Não encontrado</v>
      </c>
      <c r="E273" s="42" t="str" cm="1">
        <f t="array" ref="E273">IFERROR(INDEX({"IMPEDITIVO"},MATCH(TRUE,ISNUMBER(FIND(SUBSTITUTE(SUBSTITUTE(UPPER({"IMPEDITIVO"})," ",""),":",": "),SUBSTITUTE(SUBSTITUTE(UPPER(S273)," ",""),":",": "))),0)),"-")</f>
        <v>-</v>
      </c>
      <c r="K273" s="49"/>
    </row>
    <row r="274" spans="1:11" x14ac:dyDescent="0.25">
      <c r="A274" s="46" t="str" cm="1">
        <f t="array" ref="A274">IFERROR(INDEX(#REF!,MATCH(TRUE,ISNUMBER(FIND(SUBSTITUTE(SUBSTITUTE(UPPER(#REF!)," ",""),":",": "),SUBSTITUTE(SUBSTITUTE(UPPER(S274)," ",""),":",": "))),0)),"Undefined")</f>
        <v>Undefined</v>
      </c>
      <c r="B274" s="42" t="str" cm="1">
        <f t="array" ref="B274">IFERROR(INDEX({"URGENTE"},MATCH(TRUE,ISNUMBER(FIND(SUBSTITUTE(SUBSTITUTE(UPPER({"URGENTE"})," ",""),":",": "),SUBSTITUTE(SUBSTITUTE(UPPER(S274)," ",""),":",": "))),0)),"-")</f>
        <v>-</v>
      </c>
      <c r="C274" s="46" t="str" cm="1">
        <f t="array" ref="C274">IFERROR(INDEX(#REF!,MATCH(TRUE,ISNUMBER(FIND(SUBSTITUTE(SUBSTITUTE(UPPER(#REF!)," ",""),":",": "),SUBSTITUTE(SUBSTITUTE(UPPER(S274)," ",""),":",": "))),0)),"Não encontrado")</f>
        <v>Não encontrado</v>
      </c>
      <c r="D274" s="46" t="str" cm="1">
        <f t="array" ref="D274">IFERROR(INDEX(#REF!,MATCH(TRUE,ISNUMBER(FIND(SUBSTITUTE(SUBSTITUTE(UPPER(#REF!)," ",""),":",": "),SUBSTITUTE(SUBSTITUTE(UPPER(S274)," ",""),":",": "))),0)),"Não encontrado")</f>
        <v>Não encontrado</v>
      </c>
      <c r="E274" s="42" t="str" cm="1">
        <f t="array" ref="E274">IFERROR(INDEX({"IMPEDITIVO"},MATCH(TRUE,ISNUMBER(FIND(SUBSTITUTE(SUBSTITUTE(UPPER({"IMPEDITIVO"})," ",""),":",": "),SUBSTITUTE(SUBSTITUTE(UPPER(S274)," ",""),":",": "))),0)),"-")</f>
        <v>-</v>
      </c>
      <c r="K274" s="49"/>
    </row>
    <row r="275" spans="1:11" x14ac:dyDescent="0.25">
      <c r="A275" s="46" t="str" cm="1">
        <f t="array" ref="A275">IFERROR(INDEX(#REF!,MATCH(TRUE,ISNUMBER(FIND(SUBSTITUTE(SUBSTITUTE(UPPER(#REF!)," ",""),":",": "),SUBSTITUTE(SUBSTITUTE(UPPER(S275)," ",""),":",": "))),0)),"Undefined")</f>
        <v>Undefined</v>
      </c>
      <c r="B275" s="42" t="str" cm="1">
        <f t="array" ref="B275">IFERROR(INDEX({"URGENTE"},MATCH(TRUE,ISNUMBER(FIND(SUBSTITUTE(SUBSTITUTE(UPPER({"URGENTE"})," ",""),":",": "),SUBSTITUTE(SUBSTITUTE(UPPER(S275)," ",""),":",": "))),0)),"-")</f>
        <v>-</v>
      </c>
      <c r="C275" s="46" t="str" cm="1">
        <f t="array" ref="C275">IFERROR(INDEX(#REF!,MATCH(TRUE,ISNUMBER(FIND(SUBSTITUTE(SUBSTITUTE(UPPER(#REF!)," ",""),":",": "),SUBSTITUTE(SUBSTITUTE(UPPER(S275)," ",""),":",": "))),0)),"Não encontrado")</f>
        <v>Não encontrado</v>
      </c>
      <c r="D275" s="46" t="str" cm="1">
        <f t="array" ref="D275">IFERROR(INDEX(#REF!,MATCH(TRUE,ISNUMBER(FIND(SUBSTITUTE(SUBSTITUTE(UPPER(#REF!)," ",""),":",": "),SUBSTITUTE(SUBSTITUTE(UPPER(S275)," ",""),":",": "))),0)),"Não encontrado")</f>
        <v>Não encontrado</v>
      </c>
      <c r="E275" s="42" t="str" cm="1">
        <f t="array" ref="E275">IFERROR(INDEX({"IMPEDITIVO"},MATCH(TRUE,ISNUMBER(FIND(SUBSTITUTE(SUBSTITUTE(UPPER({"IMPEDITIVO"})," ",""),":",": "),SUBSTITUTE(SUBSTITUTE(UPPER(S275)," ",""),":",": "))),0)),"-")</f>
        <v>-</v>
      </c>
      <c r="K275" s="49"/>
    </row>
    <row r="276" spans="1:11" x14ac:dyDescent="0.25">
      <c r="A276" s="46" t="str" cm="1">
        <f t="array" ref="A276">IFERROR(INDEX(#REF!,MATCH(TRUE,ISNUMBER(FIND(SUBSTITUTE(SUBSTITUTE(UPPER(#REF!)," ",""),":",": "),SUBSTITUTE(SUBSTITUTE(UPPER(S276)," ",""),":",": "))),0)),"Undefined")</f>
        <v>Undefined</v>
      </c>
      <c r="B276" s="42" t="str" cm="1">
        <f t="array" ref="B276">IFERROR(INDEX({"URGENTE"},MATCH(TRUE,ISNUMBER(FIND(SUBSTITUTE(SUBSTITUTE(UPPER({"URGENTE"})," ",""),":",": "),SUBSTITUTE(SUBSTITUTE(UPPER(S276)," ",""),":",": "))),0)),"-")</f>
        <v>-</v>
      </c>
      <c r="C276" s="46" t="str" cm="1">
        <f t="array" ref="C276">IFERROR(INDEX(#REF!,MATCH(TRUE,ISNUMBER(FIND(SUBSTITUTE(SUBSTITUTE(UPPER(#REF!)," ",""),":",": "),SUBSTITUTE(SUBSTITUTE(UPPER(S276)," ",""),":",": "))),0)),"Não encontrado")</f>
        <v>Não encontrado</v>
      </c>
      <c r="D276" s="46" t="str" cm="1">
        <f t="array" ref="D276">IFERROR(INDEX(#REF!,MATCH(TRUE,ISNUMBER(FIND(SUBSTITUTE(SUBSTITUTE(UPPER(#REF!)," ",""),":",": "),SUBSTITUTE(SUBSTITUTE(UPPER(S276)," ",""),":",": "))),0)),"Não encontrado")</f>
        <v>Não encontrado</v>
      </c>
      <c r="E276" s="42" t="str" cm="1">
        <f t="array" ref="E276">IFERROR(INDEX({"IMPEDITIVO"},MATCH(TRUE,ISNUMBER(FIND(SUBSTITUTE(SUBSTITUTE(UPPER({"IMPEDITIVO"})," ",""),":",": "),SUBSTITUTE(SUBSTITUTE(UPPER(S276)," ",""),":",": "))),0)),"-")</f>
        <v>-</v>
      </c>
      <c r="K276" s="49"/>
    </row>
    <row r="277" spans="1:11" x14ac:dyDescent="0.25">
      <c r="A277" s="46" t="str" cm="1">
        <f t="array" ref="A277">IFERROR(INDEX(#REF!,MATCH(TRUE,ISNUMBER(FIND(SUBSTITUTE(SUBSTITUTE(UPPER(#REF!)," ",""),":",": "),SUBSTITUTE(SUBSTITUTE(UPPER(S277)," ",""),":",": "))),0)),"Undefined")</f>
        <v>Undefined</v>
      </c>
      <c r="B277" s="42" t="str" cm="1">
        <f t="array" ref="B277">IFERROR(INDEX({"URGENTE"},MATCH(TRUE,ISNUMBER(FIND(SUBSTITUTE(SUBSTITUTE(UPPER({"URGENTE"})," ",""),":",": "),SUBSTITUTE(SUBSTITUTE(UPPER(S277)," ",""),":",": "))),0)),"-")</f>
        <v>-</v>
      </c>
      <c r="C277" s="46" t="str" cm="1">
        <f t="array" ref="C277">IFERROR(INDEX(#REF!,MATCH(TRUE,ISNUMBER(FIND(SUBSTITUTE(SUBSTITUTE(UPPER(#REF!)," ",""),":",": "),SUBSTITUTE(SUBSTITUTE(UPPER(S277)," ",""),":",": "))),0)),"Não encontrado")</f>
        <v>Não encontrado</v>
      </c>
      <c r="D277" s="46" t="str" cm="1">
        <f t="array" ref="D277">IFERROR(INDEX(#REF!,MATCH(TRUE,ISNUMBER(FIND(SUBSTITUTE(SUBSTITUTE(UPPER(#REF!)," ",""),":",": "),SUBSTITUTE(SUBSTITUTE(UPPER(S277)," ",""),":",": "))),0)),"Não encontrado")</f>
        <v>Não encontrado</v>
      </c>
      <c r="E277" s="42" t="str" cm="1">
        <f t="array" ref="E277">IFERROR(INDEX({"IMPEDITIVO"},MATCH(TRUE,ISNUMBER(FIND(SUBSTITUTE(SUBSTITUTE(UPPER({"IMPEDITIVO"})," ",""),":",": "),SUBSTITUTE(SUBSTITUTE(UPPER(S277)," ",""),":",": "))),0)),"-")</f>
        <v>-</v>
      </c>
      <c r="K277" s="49"/>
    </row>
    <row r="278" spans="1:11" x14ac:dyDescent="0.25">
      <c r="A278" s="46" t="str" cm="1">
        <f t="array" ref="A278">IFERROR(INDEX(#REF!,MATCH(TRUE,ISNUMBER(FIND(SUBSTITUTE(SUBSTITUTE(UPPER(#REF!)," ",""),":",": "),SUBSTITUTE(SUBSTITUTE(UPPER(S278)," ",""),":",": "))),0)),"Undefined")</f>
        <v>Undefined</v>
      </c>
      <c r="B278" s="42" t="str" cm="1">
        <f t="array" ref="B278">IFERROR(INDEX({"URGENTE"},MATCH(TRUE,ISNUMBER(FIND(SUBSTITUTE(SUBSTITUTE(UPPER({"URGENTE"})," ",""),":",": "),SUBSTITUTE(SUBSTITUTE(UPPER(S278)," ",""),":",": "))),0)),"-")</f>
        <v>-</v>
      </c>
      <c r="C278" s="46" t="str" cm="1">
        <f t="array" ref="C278">IFERROR(INDEX(#REF!,MATCH(TRUE,ISNUMBER(FIND(SUBSTITUTE(SUBSTITUTE(UPPER(#REF!)," ",""),":",": "),SUBSTITUTE(SUBSTITUTE(UPPER(S278)," ",""),":",": "))),0)),"Não encontrado")</f>
        <v>Não encontrado</v>
      </c>
      <c r="D278" s="46" t="str" cm="1">
        <f t="array" ref="D278">IFERROR(INDEX(#REF!,MATCH(TRUE,ISNUMBER(FIND(SUBSTITUTE(SUBSTITUTE(UPPER(#REF!)," ",""),":",": "),SUBSTITUTE(SUBSTITUTE(UPPER(S278)," ",""),":",": "))),0)),"Não encontrado")</f>
        <v>Não encontrado</v>
      </c>
      <c r="E278" s="42" t="str" cm="1">
        <f t="array" ref="E278">IFERROR(INDEX({"IMPEDITIVO"},MATCH(TRUE,ISNUMBER(FIND(SUBSTITUTE(SUBSTITUTE(UPPER({"IMPEDITIVO"})," ",""),":",": "),SUBSTITUTE(SUBSTITUTE(UPPER(S278)," ",""),":",": "))),0)),"-")</f>
        <v>-</v>
      </c>
      <c r="K278" s="49"/>
    </row>
    <row r="279" spans="1:11" x14ac:dyDescent="0.25">
      <c r="A279" s="46" t="str" cm="1">
        <f t="array" ref="A279">IFERROR(INDEX(#REF!,MATCH(TRUE,ISNUMBER(FIND(SUBSTITUTE(SUBSTITUTE(UPPER(#REF!)," ",""),":",": "),SUBSTITUTE(SUBSTITUTE(UPPER(S279)," ",""),":",": "))),0)),"Undefined")</f>
        <v>Undefined</v>
      </c>
      <c r="B279" s="42" t="str" cm="1">
        <f t="array" ref="B279">IFERROR(INDEX({"URGENTE"},MATCH(TRUE,ISNUMBER(FIND(SUBSTITUTE(SUBSTITUTE(UPPER({"URGENTE"})," ",""),":",": "),SUBSTITUTE(SUBSTITUTE(UPPER(S279)," ",""),":",": "))),0)),"-")</f>
        <v>-</v>
      </c>
      <c r="C279" s="46" t="str" cm="1">
        <f t="array" ref="C279">IFERROR(INDEX(#REF!,MATCH(TRUE,ISNUMBER(FIND(SUBSTITUTE(SUBSTITUTE(UPPER(#REF!)," ",""),":",": "),SUBSTITUTE(SUBSTITUTE(UPPER(S279)," ",""),":",": "))),0)),"Não encontrado")</f>
        <v>Não encontrado</v>
      </c>
      <c r="D279" s="46" t="str" cm="1">
        <f t="array" ref="D279">IFERROR(INDEX(#REF!,MATCH(TRUE,ISNUMBER(FIND(SUBSTITUTE(SUBSTITUTE(UPPER(#REF!)," ",""),":",": "),SUBSTITUTE(SUBSTITUTE(UPPER(S279)," ",""),":",": "))),0)),"Não encontrado")</f>
        <v>Não encontrado</v>
      </c>
      <c r="E279" s="42" t="str" cm="1">
        <f t="array" ref="E279">IFERROR(INDEX({"IMPEDITIVO"},MATCH(TRUE,ISNUMBER(FIND(SUBSTITUTE(SUBSTITUTE(UPPER({"IMPEDITIVO"})," ",""),":",": "),SUBSTITUTE(SUBSTITUTE(UPPER(S279)," ",""),":",": "))),0)),"-")</f>
        <v>-</v>
      </c>
      <c r="K279" s="49"/>
    </row>
    <row r="280" spans="1:11" x14ac:dyDescent="0.25">
      <c r="A280" s="46" t="str" cm="1">
        <f t="array" ref="A280">IFERROR(INDEX(#REF!,MATCH(TRUE,ISNUMBER(FIND(SUBSTITUTE(SUBSTITUTE(UPPER(#REF!)," ",""),":",": "),SUBSTITUTE(SUBSTITUTE(UPPER(S280)," ",""),":",": "))),0)),"Undefined")</f>
        <v>Undefined</v>
      </c>
      <c r="B280" s="42" t="str" cm="1">
        <f t="array" ref="B280">IFERROR(INDEX({"URGENTE"},MATCH(TRUE,ISNUMBER(FIND(SUBSTITUTE(SUBSTITUTE(UPPER({"URGENTE"})," ",""),":",": "),SUBSTITUTE(SUBSTITUTE(UPPER(S280)," ",""),":",": "))),0)),"-")</f>
        <v>-</v>
      </c>
      <c r="C280" s="46" t="str" cm="1">
        <f t="array" ref="C280">IFERROR(INDEX(#REF!,MATCH(TRUE,ISNUMBER(FIND(SUBSTITUTE(SUBSTITUTE(UPPER(#REF!)," ",""),":",": "),SUBSTITUTE(SUBSTITUTE(UPPER(S280)," ",""),":",": "))),0)),"Não encontrado")</f>
        <v>Não encontrado</v>
      </c>
      <c r="D280" s="46" t="str" cm="1">
        <f t="array" ref="D280">IFERROR(INDEX(#REF!,MATCH(TRUE,ISNUMBER(FIND(SUBSTITUTE(SUBSTITUTE(UPPER(#REF!)," ",""),":",": "),SUBSTITUTE(SUBSTITUTE(UPPER(S280)," ",""),":",": "))),0)),"Não encontrado")</f>
        <v>Não encontrado</v>
      </c>
      <c r="E280" s="42" t="str" cm="1">
        <f t="array" ref="E280">IFERROR(INDEX({"IMPEDITIVO"},MATCH(TRUE,ISNUMBER(FIND(SUBSTITUTE(SUBSTITUTE(UPPER({"IMPEDITIVO"})," ",""),":",": "),SUBSTITUTE(SUBSTITUTE(UPPER(S280)," ",""),":",": "))),0)),"-")</f>
        <v>-</v>
      </c>
      <c r="K280" s="49"/>
    </row>
    <row r="281" spans="1:11" x14ac:dyDescent="0.25">
      <c r="A281" s="46" t="str" cm="1">
        <f t="array" ref="A281">IFERROR(INDEX(#REF!,MATCH(TRUE,ISNUMBER(FIND(SUBSTITUTE(SUBSTITUTE(UPPER(#REF!)," ",""),":",": "),SUBSTITUTE(SUBSTITUTE(UPPER(S281)," ",""),":",": "))),0)),"Undefined")</f>
        <v>Undefined</v>
      </c>
      <c r="B281" s="42" t="str" cm="1">
        <f t="array" ref="B281">IFERROR(INDEX({"URGENTE"},MATCH(TRUE,ISNUMBER(FIND(SUBSTITUTE(SUBSTITUTE(UPPER({"URGENTE"})," ",""),":",": "),SUBSTITUTE(SUBSTITUTE(UPPER(S281)," ",""),":",": "))),0)),"-")</f>
        <v>-</v>
      </c>
      <c r="C281" s="46" t="str" cm="1">
        <f t="array" ref="C281">IFERROR(INDEX(#REF!,MATCH(TRUE,ISNUMBER(FIND(SUBSTITUTE(SUBSTITUTE(UPPER(#REF!)," ",""),":",": "),SUBSTITUTE(SUBSTITUTE(UPPER(S281)," ",""),":",": "))),0)),"Não encontrado")</f>
        <v>Não encontrado</v>
      </c>
      <c r="D281" s="46" t="str" cm="1">
        <f t="array" ref="D281">IFERROR(INDEX(#REF!,MATCH(TRUE,ISNUMBER(FIND(SUBSTITUTE(SUBSTITUTE(UPPER(#REF!)," ",""),":",": "),SUBSTITUTE(SUBSTITUTE(UPPER(S281)," ",""),":",": "))),0)),"Não encontrado")</f>
        <v>Não encontrado</v>
      </c>
      <c r="E281" s="42" t="str" cm="1">
        <f t="array" ref="E281">IFERROR(INDEX({"IMPEDITIVO"},MATCH(TRUE,ISNUMBER(FIND(SUBSTITUTE(SUBSTITUTE(UPPER({"IMPEDITIVO"})," ",""),":",": "),SUBSTITUTE(SUBSTITUTE(UPPER(S281)," ",""),":",": "))),0)),"-")</f>
        <v>-</v>
      </c>
      <c r="K281" s="49"/>
    </row>
    <row r="282" spans="1:11" x14ac:dyDescent="0.25">
      <c r="A282" s="46" t="str" cm="1">
        <f t="array" ref="A282">IFERROR(INDEX(#REF!,MATCH(TRUE,ISNUMBER(FIND(SUBSTITUTE(SUBSTITUTE(UPPER(#REF!)," ",""),":",": "),SUBSTITUTE(SUBSTITUTE(UPPER(S282)," ",""),":",": "))),0)),"Undefined")</f>
        <v>Undefined</v>
      </c>
      <c r="B282" s="42" t="str" cm="1">
        <f t="array" ref="B282">IFERROR(INDEX({"URGENTE"},MATCH(TRUE,ISNUMBER(FIND(SUBSTITUTE(SUBSTITUTE(UPPER({"URGENTE"})," ",""),":",": "),SUBSTITUTE(SUBSTITUTE(UPPER(S282)," ",""),":",": "))),0)),"-")</f>
        <v>-</v>
      </c>
      <c r="C282" s="46" t="str" cm="1">
        <f t="array" ref="C282">IFERROR(INDEX(#REF!,MATCH(TRUE,ISNUMBER(FIND(SUBSTITUTE(SUBSTITUTE(UPPER(#REF!)," ",""),":",": "),SUBSTITUTE(SUBSTITUTE(UPPER(S282)," ",""),":",": "))),0)),"Não encontrado")</f>
        <v>Não encontrado</v>
      </c>
      <c r="D282" s="46" t="str" cm="1">
        <f t="array" ref="D282">IFERROR(INDEX(#REF!,MATCH(TRUE,ISNUMBER(FIND(SUBSTITUTE(SUBSTITUTE(UPPER(#REF!)," ",""),":",": "),SUBSTITUTE(SUBSTITUTE(UPPER(S282)," ",""),":",": "))),0)),"Não encontrado")</f>
        <v>Não encontrado</v>
      </c>
      <c r="E282" s="42" t="str" cm="1">
        <f t="array" ref="E282">IFERROR(INDEX({"IMPEDITIVO"},MATCH(TRUE,ISNUMBER(FIND(SUBSTITUTE(SUBSTITUTE(UPPER({"IMPEDITIVO"})," ",""),":",": "),SUBSTITUTE(SUBSTITUTE(UPPER(S282)," ",""),":",": "))),0)),"-")</f>
        <v>-</v>
      </c>
      <c r="K282" s="49"/>
    </row>
    <row r="283" spans="1:11" x14ac:dyDescent="0.25">
      <c r="A283" s="46" t="str" cm="1">
        <f t="array" ref="A283">IFERROR(INDEX(#REF!,MATCH(TRUE,ISNUMBER(FIND(SUBSTITUTE(SUBSTITUTE(UPPER(#REF!)," ",""),":",": "),SUBSTITUTE(SUBSTITUTE(UPPER(S283)," ",""),":",": "))),0)),"Undefined")</f>
        <v>Undefined</v>
      </c>
      <c r="B283" s="42" t="str" cm="1">
        <f t="array" ref="B283">IFERROR(INDEX({"URGENTE"},MATCH(TRUE,ISNUMBER(FIND(SUBSTITUTE(SUBSTITUTE(UPPER({"URGENTE"})," ",""),":",": "),SUBSTITUTE(SUBSTITUTE(UPPER(S283)," ",""),":",": "))),0)),"-")</f>
        <v>-</v>
      </c>
      <c r="C283" s="46" t="str" cm="1">
        <f t="array" ref="C283">IFERROR(INDEX(#REF!,MATCH(TRUE,ISNUMBER(FIND(SUBSTITUTE(SUBSTITUTE(UPPER(#REF!)," ",""),":",": "),SUBSTITUTE(SUBSTITUTE(UPPER(S283)," ",""),":",": "))),0)),"Não encontrado")</f>
        <v>Não encontrado</v>
      </c>
      <c r="D283" s="46" t="str" cm="1">
        <f t="array" ref="D283">IFERROR(INDEX(#REF!,MATCH(TRUE,ISNUMBER(FIND(SUBSTITUTE(SUBSTITUTE(UPPER(#REF!)," ",""),":",": "),SUBSTITUTE(SUBSTITUTE(UPPER(S283)," ",""),":",": "))),0)),"Não encontrado")</f>
        <v>Não encontrado</v>
      </c>
      <c r="E283" s="42" t="str" cm="1">
        <f t="array" ref="E283">IFERROR(INDEX({"IMPEDITIVO"},MATCH(TRUE,ISNUMBER(FIND(SUBSTITUTE(SUBSTITUTE(UPPER({"IMPEDITIVO"})," ",""),":",": "),SUBSTITUTE(SUBSTITUTE(UPPER(S283)," ",""),":",": "))),0)),"-")</f>
        <v>-</v>
      </c>
      <c r="K283" s="49"/>
    </row>
    <row r="284" spans="1:11" x14ac:dyDescent="0.25">
      <c r="A284" s="46" t="str" cm="1">
        <f t="array" ref="A284">IFERROR(INDEX(#REF!,MATCH(TRUE,ISNUMBER(FIND(SUBSTITUTE(SUBSTITUTE(UPPER(#REF!)," ",""),":",": "),SUBSTITUTE(SUBSTITUTE(UPPER(S284)," ",""),":",": "))),0)),"Undefined")</f>
        <v>Undefined</v>
      </c>
      <c r="B284" s="42" t="str" cm="1">
        <f t="array" ref="B284">IFERROR(INDEX({"URGENTE"},MATCH(TRUE,ISNUMBER(FIND(SUBSTITUTE(SUBSTITUTE(UPPER({"URGENTE"})," ",""),":",": "),SUBSTITUTE(SUBSTITUTE(UPPER(S284)," ",""),":",": "))),0)),"-")</f>
        <v>-</v>
      </c>
      <c r="C284" s="46" t="str" cm="1">
        <f t="array" ref="C284">IFERROR(INDEX(#REF!,MATCH(TRUE,ISNUMBER(FIND(SUBSTITUTE(SUBSTITUTE(UPPER(#REF!)," ",""),":",": "),SUBSTITUTE(SUBSTITUTE(UPPER(S284)," ",""),":",": "))),0)),"Não encontrado")</f>
        <v>Não encontrado</v>
      </c>
      <c r="D284" s="46" t="str" cm="1">
        <f t="array" ref="D284">IFERROR(INDEX(#REF!,MATCH(TRUE,ISNUMBER(FIND(SUBSTITUTE(SUBSTITUTE(UPPER(#REF!)," ",""),":",": "),SUBSTITUTE(SUBSTITUTE(UPPER(S284)," ",""),":",": "))),0)),"Não encontrado")</f>
        <v>Não encontrado</v>
      </c>
      <c r="E284" s="42" t="str" cm="1">
        <f t="array" ref="E284">IFERROR(INDEX({"IMPEDITIVO"},MATCH(TRUE,ISNUMBER(FIND(SUBSTITUTE(SUBSTITUTE(UPPER({"IMPEDITIVO"})," ",""),":",": "),SUBSTITUTE(SUBSTITUTE(UPPER(S284)," ",""),":",": "))),0)),"-")</f>
        <v>-</v>
      </c>
      <c r="K284" s="49"/>
    </row>
    <row r="285" spans="1:11" x14ac:dyDescent="0.25">
      <c r="A285" s="46" t="str" cm="1">
        <f t="array" ref="A285">IFERROR(INDEX(#REF!,MATCH(TRUE,ISNUMBER(FIND(SUBSTITUTE(SUBSTITUTE(UPPER(#REF!)," ",""),":",": "),SUBSTITUTE(SUBSTITUTE(UPPER(S285)," ",""),":",": "))),0)),"Undefined")</f>
        <v>Undefined</v>
      </c>
      <c r="B285" s="42" t="str" cm="1">
        <f t="array" ref="B285">IFERROR(INDEX({"URGENTE"},MATCH(TRUE,ISNUMBER(FIND(SUBSTITUTE(SUBSTITUTE(UPPER({"URGENTE"})," ",""),":",": "),SUBSTITUTE(SUBSTITUTE(UPPER(S285)," ",""),":",": "))),0)),"-")</f>
        <v>-</v>
      </c>
      <c r="C285" s="46" t="str" cm="1">
        <f t="array" ref="C285">IFERROR(INDEX(#REF!,MATCH(TRUE,ISNUMBER(FIND(SUBSTITUTE(SUBSTITUTE(UPPER(#REF!)," ",""),":",": "),SUBSTITUTE(SUBSTITUTE(UPPER(S285)," ",""),":",": "))),0)),"Não encontrado")</f>
        <v>Não encontrado</v>
      </c>
      <c r="D285" s="46" t="str" cm="1">
        <f t="array" ref="D285">IFERROR(INDEX(#REF!,MATCH(TRUE,ISNUMBER(FIND(SUBSTITUTE(SUBSTITUTE(UPPER(#REF!)," ",""),":",": "),SUBSTITUTE(SUBSTITUTE(UPPER(S285)," ",""),":",": "))),0)),"Não encontrado")</f>
        <v>Não encontrado</v>
      </c>
      <c r="E285" s="42" t="str" cm="1">
        <f t="array" ref="E285">IFERROR(INDEX({"IMPEDITIVO"},MATCH(TRUE,ISNUMBER(FIND(SUBSTITUTE(SUBSTITUTE(UPPER({"IMPEDITIVO"})," ",""),":",": "),SUBSTITUTE(SUBSTITUTE(UPPER(S285)," ",""),":",": "))),0)),"-")</f>
        <v>-</v>
      </c>
      <c r="K285" s="49"/>
    </row>
    <row r="286" spans="1:11" x14ac:dyDescent="0.25">
      <c r="A286" s="46" t="str" cm="1">
        <f t="array" ref="A286">IFERROR(INDEX(#REF!,MATCH(TRUE,ISNUMBER(FIND(SUBSTITUTE(SUBSTITUTE(UPPER(#REF!)," ",""),":",": "),SUBSTITUTE(SUBSTITUTE(UPPER(S286)," ",""),":",": "))),0)),"Undefined")</f>
        <v>Undefined</v>
      </c>
      <c r="B286" s="42" t="str" cm="1">
        <f t="array" ref="B286">IFERROR(INDEX({"URGENTE"},MATCH(TRUE,ISNUMBER(FIND(SUBSTITUTE(SUBSTITUTE(UPPER({"URGENTE"})," ",""),":",": "),SUBSTITUTE(SUBSTITUTE(UPPER(S286)," ",""),":",": "))),0)),"-")</f>
        <v>-</v>
      </c>
      <c r="C286" s="46" t="str" cm="1">
        <f t="array" ref="C286">IFERROR(INDEX(#REF!,MATCH(TRUE,ISNUMBER(FIND(SUBSTITUTE(SUBSTITUTE(UPPER(#REF!)," ",""),":",": "),SUBSTITUTE(SUBSTITUTE(UPPER(S286)," ",""),":",": "))),0)),"Não encontrado")</f>
        <v>Não encontrado</v>
      </c>
      <c r="D286" s="46" t="str" cm="1">
        <f t="array" ref="D286">IFERROR(INDEX(#REF!,MATCH(TRUE,ISNUMBER(FIND(SUBSTITUTE(SUBSTITUTE(UPPER(#REF!)," ",""),":",": "),SUBSTITUTE(SUBSTITUTE(UPPER(S286)," ",""),":",": "))),0)),"Não encontrado")</f>
        <v>Não encontrado</v>
      </c>
      <c r="E286" s="42" t="str" cm="1">
        <f t="array" ref="E286">IFERROR(INDEX({"IMPEDITIVO"},MATCH(TRUE,ISNUMBER(FIND(SUBSTITUTE(SUBSTITUTE(UPPER({"IMPEDITIVO"})," ",""),":",": "),SUBSTITUTE(SUBSTITUTE(UPPER(S286)," ",""),":",": "))),0)),"-")</f>
        <v>-</v>
      </c>
      <c r="K286" s="49"/>
    </row>
    <row r="287" spans="1:11" x14ac:dyDescent="0.25">
      <c r="A287" s="46" t="str" cm="1">
        <f t="array" ref="A287">IFERROR(INDEX(#REF!,MATCH(TRUE,ISNUMBER(FIND(SUBSTITUTE(SUBSTITUTE(UPPER(#REF!)," ",""),":",": "),SUBSTITUTE(SUBSTITUTE(UPPER(S287)," ",""),":",": "))),0)),"Undefined")</f>
        <v>Undefined</v>
      </c>
      <c r="B287" s="42" t="str" cm="1">
        <f t="array" ref="B287">IFERROR(INDEX({"URGENTE"},MATCH(TRUE,ISNUMBER(FIND(SUBSTITUTE(SUBSTITUTE(UPPER({"URGENTE"})," ",""),":",": "),SUBSTITUTE(SUBSTITUTE(UPPER(S287)," ",""),":",": "))),0)),"-")</f>
        <v>-</v>
      </c>
      <c r="C287" s="46" t="str" cm="1">
        <f t="array" ref="C287">IFERROR(INDEX(#REF!,MATCH(TRUE,ISNUMBER(FIND(SUBSTITUTE(SUBSTITUTE(UPPER(#REF!)," ",""),":",": "),SUBSTITUTE(SUBSTITUTE(UPPER(S287)," ",""),":",": "))),0)),"Não encontrado")</f>
        <v>Não encontrado</v>
      </c>
      <c r="D287" s="46" t="str" cm="1">
        <f t="array" ref="D287">IFERROR(INDEX(#REF!,MATCH(TRUE,ISNUMBER(FIND(SUBSTITUTE(SUBSTITUTE(UPPER(#REF!)," ",""),":",": "),SUBSTITUTE(SUBSTITUTE(UPPER(S287)," ",""),":",": "))),0)),"Não encontrado")</f>
        <v>Não encontrado</v>
      </c>
      <c r="E287" s="42" t="str" cm="1">
        <f t="array" ref="E287">IFERROR(INDEX({"IMPEDITIVO"},MATCH(TRUE,ISNUMBER(FIND(SUBSTITUTE(SUBSTITUTE(UPPER({"IMPEDITIVO"})," ",""),":",": "),SUBSTITUTE(SUBSTITUTE(UPPER(S287)," ",""),":",": "))),0)),"-")</f>
        <v>-</v>
      </c>
      <c r="K287" s="49"/>
    </row>
    <row r="288" spans="1:11" x14ac:dyDescent="0.25">
      <c r="A288" s="46" t="str" cm="1">
        <f t="array" ref="A288">IFERROR(INDEX(#REF!,MATCH(TRUE,ISNUMBER(FIND(SUBSTITUTE(SUBSTITUTE(UPPER(#REF!)," ",""),":",": "),SUBSTITUTE(SUBSTITUTE(UPPER(S288)," ",""),":",": "))),0)),"Undefined")</f>
        <v>Undefined</v>
      </c>
      <c r="B288" s="42" t="str" cm="1">
        <f t="array" ref="B288">IFERROR(INDEX({"URGENTE"},MATCH(TRUE,ISNUMBER(FIND(SUBSTITUTE(SUBSTITUTE(UPPER({"URGENTE"})," ",""),":",": "),SUBSTITUTE(SUBSTITUTE(UPPER(S288)," ",""),":",": "))),0)),"-")</f>
        <v>-</v>
      </c>
      <c r="C288" s="46" t="str" cm="1">
        <f t="array" ref="C288">IFERROR(INDEX(#REF!,MATCH(TRUE,ISNUMBER(FIND(SUBSTITUTE(SUBSTITUTE(UPPER(#REF!)," ",""),":",": "),SUBSTITUTE(SUBSTITUTE(UPPER(S288)," ",""),":",": "))),0)),"Não encontrado")</f>
        <v>Não encontrado</v>
      </c>
      <c r="D288" s="46" t="str" cm="1">
        <f t="array" ref="D288">IFERROR(INDEX(#REF!,MATCH(TRUE,ISNUMBER(FIND(SUBSTITUTE(SUBSTITUTE(UPPER(#REF!)," ",""),":",": "),SUBSTITUTE(SUBSTITUTE(UPPER(S288)," ",""),":",": "))),0)),"Não encontrado")</f>
        <v>Não encontrado</v>
      </c>
      <c r="E288" s="42" t="str" cm="1">
        <f t="array" ref="E288">IFERROR(INDEX({"IMPEDITIVO"},MATCH(TRUE,ISNUMBER(FIND(SUBSTITUTE(SUBSTITUTE(UPPER({"IMPEDITIVO"})," ",""),":",": "),SUBSTITUTE(SUBSTITUTE(UPPER(S288)," ",""),":",": "))),0)),"-")</f>
        <v>-</v>
      </c>
      <c r="K288" s="49"/>
    </row>
    <row r="289" spans="1:11" x14ac:dyDescent="0.25">
      <c r="A289" s="46" t="str" cm="1">
        <f t="array" ref="A289">IFERROR(INDEX(#REF!,MATCH(TRUE,ISNUMBER(FIND(SUBSTITUTE(SUBSTITUTE(UPPER(#REF!)," ",""),":",": "),SUBSTITUTE(SUBSTITUTE(UPPER(S289)," ",""),":",": "))),0)),"Undefined")</f>
        <v>Undefined</v>
      </c>
      <c r="B289" s="42" t="str" cm="1">
        <f t="array" ref="B289">IFERROR(INDEX({"URGENTE"},MATCH(TRUE,ISNUMBER(FIND(SUBSTITUTE(SUBSTITUTE(UPPER({"URGENTE"})," ",""),":",": "),SUBSTITUTE(SUBSTITUTE(UPPER(S289)," ",""),":",": "))),0)),"-")</f>
        <v>-</v>
      </c>
      <c r="C289" s="46" t="str" cm="1">
        <f t="array" ref="C289">IFERROR(INDEX(#REF!,MATCH(TRUE,ISNUMBER(FIND(SUBSTITUTE(SUBSTITUTE(UPPER(#REF!)," ",""),":",": "),SUBSTITUTE(SUBSTITUTE(UPPER(S289)," ",""),":",": "))),0)),"Não encontrado")</f>
        <v>Não encontrado</v>
      </c>
      <c r="D289" s="46" t="str" cm="1">
        <f t="array" ref="D289">IFERROR(INDEX(#REF!,MATCH(TRUE,ISNUMBER(FIND(SUBSTITUTE(SUBSTITUTE(UPPER(#REF!)," ",""),":",": "),SUBSTITUTE(SUBSTITUTE(UPPER(S289)," ",""),":",": "))),0)),"Não encontrado")</f>
        <v>Não encontrado</v>
      </c>
      <c r="E289" s="42" t="str" cm="1">
        <f t="array" ref="E289">IFERROR(INDEX({"IMPEDITIVO"},MATCH(TRUE,ISNUMBER(FIND(SUBSTITUTE(SUBSTITUTE(UPPER({"IMPEDITIVO"})," ",""),":",": "),SUBSTITUTE(SUBSTITUTE(UPPER(S289)," ",""),":",": "))),0)),"-")</f>
        <v>-</v>
      </c>
      <c r="K289" s="49"/>
    </row>
    <row r="290" spans="1:11" x14ac:dyDescent="0.25">
      <c r="A290" s="46" t="str" cm="1">
        <f t="array" ref="A290">IFERROR(INDEX(#REF!,MATCH(TRUE,ISNUMBER(FIND(SUBSTITUTE(SUBSTITUTE(UPPER(#REF!)," ",""),":",": "),SUBSTITUTE(SUBSTITUTE(UPPER(S290)," ",""),":",": "))),0)),"Undefined")</f>
        <v>Undefined</v>
      </c>
      <c r="B290" s="42" t="str" cm="1">
        <f t="array" ref="B290">IFERROR(INDEX({"URGENTE"},MATCH(TRUE,ISNUMBER(FIND(SUBSTITUTE(SUBSTITUTE(UPPER({"URGENTE"})," ",""),":",": "),SUBSTITUTE(SUBSTITUTE(UPPER(S290)," ",""),":",": "))),0)),"-")</f>
        <v>-</v>
      </c>
      <c r="C290" s="46" t="str" cm="1">
        <f t="array" ref="C290">IFERROR(INDEX(#REF!,MATCH(TRUE,ISNUMBER(FIND(SUBSTITUTE(SUBSTITUTE(UPPER(#REF!)," ",""),":",": "),SUBSTITUTE(SUBSTITUTE(UPPER(S290)," ",""),":",": "))),0)),"Não encontrado")</f>
        <v>Não encontrado</v>
      </c>
      <c r="D290" s="46" t="str" cm="1">
        <f t="array" ref="D290">IFERROR(INDEX(#REF!,MATCH(TRUE,ISNUMBER(FIND(SUBSTITUTE(SUBSTITUTE(UPPER(#REF!)," ",""),":",": "),SUBSTITUTE(SUBSTITUTE(UPPER(S290)," ",""),":",": "))),0)),"Não encontrado")</f>
        <v>Não encontrado</v>
      </c>
      <c r="E290" s="42" t="str" cm="1">
        <f t="array" ref="E290">IFERROR(INDEX({"IMPEDITIVO"},MATCH(TRUE,ISNUMBER(FIND(SUBSTITUTE(SUBSTITUTE(UPPER({"IMPEDITIVO"})," ",""),":",": "),SUBSTITUTE(SUBSTITUTE(UPPER(S290)," ",""),":",": "))),0)),"-")</f>
        <v>-</v>
      </c>
      <c r="K290" s="49"/>
    </row>
    <row r="291" spans="1:11" x14ac:dyDescent="0.25">
      <c r="A291" s="46" t="str" cm="1">
        <f t="array" ref="A291">IFERROR(INDEX(#REF!,MATCH(TRUE,ISNUMBER(FIND(SUBSTITUTE(SUBSTITUTE(UPPER(#REF!)," ",""),":",": "),SUBSTITUTE(SUBSTITUTE(UPPER(S291)," ",""),":",": "))),0)),"Undefined")</f>
        <v>Undefined</v>
      </c>
      <c r="B291" s="42" t="str" cm="1">
        <f t="array" ref="B291">IFERROR(INDEX({"URGENTE"},MATCH(TRUE,ISNUMBER(FIND(SUBSTITUTE(SUBSTITUTE(UPPER({"URGENTE"})," ",""),":",": "),SUBSTITUTE(SUBSTITUTE(UPPER(S291)," ",""),":",": "))),0)),"-")</f>
        <v>-</v>
      </c>
      <c r="C291" s="46" t="str" cm="1">
        <f t="array" ref="C291">IFERROR(INDEX(#REF!,MATCH(TRUE,ISNUMBER(FIND(SUBSTITUTE(SUBSTITUTE(UPPER(#REF!)," ",""),":",": "),SUBSTITUTE(SUBSTITUTE(UPPER(S291)," ",""),":",": "))),0)),"Não encontrado")</f>
        <v>Não encontrado</v>
      </c>
      <c r="D291" s="46" t="str" cm="1">
        <f t="array" ref="D291">IFERROR(INDEX(#REF!,MATCH(TRUE,ISNUMBER(FIND(SUBSTITUTE(SUBSTITUTE(UPPER(#REF!)," ",""),":",": "),SUBSTITUTE(SUBSTITUTE(UPPER(S291)," ",""),":",": "))),0)),"Não encontrado")</f>
        <v>Não encontrado</v>
      </c>
      <c r="E291" s="42" t="str" cm="1">
        <f t="array" ref="E291">IFERROR(INDEX({"IMPEDITIVO"},MATCH(TRUE,ISNUMBER(FIND(SUBSTITUTE(SUBSTITUTE(UPPER({"IMPEDITIVO"})," ",""),":",": "),SUBSTITUTE(SUBSTITUTE(UPPER(S291)," ",""),":",": "))),0)),"-")</f>
        <v>-</v>
      </c>
      <c r="K291" s="49"/>
    </row>
    <row r="292" spans="1:11" x14ac:dyDescent="0.25">
      <c r="A292" s="46" t="str" cm="1">
        <f t="array" ref="A292">IFERROR(INDEX(#REF!,MATCH(TRUE,ISNUMBER(FIND(SUBSTITUTE(SUBSTITUTE(UPPER(#REF!)," ",""),":",": "),SUBSTITUTE(SUBSTITUTE(UPPER(S292)," ",""),":",": "))),0)),"Undefined")</f>
        <v>Undefined</v>
      </c>
      <c r="B292" s="42" t="str" cm="1">
        <f t="array" ref="B292">IFERROR(INDEX({"URGENTE"},MATCH(TRUE,ISNUMBER(FIND(SUBSTITUTE(SUBSTITUTE(UPPER({"URGENTE"})," ",""),":",": "),SUBSTITUTE(SUBSTITUTE(UPPER(S292)," ",""),":",": "))),0)),"-")</f>
        <v>-</v>
      </c>
      <c r="C292" s="46" t="str" cm="1">
        <f t="array" ref="C292">IFERROR(INDEX(#REF!,MATCH(TRUE,ISNUMBER(FIND(SUBSTITUTE(SUBSTITUTE(UPPER(#REF!)," ",""),":",": "),SUBSTITUTE(SUBSTITUTE(UPPER(S292)," ",""),":",": "))),0)),"Não encontrado")</f>
        <v>Não encontrado</v>
      </c>
      <c r="D292" s="46" t="str" cm="1">
        <f t="array" ref="D292">IFERROR(INDEX(#REF!,MATCH(TRUE,ISNUMBER(FIND(SUBSTITUTE(SUBSTITUTE(UPPER(#REF!)," ",""),":",": "),SUBSTITUTE(SUBSTITUTE(UPPER(S292)," ",""),":",": "))),0)),"Não encontrado")</f>
        <v>Não encontrado</v>
      </c>
      <c r="E292" s="42" t="str" cm="1">
        <f t="array" ref="E292">IFERROR(INDEX({"IMPEDITIVO"},MATCH(TRUE,ISNUMBER(FIND(SUBSTITUTE(SUBSTITUTE(UPPER({"IMPEDITIVO"})," ",""),":",": "),SUBSTITUTE(SUBSTITUTE(UPPER(S292)," ",""),":",": "))),0)),"-")</f>
        <v>-</v>
      </c>
      <c r="K292" s="49"/>
    </row>
    <row r="293" spans="1:11" x14ac:dyDescent="0.25">
      <c r="A293" s="46" t="str" cm="1">
        <f t="array" ref="A293">IFERROR(INDEX(#REF!,MATCH(TRUE,ISNUMBER(FIND(SUBSTITUTE(SUBSTITUTE(UPPER(#REF!)," ",""),":",": "),SUBSTITUTE(SUBSTITUTE(UPPER(S293)," ",""),":",": "))),0)),"Undefined")</f>
        <v>Undefined</v>
      </c>
      <c r="B293" s="42" t="str" cm="1">
        <f t="array" ref="B293">IFERROR(INDEX({"URGENTE"},MATCH(TRUE,ISNUMBER(FIND(SUBSTITUTE(SUBSTITUTE(UPPER({"URGENTE"})," ",""),":",": "),SUBSTITUTE(SUBSTITUTE(UPPER(S293)," ",""),":",": "))),0)),"-")</f>
        <v>-</v>
      </c>
      <c r="C293" s="46" t="str" cm="1">
        <f t="array" ref="C293">IFERROR(INDEX(#REF!,MATCH(TRUE,ISNUMBER(FIND(SUBSTITUTE(SUBSTITUTE(UPPER(#REF!)," ",""),":",": "),SUBSTITUTE(SUBSTITUTE(UPPER(S293)," ",""),":",": "))),0)),"Não encontrado")</f>
        <v>Não encontrado</v>
      </c>
      <c r="D293" s="46" t="str" cm="1">
        <f t="array" ref="D293">IFERROR(INDEX(#REF!,MATCH(TRUE,ISNUMBER(FIND(SUBSTITUTE(SUBSTITUTE(UPPER(#REF!)," ",""),":",": "),SUBSTITUTE(SUBSTITUTE(UPPER(S293)," ",""),":",": "))),0)),"Não encontrado")</f>
        <v>Não encontrado</v>
      </c>
      <c r="E293" s="42" t="str" cm="1">
        <f t="array" ref="E293">IFERROR(INDEX({"IMPEDITIVO"},MATCH(TRUE,ISNUMBER(FIND(SUBSTITUTE(SUBSTITUTE(UPPER({"IMPEDITIVO"})," ",""),":",": "),SUBSTITUTE(SUBSTITUTE(UPPER(S293)," ",""),":",": "))),0)),"-")</f>
        <v>-</v>
      </c>
      <c r="K293" s="49"/>
    </row>
    <row r="294" spans="1:11" x14ac:dyDescent="0.25">
      <c r="A294" s="46" t="str" cm="1">
        <f t="array" ref="A294">IFERROR(INDEX(#REF!,MATCH(TRUE,ISNUMBER(FIND(SUBSTITUTE(SUBSTITUTE(UPPER(#REF!)," ",""),":",": "),SUBSTITUTE(SUBSTITUTE(UPPER(S294)," ",""),":",": "))),0)),"Undefined")</f>
        <v>Undefined</v>
      </c>
      <c r="B294" s="42" t="str" cm="1">
        <f t="array" ref="B294">IFERROR(INDEX({"URGENTE"},MATCH(TRUE,ISNUMBER(FIND(SUBSTITUTE(SUBSTITUTE(UPPER({"URGENTE"})," ",""),":",": "),SUBSTITUTE(SUBSTITUTE(UPPER(S294)," ",""),":",": "))),0)),"-")</f>
        <v>-</v>
      </c>
      <c r="C294" s="46" t="str" cm="1">
        <f t="array" ref="C294">IFERROR(INDEX(#REF!,MATCH(TRUE,ISNUMBER(FIND(SUBSTITUTE(SUBSTITUTE(UPPER(#REF!)," ",""),":",": "),SUBSTITUTE(SUBSTITUTE(UPPER(S294)," ",""),":",": "))),0)),"Não encontrado")</f>
        <v>Não encontrado</v>
      </c>
      <c r="D294" s="46" t="str" cm="1">
        <f t="array" ref="D294">IFERROR(INDEX(#REF!,MATCH(TRUE,ISNUMBER(FIND(SUBSTITUTE(SUBSTITUTE(UPPER(#REF!)," ",""),":",": "),SUBSTITUTE(SUBSTITUTE(UPPER(S294)," ",""),":",": "))),0)),"Não encontrado")</f>
        <v>Não encontrado</v>
      </c>
      <c r="E294" s="42" t="str" cm="1">
        <f t="array" ref="E294">IFERROR(INDEX({"IMPEDITIVO"},MATCH(TRUE,ISNUMBER(FIND(SUBSTITUTE(SUBSTITUTE(UPPER({"IMPEDITIVO"})," ",""),":",": "),SUBSTITUTE(SUBSTITUTE(UPPER(S294)," ",""),":",": "))),0)),"-")</f>
        <v>-</v>
      </c>
      <c r="K294" s="49"/>
    </row>
    <row r="295" spans="1:11" x14ac:dyDescent="0.25">
      <c r="A295" s="46" t="str" cm="1">
        <f t="array" ref="A295">IFERROR(INDEX(#REF!,MATCH(TRUE,ISNUMBER(FIND(SUBSTITUTE(SUBSTITUTE(UPPER(#REF!)," ",""),":",": "),SUBSTITUTE(SUBSTITUTE(UPPER(S295)," ",""),":",": "))),0)),"Undefined")</f>
        <v>Undefined</v>
      </c>
      <c r="B295" s="42" t="str" cm="1">
        <f t="array" ref="B295">IFERROR(INDEX({"URGENTE"},MATCH(TRUE,ISNUMBER(FIND(SUBSTITUTE(SUBSTITUTE(UPPER({"URGENTE"})," ",""),":",": "),SUBSTITUTE(SUBSTITUTE(UPPER(S295)," ",""),":",": "))),0)),"-")</f>
        <v>-</v>
      </c>
      <c r="C295" s="46" t="str" cm="1">
        <f t="array" ref="C295">IFERROR(INDEX(#REF!,MATCH(TRUE,ISNUMBER(FIND(SUBSTITUTE(SUBSTITUTE(UPPER(#REF!)," ",""),":",": "),SUBSTITUTE(SUBSTITUTE(UPPER(S295)," ",""),":",": "))),0)),"Não encontrado")</f>
        <v>Não encontrado</v>
      </c>
      <c r="D295" s="46" t="str" cm="1">
        <f t="array" ref="D295">IFERROR(INDEX(#REF!,MATCH(TRUE,ISNUMBER(FIND(SUBSTITUTE(SUBSTITUTE(UPPER(#REF!)," ",""),":",": "),SUBSTITUTE(SUBSTITUTE(UPPER(S295)," ",""),":",": "))),0)),"Não encontrado")</f>
        <v>Não encontrado</v>
      </c>
      <c r="E295" s="42" t="str" cm="1">
        <f t="array" ref="E295">IFERROR(INDEX({"IMPEDITIVO"},MATCH(TRUE,ISNUMBER(FIND(SUBSTITUTE(SUBSTITUTE(UPPER({"IMPEDITIVO"})," ",""),":",": "),SUBSTITUTE(SUBSTITUTE(UPPER(S295)," ",""),":",": "))),0)),"-")</f>
        <v>-</v>
      </c>
      <c r="K295" s="49"/>
    </row>
    <row r="296" spans="1:11" x14ac:dyDescent="0.25">
      <c r="A296" s="46" t="str" cm="1">
        <f t="array" ref="A296">IFERROR(INDEX(#REF!,MATCH(TRUE,ISNUMBER(FIND(SUBSTITUTE(SUBSTITUTE(UPPER(#REF!)," ",""),":",": "),SUBSTITUTE(SUBSTITUTE(UPPER(S296)," ",""),":",": "))),0)),"Undefined")</f>
        <v>Undefined</v>
      </c>
      <c r="B296" s="42" t="str" cm="1">
        <f t="array" ref="B296">IFERROR(INDEX({"URGENTE"},MATCH(TRUE,ISNUMBER(FIND(SUBSTITUTE(SUBSTITUTE(UPPER({"URGENTE"})," ",""),":",": "),SUBSTITUTE(SUBSTITUTE(UPPER(S296)," ",""),":",": "))),0)),"-")</f>
        <v>-</v>
      </c>
      <c r="C296" s="46" t="str" cm="1">
        <f t="array" ref="C296">IFERROR(INDEX(#REF!,MATCH(TRUE,ISNUMBER(FIND(SUBSTITUTE(SUBSTITUTE(UPPER(#REF!)," ",""),":",": "),SUBSTITUTE(SUBSTITUTE(UPPER(S296)," ",""),":",": "))),0)),"Não encontrado")</f>
        <v>Não encontrado</v>
      </c>
      <c r="D296" s="46" t="str" cm="1">
        <f t="array" ref="D296">IFERROR(INDEX(#REF!,MATCH(TRUE,ISNUMBER(FIND(SUBSTITUTE(SUBSTITUTE(UPPER(#REF!)," ",""),":",": "),SUBSTITUTE(SUBSTITUTE(UPPER(S296)," ",""),":",": "))),0)),"Não encontrado")</f>
        <v>Não encontrado</v>
      </c>
      <c r="E296" s="42" t="str" cm="1">
        <f t="array" ref="E296">IFERROR(INDEX({"IMPEDITIVO"},MATCH(TRUE,ISNUMBER(FIND(SUBSTITUTE(SUBSTITUTE(UPPER({"IMPEDITIVO"})," ",""),":",": "),SUBSTITUTE(SUBSTITUTE(UPPER(S296)," ",""),":",": "))),0)),"-")</f>
        <v>-</v>
      </c>
      <c r="K296" s="49"/>
    </row>
    <row r="297" spans="1:11" x14ac:dyDescent="0.25">
      <c r="A297" s="46" t="str" cm="1">
        <f t="array" ref="A297">IFERROR(INDEX(#REF!,MATCH(TRUE,ISNUMBER(FIND(SUBSTITUTE(SUBSTITUTE(UPPER(#REF!)," ",""),":",": "),SUBSTITUTE(SUBSTITUTE(UPPER(S297)," ",""),":",": "))),0)),"Undefined")</f>
        <v>Undefined</v>
      </c>
      <c r="B297" s="42" t="str" cm="1">
        <f t="array" ref="B297">IFERROR(INDEX({"URGENTE"},MATCH(TRUE,ISNUMBER(FIND(SUBSTITUTE(SUBSTITUTE(UPPER({"URGENTE"})," ",""),":",": "),SUBSTITUTE(SUBSTITUTE(UPPER(S297)," ",""),":",": "))),0)),"-")</f>
        <v>-</v>
      </c>
      <c r="C297" s="46" t="str" cm="1">
        <f t="array" ref="C297">IFERROR(INDEX(#REF!,MATCH(TRUE,ISNUMBER(FIND(SUBSTITUTE(SUBSTITUTE(UPPER(#REF!)," ",""),":",": "),SUBSTITUTE(SUBSTITUTE(UPPER(S297)," ",""),":",": "))),0)),"Não encontrado")</f>
        <v>Não encontrado</v>
      </c>
      <c r="D297" s="46" t="str" cm="1">
        <f t="array" ref="D297">IFERROR(INDEX(#REF!,MATCH(TRUE,ISNUMBER(FIND(SUBSTITUTE(SUBSTITUTE(UPPER(#REF!)," ",""),":",": "),SUBSTITUTE(SUBSTITUTE(UPPER(S297)," ",""),":",": "))),0)),"Não encontrado")</f>
        <v>Não encontrado</v>
      </c>
      <c r="E297" s="42" t="str" cm="1">
        <f t="array" ref="E297">IFERROR(INDEX({"IMPEDITIVO"},MATCH(TRUE,ISNUMBER(FIND(SUBSTITUTE(SUBSTITUTE(UPPER({"IMPEDITIVO"})," ",""),":",": "),SUBSTITUTE(SUBSTITUTE(UPPER(S297)," ",""),":",": "))),0)),"-")</f>
        <v>-</v>
      </c>
      <c r="K297" s="49"/>
    </row>
    <row r="298" spans="1:11" x14ac:dyDescent="0.25">
      <c r="A298" s="46" t="str" cm="1">
        <f t="array" ref="A298">IFERROR(INDEX(#REF!,MATCH(TRUE,ISNUMBER(FIND(SUBSTITUTE(SUBSTITUTE(UPPER(#REF!)," ",""),":",": "),SUBSTITUTE(SUBSTITUTE(UPPER(S298)," ",""),":",": "))),0)),"Undefined")</f>
        <v>Undefined</v>
      </c>
      <c r="B298" s="42" t="str" cm="1">
        <f t="array" ref="B298">IFERROR(INDEX({"URGENTE"},MATCH(TRUE,ISNUMBER(FIND(SUBSTITUTE(SUBSTITUTE(UPPER({"URGENTE"})," ",""),":",": "),SUBSTITUTE(SUBSTITUTE(UPPER(S298)," ",""),":",": "))),0)),"-")</f>
        <v>-</v>
      </c>
      <c r="C298" s="46" t="str" cm="1">
        <f t="array" ref="C298">IFERROR(INDEX(#REF!,MATCH(TRUE,ISNUMBER(FIND(SUBSTITUTE(SUBSTITUTE(UPPER(#REF!)," ",""),":",": "),SUBSTITUTE(SUBSTITUTE(UPPER(S298)," ",""),":",": "))),0)),"Não encontrado")</f>
        <v>Não encontrado</v>
      </c>
      <c r="D298" s="46" t="str" cm="1">
        <f t="array" ref="D298">IFERROR(INDEX(#REF!,MATCH(TRUE,ISNUMBER(FIND(SUBSTITUTE(SUBSTITUTE(UPPER(#REF!)," ",""),":",": "),SUBSTITUTE(SUBSTITUTE(UPPER(S298)," ",""),":",": "))),0)),"Não encontrado")</f>
        <v>Não encontrado</v>
      </c>
      <c r="E298" s="42" t="str" cm="1">
        <f t="array" ref="E298">IFERROR(INDEX({"IMPEDITIVO"},MATCH(TRUE,ISNUMBER(FIND(SUBSTITUTE(SUBSTITUTE(UPPER({"IMPEDITIVO"})," ",""),":",": "),SUBSTITUTE(SUBSTITUTE(UPPER(S298)," ",""),":",": "))),0)),"-")</f>
        <v>-</v>
      </c>
      <c r="K298" s="49"/>
    </row>
    <row r="299" spans="1:11" x14ac:dyDescent="0.25">
      <c r="A299" s="46" t="str" cm="1">
        <f t="array" ref="A299">IFERROR(INDEX(#REF!,MATCH(TRUE,ISNUMBER(FIND(SUBSTITUTE(SUBSTITUTE(UPPER(#REF!)," ",""),":",": "),SUBSTITUTE(SUBSTITUTE(UPPER(S299)," ",""),":",": "))),0)),"Undefined")</f>
        <v>Undefined</v>
      </c>
      <c r="B299" s="42" t="str" cm="1">
        <f t="array" ref="B299">IFERROR(INDEX({"URGENTE"},MATCH(TRUE,ISNUMBER(FIND(SUBSTITUTE(SUBSTITUTE(UPPER({"URGENTE"})," ",""),":",": "),SUBSTITUTE(SUBSTITUTE(UPPER(S299)," ",""),":",": "))),0)),"-")</f>
        <v>-</v>
      </c>
      <c r="C299" s="46" t="str" cm="1">
        <f t="array" ref="C299">IFERROR(INDEX(#REF!,MATCH(TRUE,ISNUMBER(FIND(SUBSTITUTE(SUBSTITUTE(UPPER(#REF!)," ",""),":",": "),SUBSTITUTE(SUBSTITUTE(UPPER(S299)," ",""),":",": "))),0)),"Não encontrado")</f>
        <v>Não encontrado</v>
      </c>
      <c r="D299" s="46" t="str" cm="1">
        <f t="array" ref="D299">IFERROR(INDEX(#REF!,MATCH(TRUE,ISNUMBER(FIND(SUBSTITUTE(SUBSTITUTE(UPPER(#REF!)," ",""),":",": "),SUBSTITUTE(SUBSTITUTE(UPPER(S299)," ",""),":",": "))),0)),"Não encontrado")</f>
        <v>Não encontrado</v>
      </c>
      <c r="E299" s="42" t="str" cm="1">
        <f t="array" ref="E299">IFERROR(INDEX({"IMPEDITIVO"},MATCH(TRUE,ISNUMBER(FIND(SUBSTITUTE(SUBSTITUTE(UPPER({"IMPEDITIVO"})," ",""),":",": "),SUBSTITUTE(SUBSTITUTE(UPPER(S299)," ",""),":",": "))),0)),"-")</f>
        <v>-</v>
      </c>
      <c r="K299" s="49"/>
    </row>
    <row r="300" spans="1:11" x14ac:dyDescent="0.25">
      <c r="A300" s="46" t="str" cm="1">
        <f t="array" ref="A300">IFERROR(INDEX(#REF!,MATCH(TRUE,ISNUMBER(FIND(SUBSTITUTE(SUBSTITUTE(UPPER(#REF!)," ",""),":",": "),SUBSTITUTE(SUBSTITUTE(UPPER(S300)," ",""),":",": "))),0)),"Undefined")</f>
        <v>Undefined</v>
      </c>
      <c r="B300" s="42" t="str" cm="1">
        <f t="array" ref="B300">IFERROR(INDEX({"URGENTE"},MATCH(TRUE,ISNUMBER(FIND(SUBSTITUTE(SUBSTITUTE(UPPER({"URGENTE"})," ",""),":",": "),SUBSTITUTE(SUBSTITUTE(UPPER(S300)," ",""),":",": "))),0)),"-")</f>
        <v>-</v>
      </c>
      <c r="C300" s="46" t="str" cm="1">
        <f t="array" ref="C300">IFERROR(INDEX(#REF!,MATCH(TRUE,ISNUMBER(FIND(SUBSTITUTE(SUBSTITUTE(UPPER(#REF!)," ",""),":",": "),SUBSTITUTE(SUBSTITUTE(UPPER(S300)," ",""),":",": "))),0)),"Não encontrado")</f>
        <v>Não encontrado</v>
      </c>
      <c r="D300" s="46" t="str" cm="1">
        <f t="array" ref="D300">IFERROR(INDEX(#REF!,MATCH(TRUE,ISNUMBER(FIND(SUBSTITUTE(SUBSTITUTE(UPPER(#REF!)," ",""),":",": "),SUBSTITUTE(SUBSTITUTE(UPPER(S300)," ",""),":",": "))),0)),"Não encontrado")</f>
        <v>Não encontrado</v>
      </c>
      <c r="E300" s="42" t="str" cm="1">
        <f t="array" ref="E300">IFERROR(INDEX({"IMPEDITIVO"},MATCH(TRUE,ISNUMBER(FIND(SUBSTITUTE(SUBSTITUTE(UPPER({"IMPEDITIVO"})," ",""),":",": "),SUBSTITUTE(SUBSTITUTE(UPPER(S300)," ",""),":",": "))),0)),"-")</f>
        <v>-</v>
      </c>
      <c r="K300" s="49"/>
    </row>
    <row r="301" spans="1:11" x14ac:dyDescent="0.25">
      <c r="A301" s="46" t="str" cm="1">
        <f t="array" ref="A301">IFERROR(INDEX(#REF!,MATCH(TRUE,ISNUMBER(FIND(SUBSTITUTE(SUBSTITUTE(UPPER(#REF!)," ",""),":",": "),SUBSTITUTE(SUBSTITUTE(UPPER(S301)," ",""),":",": "))),0)),"Undefined")</f>
        <v>Undefined</v>
      </c>
      <c r="B301" s="42" t="str" cm="1">
        <f t="array" ref="B301">IFERROR(INDEX({"URGENTE"},MATCH(TRUE,ISNUMBER(FIND(SUBSTITUTE(SUBSTITUTE(UPPER({"URGENTE"})," ",""),":",": "),SUBSTITUTE(SUBSTITUTE(UPPER(S301)," ",""),":",": "))),0)),"-")</f>
        <v>-</v>
      </c>
      <c r="C301" s="46" t="str" cm="1">
        <f t="array" ref="C301">IFERROR(INDEX(#REF!,MATCH(TRUE,ISNUMBER(FIND(SUBSTITUTE(SUBSTITUTE(UPPER(#REF!)," ",""),":",": "),SUBSTITUTE(SUBSTITUTE(UPPER(S301)," ",""),":",": "))),0)),"Não encontrado")</f>
        <v>Não encontrado</v>
      </c>
      <c r="D301" s="46" t="str" cm="1">
        <f t="array" ref="D301">IFERROR(INDEX(#REF!,MATCH(TRUE,ISNUMBER(FIND(SUBSTITUTE(SUBSTITUTE(UPPER(#REF!)," ",""),":",": "),SUBSTITUTE(SUBSTITUTE(UPPER(S301)," ",""),":",": "))),0)),"Não encontrado")</f>
        <v>Não encontrado</v>
      </c>
      <c r="E301" s="42" t="str" cm="1">
        <f t="array" ref="E301">IFERROR(INDEX({"IMPEDITIVO"},MATCH(TRUE,ISNUMBER(FIND(SUBSTITUTE(SUBSTITUTE(UPPER({"IMPEDITIVO"})," ",""),":",": "),SUBSTITUTE(SUBSTITUTE(UPPER(S301)," ",""),":",": "))),0)),"-")</f>
        <v>-</v>
      </c>
      <c r="K301" s="49"/>
    </row>
    <row r="302" spans="1:11" x14ac:dyDescent="0.25">
      <c r="A302" s="46" t="str" cm="1">
        <f t="array" ref="A302">IFERROR(INDEX(#REF!,MATCH(TRUE,ISNUMBER(FIND(SUBSTITUTE(SUBSTITUTE(UPPER(#REF!)," ",""),":",": "),SUBSTITUTE(SUBSTITUTE(UPPER(S302)," ",""),":",": "))),0)),"Undefined")</f>
        <v>Undefined</v>
      </c>
      <c r="B302" s="42" t="str" cm="1">
        <f t="array" ref="B302">IFERROR(INDEX({"URGENTE"},MATCH(TRUE,ISNUMBER(FIND(SUBSTITUTE(SUBSTITUTE(UPPER({"URGENTE"})," ",""),":",": "),SUBSTITUTE(SUBSTITUTE(UPPER(S302)," ",""),":",": "))),0)),"-")</f>
        <v>-</v>
      </c>
      <c r="C302" s="46" t="str" cm="1">
        <f t="array" ref="C302">IFERROR(INDEX(#REF!,MATCH(TRUE,ISNUMBER(FIND(SUBSTITUTE(SUBSTITUTE(UPPER(#REF!)," ",""),":",": "),SUBSTITUTE(SUBSTITUTE(UPPER(S302)," ",""),":",": "))),0)),"Não encontrado")</f>
        <v>Não encontrado</v>
      </c>
      <c r="D302" s="46" t="str" cm="1">
        <f t="array" ref="D302">IFERROR(INDEX(#REF!,MATCH(TRUE,ISNUMBER(FIND(SUBSTITUTE(SUBSTITUTE(UPPER(#REF!)," ",""),":",": "),SUBSTITUTE(SUBSTITUTE(UPPER(S302)," ",""),":",": "))),0)),"Não encontrado")</f>
        <v>Não encontrado</v>
      </c>
      <c r="E302" s="42" t="str" cm="1">
        <f t="array" ref="E302">IFERROR(INDEX({"IMPEDITIVO"},MATCH(TRUE,ISNUMBER(FIND(SUBSTITUTE(SUBSTITUTE(UPPER({"IMPEDITIVO"})," ",""),":",": "),SUBSTITUTE(SUBSTITUTE(UPPER(S302)," ",""),":",": "))),0)),"-")</f>
        <v>-</v>
      </c>
      <c r="K302" s="49"/>
    </row>
    <row r="303" spans="1:11" x14ac:dyDescent="0.25">
      <c r="A303" s="46" t="str" cm="1">
        <f t="array" ref="A303">IFERROR(INDEX(#REF!,MATCH(TRUE,ISNUMBER(FIND(SUBSTITUTE(SUBSTITUTE(UPPER(#REF!)," ",""),":",": "),SUBSTITUTE(SUBSTITUTE(UPPER(S303)," ",""),":",": "))),0)),"Undefined")</f>
        <v>Undefined</v>
      </c>
      <c r="B303" s="42" t="str" cm="1">
        <f t="array" ref="B303">IFERROR(INDEX({"URGENTE"},MATCH(TRUE,ISNUMBER(FIND(SUBSTITUTE(SUBSTITUTE(UPPER({"URGENTE"})," ",""),":",": "),SUBSTITUTE(SUBSTITUTE(UPPER(S303)," ",""),":",": "))),0)),"-")</f>
        <v>-</v>
      </c>
      <c r="C303" s="46" t="str" cm="1">
        <f t="array" ref="C303">IFERROR(INDEX(#REF!,MATCH(TRUE,ISNUMBER(FIND(SUBSTITUTE(SUBSTITUTE(UPPER(#REF!)," ",""),":",": "),SUBSTITUTE(SUBSTITUTE(UPPER(S303)," ",""),":",": "))),0)),"Não encontrado")</f>
        <v>Não encontrado</v>
      </c>
      <c r="D303" s="46" t="str" cm="1">
        <f t="array" ref="D303">IFERROR(INDEX(#REF!,MATCH(TRUE,ISNUMBER(FIND(SUBSTITUTE(SUBSTITUTE(UPPER(#REF!)," ",""),":",": "),SUBSTITUTE(SUBSTITUTE(UPPER(S303)," ",""),":",": "))),0)),"Não encontrado")</f>
        <v>Não encontrado</v>
      </c>
      <c r="E303" s="42" t="str" cm="1">
        <f t="array" ref="E303">IFERROR(INDEX({"IMPEDITIVO"},MATCH(TRUE,ISNUMBER(FIND(SUBSTITUTE(SUBSTITUTE(UPPER({"IMPEDITIVO"})," ",""),":",": "),SUBSTITUTE(SUBSTITUTE(UPPER(S303)," ",""),":",": "))),0)),"-")</f>
        <v>-</v>
      </c>
      <c r="K303" s="49"/>
    </row>
    <row r="304" spans="1:11" x14ac:dyDescent="0.25">
      <c r="A304" s="46" t="str" cm="1">
        <f t="array" ref="A304">IFERROR(INDEX(#REF!,MATCH(TRUE,ISNUMBER(FIND(SUBSTITUTE(SUBSTITUTE(UPPER(#REF!)," ",""),":",": "),SUBSTITUTE(SUBSTITUTE(UPPER(S304)," ",""),":",": "))),0)),"Undefined")</f>
        <v>Undefined</v>
      </c>
      <c r="B304" s="42" t="str" cm="1">
        <f t="array" ref="B304">IFERROR(INDEX({"URGENTE"},MATCH(TRUE,ISNUMBER(FIND(SUBSTITUTE(SUBSTITUTE(UPPER({"URGENTE"})," ",""),":",": "),SUBSTITUTE(SUBSTITUTE(UPPER(S304)," ",""),":",": "))),0)),"-")</f>
        <v>-</v>
      </c>
      <c r="C304" s="46" t="str" cm="1">
        <f t="array" ref="C304">IFERROR(INDEX(#REF!,MATCH(TRUE,ISNUMBER(FIND(SUBSTITUTE(SUBSTITUTE(UPPER(#REF!)," ",""),":",": "),SUBSTITUTE(SUBSTITUTE(UPPER(S304)," ",""),":",": "))),0)),"Não encontrado")</f>
        <v>Não encontrado</v>
      </c>
      <c r="D304" s="46" t="str" cm="1">
        <f t="array" ref="D304">IFERROR(INDEX(#REF!,MATCH(TRUE,ISNUMBER(FIND(SUBSTITUTE(SUBSTITUTE(UPPER(#REF!)," ",""),":",": "),SUBSTITUTE(SUBSTITUTE(UPPER(S304)," ",""),":",": "))),0)),"Não encontrado")</f>
        <v>Não encontrado</v>
      </c>
      <c r="E304" s="42" t="str" cm="1">
        <f t="array" ref="E304">IFERROR(INDEX({"IMPEDITIVO"},MATCH(TRUE,ISNUMBER(FIND(SUBSTITUTE(SUBSTITUTE(UPPER({"IMPEDITIVO"})," ",""),":",": "),SUBSTITUTE(SUBSTITUTE(UPPER(S304)," ",""),":",": "))),0)),"-")</f>
        <v>-</v>
      </c>
      <c r="K304" s="49"/>
    </row>
    <row r="305" spans="1:11" x14ac:dyDescent="0.25">
      <c r="A305" s="46" t="str" cm="1">
        <f t="array" ref="A305">IFERROR(INDEX(#REF!,MATCH(TRUE,ISNUMBER(FIND(SUBSTITUTE(SUBSTITUTE(UPPER(#REF!)," ",""),":",": "),SUBSTITUTE(SUBSTITUTE(UPPER(S305)," ",""),":",": "))),0)),"Undefined")</f>
        <v>Undefined</v>
      </c>
      <c r="B305" s="42" t="str" cm="1">
        <f t="array" ref="B305">IFERROR(INDEX({"URGENTE"},MATCH(TRUE,ISNUMBER(FIND(SUBSTITUTE(SUBSTITUTE(UPPER({"URGENTE"})," ",""),":",": "),SUBSTITUTE(SUBSTITUTE(UPPER(S305)," ",""),":",": "))),0)),"-")</f>
        <v>-</v>
      </c>
      <c r="C305" s="46" t="str" cm="1">
        <f t="array" ref="C305">IFERROR(INDEX(#REF!,MATCH(TRUE,ISNUMBER(FIND(SUBSTITUTE(SUBSTITUTE(UPPER(#REF!)," ",""),":",": "),SUBSTITUTE(SUBSTITUTE(UPPER(S305)," ",""),":",": "))),0)),"Não encontrado")</f>
        <v>Não encontrado</v>
      </c>
      <c r="D305" s="46" t="str" cm="1">
        <f t="array" ref="D305">IFERROR(INDEX(#REF!,MATCH(TRUE,ISNUMBER(FIND(SUBSTITUTE(SUBSTITUTE(UPPER(#REF!)," ",""),":",": "),SUBSTITUTE(SUBSTITUTE(UPPER(S305)," ",""),":",": "))),0)),"Não encontrado")</f>
        <v>Não encontrado</v>
      </c>
      <c r="E305" s="42" t="str" cm="1">
        <f t="array" ref="E305">IFERROR(INDEX({"IMPEDITIVO"},MATCH(TRUE,ISNUMBER(FIND(SUBSTITUTE(SUBSTITUTE(UPPER({"IMPEDITIVO"})," ",""),":",": "),SUBSTITUTE(SUBSTITUTE(UPPER(S305)," ",""),":",": "))),0)),"-")</f>
        <v>-</v>
      </c>
      <c r="K305" s="49"/>
    </row>
    <row r="306" spans="1:11" x14ac:dyDescent="0.25">
      <c r="A306" s="46" t="str" cm="1">
        <f t="array" ref="A306">IFERROR(INDEX(#REF!,MATCH(TRUE,ISNUMBER(FIND(SUBSTITUTE(SUBSTITUTE(UPPER(#REF!)," ",""),":",": "),SUBSTITUTE(SUBSTITUTE(UPPER(S306)," ",""),":",": "))),0)),"Undefined")</f>
        <v>Undefined</v>
      </c>
      <c r="B306" s="42" t="str" cm="1">
        <f t="array" ref="B306">IFERROR(INDEX({"URGENTE"},MATCH(TRUE,ISNUMBER(FIND(SUBSTITUTE(SUBSTITUTE(UPPER({"URGENTE"})," ",""),":",": "),SUBSTITUTE(SUBSTITUTE(UPPER(S306)," ",""),":",": "))),0)),"-")</f>
        <v>-</v>
      </c>
      <c r="C306" s="46" t="str" cm="1">
        <f t="array" ref="C306">IFERROR(INDEX(#REF!,MATCH(TRUE,ISNUMBER(FIND(SUBSTITUTE(SUBSTITUTE(UPPER(#REF!)," ",""),":",": "),SUBSTITUTE(SUBSTITUTE(UPPER(S306)," ",""),":",": "))),0)),"Não encontrado")</f>
        <v>Não encontrado</v>
      </c>
      <c r="D306" s="46" t="str" cm="1">
        <f t="array" ref="D306">IFERROR(INDEX(#REF!,MATCH(TRUE,ISNUMBER(FIND(SUBSTITUTE(SUBSTITUTE(UPPER(#REF!)," ",""),":",": "),SUBSTITUTE(SUBSTITUTE(UPPER(S306)," ",""),":",": "))),0)),"Não encontrado")</f>
        <v>Não encontrado</v>
      </c>
      <c r="E306" s="42" t="str" cm="1">
        <f t="array" ref="E306">IFERROR(INDEX({"IMPEDITIVO"},MATCH(TRUE,ISNUMBER(FIND(SUBSTITUTE(SUBSTITUTE(UPPER({"IMPEDITIVO"})," ",""),":",": "),SUBSTITUTE(SUBSTITUTE(UPPER(S306)," ",""),":",": "))),0)),"-")</f>
        <v>-</v>
      </c>
      <c r="K306" s="49"/>
    </row>
    <row r="307" spans="1:11" x14ac:dyDescent="0.25">
      <c r="A307" s="46" t="str" cm="1">
        <f t="array" ref="A307">IFERROR(INDEX(#REF!,MATCH(TRUE,ISNUMBER(FIND(SUBSTITUTE(SUBSTITUTE(UPPER(#REF!)," ",""),":",": "),SUBSTITUTE(SUBSTITUTE(UPPER(S307)," ",""),":",": "))),0)),"Undefined")</f>
        <v>Undefined</v>
      </c>
      <c r="B307" s="42" t="str" cm="1">
        <f t="array" ref="B307">IFERROR(INDEX({"URGENTE"},MATCH(TRUE,ISNUMBER(FIND(SUBSTITUTE(SUBSTITUTE(UPPER({"URGENTE"})," ",""),":",": "),SUBSTITUTE(SUBSTITUTE(UPPER(S307)," ",""),":",": "))),0)),"-")</f>
        <v>-</v>
      </c>
      <c r="C307" s="46" t="str" cm="1">
        <f t="array" ref="C307">IFERROR(INDEX(#REF!,MATCH(TRUE,ISNUMBER(FIND(SUBSTITUTE(SUBSTITUTE(UPPER(#REF!)," ",""),":",": "),SUBSTITUTE(SUBSTITUTE(UPPER(S307)," ",""),":",": "))),0)),"Não encontrado")</f>
        <v>Não encontrado</v>
      </c>
      <c r="D307" s="46" t="str" cm="1">
        <f t="array" ref="D307">IFERROR(INDEX(#REF!,MATCH(TRUE,ISNUMBER(FIND(SUBSTITUTE(SUBSTITUTE(UPPER(#REF!)," ",""),":",": "),SUBSTITUTE(SUBSTITUTE(UPPER(S307)," ",""),":",": "))),0)),"Não encontrado")</f>
        <v>Não encontrado</v>
      </c>
      <c r="E307" s="42" t="str" cm="1">
        <f t="array" ref="E307">IFERROR(INDEX({"IMPEDITIVO"},MATCH(TRUE,ISNUMBER(FIND(SUBSTITUTE(SUBSTITUTE(UPPER({"IMPEDITIVO"})," ",""),":",": "),SUBSTITUTE(SUBSTITUTE(UPPER(S307)," ",""),":",": "))),0)),"-")</f>
        <v>-</v>
      </c>
      <c r="K307" s="49"/>
    </row>
    <row r="308" spans="1:11" x14ac:dyDescent="0.25">
      <c r="A308" s="46" t="str" cm="1">
        <f t="array" ref="A308">IFERROR(INDEX(#REF!,MATCH(TRUE,ISNUMBER(FIND(SUBSTITUTE(SUBSTITUTE(UPPER(#REF!)," ",""),":",": "),SUBSTITUTE(SUBSTITUTE(UPPER(S308)," ",""),":",": "))),0)),"Undefined")</f>
        <v>Undefined</v>
      </c>
      <c r="B308" s="42" t="str" cm="1">
        <f t="array" ref="B308">IFERROR(INDEX({"URGENTE"},MATCH(TRUE,ISNUMBER(FIND(SUBSTITUTE(SUBSTITUTE(UPPER({"URGENTE"})," ",""),":",": "),SUBSTITUTE(SUBSTITUTE(UPPER(S308)," ",""),":",": "))),0)),"-")</f>
        <v>-</v>
      </c>
      <c r="C308" s="46" t="str" cm="1">
        <f t="array" ref="C308">IFERROR(INDEX(#REF!,MATCH(TRUE,ISNUMBER(FIND(SUBSTITUTE(SUBSTITUTE(UPPER(#REF!)," ",""),":",": "),SUBSTITUTE(SUBSTITUTE(UPPER(S308)," ",""),":",": "))),0)),"Não encontrado")</f>
        <v>Não encontrado</v>
      </c>
      <c r="D308" s="46" t="str" cm="1">
        <f t="array" ref="D308">IFERROR(INDEX(#REF!,MATCH(TRUE,ISNUMBER(FIND(SUBSTITUTE(SUBSTITUTE(UPPER(#REF!)," ",""),":",": "),SUBSTITUTE(SUBSTITUTE(UPPER(S308)," ",""),":",": "))),0)),"Não encontrado")</f>
        <v>Não encontrado</v>
      </c>
      <c r="E308" s="42" t="str" cm="1">
        <f t="array" ref="E308">IFERROR(INDEX({"IMPEDITIVO"},MATCH(TRUE,ISNUMBER(FIND(SUBSTITUTE(SUBSTITUTE(UPPER({"IMPEDITIVO"})," ",""),":",": "),SUBSTITUTE(SUBSTITUTE(UPPER(S308)," ",""),":",": "))),0)),"-")</f>
        <v>-</v>
      </c>
      <c r="K308" s="49"/>
    </row>
    <row r="309" spans="1:11" x14ac:dyDescent="0.25">
      <c r="A309" s="46" t="str" cm="1">
        <f t="array" ref="A309">IFERROR(INDEX(#REF!,MATCH(TRUE,ISNUMBER(FIND(SUBSTITUTE(SUBSTITUTE(UPPER(#REF!)," ",""),":",": "),SUBSTITUTE(SUBSTITUTE(UPPER(S309)," ",""),":",": "))),0)),"Undefined")</f>
        <v>Undefined</v>
      </c>
      <c r="B309" s="42" t="str" cm="1">
        <f t="array" ref="B309">IFERROR(INDEX({"URGENTE"},MATCH(TRUE,ISNUMBER(FIND(SUBSTITUTE(SUBSTITUTE(UPPER({"URGENTE"})," ",""),":",": "),SUBSTITUTE(SUBSTITUTE(UPPER(S309)," ",""),":",": "))),0)),"-")</f>
        <v>-</v>
      </c>
      <c r="C309" s="46" t="str" cm="1">
        <f t="array" ref="C309">IFERROR(INDEX(#REF!,MATCH(TRUE,ISNUMBER(FIND(SUBSTITUTE(SUBSTITUTE(UPPER(#REF!)," ",""),":",": "),SUBSTITUTE(SUBSTITUTE(UPPER(S309)," ",""),":",": "))),0)),"Não encontrado")</f>
        <v>Não encontrado</v>
      </c>
      <c r="D309" s="46" t="str" cm="1">
        <f t="array" ref="D309">IFERROR(INDEX(#REF!,MATCH(TRUE,ISNUMBER(FIND(SUBSTITUTE(SUBSTITUTE(UPPER(#REF!)," ",""),":",": "),SUBSTITUTE(SUBSTITUTE(UPPER(S309)," ",""),":",": "))),0)),"Não encontrado")</f>
        <v>Não encontrado</v>
      </c>
      <c r="E309" s="42" t="str" cm="1">
        <f t="array" ref="E309">IFERROR(INDEX({"IMPEDITIVO"},MATCH(TRUE,ISNUMBER(FIND(SUBSTITUTE(SUBSTITUTE(UPPER({"IMPEDITIVO"})," ",""),":",": "),SUBSTITUTE(SUBSTITUTE(UPPER(S309)," ",""),":",": "))),0)),"-")</f>
        <v>-</v>
      </c>
      <c r="K309" s="49"/>
    </row>
    <row r="310" spans="1:11" x14ac:dyDescent="0.25">
      <c r="A310" s="46" t="str" cm="1">
        <f t="array" ref="A310">IFERROR(INDEX(#REF!,MATCH(TRUE,ISNUMBER(FIND(SUBSTITUTE(SUBSTITUTE(UPPER(#REF!)," ",""),":",": "),SUBSTITUTE(SUBSTITUTE(UPPER(S310)," ",""),":",": "))),0)),"Undefined")</f>
        <v>Undefined</v>
      </c>
      <c r="B310" s="42" t="str" cm="1">
        <f t="array" ref="B310">IFERROR(INDEX({"URGENTE"},MATCH(TRUE,ISNUMBER(FIND(SUBSTITUTE(SUBSTITUTE(UPPER({"URGENTE"})," ",""),":",": "),SUBSTITUTE(SUBSTITUTE(UPPER(S310)," ",""),":",": "))),0)),"-")</f>
        <v>-</v>
      </c>
      <c r="C310" s="46" t="str" cm="1">
        <f t="array" ref="C310">IFERROR(INDEX(#REF!,MATCH(TRUE,ISNUMBER(FIND(SUBSTITUTE(SUBSTITUTE(UPPER(#REF!)," ",""),":",": "),SUBSTITUTE(SUBSTITUTE(UPPER(S310)," ",""),":",": "))),0)),"Não encontrado")</f>
        <v>Não encontrado</v>
      </c>
      <c r="D310" s="46" t="str" cm="1">
        <f t="array" ref="D310">IFERROR(INDEX(#REF!,MATCH(TRUE,ISNUMBER(FIND(SUBSTITUTE(SUBSTITUTE(UPPER(#REF!)," ",""),":",": "),SUBSTITUTE(SUBSTITUTE(UPPER(S310)," ",""),":",": "))),0)),"Não encontrado")</f>
        <v>Não encontrado</v>
      </c>
      <c r="E310" s="42" t="str" cm="1">
        <f t="array" ref="E310">IFERROR(INDEX({"IMPEDITIVO"},MATCH(TRUE,ISNUMBER(FIND(SUBSTITUTE(SUBSTITUTE(UPPER({"IMPEDITIVO"})," ",""),":",": "),SUBSTITUTE(SUBSTITUTE(UPPER(S310)," ",""),":",": "))),0)),"-")</f>
        <v>-</v>
      </c>
      <c r="K310" s="49"/>
    </row>
    <row r="311" spans="1:11" x14ac:dyDescent="0.25">
      <c r="A311" s="46" t="str" cm="1">
        <f t="array" ref="A311">IFERROR(INDEX(#REF!,MATCH(TRUE,ISNUMBER(FIND(SUBSTITUTE(SUBSTITUTE(UPPER(#REF!)," ",""),":",": "),SUBSTITUTE(SUBSTITUTE(UPPER(S311)," ",""),":",": "))),0)),"Undefined")</f>
        <v>Undefined</v>
      </c>
      <c r="B311" s="42" t="str" cm="1">
        <f t="array" ref="B311">IFERROR(INDEX({"URGENTE"},MATCH(TRUE,ISNUMBER(FIND(SUBSTITUTE(SUBSTITUTE(UPPER({"URGENTE"})," ",""),":",": "),SUBSTITUTE(SUBSTITUTE(UPPER(S311)," ",""),":",": "))),0)),"-")</f>
        <v>-</v>
      </c>
      <c r="C311" s="46" t="str" cm="1">
        <f t="array" ref="C311">IFERROR(INDEX(#REF!,MATCH(TRUE,ISNUMBER(FIND(SUBSTITUTE(SUBSTITUTE(UPPER(#REF!)," ",""),":",": "),SUBSTITUTE(SUBSTITUTE(UPPER(S311)," ",""),":",": "))),0)),"Não encontrado")</f>
        <v>Não encontrado</v>
      </c>
      <c r="D311" s="46" t="str" cm="1">
        <f t="array" ref="D311">IFERROR(INDEX(#REF!,MATCH(TRUE,ISNUMBER(FIND(SUBSTITUTE(SUBSTITUTE(UPPER(#REF!)," ",""),":",": "),SUBSTITUTE(SUBSTITUTE(UPPER(S311)," ",""),":",": "))),0)),"Não encontrado")</f>
        <v>Não encontrado</v>
      </c>
      <c r="E311" s="42" t="str" cm="1">
        <f t="array" ref="E311">IFERROR(INDEX({"IMPEDITIVO"},MATCH(TRUE,ISNUMBER(FIND(SUBSTITUTE(SUBSTITUTE(UPPER({"IMPEDITIVO"})," ",""),":",": "),SUBSTITUTE(SUBSTITUTE(UPPER(S311)," ",""),":",": "))),0)),"-")</f>
        <v>-</v>
      </c>
      <c r="K311" s="49"/>
    </row>
    <row r="312" spans="1:11" x14ac:dyDescent="0.25">
      <c r="A312" s="46" t="str" cm="1">
        <f t="array" ref="A312">IFERROR(INDEX(#REF!,MATCH(TRUE,ISNUMBER(FIND(SUBSTITUTE(SUBSTITUTE(UPPER(#REF!)," ",""),":",": "),SUBSTITUTE(SUBSTITUTE(UPPER(S312)," ",""),":",": "))),0)),"Undefined")</f>
        <v>Undefined</v>
      </c>
      <c r="B312" s="42" t="str" cm="1">
        <f t="array" ref="B312">IFERROR(INDEX({"URGENTE"},MATCH(TRUE,ISNUMBER(FIND(SUBSTITUTE(SUBSTITUTE(UPPER({"URGENTE"})," ",""),":",": "),SUBSTITUTE(SUBSTITUTE(UPPER(S312)," ",""),":",": "))),0)),"-")</f>
        <v>-</v>
      </c>
      <c r="C312" s="46" t="str" cm="1">
        <f t="array" ref="C312">IFERROR(INDEX(#REF!,MATCH(TRUE,ISNUMBER(FIND(SUBSTITUTE(SUBSTITUTE(UPPER(#REF!)," ",""),":",": "),SUBSTITUTE(SUBSTITUTE(UPPER(S312)," ",""),":",": "))),0)),"Não encontrado")</f>
        <v>Não encontrado</v>
      </c>
      <c r="D312" s="46" t="str" cm="1">
        <f t="array" ref="D312">IFERROR(INDEX(#REF!,MATCH(TRUE,ISNUMBER(FIND(SUBSTITUTE(SUBSTITUTE(UPPER(#REF!)," ",""),":",": "),SUBSTITUTE(SUBSTITUTE(UPPER(S312)," ",""),":",": "))),0)),"Não encontrado")</f>
        <v>Não encontrado</v>
      </c>
      <c r="E312" s="42" t="str" cm="1">
        <f t="array" ref="E312">IFERROR(INDEX({"IMPEDITIVO"},MATCH(TRUE,ISNUMBER(FIND(SUBSTITUTE(SUBSTITUTE(UPPER({"IMPEDITIVO"})," ",""),":",": "),SUBSTITUTE(SUBSTITUTE(UPPER(S312)," ",""),":",": "))),0)),"-")</f>
        <v>-</v>
      </c>
      <c r="K312" s="49"/>
    </row>
    <row r="313" spans="1:11" x14ac:dyDescent="0.25">
      <c r="A313" s="46" t="str" cm="1">
        <f t="array" ref="A313">IFERROR(INDEX(#REF!,MATCH(TRUE,ISNUMBER(FIND(SUBSTITUTE(SUBSTITUTE(UPPER(#REF!)," ",""),":",": "),SUBSTITUTE(SUBSTITUTE(UPPER(S313)," ",""),":",": "))),0)),"Undefined")</f>
        <v>Undefined</v>
      </c>
      <c r="B313" s="42" t="str" cm="1">
        <f t="array" ref="B313">IFERROR(INDEX({"URGENTE"},MATCH(TRUE,ISNUMBER(FIND(SUBSTITUTE(SUBSTITUTE(UPPER({"URGENTE"})," ",""),":",": "),SUBSTITUTE(SUBSTITUTE(UPPER(S313)," ",""),":",": "))),0)),"-")</f>
        <v>-</v>
      </c>
      <c r="C313" s="46" t="str" cm="1">
        <f t="array" ref="C313">IFERROR(INDEX(#REF!,MATCH(TRUE,ISNUMBER(FIND(SUBSTITUTE(SUBSTITUTE(UPPER(#REF!)," ",""),":",": "),SUBSTITUTE(SUBSTITUTE(UPPER(S313)," ",""),":",": "))),0)),"Não encontrado")</f>
        <v>Não encontrado</v>
      </c>
      <c r="D313" s="46" t="str" cm="1">
        <f t="array" ref="D313">IFERROR(INDEX(#REF!,MATCH(TRUE,ISNUMBER(FIND(SUBSTITUTE(SUBSTITUTE(UPPER(#REF!)," ",""),":",": "),SUBSTITUTE(SUBSTITUTE(UPPER(S313)," ",""),":",": "))),0)),"Não encontrado")</f>
        <v>Não encontrado</v>
      </c>
      <c r="E313" s="42" t="str" cm="1">
        <f t="array" ref="E313">IFERROR(INDEX({"IMPEDITIVO"},MATCH(TRUE,ISNUMBER(FIND(SUBSTITUTE(SUBSTITUTE(UPPER({"IMPEDITIVO"})," ",""),":",": "),SUBSTITUTE(SUBSTITUTE(UPPER(S313)," ",""),":",": "))),0)),"-")</f>
        <v>-</v>
      </c>
      <c r="K313" s="49"/>
    </row>
    <row r="314" spans="1:11" x14ac:dyDescent="0.25">
      <c r="A314" s="46" t="str" cm="1">
        <f t="array" ref="A314">IFERROR(INDEX(#REF!,MATCH(TRUE,ISNUMBER(FIND(SUBSTITUTE(SUBSTITUTE(UPPER(#REF!)," ",""),":",": "),SUBSTITUTE(SUBSTITUTE(UPPER(S314)," ",""),":",": "))),0)),"Undefined")</f>
        <v>Undefined</v>
      </c>
      <c r="B314" s="42" t="str" cm="1">
        <f t="array" ref="B314">IFERROR(INDEX({"URGENTE"},MATCH(TRUE,ISNUMBER(FIND(SUBSTITUTE(SUBSTITUTE(UPPER({"URGENTE"})," ",""),":",": "),SUBSTITUTE(SUBSTITUTE(UPPER(S314)," ",""),":",": "))),0)),"-")</f>
        <v>-</v>
      </c>
      <c r="C314" s="46" t="str" cm="1">
        <f t="array" ref="C314">IFERROR(INDEX(#REF!,MATCH(TRUE,ISNUMBER(FIND(SUBSTITUTE(SUBSTITUTE(UPPER(#REF!)," ",""),":",": "),SUBSTITUTE(SUBSTITUTE(UPPER(S314)," ",""),":",": "))),0)),"Não encontrado")</f>
        <v>Não encontrado</v>
      </c>
      <c r="D314" s="46" t="str" cm="1">
        <f t="array" ref="D314">IFERROR(INDEX(#REF!,MATCH(TRUE,ISNUMBER(FIND(SUBSTITUTE(SUBSTITUTE(UPPER(#REF!)," ",""),":",": "),SUBSTITUTE(SUBSTITUTE(UPPER(S314)," ",""),":",": "))),0)),"Não encontrado")</f>
        <v>Não encontrado</v>
      </c>
      <c r="E314" s="42" t="str" cm="1">
        <f t="array" ref="E314">IFERROR(INDEX({"IMPEDITIVO"},MATCH(TRUE,ISNUMBER(FIND(SUBSTITUTE(SUBSTITUTE(UPPER({"IMPEDITIVO"})," ",""),":",": "),SUBSTITUTE(SUBSTITUTE(UPPER(S314)," ",""),":",": "))),0)),"-")</f>
        <v>-</v>
      </c>
      <c r="K314" s="49"/>
    </row>
    <row r="315" spans="1:11" x14ac:dyDescent="0.25">
      <c r="A315" s="46" t="str" cm="1">
        <f t="array" ref="A315">IFERROR(INDEX(#REF!,MATCH(TRUE,ISNUMBER(FIND(SUBSTITUTE(SUBSTITUTE(UPPER(#REF!)," ",""),":",": "),SUBSTITUTE(SUBSTITUTE(UPPER(S315)," ",""),":",": "))),0)),"Undefined")</f>
        <v>Undefined</v>
      </c>
      <c r="B315" s="42" t="str" cm="1">
        <f t="array" ref="B315">IFERROR(INDEX({"URGENTE"},MATCH(TRUE,ISNUMBER(FIND(SUBSTITUTE(SUBSTITUTE(UPPER({"URGENTE"})," ",""),":",": "),SUBSTITUTE(SUBSTITUTE(UPPER(S315)," ",""),":",": "))),0)),"-")</f>
        <v>-</v>
      </c>
      <c r="C315" s="46" t="str" cm="1">
        <f t="array" ref="C315">IFERROR(INDEX(#REF!,MATCH(TRUE,ISNUMBER(FIND(SUBSTITUTE(SUBSTITUTE(UPPER(#REF!)," ",""),":",": "),SUBSTITUTE(SUBSTITUTE(UPPER(S315)," ",""),":",": "))),0)),"Não encontrado")</f>
        <v>Não encontrado</v>
      </c>
      <c r="D315" s="46" t="str" cm="1">
        <f t="array" ref="D315">IFERROR(INDEX(#REF!,MATCH(TRUE,ISNUMBER(FIND(SUBSTITUTE(SUBSTITUTE(UPPER(#REF!)," ",""),":",": "),SUBSTITUTE(SUBSTITUTE(UPPER(S315)," ",""),":",": "))),0)),"Não encontrado")</f>
        <v>Não encontrado</v>
      </c>
      <c r="E315" s="42" t="str" cm="1">
        <f t="array" ref="E315">IFERROR(INDEX({"IMPEDITIVO"},MATCH(TRUE,ISNUMBER(FIND(SUBSTITUTE(SUBSTITUTE(UPPER({"IMPEDITIVO"})," ",""),":",": "),SUBSTITUTE(SUBSTITUTE(UPPER(S315)," ",""),":",": "))),0)),"-")</f>
        <v>-</v>
      </c>
      <c r="K315" s="49"/>
    </row>
    <row r="316" spans="1:11" x14ac:dyDescent="0.25">
      <c r="A316" s="46" t="str" cm="1">
        <f t="array" ref="A316">IFERROR(INDEX(#REF!,MATCH(TRUE,ISNUMBER(FIND(SUBSTITUTE(SUBSTITUTE(UPPER(#REF!)," ",""),":",": "),SUBSTITUTE(SUBSTITUTE(UPPER(S316)," ",""),":",": "))),0)),"Undefined")</f>
        <v>Undefined</v>
      </c>
      <c r="B316" s="42" t="str" cm="1">
        <f t="array" ref="B316">IFERROR(INDEX({"URGENTE"},MATCH(TRUE,ISNUMBER(FIND(SUBSTITUTE(SUBSTITUTE(UPPER({"URGENTE"})," ",""),":",": "),SUBSTITUTE(SUBSTITUTE(UPPER(S316)," ",""),":",": "))),0)),"-")</f>
        <v>-</v>
      </c>
      <c r="C316" s="46" t="str" cm="1">
        <f t="array" ref="C316">IFERROR(INDEX(#REF!,MATCH(TRUE,ISNUMBER(FIND(SUBSTITUTE(SUBSTITUTE(UPPER(#REF!)," ",""),":",": "),SUBSTITUTE(SUBSTITUTE(UPPER(S316)," ",""),":",": "))),0)),"Não encontrado")</f>
        <v>Não encontrado</v>
      </c>
      <c r="D316" s="46" t="str" cm="1">
        <f t="array" ref="D316">IFERROR(INDEX(#REF!,MATCH(TRUE,ISNUMBER(FIND(SUBSTITUTE(SUBSTITUTE(UPPER(#REF!)," ",""),":",": "),SUBSTITUTE(SUBSTITUTE(UPPER(S316)," ",""),":",": "))),0)),"Não encontrado")</f>
        <v>Não encontrado</v>
      </c>
      <c r="E316" s="42" t="str" cm="1">
        <f t="array" ref="E316">IFERROR(INDEX({"IMPEDITIVO"},MATCH(TRUE,ISNUMBER(FIND(SUBSTITUTE(SUBSTITUTE(UPPER({"IMPEDITIVO"})," ",""),":",": "),SUBSTITUTE(SUBSTITUTE(UPPER(S316)," ",""),":",": "))),0)),"-")</f>
        <v>-</v>
      </c>
      <c r="K316" s="49"/>
    </row>
    <row r="317" spans="1:11" x14ac:dyDescent="0.25">
      <c r="A317" s="46" t="str" cm="1">
        <f t="array" ref="A317">IFERROR(INDEX(#REF!,MATCH(TRUE,ISNUMBER(FIND(SUBSTITUTE(SUBSTITUTE(UPPER(#REF!)," ",""),":",": "),SUBSTITUTE(SUBSTITUTE(UPPER(S317)," ",""),":",": "))),0)),"Undefined")</f>
        <v>Undefined</v>
      </c>
      <c r="B317" s="42" t="str" cm="1">
        <f t="array" ref="B317">IFERROR(INDEX({"URGENTE"},MATCH(TRUE,ISNUMBER(FIND(SUBSTITUTE(SUBSTITUTE(UPPER({"URGENTE"})," ",""),":",": "),SUBSTITUTE(SUBSTITUTE(UPPER(S317)," ",""),":",": "))),0)),"-")</f>
        <v>-</v>
      </c>
      <c r="C317" s="46" t="str" cm="1">
        <f t="array" ref="C317">IFERROR(INDEX(#REF!,MATCH(TRUE,ISNUMBER(FIND(SUBSTITUTE(SUBSTITUTE(UPPER(#REF!)," ",""),":",": "),SUBSTITUTE(SUBSTITUTE(UPPER(S317)," ",""),":",": "))),0)),"Não encontrado")</f>
        <v>Não encontrado</v>
      </c>
      <c r="D317" s="46" t="str" cm="1">
        <f t="array" ref="D317">IFERROR(INDEX(#REF!,MATCH(TRUE,ISNUMBER(FIND(SUBSTITUTE(SUBSTITUTE(UPPER(#REF!)," ",""),":",": "),SUBSTITUTE(SUBSTITUTE(UPPER(S317)," ",""),":",": "))),0)),"Não encontrado")</f>
        <v>Não encontrado</v>
      </c>
      <c r="E317" s="42" t="str" cm="1">
        <f t="array" ref="E317">IFERROR(INDEX({"IMPEDITIVO"},MATCH(TRUE,ISNUMBER(FIND(SUBSTITUTE(SUBSTITUTE(UPPER({"IMPEDITIVO"})," ",""),":",": "),SUBSTITUTE(SUBSTITUTE(UPPER(S317)," ",""),":",": "))),0)),"-")</f>
        <v>-</v>
      </c>
      <c r="K317" s="49"/>
    </row>
    <row r="318" spans="1:11" x14ac:dyDescent="0.25">
      <c r="A318" s="46" t="str" cm="1">
        <f t="array" ref="A318">IFERROR(INDEX(#REF!,MATCH(TRUE,ISNUMBER(FIND(SUBSTITUTE(SUBSTITUTE(UPPER(#REF!)," ",""),":",": "),SUBSTITUTE(SUBSTITUTE(UPPER(S318)," ",""),":",": "))),0)),"Undefined")</f>
        <v>Undefined</v>
      </c>
      <c r="B318" s="42" t="str" cm="1">
        <f t="array" ref="B318">IFERROR(INDEX({"URGENTE"},MATCH(TRUE,ISNUMBER(FIND(SUBSTITUTE(SUBSTITUTE(UPPER({"URGENTE"})," ",""),":",": "),SUBSTITUTE(SUBSTITUTE(UPPER(S318)," ",""),":",": "))),0)),"-")</f>
        <v>-</v>
      </c>
      <c r="C318" s="46" t="str" cm="1">
        <f t="array" ref="C318">IFERROR(INDEX(#REF!,MATCH(TRUE,ISNUMBER(FIND(SUBSTITUTE(SUBSTITUTE(UPPER(#REF!)," ",""),":",": "),SUBSTITUTE(SUBSTITUTE(UPPER(S318)," ",""),":",": "))),0)),"Não encontrado")</f>
        <v>Não encontrado</v>
      </c>
      <c r="D318" s="46" t="str" cm="1">
        <f t="array" ref="D318">IFERROR(INDEX(#REF!,MATCH(TRUE,ISNUMBER(FIND(SUBSTITUTE(SUBSTITUTE(UPPER(#REF!)," ",""),":",": "),SUBSTITUTE(SUBSTITUTE(UPPER(S318)," ",""),":",": "))),0)),"Não encontrado")</f>
        <v>Não encontrado</v>
      </c>
      <c r="E318" s="42" t="str" cm="1">
        <f t="array" ref="E318">IFERROR(INDEX({"IMPEDITIVO"},MATCH(TRUE,ISNUMBER(FIND(SUBSTITUTE(SUBSTITUTE(UPPER({"IMPEDITIVO"})," ",""),":",": "),SUBSTITUTE(SUBSTITUTE(UPPER(S318)," ",""),":",": "))),0)),"-")</f>
        <v>-</v>
      </c>
      <c r="K318" s="49"/>
    </row>
    <row r="319" spans="1:11" x14ac:dyDescent="0.25">
      <c r="A319" s="46" t="str" cm="1">
        <f t="array" ref="A319">IFERROR(INDEX(#REF!,MATCH(TRUE,ISNUMBER(FIND(SUBSTITUTE(SUBSTITUTE(UPPER(#REF!)," ",""),":",": "),SUBSTITUTE(SUBSTITUTE(UPPER(S319)," ",""),":",": "))),0)),"Undefined")</f>
        <v>Undefined</v>
      </c>
      <c r="B319" s="42" t="str" cm="1">
        <f t="array" ref="B319">IFERROR(INDEX({"URGENTE"},MATCH(TRUE,ISNUMBER(FIND(SUBSTITUTE(SUBSTITUTE(UPPER({"URGENTE"})," ",""),":",": "),SUBSTITUTE(SUBSTITUTE(UPPER(S319)," ",""),":",": "))),0)),"-")</f>
        <v>-</v>
      </c>
      <c r="C319" s="46" t="str" cm="1">
        <f t="array" ref="C319">IFERROR(INDEX(#REF!,MATCH(TRUE,ISNUMBER(FIND(SUBSTITUTE(SUBSTITUTE(UPPER(#REF!)," ",""),":",": "),SUBSTITUTE(SUBSTITUTE(UPPER(S319)," ",""),":",": "))),0)),"Não encontrado")</f>
        <v>Não encontrado</v>
      </c>
      <c r="D319" s="46" t="str" cm="1">
        <f t="array" ref="D319">IFERROR(INDEX(#REF!,MATCH(TRUE,ISNUMBER(FIND(SUBSTITUTE(SUBSTITUTE(UPPER(#REF!)," ",""),":",": "),SUBSTITUTE(SUBSTITUTE(UPPER(S319)," ",""),":",": "))),0)),"Não encontrado")</f>
        <v>Não encontrado</v>
      </c>
      <c r="E319" s="42" t="str" cm="1">
        <f t="array" ref="E319">IFERROR(INDEX({"IMPEDITIVO"},MATCH(TRUE,ISNUMBER(FIND(SUBSTITUTE(SUBSTITUTE(UPPER({"IMPEDITIVO"})," ",""),":",": "),SUBSTITUTE(SUBSTITUTE(UPPER(S319)," ",""),":",": "))),0)),"-")</f>
        <v>-</v>
      </c>
      <c r="K319" s="49"/>
    </row>
    <row r="320" spans="1:11" x14ac:dyDescent="0.25">
      <c r="A320" s="46" t="str" cm="1">
        <f t="array" ref="A320">IFERROR(INDEX(#REF!,MATCH(TRUE,ISNUMBER(FIND(SUBSTITUTE(SUBSTITUTE(UPPER(#REF!)," ",""),":",": "),SUBSTITUTE(SUBSTITUTE(UPPER(S320)," ",""),":",": "))),0)),"Undefined")</f>
        <v>Undefined</v>
      </c>
      <c r="B320" s="42" t="str" cm="1">
        <f t="array" ref="B320">IFERROR(INDEX({"URGENTE"},MATCH(TRUE,ISNUMBER(FIND(SUBSTITUTE(SUBSTITUTE(UPPER({"URGENTE"})," ",""),":",": "),SUBSTITUTE(SUBSTITUTE(UPPER(S320)," ",""),":",": "))),0)),"-")</f>
        <v>-</v>
      </c>
      <c r="C320" s="46" t="str" cm="1">
        <f t="array" ref="C320">IFERROR(INDEX(#REF!,MATCH(TRUE,ISNUMBER(FIND(SUBSTITUTE(SUBSTITUTE(UPPER(#REF!)," ",""),":",": "),SUBSTITUTE(SUBSTITUTE(UPPER(S320)," ",""),":",": "))),0)),"Não encontrado")</f>
        <v>Não encontrado</v>
      </c>
      <c r="D320" s="46" t="str" cm="1">
        <f t="array" ref="D320">IFERROR(INDEX(#REF!,MATCH(TRUE,ISNUMBER(FIND(SUBSTITUTE(SUBSTITUTE(UPPER(#REF!)," ",""),":",": "),SUBSTITUTE(SUBSTITUTE(UPPER(S320)," ",""),":",": "))),0)),"Não encontrado")</f>
        <v>Não encontrado</v>
      </c>
      <c r="E320" s="42" t="str" cm="1">
        <f t="array" ref="E320">IFERROR(INDEX({"IMPEDITIVO"},MATCH(TRUE,ISNUMBER(FIND(SUBSTITUTE(SUBSTITUTE(UPPER({"IMPEDITIVO"})," ",""),":",": "),SUBSTITUTE(SUBSTITUTE(UPPER(S320)," ",""),":",": "))),0)),"-")</f>
        <v>-</v>
      </c>
      <c r="K320" s="49"/>
    </row>
    <row r="321" spans="1:11" x14ac:dyDescent="0.25">
      <c r="A321" s="46" t="str" cm="1">
        <f t="array" ref="A321">IFERROR(INDEX(#REF!,MATCH(TRUE,ISNUMBER(FIND(SUBSTITUTE(SUBSTITUTE(UPPER(#REF!)," ",""),":",": "),SUBSTITUTE(SUBSTITUTE(UPPER(S321)," ",""),":",": "))),0)),"Undefined")</f>
        <v>Undefined</v>
      </c>
      <c r="B321" s="42" t="str" cm="1">
        <f t="array" ref="B321">IFERROR(INDEX({"URGENTE"},MATCH(TRUE,ISNUMBER(FIND(SUBSTITUTE(SUBSTITUTE(UPPER({"URGENTE"})," ",""),":",": "),SUBSTITUTE(SUBSTITUTE(UPPER(S321)," ",""),":",": "))),0)),"-")</f>
        <v>-</v>
      </c>
      <c r="C321" s="46" t="str" cm="1">
        <f t="array" ref="C321">IFERROR(INDEX(#REF!,MATCH(TRUE,ISNUMBER(FIND(SUBSTITUTE(SUBSTITUTE(UPPER(#REF!)," ",""),":",": "),SUBSTITUTE(SUBSTITUTE(UPPER(S321)," ",""),":",": "))),0)),"Não encontrado")</f>
        <v>Não encontrado</v>
      </c>
      <c r="D321" s="46" t="str" cm="1">
        <f t="array" ref="D321">IFERROR(INDEX(#REF!,MATCH(TRUE,ISNUMBER(FIND(SUBSTITUTE(SUBSTITUTE(UPPER(#REF!)," ",""),":",": "),SUBSTITUTE(SUBSTITUTE(UPPER(S321)," ",""),":",": "))),0)),"Não encontrado")</f>
        <v>Não encontrado</v>
      </c>
      <c r="E321" s="42" t="str" cm="1">
        <f t="array" ref="E321">IFERROR(INDEX({"IMPEDITIVO"},MATCH(TRUE,ISNUMBER(FIND(SUBSTITUTE(SUBSTITUTE(UPPER({"IMPEDITIVO"})," ",""),":",": "),SUBSTITUTE(SUBSTITUTE(UPPER(S321)," ",""),":",": "))),0)),"-")</f>
        <v>-</v>
      </c>
      <c r="K321" s="49"/>
    </row>
    <row r="322" spans="1:11" x14ac:dyDescent="0.25">
      <c r="A322" s="46" t="str" cm="1">
        <f t="array" ref="A322">IFERROR(INDEX(#REF!,MATCH(TRUE,ISNUMBER(FIND(SUBSTITUTE(SUBSTITUTE(UPPER(#REF!)," ",""),":",": "),SUBSTITUTE(SUBSTITUTE(UPPER(S322)," ",""),":",": "))),0)),"Undefined")</f>
        <v>Undefined</v>
      </c>
      <c r="B322" s="42" t="str" cm="1">
        <f t="array" ref="B322">IFERROR(INDEX({"URGENTE"},MATCH(TRUE,ISNUMBER(FIND(SUBSTITUTE(SUBSTITUTE(UPPER({"URGENTE"})," ",""),":",": "),SUBSTITUTE(SUBSTITUTE(UPPER(S322)," ",""),":",": "))),0)),"-")</f>
        <v>-</v>
      </c>
      <c r="C322" s="46" t="str" cm="1">
        <f t="array" ref="C322">IFERROR(INDEX(#REF!,MATCH(TRUE,ISNUMBER(FIND(SUBSTITUTE(SUBSTITUTE(UPPER(#REF!)," ",""),":",": "),SUBSTITUTE(SUBSTITUTE(UPPER(S322)," ",""),":",": "))),0)),"Não encontrado")</f>
        <v>Não encontrado</v>
      </c>
      <c r="D322" s="46" t="str" cm="1">
        <f t="array" ref="D322">IFERROR(INDEX(#REF!,MATCH(TRUE,ISNUMBER(FIND(SUBSTITUTE(SUBSTITUTE(UPPER(#REF!)," ",""),":",": "),SUBSTITUTE(SUBSTITUTE(UPPER(S322)," ",""),":",": "))),0)),"Não encontrado")</f>
        <v>Não encontrado</v>
      </c>
      <c r="E322" s="42" t="str" cm="1">
        <f t="array" ref="E322">IFERROR(INDEX({"IMPEDITIVO"},MATCH(TRUE,ISNUMBER(FIND(SUBSTITUTE(SUBSTITUTE(UPPER({"IMPEDITIVO"})," ",""),":",": "),SUBSTITUTE(SUBSTITUTE(UPPER(S322)," ",""),":",": "))),0)),"-")</f>
        <v>-</v>
      </c>
      <c r="K322" s="49"/>
    </row>
    <row r="323" spans="1:11" x14ac:dyDescent="0.25">
      <c r="A323" s="46" t="str" cm="1">
        <f t="array" ref="A323">IFERROR(INDEX(#REF!,MATCH(TRUE,ISNUMBER(FIND(SUBSTITUTE(SUBSTITUTE(UPPER(#REF!)," ",""),":",": "),SUBSTITUTE(SUBSTITUTE(UPPER(S323)," ",""),":",": "))),0)),"Undefined")</f>
        <v>Undefined</v>
      </c>
      <c r="B323" s="42" t="str" cm="1">
        <f t="array" ref="B323">IFERROR(INDEX({"URGENTE"},MATCH(TRUE,ISNUMBER(FIND(SUBSTITUTE(SUBSTITUTE(UPPER({"URGENTE"})," ",""),":",": "),SUBSTITUTE(SUBSTITUTE(UPPER(S323)," ",""),":",": "))),0)),"-")</f>
        <v>-</v>
      </c>
      <c r="C323" s="46" t="str" cm="1">
        <f t="array" ref="C323">IFERROR(INDEX(#REF!,MATCH(TRUE,ISNUMBER(FIND(SUBSTITUTE(SUBSTITUTE(UPPER(#REF!)," ",""),":",": "),SUBSTITUTE(SUBSTITUTE(UPPER(S323)," ",""),":",": "))),0)),"Não encontrado")</f>
        <v>Não encontrado</v>
      </c>
      <c r="D323" s="46" t="str" cm="1">
        <f t="array" ref="D323">IFERROR(INDEX(#REF!,MATCH(TRUE,ISNUMBER(FIND(SUBSTITUTE(SUBSTITUTE(UPPER(#REF!)," ",""),":",": "),SUBSTITUTE(SUBSTITUTE(UPPER(S323)," ",""),":",": "))),0)),"Não encontrado")</f>
        <v>Não encontrado</v>
      </c>
      <c r="E323" s="42" t="str" cm="1">
        <f t="array" ref="E323">IFERROR(INDEX({"IMPEDITIVO"},MATCH(TRUE,ISNUMBER(FIND(SUBSTITUTE(SUBSTITUTE(UPPER({"IMPEDITIVO"})," ",""),":",": "),SUBSTITUTE(SUBSTITUTE(UPPER(S323)," ",""),":",": "))),0)),"-")</f>
        <v>-</v>
      </c>
      <c r="K323" s="49"/>
    </row>
    <row r="324" spans="1:11" x14ac:dyDescent="0.25">
      <c r="A324" s="46" t="str" cm="1">
        <f t="array" ref="A324">IFERROR(INDEX(#REF!,MATCH(TRUE,ISNUMBER(FIND(SUBSTITUTE(SUBSTITUTE(UPPER(#REF!)," ",""),":",": "),SUBSTITUTE(SUBSTITUTE(UPPER(S324)," ",""),":",": "))),0)),"Undefined")</f>
        <v>Undefined</v>
      </c>
      <c r="B324" s="42" t="str" cm="1">
        <f t="array" ref="B324">IFERROR(INDEX({"URGENTE"},MATCH(TRUE,ISNUMBER(FIND(SUBSTITUTE(SUBSTITUTE(UPPER({"URGENTE"})," ",""),":",": "),SUBSTITUTE(SUBSTITUTE(UPPER(S324)," ",""),":",": "))),0)),"-")</f>
        <v>-</v>
      </c>
      <c r="C324" s="46" t="str" cm="1">
        <f t="array" ref="C324">IFERROR(INDEX(#REF!,MATCH(TRUE,ISNUMBER(FIND(SUBSTITUTE(SUBSTITUTE(UPPER(#REF!)," ",""),":",": "),SUBSTITUTE(SUBSTITUTE(UPPER(S324)," ",""),":",": "))),0)),"Não encontrado")</f>
        <v>Não encontrado</v>
      </c>
      <c r="D324" s="46" t="str" cm="1">
        <f t="array" ref="D324">IFERROR(INDEX(#REF!,MATCH(TRUE,ISNUMBER(FIND(SUBSTITUTE(SUBSTITUTE(UPPER(#REF!)," ",""),":",": "),SUBSTITUTE(SUBSTITUTE(UPPER(S324)," ",""),":",": "))),0)),"Não encontrado")</f>
        <v>Não encontrado</v>
      </c>
      <c r="E324" s="42" t="str" cm="1">
        <f t="array" ref="E324">IFERROR(INDEX({"IMPEDITIVO"},MATCH(TRUE,ISNUMBER(FIND(SUBSTITUTE(SUBSTITUTE(UPPER({"IMPEDITIVO"})," ",""),":",": "),SUBSTITUTE(SUBSTITUTE(UPPER(S324)," ",""),":",": "))),0)),"-")</f>
        <v>-</v>
      </c>
      <c r="K324" s="49"/>
    </row>
    <row r="325" spans="1:11" x14ac:dyDescent="0.25">
      <c r="A325" s="46" t="str" cm="1">
        <f t="array" ref="A325">IFERROR(INDEX(#REF!,MATCH(TRUE,ISNUMBER(FIND(SUBSTITUTE(SUBSTITUTE(UPPER(#REF!)," ",""),":",": "),SUBSTITUTE(SUBSTITUTE(UPPER(S325)," ",""),":",": "))),0)),"Undefined")</f>
        <v>Undefined</v>
      </c>
      <c r="B325" s="42" t="str" cm="1">
        <f t="array" ref="B325">IFERROR(INDEX({"URGENTE"},MATCH(TRUE,ISNUMBER(FIND(SUBSTITUTE(SUBSTITUTE(UPPER({"URGENTE"})," ",""),":",": "),SUBSTITUTE(SUBSTITUTE(UPPER(S325)," ",""),":",": "))),0)),"-")</f>
        <v>-</v>
      </c>
      <c r="C325" s="46" t="str" cm="1">
        <f t="array" ref="C325">IFERROR(INDEX(#REF!,MATCH(TRUE,ISNUMBER(FIND(SUBSTITUTE(SUBSTITUTE(UPPER(#REF!)," ",""),":",": "),SUBSTITUTE(SUBSTITUTE(UPPER(S325)," ",""),":",": "))),0)),"Não encontrado")</f>
        <v>Não encontrado</v>
      </c>
      <c r="D325" s="46" t="str" cm="1">
        <f t="array" ref="D325">IFERROR(INDEX(#REF!,MATCH(TRUE,ISNUMBER(FIND(SUBSTITUTE(SUBSTITUTE(UPPER(#REF!)," ",""),":",": "),SUBSTITUTE(SUBSTITUTE(UPPER(S325)," ",""),":",": "))),0)),"Não encontrado")</f>
        <v>Não encontrado</v>
      </c>
      <c r="E325" s="42" t="str" cm="1">
        <f t="array" ref="E325">IFERROR(INDEX({"IMPEDITIVO"},MATCH(TRUE,ISNUMBER(FIND(SUBSTITUTE(SUBSTITUTE(UPPER({"IMPEDITIVO"})," ",""),":",": "),SUBSTITUTE(SUBSTITUTE(UPPER(S325)," ",""),":",": "))),0)),"-")</f>
        <v>-</v>
      </c>
      <c r="K325" s="49"/>
    </row>
    <row r="326" spans="1:11" x14ac:dyDescent="0.25">
      <c r="A326" s="46" t="str" cm="1">
        <f t="array" ref="A326">IFERROR(INDEX(#REF!,MATCH(TRUE,ISNUMBER(FIND(SUBSTITUTE(SUBSTITUTE(UPPER(#REF!)," ",""),":",": "),SUBSTITUTE(SUBSTITUTE(UPPER(S326)," ",""),":",": "))),0)),"Undefined")</f>
        <v>Undefined</v>
      </c>
      <c r="B326" s="42" t="str" cm="1">
        <f t="array" ref="B326">IFERROR(INDEX({"URGENTE"},MATCH(TRUE,ISNUMBER(FIND(SUBSTITUTE(SUBSTITUTE(UPPER({"URGENTE"})," ",""),":",": "),SUBSTITUTE(SUBSTITUTE(UPPER(S326)," ",""),":",": "))),0)),"-")</f>
        <v>-</v>
      </c>
      <c r="C326" s="46" t="str" cm="1">
        <f t="array" ref="C326">IFERROR(INDEX(#REF!,MATCH(TRUE,ISNUMBER(FIND(SUBSTITUTE(SUBSTITUTE(UPPER(#REF!)," ",""),":",": "),SUBSTITUTE(SUBSTITUTE(UPPER(S326)," ",""),":",": "))),0)),"Não encontrado")</f>
        <v>Não encontrado</v>
      </c>
      <c r="D326" s="46" t="str" cm="1">
        <f t="array" ref="D326">IFERROR(INDEX(#REF!,MATCH(TRUE,ISNUMBER(FIND(SUBSTITUTE(SUBSTITUTE(UPPER(#REF!)," ",""),":",": "),SUBSTITUTE(SUBSTITUTE(UPPER(S326)," ",""),":",": "))),0)),"Não encontrado")</f>
        <v>Não encontrado</v>
      </c>
      <c r="E326" s="42" t="str" cm="1">
        <f t="array" ref="E326">IFERROR(INDEX({"IMPEDITIVO"},MATCH(TRUE,ISNUMBER(FIND(SUBSTITUTE(SUBSTITUTE(UPPER({"IMPEDITIVO"})," ",""),":",": "),SUBSTITUTE(SUBSTITUTE(UPPER(S326)," ",""),":",": "))),0)),"-")</f>
        <v>-</v>
      </c>
      <c r="K326" s="49"/>
    </row>
    <row r="327" spans="1:11" x14ac:dyDescent="0.25">
      <c r="A327" s="46" t="str" cm="1">
        <f t="array" ref="A327">IFERROR(INDEX(#REF!,MATCH(TRUE,ISNUMBER(FIND(SUBSTITUTE(SUBSTITUTE(UPPER(#REF!)," ",""),":",": "),SUBSTITUTE(SUBSTITUTE(UPPER(S327)," ",""),":",": "))),0)),"Undefined")</f>
        <v>Undefined</v>
      </c>
      <c r="B327" s="42" t="str" cm="1">
        <f t="array" ref="B327">IFERROR(INDEX({"URGENTE"},MATCH(TRUE,ISNUMBER(FIND(SUBSTITUTE(SUBSTITUTE(UPPER({"URGENTE"})," ",""),":",": "),SUBSTITUTE(SUBSTITUTE(UPPER(S327)," ",""),":",": "))),0)),"-")</f>
        <v>-</v>
      </c>
      <c r="C327" s="46" t="str" cm="1">
        <f t="array" ref="C327">IFERROR(INDEX(#REF!,MATCH(TRUE,ISNUMBER(FIND(SUBSTITUTE(SUBSTITUTE(UPPER(#REF!)," ",""),":",": "),SUBSTITUTE(SUBSTITUTE(UPPER(S327)," ",""),":",": "))),0)),"Não encontrado")</f>
        <v>Não encontrado</v>
      </c>
      <c r="D327" s="46" t="str" cm="1">
        <f t="array" ref="D327">IFERROR(INDEX(#REF!,MATCH(TRUE,ISNUMBER(FIND(SUBSTITUTE(SUBSTITUTE(UPPER(#REF!)," ",""),":",": "),SUBSTITUTE(SUBSTITUTE(UPPER(S327)," ",""),":",": "))),0)),"Não encontrado")</f>
        <v>Não encontrado</v>
      </c>
      <c r="E327" s="42" t="str" cm="1">
        <f t="array" ref="E327">IFERROR(INDEX({"IMPEDITIVO"},MATCH(TRUE,ISNUMBER(FIND(SUBSTITUTE(SUBSTITUTE(UPPER({"IMPEDITIVO"})," ",""),":",": "),SUBSTITUTE(SUBSTITUTE(UPPER(S327)," ",""),":",": "))),0)),"-")</f>
        <v>-</v>
      </c>
      <c r="K327" s="49"/>
    </row>
    <row r="328" spans="1:11" x14ac:dyDescent="0.25">
      <c r="A328" s="46" t="str" cm="1">
        <f t="array" ref="A328">IFERROR(INDEX(#REF!,MATCH(TRUE,ISNUMBER(FIND(SUBSTITUTE(SUBSTITUTE(UPPER(#REF!)," ",""),":",": "),SUBSTITUTE(SUBSTITUTE(UPPER(S328)," ",""),":",": "))),0)),"Undefined")</f>
        <v>Undefined</v>
      </c>
      <c r="B328" s="42" t="str" cm="1">
        <f t="array" ref="B328">IFERROR(INDEX({"URGENTE"},MATCH(TRUE,ISNUMBER(FIND(SUBSTITUTE(SUBSTITUTE(UPPER({"URGENTE"})," ",""),":",": "),SUBSTITUTE(SUBSTITUTE(UPPER(S328)," ",""),":",": "))),0)),"-")</f>
        <v>-</v>
      </c>
      <c r="C328" s="46" t="str" cm="1">
        <f t="array" ref="C328">IFERROR(INDEX(#REF!,MATCH(TRUE,ISNUMBER(FIND(SUBSTITUTE(SUBSTITUTE(UPPER(#REF!)," ",""),":",": "),SUBSTITUTE(SUBSTITUTE(UPPER(S328)," ",""),":",": "))),0)),"Não encontrado")</f>
        <v>Não encontrado</v>
      </c>
      <c r="D328" s="46" t="str" cm="1">
        <f t="array" ref="D328">IFERROR(INDEX(#REF!,MATCH(TRUE,ISNUMBER(FIND(SUBSTITUTE(SUBSTITUTE(UPPER(#REF!)," ",""),":",": "),SUBSTITUTE(SUBSTITUTE(UPPER(S328)," ",""),":",": "))),0)),"Não encontrado")</f>
        <v>Não encontrado</v>
      </c>
      <c r="E328" s="42" t="str" cm="1">
        <f t="array" ref="E328">IFERROR(INDEX({"IMPEDITIVO"},MATCH(TRUE,ISNUMBER(FIND(SUBSTITUTE(SUBSTITUTE(UPPER({"IMPEDITIVO"})," ",""),":",": "),SUBSTITUTE(SUBSTITUTE(UPPER(S328)," ",""),":",": "))),0)),"-")</f>
        <v>-</v>
      </c>
      <c r="K328" s="49"/>
    </row>
    <row r="329" spans="1:11" x14ac:dyDescent="0.25">
      <c r="A329" s="46" t="str" cm="1">
        <f t="array" ref="A329">IFERROR(INDEX(#REF!,MATCH(TRUE,ISNUMBER(FIND(SUBSTITUTE(SUBSTITUTE(UPPER(#REF!)," ",""),":",": "),SUBSTITUTE(SUBSTITUTE(UPPER(S329)," ",""),":",": "))),0)),"Undefined")</f>
        <v>Undefined</v>
      </c>
      <c r="B329" s="42" t="str" cm="1">
        <f t="array" ref="B329">IFERROR(INDEX({"URGENTE"},MATCH(TRUE,ISNUMBER(FIND(SUBSTITUTE(SUBSTITUTE(UPPER({"URGENTE"})," ",""),":",": "),SUBSTITUTE(SUBSTITUTE(UPPER(S329)," ",""),":",": "))),0)),"-")</f>
        <v>-</v>
      </c>
      <c r="C329" s="46" t="str" cm="1">
        <f t="array" ref="C329">IFERROR(INDEX(#REF!,MATCH(TRUE,ISNUMBER(FIND(SUBSTITUTE(SUBSTITUTE(UPPER(#REF!)," ",""),":",": "),SUBSTITUTE(SUBSTITUTE(UPPER(S329)," ",""),":",": "))),0)),"Não encontrado")</f>
        <v>Não encontrado</v>
      </c>
      <c r="D329" s="46" t="str" cm="1">
        <f t="array" ref="D329">IFERROR(INDEX(#REF!,MATCH(TRUE,ISNUMBER(FIND(SUBSTITUTE(SUBSTITUTE(UPPER(#REF!)," ",""),":",": "),SUBSTITUTE(SUBSTITUTE(UPPER(S329)," ",""),":",": "))),0)),"Não encontrado")</f>
        <v>Não encontrado</v>
      </c>
      <c r="E329" s="42" t="str" cm="1">
        <f t="array" ref="E329">IFERROR(INDEX({"IMPEDITIVO"},MATCH(TRUE,ISNUMBER(FIND(SUBSTITUTE(SUBSTITUTE(UPPER({"IMPEDITIVO"})," ",""),":",": "),SUBSTITUTE(SUBSTITUTE(UPPER(S329)," ",""),":",": "))),0)),"-")</f>
        <v>-</v>
      </c>
      <c r="K329" s="49"/>
    </row>
    <row r="330" spans="1:11" x14ac:dyDescent="0.25">
      <c r="A330" s="46" t="str" cm="1">
        <f t="array" ref="A330">IFERROR(INDEX(#REF!,MATCH(TRUE,ISNUMBER(FIND(SUBSTITUTE(SUBSTITUTE(UPPER(#REF!)," ",""),":",": "),SUBSTITUTE(SUBSTITUTE(UPPER(S330)," ",""),":",": "))),0)),"Undefined")</f>
        <v>Undefined</v>
      </c>
      <c r="B330" s="42" t="str" cm="1">
        <f t="array" ref="B330">IFERROR(INDEX({"URGENTE"},MATCH(TRUE,ISNUMBER(FIND(SUBSTITUTE(SUBSTITUTE(UPPER({"URGENTE"})," ",""),":",": "),SUBSTITUTE(SUBSTITUTE(UPPER(S330)," ",""),":",": "))),0)),"-")</f>
        <v>-</v>
      </c>
      <c r="C330" s="46" t="str" cm="1">
        <f t="array" ref="C330">IFERROR(INDEX(#REF!,MATCH(TRUE,ISNUMBER(FIND(SUBSTITUTE(SUBSTITUTE(UPPER(#REF!)," ",""),":",": "),SUBSTITUTE(SUBSTITUTE(UPPER(S330)," ",""),":",": "))),0)),"Não encontrado")</f>
        <v>Não encontrado</v>
      </c>
      <c r="D330" s="46" t="str" cm="1">
        <f t="array" ref="D330">IFERROR(INDEX(#REF!,MATCH(TRUE,ISNUMBER(FIND(SUBSTITUTE(SUBSTITUTE(UPPER(#REF!)," ",""),":",": "),SUBSTITUTE(SUBSTITUTE(UPPER(S330)," ",""),":",": "))),0)),"Não encontrado")</f>
        <v>Não encontrado</v>
      </c>
      <c r="E330" s="42" t="str" cm="1">
        <f t="array" ref="E330">IFERROR(INDEX({"IMPEDITIVO"},MATCH(TRUE,ISNUMBER(FIND(SUBSTITUTE(SUBSTITUTE(UPPER({"IMPEDITIVO"})," ",""),":",": "),SUBSTITUTE(SUBSTITUTE(UPPER(S330)," ",""),":",": "))),0)),"-")</f>
        <v>-</v>
      </c>
      <c r="K330" s="49"/>
    </row>
    <row r="331" spans="1:11" x14ac:dyDescent="0.25">
      <c r="A331" s="46" t="str" cm="1">
        <f t="array" ref="A331">IFERROR(INDEX(#REF!,MATCH(TRUE,ISNUMBER(FIND(SUBSTITUTE(SUBSTITUTE(UPPER(#REF!)," ",""),":",": "),SUBSTITUTE(SUBSTITUTE(UPPER(S331)," ",""),":",": "))),0)),"Undefined")</f>
        <v>Undefined</v>
      </c>
      <c r="B331" s="42" t="str" cm="1">
        <f t="array" ref="B331">IFERROR(INDEX({"URGENTE"},MATCH(TRUE,ISNUMBER(FIND(SUBSTITUTE(SUBSTITUTE(UPPER({"URGENTE"})," ",""),":",": "),SUBSTITUTE(SUBSTITUTE(UPPER(S331)," ",""),":",": "))),0)),"-")</f>
        <v>-</v>
      </c>
      <c r="C331" s="46" t="str" cm="1">
        <f t="array" ref="C331">IFERROR(INDEX(#REF!,MATCH(TRUE,ISNUMBER(FIND(SUBSTITUTE(SUBSTITUTE(UPPER(#REF!)," ",""),":",": "),SUBSTITUTE(SUBSTITUTE(UPPER(S331)," ",""),":",": "))),0)),"Não encontrado")</f>
        <v>Não encontrado</v>
      </c>
      <c r="D331" s="46" t="str" cm="1">
        <f t="array" ref="D331">IFERROR(INDEX(#REF!,MATCH(TRUE,ISNUMBER(FIND(SUBSTITUTE(SUBSTITUTE(UPPER(#REF!)," ",""),":",": "),SUBSTITUTE(SUBSTITUTE(UPPER(S331)," ",""),":",": "))),0)),"Não encontrado")</f>
        <v>Não encontrado</v>
      </c>
      <c r="E331" s="42" t="str" cm="1">
        <f t="array" ref="E331">IFERROR(INDEX({"IMPEDITIVO"},MATCH(TRUE,ISNUMBER(FIND(SUBSTITUTE(SUBSTITUTE(UPPER({"IMPEDITIVO"})," ",""),":",": "),SUBSTITUTE(SUBSTITUTE(UPPER(S331)," ",""),":",": "))),0)),"-")</f>
        <v>-</v>
      </c>
      <c r="K331" s="49"/>
    </row>
    <row r="332" spans="1:11" x14ac:dyDescent="0.25">
      <c r="A332" s="46" t="str" cm="1">
        <f t="array" ref="A332">IFERROR(INDEX(#REF!,MATCH(TRUE,ISNUMBER(FIND(SUBSTITUTE(SUBSTITUTE(UPPER(#REF!)," ",""),":",": "),SUBSTITUTE(SUBSTITUTE(UPPER(S332)," ",""),":",": "))),0)),"Undefined")</f>
        <v>Undefined</v>
      </c>
      <c r="B332" s="42" t="str" cm="1">
        <f t="array" ref="B332">IFERROR(INDEX({"URGENTE"},MATCH(TRUE,ISNUMBER(FIND(SUBSTITUTE(SUBSTITUTE(UPPER({"URGENTE"})," ",""),":",": "),SUBSTITUTE(SUBSTITUTE(UPPER(S332)," ",""),":",": "))),0)),"-")</f>
        <v>-</v>
      </c>
      <c r="C332" s="46" t="str" cm="1">
        <f t="array" ref="C332">IFERROR(INDEX(#REF!,MATCH(TRUE,ISNUMBER(FIND(SUBSTITUTE(SUBSTITUTE(UPPER(#REF!)," ",""),":",": "),SUBSTITUTE(SUBSTITUTE(UPPER(S332)," ",""),":",": "))),0)),"Não encontrado")</f>
        <v>Não encontrado</v>
      </c>
      <c r="D332" s="46" t="str" cm="1">
        <f t="array" ref="D332">IFERROR(INDEX(#REF!,MATCH(TRUE,ISNUMBER(FIND(SUBSTITUTE(SUBSTITUTE(UPPER(#REF!)," ",""),":",": "),SUBSTITUTE(SUBSTITUTE(UPPER(S332)," ",""),":",": "))),0)),"Não encontrado")</f>
        <v>Não encontrado</v>
      </c>
      <c r="E332" s="42" t="str" cm="1">
        <f t="array" ref="E332">IFERROR(INDEX({"IMPEDITIVO"},MATCH(TRUE,ISNUMBER(FIND(SUBSTITUTE(SUBSTITUTE(UPPER({"IMPEDITIVO"})," ",""),":",": "),SUBSTITUTE(SUBSTITUTE(UPPER(S332)," ",""),":",": "))),0)),"-")</f>
        <v>-</v>
      </c>
      <c r="K332" s="49"/>
    </row>
    <row r="333" spans="1:11" x14ac:dyDescent="0.25">
      <c r="A333" s="46" t="str" cm="1">
        <f t="array" ref="A333">IFERROR(INDEX(#REF!,MATCH(TRUE,ISNUMBER(FIND(SUBSTITUTE(SUBSTITUTE(UPPER(#REF!)," ",""),":",": "),SUBSTITUTE(SUBSTITUTE(UPPER(S333)," ",""),":",": "))),0)),"Undefined")</f>
        <v>Undefined</v>
      </c>
      <c r="B333" s="42" t="str" cm="1">
        <f t="array" ref="B333">IFERROR(INDEX({"URGENTE"},MATCH(TRUE,ISNUMBER(FIND(SUBSTITUTE(SUBSTITUTE(UPPER({"URGENTE"})," ",""),":",": "),SUBSTITUTE(SUBSTITUTE(UPPER(S333)," ",""),":",": "))),0)),"-")</f>
        <v>-</v>
      </c>
      <c r="C333" s="46" t="str" cm="1">
        <f t="array" ref="C333">IFERROR(INDEX(#REF!,MATCH(TRUE,ISNUMBER(FIND(SUBSTITUTE(SUBSTITUTE(UPPER(#REF!)," ",""),":",": "),SUBSTITUTE(SUBSTITUTE(UPPER(S333)," ",""),":",": "))),0)),"Não encontrado")</f>
        <v>Não encontrado</v>
      </c>
      <c r="D333" s="46" t="str" cm="1">
        <f t="array" ref="D333">IFERROR(INDEX(#REF!,MATCH(TRUE,ISNUMBER(FIND(SUBSTITUTE(SUBSTITUTE(UPPER(#REF!)," ",""),":",": "),SUBSTITUTE(SUBSTITUTE(UPPER(S333)," ",""),":",": "))),0)),"Não encontrado")</f>
        <v>Não encontrado</v>
      </c>
      <c r="E333" s="42" t="str" cm="1">
        <f t="array" ref="E333">IFERROR(INDEX({"IMPEDITIVO"},MATCH(TRUE,ISNUMBER(FIND(SUBSTITUTE(SUBSTITUTE(UPPER({"IMPEDITIVO"})," ",""),":",": "),SUBSTITUTE(SUBSTITUTE(UPPER(S333)," ",""),":",": "))),0)),"-")</f>
        <v>-</v>
      </c>
      <c r="K333" s="49"/>
    </row>
    <row r="334" spans="1:11" x14ac:dyDescent="0.25">
      <c r="A334" s="46" t="str" cm="1">
        <f t="array" ref="A334">IFERROR(INDEX(#REF!,MATCH(TRUE,ISNUMBER(FIND(SUBSTITUTE(SUBSTITUTE(UPPER(#REF!)," ",""),":",": "),SUBSTITUTE(SUBSTITUTE(UPPER(S334)," ",""),":",": "))),0)),"Undefined")</f>
        <v>Undefined</v>
      </c>
      <c r="B334" s="42" t="str" cm="1">
        <f t="array" ref="B334">IFERROR(INDEX({"URGENTE"},MATCH(TRUE,ISNUMBER(FIND(SUBSTITUTE(SUBSTITUTE(UPPER({"URGENTE"})," ",""),":",": "),SUBSTITUTE(SUBSTITUTE(UPPER(S334)," ",""),":",": "))),0)),"-")</f>
        <v>-</v>
      </c>
      <c r="C334" s="46" t="str" cm="1">
        <f t="array" ref="C334">IFERROR(INDEX(#REF!,MATCH(TRUE,ISNUMBER(FIND(SUBSTITUTE(SUBSTITUTE(UPPER(#REF!)," ",""),":",": "),SUBSTITUTE(SUBSTITUTE(UPPER(S334)," ",""),":",": "))),0)),"Não encontrado")</f>
        <v>Não encontrado</v>
      </c>
      <c r="D334" s="46" t="str" cm="1">
        <f t="array" ref="D334">IFERROR(INDEX(#REF!,MATCH(TRUE,ISNUMBER(FIND(SUBSTITUTE(SUBSTITUTE(UPPER(#REF!)," ",""),":",": "),SUBSTITUTE(SUBSTITUTE(UPPER(S334)," ",""),":",": "))),0)),"Não encontrado")</f>
        <v>Não encontrado</v>
      </c>
      <c r="E334" s="42" t="str" cm="1">
        <f t="array" ref="E334">IFERROR(INDEX({"IMPEDITIVO"},MATCH(TRUE,ISNUMBER(FIND(SUBSTITUTE(SUBSTITUTE(UPPER({"IMPEDITIVO"})," ",""),":",": "),SUBSTITUTE(SUBSTITUTE(UPPER(S334)," ",""),":",": "))),0)),"-")</f>
        <v>-</v>
      </c>
      <c r="K334" s="49"/>
    </row>
    <row r="335" spans="1:11" x14ac:dyDescent="0.25">
      <c r="A335" s="46" t="str" cm="1">
        <f t="array" ref="A335">IFERROR(INDEX(#REF!,MATCH(TRUE,ISNUMBER(FIND(SUBSTITUTE(SUBSTITUTE(UPPER(#REF!)," ",""),":",": "),SUBSTITUTE(SUBSTITUTE(UPPER(S335)," ",""),":",": "))),0)),"Undefined")</f>
        <v>Undefined</v>
      </c>
      <c r="B335" s="42" t="str" cm="1">
        <f t="array" ref="B335">IFERROR(INDEX({"URGENTE"},MATCH(TRUE,ISNUMBER(FIND(SUBSTITUTE(SUBSTITUTE(UPPER({"URGENTE"})," ",""),":",": "),SUBSTITUTE(SUBSTITUTE(UPPER(S335)," ",""),":",": "))),0)),"-")</f>
        <v>-</v>
      </c>
      <c r="C335" s="46" t="str" cm="1">
        <f t="array" ref="C335">IFERROR(INDEX(#REF!,MATCH(TRUE,ISNUMBER(FIND(SUBSTITUTE(SUBSTITUTE(UPPER(#REF!)," ",""),":",": "),SUBSTITUTE(SUBSTITUTE(UPPER(S335)," ",""),":",": "))),0)),"Não encontrado")</f>
        <v>Não encontrado</v>
      </c>
      <c r="D335" s="46" t="str" cm="1">
        <f t="array" ref="D335">IFERROR(INDEX(#REF!,MATCH(TRUE,ISNUMBER(FIND(SUBSTITUTE(SUBSTITUTE(UPPER(#REF!)," ",""),":",": "),SUBSTITUTE(SUBSTITUTE(UPPER(S335)," ",""),":",": "))),0)),"Não encontrado")</f>
        <v>Não encontrado</v>
      </c>
      <c r="E335" s="42" t="str" cm="1">
        <f t="array" ref="E335">IFERROR(INDEX({"IMPEDITIVO"},MATCH(TRUE,ISNUMBER(FIND(SUBSTITUTE(SUBSTITUTE(UPPER({"IMPEDITIVO"})," ",""),":",": "),SUBSTITUTE(SUBSTITUTE(UPPER(S335)," ",""),":",": "))),0)),"-")</f>
        <v>-</v>
      </c>
      <c r="K335" s="49"/>
    </row>
    <row r="336" spans="1:11" x14ac:dyDescent="0.25">
      <c r="A336" s="46" t="str" cm="1">
        <f t="array" ref="A336">IFERROR(INDEX(#REF!,MATCH(TRUE,ISNUMBER(FIND(SUBSTITUTE(SUBSTITUTE(UPPER(#REF!)," ",""),":",": "),SUBSTITUTE(SUBSTITUTE(UPPER(S336)," ",""),":",": "))),0)),"Undefined")</f>
        <v>Undefined</v>
      </c>
      <c r="B336" s="42" t="str" cm="1">
        <f t="array" ref="B336">IFERROR(INDEX({"URGENTE"},MATCH(TRUE,ISNUMBER(FIND(SUBSTITUTE(SUBSTITUTE(UPPER({"URGENTE"})," ",""),":",": "),SUBSTITUTE(SUBSTITUTE(UPPER(S336)," ",""),":",": "))),0)),"-")</f>
        <v>-</v>
      </c>
      <c r="C336" s="46" t="str" cm="1">
        <f t="array" ref="C336">IFERROR(INDEX(#REF!,MATCH(TRUE,ISNUMBER(FIND(SUBSTITUTE(SUBSTITUTE(UPPER(#REF!)," ",""),":",": "),SUBSTITUTE(SUBSTITUTE(UPPER(S336)," ",""),":",": "))),0)),"Não encontrado")</f>
        <v>Não encontrado</v>
      </c>
      <c r="D336" s="46" t="str" cm="1">
        <f t="array" ref="D336">IFERROR(INDEX(#REF!,MATCH(TRUE,ISNUMBER(FIND(SUBSTITUTE(SUBSTITUTE(UPPER(#REF!)," ",""),":",": "),SUBSTITUTE(SUBSTITUTE(UPPER(S336)," ",""),":",": "))),0)),"Não encontrado")</f>
        <v>Não encontrado</v>
      </c>
      <c r="E336" s="42" t="str" cm="1">
        <f t="array" ref="E336">IFERROR(INDEX({"IMPEDITIVO"},MATCH(TRUE,ISNUMBER(FIND(SUBSTITUTE(SUBSTITUTE(UPPER({"IMPEDITIVO"})," ",""),":",": "),SUBSTITUTE(SUBSTITUTE(UPPER(S336)," ",""),":",": "))),0)),"-")</f>
        <v>-</v>
      </c>
      <c r="K336" s="49"/>
    </row>
    <row r="337" spans="1:11" x14ac:dyDescent="0.25">
      <c r="A337" s="46" t="str" cm="1">
        <f t="array" ref="A337">IFERROR(INDEX(#REF!,MATCH(TRUE,ISNUMBER(FIND(SUBSTITUTE(SUBSTITUTE(UPPER(#REF!)," ",""),":",": "),SUBSTITUTE(SUBSTITUTE(UPPER(S337)," ",""),":",": "))),0)),"Undefined")</f>
        <v>Undefined</v>
      </c>
      <c r="B337" s="42" t="str" cm="1">
        <f t="array" ref="B337">IFERROR(INDEX({"URGENTE"},MATCH(TRUE,ISNUMBER(FIND(SUBSTITUTE(SUBSTITUTE(UPPER({"URGENTE"})," ",""),":",": "),SUBSTITUTE(SUBSTITUTE(UPPER(S337)," ",""),":",": "))),0)),"-")</f>
        <v>-</v>
      </c>
      <c r="C337" s="46" t="str" cm="1">
        <f t="array" ref="C337">IFERROR(INDEX(#REF!,MATCH(TRUE,ISNUMBER(FIND(SUBSTITUTE(SUBSTITUTE(UPPER(#REF!)," ",""),":",": "),SUBSTITUTE(SUBSTITUTE(UPPER(S337)," ",""),":",": "))),0)),"Não encontrado")</f>
        <v>Não encontrado</v>
      </c>
      <c r="D337" s="46" t="str" cm="1">
        <f t="array" ref="D337">IFERROR(INDEX(#REF!,MATCH(TRUE,ISNUMBER(FIND(SUBSTITUTE(SUBSTITUTE(UPPER(#REF!)," ",""),":",": "),SUBSTITUTE(SUBSTITUTE(UPPER(S337)," ",""),":",": "))),0)),"Não encontrado")</f>
        <v>Não encontrado</v>
      </c>
      <c r="E337" s="42" t="str" cm="1">
        <f t="array" ref="E337">IFERROR(INDEX({"IMPEDITIVO"},MATCH(TRUE,ISNUMBER(FIND(SUBSTITUTE(SUBSTITUTE(UPPER({"IMPEDITIVO"})," ",""),":",": "),SUBSTITUTE(SUBSTITUTE(UPPER(S337)," ",""),":",": "))),0)),"-")</f>
        <v>-</v>
      </c>
      <c r="K337" s="49"/>
    </row>
    <row r="338" spans="1:11" x14ac:dyDescent="0.25">
      <c r="A338" s="46" t="str" cm="1">
        <f t="array" ref="A338">IFERROR(INDEX(#REF!,MATCH(TRUE,ISNUMBER(FIND(SUBSTITUTE(SUBSTITUTE(UPPER(#REF!)," ",""),":",": "),SUBSTITUTE(SUBSTITUTE(UPPER(S338)," ",""),":",": "))),0)),"Undefined")</f>
        <v>Undefined</v>
      </c>
      <c r="B338" s="42" t="str" cm="1">
        <f t="array" ref="B338">IFERROR(INDEX({"URGENTE"},MATCH(TRUE,ISNUMBER(FIND(SUBSTITUTE(SUBSTITUTE(UPPER({"URGENTE"})," ",""),":",": "),SUBSTITUTE(SUBSTITUTE(UPPER(S338)," ",""),":",": "))),0)),"-")</f>
        <v>-</v>
      </c>
      <c r="C338" s="46" t="str" cm="1">
        <f t="array" ref="C338">IFERROR(INDEX(#REF!,MATCH(TRUE,ISNUMBER(FIND(SUBSTITUTE(SUBSTITUTE(UPPER(#REF!)," ",""),":",": "),SUBSTITUTE(SUBSTITUTE(UPPER(S338)," ",""),":",": "))),0)),"Não encontrado")</f>
        <v>Não encontrado</v>
      </c>
      <c r="D338" s="46" t="str" cm="1">
        <f t="array" ref="D338">IFERROR(INDEX(#REF!,MATCH(TRUE,ISNUMBER(FIND(SUBSTITUTE(SUBSTITUTE(UPPER(#REF!)," ",""),":",": "),SUBSTITUTE(SUBSTITUTE(UPPER(S338)," ",""),":",": "))),0)),"Não encontrado")</f>
        <v>Não encontrado</v>
      </c>
      <c r="E338" s="42" t="str" cm="1">
        <f t="array" ref="E338">IFERROR(INDEX({"IMPEDITIVO"},MATCH(TRUE,ISNUMBER(FIND(SUBSTITUTE(SUBSTITUTE(UPPER({"IMPEDITIVO"})," ",""),":",": "),SUBSTITUTE(SUBSTITUTE(UPPER(S338)," ",""),":",": "))),0)),"-")</f>
        <v>-</v>
      </c>
      <c r="K338" s="49"/>
    </row>
    <row r="339" spans="1:11" x14ac:dyDescent="0.25">
      <c r="A339" s="46" t="str" cm="1">
        <f t="array" ref="A339">IFERROR(INDEX(#REF!,MATCH(TRUE,ISNUMBER(FIND(SUBSTITUTE(SUBSTITUTE(UPPER(#REF!)," ",""),":",": "),SUBSTITUTE(SUBSTITUTE(UPPER(S339)," ",""),":",": "))),0)),"Undefined")</f>
        <v>Undefined</v>
      </c>
      <c r="B339" s="42" t="str" cm="1">
        <f t="array" ref="B339">IFERROR(INDEX({"URGENTE"},MATCH(TRUE,ISNUMBER(FIND(SUBSTITUTE(SUBSTITUTE(UPPER({"URGENTE"})," ",""),":",": "),SUBSTITUTE(SUBSTITUTE(UPPER(S339)," ",""),":",": "))),0)),"-")</f>
        <v>-</v>
      </c>
      <c r="C339" s="46" t="str" cm="1">
        <f t="array" ref="C339">IFERROR(INDEX(#REF!,MATCH(TRUE,ISNUMBER(FIND(SUBSTITUTE(SUBSTITUTE(UPPER(#REF!)," ",""),":",": "),SUBSTITUTE(SUBSTITUTE(UPPER(S339)," ",""),":",": "))),0)),"Não encontrado")</f>
        <v>Não encontrado</v>
      </c>
      <c r="D339" s="46" t="str" cm="1">
        <f t="array" ref="D339">IFERROR(INDEX(#REF!,MATCH(TRUE,ISNUMBER(FIND(SUBSTITUTE(SUBSTITUTE(UPPER(#REF!)," ",""),":",": "),SUBSTITUTE(SUBSTITUTE(UPPER(S339)," ",""),":",": "))),0)),"Não encontrado")</f>
        <v>Não encontrado</v>
      </c>
      <c r="E339" s="42" t="str" cm="1">
        <f t="array" ref="E339">IFERROR(INDEX({"IMPEDITIVO"},MATCH(TRUE,ISNUMBER(FIND(SUBSTITUTE(SUBSTITUTE(UPPER({"IMPEDITIVO"})," ",""),":",": "),SUBSTITUTE(SUBSTITUTE(UPPER(S339)," ",""),":",": "))),0)),"-")</f>
        <v>-</v>
      </c>
      <c r="K339" s="49"/>
    </row>
    <row r="340" spans="1:11" x14ac:dyDescent="0.25">
      <c r="A340" s="46" t="str" cm="1">
        <f t="array" ref="A340">IFERROR(INDEX(#REF!,MATCH(TRUE,ISNUMBER(FIND(SUBSTITUTE(SUBSTITUTE(UPPER(#REF!)," ",""),":",": "),SUBSTITUTE(SUBSTITUTE(UPPER(S340)," ",""),":",": "))),0)),"Undefined")</f>
        <v>Undefined</v>
      </c>
      <c r="B340" s="42" t="str" cm="1">
        <f t="array" ref="B340">IFERROR(INDEX({"URGENTE"},MATCH(TRUE,ISNUMBER(FIND(SUBSTITUTE(SUBSTITUTE(UPPER({"URGENTE"})," ",""),":",": "),SUBSTITUTE(SUBSTITUTE(UPPER(S340)," ",""),":",": "))),0)),"-")</f>
        <v>-</v>
      </c>
      <c r="C340" s="46" t="str" cm="1">
        <f t="array" ref="C340">IFERROR(INDEX(#REF!,MATCH(TRUE,ISNUMBER(FIND(SUBSTITUTE(SUBSTITUTE(UPPER(#REF!)," ",""),":",": "),SUBSTITUTE(SUBSTITUTE(UPPER(S340)," ",""),":",": "))),0)),"Não encontrado")</f>
        <v>Não encontrado</v>
      </c>
      <c r="D340" s="46" t="str" cm="1">
        <f t="array" ref="D340">IFERROR(INDEX(#REF!,MATCH(TRUE,ISNUMBER(FIND(SUBSTITUTE(SUBSTITUTE(UPPER(#REF!)," ",""),":",": "),SUBSTITUTE(SUBSTITUTE(UPPER(S340)," ",""),":",": "))),0)),"Não encontrado")</f>
        <v>Não encontrado</v>
      </c>
      <c r="E340" s="42" t="str" cm="1">
        <f t="array" ref="E340">IFERROR(INDEX({"IMPEDITIVO"},MATCH(TRUE,ISNUMBER(FIND(SUBSTITUTE(SUBSTITUTE(UPPER({"IMPEDITIVO"})," ",""),":",": "),SUBSTITUTE(SUBSTITUTE(UPPER(S340)," ",""),":",": "))),0)),"-")</f>
        <v>-</v>
      </c>
      <c r="K340" s="49"/>
    </row>
    <row r="341" spans="1:11" x14ac:dyDescent="0.25">
      <c r="A341" s="46" t="str" cm="1">
        <f t="array" ref="A341">IFERROR(INDEX(#REF!,MATCH(TRUE,ISNUMBER(FIND(SUBSTITUTE(SUBSTITUTE(UPPER(#REF!)," ",""),":",": "),SUBSTITUTE(SUBSTITUTE(UPPER(S341)," ",""),":",": "))),0)),"Undefined")</f>
        <v>Undefined</v>
      </c>
      <c r="B341" s="42" t="str" cm="1">
        <f t="array" ref="B341">IFERROR(INDEX({"URGENTE"},MATCH(TRUE,ISNUMBER(FIND(SUBSTITUTE(SUBSTITUTE(UPPER({"URGENTE"})," ",""),":",": "),SUBSTITUTE(SUBSTITUTE(UPPER(S341)," ",""),":",": "))),0)),"-")</f>
        <v>-</v>
      </c>
      <c r="C341" s="46" t="str" cm="1">
        <f t="array" ref="C341">IFERROR(INDEX(#REF!,MATCH(TRUE,ISNUMBER(FIND(SUBSTITUTE(SUBSTITUTE(UPPER(#REF!)," ",""),":",": "),SUBSTITUTE(SUBSTITUTE(UPPER(S341)," ",""),":",": "))),0)),"Não encontrado")</f>
        <v>Não encontrado</v>
      </c>
      <c r="D341" s="46" t="str" cm="1">
        <f t="array" ref="D341">IFERROR(INDEX(#REF!,MATCH(TRUE,ISNUMBER(FIND(SUBSTITUTE(SUBSTITUTE(UPPER(#REF!)," ",""),":",": "),SUBSTITUTE(SUBSTITUTE(UPPER(S341)," ",""),":",": "))),0)),"Não encontrado")</f>
        <v>Não encontrado</v>
      </c>
      <c r="E341" s="42" t="str" cm="1">
        <f t="array" ref="E341">IFERROR(INDEX({"IMPEDITIVO"},MATCH(TRUE,ISNUMBER(FIND(SUBSTITUTE(SUBSTITUTE(UPPER({"IMPEDITIVO"})," ",""),":",": "),SUBSTITUTE(SUBSTITUTE(UPPER(S341)," ",""),":",": "))),0)),"-")</f>
        <v>-</v>
      </c>
      <c r="K341" s="49"/>
    </row>
    <row r="342" spans="1:11" x14ac:dyDescent="0.25">
      <c r="A342" s="46" t="str" cm="1">
        <f t="array" ref="A342">IFERROR(INDEX(#REF!,MATCH(TRUE,ISNUMBER(FIND(SUBSTITUTE(SUBSTITUTE(UPPER(#REF!)," ",""),":",": "),SUBSTITUTE(SUBSTITUTE(UPPER(S342)," ",""),":",": "))),0)),"Undefined")</f>
        <v>Undefined</v>
      </c>
      <c r="B342" s="42" t="str" cm="1">
        <f t="array" ref="B342">IFERROR(INDEX({"URGENTE"},MATCH(TRUE,ISNUMBER(FIND(SUBSTITUTE(SUBSTITUTE(UPPER({"URGENTE"})," ",""),":",": "),SUBSTITUTE(SUBSTITUTE(UPPER(S342)," ",""),":",": "))),0)),"-")</f>
        <v>-</v>
      </c>
      <c r="C342" s="46" t="str" cm="1">
        <f t="array" ref="C342">IFERROR(INDEX(#REF!,MATCH(TRUE,ISNUMBER(FIND(SUBSTITUTE(SUBSTITUTE(UPPER(#REF!)," ",""),":",": "),SUBSTITUTE(SUBSTITUTE(UPPER(S342)," ",""),":",": "))),0)),"Não encontrado")</f>
        <v>Não encontrado</v>
      </c>
      <c r="D342" s="46" t="str" cm="1">
        <f t="array" ref="D342">IFERROR(INDEX(#REF!,MATCH(TRUE,ISNUMBER(FIND(SUBSTITUTE(SUBSTITUTE(UPPER(#REF!)," ",""),":",": "),SUBSTITUTE(SUBSTITUTE(UPPER(S342)," ",""),":",": "))),0)),"Não encontrado")</f>
        <v>Não encontrado</v>
      </c>
      <c r="E342" s="42" t="str" cm="1">
        <f t="array" ref="E342">IFERROR(INDEX({"IMPEDITIVO"},MATCH(TRUE,ISNUMBER(FIND(SUBSTITUTE(SUBSTITUTE(UPPER({"IMPEDITIVO"})," ",""),":",": "),SUBSTITUTE(SUBSTITUTE(UPPER(S342)," ",""),":",": "))),0)),"-")</f>
        <v>-</v>
      </c>
      <c r="K342" s="49"/>
    </row>
    <row r="343" spans="1:11" x14ac:dyDescent="0.25">
      <c r="A343" s="46" t="str" cm="1">
        <f t="array" ref="A343">IFERROR(INDEX(#REF!,MATCH(TRUE,ISNUMBER(FIND(SUBSTITUTE(SUBSTITUTE(UPPER(#REF!)," ",""),":",": "),SUBSTITUTE(SUBSTITUTE(UPPER(S343)," ",""),":",": "))),0)),"Undefined")</f>
        <v>Undefined</v>
      </c>
      <c r="B343" s="42" t="str" cm="1">
        <f t="array" ref="B343">IFERROR(INDEX({"URGENTE"},MATCH(TRUE,ISNUMBER(FIND(SUBSTITUTE(SUBSTITUTE(UPPER({"URGENTE"})," ",""),":",": "),SUBSTITUTE(SUBSTITUTE(UPPER(S343)," ",""),":",": "))),0)),"-")</f>
        <v>-</v>
      </c>
      <c r="C343" s="46" t="str" cm="1">
        <f t="array" ref="C343">IFERROR(INDEX(#REF!,MATCH(TRUE,ISNUMBER(FIND(SUBSTITUTE(SUBSTITUTE(UPPER(#REF!)," ",""),":",": "),SUBSTITUTE(SUBSTITUTE(UPPER(S343)," ",""),":",": "))),0)),"Não encontrado")</f>
        <v>Não encontrado</v>
      </c>
      <c r="D343" s="46" t="str" cm="1">
        <f t="array" ref="D343">IFERROR(INDEX(#REF!,MATCH(TRUE,ISNUMBER(FIND(SUBSTITUTE(SUBSTITUTE(UPPER(#REF!)," ",""),":",": "),SUBSTITUTE(SUBSTITUTE(UPPER(S343)," ",""),":",": "))),0)),"Não encontrado")</f>
        <v>Não encontrado</v>
      </c>
      <c r="E343" s="42" t="str" cm="1">
        <f t="array" ref="E343">IFERROR(INDEX({"IMPEDITIVO"},MATCH(TRUE,ISNUMBER(FIND(SUBSTITUTE(SUBSTITUTE(UPPER({"IMPEDITIVO"})," ",""),":",": "),SUBSTITUTE(SUBSTITUTE(UPPER(S343)," ",""),":",": "))),0)),"-")</f>
        <v>-</v>
      </c>
      <c r="K343" s="49"/>
    </row>
    <row r="344" spans="1:11" x14ac:dyDescent="0.25">
      <c r="A344" s="46" t="str" cm="1">
        <f t="array" ref="A344">IFERROR(INDEX(#REF!,MATCH(TRUE,ISNUMBER(FIND(SUBSTITUTE(SUBSTITUTE(UPPER(#REF!)," ",""),":",": "),SUBSTITUTE(SUBSTITUTE(UPPER(S344)," ",""),":",": "))),0)),"Undefined")</f>
        <v>Undefined</v>
      </c>
      <c r="B344" s="42" t="str" cm="1">
        <f t="array" ref="B344">IFERROR(INDEX({"URGENTE"},MATCH(TRUE,ISNUMBER(FIND(SUBSTITUTE(SUBSTITUTE(UPPER({"URGENTE"})," ",""),":",": "),SUBSTITUTE(SUBSTITUTE(UPPER(S344)," ",""),":",": "))),0)),"-")</f>
        <v>-</v>
      </c>
      <c r="C344" s="46" t="str" cm="1">
        <f t="array" ref="C344">IFERROR(INDEX(#REF!,MATCH(TRUE,ISNUMBER(FIND(SUBSTITUTE(SUBSTITUTE(UPPER(#REF!)," ",""),":",": "),SUBSTITUTE(SUBSTITUTE(UPPER(S344)," ",""),":",": "))),0)),"Não encontrado")</f>
        <v>Não encontrado</v>
      </c>
      <c r="D344" s="46" t="str" cm="1">
        <f t="array" ref="D344">IFERROR(INDEX(#REF!,MATCH(TRUE,ISNUMBER(FIND(SUBSTITUTE(SUBSTITUTE(UPPER(#REF!)," ",""),":",": "),SUBSTITUTE(SUBSTITUTE(UPPER(S344)," ",""),":",": "))),0)),"Não encontrado")</f>
        <v>Não encontrado</v>
      </c>
      <c r="E344" s="42" t="str" cm="1">
        <f t="array" ref="E344">IFERROR(INDEX({"IMPEDITIVO"},MATCH(TRUE,ISNUMBER(FIND(SUBSTITUTE(SUBSTITUTE(UPPER({"IMPEDITIVO"})," ",""),":",": "),SUBSTITUTE(SUBSTITUTE(UPPER(S344)," ",""),":",": "))),0)),"-")</f>
        <v>-</v>
      </c>
      <c r="K344" s="49"/>
    </row>
    <row r="345" spans="1:11" x14ac:dyDescent="0.25">
      <c r="A345" s="46" t="str" cm="1">
        <f t="array" ref="A345">IFERROR(INDEX(#REF!,MATCH(TRUE,ISNUMBER(FIND(SUBSTITUTE(SUBSTITUTE(UPPER(#REF!)," ",""),":",": "),SUBSTITUTE(SUBSTITUTE(UPPER(S345)," ",""),":",": "))),0)),"Undefined")</f>
        <v>Undefined</v>
      </c>
      <c r="B345" s="42" t="str" cm="1">
        <f t="array" ref="B345">IFERROR(INDEX({"URGENTE"},MATCH(TRUE,ISNUMBER(FIND(SUBSTITUTE(SUBSTITUTE(UPPER({"URGENTE"})," ",""),":",": "),SUBSTITUTE(SUBSTITUTE(UPPER(S345)," ",""),":",": "))),0)),"-")</f>
        <v>-</v>
      </c>
      <c r="C345" s="46" t="str" cm="1">
        <f t="array" ref="C345">IFERROR(INDEX(#REF!,MATCH(TRUE,ISNUMBER(FIND(SUBSTITUTE(SUBSTITUTE(UPPER(#REF!)," ",""),":",": "),SUBSTITUTE(SUBSTITUTE(UPPER(S345)," ",""),":",": "))),0)),"Não encontrado")</f>
        <v>Não encontrado</v>
      </c>
      <c r="D345" s="46" t="str" cm="1">
        <f t="array" ref="D345">IFERROR(INDEX(#REF!,MATCH(TRUE,ISNUMBER(FIND(SUBSTITUTE(SUBSTITUTE(UPPER(#REF!)," ",""),":",": "),SUBSTITUTE(SUBSTITUTE(UPPER(S345)," ",""),":",": "))),0)),"Não encontrado")</f>
        <v>Não encontrado</v>
      </c>
      <c r="E345" s="42" t="str" cm="1">
        <f t="array" ref="E345">IFERROR(INDEX({"IMPEDITIVO"},MATCH(TRUE,ISNUMBER(FIND(SUBSTITUTE(SUBSTITUTE(UPPER({"IMPEDITIVO"})," ",""),":",": "),SUBSTITUTE(SUBSTITUTE(UPPER(S345)," ",""),":",": "))),0)),"-")</f>
        <v>-</v>
      </c>
      <c r="K345" s="49"/>
    </row>
    <row r="346" spans="1:11" x14ac:dyDescent="0.25">
      <c r="A346" s="46" t="str" cm="1">
        <f t="array" ref="A346">IFERROR(INDEX(#REF!,MATCH(TRUE,ISNUMBER(FIND(SUBSTITUTE(SUBSTITUTE(UPPER(#REF!)," ",""),":",": "),SUBSTITUTE(SUBSTITUTE(UPPER(S346)," ",""),":",": "))),0)),"Undefined")</f>
        <v>Undefined</v>
      </c>
      <c r="B346" s="42" t="str" cm="1">
        <f t="array" ref="B346">IFERROR(INDEX({"URGENTE"},MATCH(TRUE,ISNUMBER(FIND(SUBSTITUTE(SUBSTITUTE(UPPER({"URGENTE"})," ",""),":",": "),SUBSTITUTE(SUBSTITUTE(UPPER(S346)," ",""),":",": "))),0)),"-")</f>
        <v>-</v>
      </c>
      <c r="C346" s="46" t="str" cm="1">
        <f t="array" ref="C346">IFERROR(INDEX(#REF!,MATCH(TRUE,ISNUMBER(FIND(SUBSTITUTE(SUBSTITUTE(UPPER(#REF!)," ",""),":",": "),SUBSTITUTE(SUBSTITUTE(UPPER(S346)," ",""),":",": "))),0)),"Não encontrado")</f>
        <v>Não encontrado</v>
      </c>
      <c r="D346" s="46" t="str" cm="1">
        <f t="array" ref="D346">IFERROR(INDEX(#REF!,MATCH(TRUE,ISNUMBER(FIND(SUBSTITUTE(SUBSTITUTE(UPPER(#REF!)," ",""),":",": "),SUBSTITUTE(SUBSTITUTE(UPPER(S346)," ",""),":",": "))),0)),"Não encontrado")</f>
        <v>Não encontrado</v>
      </c>
      <c r="E346" s="42" t="str" cm="1">
        <f t="array" ref="E346">IFERROR(INDEX({"IMPEDITIVO"},MATCH(TRUE,ISNUMBER(FIND(SUBSTITUTE(SUBSTITUTE(UPPER({"IMPEDITIVO"})," ",""),":",": "),SUBSTITUTE(SUBSTITUTE(UPPER(S346)," ",""),":",": "))),0)),"-")</f>
        <v>-</v>
      </c>
      <c r="K346" s="49"/>
    </row>
    <row r="347" spans="1:11" x14ac:dyDescent="0.25">
      <c r="A347" s="46" t="str" cm="1">
        <f t="array" ref="A347">IFERROR(INDEX(#REF!,MATCH(TRUE,ISNUMBER(FIND(SUBSTITUTE(SUBSTITUTE(UPPER(#REF!)," ",""),":",": "),SUBSTITUTE(SUBSTITUTE(UPPER(S347)," ",""),":",": "))),0)),"Undefined")</f>
        <v>Undefined</v>
      </c>
      <c r="B347" s="42" t="str" cm="1">
        <f t="array" ref="B347">IFERROR(INDEX({"URGENTE"},MATCH(TRUE,ISNUMBER(FIND(SUBSTITUTE(SUBSTITUTE(UPPER({"URGENTE"})," ",""),":",": "),SUBSTITUTE(SUBSTITUTE(UPPER(S347)," ",""),":",": "))),0)),"-")</f>
        <v>-</v>
      </c>
      <c r="C347" s="46" t="str" cm="1">
        <f t="array" ref="C347">IFERROR(INDEX(#REF!,MATCH(TRUE,ISNUMBER(FIND(SUBSTITUTE(SUBSTITUTE(UPPER(#REF!)," ",""),":",": "),SUBSTITUTE(SUBSTITUTE(UPPER(S347)," ",""),":",": "))),0)),"Não encontrado")</f>
        <v>Não encontrado</v>
      </c>
      <c r="D347" s="46" t="str" cm="1">
        <f t="array" ref="D347">IFERROR(INDEX(#REF!,MATCH(TRUE,ISNUMBER(FIND(SUBSTITUTE(SUBSTITUTE(UPPER(#REF!)," ",""),":",": "),SUBSTITUTE(SUBSTITUTE(UPPER(S347)," ",""),":",": "))),0)),"Não encontrado")</f>
        <v>Não encontrado</v>
      </c>
      <c r="E347" s="42" t="str" cm="1">
        <f t="array" ref="E347">IFERROR(INDEX({"IMPEDITIVO"},MATCH(TRUE,ISNUMBER(FIND(SUBSTITUTE(SUBSTITUTE(UPPER({"IMPEDITIVO"})," ",""),":",": "),SUBSTITUTE(SUBSTITUTE(UPPER(S347)," ",""),":",": "))),0)),"-")</f>
        <v>-</v>
      </c>
      <c r="K347" s="49"/>
    </row>
    <row r="348" spans="1:11" x14ac:dyDescent="0.25">
      <c r="A348" s="46" t="str" cm="1">
        <f t="array" ref="A348">IFERROR(INDEX(#REF!,MATCH(TRUE,ISNUMBER(FIND(SUBSTITUTE(SUBSTITUTE(UPPER(#REF!)," ",""),":",": "),SUBSTITUTE(SUBSTITUTE(UPPER(S348)," ",""),":",": "))),0)),"Undefined")</f>
        <v>Undefined</v>
      </c>
      <c r="B348" s="42" t="str" cm="1">
        <f t="array" ref="B348">IFERROR(INDEX({"URGENTE"},MATCH(TRUE,ISNUMBER(FIND(SUBSTITUTE(SUBSTITUTE(UPPER({"URGENTE"})," ",""),":",": "),SUBSTITUTE(SUBSTITUTE(UPPER(S348)," ",""),":",": "))),0)),"-")</f>
        <v>-</v>
      </c>
      <c r="C348" s="46" t="str" cm="1">
        <f t="array" ref="C348">IFERROR(INDEX(#REF!,MATCH(TRUE,ISNUMBER(FIND(SUBSTITUTE(SUBSTITUTE(UPPER(#REF!)," ",""),":",": "),SUBSTITUTE(SUBSTITUTE(UPPER(S348)," ",""),":",": "))),0)),"Não encontrado")</f>
        <v>Não encontrado</v>
      </c>
      <c r="D348" s="46" t="str" cm="1">
        <f t="array" ref="D348">IFERROR(INDEX(#REF!,MATCH(TRUE,ISNUMBER(FIND(SUBSTITUTE(SUBSTITUTE(UPPER(#REF!)," ",""),":",": "),SUBSTITUTE(SUBSTITUTE(UPPER(S348)," ",""),":",": "))),0)),"Não encontrado")</f>
        <v>Não encontrado</v>
      </c>
      <c r="E348" s="42" t="str" cm="1">
        <f t="array" ref="E348">IFERROR(INDEX({"IMPEDITIVO"},MATCH(TRUE,ISNUMBER(FIND(SUBSTITUTE(SUBSTITUTE(UPPER({"IMPEDITIVO"})," ",""),":",": "),SUBSTITUTE(SUBSTITUTE(UPPER(S348)," ",""),":",": "))),0)),"-")</f>
        <v>-</v>
      </c>
      <c r="K348" s="49"/>
    </row>
    <row r="349" spans="1:11" x14ac:dyDescent="0.25">
      <c r="A349" s="46" t="str" cm="1">
        <f t="array" ref="A349">IFERROR(INDEX(#REF!,MATCH(TRUE,ISNUMBER(FIND(SUBSTITUTE(SUBSTITUTE(UPPER(#REF!)," ",""),":",": "),SUBSTITUTE(SUBSTITUTE(UPPER(S349)," ",""),":",": "))),0)),"Undefined")</f>
        <v>Undefined</v>
      </c>
      <c r="B349" s="42" t="str" cm="1">
        <f t="array" ref="B349">IFERROR(INDEX({"URGENTE"},MATCH(TRUE,ISNUMBER(FIND(SUBSTITUTE(SUBSTITUTE(UPPER({"URGENTE"})," ",""),":",": "),SUBSTITUTE(SUBSTITUTE(UPPER(S349)," ",""),":",": "))),0)),"-")</f>
        <v>-</v>
      </c>
      <c r="C349" s="46" t="str" cm="1">
        <f t="array" ref="C349">IFERROR(INDEX(#REF!,MATCH(TRUE,ISNUMBER(FIND(SUBSTITUTE(SUBSTITUTE(UPPER(#REF!)," ",""),":",": "),SUBSTITUTE(SUBSTITUTE(UPPER(S349)," ",""),":",": "))),0)),"Não encontrado")</f>
        <v>Não encontrado</v>
      </c>
      <c r="D349" s="46" t="str" cm="1">
        <f t="array" ref="D349">IFERROR(INDEX(#REF!,MATCH(TRUE,ISNUMBER(FIND(SUBSTITUTE(SUBSTITUTE(UPPER(#REF!)," ",""),":",": "),SUBSTITUTE(SUBSTITUTE(UPPER(S349)," ",""),":",": "))),0)),"Não encontrado")</f>
        <v>Não encontrado</v>
      </c>
      <c r="E349" s="42" t="str" cm="1">
        <f t="array" ref="E349">IFERROR(INDEX({"IMPEDITIVO"},MATCH(TRUE,ISNUMBER(FIND(SUBSTITUTE(SUBSTITUTE(UPPER({"IMPEDITIVO"})," ",""),":",": "),SUBSTITUTE(SUBSTITUTE(UPPER(S349)," ",""),":",": "))),0)),"-")</f>
        <v>-</v>
      </c>
      <c r="K349" s="49"/>
    </row>
    <row r="350" spans="1:11" x14ac:dyDescent="0.25">
      <c r="A350" s="46" t="str" cm="1">
        <f t="array" ref="A350">IFERROR(INDEX(#REF!,MATCH(TRUE,ISNUMBER(FIND(SUBSTITUTE(SUBSTITUTE(UPPER(#REF!)," ",""),":",": "),SUBSTITUTE(SUBSTITUTE(UPPER(S350)," ",""),":",": "))),0)),"Undefined")</f>
        <v>Undefined</v>
      </c>
      <c r="B350" s="42" t="str" cm="1">
        <f t="array" ref="B350">IFERROR(INDEX({"URGENTE"},MATCH(TRUE,ISNUMBER(FIND(SUBSTITUTE(SUBSTITUTE(UPPER({"URGENTE"})," ",""),":",": "),SUBSTITUTE(SUBSTITUTE(UPPER(S350)," ",""),":",": "))),0)),"-")</f>
        <v>-</v>
      </c>
      <c r="C350" s="46" t="str" cm="1">
        <f t="array" ref="C350">IFERROR(INDEX(#REF!,MATCH(TRUE,ISNUMBER(FIND(SUBSTITUTE(SUBSTITUTE(UPPER(#REF!)," ",""),":",": "),SUBSTITUTE(SUBSTITUTE(UPPER(S350)," ",""),":",": "))),0)),"Não encontrado")</f>
        <v>Não encontrado</v>
      </c>
      <c r="D350" s="46" t="str" cm="1">
        <f t="array" ref="D350">IFERROR(INDEX(#REF!,MATCH(TRUE,ISNUMBER(FIND(SUBSTITUTE(SUBSTITUTE(UPPER(#REF!)," ",""),":",": "),SUBSTITUTE(SUBSTITUTE(UPPER(S350)," ",""),":",": "))),0)),"Não encontrado")</f>
        <v>Não encontrado</v>
      </c>
      <c r="E350" s="42" t="str" cm="1">
        <f t="array" ref="E350">IFERROR(INDEX({"IMPEDITIVO"},MATCH(TRUE,ISNUMBER(FIND(SUBSTITUTE(SUBSTITUTE(UPPER({"IMPEDITIVO"})," ",""),":",": "),SUBSTITUTE(SUBSTITUTE(UPPER(S350)," ",""),":",": "))),0)),"-")</f>
        <v>-</v>
      </c>
      <c r="K350" s="49"/>
    </row>
    <row r="351" spans="1:11" x14ac:dyDescent="0.25">
      <c r="A351" s="46" t="str" cm="1">
        <f t="array" ref="A351">IFERROR(INDEX(#REF!,MATCH(TRUE,ISNUMBER(FIND(SUBSTITUTE(SUBSTITUTE(UPPER(#REF!)," ",""),":",": "),SUBSTITUTE(SUBSTITUTE(UPPER(S351)," ",""),":",": "))),0)),"Undefined")</f>
        <v>Undefined</v>
      </c>
      <c r="B351" s="42" t="str" cm="1">
        <f t="array" ref="B351">IFERROR(INDEX({"URGENTE"},MATCH(TRUE,ISNUMBER(FIND(SUBSTITUTE(SUBSTITUTE(UPPER({"URGENTE"})," ",""),":",": "),SUBSTITUTE(SUBSTITUTE(UPPER(S351)," ",""),":",": "))),0)),"-")</f>
        <v>-</v>
      </c>
      <c r="C351" s="46" t="str" cm="1">
        <f t="array" ref="C351">IFERROR(INDEX(#REF!,MATCH(TRUE,ISNUMBER(FIND(SUBSTITUTE(SUBSTITUTE(UPPER(#REF!)," ",""),":",": "),SUBSTITUTE(SUBSTITUTE(UPPER(S351)," ",""),":",": "))),0)),"Não encontrado")</f>
        <v>Não encontrado</v>
      </c>
      <c r="D351" s="46" t="str" cm="1">
        <f t="array" ref="D351">IFERROR(INDEX(#REF!,MATCH(TRUE,ISNUMBER(FIND(SUBSTITUTE(SUBSTITUTE(UPPER(#REF!)," ",""),":",": "),SUBSTITUTE(SUBSTITUTE(UPPER(S351)," ",""),":",": "))),0)),"Não encontrado")</f>
        <v>Não encontrado</v>
      </c>
      <c r="E351" s="42" t="str" cm="1">
        <f t="array" ref="E351">IFERROR(INDEX({"IMPEDITIVO"},MATCH(TRUE,ISNUMBER(FIND(SUBSTITUTE(SUBSTITUTE(UPPER({"IMPEDITIVO"})," ",""),":",": "),SUBSTITUTE(SUBSTITUTE(UPPER(S351)," ",""),":",": "))),0)),"-")</f>
        <v>-</v>
      </c>
      <c r="K351" s="49"/>
    </row>
    <row r="352" spans="1:11" x14ac:dyDescent="0.25">
      <c r="A352" s="46" t="str" cm="1">
        <f t="array" ref="A352">IFERROR(INDEX(#REF!,MATCH(TRUE,ISNUMBER(FIND(SUBSTITUTE(SUBSTITUTE(UPPER(#REF!)," ",""),":",": "),SUBSTITUTE(SUBSTITUTE(UPPER(S352)," ",""),":",": "))),0)),"Undefined")</f>
        <v>Undefined</v>
      </c>
      <c r="B352" s="42" t="str" cm="1">
        <f t="array" ref="B352">IFERROR(INDEX({"URGENTE"},MATCH(TRUE,ISNUMBER(FIND(SUBSTITUTE(SUBSTITUTE(UPPER({"URGENTE"})," ",""),":",": "),SUBSTITUTE(SUBSTITUTE(UPPER(S352)," ",""),":",": "))),0)),"-")</f>
        <v>-</v>
      </c>
      <c r="C352" s="46" t="str" cm="1">
        <f t="array" ref="C352">IFERROR(INDEX(#REF!,MATCH(TRUE,ISNUMBER(FIND(SUBSTITUTE(SUBSTITUTE(UPPER(#REF!)," ",""),":",": "),SUBSTITUTE(SUBSTITUTE(UPPER(S352)," ",""),":",": "))),0)),"Não encontrado")</f>
        <v>Não encontrado</v>
      </c>
      <c r="D352" s="46" t="str" cm="1">
        <f t="array" ref="D352">IFERROR(INDEX(#REF!,MATCH(TRUE,ISNUMBER(FIND(SUBSTITUTE(SUBSTITUTE(UPPER(#REF!)," ",""),":",": "),SUBSTITUTE(SUBSTITUTE(UPPER(S352)," ",""),":",": "))),0)),"Não encontrado")</f>
        <v>Não encontrado</v>
      </c>
      <c r="E352" s="42" t="str" cm="1">
        <f t="array" ref="E352">IFERROR(INDEX({"IMPEDITIVO"},MATCH(TRUE,ISNUMBER(FIND(SUBSTITUTE(SUBSTITUTE(UPPER({"IMPEDITIVO"})," ",""),":",": "),SUBSTITUTE(SUBSTITUTE(UPPER(S352)," ",""),":",": "))),0)),"-")</f>
        <v>-</v>
      </c>
      <c r="K352" s="49"/>
    </row>
    <row r="353" spans="1:11" x14ac:dyDescent="0.25">
      <c r="A353" s="46" t="str" cm="1">
        <f t="array" ref="A353">IFERROR(INDEX(#REF!,MATCH(TRUE,ISNUMBER(FIND(SUBSTITUTE(SUBSTITUTE(UPPER(#REF!)," ",""),":",": "),SUBSTITUTE(SUBSTITUTE(UPPER(S353)," ",""),":",": "))),0)),"Undefined")</f>
        <v>Undefined</v>
      </c>
      <c r="B353" s="42" t="str" cm="1">
        <f t="array" ref="B353">IFERROR(INDEX({"URGENTE"},MATCH(TRUE,ISNUMBER(FIND(SUBSTITUTE(SUBSTITUTE(UPPER({"URGENTE"})," ",""),":",": "),SUBSTITUTE(SUBSTITUTE(UPPER(S353)," ",""),":",": "))),0)),"-")</f>
        <v>-</v>
      </c>
      <c r="C353" s="46" t="str" cm="1">
        <f t="array" ref="C353">IFERROR(INDEX(#REF!,MATCH(TRUE,ISNUMBER(FIND(SUBSTITUTE(SUBSTITUTE(UPPER(#REF!)," ",""),":",": "),SUBSTITUTE(SUBSTITUTE(UPPER(S353)," ",""),":",": "))),0)),"Não encontrado")</f>
        <v>Não encontrado</v>
      </c>
      <c r="D353" s="46" t="str" cm="1">
        <f t="array" ref="D353">IFERROR(INDEX(#REF!,MATCH(TRUE,ISNUMBER(FIND(SUBSTITUTE(SUBSTITUTE(UPPER(#REF!)," ",""),":",": "),SUBSTITUTE(SUBSTITUTE(UPPER(S353)," ",""),":",": "))),0)),"Não encontrado")</f>
        <v>Não encontrado</v>
      </c>
      <c r="E353" s="42" t="str" cm="1">
        <f t="array" ref="E353">IFERROR(INDEX({"IMPEDITIVO"},MATCH(TRUE,ISNUMBER(FIND(SUBSTITUTE(SUBSTITUTE(UPPER({"IMPEDITIVO"})," ",""),":",": "),SUBSTITUTE(SUBSTITUTE(UPPER(S353)," ",""),":",": "))),0)),"-")</f>
        <v>-</v>
      </c>
      <c r="K353" s="49"/>
    </row>
    <row r="354" spans="1:11" x14ac:dyDescent="0.25">
      <c r="A354" s="46" t="str" cm="1">
        <f t="array" ref="A354">IFERROR(INDEX(#REF!,MATCH(TRUE,ISNUMBER(FIND(SUBSTITUTE(SUBSTITUTE(UPPER(#REF!)," ",""),":",": "),SUBSTITUTE(SUBSTITUTE(UPPER(S354)," ",""),":",": "))),0)),"Undefined")</f>
        <v>Undefined</v>
      </c>
      <c r="B354" s="42" t="str" cm="1">
        <f t="array" ref="B354">IFERROR(INDEX({"URGENTE"},MATCH(TRUE,ISNUMBER(FIND(SUBSTITUTE(SUBSTITUTE(UPPER({"URGENTE"})," ",""),":",": "),SUBSTITUTE(SUBSTITUTE(UPPER(S354)," ",""),":",": "))),0)),"-")</f>
        <v>-</v>
      </c>
      <c r="C354" s="46" t="str" cm="1">
        <f t="array" ref="C354">IFERROR(INDEX(#REF!,MATCH(TRUE,ISNUMBER(FIND(SUBSTITUTE(SUBSTITUTE(UPPER(#REF!)," ",""),":",": "),SUBSTITUTE(SUBSTITUTE(UPPER(S354)," ",""),":",": "))),0)),"Não encontrado")</f>
        <v>Não encontrado</v>
      </c>
      <c r="D354" s="46" t="str" cm="1">
        <f t="array" ref="D354">IFERROR(INDEX(#REF!,MATCH(TRUE,ISNUMBER(FIND(SUBSTITUTE(SUBSTITUTE(UPPER(#REF!)," ",""),":",": "),SUBSTITUTE(SUBSTITUTE(UPPER(S354)," ",""),":",": "))),0)),"Não encontrado")</f>
        <v>Não encontrado</v>
      </c>
      <c r="E354" s="42" t="str" cm="1">
        <f t="array" ref="E354">IFERROR(INDEX({"IMPEDITIVO"},MATCH(TRUE,ISNUMBER(FIND(SUBSTITUTE(SUBSTITUTE(UPPER({"IMPEDITIVO"})," ",""),":",": "),SUBSTITUTE(SUBSTITUTE(UPPER(S354)," ",""),":",": "))),0)),"-")</f>
        <v>-</v>
      </c>
      <c r="K354" s="49"/>
    </row>
    <row r="355" spans="1:11" x14ac:dyDescent="0.25">
      <c r="A355" s="46" t="str" cm="1">
        <f t="array" ref="A355">IFERROR(INDEX(#REF!,MATCH(TRUE,ISNUMBER(FIND(SUBSTITUTE(SUBSTITUTE(UPPER(#REF!)," ",""),":",": "),SUBSTITUTE(SUBSTITUTE(UPPER(S355)," ",""),":",": "))),0)),"Undefined")</f>
        <v>Undefined</v>
      </c>
      <c r="B355" s="42" t="str" cm="1">
        <f t="array" ref="B355">IFERROR(INDEX({"URGENTE"},MATCH(TRUE,ISNUMBER(FIND(SUBSTITUTE(SUBSTITUTE(UPPER({"URGENTE"})," ",""),":",": "),SUBSTITUTE(SUBSTITUTE(UPPER(S355)," ",""),":",": "))),0)),"-")</f>
        <v>-</v>
      </c>
      <c r="C355" s="46" t="str" cm="1">
        <f t="array" ref="C355">IFERROR(INDEX(#REF!,MATCH(TRUE,ISNUMBER(FIND(SUBSTITUTE(SUBSTITUTE(UPPER(#REF!)," ",""),":",": "),SUBSTITUTE(SUBSTITUTE(UPPER(S355)," ",""),":",": "))),0)),"Não encontrado")</f>
        <v>Não encontrado</v>
      </c>
      <c r="D355" s="46" t="str" cm="1">
        <f t="array" ref="D355">IFERROR(INDEX(#REF!,MATCH(TRUE,ISNUMBER(FIND(SUBSTITUTE(SUBSTITUTE(UPPER(#REF!)," ",""),":",": "),SUBSTITUTE(SUBSTITUTE(UPPER(S355)," ",""),":",": "))),0)),"Não encontrado")</f>
        <v>Não encontrado</v>
      </c>
      <c r="E355" s="42" t="str" cm="1">
        <f t="array" ref="E355">IFERROR(INDEX({"IMPEDITIVO"},MATCH(TRUE,ISNUMBER(FIND(SUBSTITUTE(SUBSTITUTE(UPPER({"IMPEDITIVO"})," ",""),":",": "),SUBSTITUTE(SUBSTITUTE(UPPER(S355)," ",""),":",": "))),0)),"-")</f>
        <v>-</v>
      </c>
      <c r="K355" s="49"/>
    </row>
    <row r="356" spans="1:11" x14ac:dyDescent="0.25">
      <c r="A356" s="46" t="str" cm="1">
        <f t="array" ref="A356">IFERROR(INDEX(#REF!,MATCH(TRUE,ISNUMBER(FIND(SUBSTITUTE(SUBSTITUTE(UPPER(#REF!)," ",""),":",": "),SUBSTITUTE(SUBSTITUTE(UPPER(S356)," ",""),":",": "))),0)),"Undefined")</f>
        <v>Undefined</v>
      </c>
      <c r="B356" s="42" t="str" cm="1">
        <f t="array" ref="B356">IFERROR(INDEX({"URGENTE"},MATCH(TRUE,ISNUMBER(FIND(SUBSTITUTE(SUBSTITUTE(UPPER({"URGENTE"})," ",""),":",": "),SUBSTITUTE(SUBSTITUTE(UPPER(S356)," ",""),":",": "))),0)),"-")</f>
        <v>-</v>
      </c>
      <c r="C356" s="46" t="str" cm="1">
        <f t="array" ref="C356">IFERROR(INDEX(#REF!,MATCH(TRUE,ISNUMBER(FIND(SUBSTITUTE(SUBSTITUTE(UPPER(#REF!)," ",""),":",": "),SUBSTITUTE(SUBSTITUTE(UPPER(S356)," ",""),":",": "))),0)),"Não encontrado")</f>
        <v>Não encontrado</v>
      </c>
      <c r="D356" s="46" t="str" cm="1">
        <f t="array" ref="D356">IFERROR(INDEX(#REF!,MATCH(TRUE,ISNUMBER(FIND(SUBSTITUTE(SUBSTITUTE(UPPER(#REF!)," ",""),":",": "),SUBSTITUTE(SUBSTITUTE(UPPER(S356)," ",""),":",": "))),0)),"Não encontrado")</f>
        <v>Não encontrado</v>
      </c>
      <c r="E356" s="42" t="str" cm="1">
        <f t="array" ref="E356">IFERROR(INDEX({"IMPEDITIVO"},MATCH(TRUE,ISNUMBER(FIND(SUBSTITUTE(SUBSTITUTE(UPPER({"IMPEDITIVO"})," ",""),":",": "),SUBSTITUTE(SUBSTITUTE(UPPER(S356)," ",""),":",": "))),0)),"-")</f>
        <v>-</v>
      </c>
      <c r="K356" s="49"/>
    </row>
    <row r="357" spans="1:11" x14ac:dyDescent="0.25">
      <c r="A357" s="46" t="str" cm="1">
        <f t="array" ref="A357">IFERROR(INDEX(#REF!,MATCH(TRUE,ISNUMBER(FIND(SUBSTITUTE(SUBSTITUTE(UPPER(#REF!)," ",""),":",": "),SUBSTITUTE(SUBSTITUTE(UPPER(S357)," ",""),":",": "))),0)),"Undefined")</f>
        <v>Undefined</v>
      </c>
      <c r="B357" s="42" t="str" cm="1">
        <f t="array" ref="B357">IFERROR(INDEX({"URGENTE"},MATCH(TRUE,ISNUMBER(FIND(SUBSTITUTE(SUBSTITUTE(UPPER({"URGENTE"})," ",""),":",": "),SUBSTITUTE(SUBSTITUTE(UPPER(S357)," ",""),":",": "))),0)),"-")</f>
        <v>-</v>
      </c>
      <c r="C357" s="46" t="str" cm="1">
        <f t="array" ref="C357">IFERROR(INDEX(#REF!,MATCH(TRUE,ISNUMBER(FIND(SUBSTITUTE(SUBSTITUTE(UPPER(#REF!)," ",""),":",": "),SUBSTITUTE(SUBSTITUTE(UPPER(S357)," ",""),":",": "))),0)),"Não encontrado")</f>
        <v>Não encontrado</v>
      </c>
      <c r="D357" s="46" t="str" cm="1">
        <f t="array" ref="D357">IFERROR(INDEX(#REF!,MATCH(TRUE,ISNUMBER(FIND(SUBSTITUTE(SUBSTITUTE(UPPER(#REF!)," ",""),":",": "),SUBSTITUTE(SUBSTITUTE(UPPER(S357)," ",""),":",": "))),0)),"Não encontrado")</f>
        <v>Não encontrado</v>
      </c>
      <c r="E357" s="42" t="str" cm="1">
        <f t="array" ref="E357">IFERROR(INDEX({"IMPEDITIVO"},MATCH(TRUE,ISNUMBER(FIND(SUBSTITUTE(SUBSTITUTE(UPPER({"IMPEDITIVO"})," ",""),":",": "),SUBSTITUTE(SUBSTITUTE(UPPER(S357)," ",""),":",": "))),0)),"-")</f>
        <v>-</v>
      </c>
      <c r="K357" s="49"/>
    </row>
    <row r="358" spans="1:11" x14ac:dyDescent="0.25">
      <c r="A358" s="46" t="str" cm="1">
        <f t="array" ref="A358">IFERROR(INDEX(#REF!,MATCH(TRUE,ISNUMBER(FIND(SUBSTITUTE(SUBSTITUTE(UPPER(#REF!)," ",""),":",": "),SUBSTITUTE(SUBSTITUTE(UPPER(S358)," ",""),":",": "))),0)),"Undefined")</f>
        <v>Undefined</v>
      </c>
      <c r="B358" s="42" t="str" cm="1">
        <f t="array" ref="B358">IFERROR(INDEX({"URGENTE"},MATCH(TRUE,ISNUMBER(FIND(SUBSTITUTE(SUBSTITUTE(UPPER({"URGENTE"})," ",""),":",": "),SUBSTITUTE(SUBSTITUTE(UPPER(S358)," ",""),":",": "))),0)),"-")</f>
        <v>-</v>
      </c>
      <c r="C358" s="46" t="str" cm="1">
        <f t="array" ref="C358">IFERROR(INDEX(#REF!,MATCH(TRUE,ISNUMBER(FIND(SUBSTITUTE(SUBSTITUTE(UPPER(#REF!)," ",""),":",": "),SUBSTITUTE(SUBSTITUTE(UPPER(S358)," ",""),":",": "))),0)),"Não encontrado")</f>
        <v>Não encontrado</v>
      </c>
      <c r="D358" s="46" t="str" cm="1">
        <f t="array" ref="D358">IFERROR(INDEX(#REF!,MATCH(TRUE,ISNUMBER(FIND(SUBSTITUTE(SUBSTITUTE(UPPER(#REF!)," ",""),":",": "),SUBSTITUTE(SUBSTITUTE(UPPER(S358)," ",""),":",": "))),0)),"Não encontrado")</f>
        <v>Não encontrado</v>
      </c>
      <c r="E358" s="42" t="str" cm="1">
        <f t="array" ref="E358">IFERROR(INDEX({"IMPEDITIVO"},MATCH(TRUE,ISNUMBER(FIND(SUBSTITUTE(SUBSTITUTE(UPPER({"IMPEDITIVO"})," ",""),":",": "),SUBSTITUTE(SUBSTITUTE(UPPER(S358)," ",""),":",": "))),0)),"-")</f>
        <v>-</v>
      </c>
      <c r="K358" s="49"/>
    </row>
    <row r="359" spans="1:11" x14ac:dyDescent="0.25">
      <c r="A359" s="46" t="str" cm="1">
        <f t="array" ref="A359">IFERROR(INDEX(#REF!,MATCH(TRUE,ISNUMBER(FIND(SUBSTITUTE(SUBSTITUTE(UPPER(#REF!)," ",""),":",": "),SUBSTITUTE(SUBSTITUTE(UPPER(S359)," ",""),":",": "))),0)),"Undefined")</f>
        <v>Undefined</v>
      </c>
      <c r="B359" s="42" t="str" cm="1">
        <f t="array" ref="B359">IFERROR(INDEX({"URGENTE"},MATCH(TRUE,ISNUMBER(FIND(SUBSTITUTE(SUBSTITUTE(UPPER({"URGENTE"})," ",""),":",": "),SUBSTITUTE(SUBSTITUTE(UPPER(S359)," ",""),":",": "))),0)),"-")</f>
        <v>-</v>
      </c>
      <c r="C359" s="46" t="str" cm="1">
        <f t="array" ref="C359">IFERROR(INDEX(#REF!,MATCH(TRUE,ISNUMBER(FIND(SUBSTITUTE(SUBSTITUTE(UPPER(#REF!)," ",""),":",": "),SUBSTITUTE(SUBSTITUTE(UPPER(S359)," ",""),":",": "))),0)),"Não encontrado")</f>
        <v>Não encontrado</v>
      </c>
      <c r="D359" s="46" t="str" cm="1">
        <f t="array" ref="D359">IFERROR(INDEX(#REF!,MATCH(TRUE,ISNUMBER(FIND(SUBSTITUTE(SUBSTITUTE(UPPER(#REF!)," ",""),":",": "),SUBSTITUTE(SUBSTITUTE(UPPER(S359)," ",""),":",": "))),0)),"Não encontrado")</f>
        <v>Não encontrado</v>
      </c>
      <c r="E359" s="42" t="str" cm="1">
        <f t="array" ref="E359">IFERROR(INDEX({"IMPEDITIVO"},MATCH(TRUE,ISNUMBER(FIND(SUBSTITUTE(SUBSTITUTE(UPPER({"IMPEDITIVO"})," ",""),":",": "),SUBSTITUTE(SUBSTITUTE(UPPER(S359)," ",""),":",": "))),0)),"-")</f>
        <v>-</v>
      </c>
      <c r="K359" s="49"/>
    </row>
    <row r="360" spans="1:11" x14ac:dyDescent="0.25">
      <c r="A360" s="46" t="str" cm="1">
        <f t="array" ref="A360">IFERROR(INDEX(#REF!,MATCH(TRUE,ISNUMBER(FIND(SUBSTITUTE(SUBSTITUTE(UPPER(#REF!)," ",""),":",": "),SUBSTITUTE(SUBSTITUTE(UPPER(S360)," ",""),":",": "))),0)),"Undefined")</f>
        <v>Undefined</v>
      </c>
      <c r="B360" s="42" t="str" cm="1">
        <f t="array" ref="B360">IFERROR(INDEX({"URGENTE"},MATCH(TRUE,ISNUMBER(FIND(SUBSTITUTE(SUBSTITUTE(UPPER({"URGENTE"})," ",""),":",": "),SUBSTITUTE(SUBSTITUTE(UPPER(S360)," ",""),":",": "))),0)),"-")</f>
        <v>-</v>
      </c>
      <c r="C360" s="46" t="str" cm="1">
        <f t="array" ref="C360">IFERROR(INDEX(#REF!,MATCH(TRUE,ISNUMBER(FIND(SUBSTITUTE(SUBSTITUTE(UPPER(#REF!)," ",""),":",": "),SUBSTITUTE(SUBSTITUTE(UPPER(S360)," ",""),":",": "))),0)),"Não encontrado")</f>
        <v>Não encontrado</v>
      </c>
      <c r="D360" s="46" t="str" cm="1">
        <f t="array" ref="D360">IFERROR(INDEX(#REF!,MATCH(TRUE,ISNUMBER(FIND(SUBSTITUTE(SUBSTITUTE(UPPER(#REF!)," ",""),":",": "),SUBSTITUTE(SUBSTITUTE(UPPER(S360)," ",""),":",": "))),0)),"Não encontrado")</f>
        <v>Não encontrado</v>
      </c>
      <c r="E360" s="42" t="str" cm="1">
        <f t="array" ref="E360">IFERROR(INDEX({"IMPEDITIVO"},MATCH(TRUE,ISNUMBER(FIND(SUBSTITUTE(SUBSTITUTE(UPPER({"IMPEDITIVO"})," ",""),":",": "),SUBSTITUTE(SUBSTITUTE(UPPER(S360)," ",""),":",": "))),0)),"-")</f>
        <v>-</v>
      </c>
      <c r="K360" s="49"/>
    </row>
    <row r="361" spans="1:11" x14ac:dyDescent="0.25">
      <c r="A361" s="46" t="str" cm="1">
        <f t="array" ref="A361">IFERROR(INDEX(#REF!,MATCH(TRUE,ISNUMBER(FIND(SUBSTITUTE(SUBSTITUTE(UPPER(#REF!)," ",""),":",": "),SUBSTITUTE(SUBSTITUTE(UPPER(S361)," ",""),":",": "))),0)),"Undefined")</f>
        <v>Undefined</v>
      </c>
      <c r="B361" s="42" t="str" cm="1">
        <f t="array" ref="B361">IFERROR(INDEX({"URGENTE"},MATCH(TRUE,ISNUMBER(FIND(SUBSTITUTE(SUBSTITUTE(UPPER({"URGENTE"})," ",""),":",": "),SUBSTITUTE(SUBSTITUTE(UPPER(S361)," ",""),":",": "))),0)),"-")</f>
        <v>-</v>
      </c>
      <c r="C361" s="46" t="str" cm="1">
        <f t="array" ref="C361">IFERROR(INDEX(#REF!,MATCH(TRUE,ISNUMBER(FIND(SUBSTITUTE(SUBSTITUTE(UPPER(#REF!)," ",""),":",": "),SUBSTITUTE(SUBSTITUTE(UPPER(S361)," ",""),":",": "))),0)),"Não encontrado")</f>
        <v>Não encontrado</v>
      </c>
      <c r="D361" s="46" t="str" cm="1">
        <f t="array" ref="D361">IFERROR(INDEX(#REF!,MATCH(TRUE,ISNUMBER(FIND(SUBSTITUTE(SUBSTITUTE(UPPER(#REF!)," ",""),":",": "),SUBSTITUTE(SUBSTITUTE(UPPER(S361)," ",""),":",": "))),0)),"Não encontrado")</f>
        <v>Não encontrado</v>
      </c>
      <c r="E361" s="42" t="str" cm="1">
        <f t="array" ref="E361">IFERROR(INDEX({"IMPEDITIVO"},MATCH(TRUE,ISNUMBER(FIND(SUBSTITUTE(SUBSTITUTE(UPPER({"IMPEDITIVO"})," ",""),":",": "),SUBSTITUTE(SUBSTITUTE(UPPER(S361)," ",""),":",": "))),0)),"-")</f>
        <v>-</v>
      </c>
      <c r="K361" s="49"/>
    </row>
    <row r="362" spans="1:11" x14ac:dyDescent="0.25">
      <c r="A362" s="46" t="str" cm="1">
        <f t="array" ref="A362">IFERROR(INDEX(#REF!,MATCH(TRUE,ISNUMBER(FIND(SUBSTITUTE(SUBSTITUTE(UPPER(#REF!)," ",""),":",": "),SUBSTITUTE(SUBSTITUTE(UPPER(S362)," ",""),":",": "))),0)),"Undefined")</f>
        <v>Undefined</v>
      </c>
      <c r="B362" s="42" t="str" cm="1">
        <f t="array" ref="B362">IFERROR(INDEX({"URGENTE"},MATCH(TRUE,ISNUMBER(FIND(SUBSTITUTE(SUBSTITUTE(UPPER({"URGENTE"})," ",""),":",": "),SUBSTITUTE(SUBSTITUTE(UPPER(S362)," ",""),":",": "))),0)),"-")</f>
        <v>-</v>
      </c>
      <c r="C362" s="46" t="str" cm="1">
        <f t="array" ref="C362">IFERROR(INDEX(#REF!,MATCH(TRUE,ISNUMBER(FIND(SUBSTITUTE(SUBSTITUTE(UPPER(#REF!)," ",""),":",": "),SUBSTITUTE(SUBSTITUTE(UPPER(S362)," ",""),":",": "))),0)),"Não encontrado")</f>
        <v>Não encontrado</v>
      </c>
      <c r="D362" s="46" t="str" cm="1">
        <f t="array" ref="D362">IFERROR(INDEX(#REF!,MATCH(TRUE,ISNUMBER(FIND(SUBSTITUTE(SUBSTITUTE(UPPER(#REF!)," ",""),":",": "),SUBSTITUTE(SUBSTITUTE(UPPER(S362)," ",""),":",": "))),0)),"Não encontrado")</f>
        <v>Não encontrado</v>
      </c>
      <c r="E362" s="42" t="str" cm="1">
        <f t="array" ref="E362">IFERROR(INDEX({"IMPEDITIVO"},MATCH(TRUE,ISNUMBER(FIND(SUBSTITUTE(SUBSTITUTE(UPPER({"IMPEDITIVO"})," ",""),":",": "),SUBSTITUTE(SUBSTITUTE(UPPER(S362)," ",""),":",": "))),0)),"-")</f>
        <v>-</v>
      </c>
      <c r="K362" s="49"/>
    </row>
    <row r="363" spans="1:11" x14ac:dyDescent="0.25">
      <c r="A363" s="46" t="str" cm="1">
        <f t="array" ref="A363">IFERROR(INDEX(#REF!,MATCH(TRUE,ISNUMBER(FIND(SUBSTITUTE(SUBSTITUTE(UPPER(#REF!)," ",""),":",": "),SUBSTITUTE(SUBSTITUTE(UPPER(S363)," ",""),":",": "))),0)),"Undefined")</f>
        <v>Undefined</v>
      </c>
      <c r="B363" s="42" t="str" cm="1">
        <f t="array" ref="B363">IFERROR(INDEX({"URGENTE"},MATCH(TRUE,ISNUMBER(FIND(SUBSTITUTE(SUBSTITUTE(UPPER({"URGENTE"})," ",""),":",": "),SUBSTITUTE(SUBSTITUTE(UPPER(S363)," ",""),":",": "))),0)),"-")</f>
        <v>-</v>
      </c>
      <c r="C363" s="46" t="str" cm="1">
        <f t="array" ref="C363">IFERROR(INDEX(#REF!,MATCH(TRUE,ISNUMBER(FIND(SUBSTITUTE(SUBSTITUTE(UPPER(#REF!)," ",""),":",": "),SUBSTITUTE(SUBSTITUTE(UPPER(S363)," ",""),":",": "))),0)),"Não encontrado")</f>
        <v>Não encontrado</v>
      </c>
      <c r="D363" s="46" t="str" cm="1">
        <f t="array" ref="D363">IFERROR(INDEX(#REF!,MATCH(TRUE,ISNUMBER(FIND(SUBSTITUTE(SUBSTITUTE(UPPER(#REF!)," ",""),":",": "),SUBSTITUTE(SUBSTITUTE(UPPER(S363)," ",""),":",": "))),0)),"Não encontrado")</f>
        <v>Não encontrado</v>
      </c>
      <c r="E363" s="42" t="str" cm="1">
        <f t="array" ref="E363">IFERROR(INDEX({"IMPEDITIVO"},MATCH(TRUE,ISNUMBER(FIND(SUBSTITUTE(SUBSTITUTE(UPPER({"IMPEDITIVO"})," ",""),":",": "),SUBSTITUTE(SUBSTITUTE(UPPER(S363)," ",""),":",": "))),0)),"-")</f>
        <v>-</v>
      </c>
      <c r="K363" s="49"/>
    </row>
    <row r="364" spans="1:11" x14ac:dyDescent="0.25">
      <c r="A364" s="46" t="str" cm="1">
        <f t="array" ref="A364">IFERROR(INDEX(#REF!,MATCH(TRUE,ISNUMBER(FIND(SUBSTITUTE(SUBSTITUTE(UPPER(#REF!)," ",""),":",": "),SUBSTITUTE(SUBSTITUTE(UPPER(S364)," ",""),":",": "))),0)),"Undefined")</f>
        <v>Undefined</v>
      </c>
      <c r="B364" s="42" t="str" cm="1">
        <f t="array" ref="B364">IFERROR(INDEX({"URGENTE"},MATCH(TRUE,ISNUMBER(FIND(SUBSTITUTE(SUBSTITUTE(UPPER({"URGENTE"})," ",""),":",": "),SUBSTITUTE(SUBSTITUTE(UPPER(S364)," ",""),":",": "))),0)),"-")</f>
        <v>-</v>
      </c>
      <c r="C364" s="46" t="str" cm="1">
        <f t="array" ref="C364">IFERROR(INDEX(#REF!,MATCH(TRUE,ISNUMBER(FIND(SUBSTITUTE(SUBSTITUTE(UPPER(#REF!)," ",""),":",": "),SUBSTITUTE(SUBSTITUTE(UPPER(S364)," ",""),":",": "))),0)),"Não encontrado")</f>
        <v>Não encontrado</v>
      </c>
      <c r="D364" s="46" t="str" cm="1">
        <f t="array" ref="D364">IFERROR(INDEX(#REF!,MATCH(TRUE,ISNUMBER(FIND(SUBSTITUTE(SUBSTITUTE(UPPER(#REF!)," ",""),":",": "),SUBSTITUTE(SUBSTITUTE(UPPER(S364)," ",""),":",": "))),0)),"Não encontrado")</f>
        <v>Não encontrado</v>
      </c>
      <c r="E364" s="42" t="str" cm="1">
        <f t="array" ref="E364">IFERROR(INDEX({"IMPEDITIVO"},MATCH(TRUE,ISNUMBER(FIND(SUBSTITUTE(SUBSTITUTE(UPPER({"IMPEDITIVO"})," ",""),":",": "),SUBSTITUTE(SUBSTITUTE(UPPER(S364)," ",""),":",": "))),0)),"-")</f>
        <v>-</v>
      </c>
      <c r="K364" s="49"/>
    </row>
    <row r="365" spans="1:11" x14ac:dyDescent="0.25">
      <c r="A365" s="46" t="str" cm="1">
        <f t="array" ref="A365">IFERROR(INDEX(#REF!,MATCH(TRUE,ISNUMBER(FIND(SUBSTITUTE(SUBSTITUTE(UPPER(#REF!)," ",""),":",": "),SUBSTITUTE(SUBSTITUTE(UPPER(S365)," ",""),":",": "))),0)),"Undefined")</f>
        <v>Undefined</v>
      </c>
      <c r="B365" s="42" t="str" cm="1">
        <f t="array" ref="B365">IFERROR(INDEX({"URGENTE"},MATCH(TRUE,ISNUMBER(FIND(SUBSTITUTE(SUBSTITUTE(UPPER({"URGENTE"})," ",""),":",": "),SUBSTITUTE(SUBSTITUTE(UPPER(S365)," ",""),":",": "))),0)),"-")</f>
        <v>-</v>
      </c>
      <c r="C365" s="46" t="str" cm="1">
        <f t="array" ref="C365">IFERROR(INDEX(#REF!,MATCH(TRUE,ISNUMBER(FIND(SUBSTITUTE(SUBSTITUTE(UPPER(#REF!)," ",""),":",": "),SUBSTITUTE(SUBSTITUTE(UPPER(S365)," ",""),":",": "))),0)),"Não encontrado")</f>
        <v>Não encontrado</v>
      </c>
      <c r="D365" s="46" t="str" cm="1">
        <f t="array" ref="D365">IFERROR(INDEX(#REF!,MATCH(TRUE,ISNUMBER(FIND(SUBSTITUTE(SUBSTITUTE(UPPER(#REF!)," ",""),":",": "),SUBSTITUTE(SUBSTITUTE(UPPER(S365)," ",""),":",": "))),0)),"Não encontrado")</f>
        <v>Não encontrado</v>
      </c>
      <c r="E365" s="42" t="str" cm="1">
        <f t="array" ref="E365">IFERROR(INDEX({"IMPEDITIVO"},MATCH(TRUE,ISNUMBER(FIND(SUBSTITUTE(SUBSTITUTE(UPPER({"IMPEDITIVO"})," ",""),":",": "),SUBSTITUTE(SUBSTITUTE(UPPER(S365)," ",""),":",": "))),0)),"-")</f>
        <v>-</v>
      </c>
      <c r="K365" s="49"/>
    </row>
    <row r="366" spans="1:11" x14ac:dyDescent="0.25">
      <c r="A366" s="46" t="str" cm="1">
        <f t="array" ref="A366">IFERROR(INDEX(#REF!,MATCH(TRUE,ISNUMBER(FIND(SUBSTITUTE(SUBSTITUTE(UPPER(#REF!)," ",""),":",": "),SUBSTITUTE(SUBSTITUTE(UPPER(S366)," ",""),":",": "))),0)),"Undefined")</f>
        <v>Undefined</v>
      </c>
      <c r="B366" s="42" t="str" cm="1">
        <f t="array" ref="B366">IFERROR(INDEX({"URGENTE"},MATCH(TRUE,ISNUMBER(FIND(SUBSTITUTE(SUBSTITUTE(UPPER({"URGENTE"})," ",""),":",": "),SUBSTITUTE(SUBSTITUTE(UPPER(S366)," ",""),":",": "))),0)),"-")</f>
        <v>-</v>
      </c>
      <c r="C366" s="46" t="str" cm="1">
        <f t="array" ref="C366">IFERROR(INDEX(#REF!,MATCH(TRUE,ISNUMBER(FIND(SUBSTITUTE(SUBSTITUTE(UPPER(#REF!)," ",""),":",": "),SUBSTITUTE(SUBSTITUTE(UPPER(S366)," ",""),":",": "))),0)),"Não encontrado")</f>
        <v>Não encontrado</v>
      </c>
      <c r="D366" s="46" t="str" cm="1">
        <f t="array" ref="D366">IFERROR(INDEX(#REF!,MATCH(TRUE,ISNUMBER(FIND(SUBSTITUTE(SUBSTITUTE(UPPER(#REF!)," ",""),":",": "),SUBSTITUTE(SUBSTITUTE(UPPER(S366)," ",""),":",": "))),0)),"Não encontrado")</f>
        <v>Não encontrado</v>
      </c>
      <c r="E366" s="42" t="str" cm="1">
        <f t="array" ref="E366">IFERROR(INDEX({"IMPEDITIVO"},MATCH(TRUE,ISNUMBER(FIND(SUBSTITUTE(SUBSTITUTE(UPPER({"IMPEDITIVO"})," ",""),":",": "),SUBSTITUTE(SUBSTITUTE(UPPER(S366)," ",""),":",": "))),0)),"-")</f>
        <v>-</v>
      </c>
      <c r="K366" s="49"/>
    </row>
    <row r="367" spans="1:11" x14ac:dyDescent="0.25">
      <c r="A367" s="46" t="str" cm="1">
        <f t="array" ref="A367">IFERROR(INDEX(#REF!,MATCH(TRUE,ISNUMBER(FIND(SUBSTITUTE(SUBSTITUTE(UPPER(#REF!)," ",""),":",": "),SUBSTITUTE(SUBSTITUTE(UPPER(S367)," ",""),":",": "))),0)),"Undefined")</f>
        <v>Undefined</v>
      </c>
      <c r="B367" s="42" t="str" cm="1">
        <f t="array" ref="B367">IFERROR(INDEX({"URGENTE"},MATCH(TRUE,ISNUMBER(FIND(SUBSTITUTE(SUBSTITUTE(UPPER({"URGENTE"})," ",""),":",": "),SUBSTITUTE(SUBSTITUTE(UPPER(S367)," ",""),":",": "))),0)),"-")</f>
        <v>-</v>
      </c>
      <c r="C367" s="46" t="str" cm="1">
        <f t="array" ref="C367">IFERROR(INDEX(#REF!,MATCH(TRUE,ISNUMBER(FIND(SUBSTITUTE(SUBSTITUTE(UPPER(#REF!)," ",""),":",": "),SUBSTITUTE(SUBSTITUTE(UPPER(S367)," ",""),":",": "))),0)),"Não encontrado")</f>
        <v>Não encontrado</v>
      </c>
      <c r="D367" s="46" t="str" cm="1">
        <f t="array" ref="D367">IFERROR(INDEX(#REF!,MATCH(TRUE,ISNUMBER(FIND(SUBSTITUTE(SUBSTITUTE(UPPER(#REF!)," ",""),":",": "),SUBSTITUTE(SUBSTITUTE(UPPER(S367)," ",""),":",": "))),0)),"Não encontrado")</f>
        <v>Não encontrado</v>
      </c>
      <c r="E367" s="42" t="str" cm="1">
        <f t="array" ref="E367">IFERROR(INDEX({"IMPEDITIVO"},MATCH(TRUE,ISNUMBER(FIND(SUBSTITUTE(SUBSTITUTE(UPPER({"IMPEDITIVO"})," ",""),":",": "),SUBSTITUTE(SUBSTITUTE(UPPER(S367)," ",""),":",": "))),0)),"-")</f>
        <v>-</v>
      </c>
      <c r="K367" s="49"/>
    </row>
    <row r="368" spans="1:11" x14ac:dyDescent="0.25">
      <c r="A368" s="46" t="str" cm="1">
        <f t="array" ref="A368">IFERROR(INDEX(#REF!,MATCH(TRUE,ISNUMBER(FIND(SUBSTITUTE(SUBSTITUTE(UPPER(#REF!)," ",""),":",": "),SUBSTITUTE(SUBSTITUTE(UPPER(S368)," ",""),":",": "))),0)),"Undefined")</f>
        <v>Undefined</v>
      </c>
      <c r="B368" s="42" t="str" cm="1">
        <f t="array" ref="B368">IFERROR(INDEX({"URGENTE"},MATCH(TRUE,ISNUMBER(FIND(SUBSTITUTE(SUBSTITUTE(UPPER({"URGENTE"})," ",""),":",": "),SUBSTITUTE(SUBSTITUTE(UPPER(S368)," ",""),":",": "))),0)),"-")</f>
        <v>-</v>
      </c>
      <c r="C368" s="46" t="str" cm="1">
        <f t="array" ref="C368">IFERROR(INDEX(#REF!,MATCH(TRUE,ISNUMBER(FIND(SUBSTITUTE(SUBSTITUTE(UPPER(#REF!)," ",""),":",": "),SUBSTITUTE(SUBSTITUTE(UPPER(S368)," ",""),":",": "))),0)),"Não encontrado")</f>
        <v>Não encontrado</v>
      </c>
      <c r="D368" s="46" t="str" cm="1">
        <f t="array" ref="D368">IFERROR(INDEX(#REF!,MATCH(TRUE,ISNUMBER(FIND(SUBSTITUTE(SUBSTITUTE(UPPER(#REF!)," ",""),":",": "),SUBSTITUTE(SUBSTITUTE(UPPER(S368)," ",""),":",": "))),0)),"Não encontrado")</f>
        <v>Não encontrado</v>
      </c>
      <c r="E368" s="42" t="str" cm="1">
        <f t="array" ref="E368">IFERROR(INDEX({"IMPEDITIVO"},MATCH(TRUE,ISNUMBER(FIND(SUBSTITUTE(SUBSTITUTE(UPPER({"IMPEDITIVO"})," ",""),":",": "),SUBSTITUTE(SUBSTITUTE(UPPER(S368)," ",""),":",": "))),0)),"-")</f>
        <v>-</v>
      </c>
      <c r="K368" s="49"/>
    </row>
    <row r="369" spans="1:11" x14ac:dyDescent="0.25">
      <c r="A369" s="46" t="str" cm="1">
        <f t="array" ref="A369">IFERROR(INDEX(#REF!,MATCH(TRUE,ISNUMBER(FIND(SUBSTITUTE(SUBSTITUTE(UPPER(#REF!)," ",""),":",": "),SUBSTITUTE(SUBSTITUTE(UPPER(S369)," ",""),":",": "))),0)),"Undefined")</f>
        <v>Undefined</v>
      </c>
      <c r="B369" s="42" t="str" cm="1">
        <f t="array" ref="B369">IFERROR(INDEX({"URGENTE"},MATCH(TRUE,ISNUMBER(FIND(SUBSTITUTE(SUBSTITUTE(UPPER({"URGENTE"})," ",""),":",": "),SUBSTITUTE(SUBSTITUTE(UPPER(S369)," ",""),":",": "))),0)),"-")</f>
        <v>-</v>
      </c>
      <c r="C369" s="46" t="str" cm="1">
        <f t="array" ref="C369">IFERROR(INDEX(#REF!,MATCH(TRUE,ISNUMBER(FIND(SUBSTITUTE(SUBSTITUTE(UPPER(#REF!)," ",""),":",": "),SUBSTITUTE(SUBSTITUTE(UPPER(S369)," ",""),":",": "))),0)),"Não encontrado")</f>
        <v>Não encontrado</v>
      </c>
      <c r="D369" s="46" t="str" cm="1">
        <f t="array" ref="D369">IFERROR(INDEX(#REF!,MATCH(TRUE,ISNUMBER(FIND(SUBSTITUTE(SUBSTITUTE(UPPER(#REF!)," ",""),":",": "),SUBSTITUTE(SUBSTITUTE(UPPER(S369)," ",""),":",": "))),0)),"Não encontrado")</f>
        <v>Não encontrado</v>
      </c>
      <c r="E369" s="42" t="str" cm="1">
        <f t="array" ref="E369">IFERROR(INDEX({"IMPEDITIVO"},MATCH(TRUE,ISNUMBER(FIND(SUBSTITUTE(SUBSTITUTE(UPPER({"IMPEDITIVO"})," ",""),":",": "),SUBSTITUTE(SUBSTITUTE(UPPER(S369)," ",""),":",": "))),0)),"-")</f>
        <v>-</v>
      </c>
      <c r="K369" s="49"/>
    </row>
    <row r="370" spans="1:11" x14ac:dyDescent="0.25">
      <c r="A370" s="46" t="str" cm="1">
        <f t="array" ref="A370">IFERROR(INDEX(#REF!,MATCH(TRUE,ISNUMBER(FIND(SUBSTITUTE(SUBSTITUTE(UPPER(#REF!)," ",""),":",": "),SUBSTITUTE(SUBSTITUTE(UPPER(S370)," ",""),":",": "))),0)),"Undefined")</f>
        <v>Undefined</v>
      </c>
      <c r="B370" s="42" t="str" cm="1">
        <f t="array" ref="B370">IFERROR(INDEX({"URGENTE"},MATCH(TRUE,ISNUMBER(FIND(SUBSTITUTE(SUBSTITUTE(UPPER({"URGENTE"})," ",""),":",": "),SUBSTITUTE(SUBSTITUTE(UPPER(S370)," ",""),":",": "))),0)),"-")</f>
        <v>-</v>
      </c>
      <c r="C370" s="46" t="str" cm="1">
        <f t="array" ref="C370">IFERROR(INDEX(#REF!,MATCH(TRUE,ISNUMBER(FIND(SUBSTITUTE(SUBSTITUTE(UPPER(#REF!)," ",""),":",": "),SUBSTITUTE(SUBSTITUTE(UPPER(S370)," ",""),":",": "))),0)),"Não encontrado")</f>
        <v>Não encontrado</v>
      </c>
      <c r="D370" s="46" t="str" cm="1">
        <f t="array" ref="D370">IFERROR(INDEX(#REF!,MATCH(TRUE,ISNUMBER(FIND(SUBSTITUTE(SUBSTITUTE(UPPER(#REF!)," ",""),":",": "),SUBSTITUTE(SUBSTITUTE(UPPER(S370)," ",""),":",": "))),0)),"Não encontrado")</f>
        <v>Não encontrado</v>
      </c>
      <c r="E370" s="42" t="str" cm="1">
        <f t="array" ref="E370">IFERROR(INDEX({"IMPEDITIVO"},MATCH(TRUE,ISNUMBER(FIND(SUBSTITUTE(SUBSTITUTE(UPPER({"IMPEDITIVO"})," ",""),":",": "),SUBSTITUTE(SUBSTITUTE(UPPER(S370)," ",""),":",": "))),0)),"-")</f>
        <v>-</v>
      </c>
      <c r="K370" s="49"/>
    </row>
    <row r="371" spans="1:11" x14ac:dyDescent="0.25">
      <c r="A371" s="46" t="str" cm="1">
        <f t="array" ref="A371">IFERROR(INDEX(#REF!,MATCH(TRUE,ISNUMBER(FIND(SUBSTITUTE(SUBSTITUTE(UPPER(#REF!)," ",""),":",": "),SUBSTITUTE(SUBSTITUTE(UPPER(S371)," ",""),":",": "))),0)),"Undefined")</f>
        <v>Undefined</v>
      </c>
      <c r="B371" s="42" t="str" cm="1">
        <f t="array" ref="B371">IFERROR(INDEX({"URGENTE"},MATCH(TRUE,ISNUMBER(FIND(SUBSTITUTE(SUBSTITUTE(UPPER({"URGENTE"})," ",""),":",": "),SUBSTITUTE(SUBSTITUTE(UPPER(S371)," ",""),":",": "))),0)),"-")</f>
        <v>-</v>
      </c>
      <c r="C371" s="46" t="str" cm="1">
        <f t="array" ref="C371">IFERROR(INDEX(#REF!,MATCH(TRUE,ISNUMBER(FIND(SUBSTITUTE(SUBSTITUTE(UPPER(#REF!)," ",""),":",": "),SUBSTITUTE(SUBSTITUTE(UPPER(S371)," ",""),":",": "))),0)),"Não encontrado")</f>
        <v>Não encontrado</v>
      </c>
      <c r="D371" s="46" t="str" cm="1">
        <f t="array" ref="D371">IFERROR(INDEX(#REF!,MATCH(TRUE,ISNUMBER(FIND(SUBSTITUTE(SUBSTITUTE(UPPER(#REF!)," ",""),":",": "),SUBSTITUTE(SUBSTITUTE(UPPER(S371)," ",""),":",": "))),0)),"Não encontrado")</f>
        <v>Não encontrado</v>
      </c>
      <c r="E371" s="42" t="str" cm="1">
        <f t="array" ref="E371">IFERROR(INDEX({"IMPEDITIVO"},MATCH(TRUE,ISNUMBER(FIND(SUBSTITUTE(SUBSTITUTE(UPPER({"IMPEDITIVO"})," ",""),":",": "),SUBSTITUTE(SUBSTITUTE(UPPER(S371)," ",""),":",": "))),0)),"-")</f>
        <v>-</v>
      </c>
      <c r="K371" s="49"/>
    </row>
    <row r="372" spans="1:11" x14ac:dyDescent="0.25">
      <c r="A372" s="46" t="str" cm="1">
        <f t="array" ref="A372">IFERROR(INDEX(#REF!,MATCH(TRUE,ISNUMBER(FIND(SUBSTITUTE(SUBSTITUTE(UPPER(#REF!)," ",""),":",": "),SUBSTITUTE(SUBSTITUTE(UPPER(S372)," ",""),":",": "))),0)),"Undefined")</f>
        <v>Undefined</v>
      </c>
      <c r="B372" s="42" t="str" cm="1">
        <f t="array" ref="B372">IFERROR(INDEX({"URGENTE"},MATCH(TRUE,ISNUMBER(FIND(SUBSTITUTE(SUBSTITUTE(UPPER({"URGENTE"})," ",""),":",": "),SUBSTITUTE(SUBSTITUTE(UPPER(S372)," ",""),":",": "))),0)),"-")</f>
        <v>-</v>
      </c>
      <c r="C372" s="46" t="str" cm="1">
        <f t="array" ref="C372">IFERROR(INDEX(#REF!,MATCH(TRUE,ISNUMBER(FIND(SUBSTITUTE(SUBSTITUTE(UPPER(#REF!)," ",""),":",": "),SUBSTITUTE(SUBSTITUTE(UPPER(S372)," ",""),":",": "))),0)),"Não encontrado")</f>
        <v>Não encontrado</v>
      </c>
      <c r="D372" s="46" t="str" cm="1">
        <f t="array" ref="D372">IFERROR(INDEX(#REF!,MATCH(TRUE,ISNUMBER(FIND(SUBSTITUTE(SUBSTITUTE(UPPER(#REF!)," ",""),":",": "),SUBSTITUTE(SUBSTITUTE(UPPER(S372)," ",""),":",": "))),0)),"Não encontrado")</f>
        <v>Não encontrado</v>
      </c>
      <c r="E372" s="42" t="str" cm="1">
        <f t="array" ref="E372">IFERROR(INDEX({"IMPEDITIVO"},MATCH(TRUE,ISNUMBER(FIND(SUBSTITUTE(SUBSTITUTE(UPPER({"IMPEDITIVO"})," ",""),":",": "),SUBSTITUTE(SUBSTITUTE(UPPER(S372)," ",""),":",": "))),0)),"-")</f>
        <v>-</v>
      </c>
      <c r="K372" s="49"/>
    </row>
    <row r="373" spans="1:11" x14ac:dyDescent="0.25">
      <c r="A373" s="46" t="str" cm="1">
        <f t="array" ref="A373">IFERROR(INDEX(#REF!,MATCH(TRUE,ISNUMBER(FIND(SUBSTITUTE(SUBSTITUTE(UPPER(#REF!)," ",""),":",": "),SUBSTITUTE(SUBSTITUTE(UPPER(S373)," ",""),":",": "))),0)),"Undefined")</f>
        <v>Undefined</v>
      </c>
      <c r="B373" s="42" t="str" cm="1">
        <f t="array" ref="B373">IFERROR(INDEX({"URGENTE"},MATCH(TRUE,ISNUMBER(FIND(SUBSTITUTE(SUBSTITUTE(UPPER({"URGENTE"})," ",""),":",": "),SUBSTITUTE(SUBSTITUTE(UPPER(S373)," ",""),":",": "))),0)),"-")</f>
        <v>-</v>
      </c>
      <c r="C373" s="46" t="str" cm="1">
        <f t="array" ref="C373">IFERROR(INDEX(#REF!,MATCH(TRUE,ISNUMBER(FIND(SUBSTITUTE(SUBSTITUTE(UPPER(#REF!)," ",""),":",": "),SUBSTITUTE(SUBSTITUTE(UPPER(S373)," ",""),":",": "))),0)),"Não encontrado")</f>
        <v>Não encontrado</v>
      </c>
      <c r="D373" s="46" t="str" cm="1">
        <f t="array" ref="D373">IFERROR(INDEX(#REF!,MATCH(TRUE,ISNUMBER(FIND(SUBSTITUTE(SUBSTITUTE(UPPER(#REF!)," ",""),":",": "),SUBSTITUTE(SUBSTITUTE(UPPER(S373)," ",""),":",": "))),0)),"Não encontrado")</f>
        <v>Não encontrado</v>
      </c>
      <c r="E373" s="42" t="str" cm="1">
        <f t="array" ref="E373">IFERROR(INDEX({"IMPEDITIVO"},MATCH(TRUE,ISNUMBER(FIND(SUBSTITUTE(SUBSTITUTE(UPPER({"IMPEDITIVO"})," ",""),":",": "),SUBSTITUTE(SUBSTITUTE(UPPER(S373)," ",""),":",": "))),0)),"-")</f>
        <v>-</v>
      </c>
      <c r="K373" s="49"/>
    </row>
    <row r="374" spans="1:11" x14ac:dyDescent="0.25">
      <c r="A374" s="46" t="str" cm="1">
        <f t="array" ref="A374">IFERROR(INDEX(#REF!,MATCH(TRUE,ISNUMBER(FIND(SUBSTITUTE(SUBSTITUTE(UPPER(#REF!)," ",""),":",": "),SUBSTITUTE(SUBSTITUTE(UPPER(S374)," ",""),":",": "))),0)),"Undefined")</f>
        <v>Undefined</v>
      </c>
      <c r="B374" s="42" t="str" cm="1">
        <f t="array" ref="B374">IFERROR(INDEX({"URGENTE"},MATCH(TRUE,ISNUMBER(FIND(SUBSTITUTE(SUBSTITUTE(UPPER({"URGENTE"})," ",""),":",": "),SUBSTITUTE(SUBSTITUTE(UPPER(S374)," ",""),":",": "))),0)),"-")</f>
        <v>-</v>
      </c>
      <c r="C374" s="46" t="str" cm="1">
        <f t="array" ref="C374">IFERROR(INDEX(#REF!,MATCH(TRUE,ISNUMBER(FIND(SUBSTITUTE(SUBSTITUTE(UPPER(#REF!)," ",""),":",": "),SUBSTITUTE(SUBSTITUTE(UPPER(S374)," ",""),":",": "))),0)),"Não encontrado")</f>
        <v>Não encontrado</v>
      </c>
      <c r="D374" s="46" t="str" cm="1">
        <f t="array" ref="D374">IFERROR(INDEX(#REF!,MATCH(TRUE,ISNUMBER(FIND(SUBSTITUTE(SUBSTITUTE(UPPER(#REF!)," ",""),":",": "),SUBSTITUTE(SUBSTITUTE(UPPER(S374)," ",""),":",": "))),0)),"Não encontrado")</f>
        <v>Não encontrado</v>
      </c>
      <c r="E374" s="42" t="str" cm="1">
        <f t="array" ref="E374">IFERROR(INDEX({"IMPEDITIVO"},MATCH(TRUE,ISNUMBER(FIND(SUBSTITUTE(SUBSTITUTE(UPPER({"IMPEDITIVO"})," ",""),":",": "),SUBSTITUTE(SUBSTITUTE(UPPER(S374)," ",""),":",": "))),0)),"-")</f>
        <v>-</v>
      </c>
      <c r="K374" s="49"/>
    </row>
    <row r="375" spans="1:11" x14ac:dyDescent="0.25">
      <c r="A375" s="46" t="str" cm="1">
        <f t="array" ref="A375">IFERROR(INDEX(#REF!,MATCH(TRUE,ISNUMBER(FIND(SUBSTITUTE(SUBSTITUTE(UPPER(#REF!)," ",""),":",": "),SUBSTITUTE(SUBSTITUTE(UPPER(S375)," ",""),":",": "))),0)),"Undefined")</f>
        <v>Undefined</v>
      </c>
      <c r="B375" s="42" t="str" cm="1">
        <f t="array" ref="B375">IFERROR(INDEX({"URGENTE"},MATCH(TRUE,ISNUMBER(FIND(SUBSTITUTE(SUBSTITUTE(UPPER({"URGENTE"})," ",""),":",": "),SUBSTITUTE(SUBSTITUTE(UPPER(S375)," ",""),":",": "))),0)),"-")</f>
        <v>-</v>
      </c>
      <c r="C375" s="46" t="str" cm="1">
        <f t="array" ref="C375">IFERROR(INDEX(#REF!,MATCH(TRUE,ISNUMBER(FIND(SUBSTITUTE(SUBSTITUTE(UPPER(#REF!)," ",""),":",": "),SUBSTITUTE(SUBSTITUTE(UPPER(S375)," ",""),":",": "))),0)),"Não encontrado")</f>
        <v>Não encontrado</v>
      </c>
      <c r="D375" s="46" t="str" cm="1">
        <f t="array" ref="D375">IFERROR(INDEX(#REF!,MATCH(TRUE,ISNUMBER(FIND(SUBSTITUTE(SUBSTITUTE(UPPER(#REF!)," ",""),":",": "),SUBSTITUTE(SUBSTITUTE(UPPER(S375)," ",""),":",": "))),0)),"Não encontrado")</f>
        <v>Não encontrado</v>
      </c>
      <c r="E375" s="42" t="str" cm="1">
        <f t="array" ref="E375">IFERROR(INDEX({"IMPEDITIVO"},MATCH(TRUE,ISNUMBER(FIND(SUBSTITUTE(SUBSTITUTE(UPPER({"IMPEDITIVO"})," ",""),":",": "),SUBSTITUTE(SUBSTITUTE(UPPER(S375)," ",""),":",": "))),0)),"-")</f>
        <v>-</v>
      </c>
      <c r="K375" s="49"/>
    </row>
    <row r="376" spans="1:11" x14ac:dyDescent="0.25">
      <c r="A376" s="46" t="str" cm="1">
        <f t="array" ref="A376">IFERROR(INDEX(#REF!,MATCH(TRUE,ISNUMBER(FIND(SUBSTITUTE(SUBSTITUTE(UPPER(#REF!)," ",""),":",": "),SUBSTITUTE(SUBSTITUTE(UPPER(S376)," ",""),":",": "))),0)),"Undefined")</f>
        <v>Undefined</v>
      </c>
      <c r="B376" s="42" t="str" cm="1">
        <f t="array" ref="B376">IFERROR(INDEX({"URGENTE"},MATCH(TRUE,ISNUMBER(FIND(SUBSTITUTE(SUBSTITUTE(UPPER({"URGENTE"})," ",""),":",": "),SUBSTITUTE(SUBSTITUTE(UPPER(S376)," ",""),":",": "))),0)),"-")</f>
        <v>-</v>
      </c>
      <c r="C376" s="46" t="str" cm="1">
        <f t="array" ref="C376">IFERROR(INDEX(#REF!,MATCH(TRUE,ISNUMBER(FIND(SUBSTITUTE(SUBSTITUTE(UPPER(#REF!)," ",""),":",": "),SUBSTITUTE(SUBSTITUTE(UPPER(S376)," ",""),":",": "))),0)),"Não encontrado")</f>
        <v>Não encontrado</v>
      </c>
      <c r="D376" s="46" t="str" cm="1">
        <f t="array" ref="D376">IFERROR(INDEX(#REF!,MATCH(TRUE,ISNUMBER(FIND(SUBSTITUTE(SUBSTITUTE(UPPER(#REF!)," ",""),":",": "),SUBSTITUTE(SUBSTITUTE(UPPER(S376)," ",""),":",": "))),0)),"Não encontrado")</f>
        <v>Não encontrado</v>
      </c>
      <c r="E376" s="42" t="str" cm="1">
        <f t="array" ref="E376">IFERROR(INDEX({"IMPEDITIVO"},MATCH(TRUE,ISNUMBER(FIND(SUBSTITUTE(SUBSTITUTE(UPPER({"IMPEDITIVO"})," ",""),":",": "),SUBSTITUTE(SUBSTITUTE(UPPER(S376)," ",""),":",": "))),0)),"-")</f>
        <v>-</v>
      </c>
      <c r="K376" s="49"/>
    </row>
    <row r="377" spans="1:11" x14ac:dyDescent="0.25">
      <c r="A377" s="46" t="str" cm="1">
        <f t="array" ref="A377">IFERROR(INDEX(#REF!,MATCH(TRUE,ISNUMBER(FIND(SUBSTITUTE(SUBSTITUTE(UPPER(#REF!)," ",""),":",": "),SUBSTITUTE(SUBSTITUTE(UPPER(S377)," ",""),":",": "))),0)),"Undefined")</f>
        <v>Undefined</v>
      </c>
      <c r="B377" s="42" t="str" cm="1">
        <f t="array" ref="B377">IFERROR(INDEX({"URGENTE"},MATCH(TRUE,ISNUMBER(FIND(SUBSTITUTE(SUBSTITUTE(UPPER({"URGENTE"})," ",""),":",": "),SUBSTITUTE(SUBSTITUTE(UPPER(S377)," ",""),":",": "))),0)),"-")</f>
        <v>-</v>
      </c>
      <c r="C377" s="46" t="str" cm="1">
        <f t="array" ref="C377">IFERROR(INDEX(#REF!,MATCH(TRUE,ISNUMBER(FIND(SUBSTITUTE(SUBSTITUTE(UPPER(#REF!)," ",""),":",": "),SUBSTITUTE(SUBSTITUTE(UPPER(S377)," ",""),":",": "))),0)),"Não encontrado")</f>
        <v>Não encontrado</v>
      </c>
      <c r="D377" s="46" t="str" cm="1">
        <f t="array" ref="D377">IFERROR(INDEX(#REF!,MATCH(TRUE,ISNUMBER(FIND(SUBSTITUTE(SUBSTITUTE(UPPER(#REF!)," ",""),":",": "),SUBSTITUTE(SUBSTITUTE(UPPER(S377)," ",""),":",": "))),0)),"Não encontrado")</f>
        <v>Não encontrado</v>
      </c>
      <c r="E377" s="42" t="str" cm="1">
        <f t="array" ref="E377">IFERROR(INDEX({"IMPEDITIVO"},MATCH(TRUE,ISNUMBER(FIND(SUBSTITUTE(SUBSTITUTE(UPPER({"IMPEDITIVO"})," ",""),":",": "),SUBSTITUTE(SUBSTITUTE(UPPER(S377)," ",""),":",": "))),0)),"-")</f>
        <v>-</v>
      </c>
      <c r="K377" s="49"/>
    </row>
    <row r="378" spans="1:11" x14ac:dyDescent="0.25">
      <c r="A378" s="46" t="str" cm="1">
        <f t="array" ref="A378">IFERROR(INDEX(#REF!,MATCH(TRUE,ISNUMBER(FIND(SUBSTITUTE(SUBSTITUTE(UPPER(#REF!)," ",""),":",": "),SUBSTITUTE(SUBSTITUTE(UPPER(S378)," ",""),":",": "))),0)),"Undefined")</f>
        <v>Undefined</v>
      </c>
      <c r="B378" s="42" t="str" cm="1">
        <f t="array" ref="B378">IFERROR(INDEX({"URGENTE"},MATCH(TRUE,ISNUMBER(FIND(SUBSTITUTE(SUBSTITUTE(UPPER({"URGENTE"})," ",""),":",": "),SUBSTITUTE(SUBSTITUTE(UPPER(S378)," ",""),":",": "))),0)),"-")</f>
        <v>-</v>
      </c>
      <c r="C378" s="46" t="str" cm="1">
        <f t="array" ref="C378">IFERROR(INDEX(#REF!,MATCH(TRUE,ISNUMBER(FIND(SUBSTITUTE(SUBSTITUTE(UPPER(#REF!)," ",""),":",": "),SUBSTITUTE(SUBSTITUTE(UPPER(S378)," ",""),":",": "))),0)),"Não encontrado")</f>
        <v>Não encontrado</v>
      </c>
      <c r="D378" s="46" t="str" cm="1">
        <f t="array" ref="D378">IFERROR(INDEX(#REF!,MATCH(TRUE,ISNUMBER(FIND(SUBSTITUTE(SUBSTITUTE(UPPER(#REF!)," ",""),":",": "),SUBSTITUTE(SUBSTITUTE(UPPER(S378)," ",""),":",": "))),0)),"Não encontrado")</f>
        <v>Não encontrado</v>
      </c>
      <c r="E378" s="42" t="str" cm="1">
        <f t="array" ref="E378">IFERROR(INDEX({"IMPEDITIVO"},MATCH(TRUE,ISNUMBER(FIND(SUBSTITUTE(SUBSTITUTE(UPPER({"IMPEDITIVO"})," ",""),":",": "),SUBSTITUTE(SUBSTITUTE(UPPER(S378)," ",""),":",": "))),0)),"-")</f>
        <v>-</v>
      </c>
      <c r="K378" s="49"/>
    </row>
    <row r="379" spans="1:11" x14ac:dyDescent="0.25">
      <c r="A379" s="46" t="str" cm="1">
        <f t="array" ref="A379">IFERROR(INDEX(#REF!,MATCH(TRUE,ISNUMBER(FIND(SUBSTITUTE(SUBSTITUTE(UPPER(#REF!)," ",""),":",": "),SUBSTITUTE(SUBSTITUTE(UPPER(S379)," ",""),":",": "))),0)),"Undefined")</f>
        <v>Undefined</v>
      </c>
      <c r="B379" s="42" t="str" cm="1">
        <f t="array" ref="B379">IFERROR(INDEX({"URGENTE"},MATCH(TRUE,ISNUMBER(FIND(SUBSTITUTE(SUBSTITUTE(UPPER({"URGENTE"})," ",""),":",": "),SUBSTITUTE(SUBSTITUTE(UPPER(S379)," ",""),":",": "))),0)),"-")</f>
        <v>-</v>
      </c>
      <c r="C379" s="46" t="str" cm="1">
        <f t="array" ref="C379">IFERROR(INDEX(#REF!,MATCH(TRUE,ISNUMBER(FIND(SUBSTITUTE(SUBSTITUTE(UPPER(#REF!)," ",""),":",": "),SUBSTITUTE(SUBSTITUTE(UPPER(S379)," ",""),":",": "))),0)),"Não encontrado")</f>
        <v>Não encontrado</v>
      </c>
      <c r="D379" s="46" t="str" cm="1">
        <f t="array" ref="D379">IFERROR(INDEX(#REF!,MATCH(TRUE,ISNUMBER(FIND(SUBSTITUTE(SUBSTITUTE(UPPER(#REF!)," ",""),":",": "),SUBSTITUTE(SUBSTITUTE(UPPER(S379)," ",""),":",": "))),0)),"Não encontrado")</f>
        <v>Não encontrado</v>
      </c>
      <c r="E379" s="42" t="str" cm="1">
        <f t="array" ref="E379">IFERROR(INDEX({"IMPEDITIVO"},MATCH(TRUE,ISNUMBER(FIND(SUBSTITUTE(SUBSTITUTE(UPPER({"IMPEDITIVO"})," ",""),":",": "),SUBSTITUTE(SUBSTITUTE(UPPER(S379)," ",""),":",": "))),0)),"-")</f>
        <v>-</v>
      </c>
      <c r="K379" s="49"/>
    </row>
    <row r="380" spans="1:11" x14ac:dyDescent="0.25">
      <c r="A380" s="46" t="str" cm="1">
        <f t="array" ref="A380">IFERROR(INDEX(#REF!,MATCH(TRUE,ISNUMBER(FIND(SUBSTITUTE(SUBSTITUTE(UPPER(#REF!)," ",""),":",": "),SUBSTITUTE(SUBSTITUTE(UPPER(S380)," ",""),":",": "))),0)),"Undefined")</f>
        <v>Undefined</v>
      </c>
      <c r="B380" s="42" t="str" cm="1">
        <f t="array" ref="B380">IFERROR(INDEX({"URGENTE"},MATCH(TRUE,ISNUMBER(FIND(SUBSTITUTE(SUBSTITUTE(UPPER({"URGENTE"})," ",""),":",": "),SUBSTITUTE(SUBSTITUTE(UPPER(S380)," ",""),":",": "))),0)),"-")</f>
        <v>-</v>
      </c>
      <c r="C380" s="46" t="str" cm="1">
        <f t="array" ref="C380">IFERROR(INDEX(#REF!,MATCH(TRUE,ISNUMBER(FIND(SUBSTITUTE(SUBSTITUTE(UPPER(#REF!)," ",""),":",": "),SUBSTITUTE(SUBSTITUTE(UPPER(S380)," ",""),":",": "))),0)),"Não encontrado")</f>
        <v>Não encontrado</v>
      </c>
      <c r="D380" s="46" t="str" cm="1">
        <f t="array" ref="D380">IFERROR(INDEX(#REF!,MATCH(TRUE,ISNUMBER(FIND(SUBSTITUTE(SUBSTITUTE(UPPER(#REF!)," ",""),":",": "),SUBSTITUTE(SUBSTITUTE(UPPER(S380)," ",""),":",": "))),0)),"Não encontrado")</f>
        <v>Não encontrado</v>
      </c>
      <c r="E380" s="42" t="str" cm="1">
        <f t="array" ref="E380">IFERROR(INDEX({"IMPEDITIVO"},MATCH(TRUE,ISNUMBER(FIND(SUBSTITUTE(SUBSTITUTE(UPPER({"IMPEDITIVO"})," ",""),":",": "),SUBSTITUTE(SUBSTITUTE(UPPER(S380)," ",""),":",": "))),0)),"-")</f>
        <v>-</v>
      </c>
      <c r="K380" s="49"/>
    </row>
    <row r="381" spans="1:11" x14ac:dyDescent="0.25">
      <c r="A381" s="46" t="str" cm="1">
        <f t="array" ref="A381">IFERROR(INDEX(#REF!,MATCH(TRUE,ISNUMBER(FIND(SUBSTITUTE(SUBSTITUTE(UPPER(#REF!)," ",""),":",": "),SUBSTITUTE(SUBSTITUTE(UPPER(S381)," ",""),":",": "))),0)),"Undefined")</f>
        <v>Undefined</v>
      </c>
      <c r="B381" s="42" t="str" cm="1">
        <f t="array" ref="B381">IFERROR(INDEX({"URGENTE"},MATCH(TRUE,ISNUMBER(FIND(SUBSTITUTE(SUBSTITUTE(UPPER({"URGENTE"})," ",""),":",": "),SUBSTITUTE(SUBSTITUTE(UPPER(S381)," ",""),":",": "))),0)),"-")</f>
        <v>-</v>
      </c>
      <c r="C381" s="46" t="str" cm="1">
        <f t="array" ref="C381">IFERROR(INDEX(#REF!,MATCH(TRUE,ISNUMBER(FIND(SUBSTITUTE(SUBSTITUTE(UPPER(#REF!)," ",""),":",": "),SUBSTITUTE(SUBSTITUTE(UPPER(S381)," ",""),":",": "))),0)),"Não encontrado")</f>
        <v>Não encontrado</v>
      </c>
      <c r="D381" s="46" t="str" cm="1">
        <f t="array" ref="D381">IFERROR(INDEX(#REF!,MATCH(TRUE,ISNUMBER(FIND(SUBSTITUTE(SUBSTITUTE(UPPER(#REF!)," ",""),":",": "),SUBSTITUTE(SUBSTITUTE(UPPER(S381)," ",""),":",": "))),0)),"Não encontrado")</f>
        <v>Não encontrado</v>
      </c>
      <c r="E381" s="42" t="str" cm="1">
        <f t="array" ref="E381">IFERROR(INDEX({"IMPEDITIVO"},MATCH(TRUE,ISNUMBER(FIND(SUBSTITUTE(SUBSTITUTE(UPPER({"IMPEDITIVO"})," ",""),":",": "),SUBSTITUTE(SUBSTITUTE(UPPER(S381)," ",""),":",": "))),0)),"-")</f>
        <v>-</v>
      </c>
      <c r="K381" s="49"/>
    </row>
    <row r="382" spans="1:11" x14ac:dyDescent="0.25">
      <c r="A382" s="46" t="str" cm="1">
        <f t="array" ref="A382">IFERROR(INDEX(#REF!,MATCH(TRUE,ISNUMBER(FIND(SUBSTITUTE(SUBSTITUTE(UPPER(#REF!)," ",""),":",": "),SUBSTITUTE(SUBSTITUTE(UPPER(S382)," ",""),":",": "))),0)),"Undefined")</f>
        <v>Undefined</v>
      </c>
      <c r="B382" s="42" t="str" cm="1">
        <f t="array" ref="B382">IFERROR(INDEX({"URGENTE"},MATCH(TRUE,ISNUMBER(FIND(SUBSTITUTE(SUBSTITUTE(UPPER({"URGENTE"})," ",""),":",": "),SUBSTITUTE(SUBSTITUTE(UPPER(S382)," ",""),":",": "))),0)),"-")</f>
        <v>-</v>
      </c>
      <c r="C382" s="46" t="str" cm="1">
        <f t="array" ref="C382">IFERROR(INDEX(#REF!,MATCH(TRUE,ISNUMBER(FIND(SUBSTITUTE(SUBSTITUTE(UPPER(#REF!)," ",""),":",": "),SUBSTITUTE(SUBSTITUTE(UPPER(S382)," ",""),":",": "))),0)),"Não encontrado")</f>
        <v>Não encontrado</v>
      </c>
      <c r="D382" s="46" t="str" cm="1">
        <f t="array" ref="D382">IFERROR(INDEX(#REF!,MATCH(TRUE,ISNUMBER(FIND(SUBSTITUTE(SUBSTITUTE(UPPER(#REF!)," ",""),":",": "),SUBSTITUTE(SUBSTITUTE(UPPER(S382)," ",""),":",": "))),0)),"Não encontrado")</f>
        <v>Não encontrado</v>
      </c>
      <c r="E382" s="42" t="str" cm="1">
        <f t="array" ref="E382">IFERROR(INDEX({"IMPEDITIVO"},MATCH(TRUE,ISNUMBER(FIND(SUBSTITUTE(SUBSTITUTE(UPPER({"IMPEDITIVO"})," ",""),":",": "),SUBSTITUTE(SUBSTITUTE(UPPER(S382)," ",""),":",": "))),0)),"-")</f>
        <v>-</v>
      </c>
      <c r="K382" s="49"/>
    </row>
    <row r="383" spans="1:11" x14ac:dyDescent="0.25">
      <c r="A383" s="46" t="str" cm="1">
        <f t="array" ref="A383">IFERROR(INDEX(#REF!,MATCH(TRUE,ISNUMBER(FIND(SUBSTITUTE(SUBSTITUTE(UPPER(#REF!)," ",""),":",": "),SUBSTITUTE(SUBSTITUTE(UPPER(S383)," ",""),":",": "))),0)),"Undefined")</f>
        <v>Undefined</v>
      </c>
      <c r="B383" s="42" t="str" cm="1">
        <f t="array" ref="B383">IFERROR(INDEX({"URGENTE"},MATCH(TRUE,ISNUMBER(FIND(SUBSTITUTE(SUBSTITUTE(UPPER({"URGENTE"})," ",""),":",": "),SUBSTITUTE(SUBSTITUTE(UPPER(S383)," ",""),":",": "))),0)),"-")</f>
        <v>-</v>
      </c>
      <c r="C383" s="46" t="str" cm="1">
        <f t="array" ref="C383">IFERROR(INDEX(#REF!,MATCH(TRUE,ISNUMBER(FIND(SUBSTITUTE(SUBSTITUTE(UPPER(#REF!)," ",""),":",": "),SUBSTITUTE(SUBSTITUTE(UPPER(S383)," ",""),":",": "))),0)),"Não encontrado")</f>
        <v>Não encontrado</v>
      </c>
      <c r="D383" s="46" t="str" cm="1">
        <f t="array" ref="D383">IFERROR(INDEX(#REF!,MATCH(TRUE,ISNUMBER(FIND(SUBSTITUTE(SUBSTITUTE(UPPER(#REF!)," ",""),":",": "),SUBSTITUTE(SUBSTITUTE(UPPER(S383)," ",""),":",": "))),0)),"Não encontrado")</f>
        <v>Não encontrado</v>
      </c>
      <c r="E383" s="42" t="str" cm="1">
        <f t="array" ref="E383">IFERROR(INDEX({"IMPEDITIVO"},MATCH(TRUE,ISNUMBER(FIND(SUBSTITUTE(SUBSTITUTE(UPPER({"IMPEDITIVO"})," ",""),":",": "),SUBSTITUTE(SUBSTITUTE(UPPER(S383)," ",""),":",": "))),0)),"-")</f>
        <v>-</v>
      </c>
      <c r="K383" s="49"/>
    </row>
    <row r="384" spans="1:11" x14ac:dyDescent="0.25">
      <c r="A384" s="46" t="str" cm="1">
        <f t="array" ref="A384">IFERROR(INDEX(#REF!,MATCH(TRUE,ISNUMBER(FIND(SUBSTITUTE(SUBSTITUTE(UPPER(#REF!)," ",""),":",": "),SUBSTITUTE(SUBSTITUTE(UPPER(S384)," ",""),":",": "))),0)),"Undefined")</f>
        <v>Undefined</v>
      </c>
      <c r="B384" s="42" t="str" cm="1">
        <f t="array" ref="B384">IFERROR(INDEX({"URGENTE"},MATCH(TRUE,ISNUMBER(FIND(SUBSTITUTE(SUBSTITUTE(UPPER({"URGENTE"})," ",""),":",": "),SUBSTITUTE(SUBSTITUTE(UPPER(S384)," ",""),":",": "))),0)),"-")</f>
        <v>-</v>
      </c>
      <c r="C384" s="46" t="str" cm="1">
        <f t="array" ref="C384">IFERROR(INDEX(#REF!,MATCH(TRUE,ISNUMBER(FIND(SUBSTITUTE(SUBSTITUTE(UPPER(#REF!)," ",""),":",": "),SUBSTITUTE(SUBSTITUTE(UPPER(S384)," ",""),":",": "))),0)),"Não encontrado")</f>
        <v>Não encontrado</v>
      </c>
      <c r="D384" s="46" t="str" cm="1">
        <f t="array" ref="D384">IFERROR(INDEX(#REF!,MATCH(TRUE,ISNUMBER(FIND(SUBSTITUTE(SUBSTITUTE(UPPER(#REF!)," ",""),":",": "),SUBSTITUTE(SUBSTITUTE(UPPER(S384)," ",""),":",": "))),0)),"Não encontrado")</f>
        <v>Não encontrado</v>
      </c>
      <c r="E384" s="42" t="str" cm="1">
        <f t="array" ref="E384">IFERROR(INDEX({"IMPEDITIVO"},MATCH(TRUE,ISNUMBER(FIND(SUBSTITUTE(SUBSTITUTE(UPPER({"IMPEDITIVO"})," ",""),":",": "),SUBSTITUTE(SUBSTITUTE(UPPER(S384)," ",""),":",": "))),0)),"-")</f>
        <v>-</v>
      </c>
      <c r="K384" s="49"/>
    </row>
    <row r="385" spans="1:11" x14ac:dyDescent="0.25">
      <c r="A385" s="46" t="str" cm="1">
        <f t="array" ref="A385">IFERROR(INDEX(#REF!,MATCH(TRUE,ISNUMBER(FIND(SUBSTITUTE(SUBSTITUTE(UPPER(#REF!)," ",""),":",": "),SUBSTITUTE(SUBSTITUTE(UPPER(S385)," ",""),":",": "))),0)),"Undefined")</f>
        <v>Undefined</v>
      </c>
      <c r="B385" s="42" t="str" cm="1">
        <f t="array" ref="B385">IFERROR(INDEX({"URGENTE"},MATCH(TRUE,ISNUMBER(FIND(SUBSTITUTE(SUBSTITUTE(UPPER({"URGENTE"})," ",""),":",": "),SUBSTITUTE(SUBSTITUTE(UPPER(S385)," ",""),":",": "))),0)),"-")</f>
        <v>-</v>
      </c>
      <c r="C385" s="46" t="str" cm="1">
        <f t="array" ref="C385">IFERROR(INDEX(#REF!,MATCH(TRUE,ISNUMBER(FIND(SUBSTITUTE(SUBSTITUTE(UPPER(#REF!)," ",""),":",": "),SUBSTITUTE(SUBSTITUTE(UPPER(S385)," ",""),":",": "))),0)),"Não encontrado")</f>
        <v>Não encontrado</v>
      </c>
      <c r="D385" s="46" t="str" cm="1">
        <f t="array" ref="D385">IFERROR(INDEX(#REF!,MATCH(TRUE,ISNUMBER(FIND(SUBSTITUTE(SUBSTITUTE(UPPER(#REF!)," ",""),":",": "),SUBSTITUTE(SUBSTITUTE(UPPER(S385)," ",""),":",": "))),0)),"Não encontrado")</f>
        <v>Não encontrado</v>
      </c>
      <c r="E385" s="42" t="str" cm="1">
        <f t="array" ref="E385">IFERROR(INDEX({"IMPEDITIVO"},MATCH(TRUE,ISNUMBER(FIND(SUBSTITUTE(SUBSTITUTE(UPPER({"IMPEDITIVO"})," ",""),":",": "),SUBSTITUTE(SUBSTITUTE(UPPER(S385)," ",""),":",": "))),0)),"-")</f>
        <v>-</v>
      </c>
      <c r="K385" s="49"/>
    </row>
    <row r="386" spans="1:11" x14ac:dyDescent="0.25">
      <c r="A386" s="46" t="str" cm="1">
        <f t="array" ref="A386">IFERROR(INDEX(#REF!,MATCH(TRUE,ISNUMBER(FIND(SUBSTITUTE(SUBSTITUTE(UPPER(#REF!)," ",""),":",": "),SUBSTITUTE(SUBSTITUTE(UPPER(S386)," ",""),":",": "))),0)),"Undefined")</f>
        <v>Undefined</v>
      </c>
      <c r="B386" s="42" t="str" cm="1">
        <f t="array" ref="B386">IFERROR(INDEX({"URGENTE"},MATCH(TRUE,ISNUMBER(FIND(SUBSTITUTE(SUBSTITUTE(UPPER({"URGENTE"})," ",""),":",": "),SUBSTITUTE(SUBSTITUTE(UPPER(S386)," ",""),":",": "))),0)),"-")</f>
        <v>-</v>
      </c>
      <c r="C386" s="46" t="str" cm="1">
        <f t="array" ref="C386">IFERROR(INDEX(#REF!,MATCH(TRUE,ISNUMBER(FIND(SUBSTITUTE(SUBSTITUTE(UPPER(#REF!)," ",""),":",": "),SUBSTITUTE(SUBSTITUTE(UPPER(S386)," ",""),":",": "))),0)),"Não encontrado")</f>
        <v>Não encontrado</v>
      </c>
      <c r="D386" s="46" t="str" cm="1">
        <f t="array" ref="D386">IFERROR(INDEX(#REF!,MATCH(TRUE,ISNUMBER(FIND(SUBSTITUTE(SUBSTITUTE(UPPER(#REF!)," ",""),":",": "),SUBSTITUTE(SUBSTITUTE(UPPER(S386)," ",""),":",": "))),0)),"Não encontrado")</f>
        <v>Não encontrado</v>
      </c>
      <c r="E386" s="42" t="str" cm="1">
        <f t="array" ref="E386">IFERROR(INDEX({"IMPEDITIVO"},MATCH(TRUE,ISNUMBER(FIND(SUBSTITUTE(SUBSTITUTE(UPPER({"IMPEDITIVO"})," ",""),":",": "),SUBSTITUTE(SUBSTITUTE(UPPER(S386)," ",""),":",": "))),0)),"-")</f>
        <v>-</v>
      </c>
      <c r="K386" s="49"/>
    </row>
    <row r="387" spans="1:11" x14ac:dyDescent="0.25">
      <c r="A387" s="46" t="str" cm="1">
        <f t="array" ref="A387">IFERROR(INDEX(#REF!,MATCH(TRUE,ISNUMBER(FIND(SUBSTITUTE(SUBSTITUTE(UPPER(#REF!)," ",""),":",": "),SUBSTITUTE(SUBSTITUTE(UPPER(S387)," ",""),":",": "))),0)),"Undefined")</f>
        <v>Undefined</v>
      </c>
      <c r="B387" s="42" t="str" cm="1">
        <f t="array" ref="B387">IFERROR(INDEX({"URGENTE"},MATCH(TRUE,ISNUMBER(FIND(SUBSTITUTE(SUBSTITUTE(UPPER({"URGENTE"})," ",""),":",": "),SUBSTITUTE(SUBSTITUTE(UPPER(S387)," ",""),":",": "))),0)),"-")</f>
        <v>-</v>
      </c>
      <c r="C387" s="46" t="str" cm="1">
        <f t="array" ref="C387">IFERROR(INDEX(#REF!,MATCH(TRUE,ISNUMBER(FIND(SUBSTITUTE(SUBSTITUTE(UPPER(#REF!)," ",""),":",": "),SUBSTITUTE(SUBSTITUTE(UPPER(S387)," ",""),":",": "))),0)),"Não encontrado")</f>
        <v>Não encontrado</v>
      </c>
      <c r="D387" s="46" t="str" cm="1">
        <f t="array" ref="D387">IFERROR(INDEX(#REF!,MATCH(TRUE,ISNUMBER(FIND(SUBSTITUTE(SUBSTITUTE(UPPER(#REF!)," ",""),":",": "),SUBSTITUTE(SUBSTITUTE(UPPER(S387)," ",""),":",": "))),0)),"Não encontrado")</f>
        <v>Não encontrado</v>
      </c>
      <c r="E387" s="42" t="str" cm="1">
        <f t="array" ref="E387">IFERROR(INDEX({"IMPEDITIVO"},MATCH(TRUE,ISNUMBER(FIND(SUBSTITUTE(SUBSTITUTE(UPPER({"IMPEDITIVO"})," ",""),":",": "),SUBSTITUTE(SUBSTITUTE(UPPER(S387)," ",""),":",": "))),0)),"-")</f>
        <v>-</v>
      </c>
      <c r="K387" s="49"/>
    </row>
    <row r="388" spans="1:11" x14ac:dyDescent="0.25">
      <c r="A388" s="46" t="str" cm="1">
        <f t="array" ref="A388">IFERROR(INDEX(#REF!,MATCH(TRUE,ISNUMBER(FIND(SUBSTITUTE(SUBSTITUTE(UPPER(#REF!)," ",""),":",": "),SUBSTITUTE(SUBSTITUTE(UPPER(S388)," ",""),":",": "))),0)),"Undefined")</f>
        <v>Undefined</v>
      </c>
      <c r="B388" s="42" t="str" cm="1">
        <f t="array" ref="B388">IFERROR(INDEX({"URGENTE"},MATCH(TRUE,ISNUMBER(FIND(SUBSTITUTE(SUBSTITUTE(UPPER({"URGENTE"})," ",""),":",": "),SUBSTITUTE(SUBSTITUTE(UPPER(S388)," ",""),":",": "))),0)),"-")</f>
        <v>-</v>
      </c>
      <c r="C388" s="46" t="str" cm="1">
        <f t="array" ref="C388">IFERROR(INDEX(#REF!,MATCH(TRUE,ISNUMBER(FIND(SUBSTITUTE(SUBSTITUTE(UPPER(#REF!)," ",""),":",": "),SUBSTITUTE(SUBSTITUTE(UPPER(S388)," ",""),":",": "))),0)),"Não encontrado")</f>
        <v>Não encontrado</v>
      </c>
      <c r="D388" s="46" t="str" cm="1">
        <f t="array" ref="D388">IFERROR(INDEX(#REF!,MATCH(TRUE,ISNUMBER(FIND(SUBSTITUTE(SUBSTITUTE(UPPER(#REF!)," ",""),":",": "),SUBSTITUTE(SUBSTITUTE(UPPER(S388)," ",""),":",": "))),0)),"Não encontrado")</f>
        <v>Não encontrado</v>
      </c>
      <c r="E388" s="42" t="str" cm="1">
        <f t="array" ref="E388">IFERROR(INDEX({"IMPEDITIVO"},MATCH(TRUE,ISNUMBER(FIND(SUBSTITUTE(SUBSTITUTE(UPPER({"IMPEDITIVO"})," ",""),":",": "),SUBSTITUTE(SUBSTITUTE(UPPER(S388)," ",""),":",": "))),0)),"-")</f>
        <v>-</v>
      </c>
      <c r="K388" s="49"/>
    </row>
    <row r="389" spans="1:11" x14ac:dyDescent="0.25">
      <c r="A389" s="46" t="str" cm="1">
        <f t="array" ref="A389">IFERROR(INDEX(#REF!,MATCH(TRUE,ISNUMBER(FIND(SUBSTITUTE(SUBSTITUTE(UPPER(#REF!)," ",""),":",": "),SUBSTITUTE(SUBSTITUTE(UPPER(S389)," ",""),":",": "))),0)),"Undefined")</f>
        <v>Undefined</v>
      </c>
      <c r="B389" s="42" t="str" cm="1">
        <f t="array" ref="B389">IFERROR(INDEX({"URGENTE"},MATCH(TRUE,ISNUMBER(FIND(SUBSTITUTE(SUBSTITUTE(UPPER({"URGENTE"})," ",""),":",": "),SUBSTITUTE(SUBSTITUTE(UPPER(S389)," ",""),":",": "))),0)),"-")</f>
        <v>-</v>
      </c>
      <c r="C389" s="46" t="str" cm="1">
        <f t="array" ref="C389">IFERROR(INDEX(#REF!,MATCH(TRUE,ISNUMBER(FIND(SUBSTITUTE(SUBSTITUTE(UPPER(#REF!)," ",""),":",": "),SUBSTITUTE(SUBSTITUTE(UPPER(S389)," ",""),":",": "))),0)),"Não encontrado")</f>
        <v>Não encontrado</v>
      </c>
      <c r="D389" s="46" t="str" cm="1">
        <f t="array" ref="D389">IFERROR(INDEX(#REF!,MATCH(TRUE,ISNUMBER(FIND(SUBSTITUTE(SUBSTITUTE(UPPER(#REF!)," ",""),":",": "),SUBSTITUTE(SUBSTITUTE(UPPER(S389)," ",""),":",": "))),0)),"Não encontrado")</f>
        <v>Não encontrado</v>
      </c>
      <c r="E389" s="42" t="str" cm="1">
        <f t="array" ref="E389">IFERROR(INDEX({"IMPEDITIVO"},MATCH(TRUE,ISNUMBER(FIND(SUBSTITUTE(SUBSTITUTE(UPPER({"IMPEDITIVO"})," ",""),":",": "),SUBSTITUTE(SUBSTITUTE(UPPER(S389)," ",""),":",": "))),0)),"-")</f>
        <v>-</v>
      </c>
      <c r="K389" s="49"/>
    </row>
    <row r="390" spans="1:11" x14ac:dyDescent="0.25">
      <c r="A390" s="46" t="str" cm="1">
        <f t="array" ref="A390">IFERROR(INDEX(#REF!,MATCH(TRUE,ISNUMBER(FIND(SUBSTITUTE(SUBSTITUTE(UPPER(#REF!)," ",""),":",": "),SUBSTITUTE(SUBSTITUTE(UPPER(S390)," ",""),":",": "))),0)),"Undefined")</f>
        <v>Undefined</v>
      </c>
      <c r="B390" s="42" t="str" cm="1">
        <f t="array" ref="B390">IFERROR(INDEX({"URGENTE"},MATCH(TRUE,ISNUMBER(FIND(SUBSTITUTE(SUBSTITUTE(UPPER({"URGENTE"})," ",""),":",": "),SUBSTITUTE(SUBSTITUTE(UPPER(S390)," ",""),":",": "))),0)),"-")</f>
        <v>-</v>
      </c>
      <c r="C390" s="46" t="str" cm="1">
        <f t="array" ref="C390">IFERROR(INDEX(#REF!,MATCH(TRUE,ISNUMBER(FIND(SUBSTITUTE(SUBSTITUTE(UPPER(#REF!)," ",""),":",": "),SUBSTITUTE(SUBSTITUTE(UPPER(S390)," ",""),":",": "))),0)),"Não encontrado")</f>
        <v>Não encontrado</v>
      </c>
      <c r="D390" s="46" t="str" cm="1">
        <f t="array" ref="D390">IFERROR(INDEX(#REF!,MATCH(TRUE,ISNUMBER(FIND(SUBSTITUTE(SUBSTITUTE(UPPER(#REF!)," ",""),":",": "),SUBSTITUTE(SUBSTITUTE(UPPER(S390)," ",""),":",": "))),0)),"Não encontrado")</f>
        <v>Não encontrado</v>
      </c>
      <c r="E390" s="42" t="str" cm="1">
        <f t="array" ref="E390">IFERROR(INDEX({"IMPEDITIVO"},MATCH(TRUE,ISNUMBER(FIND(SUBSTITUTE(SUBSTITUTE(UPPER({"IMPEDITIVO"})," ",""),":",": "),SUBSTITUTE(SUBSTITUTE(UPPER(S390)," ",""),":",": "))),0)),"-")</f>
        <v>-</v>
      </c>
      <c r="K390" s="49"/>
    </row>
    <row r="391" spans="1:11" x14ac:dyDescent="0.25">
      <c r="A391" s="46" t="str" cm="1">
        <f t="array" ref="A391">IFERROR(INDEX(#REF!,MATCH(TRUE,ISNUMBER(FIND(SUBSTITUTE(SUBSTITUTE(UPPER(#REF!)," ",""),":",": "),SUBSTITUTE(SUBSTITUTE(UPPER(S391)," ",""),":",": "))),0)),"Undefined")</f>
        <v>Undefined</v>
      </c>
      <c r="B391" s="42" t="str" cm="1">
        <f t="array" ref="B391">IFERROR(INDEX({"URGENTE"},MATCH(TRUE,ISNUMBER(FIND(SUBSTITUTE(SUBSTITUTE(UPPER({"URGENTE"})," ",""),":",": "),SUBSTITUTE(SUBSTITUTE(UPPER(S391)," ",""),":",": "))),0)),"-")</f>
        <v>-</v>
      </c>
      <c r="C391" s="46" t="str" cm="1">
        <f t="array" ref="C391">IFERROR(INDEX(#REF!,MATCH(TRUE,ISNUMBER(FIND(SUBSTITUTE(SUBSTITUTE(UPPER(#REF!)," ",""),":",": "),SUBSTITUTE(SUBSTITUTE(UPPER(S391)," ",""),":",": "))),0)),"Não encontrado")</f>
        <v>Não encontrado</v>
      </c>
      <c r="D391" s="46" t="str" cm="1">
        <f t="array" ref="D391">IFERROR(INDEX(#REF!,MATCH(TRUE,ISNUMBER(FIND(SUBSTITUTE(SUBSTITUTE(UPPER(#REF!)," ",""),":",": "),SUBSTITUTE(SUBSTITUTE(UPPER(S391)," ",""),":",": "))),0)),"Não encontrado")</f>
        <v>Não encontrado</v>
      </c>
      <c r="E391" s="42" t="str" cm="1">
        <f t="array" ref="E391">IFERROR(INDEX({"IMPEDITIVO"},MATCH(TRUE,ISNUMBER(FIND(SUBSTITUTE(SUBSTITUTE(UPPER({"IMPEDITIVO"})," ",""),":",": "),SUBSTITUTE(SUBSTITUTE(UPPER(S391)," ",""),":",": "))),0)),"-")</f>
        <v>-</v>
      </c>
      <c r="K391" s="49"/>
    </row>
    <row r="392" spans="1:11" x14ac:dyDescent="0.25">
      <c r="A392" s="46" t="str" cm="1">
        <f t="array" ref="A392">IFERROR(INDEX(#REF!,MATCH(TRUE,ISNUMBER(FIND(SUBSTITUTE(SUBSTITUTE(UPPER(#REF!)," ",""),":",": "),SUBSTITUTE(SUBSTITUTE(UPPER(S392)," ",""),":",": "))),0)),"Undefined")</f>
        <v>Undefined</v>
      </c>
      <c r="B392" s="42" t="str" cm="1">
        <f t="array" ref="B392">IFERROR(INDEX({"URGENTE"},MATCH(TRUE,ISNUMBER(FIND(SUBSTITUTE(SUBSTITUTE(UPPER({"URGENTE"})," ",""),":",": "),SUBSTITUTE(SUBSTITUTE(UPPER(S392)," ",""),":",": "))),0)),"-")</f>
        <v>-</v>
      </c>
      <c r="C392" s="46" t="str" cm="1">
        <f t="array" ref="C392">IFERROR(INDEX(#REF!,MATCH(TRUE,ISNUMBER(FIND(SUBSTITUTE(SUBSTITUTE(UPPER(#REF!)," ",""),":",": "),SUBSTITUTE(SUBSTITUTE(UPPER(S392)," ",""),":",": "))),0)),"Não encontrado")</f>
        <v>Não encontrado</v>
      </c>
      <c r="D392" s="46" t="str" cm="1">
        <f t="array" ref="D392">IFERROR(INDEX(#REF!,MATCH(TRUE,ISNUMBER(FIND(SUBSTITUTE(SUBSTITUTE(UPPER(#REF!)," ",""),":",": "),SUBSTITUTE(SUBSTITUTE(UPPER(S392)," ",""),":",": "))),0)),"Não encontrado")</f>
        <v>Não encontrado</v>
      </c>
      <c r="E392" s="42" t="str" cm="1">
        <f t="array" ref="E392">IFERROR(INDEX({"IMPEDITIVO"},MATCH(TRUE,ISNUMBER(FIND(SUBSTITUTE(SUBSTITUTE(UPPER({"IMPEDITIVO"})," ",""),":",": "),SUBSTITUTE(SUBSTITUTE(UPPER(S392)," ",""),":",": "))),0)),"-")</f>
        <v>-</v>
      </c>
      <c r="K392" s="49"/>
    </row>
    <row r="393" spans="1:11" x14ac:dyDescent="0.25">
      <c r="A393" s="46" t="str" cm="1">
        <f t="array" ref="A393">IFERROR(INDEX(#REF!,MATCH(TRUE,ISNUMBER(FIND(SUBSTITUTE(SUBSTITUTE(UPPER(#REF!)," ",""),":",": "),SUBSTITUTE(SUBSTITUTE(UPPER(S393)," ",""),":",": "))),0)),"Undefined")</f>
        <v>Undefined</v>
      </c>
      <c r="B393" s="42" t="str" cm="1">
        <f t="array" ref="B393">IFERROR(INDEX({"URGENTE"},MATCH(TRUE,ISNUMBER(FIND(SUBSTITUTE(SUBSTITUTE(UPPER({"URGENTE"})," ",""),":",": "),SUBSTITUTE(SUBSTITUTE(UPPER(S393)," ",""),":",": "))),0)),"-")</f>
        <v>-</v>
      </c>
      <c r="C393" s="46" t="str" cm="1">
        <f t="array" ref="C393">IFERROR(INDEX(#REF!,MATCH(TRUE,ISNUMBER(FIND(SUBSTITUTE(SUBSTITUTE(UPPER(#REF!)," ",""),":",": "),SUBSTITUTE(SUBSTITUTE(UPPER(S393)," ",""),":",": "))),0)),"Não encontrado")</f>
        <v>Não encontrado</v>
      </c>
      <c r="D393" s="46" t="str" cm="1">
        <f t="array" ref="D393">IFERROR(INDEX(#REF!,MATCH(TRUE,ISNUMBER(FIND(SUBSTITUTE(SUBSTITUTE(UPPER(#REF!)," ",""),":",": "),SUBSTITUTE(SUBSTITUTE(UPPER(S393)," ",""),":",": "))),0)),"Não encontrado")</f>
        <v>Não encontrado</v>
      </c>
      <c r="E393" s="42" t="str" cm="1">
        <f t="array" ref="E393">IFERROR(INDEX({"IMPEDITIVO"},MATCH(TRUE,ISNUMBER(FIND(SUBSTITUTE(SUBSTITUTE(UPPER({"IMPEDITIVO"})," ",""),":",": "),SUBSTITUTE(SUBSTITUTE(UPPER(S393)," ",""),":",": "))),0)),"-")</f>
        <v>-</v>
      </c>
      <c r="K393" s="49"/>
    </row>
    <row r="394" spans="1:11" x14ac:dyDescent="0.25">
      <c r="A394" s="46" t="str" cm="1">
        <f t="array" ref="A394">IFERROR(INDEX(#REF!,MATCH(TRUE,ISNUMBER(FIND(SUBSTITUTE(SUBSTITUTE(UPPER(#REF!)," ",""),":",": "),SUBSTITUTE(SUBSTITUTE(UPPER(S394)," ",""),":",": "))),0)),"Undefined")</f>
        <v>Undefined</v>
      </c>
      <c r="B394" s="42" t="str" cm="1">
        <f t="array" ref="B394">IFERROR(INDEX({"URGENTE"},MATCH(TRUE,ISNUMBER(FIND(SUBSTITUTE(SUBSTITUTE(UPPER({"URGENTE"})," ",""),":",": "),SUBSTITUTE(SUBSTITUTE(UPPER(S394)," ",""),":",": "))),0)),"-")</f>
        <v>-</v>
      </c>
      <c r="C394" s="46" t="str" cm="1">
        <f t="array" ref="C394">IFERROR(INDEX(#REF!,MATCH(TRUE,ISNUMBER(FIND(SUBSTITUTE(SUBSTITUTE(UPPER(#REF!)," ",""),":",": "),SUBSTITUTE(SUBSTITUTE(UPPER(S394)," ",""),":",": "))),0)),"Não encontrado")</f>
        <v>Não encontrado</v>
      </c>
      <c r="D394" s="46" t="str" cm="1">
        <f t="array" ref="D394">IFERROR(INDEX(#REF!,MATCH(TRUE,ISNUMBER(FIND(SUBSTITUTE(SUBSTITUTE(UPPER(#REF!)," ",""),":",": "),SUBSTITUTE(SUBSTITUTE(UPPER(S394)," ",""),":",": "))),0)),"Não encontrado")</f>
        <v>Não encontrado</v>
      </c>
      <c r="E394" s="42" t="str" cm="1">
        <f t="array" ref="E394">IFERROR(INDEX({"IMPEDITIVO"},MATCH(TRUE,ISNUMBER(FIND(SUBSTITUTE(SUBSTITUTE(UPPER({"IMPEDITIVO"})," ",""),":",": "),SUBSTITUTE(SUBSTITUTE(UPPER(S394)," ",""),":",": "))),0)),"-")</f>
        <v>-</v>
      </c>
      <c r="K394" s="49"/>
    </row>
    <row r="395" spans="1:11" x14ac:dyDescent="0.25">
      <c r="A395" s="46" t="str" cm="1">
        <f t="array" ref="A395">IFERROR(INDEX(#REF!,MATCH(TRUE,ISNUMBER(FIND(SUBSTITUTE(SUBSTITUTE(UPPER(#REF!)," ",""),":",": "),SUBSTITUTE(SUBSTITUTE(UPPER(S395)," ",""),":",": "))),0)),"Undefined")</f>
        <v>Undefined</v>
      </c>
      <c r="B395" s="42" t="str" cm="1">
        <f t="array" ref="B395">IFERROR(INDEX({"URGENTE"},MATCH(TRUE,ISNUMBER(FIND(SUBSTITUTE(SUBSTITUTE(UPPER({"URGENTE"})," ",""),":",": "),SUBSTITUTE(SUBSTITUTE(UPPER(S395)," ",""),":",": "))),0)),"-")</f>
        <v>-</v>
      </c>
      <c r="C395" s="46" t="str" cm="1">
        <f t="array" ref="C395">IFERROR(INDEX(#REF!,MATCH(TRUE,ISNUMBER(FIND(SUBSTITUTE(SUBSTITUTE(UPPER(#REF!)," ",""),":",": "),SUBSTITUTE(SUBSTITUTE(UPPER(S395)," ",""),":",": "))),0)),"Não encontrado")</f>
        <v>Não encontrado</v>
      </c>
      <c r="D395" s="46" t="str" cm="1">
        <f t="array" ref="D395">IFERROR(INDEX(#REF!,MATCH(TRUE,ISNUMBER(FIND(SUBSTITUTE(SUBSTITUTE(UPPER(#REF!)," ",""),":",": "),SUBSTITUTE(SUBSTITUTE(UPPER(S395)," ",""),":",": "))),0)),"Não encontrado")</f>
        <v>Não encontrado</v>
      </c>
      <c r="E395" s="42" t="str" cm="1">
        <f t="array" ref="E395">IFERROR(INDEX({"IMPEDITIVO"},MATCH(TRUE,ISNUMBER(FIND(SUBSTITUTE(SUBSTITUTE(UPPER({"IMPEDITIVO"})," ",""),":",": "),SUBSTITUTE(SUBSTITUTE(UPPER(S395)," ",""),":",": "))),0)),"-")</f>
        <v>-</v>
      </c>
      <c r="K395" s="49"/>
    </row>
    <row r="396" spans="1:11" x14ac:dyDescent="0.25">
      <c r="A396" s="46" t="str" cm="1">
        <f t="array" ref="A396">IFERROR(INDEX(#REF!,MATCH(TRUE,ISNUMBER(FIND(SUBSTITUTE(SUBSTITUTE(UPPER(#REF!)," ",""),":",": "),SUBSTITUTE(SUBSTITUTE(UPPER(S396)," ",""),":",": "))),0)),"Undefined")</f>
        <v>Undefined</v>
      </c>
      <c r="B396" s="42" t="str" cm="1">
        <f t="array" ref="B396">IFERROR(INDEX({"URGENTE"},MATCH(TRUE,ISNUMBER(FIND(SUBSTITUTE(SUBSTITUTE(UPPER({"URGENTE"})," ",""),":",": "),SUBSTITUTE(SUBSTITUTE(UPPER(S396)," ",""),":",": "))),0)),"-")</f>
        <v>-</v>
      </c>
      <c r="C396" s="46" t="str" cm="1">
        <f t="array" ref="C396">IFERROR(INDEX(#REF!,MATCH(TRUE,ISNUMBER(FIND(SUBSTITUTE(SUBSTITUTE(UPPER(#REF!)," ",""),":",": "),SUBSTITUTE(SUBSTITUTE(UPPER(S396)," ",""),":",": "))),0)),"Não encontrado")</f>
        <v>Não encontrado</v>
      </c>
      <c r="D396" s="46" t="str" cm="1">
        <f t="array" ref="D396">IFERROR(INDEX(#REF!,MATCH(TRUE,ISNUMBER(FIND(SUBSTITUTE(SUBSTITUTE(UPPER(#REF!)," ",""),":",": "),SUBSTITUTE(SUBSTITUTE(UPPER(S396)," ",""),":",": "))),0)),"Não encontrado")</f>
        <v>Não encontrado</v>
      </c>
      <c r="E396" s="42" t="str" cm="1">
        <f t="array" ref="E396">IFERROR(INDEX({"IMPEDITIVO"},MATCH(TRUE,ISNUMBER(FIND(SUBSTITUTE(SUBSTITUTE(UPPER({"IMPEDITIVO"})," ",""),":",": "),SUBSTITUTE(SUBSTITUTE(UPPER(S396)," ",""),":",": "))),0)),"-")</f>
        <v>-</v>
      </c>
      <c r="K396" s="49"/>
    </row>
    <row r="397" spans="1:11" x14ac:dyDescent="0.25">
      <c r="A397" s="46" t="str" cm="1">
        <f t="array" ref="A397">IFERROR(INDEX(#REF!,MATCH(TRUE,ISNUMBER(FIND(SUBSTITUTE(SUBSTITUTE(UPPER(#REF!)," ",""),":",": "),SUBSTITUTE(SUBSTITUTE(UPPER(S397)," ",""),":",": "))),0)),"Undefined")</f>
        <v>Undefined</v>
      </c>
      <c r="B397" s="42" t="str" cm="1">
        <f t="array" ref="B397">IFERROR(INDEX({"URGENTE"},MATCH(TRUE,ISNUMBER(FIND(SUBSTITUTE(SUBSTITUTE(UPPER({"URGENTE"})," ",""),":",": "),SUBSTITUTE(SUBSTITUTE(UPPER(S397)," ",""),":",": "))),0)),"-")</f>
        <v>-</v>
      </c>
      <c r="C397" s="46" t="str" cm="1">
        <f t="array" ref="C397">IFERROR(INDEX(#REF!,MATCH(TRUE,ISNUMBER(FIND(SUBSTITUTE(SUBSTITUTE(UPPER(#REF!)," ",""),":",": "),SUBSTITUTE(SUBSTITUTE(UPPER(S397)," ",""),":",": "))),0)),"Não encontrado")</f>
        <v>Não encontrado</v>
      </c>
      <c r="D397" s="46" t="str" cm="1">
        <f t="array" ref="D397">IFERROR(INDEX(#REF!,MATCH(TRUE,ISNUMBER(FIND(SUBSTITUTE(SUBSTITUTE(UPPER(#REF!)," ",""),":",": "),SUBSTITUTE(SUBSTITUTE(UPPER(S397)," ",""),":",": "))),0)),"Não encontrado")</f>
        <v>Não encontrado</v>
      </c>
      <c r="E397" s="42" t="str" cm="1">
        <f t="array" ref="E397">IFERROR(INDEX({"IMPEDITIVO"},MATCH(TRUE,ISNUMBER(FIND(SUBSTITUTE(SUBSTITUTE(UPPER({"IMPEDITIVO"})," ",""),":",": "),SUBSTITUTE(SUBSTITUTE(UPPER(S397)," ",""),":",": "))),0)),"-")</f>
        <v>-</v>
      </c>
      <c r="K397" s="49"/>
    </row>
    <row r="398" spans="1:11" x14ac:dyDescent="0.25">
      <c r="A398" s="46" t="str" cm="1">
        <f t="array" ref="A398">IFERROR(INDEX(#REF!,MATCH(TRUE,ISNUMBER(FIND(SUBSTITUTE(SUBSTITUTE(UPPER(#REF!)," ",""),":",": "),SUBSTITUTE(SUBSTITUTE(UPPER(S398)," ",""),":",": "))),0)),"Undefined")</f>
        <v>Undefined</v>
      </c>
      <c r="B398" s="42" t="str" cm="1">
        <f t="array" ref="B398">IFERROR(INDEX({"URGENTE"},MATCH(TRUE,ISNUMBER(FIND(SUBSTITUTE(SUBSTITUTE(UPPER({"URGENTE"})," ",""),":",": "),SUBSTITUTE(SUBSTITUTE(UPPER(S398)," ",""),":",": "))),0)),"-")</f>
        <v>-</v>
      </c>
      <c r="C398" s="46" t="str" cm="1">
        <f t="array" ref="C398">IFERROR(INDEX(#REF!,MATCH(TRUE,ISNUMBER(FIND(SUBSTITUTE(SUBSTITUTE(UPPER(#REF!)," ",""),":",": "),SUBSTITUTE(SUBSTITUTE(UPPER(S398)," ",""),":",": "))),0)),"Não encontrado")</f>
        <v>Não encontrado</v>
      </c>
      <c r="D398" s="46" t="str" cm="1">
        <f t="array" ref="D398">IFERROR(INDEX(#REF!,MATCH(TRUE,ISNUMBER(FIND(SUBSTITUTE(SUBSTITUTE(UPPER(#REF!)," ",""),":",": "),SUBSTITUTE(SUBSTITUTE(UPPER(S398)," ",""),":",": "))),0)),"Não encontrado")</f>
        <v>Não encontrado</v>
      </c>
      <c r="E398" s="42" t="str" cm="1">
        <f t="array" ref="E398">IFERROR(INDEX({"IMPEDITIVO"},MATCH(TRUE,ISNUMBER(FIND(SUBSTITUTE(SUBSTITUTE(UPPER({"IMPEDITIVO"})," ",""),":",": "),SUBSTITUTE(SUBSTITUTE(UPPER(S398)," ",""),":",": "))),0)),"-")</f>
        <v>-</v>
      </c>
      <c r="K398" s="49"/>
    </row>
    <row r="399" spans="1:11" x14ac:dyDescent="0.25">
      <c r="A399" s="46" t="str" cm="1">
        <f t="array" ref="A399">IFERROR(INDEX(#REF!,MATCH(TRUE,ISNUMBER(FIND(SUBSTITUTE(SUBSTITUTE(UPPER(#REF!)," ",""),":",": "),SUBSTITUTE(SUBSTITUTE(UPPER(S399)," ",""),":",": "))),0)),"Undefined")</f>
        <v>Undefined</v>
      </c>
      <c r="B399" s="42" t="str" cm="1">
        <f t="array" ref="B399">IFERROR(INDEX({"URGENTE"},MATCH(TRUE,ISNUMBER(FIND(SUBSTITUTE(SUBSTITUTE(UPPER({"URGENTE"})," ",""),":",": "),SUBSTITUTE(SUBSTITUTE(UPPER(S399)," ",""),":",": "))),0)),"-")</f>
        <v>-</v>
      </c>
      <c r="C399" s="46" t="str" cm="1">
        <f t="array" ref="C399">IFERROR(INDEX(#REF!,MATCH(TRUE,ISNUMBER(FIND(SUBSTITUTE(SUBSTITUTE(UPPER(#REF!)," ",""),":",": "),SUBSTITUTE(SUBSTITUTE(UPPER(S399)," ",""),":",": "))),0)),"Não encontrado")</f>
        <v>Não encontrado</v>
      </c>
      <c r="D399" s="46" t="str" cm="1">
        <f t="array" ref="D399">IFERROR(INDEX(#REF!,MATCH(TRUE,ISNUMBER(FIND(SUBSTITUTE(SUBSTITUTE(UPPER(#REF!)," ",""),":",": "),SUBSTITUTE(SUBSTITUTE(UPPER(S399)," ",""),":",": "))),0)),"Não encontrado")</f>
        <v>Não encontrado</v>
      </c>
      <c r="E399" s="42" t="str" cm="1">
        <f t="array" ref="E399">IFERROR(INDEX({"IMPEDITIVO"},MATCH(TRUE,ISNUMBER(FIND(SUBSTITUTE(SUBSTITUTE(UPPER({"IMPEDITIVO"})," ",""),":",": "),SUBSTITUTE(SUBSTITUTE(UPPER(S399)," ",""),":",": "))),0)),"-")</f>
        <v>-</v>
      </c>
      <c r="K399" s="49"/>
    </row>
    <row r="400" spans="1:11" x14ac:dyDescent="0.25">
      <c r="A400" s="46" t="str" cm="1">
        <f t="array" ref="A400">IFERROR(INDEX(#REF!,MATCH(TRUE,ISNUMBER(FIND(SUBSTITUTE(SUBSTITUTE(UPPER(#REF!)," ",""),":",": "),SUBSTITUTE(SUBSTITUTE(UPPER(S400)," ",""),":",": "))),0)),"Undefined")</f>
        <v>Undefined</v>
      </c>
      <c r="B400" s="42" t="str" cm="1">
        <f t="array" ref="B400">IFERROR(INDEX({"URGENTE"},MATCH(TRUE,ISNUMBER(FIND(SUBSTITUTE(SUBSTITUTE(UPPER({"URGENTE"})," ",""),":",": "),SUBSTITUTE(SUBSTITUTE(UPPER(S400)," ",""),":",": "))),0)),"-")</f>
        <v>-</v>
      </c>
      <c r="C400" s="46" t="str" cm="1">
        <f t="array" ref="C400">IFERROR(INDEX(#REF!,MATCH(TRUE,ISNUMBER(FIND(SUBSTITUTE(SUBSTITUTE(UPPER(#REF!)," ",""),":",": "),SUBSTITUTE(SUBSTITUTE(UPPER(S400)," ",""),":",": "))),0)),"Não encontrado")</f>
        <v>Não encontrado</v>
      </c>
      <c r="D400" s="46" t="str" cm="1">
        <f t="array" ref="D400">IFERROR(INDEX(#REF!,MATCH(TRUE,ISNUMBER(FIND(SUBSTITUTE(SUBSTITUTE(UPPER(#REF!)," ",""),":",": "),SUBSTITUTE(SUBSTITUTE(UPPER(S400)," ",""),":",": "))),0)),"Não encontrado")</f>
        <v>Não encontrado</v>
      </c>
      <c r="E400" s="42" t="str" cm="1">
        <f t="array" ref="E400">IFERROR(INDEX({"IMPEDITIVO"},MATCH(TRUE,ISNUMBER(FIND(SUBSTITUTE(SUBSTITUTE(UPPER({"IMPEDITIVO"})," ",""),":",": "),SUBSTITUTE(SUBSTITUTE(UPPER(S400)," ",""),":",": "))),0)),"-")</f>
        <v>-</v>
      </c>
      <c r="K400" s="49"/>
    </row>
    <row r="401" spans="1:11" x14ac:dyDescent="0.25">
      <c r="A401" s="46" t="str" cm="1">
        <f t="array" ref="A401">IFERROR(INDEX(#REF!,MATCH(TRUE,ISNUMBER(FIND(SUBSTITUTE(SUBSTITUTE(UPPER(#REF!)," ",""),":",": "),SUBSTITUTE(SUBSTITUTE(UPPER(S401)," ",""),":",": "))),0)),"Undefined")</f>
        <v>Undefined</v>
      </c>
      <c r="B401" s="42" t="str" cm="1">
        <f t="array" ref="B401">IFERROR(INDEX({"URGENTE"},MATCH(TRUE,ISNUMBER(FIND(SUBSTITUTE(SUBSTITUTE(UPPER({"URGENTE"})," ",""),":",": "),SUBSTITUTE(SUBSTITUTE(UPPER(S401)," ",""),":",": "))),0)),"-")</f>
        <v>-</v>
      </c>
      <c r="C401" s="46" t="str" cm="1">
        <f t="array" ref="C401">IFERROR(INDEX(#REF!,MATCH(TRUE,ISNUMBER(FIND(SUBSTITUTE(SUBSTITUTE(UPPER(#REF!)," ",""),":",": "),SUBSTITUTE(SUBSTITUTE(UPPER(S401)," ",""),":",": "))),0)),"Não encontrado")</f>
        <v>Não encontrado</v>
      </c>
      <c r="D401" s="46" t="str" cm="1">
        <f t="array" ref="D401">IFERROR(INDEX(#REF!,MATCH(TRUE,ISNUMBER(FIND(SUBSTITUTE(SUBSTITUTE(UPPER(#REF!)," ",""),":",": "),SUBSTITUTE(SUBSTITUTE(UPPER(S401)," ",""),":",": "))),0)),"Não encontrado")</f>
        <v>Não encontrado</v>
      </c>
      <c r="E401" s="42" t="str" cm="1">
        <f t="array" ref="E401">IFERROR(INDEX({"IMPEDITIVO"},MATCH(TRUE,ISNUMBER(FIND(SUBSTITUTE(SUBSTITUTE(UPPER({"IMPEDITIVO"})," ",""),":",": "),SUBSTITUTE(SUBSTITUTE(UPPER(S401)," ",""),":",": "))),0)),"-")</f>
        <v>-</v>
      </c>
      <c r="K401" s="49"/>
    </row>
    <row r="402" spans="1:11" x14ac:dyDescent="0.25">
      <c r="A402" s="46" t="str" cm="1">
        <f t="array" ref="A402">IFERROR(INDEX(#REF!,MATCH(TRUE,ISNUMBER(FIND(SUBSTITUTE(SUBSTITUTE(UPPER(#REF!)," ",""),":",": "),SUBSTITUTE(SUBSTITUTE(UPPER(S402)," ",""),":",": "))),0)),"Undefined")</f>
        <v>Undefined</v>
      </c>
      <c r="B402" s="42" t="str" cm="1">
        <f t="array" ref="B402">IFERROR(INDEX({"URGENTE"},MATCH(TRUE,ISNUMBER(FIND(SUBSTITUTE(SUBSTITUTE(UPPER({"URGENTE"})," ",""),":",": "),SUBSTITUTE(SUBSTITUTE(UPPER(S402)," ",""),":",": "))),0)),"-")</f>
        <v>-</v>
      </c>
      <c r="C402" s="46" t="str" cm="1">
        <f t="array" ref="C402">IFERROR(INDEX(#REF!,MATCH(TRUE,ISNUMBER(FIND(SUBSTITUTE(SUBSTITUTE(UPPER(#REF!)," ",""),":",": "),SUBSTITUTE(SUBSTITUTE(UPPER(S402)," ",""),":",": "))),0)),"Não encontrado")</f>
        <v>Não encontrado</v>
      </c>
      <c r="D402" s="46" t="str" cm="1">
        <f t="array" ref="D402">IFERROR(INDEX(#REF!,MATCH(TRUE,ISNUMBER(FIND(SUBSTITUTE(SUBSTITUTE(UPPER(#REF!)," ",""),":",": "),SUBSTITUTE(SUBSTITUTE(UPPER(S402)," ",""),":",": "))),0)),"Não encontrado")</f>
        <v>Não encontrado</v>
      </c>
      <c r="E402" s="42" t="str" cm="1">
        <f t="array" ref="E402">IFERROR(INDEX({"IMPEDITIVO"},MATCH(TRUE,ISNUMBER(FIND(SUBSTITUTE(SUBSTITUTE(UPPER({"IMPEDITIVO"})," ",""),":",": "),SUBSTITUTE(SUBSTITUTE(UPPER(S402)," ",""),":",": "))),0)),"-")</f>
        <v>-</v>
      </c>
      <c r="K402" s="49"/>
    </row>
    <row r="403" spans="1:11" x14ac:dyDescent="0.25">
      <c r="A403" s="46" t="str" cm="1">
        <f t="array" ref="A403">IFERROR(INDEX(#REF!,MATCH(TRUE,ISNUMBER(FIND(SUBSTITUTE(SUBSTITUTE(UPPER(#REF!)," ",""),":",": "),SUBSTITUTE(SUBSTITUTE(UPPER(S403)," ",""),":",": "))),0)),"Undefined")</f>
        <v>Undefined</v>
      </c>
      <c r="B403" s="42" t="str" cm="1">
        <f t="array" ref="B403">IFERROR(INDEX({"URGENTE"},MATCH(TRUE,ISNUMBER(FIND(SUBSTITUTE(SUBSTITUTE(UPPER({"URGENTE"})," ",""),":",": "),SUBSTITUTE(SUBSTITUTE(UPPER(S403)," ",""),":",": "))),0)),"-")</f>
        <v>-</v>
      </c>
      <c r="C403" s="46" t="str" cm="1">
        <f t="array" ref="C403">IFERROR(INDEX(#REF!,MATCH(TRUE,ISNUMBER(FIND(SUBSTITUTE(SUBSTITUTE(UPPER(#REF!)," ",""),":",": "),SUBSTITUTE(SUBSTITUTE(UPPER(S403)," ",""),":",": "))),0)),"Não encontrado")</f>
        <v>Não encontrado</v>
      </c>
      <c r="D403" s="46" t="str" cm="1">
        <f t="array" ref="D403">IFERROR(INDEX(#REF!,MATCH(TRUE,ISNUMBER(FIND(SUBSTITUTE(SUBSTITUTE(UPPER(#REF!)," ",""),":",": "),SUBSTITUTE(SUBSTITUTE(UPPER(S403)," ",""),":",": "))),0)),"Não encontrado")</f>
        <v>Não encontrado</v>
      </c>
      <c r="E403" s="42" t="str" cm="1">
        <f t="array" ref="E403">IFERROR(INDEX({"IMPEDITIVO"},MATCH(TRUE,ISNUMBER(FIND(SUBSTITUTE(SUBSTITUTE(UPPER({"IMPEDITIVO"})," ",""),":",": "),SUBSTITUTE(SUBSTITUTE(UPPER(S403)," ",""),":",": "))),0)),"-")</f>
        <v>-</v>
      </c>
      <c r="K403" s="49"/>
    </row>
    <row r="404" spans="1:11" x14ac:dyDescent="0.25">
      <c r="A404" s="46" t="str" cm="1">
        <f t="array" ref="A404">IFERROR(INDEX(#REF!,MATCH(TRUE,ISNUMBER(FIND(SUBSTITUTE(SUBSTITUTE(UPPER(#REF!)," ",""),":",": "),SUBSTITUTE(SUBSTITUTE(UPPER(S404)," ",""),":",": "))),0)),"Undefined")</f>
        <v>Undefined</v>
      </c>
      <c r="B404" s="42" t="str" cm="1">
        <f t="array" ref="B404">IFERROR(INDEX({"URGENTE"},MATCH(TRUE,ISNUMBER(FIND(SUBSTITUTE(SUBSTITUTE(UPPER({"URGENTE"})," ",""),":",": "),SUBSTITUTE(SUBSTITUTE(UPPER(S404)," ",""),":",": "))),0)),"-")</f>
        <v>-</v>
      </c>
      <c r="C404" s="46" t="str" cm="1">
        <f t="array" ref="C404">IFERROR(INDEX(#REF!,MATCH(TRUE,ISNUMBER(FIND(SUBSTITUTE(SUBSTITUTE(UPPER(#REF!)," ",""),":",": "),SUBSTITUTE(SUBSTITUTE(UPPER(S404)," ",""),":",": "))),0)),"Não encontrado")</f>
        <v>Não encontrado</v>
      </c>
      <c r="D404" s="46" t="str" cm="1">
        <f t="array" ref="D404">IFERROR(INDEX(#REF!,MATCH(TRUE,ISNUMBER(FIND(SUBSTITUTE(SUBSTITUTE(UPPER(#REF!)," ",""),":",": "),SUBSTITUTE(SUBSTITUTE(UPPER(S404)," ",""),":",": "))),0)),"Não encontrado")</f>
        <v>Não encontrado</v>
      </c>
      <c r="E404" s="42" t="str" cm="1">
        <f t="array" ref="E404">IFERROR(INDEX({"IMPEDITIVO"},MATCH(TRUE,ISNUMBER(FIND(SUBSTITUTE(SUBSTITUTE(UPPER({"IMPEDITIVO"})," ",""),":",": "),SUBSTITUTE(SUBSTITUTE(UPPER(S404)," ",""),":",": "))),0)),"-")</f>
        <v>-</v>
      </c>
      <c r="K404" s="49"/>
    </row>
    <row r="405" spans="1:11" x14ac:dyDescent="0.25">
      <c r="A405" s="46" t="str" cm="1">
        <f t="array" ref="A405">IFERROR(INDEX(#REF!,MATCH(TRUE,ISNUMBER(FIND(SUBSTITUTE(SUBSTITUTE(UPPER(#REF!)," ",""),":",": "),SUBSTITUTE(SUBSTITUTE(UPPER(S405)," ",""),":",": "))),0)),"Undefined")</f>
        <v>Undefined</v>
      </c>
      <c r="B405" s="42" t="str" cm="1">
        <f t="array" ref="B405">IFERROR(INDEX({"URGENTE"},MATCH(TRUE,ISNUMBER(FIND(SUBSTITUTE(SUBSTITUTE(UPPER({"URGENTE"})," ",""),":",": "),SUBSTITUTE(SUBSTITUTE(UPPER(S405)," ",""),":",": "))),0)),"-")</f>
        <v>-</v>
      </c>
      <c r="C405" s="46" t="str" cm="1">
        <f t="array" ref="C405">IFERROR(INDEX(#REF!,MATCH(TRUE,ISNUMBER(FIND(SUBSTITUTE(SUBSTITUTE(UPPER(#REF!)," ",""),":",": "),SUBSTITUTE(SUBSTITUTE(UPPER(S405)," ",""),":",": "))),0)),"Não encontrado")</f>
        <v>Não encontrado</v>
      </c>
      <c r="D405" s="46" t="str" cm="1">
        <f t="array" ref="D405">IFERROR(INDEX(#REF!,MATCH(TRUE,ISNUMBER(FIND(SUBSTITUTE(SUBSTITUTE(UPPER(#REF!)," ",""),":",": "),SUBSTITUTE(SUBSTITUTE(UPPER(S405)," ",""),":",": "))),0)),"Não encontrado")</f>
        <v>Não encontrado</v>
      </c>
      <c r="E405" s="42" t="str" cm="1">
        <f t="array" ref="E405">IFERROR(INDEX({"IMPEDITIVO"},MATCH(TRUE,ISNUMBER(FIND(SUBSTITUTE(SUBSTITUTE(UPPER({"IMPEDITIVO"})," ",""),":",": "),SUBSTITUTE(SUBSTITUTE(UPPER(S405)," ",""),":",": "))),0)),"-")</f>
        <v>-</v>
      </c>
      <c r="K405" s="49"/>
    </row>
    <row r="406" spans="1:11" x14ac:dyDescent="0.25">
      <c r="A406" s="46" t="str" cm="1">
        <f t="array" ref="A406">IFERROR(INDEX(#REF!,MATCH(TRUE,ISNUMBER(FIND(SUBSTITUTE(SUBSTITUTE(UPPER(#REF!)," ",""),":",": "),SUBSTITUTE(SUBSTITUTE(UPPER(S406)," ",""),":",": "))),0)),"Undefined")</f>
        <v>Undefined</v>
      </c>
      <c r="B406" s="42" t="str" cm="1">
        <f t="array" ref="B406">IFERROR(INDEX({"URGENTE"},MATCH(TRUE,ISNUMBER(FIND(SUBSTITUTE(SUBSTITUTE(UPPER({"URGENTE"})," ",""),":",": "),SUBSTITUTE(SUBSTITUTE(UPPER(S406)," ",""),":",": "))),0)),"-")</f>
        <v>-</v>
      </c>
      <c r="C406" s="46" t="str" cm="1">
        <f t="array" ref="C406">IFERROR(INDEX(#REF!,MATCH(TRUE,ISNUMBER(FIND(SUBSTITUTE(SUBSTITUTE(UPPER(#REF!)," ",""),":",": "),SUBSTITUTE(SUBSTITUTE(UPPER(S406)," ",""),":",": "))),0)),"Não encontrado")</f>
        <v>Não encontrado</v>
      </c>
      <c r="D406" s="46" t="str" cm="1">
        <f t="array" ref="D406">IFERROR(INDEX(#REF!,MATCH(TRUE,ISNUMBER(FIND(SUBSTITUTE(SUBSTITUTE(UPPER(#REF!)," ",""),":",": "),SUBSTITUTE(SUBSTITUTE(UPPER(S406)," ",""),":",": "))),0)),"Não encontrado")</f>
        <v>Não encontrado</v>
      </c>
      <c r="E406" s="42" t="str" cm="1">
        <f t="array" ref="E406">IFERROR(INDEX({"IMPEDITIVO"},MATCH(TRUE,ISNUMBER(FIND(SUBSTITUTE(SUBSTITUTE(UPPER({"IMPEDITIVO"})," ",""),":",": "),SUBSTITUTE(SUBSTITUTE(UPPER(S406)," ",""),":",": "))),0)),"-")</f>
        <v>-</v>
      </c>
      <c r="K406" s="49"/>
    </row>
    <row r="407" spans="1:11" x14ac:dyDescent="0.25">
      <c r="A407" s="46" t="str" cm="1">
        <f t="array" ref="A407">IFERROR(INDEX(#REF!,MATCH(TRUE,ISNUMBER(FIND(SUBSTITUTE(SUBSTITUTE(UPPER(#REF!)," ",""),":",": "),SUBSTITUTE(SUBSTITUTE(UPPER(S407)," ",""),":",": "))),0)),"Undefined")</f>
        <v>Undefined</v>
      </c>
      <c r="B407" s="42" t="str" cm="1">
        <f t="array" ref="B407">IFERROR(INDEX({"URGENTE"},MATCH(TRUE,ISNUMBER(FIND(SUBSTITUTE(SUBSTITUTE(UPPER({"URGENTE"})," ",""),":",": "),SUBSTITUTE(SUBSTITUTE(UPPER(S407)," ",""),":",": "))),0)),"-")</f>
        <v>-</v>
      </c>
      <c r="C407" s="46" t="str" cm="1">
        <f t="array" ref="C407">IFERROR(INDEX(#REF!,MATCH(TRUE,ISNUMBER(FIND(SUBSTITUTE(SUBSTITUTE(UPPER(#REF!)," ",""),":",": "),SUBSTITUTE(SUBSTITUTE(UPPER(S407)," ",""),":",": "))),0)),"Não encontrado")</f>
        <v>Não encontrado</v>
      </c>
      <c r="D407" s="46" t="str" cm="1">
        <f t="array" ref="D407">IFERROR(INDEX(#REF!,MATCH(TRUE,ISNUMBER(FIND(SUBSTITUTE(SUBSTITUTE(UPPER(#REF!)," ",""),":",": "),SUBSTITUTE(SUBSTITUTE(UPPER(S407)," ",""),":",": "))),0)),"Não encontrado")</f>
        <v>Não encontrado</v>
      </c>
      <c r="E407" s="42" t="str" cm="1">
        <f t="array" ref="E407">IFERROR(INDEX({"IMPEDITIVO"},MATCH(TRUE,ISNUMBER(FIND(SUBSTITUTE(SUBSTITUTE(UPPER({"IMPEDITIVO"})," ",""),":",": "),SUBSTITUTE(SUBSTITUTE(UPPER(S407)," ",""),":",": "))),0)),"-")</f>
        <v>-</v>
      </c>
      <c r="K407" s="49"/>
    </row>
    <row r="408" spans="1:11" x14ac:dyDescent="0.25">
      <c r="A408" s="46" t="str" cm="1">
        <f t="array" ref="A408">IFERROR(INDEX(#REF!,MATCH(TRUE,ISNUMBER(FIND(SUBSTITUTE(SUBSTITUTE(UPPER(#REF!)," ",""),":",": "),SUBSTITUTE(SUBSTITUTE(UPPER(S408)," ",""),":",": "))),0)),"Undefined")</f>
        <v>Undefined</v>
      </c>
      <c r="B408" s="42" t="str" cm="1">
        <f t="array" ref="B408">IFERROR(INDEX({"URGENTE"},MATCH(TRUE,ISNUMBER(FIND(SUBSTITUTE(SUBSTITUTE(UPPER({"URGENTE"})," ",""),":",": "),SUBSTITUTE(SUBSTITUTE(UPPER(S408)," ",""),":",": "))),0)),"-")</f>
        <v>-</v>
      </c>
      <c r="C408" s="46" t="str" cm="1">
        <f t="array" ref="C408">IFERROR(INDEX(#REF!,MATCH(TRUE,ISNUMBER(FIND(SUBSTITUTE(SUBSTITUTE(UPPER(#REF!)," ",""),":",": "),SUBSTITUTE(SUBSTITUTE(UPPER(S408)," ",""),":",": "))),0)),"Não encontrado")</f>
        <v>Não encontrado</v>
      </c>
      <c r="D408" s="46" t="str" cm="1">
        <f t="array" ref="D408">IFERROR(INDEX(#REF!,MATCH(TRUE,ISNUMBER(FIND(SUBSTITUTE(SUBSTITUTE(UPPER(#REF!)," ",""),":",": "),SUBSTITUTE(SUBSTITUTE(UPPER(S408)," ",""),":",": "))),0)),"Não encontrado")</f>
        <v>Não encontrado</v>
      </c>
      <c r="E408" s="42" t="str" cm="1">
        <f t="array" ref="E408">IFERROR(INDEX({"IMPEDITIVO"},MATCH(TRUE,ISNUMBER(FIND(SUBSTITUTE(SUBSTITUTE(UPPER({"IMPEDITIVO"})," ",""),":",": "),SUBSTITUTE(SUBSTITUTE(UPPER(S408)," ",""),":",": "))),0)),"-")</f>
        <v>-</v>
      </c>
      <c r="K408" s="49"/>
    </row>
    <row r="409" spans="1:11" x14ac:dyDescent="0.25">
      <c r="A409" s="46" t="str" cm="1">
        <f t="array" ref="A409">IFERROR(INDEX(#REF!,MATCH(TRUE,ISNUMBER(FIND(SUBSTITUTE(SUBSTITUTE(UPPER(#REF!)," ",""),":",": "),SUBSTITUTE(SUBSTITUTE(UPPER(S409)," ",""),":",": "))),0)),"Undefined")</f>
        <v>Undefined</v>
      </c>
      <c r="B409" s="42" t="str" cm="1">
        <f t="array" ref="B409">IFERROR(INDEX({"URGENTE"},MATCH(TRUE,ISNUMBER(FIND(SUBSTITUTE(SUBSTITUTE(UPPER({"URGENTE"})," ",""),":",": "),SUBSTITUTE(SUBSTITUTE(UPPER(S409)," ",""),":",": "))),0)),"-")</f>
        <v>-</v>
      </c>
      <c r="C409" s="46" t="str" cm="1">
        <f t="array" ref="C409">IFERROR(INDEX(#REF!,MATCH(TRUE,ISNUMBER(FIND(SUBSTITUTE(SUBSTITUTE(UPPER(#REF!)," ",""),":",": "),SUBSTITUTE(SUBSTITUTE(UPPER(S409)," ",""),":",": "))),0)),"Não encontrado")</f>
        <v>Não encontrado</v>
      </c>
      <c r="D409" s="46" t="str" cm="1">
        <f t="array" ref="D409">IFERROR(INDEX(#REF!,MATCH(TRUE,ISNUMBER(FIND(SUBSTITUTE(SUBSTITUTE(UPPER(#REF!)," ",""),":",": "),SUBSTITUTE(SUBSTITUTE(UPPER(S409)," ",""),":",": "))),0)),"Não encontrado")</f>
        <v>Não encontrado</v>
      </c>
      <c r="E409" s="42" t="str" cm="1">
        <f t="array" ref="E409">IFERROR(INDEX({"IMPEDITIVO"},MATCH(TRUE,ISNUMBER(FIND(SUBSTITUTE(SUBSTITUTE(UPPER({"IMPEDITIVO"})," ",""),":",": "),SUBSTITUTE(SUBSTITUTE(UPPER(S409)," ",""),":",": "))),0)),"-")</f>
        <v>-</v>
      </c>
      <c r="K409" s="49"/>
    </row>
    <row r="410" spans="1:11" x14ac:dyDescent="0.25">
      <c r="A410" s="46" t="str" cm="1">
        <f t="array" ref="A410">IFERROR(INDEX(#REF!,MATCH(TRUE,ISNUMBER(FIND(SUBSTITUTE(SUBSTITUTE(UPPER(#REF!)," ",""),":",": "),SUBSTITUTE(SUBSTITUTE(UPPER(S410)," ",""),":",": "))),0)),"Undefined")</f>
        <v>Undefined</v>
      </c>
      <c r="B410" s="42" t="str" cm="1">
        <f t="array" ref="B410">IFERROR(INDEX({"URGENTE"},MATCH(TRUE,ISNUMBER(FIND(SUBSTITUTE(SUBSTITUTE(UPPER({"URGENTE"})," ",""),":",": "),SUBSTITUTE(SUBSTITUTE(UPPER(S410)," ",""),":",": "))),0)),"-")</f>
        <v>-</v>
      </c>
      <c r="C410" s="46" t="str" cm="1">
        <f t="array" ref="C410">IFERROR(INDEX(#REF!,MATCH(TRUE,ISNUMBER(FIND(SUBSTITUTE(SUBSTITUTE(UPPER(#REF!)," ",""),":",": "),SUBSTITUTE(SUBSTITUTE(UPPER(S410)," ",""),":",": "))),0)),"Não encontrado")</f>
        <v>Não encontrado</v>
      </c>
      <c r="D410" s="46" t="str" cm="1">
        <f t="array" ref="D410">IFERROR(INDEX(#REF!,MATCH(TRUE,ISNUMBER(FIND(SUBSTITUTE(SUBSTITUTE(UPPER(#REF!)," ",""),":",": "),SUBSTITUTE(SUBSTITUTE(UPPER(S410)," ",""),":",": "))),0)),"Não encontrado")</f>
        <v>Não encontrado</v>
      </c>
      <c r="E410" s="42" t="str" cm="1">
        <f t="array" ref="E410">IFERROR(INDEX({"IMPEDITIVO"},MATCH(TRUE,ISNUMBER(FIND(SUBSTITUTE(SUBSTITUTE(UPPER({"IMPEDITIVO"})," ",""),":",": "),SUBSTITUTE(SUBSTITUTE(UPPER(S410)," ",""),":",": "))),0)),"-")</f>
        <v>-</v>
      </c>
      <c r="K410" s="49"/>
    </row>
    <row r="411" spans="1:11" x14ac:dyDescent="0.25">
      <c r="A411" s="46" t="str" cm="1">
        <f t="array" ref="A411">IFERROR(INDEX(#REF!,MATCH(TRUE,ISNUMBER(FIND(SUBSTITUTE(SUBSTITUTE(UPPER(#REF!)," ",""),":",": "),SUBSTITUTE(SUBSTITUTE(UPPER(S411)," ",""),":",": "))),0)),"Undefined")</f>
        <v>Undefined</v>
      </c>
      <c r="B411" s="42" t="str" cm="1">
        <f t="array" ref="B411">IFERROR(INDEX({"URGENTE"},MATCH(TRUE,ISNUMBER(FIND(SUBSTITUTE(SUBSTITUTE(UPPER({"URGENTE"})," ",""),":",": "),SUBSTITUTE(SUBSTITUTE(UPPER(S411)," ",""),":",": "))),0)),"-")</f>
        <v>-</v>
      </c>
      <c r="C411" s="46" t="str" cm="1">
        <f t="array" ref="C411">IFERROR(INDEX(#REF!,MATCH(TRUE,ISNUMBER(FIND(SUBSTITUTE(SUBSTITUTE(UPPER(#REF!)," ",""),":",": "),SUBSTITUTE(SUBSTITUTE(UPPER(S411)," ",""),":",": "))),0)),"Não encontrado")</f>
        <v>Não encontrado</v>
      </c>
      <c r="D411" s="46" t="str" cm="1">
        <f t="array" ref="D411">IFERROR(INDEX(#REF!,MATCH(TRUE,ISNUMBER(FIND(SUBSTITUTE(SUBSTITUTE(UPPER(#REF!)," ",""),":",": "),SUBSTITUTE(SUBSTITUTE(UPPER(S411)," ",""),":",": "))),0)),"Não encontrado")</f>
        <v>Não encontrado</v>
      </c>
      <c r="E411" s="42" t="str" cm="1">
        <f t="array" ref="E411">IFERROR(INDEX({"IMPEDITIVO"},MATCH(TRUE,ISNUMBER(FIND(SUBSTITUTE(SUBSTITUTE(UPPER({"IMPEDITIVO"})," ",""),":",": "),SUBSTITUTE(SUBSTITUTE(UPPER(S411)," ",""),":",": "))),0)),"-")</f>
        <v>-</v>
      </c>
      <c r="K411" s="49"/>
    </row>
    <row r="412" spans="1:11" x14ac:dyDescent="0.25">
      <c r="A412" s="46" t="str" cm="1">
        <f t="array" ref="A412">IFERROR(INDEX(#REF!,MATCH(TRUE,ISNUMBER(FIND(SUBSTITUTE(SUBSTITUTE(UPPER(#REF!)," ",""),":",": "),SUBSTITUTE(SUBSTITUTE(UPPER(S412)," ",""),":",": "))),0)),"Undefined")</f>
        <v>Undefined</v>
      </c>
      <c r="B412" s="42" t="str" cm="1">
        <f t="array" ref="B412">IFERROR(INDEX({"URGENTE"},MATCH(TRUE,ISNUMBER(FIND(SUBSTITUTE(SUBSTITUTE(UPPER({"URGENTE"})," ",""),":",": "),SUBSTITUTE(SUBSTITUTE(UPPER(S412)," ",""),":",": "))),0)),"-")</f>
        <v>-</v>
      </c>
      <c r="C412" s="46" t="str" cm="1">
        <f t="array" ref="C412">IFERROR(INDEX(#REF!,MATCH(TRUE,ISNUMBER(FIND(SUBSTITUTE(SUBSTITUTE(UPPER(#REF!)," ",""),":",": "),SUBSTITUTE(SUBSTITUTE(UPPER(S412)," ",""),":",": "))),0)),"Não encontrado")</f>
        <v>Não encontrado</v>
      </c>
      <c r="D412" s="46" t="str" cm="1">
        <f t="array" ref="D412">IFERROR(INDEX(#REF!,MATCH(TRUE,ISNUMBER(FIND(SUBSTITUTE(SUBSTITUTE(UPPER(#REF!)," ",""),":",": "),SUBSTITUTE(SUBSTITUTE(UPPER(S412)," ",""),":",": "))),0)),"Não encontrado")</f>
        <v>Não encontrado</v>
      </c>
      <c r="E412" s="42" t="str" cm="1">
        <f t="array" ref="E412">IFERROR(INDEX({"IMPEDITIVO"},MATCH(TRUE,ISNUMBER(FIND(SUBSTITUTE(SUBSTITUTE(UPPER({"IMPEDITIVO"})," ",""),":",": "),SUBSTITUTE(SUBSTITUTE(UPPER(S412)," ",""),":",": "))),0)),"-")</f>
        <v>-</v>
      </c>
      <c r="K412" s="49"/>
    </row>
    <row r="413" spans="1:11" x14ac:dyDescent="0.25">
      <c r="A413" s="46" t="str" cm="1">
        <f t="array" ref="A413">IFERROR(INDEX(#REF!,MATCH(TRUE,ISNUMBER(FIND(SUBSTITUTE(SUBSTITUTE(UPPER(#REF!)," ",""),":",": "),SUBSTITUTE(SUBSTITUTE(UPPER(S413)," ",""),":",": "))),0)),"Undefined")</f>
        <v>Undefined</v>
      </c>
      <c r="B413" s="42" t="str" cm="1">
        <f t="array" ref="B413">IFERROR(INDEX({"URGENTE"},MATCH(TRUE,ISNUMBER(FIND(SUBSTITUTE(SUBSTITUTE(UPPER({"URGENTE"})," ",""),":",": "),SUBSTITUTE(SUBSTITUTE(UPPER(S413)," ",""),":",": "))),0)),"-")</f>
        <v>-</v>
      </c>
      <c r="C413" s="46" t="str" cm="1">
        <f t="array" ref="C413">IFERROR(INDEX(#REF!,MATCH(TRUE,ISNUMBER(FIND(SUBSTITUTE(SUBSTITUTE(UPPER(#REF!)," ",""),":",": "),SUBSTITUTE(SUBSTITUTE(UPPER(S413)," ",""),":",": "))),0)),"Não encontrado")</f>
        <v>Não encontrado</v>
      </c>
      <c r="D413" s="46" t="str" cm="1">
        <f t="array" ref="D413">IFERROR(INDEX(#REF!,MATCH(TRUE,ISNUMBER(FIND(SUBSTITUTE(SUBSTITUTE(UPPER(#REF!)," ",""),":",": "),SUBSTITUTE(SUBSTITUTE(UPPER(S413)," ",""),":",": "))),0)),"Não encontrado")</f>
        <v>Não encontrado</v>
      </c>
      <c r="E413" s="42" t="str" cm="1">
        <f t="array" ref="E413">IFERROR(INDEX({"IMPEDITIVO"},MATCH(TRUE,ISNUMBER(FIND(SUBSTITUTE(SUBSTITUTE(UPPER({"IMPEDITIVO"})," ",""),":",": "),SUBSTITUTE(SUBSTITUTE(UPPER(S413)," ",""),":",": "))),0)),"-")</f>
        <v>-</v>
      </c>
      <c r="K413" s="49"/>
    </row>
    <row r="414" spans="1:11" x14ac:dyDescent="0.25">
      <c r="A414" s="46" t="str" cm="1">
        <f t="array" ref="A414">IFERROR(INDEX(#REF!,MATCH(TRUE,ISNUMBER(FIND(SUBSTITUTE(SUBSTITUTE(UPPER(#REF!)," ",""),":",": "),SUBSTITUTE(SUBSTITUTE(UPPER(S414)," ",""),":",": "))),0)),"Undefined")</f>
        <v>Undefined</v>
      </c>
      <c r="B414" s="42" t="str" cm="1">
        <f t="array" ref="B414">IFERROR(INDEX({"URGENTE"},MATCH(TRUE,ISNUMBER(FIND(SUBSTITUTE(SUBSTITUTE(UPPER({"URGENTE"})," ",""),":",": "),SUBSTITUTE(SUBSTITUTE(UPPER(S414)," ",""),":",": "))),0)),"-")</f>
        <v>-</v>
      </c>
      <c r="C414" s="46" t="str" cm="1">
        <f t="array" ref="C414">IFERROR(INDEX(#REF!,MATCH(TRUE,ISNUMBER(FIND(SUBSTITUTE(SUBSTITUTE(UPPER(#REF!)," ",""),":",": "),SUBSTITUTE(SUBSTITUTE(UPPER(S414)," ",""),":",": "))),0)),"Não encontrado")</f>
        <v>Não encontrado</v>
      </c>
      <c r="D414" s="46" t="str" cm="1">
        <f t="array" ref="D414">IFERROR(INDEX(#REF!,MATCH(TRUE,ISNUMBER(FIND(SUBSTITUTE(SUBSTITUTE(UPPER(#REF!)," ",""),":",": "),SUBSTITUTE(SUBSTITUTE(UPPER(S414)," ",""),":",": "))),0)),"Não encontrado")</f>
        <v>Não encontrado</v>
      </c>
      <c r="E414" s="42" t="str" cm="1">
        <f t="array" ref="E414">IFERROR(INDEX({"IMPEDITIVO"},MATCH(TRUE,ISNUMBER(FIND(SUBSTITUTE(SUBSTITUTE(UPPER({"IMPEDITIVO"})," ",""),":",": "),SUBSTITUTE(SUBSTITUTE(UPPER(S414)," ",""),":",": "))),0)),"-")</f>
        <v>-</v>
      </c>
      <c r="K414" s="49"/>
    </row>
    <row r="415" spans="1:11" x14ac:dyDescent="0.25">
      <c r="A415" s="46" t="str" cm="1">
        <f t="array" ref="A415">IFERROR(INDEX(#REF!,MATCH(TRUE,ISNUMBER(FIND(SUBSTITUTE(SUBSTITUTE(UPPER(#REF!)," ",""),":",": "),SUBSTITUTE(SUBSTITUTE(UPPER(S415)," ",""),":",": "))),0)),"Undefined")</f>
        <v>Undefined</v>
      </c>
      <c r="B415" s="42" t="str" cm="1">
        <f t="array" ref="B415">IFERROR(INDEX({"URGENTE"},MATCH(TRUE,ISNUMBER(FIND(SUBSTITUTE(SUBSTITUTE(UPPER({"URGENTE"})," ",""),":",": "),SUBSTITUTE(SUBSTITUTE(UPPER(S415)," ",""),":",": "))),0)),"-")</f>
        <v>-</v>
      </c>
      <c r="C415" s="46" t="str" cm="1">
        <f t="array" ref="C415">IFERROR(INDEX(#REF!,MATCH(TRUE,ISNUMBER(FIND(SUBSTITUTE(SUBSTITUTE(UPPER(#REF!)," ",""),":",": "),SUBSTITUTE(SUBSTITUTE(UPPER(S415)," ",""),":",": "))),0)),"Não encontrado")</f>
        <v>Não encontrado</v>
      </c>
      <c r="D415" s="46" t="str" cm="1">
        <f t="array" ref="D415">IFERROR(INDEX(#REF!,MATCH(TRUE,ISNUMBER(FIND(SUBSTITUTE(SUBSTITUTE(UPPER(#REF!)," ",""),":",": "),SUBSTITUTE(SUBSTITUTE(UPPER(S415)," ",""),":",": "))),0)),"Não encontrado")</f>
        <v>Não encontrado</v>
      </c>
      <c r="E415" s="42" t="str" cm="1">
        <f t="array" ref="E415">IFERROR(INDEX({"IMPEDITIVO"},MATCH(TRUE,ISNUMBER(FIND(SUBSTITUTE(SUBSTITUTE(UPPER({"IMPEDITIVO"})," ",""),":",": "),SUBSTITUTE(SUBSTITUTE(UPPER(S415)," ",""),":",": "))),0)),"-")</f>
        <v>-</v>
      </c>
      <c r="K415" s="49"/>
    </row>
    <row r="416" spans="1:11" x14ac:dyDescent="0.25">
      <c r="A416" s="46" t="str" cm="1">
        <f t="array" ref="A416">IFERROR(INDEX(#REF!,MATCH(TRUE,ISNUMBER(FIND(SUBSTITUTE(SUBSTITUTE(UPPER(#REF!)," ",""),":",": "),SUBSTITUTE(SUBSTITUTE(UPPER(S416)," ",""),":",": "))),0)),"Undefined")</f>
        <v>Undefined</v>
      </c>
      <c r="B416" s="42" t="str" cm="1">
        <f t="array" ref="B416">IFERROR(INDEX({"URGENTE"},MATCH(TRUE,ISNUMBER(FIND(SUBSTITUTE(SUBSTITUTE(UPPER({"URGENTE"})," ",""),":",": "),SUBSTITUTE(SUBSTITUTE(UPPER(S416)," ",""),":",": "))),0)),"-")</f>
        <v>-</v>
      </c>
      <c r="C416" s="46" t="str" cm="1">
        <f t="array" ref="C416">IFERROR(INDEX(#REF!,MATCH(TRUE,ISNUMBER(FIND(SUBSTITUTE(SUBSTITUTE(UPPER(#REF!)," ",""),":",": "),SUBSTITUTE(SUBSTITUTE(UPPER(S416)," ",""),":",": "))),0)),"Não encontrado")</f>
        <v>Não encontrado</v>
      </c>
      <c r="D416" s="46" t="str" cm="1">
        <f t="array" ref="D416">IFERROR(INDEX(#REF!,MATCH(TRUE,ISNUMBER(FIND(SUBSTITUTE(SUBSTITUTE(UPPER(#REF!)," ",""),":",": "),SUBSTITUTE(SUBSTITUTE(UPPER(S416)," ",""),":",": "))),0)),"Não encontrado")</f>
        <v>Não encontrado</v>
      </c>
      <c r="E416" s="42" t="str" cm="1">
        <f t="array" ref="E416">IFERROR(INDEX({"IMPEDITIVO"},MATCH(TRUE,ISNUMBER(FIND(SUBSTITUTE(SUBSTITUTE(UPPER({"IMPEDITIVO"})," ",""),":",": "),SUBSTITUTE(SUBSTITUTE(UPPER(S416)," ",""),":",": "))),0)),"-")</f>
        <v>-</v>
      </c>
      <c r="K416" s="49"/>
    </row>
    <row r="417" spans="1:11" x14ac:dyDescent="0.25">
      <c r="A417" s="46" t="str" cm="1">
        <f t="array" ref="A417">IFERROR(INDEX(#REF!,MATCH(TRUE,ISNUMBER(FIND(SUBSTITUTE(SUBSTITUTE(UPPER(#REF!)," ",""),":",": "),SUBSTITUTE(SUBSTITUTE(UPPER(S417)," ",""),":",": "))),0)),"Undefined")</f>
        <v>Undefined</v>
      </c>
      <c r="B417" s="42" t="str" cm="1">
        <f t="array" ref="B417">IFERROR(INDEX({"URGENTE"},MATCH(TRUE,ISNUMBER(FIND(SUBSTITUTE(SUBSTITUTE(UPPER({"URGENTE"})," ",""),":",": "),SUBSTITUTE(SUBSTITUTE(UPPER(S417)," ",""),":",": "))),0)),"-")</f>
        <v>-</v>
      </c>
      <c r="C417" s="46" t="str" cm="1">
        <f t="array" ref="C417">IFERROR(INDEX(#REF!,MATCH(TRUE,ISNUMBER(FIND(SUBSTITUTE(SUBSTITUTE(UPPER(#REF!)," ",""),":",": "),SUBSTITUTE(SUBSTITUTE(UPPER(S417)," ",""),":",": "))),0)),"Não encontrado")</f>
        <v>Não encontrado</v>
      </c>
      <c r="D417" s="46" t="str" cm="1">
        <f t="array" ref="D417">IFERROR(INDEX(#REF!,MATCH(TRUE,ISNUMBER(FIND(SUBSTITUTE(SUBSTITUTE(UPPER(#REF!)," ",""),":",": "),SUBSTITUTE(SUBSTITUTE(UPPER(S417)," ",""),":",": "))),0)),"Não encontrado")</f>
        <v>Não encontrado</v>
      </c>
      <c r="E417" s="42" t="str" cm="1">
        <f t="array" ref="E417">IFERROR(INDEX({"IMPEDITIVO"},MATCH(TRUE,ISNUMBER(FIND(SUBSTITUTE(SUBSTITUTE(UPPER({"IMPEDITIVO"})," ",""),":",": "),SUBSTITUTE(SUBSTITUTE(UPPER(S417)," ",""),":",": "))),0)),"-")</f>
        <v>-</v>
      </c>
      <c r="K417" s="49"/>
    </row>
    <row r="418" spans="1:11" x14ac:dyDescent="0.25">
      <c r="A418" s="46" t="str" cm="1">
        <f t="array" ref="A418">IFERROR(INDEX(#REF!,MATCH(TRUE,ISNUMBER(FIND(SUBSTITUTE(SUBSTITUTE(UPPER(#REF!)," ",""),":",": "),SUBSTITUTE(SUBSTITUTE(UPPER(S418)," ",""),":",": "))),0)),"Undefined")</f>
        <v>Undefined</v>
      </c>
      <c r="B418" s="42" t="str" cm="1">
        <f t="array" ref="B418">IFERROR(INDEX({"URGENTE"},MATCH(TRUE,ISNUMBER(FIND(SUBSTITUTE(SUBSTITUTE(UPPER({"URGENTE"})," ",""),":",": "),SUBSTITUTE(SUBSTITUTE(UPPER(S418)," ",""),":",": "))),0)),"-")</f>
        <v>-</v>
      </c>
      <c r="C418" s="46" t="str" cm="1">
        <f t="array" ref="C418">IFERROR(INDEX(#REF!,MATCH(TRUE,ISNUMBER(FIND(SUBSTITUTE(SUBSTITUTE(UPPER(#REF!)," ",""),":",": "),SUBSTITUTE(SUBSTITUTE(UPPER(S418)," ",""),":",": "))),0)),"Não encontrado")</f>
        <v>Não encontrado</v>
      </c>
      <c r="D418" s="46" t="str" cm="1">
        <f t="array" ref="D418">IFERROR(INDEX(#REF!,MATCH(TRUE,ISNUMBER(FIND(SUBSTITUTE(SUBSTITUTE(UPPER(#REF!)," ",""),":",": "),SUBSTITUTE(SUBSTITUTE(UPPER(S418)," ",""),":",": "))),0)),"Não encontrado")</f>
        <v>Não encontrado</v>
      </c>
      <c r="E418" s="42" t="str" cm="1">
        <f t="array" ref="E418">IFERROR(INDEX({"IMPEDITIVO"},MATCH(TRUE,ISNUMBER(FIND(SUBSTITUTE(SUBSTITUTE(UPPER({"IMPEDITIVO"})," ",""),":",": "),SUBSTITUTE(SUBSTITUTE(UPPER(S418)," ",""),":",": "))),0)),"-")</f>
        <v>-</v>
      </c>
      <c r="K418" s="49"/>
    </row>
    <row r="419" spans="1:11" x14ac:dyDescent="0.25">
      <c r="A419" s="46" t="str" cm="1">
        <f t="array" ref="A419">IFERROR(INDEX(#REF!,MATCH(TRUE,ISNUMBER(FIND(SUBSTITUTE(SUBSTITUTE(UPPER(#REF!)," ",""),":",": "),SUBSTITUTE(SUBSTITUTE(UPPER(S419)," ",""),":",": "))),0)),"Undefined")</f>
        <v>Undefined</v>
      </c>
      <c r="B419" s="42" t="str" cm="1">
        <f t="array" ref="B419">IFERROR(INDEX({"URGENTE"},MATCH(TRUE,ISNUMBER(FIND(SUBSTITUTE(SUBSTITUTE(UPPER({"URGENTE"})," ",""),":",": "),SUBSTITUTE(SUBSTITUTE(UPPER(S419)," ",""),":",": "))),0)),"-")</f>
        <v>-</v>
      </c>
      <c r="C419" s="46" t="str" cm="1">
        <f t="array" ref="C419">IFERROR(INDEX(#REF!,MATCH(TRUE,ISNUMBER(FIND(SUBSTITUTE(SUBSTITUTE(UPPER(#REF!)," ",""),":",": "),SUBSTITUTE(SUBSTITUTE(UPPER(S419)," ",""),":",": "))),0)),"Não encontrado")</f>
        <v>Não encontrado</v>
      </c>
      <c r="D419" s="46" t="str" cm="1">
        <f t="array" ref="D419">IFERROR(INDEX(#REF!,MATCH(TRUE,ISNUMBER(FIND(SUBSTITUTE(SUBSTITUTE(UPPER(#REF!)," ",""),":",": "),SUBSTITUTE(SUBSTITUTE(UPPER(S419)," ",""),":",": "))),0)),"Não encontrado")</f>
        <v>Não encontrado</v>
      </c>
      <c r="E419" s="42" t="str" cm="1">
        <f t="array" ref="E419">IFERROR(INDEX({"IMPEDITIVO"},MATCH(TRUE,ISNUMBER(FIND(SUBSTITUTE(SUBSTITUTE(UPPER({"IMPEDITIVO"})," ",""),":",": "),SUBSTITUTE(SUBSTITUTE(UPPER(S419)," ",""),":",": "))),0)),"-")</f>
        <v>-</v>
      </c>
      <c r="K419" s="49"/>
    </row>
    <row r="420" spans="1:11" x14ac:dyDescent="0.25">
      <c r="A420" s="46" t="str" cm="1">
        <f t="array" ref="A420">IFERROR(INDEX(#REF!,MATCH(TRUE,ISNUMBER(FIND(SUBSTITUTE(SUBSTITUTE(UPPER(#REF!)," ",""),":",": "),SUBSTITUTE(SUBSTITUTE(UPPER(S420)," ",""),":",": "))),0)),"Undefined")</f>
        <v>Undefined</v>
      </c>
      <c r="B420" s="42" t="str" cm="1">
        <f t="array" ref="B420">IFERROR(INDEX({"URGENTE"},MATCH(TRUE,ISNUMBER(FIND(SUBSTITUTE(SUBSTITUTE(UPPER({"URGENTE"})," ",""),":",": "),SUBSTITUTE(SUBSTITUTE(UPPER(S420)," ",""),":",": "))),0)),"-")</f>
        <v>-</v>
      </c>
      <c r="C420" s="46" t="str" cm="1">
        <f t="array" ref="C420">IFERROR(INDEX(#REF!,MATCH(TRUE,ISNUMBER(FIND(SUBSTITUTE(SUBSTITUTE(UPPER(#REF!)," ",""),":",": "),SUBSTITUTE(SUBSTITUTE(UPPER(S420)," ",""),":",": "))),0)),"Não encontrado")</f>
        <v>Não encontrado</v>
      </c>
      <c r="D420" s="46" t="str" cm="1">
        <f t="array" ref="D420">IFERROR(INDEX(#REF!,MATCH(TRUE,ISNUMBER(FIND(SUBSTITUTE(SUBSTITUTE(UPPER(#REF!)," ",""),":",": "),SUBSTITUTE(SUBSTITUTE(UPPER(S420)," ",""),":",": "))),0)),"Não encontrado")</f>
        <v>Não encontrado</v>
      </c>
      <c r="E420" s="42" t="str" cm="1">
        <f t="array" ref="E420">IFERROR(INDEX({"IMPEDITIVO"},MATCH(TRUE,ISNUMBER(FIND(SUBSTITUTE(SUBSTITUTE(UPPER({"IMPEDITIVO"})," ",""),":",": "),SUBSTITUTE(SUBSTITUTE(UPPER(S420)," ",""),":",": "))),0)),"-")</f>
        <v>-</v>
      </c>
      <c r="K420" s="49"/>
    </row>
    <row r="421" spans="1:11" x14ac:dyDescent="0.25">
      <c r="A421" s="46" t="str" cm="1">
        <f t="array" ref="A421">IFERROR(INDEX(#REF!,MATCH(TRUE,ISNUMBER(FIND(SUBSTITUTE(SUBSTITUTE(UPPER(#REF!)," ",""),":",": "),SUBSTITUTE(SUBSTITUTE(UPPER(S421)," ",""),":",": "))),0)),"Undefined")</f>
        <v>Undefined</v>
      </c>
      <c r="B421" s="42" t="str" cm="1">
        <f t="array" ref="B421">IFERROR(INDEX({"URGENTE"},MATCH(TRUE,ISNUMBER(FIND(SUBSTITUTE(SUBSTITUTE(UPPER({"URGENTE"})," ",""),":",": "),SUBSTITUTE(SUBSTITUTE(UPPER(S421)," ",""),":",": "))),0)),"-")</f>
        <v>-</v>
      </c>
      <c r="C421" s="46" t="str" cm="1">
        <f t="array" ref="C421">IFERROR(INDEX(#REF!,MATCH(TRUE,ISNUMBER(FIND(SUBSTITUTE(SUBSTITUTE(UPPER(#REF!)," ",""),":",": "),SUBSTITUTE(SUBSTITUTE(UPPER(S421)," ",""),":",": "))),0)),"Não encontrado")</f>
        <v>Não encontrado</v>
      </c>
      <c r="D421" s="46" t="str" cm="1">
        <f t="array" ref="D421">IFERROR(INDEX(#REF!,MATCH(TRUE,ISNUMBER(FIND(SUBSTITUTE(SUBSTITUTE(UPPER(#REF!)," ",""),":",": "),SUBSTITUTE(SUBSTITUTE(UPPER(S421)," ",""),":",": "))),0)),"Não encontrado")</f>
        <v>Não encontrado</v>
      </c>
      <c r="E421" s="42" t="str" cm="1">
        <f t="array" ref="E421">IFERROR(INDEX({"IMPEDITIVO"},MATCH(TRUE,ISNUMBER(FIND(SUBSTITUTE(SUBSTITUTE(UPPER({"IMPEDITIVO"})," ",""),":",": "),SUBSTITUTE(SUBSTITUTE(UPPER(S421)," ",""),":",": "))),0)),"-")</f>
        <v>-</v>
      </c>
      <c r="K421" s="49"/>
    </row>
    <row r="422" spans="1:11" x14ac:dyDescent="0.25">
      <c r="A422" s="46" t="str" cm="1">
        <f t="array" ref="A422">IFERROR(INDEX(#REF!,MATCH(TRUE,ISNUMBER(FIND(SUBSTITUTE(SUBSTITUTE(UPPER(#REF!)," ",""),":",": "),SUBSTITUTE(SUBSTITUTE(UPPER(S422)," ",""),":",": "))),0)),"Undefined")</f>
        <v>Undefined</v>
      </c>
      <c r="B422" s="42" t="str" cm="1">
        <f t="array" ref="B422">IFERROR(INDEX({"URGENTE"},MATCH(TRUE,ISNUMBER(FIND(SUBSTITUTE(SUBSTITUTE(UPPER({"URGENTE"})," ",""),":",": "),SUBSTITUTE(SUBSTITUTE(UPPER(S422)," ",""),":",": "))),0)),"-")</f>
        <v>-</v>
      </c>
      <c r="C422" s="46" t="str" cm="1">
        <f t="array" ref="C422">IFERROR(INDEX(#REF!,MATCH(TRUE,ISNUMBER(FIND(SUBSTITUTE(SUBSTITUTE(UPPER(#REF!)," ",""),":",": "),SUBSTITUTE(SUBSTITUTE(UPPER(S422)," ",""),":",": "))),0)),"Não encontrado")</f>
        <v>Não encontrado</v>
      </c>
      <c r="D422" s="46" t="str" cm="1">
        <f t="array" ref="D422">IFERROR(INDEX(#REF!,MATCH(TRUE,ISNUMBER(FIND(SUBSTITUTE(SUBSTITUTE(UPPER(#REF!)," ",""),":",": "),SUBSTITUTE(SUBSTITUTE(UPPER(S422)," ",""),":",": "))),0)),"Não encontrado")</f>
        <v>Não encontrado</v>
      </c>
      <c r="E422" s="42" t="str" cm="1">
        <f t="array" ref="E422">IFERROR(INDEX({"IMPEDITIVO"},MATCH(TRUE,ISNUMBER(FIND(SUBSTITUTE(SUBSTITUTE(UPPER({"IMPEDITIVO"})," ",""),":",": "),SUBSTITUTE(SUBSTITUTE(UPPER(S422)," ",""),":",": "))),0)),"-")</f>
        <v>-</v>
      </c>
      <c r="K422" s="49"/>
    </row>
    <row r="423" spans="1:11" x14ac:dyDescent="0.25">
      <c r="A423" s="46" t="str" cm="1">
        <f t="array" ref="A423">IFERROR(INDEX(#REF!,MATCH(TRUE,ISNUMBER(FIND(SUBSTITUTE(SUBSTITUTE(UPPER(#REF!)," ",""),":",": "),SUBSTITUTE(SUBSTITUTE(UPPER(S423)," ",""),":",": "))),0)),"Undefined")</f>
        <v>Undefined</v>
      </c>
      <c r="B423" s="42" t="str" cm="1">
        <f t="array" ref="B423">IFERROR(INDEX({"URGENTE"},MATCH(TRUE,ISNUMBER(FIND(SUBSTITUTE(SUBSTITUTE(UPPER({"URGENTE"})," ",""),":",": "),SUBSTITUTE(SUBSTITUTE(UPPER(S423)," ",""),":",": "))),0)),"-")</f>
        <v>-</v>
      </c>
      <c r="C423" s="46" t="str" cm="1">
        <f t="array" ref="C423">IFERROR(INDEX(#REF!,MATCH(TRUE,ISNUMBER(FIND(SUBSTITUTE(SUBSTITUTE(UPPER(#REF!)," ",""),":",": "),SUBSTITUTE(SUBSTITUTE(UPPER(S423)," ",""),":",": "))),0)),"Não encontrado")</f>
        <v>Não encontrado</v>
      </c>
      <c r="D423" s="46" t="str" cm="1">
        <f t="array" ref="D423">IFERROR(INDEX(#REF!,MATCH(TRUE,ISNUMBER(FIND(SUBSTITUTE(SUBSTITUTE(UPPER(#REF!)," ",""),":",": "),SUBSTITUTE(SUBSTITUTE(UPPER(S423)," ",""),":",": "))),0)),"Não encontrado")</f>
        <v>Não encontrado</v>
      </c>
      <c r="E423" s="42" t="str" cm="1">
        <f t="array" ref="E423">IFERROR(INDEX({"IMPEDITIVO"},MATCH(TRUE,ISNUMBER(FIND(SUBSTITUTE(SUBSTITUTE(UPPER({"IMPEDITIVO"})," ",""),":",": "),SUBSTITUTE(SUBSTITUTE(UPPER(S423)," ",""),":",": "))),0)),"-")</f>
        <v>-</v>
      </c>
      <c r="K423" s="49"/>
    </row>
    <row r="424" spans="1:11" x14ac:dyDescent="0.25">
      <c r="A424" s="46" t="str" cm="1">
        <f t="array" ref="A424">IFERROR(INDEX(#REF!,MATCH(TRUE,ISNUMBER(FIND(SUBSTITUTE(SUBSTITUTE(UPPER(#REF!)," ",""),":",": "),SUBSTITUTE(SUBSTITUTE(UPPER(S424)," ",""),":",": "))),0)),"Undefined")</f>
        <v>Undefined</v>
      </c>
      <c r="B424" s="42" t="str" cm="1">
        <f t="array" ref="B424">IFERROR(INDEX({"URGENTE"},MATCH(TRUE,ISNUMBER(FIND(SUBSTITUTE(SUBSTITUTE(UPPER({"URGENTE"})," ",""),":",": "),SUBSTITUTE(SUBSTITUTE(UPPER(S424)," ",""),":",": "))),0)),"-")</f>
        <v>-</v>
      </c>
      <c r="C424" s="46" t="str" cm="1">
        <f t="array" ref="C424">IFERROR(INDEX(#REF!,MATCH(TRUE,ISNUMBER(FIND(SUBSTITUTE(SUBSTITUTE(UPPER(#REF!)," ",""),":",": "),SUBSTITUTE(SUBSTITUTE(UPPER(S424)," ",""),":",": "))),0)),"Não encontrado")</f>
        <v>Não encontrado</v>
      </c>
      <c r="D424" s="46" t="str" cm="1">
        <f t="array" ref="D424">IFERROR(INDEX(#REF!,MATCH(TRUE,ISNUMBER(FIND(SUBSTITUTE(SUBSTITUTE(UPPER(#REF!)," ",""),":",": "),SUBSTITUTE(SUBSTITUTE(UPPER(S424)," ",""),":",": "))),0)),"Não encontrado")</f>
        <v>Não encontrado</v>
      </c>
      <c r="E424" s="42" t="str" cm="1">
        <f t="array" ref="E424">IFERROR(INDEX({"IMPEDITIVO"},MATCH(TRUE,ISNUMBER(FIND(SUBSTITUTE(SUBSTITUTE(UPPER({"IMPEDITIVO"})," ",""),":",": "),SUBSTITUTE(SUBSTITUTE(UPPER(S424)," ",""),":",": "))),0)),"-")</f>
        <v>-</v>
      </c>
      <c r="K424" s="49"/>
    </row>
    <row r="425" spans="1:11" x14ac:dyDescent="0.25">
      <c r="A425" s="46" t="str" cm="1">
        <f t="array" ref="A425">IFERROR(INDEX(#REF!,MATCH(TRUE,ISNUMBER(FIND(SUBSTITUTE(SUBSTITUTE(UPPER(#REF!)," ",""),":",": "),SUBSTITUTE(SUBSTITUTE(UPPER(S425)," ",""),":",": "))),0)),"Undefined")</f>
        <v>Undefined</v>
      </c>
      <c r="B425" s="42" t="str" cm="1">
        <f t="array" ref="B425">IFERROR(INDEX({"URGENTE"},MATCH(TRUE,ISNUMBER(FIND(SUBSTITUTE(SUBSTITUTE(UPPER({"URGENTE"})," ",""),":",": "),SUBSTITUTE(SUBSTITUTE(UPPER(S425)," ",""),":",": "))),0)),"-")</f>
        <v>-</v>
      </c>
      <c r="C425" s="46" t="str" cm="1">
        <f t="array" ref="C425">IFERROR(INDEX(#REF!,MATCH(TRUE,ISNUMBER(FIND(SUBSTITUTE(SUBSTITUTE(UPPER(#REF!)," ",""),":",": "),SUBSTITUTE(SUBSTITUTE(UPPER(S425)," ",""),":",": "))),0)),"Não encontrado")</f>
        <v>Não encontrado</v>
      </c>
      <c r="D425" s="46" t="str" cm="1">
        <f t="array" ref="D425">IFERROR(INDEX(#REF!,MATCH(TRUE,ISNUMBER(FIND(SUBSTITUTE(SUBSTITUTE(UPPER(#REF!)," ",""),":",": "),SUBSTITUTE(SUBSTITUTE(UPPER(S425)," ",""),":",": "))),0)),"Não encontrado")</f>
        <v>Não encontrado</v>
      </c>
      <c r="E425" s="42" t="str" cm="1">
        <f t="array" ref="E425">IFERROR(INDEX({"IMPEDITIVO"},MATCH(TRUE,ISNUMBER(FIND(SUBSTITUTE(SUBSTITUTE(UPPER({"IMPEDITIVO"})," ",""),":",": "),SUBSTITUTE(SUBSTITUTE(UPPER(S425)," ",""),":",": "))),0)),"-")</f>
        <v>-</v>
      </c>
      <c r="K425" s="49"/>
    </row>
    <row r="426" spans="1:11" x14ac:dyDescent="0.25">
      <c r="A426" s="46" t="str" cm="1">
        <f t="array" ref="A426">IFERROR(INDEX(#REF!,MATCH(TRUE,ISNUMBER(FIND(SUBSTITUTE(SUBSTITUTE(UPPER(#REF!)," ",""),":",": "),SUBSTITUTE(SUBSTITUTE(UPPER(S426)," ",""),":",": "))),0)),"Undefined")</f>
        <v>Undefined</v>
      </c>
      <c r="B426" s="42" t="str" cm="1">
        <f t="array" ref="B426">IFERROR(INDEX({"URGENTE"},MATCH(TRUE,ISNUMBER(FIND(SUBSTITUTE(SUBSTITUTE(UPPER({"URGENTE"})," ",""),":",": "),SUBSTITUTE(SUBSTITUTE(UPPER(S426)," ",""),":",": "))),0)),"-")</f>
        <v>-</v>
      </c>
      <c r="C426" s="46" t="str" cm="1">
        <f t="array" ref="C426">IFERROR(INDEX(#REF!,MATCH(TRUE,ISNUMBER(FIND(SUBSTITUTE(SUBSTITUTE(UPPER(#REF!)," ",""),":",": "),SUBSTITUTE(SUBSTITUTE(UPPER(S426)," ",""),":",": "))),0)),"Não encontrado")</f>
        <v>Não encontrado</v>
      </c>
      <c r="D426" s="46" t="str" cm="1">
        <f t="array" ref="D426">IFERROR(INDEX(#REF!,MATCH(TRUE,ISNUMBER(FIND(SUBSTITUTE(SUBSTITUTE(UPPER(#REF!)," ",""),":",": "),SUBSTITUTE(SUBSTITUTE(UPPER(S426)," ",""),":",": "))),0)),"Não encontrado")</f>
        <v>Não encontrado</v>
      </c>
      <c r="E426" s="42" t="str" cm="1">
        <f t="array" ref="E426">IFERROR(INDEX({"IMPEDITIVO"},MATCH(TRUE,ISNUMBER(FIND(SUBSTITUTE(SUBSTITUTE(UPPER({"IMPEDITIVO"})," ",""),":",": "),SUBSTITUTE(SUBSTITUTE(UPPER(S426)," ",""),":",": "))),0)),"-")</f>
        <v>-</v>
      </c>
      <c r="K426" s="49"/>
    </row>
    <row r="427" spans="1:11" x14ac:dyDescent="0.25">
      <c r="A427" s="46" t="str" cm="1">
        <f t="array" ref="A427">IFERROR(INDEX(#REF!,MATCH(TRUE,ISNUMBER(FIND(SUBSTITUTE(SUBSTITUTE(UPPER(#REF!)," ",""),":",": "),SUBSTITUTE(SUBSTITUTE(UPPER(S427)," ",""),":",": "))),0)),"Undefined")</f>
        <v>Undefined</v>
      </c>
      <c r="B427" s="42" t="str" cm="1">
        <f t="array" ref="B427">IFERROR(INDEX({"URGENTE"},MATCH(TRUE,ISNUMBER(FIND(SUBSTITUTE(SUBSTITUTE(UPPER({"URGENTE"})," ",""),":",": "),SUBSTITUTE(SUBSTITUTE(UPPER(S427)," ",""),":",": "))),0)),"-")</f>
        <v>-</v>
      </c>
      <c r="C427" s="46" t="str" cm="1">
        <f t="array" ref="C427">IFERROR(INDEX(#REF!,MATCH(TRUE,ISNUMBER(FIND(SUBSTITUTE(SUBSTITUTE(UPPER(#REF!)," ",""),":",": "),SUBSTITUTE(SUBSTITUTE(UPPER(S427)," ",""),":",": "))),0)),"Não encontrado")</f>
        <v>Não encontrado</v>
      </c>
      <c r="D427" s="46" t="str" cm="1">
        <f t="array" ref="D427">IFERROR(INDEX(#REF!,MATCH(TRUE,ISNUMBER(FIND(SUBSTITUTE(SUBSTITUTE(UPPER(#REF!)," ",""),":",": "),SUBSTITUTE(SUBSTITUTE(UPPER(S427)," ",""),":",": "))),0)),"Não encontrado")</f>
        <v>Não encontrado</v>
      </c>
      <c r="E427" s="42" t="str" cm="1">
        <f t="array" ref="E427">IFERROR(INDEX({"IMPEDITIVO"},MATCH(TRUE,ISNUMBER(FIND(SUBSTITUTE(SUBSTITUTE(UPPER({"IMPEDITIVO"})," ",""),":",": "),SUBSTITUTE(SUBSTITUTE(UPPER(S427)," ",""),":",": "))),0)),"-")</f>
        <v>-</v>
      </c>
      <c r="K427" s="49"/>
    </row>
    <row r="428" spans="1:11" x14ac:dyDescent="0.25">
      <c r="A428" s="46" t="str" cm="1">
        <f t="array" ref="A428">IFERROR(INDEX(#REF!,MATCH(TRUE,ISNUMBER(FIND(SUBSTITUTE(SUBSTITUTE(UPPER(#REF!)," ",""),":",": "),SUBSTITUTE(SUBSTITUTE(UPPER(S428)," ",""),":",": "))),0)),"Undefined")</f>
        <v>Undefined</v>
      </c>
      <c r="B428" s="42" t="str" cm="1">
        <f t="array" ref="B428">IFERROR(INDEX({"URGENTE"},MATCH(TRUE,ISNUMBER(FIND(SUBSTITUTE(SUBSTITUTE(UPPER({"URGENTE"})," ",""),":",": "),SUBSTITUTE(SUBSTITUTE(UPPER(S428)," ",""),":",": "))),0)),"-")</f>
        <v>-</v>
      </c>
      <c r="C428" s="46" t="str" cm="1">
        <f t="array" ref="C428">IFERROR(INDEX(#REF!,MATCH(TRUE,ISNUMBER(FIND(SUBSTITUTE(SUBSTITUTE(UPPER(#REF!)," ",""),":",": "),SUBSTITUTE(SUBSTITUTE(UPPER(S428)," ",""),":",": "))),0)),"Não encontrado")</f>
        <v>Não encontrado</v>
      </c>
      <c r="D428" s="46" t="str" cm="1">
        <f t="array" ref="D428">IFERROR(INDEX(#REF!,MATCH(TRUE,ISNUMBER(FIND(SUBSTITUTE(SUBSTITUTE(UPPER(#REF!)," ",""),":",": "),SUBSTITUTE(SUBSTITUTE(UPPER(S428)," ",""),":",": "))),0)),"Não encontrado")</f>
        <v>Não encontrado</v>
      </c>
      <c r="E428" s="42" t="str" cm="1">
        <f t="array" ref="E428">IFERROR(INDEX({"IMPEDITIVO"},MATCH(TRUE,ISNUMBER(FIND(SUBSTITUTE(SUBSTITUTE(UPPER({"IMPEDITIVO"})," ",""),":",": "),SUBSTITUTE(SUBSTITUTE(UPPER(S428)," ",""),":",": "))),0)),"-")</f>
        <v>-</v>
      </c>
      <c r="K428" s="49"/>
    </row>
    <row r="429" spans="1:11" x14ac:dyDescent="0.25">
      <c r="A429" s="46" t="str" cm="1">
        <f t="array" ref="A429">IFERROR(INDEX(#REF!,MATCH(TRUE,ISNUMBER(FIND(SUBSTITUTE(SUBSTITUTE(UPPER(#REF!)," ",""),":",": "),SUBSTITUTE(SUBSTITUTE(UPPER(S429)," ",""),":",": "))),0)),"Undefined")</f>
        <v>Undefined</v>
      </c>
      <c r="B429" s="42" t="str" cm="1">
        <f t="array" ref="B429">IFERROR(INDEX({"URGENTE"},MATCH(TRUE,ISNUMBER(FIND(SUBSTITUTE(SUBSTITUTE(UPPER({"URGENTE"})," ",""),":",": "),SUBSTITUTE(SUBSTITUTE(UPPER(S429)," ",""),":",": "))),0)),"-")</f>
        <v>-</v>
      </c>
      <c r="C429" s="46" t="str" cm="1">
        <f t="array" ref="C429">IFERROR(INDEX(#REF!,MATCH(TRUE,ISNUMBER(FIND(SUBSTITUTE(SUBSTITUTE(UPPER(#REF!)," ",""),":",": "),SUBSTITUTE(SUBSTITUTE(UPPER(S429)," ",""),":",": "))),0)),"Não encontrado")</f>
        <v>Não encontrado</v>
      </c>
      <c r="D429" s="46" t="str" cm="1">
        <f t="array" ref="D429">IFERROR(INDEX(#REF!,MATCH(TRUE,ISNUMBER(FIND(SUBSTITUTE(SUBSTITUTE(UPPER(#REF!)," ",""),":",": "),SUBSTITUTE(SUBSTITUTE(UPPER(S429)," ",""),":",": "))),0)),"Não encontrado")</f>
        <v>Não encontrado</v>
      </c>
      <c r="E429" s="42" t="str" cm="1">
        <f t="array" ref="E429">IFERROR(INDEX({"IMPEDITIVO"},MATCH(TRUE,ISNUMBER(FIND(SUBSTITUTE(SUBSTITUTE(UPPER({"IMPEDITIVO"})," ",""),":",": "),SUBSTITUTE(SUBSTITUTE(UPPER(S429)," ",""),":",": "))),0)),"-")</f>
        <v>-</v>
      </c>
      <c r="K429" s="49"/>
    </row>
    <row r="430" spans="1:11" x14ac:dyDescent="0.25">
      <c r="A430" s="46" t="str" cm="1">
        <f t="array" ref="A430">IFERROR(INDEX(#REF!,MATCH(TRUE,ISNUMBER(FIND(SUBSTITUTE(SUBSTITUTE(UPPER(#REF!)," ",""),":",": "),SUBSTITUTE(SUBSTITUTE(UPPER(S430)," ",""),":",": "))),0)),"Undefined")</f>
        <v>Undefined</v>
      </c>
      <c r="B430" s="42" t="str" cm="1">
        <f t="array" ref="B430">IFERROR(INDEX({"URGENTE"},MATCH(TRUE,ISNUMBER(FIND(SUBSTITUTE(SUBSTITUTE(UPPER({"URGENTE"})," ",""),":",": "),SUBSTITUTE(SUBSTITUTE(UPPER(S430)," ",""),":",": "))),0)),"-")</f>
        <v>-</v>
      </c>
      <c r="C430" s="46" t="str" cm="1">
        <f t="array" ref="C430">IFERROR(INDEX(#REF!,MATCH(TRUE,ISNUMBER(FIND(SUBSTITUTE(SUBSTITUTE(UPPER(#REF!)," ",""),":",": "),SUBSTITUTE(SUBSTITUTE(UPPER(S430)," ",""),":",": "))),0)),"Não encontrado")</f>
        <v>Não encontrado</v>
      </c>
      <c r="D430" s="46" t="str" cm="1">
        <f t="array" ref="D430">IFERROR(INDEX(#REF!,MATCH(TRUE,ISNUMBER(FIND(SUBSTITUTE(SUBSTITUTE(UPPER(#REF!)," ",""),":",": "),SUBSTITUTE(SUBSTITUTE(UPPER(S430)," ",""),":",": "))),0)),"Não encontrado")</f>
        <v>Não encontrado</v>
      </c>
      <c r="E430" s="42" t="str" cm="1">
        <f t="array" ref="E430">IFERROR(INDEX({"IMPEDITIVO"},MATCH(TRUE,ISNUMBER(FIND(SUBSTITUTE(SUBSTITUTE(UPPER({"IMPEDITIVO"})," ",""),":",": "),SUBSTITUTE(SUBSTITUTE(UPPER(S430)," ",""),":",": "))),0)),"-")</f>
        <v>-</v>
      </c>
      <c r="K430" s="49"/>
    </row>
    <row r="431" spans="1:11" x14ac:dyDescent="0.25">
      <c r="A431" s="46" t="str" cm="1">
        <f t="array" ref="A431">IFERROR(INDEX(#REF!,MATCH(TRUE,ISNUMBER(FIND(SUBSTITUTE(SUBSTITUTE(UPPER(#REF!)," ",""),":",": "),SUBSTITUTE(SUBSTITUTE(UPPER(S431)," ",""),":",": "))),0)),"Undefined")</f>
        <v>Undefined</v>
      </c>
      <c r="B431" s="42" t="str" cm="1">
        <f t="array" ref="B431">IFERROR(INDEX({"URGENTE"},MATCH(TRUE,ISNUMBER(FIND(SUBSTITUTE(SUBSTITUTE(UPPER({"URGENTE"})," ",""),":",": "),SUBSTITUTE(SUBSTITUTE(UPPER(S431)," ",""),":",": "))),0)),"-")</f>
        <v>-</v>
      </c>
      <c r="C431" s="46" t="str" cm="1">
        <f t="array" ref="C431">IFERROR(INDEX(#REF!,MATCH(TRUE,ISNUMBER(FIND(SUBSTITUTE(SUBSTITUTE(UPPER(#REF!)," ",""),":",": "),SUBSTITUTE(SUBSTITUTE(UPPER(S431)," ",""),":",": "))),0)),"Não encontrado")</f>
        <v>Não encontrado</v>
      </c>
      <c r="D431" s="46" t="str" cm="1">
        <f t="array" ref="D431">IFERROR(INDEX(#REF!,MATCH(TRUE,ISNUMBER(FIND(SUBSTITUTE(SUBSTITUTE(UPPER(#REF!)," ",""),":",": "),SUBSTITUTE(SUBSTITUTE(UPPER(S431)," ",""),":",": "))),0)),"Não encontrado")</f>
        <v>Não encontrado</v>
      </c>
      <c r="E431" s="42" t="str" cm="1">
        <f t="array" ref="E431">IFERROR(INDEX({"IMPEDITIVO"},MATCH(TRUE,ISNUMBER(FIND(SUBSTITUTE(SUBSTITUTE(UPPER({"IMPEDITIVO"})," ",""),":",": "),SUBSTITUTE(SUBSTITUTE(UPPER(S431)," ",""),":",": "))),0)),"-")</f>
        <v>-</v>
      </c>
      <c r="K431" s="49"/>
    </row>
    <row r="432" spans="1:11" x14ac:dyDescent="0.25">
      <c r="A432" s="46" t="str" cm="1">
        <f t="array" ref="A432">IFERROR(INDEX(#REF!,MATCH(TRUE,ISNUMBER(FIND(SUBSTITUTE(SUBSTITUTE(UPPER(#REF!)," ",""),":",": "),SUBSTITUTE(SUBSTITUTE(UPPER(S432)," ",""),":",": "))),0)),"Undefined")</f>
        <v>Undefined</v>
      </c>
      <c r="B432" s="42" t="str" cm="1">
        <f t="array" ref="B432">IFERROR(INDEX({"URGENTE"},MATCH(TRUE,ISNUMBER(FIND(SUBSTITUTE(SUBSTITUTE(UPPER({"URGENTE"})," ",""),":",": "),SUBSTITUTE(SUBSTITUTE(UPPER(S432)," ",""),":",": "))),0)),"-")</f>
        <v>-</v>
      </c>
      <c r="C432" s="46" t="str" cm="1">
        <f t="array" ref="C432">IFERROR(INDEX(#REF!,MATCH(TRUE,ISNUMBER(FIND(SUBSTITUTE(SUBSTITUTE(UPPER(#REF!)," ",""),":",": "),SUBSTITUTE(SUBSTITUTE(UPPER(S432)," ",""),":",": "))),0)),"Não encontrado")</f>
        <v>Não encontrado</v>
      </c>
      <c r="D432" s="46" t="str" cm="1">
        <f t="array" ref="D432">IFERROR(INDEX(#REF!,MATCH(TRUE,ISNUMBER(FIND(SUBSTITUTE(SUBSTITUTE(UPPER(#REF!)," ",""),":",": "),SUBSTITUTE(SUBSTITUTE(UPPER(S432)," ",""),":",": "))),0)),"Não encontrado")</f>
        <v>Não encontrado</v>
      </c>
      <c r="E432" s="42" t="str" cm="1">
        <f t="array" ref="E432">IFERROR(INDEX({"IMPEDITIVO"},MATCH(TRUE,ISNUMBER(FIND(SUBSTITUTE(SUBSTITUTE(UPPER({"IMPEDITIVO"})," ",""),":",": "),SUBSTITUTE(SUBSTITUTE(UPPER(S432)," ",""),":",": "))),0)),"-")</f>
        <v>-</v>
      </c>
      <c r="K432" s="49"/>
    </row>
    <row r="433" spans="1:11" x14ac:dyDescent="0.25">
      <c r="A433" s="46" t="str" cm="1">
        <f t="array" ref="A433">IFERROR(INDEX(#REF!,MATCH(TRUE,ISNUMBER(FIND(SUBSTITUTE(SUBSTITUTE(UPPER(#REF!)," ",""),":",": "),SUBSTITUTE(SUBSTITUTE(UPPER(S433)," ",""),":",": "))),0)),"Undefined")</f>
        <v>Undefined</v>
      </c>
      <c r="B433" s="42" t="str" cm="1">
        <f t="array" ref="B433">IFERROR(INDEX({"URGENTE"},MATCH(TRUE,ISNUMBER(FIND(SUBSTITUTE(SUBSTITUTE(UPPER({"URGENTE"})," ",""),":",": "),SUBSTITUTE(SUBSTITUTE(UPPER(S433)," ",""),":",": "))),0)),"-")</f>
        <v>-</v>
      </c>
      <c r="C433" s="46" t="str" cm="1">
        <f t="array" ref="C433">IFERROR(INDEX(#REF!,MATCH(TRUE,ISNUMBER(FIND(SUBSTITUTE(SUBSTITUTE(UPPER(#REF!)," ",""),":",": "),SUBSTITUTE(SUBSTITUTE(UPPER(S433)," ",""),":",": "))),0)),"Não encontrado")</f>
        <v>Não encontrado</v>
      </c>
      <c r="D433" s="46" t="str" cm="1">
        <f t="array" ref="D433">IFERROR(INDEX(#REF!,MATCH(TRUE,ISNUMBER(FIND(SUBSTITUTE(SUBSTITUTE(UPPER(#REF!)," ",""),":",": "),SUBSTITUTE(SUBSTITUTE(UPPER(S433)," ",""),":",": "))),0)),"Não encontrado")</f>
        <v>Não encontrado</v>
      </c>
      <c r="E433" s="42" t="str" cm="1">
        <f t="array" ref="E433">IFERROR(INDEX({"IMPEDITIVO"},MATCH(TRUE,ISNUMBER(FIND(SUBSTITUTE(SUBSTITUTE(UPPER({"IMPEDITIVO"})," ",""),":",": "),SUBSTITUTE(SUBSTITUTE(UPPER(S433)," ",""),":",": "))),0)),"-")</f>
        <v>-</v>
      </c>
      <c r="K433" s="49"/>
    </row>
    <row r="434" spans="1:11" x14ac:dyDescent="0.25">
      <c r="A434" s="46" t="str" cm="1">
        <f t="array" ref="A434">IFERROR(INDEX(#REF!,MATCH(TRUE,ISNUMBER(FIND(SUBSTITUTE(SUBSTITUTE(UPPER(#REF!)," ",""),":",": "),SUBSTITUTE(SUBSTITUTE(UPPER(S434)," ",""),":",": "))),0)),"Undefined")</f>
        <v>Undefined</v>
      </c>
      <c r="B434" s="42" t="str" cm="1">
        <f t="array" ref="B434">IFERROR(INDEX({"URGENTE"},MATCH(TRUE,ISNUMBER(FIND(SUBSTITUTE(SUBSTITUTE(UPPER({"URGENTE"})," ",""),":",": "),SUBSTITUTE(SUBSTITUTE(UPPER(S434)," ",""),":",": "))),0)),"-")</f>
        <v>-</v>
      </c>
      <c r="C434" s="46" t="str" cm="1">
        <f t="array" ref="C434">IFERROR(INDEX(#REF!,MATCH(TRUE,ISNUMBER(FIND(SUBSTITUTE(SUBSTITUTE(UPPER(#REF!)," ",""),":",": "),SUBSTITUTE(SUBSTITUTE(UPPER(S434)," ",""),":",": "))),0)),"Não encontrado")</f>
        <v>Não encontrado</v>
      </c>
      <c r="D434" s="46" t="str" cm="1">
        <f t="array" ref="D434">IFERROR(INDEX(#REF!,MATCH(TRUE,ISNUMBER(FIND(SUBSTITUTE(SUBSTITUTE(UPPER(#REF!)," ",""),":",": "),SUBSTITUTE(SUBSTITUTE(UPPER(S434)," ",""),":",": "))),0)),"Não encontrado")</f>
        <v>Não encontrado</v>
      </c>
      <c r="E434" s="42" t="str" cm="1">
        <f t="array" ref="E434">IFERROR(INDEX({"IMPEDITIVO"},MATCH(TRUE,ISNUMBER(FIND(SUBSTITUTE(SUBSTITUTE(UPPER({"IMPEDITIVO"})," ",""),":",": "),SUBSTITUTE(SUBSTITUTE(UPPER(S434)," ",""),":",": "))),0)),"-")</f>
        <v>-</v>
      </c>
      <c r="K434" s="49"/>
    </row>
    <row r="435" spans="1:11" x14ac:dyDescent="0.25">
      <c r="A435" s="46" t="str" cm="1">
        <f t="array" ref="A435">IFERROR(INDEX(#REF!,MATCH(TRUE,ISNUMBER(FIND(SUBSTITUTE(SUBSTITUTE(UPPER(#REF!)," ",""),":",": "),SUBSTITUTE(SUBSTITUTE(UPPER(S435)," ",""),":",": "))),0)),"Undefined")</f>
        <v>Undefined</v>
      </c>
      <c r="B435" s="42" t="str" cm="1">
        <f t="array" ref="B435">IFERROR(INDEX({"URGENTE"},MATCH(TRUE,ISNUMBER(FIND(SUBSTITUTE(SUBSTITUTE(UPPER({"URGENTE"})," ",""),":",": "),SUBSTITUTE(SUBSTITUTE(UPPER(S435)," ",""),":",": "))),0)),"-")</f>
        <v>-</v>
      </c>
      <c r="C435" s="46" t="str" cm="1">
        <f t="array" ref="C435">IFERROR(INDEX(#REF!,MATCH(TRUE,ISNUMBER(FIND(SUBSTITUTE(SUBSTITUTE(UPPER(#REF!)," ",""),":",": "),SUBSTITUTE(SUBSTITUTE(UPPER(S435)," ",""),":",": "))),0)),"Não encontrado")</f>
        <v>Não encontrado</v>
      </c>
      <c r="D435" s="46" t="str" cm="1">
        <f t="array" ref="D435">IFERROR(INDEX(#REF!,MATCH(TRUE,ISNUMBER(FIND(SUBSTITUTE(SUBSTITUTE(UPPER(#REF!)," ",""),":",": "),SUBSTITUTE(SUBSTITUTE(UPPER(S435)," ",""),":",": "))),0)),"Não encontrado")</f>
        <v>Não encontrado</v>
      </c>
      <c r="E435" s="42" t="str" cm="1">
        <f t="array" ref="E435">IFERROR(INDEX({"IMPEDITIVO"},MATCH(TRUE,ISNUMBER(FIND(SUBSTITUTE(SUBSTITUTE(UPPER({"IMPEDITIVO"})," ",""),":",": "),SUBSTITUTE(SUBSTITUTE(UPPER(S435)," ",""),":",": "))),0)),"-")</f>
        <v>-</v>
      </c>
      <c r="K435" s="49"/>
    </row>
    <row r="436" spans="1:11" x14ac:dyDescent="0.25">
      <c r="A436" s="46" t="str" cm="1">
        <f t="array" ref="A436">IFERROR(INDEX(#REF!,MATCH(TRUE,ISNUMBER(FIND(SUBSTITUTE(SUBSTITUTE(UPPER(#REF!)," ",""),":",": "),SUBSTITUTE(SUBSTITUTE(UPPER(S436)," ",""),":",": "))),0)),"Undefined")</f>
        <v>Undefined</v>
      </c>
      <c r="B436" s="42" t="str" cm="1">
        <f t="array" ref="B436">IFERROR(INDEX({"URGENTE"},MATCH(TRUE,ISNUMBER(FIND(SUBSTITUTE(SUBSTITUTE(UPPER({"URGENTE"})," ",""),":",": "),SUBSTITUTE(SUBSTITUTE(UPPER(S436)," ",""),":",": "))),0)),"-")</f>
        <v>-</v>
      </c>
      <c r="C436" s="46" t="str" cm="1">
        <f t="array" ref="C436">IFERROR(INDEX(#REF!,MATCH(TRUE,ISNUMBER(FIND(SUBSTITUTE(SUBSTITUTE(UPPER(#REF!)," ",""),":",": "),SUBSTITUTE(SUBSTITUTE(UPPER(S436)," ",""),":",": "))),0)),"Não encontrado")</f>
        <v>Não encontrado</v>
      </c>
      <c r="D436" s="46" t="str" cm="1">
        <f t="array" ref="D436">IFERROR(INDEX(#REF!,MATCH(TRUE,ISNUMBER(FIND(SUBSTITUTE(SUBSTITUTE(UPPER(#REF!)," ",""),":",": "),SUBSTITUTE(SUBSTITUTE(UPPER(S436)," ",""),":",": "))),0)),"Não encontrado")</f>
        <v>Não encontrado</v>
      </c>
      <c r="E436" s="42" t="str" cm="1">
        <f t="array" ref="E436">IFERROR(INDEX({"IMPEDITIVO"},MATCH(TRUE,ISNUMBER(FIND(SUBSTITUTE(SUBSTITUTE(UPPER({"IMPEDITIVO"})," ",""),":",": "),SUBSTITUTE(SUBSTITUTE(UPPER(S436)," ",""),":",": "))),0)),"-")</f>
        <v>-</v>
      </c>
      <c r="K436" s="49"/>
    </row>
    <row r="437" spans="1:11" x14ac:dyDescent="0.25">
      <c r="A437" s="46" t="str" cm="1">
        <f t="array" ref="A437">IFERROR(INDEX(#REF!,MATCH(TRUE,ISNUMBER(FIND(SUBSTITUTE(SUBSTITUTE(UPPER(#REF!)," ",""),":",": "),SUBSTITUTE(SUBSTITUTE(UPPER(S437)," ",""),":",": "))),0)),"Undefined")</f>
        <v>Undefined</v>
      </c>
      <c r="B437" s="42" t="str" cm="1">
        <f t="array" ref="B437">IFERROR(INDEX({"URGENTE"},MATCH(TRUE,ISNUMBER(FIND(SUBSTITUTE(SUBSTITUTE(UPPER({"URGENTE"})," ",""),":",": "),SUBSTITUTE(SUBSTITUTE(UPPER(S437)," ",""),":",": "))),0)),"-")</f>
        <v>-</v>
      </c>
      <c r="C437" s="46" t="str" cm="1">
        <f t="array" ref="C437">IFERROR(INDEX(#REF!,MATCH(TRUE,ISNUMBER(FIND(SUBSTITUTE(SUBSTITUTE(UPPER(#REF!)," ",""),":",": "),SUBSTITUTE(SUBSTITUTE(UPPER(S437)," ",""),":",": "))),0)),"Não encontrado")</f>
        <v>Não encontrado</v>
      </c>
      <c r="D437" s="46" t="str" cm="1">
        <f t="array" ref="D437">IFERROR(INDEX(#REF!,MATCH(TRUE,ISNUMBER(FIND(SUBSTITUTE(SUBSTITUTE(UPPER(#REF!)," ",""),":",": "),SUBSTITUTE(SUBSTITUTE(UPPER(S437)," ",""),":",": "))),0)),"Não encontrado")</f>
        <v>Não encontrado</v>
      </c>
      <c r="E437" s="42" t="str" cm="1">
        <f t="array" ref="E437">IFERROR(INDEX({"IMPEDITIVO"},MATCH(TRUE,ISNUMBER(FIND(SUBSTITUTE(SUBSTITUTE(UPPER({"IMPEDITIVO"})," ",""),":",": "),SUBSTITUTE(SUBSTITUTE(UPPER(S437)," ",""),":",": "))),0)),"-")</f>
        <v>-</v>
      </c>
      <c r="K437" s="49"/>
    </row>
    <row r="438" spans="1:11" x14ac:dyDescent="0.25">
      <c r="A438" s="46" t="str" cm="1">
        <f t="array" ref="A438">IFERROR(INDEX(#REF!,MATCH(TRUE,ISNUMBER(FIND(SUBSTITUTE(SUBSTITUTE(UPPER(#REF!)," ",""),":",": "),SUBSTITUTE(SUBSTITUTE(UPPER(S438)," ",""),":",": "))),0)),"Undefined")</f>
        <v>Undefined</v>
      </c>
      <c r="B438" s="42" t="str" cm="1">
        <f t="array" ref="B438">IFERROR(INDEX({"URGENTE"},MATCH(TRUE,ISNUMBER(FIND(SUBSTITUTE(SUBSTITUTE(UPPER({"URGENTE"})," ",""),":",": "),SUBSTITUTE(SUBSTITUTE(UPPER(S438)," ",""),":",": "))),0)),"-")</f>
        <v>-</v>
      </c>
      <c r="C438" s="46" t="str" cm="1">
        <f t="array" ref="C438">IFERROR(INDEX(#REF!,MATCH(TRUE,ISNUMBER(FIND(SUBSTITUTE(SUBSTITUTE(UPPER(#REF!)," ",""),":",": "),SUBSTITUTE(SUBSTITUTE(UPPER(S438)," ",""),":",": "))),0)),"Não encontrado")</f>
        <v>Não encontrado</v>
      </c>
      <c r="D438" s="46" t="str" cm="1">
        <f t="array" ref="D438">IFERROR(INDEX(#REF!,MATCH(TRUE,ISNUMBER(FIND(SUBSTITUTE(SUBSTITUTE(UPPER(#REF!)," ",""),":",": "),SUBSTITUTE(SUBSTITUTE(UPPER(S438)," ",""),":",": "))),0)),"Não encontrado")</f>
        <v>Não encontrado</v>
      </c>
      <c r="E438" s="42" t="str" cm="1">
        <f t="array" ref="E438">IFERROR(INDEX({"IMPEDITIVO"},MATCH(TRUE,ISNUMBER(FIND(SUBSTITUTE(SUBSTITUTE(UPPER({"IMPEDITIVO"})," ",""),":",": "),SUBSTITUTE(SUBSTITUTE(UPPER(S438)," ",""),":",": "))),0)),"-")</f>
        <v>-</v>
      </c>
      <c r="K438" s="49"/>
    </row>
    <row r="439" spans="1:11" x14ac:dyDescent="0.25">
      <c r="A439" s="46" t="str" cm="1">
        <f t="array" ref="A439">IFERROR(INDEX(#REF!,MATCH(TRUE,ISNUMBER(FIND(SUBSTITUTE(SUBSTITUTE(UPPER(#REF!)," ",""),":",": "),SUBSTITUTE(SUBSTITUTE(UPPER(S439)," ",""),":",": "))),0)),"Undefined")</f>
        <v>Undefined</v>
      </c>
      <c r="B439" s="42" t="str" cm="1">
        <f t="array" ref="B439">IFERROR(INDEX({"URGENTE"},MATCH(TRUE,ISNUMBER(FIND(SUBSTITUTE(SUBSTITUTE(UPPER({"URGENTE"})," ",""),":",": "),SUBSTITUTE(SUBSTITUTE(UPPER(S439)," ",""),":",": "))),0)),"-")</f>
        <v>-</v>
      </c>
      <c r="C439" s="46" t="str" cm="1">
        <f t="array" ref="C439">IFERROR(INDEX(#REF!,MATCH(TRUE,ISNUMBER(FIND(SUBSTITUTE(SUBSTITUTE(UPPER(#REF!)," ",""),":",": "),SUBSTITUTE(SUBSTITUTE(UPPER(S439)," ",""),":",": "))),0)),"Não encontrado")</f>
        <v>Não encontrado</v>
      </c>
      <c r="D439" s="46" t="str" cm="1">
        <f t="array" ref="D439">IFERROR(INDEX(#REF!,MATCH(TRUE,ISNUMBER(FIND(SUBSTITUTE(SUBSTITUTE(UPPER(#REF!)," ",""),":",": "),SUBSTITUTE(SUBSTITUTE(UPPER(S439)," ",""),":",": "))),0)),"Não encontrado")</f>
        <v>Não encontrado</v>
      </c>
      <c r="E439" s="42" t="str" cm="1">
        <f t="array" ref="E439">IFERROR(INDEX({"IMPEDITIVO"},MATCH(TRUE,ISNUMBER(FIND(SUBSTITUTE(SUBSTITUTE(UPPER({"IMPEDITIVO"})," ",""),":",": "),SUBSTITUTE(SUBSTITUTE(UPPER(S439)," ",""),":",": "))),0)),"-")</f>
        <v>-</v>
      </c>
      <c r="K439" s="49"/>
    </row>
    <row r="440" spans="1:11" x14ac:dyDescent="0.25">
      <c r="A440" s="46" t="str" cm="1">
        <f t="array" ref="A440">IFERROR(INDEX(#REF!,MATCH(TRUE,ISNUMBER(FIND(SUBSTITUTE(SUBSTITUTE(UPPER(#REF!)," ",""),":",": "),SUBSTITUTE(SUBSTITUTE(UPPER(S440)," ",""),":",": "))),0)),"Undefined")</f>
        <v>Undefined</v>
      </c>
      <c r="B440" s="42" t="str" cm="1">
        <f t="array" ref="B440">IFERROR(INDEX({"URGENTE"},MATCH(TRUE,ISNUMBER(FIND(SUBSTITUTE(SUBSTITUTE(UPPER({"URGENTE"})," ",""),":",": "),SUBSTITUTE(SUBSTITUTE(UPPER(S440)," ",""),":",": "))),0)),"-")</f>
        <v>-</v>
      </c>
      <c r="C440" s="46" t="str" cm="1">
        <f t="array" ref="C440">IFERROR(INDEX(#REF!,MATCH(TRUE,ISNUMBER(FIND(SUBSTITUTE(SUBSTITUTE(UPPER(#REF!)," ",""),":",": "),SUBSTITUTE(SUBSTITUTE(UPPER(S440)," ",""),":",": "))),0)),"Não encontrado")</f>
        <v>Não encontrado</v>
      </c>
      <c r="D440" s="46" t="str" cm="1">
        <f t="array" ref="D440">IFERROR(INDEX(#REF!,MATCH(TRUE,ISNUMBER(FIND(SUBSTITUTE(SUBSTITUTE(UPPER(#REF!)," ",""),":",": "),SUBSTITUTE(SUBSTITUTE(UPPER(S440)," ",""),":",": "))),0)),"Não encontrado")</f>
        <v>Não encontrado</v>
      </c>
      <c r="E440" s="42" t="str" cm="1">
        <f t="array" ref="E440">IFERROR(INDEX({"IMPEDITIVO"},MATCH(TRUE,ISNUMBER(FIND(SUBSTITUTE(SUBSTITUTE(UPPER({"IMPEDITIVO"})," ",""),":",": "),SUBSTITUTE(SUBSTITUTE(UPPER(S440)," ",""),":",": "))),0)),"-")</f>
        <v>-</v>
      </c>
      <c r="K440" s="49"/>
    </row>
    <row r="441" spans="1:11" x14ac:dyDescent="0.25">
      <c r="A441" s="46" t="str" cm="1">
        <f t="array" ref="A441">IFERROR(INDEX(#REF!,MATCH(TRUE,ISNUMBER(FIND(SUBSTITUTE(SUBSTITUTE(UPPER(#REF!)," ",""),":",": "),SUBSTITUTE(SUBSTITUTE(UPPER(S441)," ",""),":",": "))),0)),"Undefined")</f>
        <v>Undefined</v>
      </c>
      <c r="B441" s="42" t="str" cm="1">
        <f t="array" ref="B441">IFERROR(INDEX({"URGENTE"},MATCH(TRUE,ISNUMBER(FIND(SUBSTITUTE(SUBSTITUTE(UPPER({"URGENTE"})," ",""),":",": "),SUBSTITUTE(SUBSTITUTE(UPPER(S441)," ",""),":",": "))),0)),"-")</f>
        <v>-</v>
      </c>
      <c r="C441" s="46" t="str" cm="1">
        <f t="array" ref="C441">IFERROR(INDEX(#REF!,MATCH(TRUE,ISNUMBER(FIND(SUBSTITUTE(SUBSTITUTE(UPPER(#REF!)," ",""),":",": "),SUBSTITUTE(SUBSTITUTE(UPPER(S441)," ",""),":",": "))),0)),"Não encontrado")</f>
        <v>Não encontrado</v>
      </c>
      <c r="D441" s="46" t="str" cm="1">
        <f t="array" ref="D441">IFERROR(INDEX(#REF!,MATCH(TRUE,ISNUMBER(FIND(SUBSTITUTE(SUBSTITUTE(UPPER(#REF!)," ",""),":",": "),SUBSTITUTE(SUBSTITUTE(UPPER(S441)," ",""),":",": "))),0)),"Não encontrado")</f>
        <v>Não encontrado</v>
      </c>
      <c r="E441" s="42" t="str" cm="1">
        <f t="array" ref="E441">IFERROR(INDEX({"IMPEDITIVO"},MATCH(TRUE,ISNUMBER(FIND(SUBSTITUTE(SUBSTITUTE(UPPER({"IMPEDITIVO"})," ",""),":",": "),SUBSTITUTE(SUBSTITUTE(UPPER(S441)," ",""),":",": "))),0)),"-")</f>
        <v>-</v>
      </c>
      <c r="K441" s="49"/>
    </row>
    <row r="442" spans="1:11" x14ac:dyDescent="0.25">
      <c r="A442" s="46" t="str" cm="1">
        <f t="array" ref="A442">IFERROR(INDEX(#REF!,MATCH(TRUE,ISNUMBER(FIND(SUBSTITUTE(SUBSTITUTE(UPPER(#REF!)," ",""),":",": "),SUBSTITUTE(SUBSTITUTE(UPPER(S442)," ",""),":",": "))),0)),"Undefined")</f>
        <v>Undefined</v>
      </c>
      <c r="B442" s="42" t="str" cm="1">
        <f t="array" ref="B442">IFERROR(INDEX({"URGENTE"},MATCH(TRUE,ISNUMBER(FIND(SUBSTITUTE(SUBSTITUTE(UPPER({"URGENTE"})," ",""),":",": "),SUBSTITUTE(SUBSTITUTE(UPPER(S442)," ",""),":",": "))),0)),"-")</f>
        <v>-</v>
      </c>
      <c r="C442" s="46" t="str" cm="1">
        <f t="array" ref="C442">IFERROR(INDEX(#REF!,MATCH(TRUE,ISNUMBER(FIND(SUBSTITUTE(SUBSTITUTE(UPPER(#REF!)," ",""),":",": "),SUBSTITUTE(SUBSTITUTE(UPPER(S442)," ",""),":",": "))),0)),"Não encontrado")</f>
        <v>Não encontrado</v>
      </c>
      <c r="D442" s="46" t="str" cm="1">
        <f t="array" ref="D442">IFERROR(INDEX(#REF!,MATCH(TRUE,ISNUMBER(FIND(SUBSTITUTE(SUBSTITUTE(UPPER(#REF!)," ",""),":",": "),SUBSTITUTE(SUBSTITUTE(UPPER(S442)," ",""),":",": "))),0)),"Não encontrado")</f>
        <v>Não encontrado</v>
      </c>
      <c r="E442" s="42" t="str" cm="1">
        <f t="array" ref="E442">IFERROR(INDEX({"IMPEDITIVO"},MATCH(TRUE,ISNUMBER(FIND(SUBSTITUTE(SUBSTITUTE(UPPER({"IMPEDITIVO"})," ",""),":",": "),SUBSTITUTE(SUBSTITUTE(UPPER(S442)," ",""),":",": "))),0)),"-")</f>
        <v>-</v>
      </c>
      <c r="K442" s="49"/>
    </row>
    <row r="443" spans="1:11" x14ac:dyDescent="0.25">
      <c r="A443" s="46" t="str" cm="1">
        <f t="array" ref="A443">IFERROR(INDEX(#REF!,MATCH(TRUE,ISNUMBER(FIND(SUBSTITUTE(SUBSTITUTE(UPPER(#REF!)," ",""),":",": "),SUBSTITUTE(SUBSTITUTE(UPPER(S443)," ",""),":",": "))),0)),"Undefined")</f>
        <v>Undefined</v>
      </c>
      <c r="B443" s="42" t="str" cm="1">
        <f t="array" ref="B443">IFERROR(INDEX({"URGENTE"},MATCH(TRUE,ISNUMBER(FIND(SUBSTITUTE(SUBSTITUTE(UPPER({"URGENTE"})," ",""),":",": "),SUBSTITUTE(SUBSTITUTE(UPPER(S443)," ",""),":",": "))),0)),"-")</f>
        <v>-</v>
      </c>
      <c r="C443" s="46" t="str" cm="1">
        <f t="array" ref="C443">IFERROR(INDEX(#REF!,MATCH(TRUE,ISNUMBER(FIND(SUBSTITUTE(SUBSTITUTE(UPPER(#REF!)," ",""),":",": "),SUBSTITUTE(SUBSTITUTE(UPPER(S443)," ",""),":",": "))),0)),"Não encontrado")</f>
        <v>Não encontrado</v>
      </c>
      <c r="D443" s="46" t="str" cm="1">
        <f t="array" ref="D443">IFERROR(INDEX(#REF!,MATCH(TRUE,ISNUMBER(FIND(SUBSTITUTE(SUBSTITUTE(UPPER(#REF!)," ",""),":",": "),SUBSTITUTE(SUBSTITUTE(UPPER(S443)," ",""),":",": "))),0)),"Não encontrado")</f>
        <v>Não encontrado</v>
      </c>
      <c r="E443" s="42" t="str" cm="1">
        <f t="array" ref="E443">IFERROR(INDEX({"IMPEDITIVO"},MATCH(TRUE,ISNUMBER(FIND(SUBSTITUTE(SUBSTITUTE(UPPER({"IMPEDITIVO"})," ",""),":",": "),SUBSTITUTE(SUBSTITUTE(UPPER(S443)," ",""),":",": "))),0)),"-")</f>
        <v>-</v>
      </c>
      <c r="K443" s="49"/>
    </row>
    <row r="444" spans="1:11" x14ac:dyDescent="0.25">
      <c r="A444" s="46" t="str" cm="1">
        <f t="array" ref="A444">IFERROR(INDEX(#REF!,MATCH(TRUE,ISNUMBER(FIND(SUBSTITUTE(SUBSTITUTE(UPPER(#REF!)," ",""),":",": "),SUBSTITUTE(SUBSTITUTE(UPPER(S444)," ",""),":",": "))),0)),"Undefined")</f>
        <v>Undefined</v>
      </c>
      <c r="B444" s="42" t="str" cm="1">
        <f t="array" ref="B444">IFERROR(INDEX({"URGENTE"},MATCH(TRUE,ISNUMBER(FIND(SUBSTITUTE(SUBSTITUTE(UPPER({"URGENTE"})," ",""),":",": "),SUBSTITUTE(SUBSTITUTE(UPPER(S444)," ",""),":",": "))),0)),"-")</f>
        <v>-</v>
      </c>
      <c r="C444" s="46" t="str" cm="1">
        <f t="array" ref="C444">IFERROR(INDEX(#REF!,MATCH(TRUE,ISNUMBER(FIND(SUBSTITUTE(SUBSTITUTE(UPPER(#REF!)," ",""),":",": "),SUBSTITUTE(SUBSTITUTE(UPPER(S444)," ",""),":",": "))),0)),"Não encontrado")</f>
        <v>Não encontrado</v>
      </c>
      <c r="D444" s="46" t="str" cm="1">
        <f t="array" ref="D444">IFERROR(INDEX(#REF!,MATCH(TRUE,ISNUMBER(FIND(SUBSTITUTE(SUBSTITUTE(UPPER(#REF!)," ",""),":",": "),SUBSTITUTE(SUBSTITUTE(UPPER(S444)," ",""),":",": "))),0)),"Não encontrado")</f>
        <v>Não encontrado</v>
      </c>
      <c r="E444" s="42" t="str" cm="1">
        <f t="array" ref="E444">IFERROR(INDEX({"IMPEDITIVO"},MATCH(TRUE,ISNUMBER(FIND(SUBSTITUTE(SUBSTITUTE(UPPER({"IMPEDITIVO"})," ",""),":",": "),SUBSTITUTE(SUBSTITUTE(UPPER(S444)," ",""),":",": "))),0)),"-")</f>
        <v>-</v>
      </c>
      <c r="K444" s="49"/>
    </row>
    <row r="445" spans="1:11" x14ac:dyDescent="0.25">
      <c r="A445" s="46" t="str" cm="1">
        <f t="array" ref="A445">IFERROR(INDEX(#REF!,MATCH(TRUE,ISNUMBER(FIND(SUBSTITUTE(SUBSTITUTE(UPPER(#REF!)," ",""),":",": "),SUBSTITUTE(SUBSTITUTE(UPPER(S445)," ",""),":",": "))),0)),"Undefined")</f>
        <v>Undefined</v>
      </c>
      <c r="B445" s="42" t="str" cm="1">
        <f t="array" ref="B445">IFERROR(INDEX({"URGENTE"},MATCH(TRUE,ISNUMBER(FIND(SUBSTITUTE(SUBSTITUTE(UPPER({"URGENTE"})," ",""),":",": "),SUBSTITUTE(SUBSTITUTE(UPPER(S445)," ",""),":",": "))),0)),"-")</f>
        <v>-</v>
      </c>
      <c r="C445" s="46" t="str" cm="1">
        <f t="array" ref="C445">IFERROR(INDEX(#REF!,MATCH(TRUE,ISNUMBER(FIND(SUBSTITUTE(SUBSTITUTE(UPPER(#REF!)," ",""),":",": "),SUBSTITUTE(SUBSTITUTE(UPPER(S445)," ",""),":",": "))),0)),"Não encontrado")</f>
        <v>Não encontrado</v>
      </c>
      <c r="D445" s="46" t="str" cm="1">
        <f t="array" ref="D445">IFERROR(INDEX(#REF!,MATCH(TRUE,ISNUMBER(FIND(SUBSTITUTE(SUBSTITUTE(UPPER(#REF!)," ",""),":",": "),SUBSTITUTE(SUBSTITUTE(UPPER(S445)," ",""),":",": "))),0)),"Não encontrado")</f>
        <v>Não encontrado</v>
      </c>
      <c r="E445" s="42" t="str" cm="1">
        <f t="array" ref="E445">IFERROR(INDEX({"IMPEDITIVO"},MATCH(TRUE,ISNUMBER(FIND(SUBSTITUTE(SUBSTITUTE(UPPER({"IMPEDITIVO"})," ",""),":",": "),SUBSTITUTE(SUBSTITUTE(UPPER(S445)," ",""),":",": "))),0)),"-")</f>
        <v>-</v>
      </c>
      <c r="K445" s="49"/>
    </row>
    <row r="446" spans="1:11" x14ac:dyDescent="0.25">
      <c r="A446" s="46" t="str" cm="1">
        <f t="array" ref="A446">IFERROR(INDEX(#REF!,MATCH(TRUE,ISNUMBER(FIND(SUBSTITUTE(SUBSTITUTE(UPPER(#REF!)," ",""),":",": "),SUBSTITUTE(SUBSTITUTE(UPPER(S446)," ",""),":",": "))),0)),"Undefined")</f>
        <v>Undefined</v>
      </c>
      <c r="B446" s="42" t="str" cm="1">
        <f t="array" ref="B446">IFERROR(INDEX({"URGENTE"},MATCH(TRUE,ISNUMBER(FIND(SUBSTITUTE(SUBSTITUTE(UPPER({"URGENTE"})," ",""),":",": "),SUBSTITUTE(SUBSTITUTE(UPPER(S446)," ",""),":",": "))),0)),"-")</f>
        <v>-</v>
      </c>
      <c r="C446" s="46" t="str" cm="1">
        <f t="array" ref="C446">IFERROR(INDEX(#REF!,MATCH(TRUE,ISNUMBER(FIND(SUBSTITUTE(SUBSTITUTE(UPPER(#REF!)," ",""),":",": "),SUBSTITUTE(SUBSTITUTE(UPPER(S446)," ",""),":",": "))),0)),"Não encontrado")</f>
        <v>Não encontrado</v>
      </c>
      <c r="D446" s="46" t="str" cm="1">
        <f t="array" ref="D446">IFERROR(INDEX(#REF!,MATCH(TRUE,ISNUMBER(FIND(SUBSTITUTE(SUBSTITUTE(UPPER(#REF!)," ",""),":",": "),SUBSTITUTE(SUBSTITUTE(UPPER(S446)," ",""),":",": "))),0)),"Não encontrado")</f>
        <v>Não encontrado</v>
      </c>
      <c r="E446" s="42" t="str" cm="1">
        <f t="array" ref="E446">IFERROR(INDEX({"IMPEDITIVO"},MATCH(TRUE,ISNUMBER(FIND(SUBSTITUTE(SUBSTITUTE(UPPER({"IMPEDITIVO"})," ",""),":",": "),SUBSTITUTE(SUBSTITUTE(UPPER(S446)," ",""),":",": "))),0)),"-")</f>
        <v>-</v>
      </c>
      <c r="K446" s="49"/>
    </row>
    <row r="447" spans="1:11" x14ac:dyDescent="0.25">
      <c r="A447" s="46" t="str" cm="1">
        <f t="array" ref="A447">IFERROR(INDEX(#REF!,MATCH(TRUE,ISNUMBER(FIND(SUBSTITUTE(SUBSTITUTE(UPPER(#REF!)," ",""),":",": "),SUBSTITUTE(SUBSTITUTE(UPPER(S447)," ",""),":",": "))),0)),"Undefined")</f>
        <v>Undefined</v>
      </c>
      <c r="B447" s="42" t="str" cm="1">
        <f t="array" ref="B447">IFERROR(INDEX({"URGENTE"},MATCH(TRUE,ISNUMBER(FIND(SUBSTITUTE(SUBSTITUTE(UPPER({"URGENTE"})," ",""),":",": "),SUBSTITUTE(SUBSTITUTE(UPPER(S447)," ",""),":",": "))),0)),"-")</f>
        <v>-</v>
      </c>
      <c r="C447" s="46" t="str" cm="1">
        <f t="array" ref="C447">IFERROR(INDEX(#REF!,MATCH(TRUE,ISNUMBER(FIND(SUBSTITUTE(SUBSTITUTE(UPPER(#REF!)," ",""),":",": "),SUBSTITUTE(SUBSTITUTE(UPPER(S447)," ",""),":",": "))),0)),"Não encontrado")</f>
        <v>Não encontrado</v>
      </c>
      <c r="D447" s="46" t="str" cm="1">
        <f t="array" ref="D447">IFERROR(INDEX(#REF!,MATCH(TRUE,ISNUMBER(FIND(SUBSTITUTE(SUBSTITUTE(UPPER(#REF!)," ",""),":",": "),SUBSTITUTE(SUBSTITUTE(UPPER(S447)," ",""),":",": "))),0)),"Não encontrado")</f>
        <v>Não encontrado</v>
      </c>
      <c r="E447" s="42" t="str" cm="1">
        <f t="array" ref="E447">IFERROR(INDEX({"IMPEDITIVO"},MATCH(TRUE,ISNUMBER(FIND(SUBSTITUTE(SUBSTITUTE(UPPER({"IMPEDITIVO"})," ",""),":",": "),SUBSTITUTE(SUBSTITUTE(UPPER(S447)," ",""),":",": "))),0)),"-")</f>
        <v>-</v>
      </c>
      <c r="K447" s="49"/>
    </row>
    <row r="448" spans="1:11" x14ac:dyDescent="0.25">
      <c r="A448" s="46" t="str" cm="1">
        <f t="array" ref="A448">IFERROR(INDEX(#REF!,MATCH(TRUE,ISNUMBER(FIND(SUBSTITUTE(SUBSTITUTE(UPPER(#REF!)," ",""),":",": "),SUBSTITUTE(SUBSTITUTE(UPPER(S448)," ",""),":",": "))),0)),"Undefined")</f>
        <v>Undefined</v>
      </c>
      <c r="B448" s="42" t="str" cm="1">
        <f t="array" ref="B448">IFERROR(INDEX({"URGENTE"},MATCH(TRUE,ISNUMBER(FIND(SUBSTITUTE(SUBSTITUTE(UPPER({"URGENTE"})," ",""),":",": "),SUBSTITUTE(SUBSTITUTE(UPPER(S448)," ",""),":",": "))),0)),"-")</f>
        <v>-</v>
      </c>
      <c r="C448" s="46" t="str" cm="1">
        <f t="array" ref="C448">IFERROR(INDEX(#REF!,MATCH(TRUE,ISNUMBER(FIND(SUBSTITUTE(SUBSTITUTE(UPPER(#REF!)," ",""),":",": "),SUBSTITUTE(SUBSTITUTE(UPPER(S448)," ",""),":",": "))),0)),"Não encontrado")</f>
        <v>Não encontrado</v>
      </c>
      <c r="D448" s="46" t="str" cm="1">
        <f t="array" ref="D448">IFERROR(INDEX(#REF!,MATCH(TRUE,ISNUMBER(FIND(SUBSTITUTE(SUBSTITUTE(UPPER(#REF!)," ",""),":",": "),SUBSTITUTE(SUBSTITUTE(UPPER(S448)," ",""),":",": "))),0)),"Não encontrado")</f>
        <v>Não encontrado</v>
      </c>
      <c r="E448" s="42" t="str" cm="1">
        <f t="array" ref="E448">IFERROR(INDEX({"IMPEDITIVO"},MATCH(TRUE,ISNUMBER(FIND(SUBSTITUTE(SUBSTITUTE(UPPER({"IMPEDITIVO"})," ",""),":",": "),SUBSTITUTE(SUBSTITUTE(UPPER(S448)," ",""),":",": "))),0)),"-")</f>
        <v>-</v>
      </c>
      <c r="K448" s="49"/>
    </row>
    <row r="449" spans="1:11" x14ac:dyDescent="0.25">
      <c r="A449" s="46" t="str" cm="1">
        <f t="array" ref="A449">IFERROR(INDEX(#REF!,MATCH(TRUE,ISNUMBER(FIND(SUBSTITUTE(SUBSTITUTE(UPPER(#REF!)," ",""),":",": "),SUBSTITUTE(SUBSTITUTE(UPPER(S449)," ",""),":",": "))),0)),"Undefined")</f>
        <v>Undefined</v>
      </c>
      <c r="B449" s="42" t="str" cm="1">
        <f t="array" ref="B449">IFERROR(INDEX({"URGENTE"},MATCH(TRUE,ISNUMBER(FIND(SUBSTITUTE(SUBSTITUTE(UPPER({"URGENTE"})," ",""),":",": "),SUBSTITUTE(SUBSTITUTE(UPPER(S449)," ",""),":",": "))),0)),"-")</f>
        <v>-</v>
      </c>
      <c r="C449" s="46" t="str" cm="1">
        <f t="array" ref="C449">IFERROR(INDEX(#REF!,MATCH(TRUE,ISNUMBER(FIND(SUBSTITUTE(SUBSTITUTE(UPPER(#REF!)," ",""),":",": "),SUBSTITUTE(SUBSTITUTE(UPPER(S449)," ",""),":",": "))),0)),"Não encontrado")</f>
        <v>Não encontrado</v>
      </c>
      <c r="D449" s="46" t="str" cm="1">
        <f t="array" ref="D449">IFERROR(INDEX(#REF!,MATCH(TRUE,ISNUMBER(FIND(SUBSTITUTE(SUBSTITUTE(UPPER(#REF!)," ",""),":",": "),SUBSTITUTE(SUBSTITUTE(UPPER(S449)," ",""),":",": "))),0)),"Não encontrado")</f>
        <v>Não encontrado</v>
      </c>
      <c r="E449" s="42" t="str" cm="1">
        <f t="array" ref="E449">IFERROR(INDEX({"IMPEDITIVO"},MATCH(TRUE,ISNUMBER(FIND(SUBSTITUTE(SUBSTITUTE(UPPER({"IMPEDITIVO"})," ",""),":",": "),SUBSTITUTE(SUBSTITUTE(UPPER(S449)," ",""),":",": "))),0)),"-")</f>
        <v>-</v>
      </c>
      <c r="K449" s="49"/>
    </row>
    <row r="450" spans="1:11" x14ac:dyDescent="0.25">
      <c r="A450" s="46" t="str" cm="1">
        <f t="array" ref="A450">IFERROR(INDEX(#REF!,MATCH(TRUE,ISNUMBER(FIND(SUBSTITUTE(SUBSTITUTE(UPPER(#REF!)," ",""),":",": "),SUBSTITUTE(SUBSTITUTE(UPPER(S450)," ",""),":",": "))),0)),"Undefined")</f>
        <v>Undefined</v>
      </c>
      <c r="B450" s="42" t="str" cm="1">
        <f t="array" ref="B450">IFERROR(INDEX({"URGENTE"},MATCH(TRUE,ISNUMBER(FIND(SUBSTITUTE(SUBSTITUTE(UPPER({"URGENTE"})," ",""),":",": "),SUBSTITUTE(SUBSTITUTE(UPPER(S450)," ",""),":",": "))),0)),"-")</f>
        <v>-</v>
      </c>
      <c r="C450" s="46" t="str" cm="1">
        <f t="array" ref="C450">IFERROR(INDEX(#REF!,MATCH(TRUE,ISNUMBER(FIND(SUBSTITUTE(SUBSTITUTE(UPPER(#REF!)," ",""),":",": "),SUBSTITUTE(SUBSTITUTE(UPPER(S450)," ",""),":",": "))),0)),"Não encontrado")</f>
        <v>Não encontrado</v>
      </c>
      <c r="D450" s="46" t="str" cm="1">
        <f t="array" ref="D450">IFERROR(INDEX(#REF!,MATCH(TRUE,ISNUMBER(FIND(SUBSTITUTE(SUBSTITUTE(UPPER(#REF!)," ",""),":",": "),SUBSTITUTE(SUBSTITUTE(UPPER(S450)," ",""),":",": "))),0)),"Não encontrado")</f>
        <v>Não encontrado</v>
      </c>
      <c r="E450" s="42" t="str" cm="1">
        <f t="array" ref="E450">IFERROR(INDEX({"IMPEDITIVO"},MATCH(TRUE,ISNUMBER(FIND(SUBSTITUTE(SUBSTITUTE(UPPER({"IMPEDITIVO"})," ",""),":",": "),SUBSTITUTE(SUBSTITUTE(UPPER(S450)," ",""),":",": "))),0)),"-")</f>
        <v>-</v>
      </c>
      <c r="K450" s="49"/>
    </row>
    <row r="451" spans="1:11" x14ac:dyDescent="0.25">
      <c r="A451" s="46" t="str" cm="1">
        <f t="array" ref="A451">IFERROR(INDEX(#REF!,MATCH(TRUE,ISNUMBER(FIND(SUBSTITUTE(SUBSTITUTE(UPPER(#REF!)," ",""),":",": "),SUBSTITUTE(SUBSTITUTE(UPPER(S451)," ",""),":",": "))),0)),"Undefined")</f>
        <v>Undefined</v>
      </c>
      <c r="B451" s="42" t="str" cm="1">
        <f t="array" ref="B451">IFERROR(INDEX({"URGENTE"},MATCH(TRUE,ISNUMBER(FIND(SUBSTITUTE(SUBSTITUTE(UPPER({"URGENTE"})," ",""),":",": "),SUBSTITUTE(SUBSTITUTE(UPPER(S451)," ",""),":",": "))),0)),"-")</f>
        <v>-</v>
      </c>
      <c r="C451" s="46" t="str" cm="1">
        <f t="array" ref="C451">IFERROR(INDEX(#REF!,MATCH(TRUE,ISNUMBER(FIND(SUBSTITUTE(SUBSTITUTE(UPPER(#REF!)," ",""),":",": "),SUBSTITUTE(SUBSTITUTE(UPPER(S451)," ",""),":",": "))),0)),"Não encontrado")</f>
        <v>Não encontrado</v>
      </c>
      <c r="D451" s="46" t="str" cm="1">
        <f t="array" ref="D451">IFERROR(INDEX(#REF!,MATCH(TRUE,ISNUMBER(FIND(SUBSTITUTE(SUBSTITUTE(UPPER(#REF!)," ",""),":",": "),SUBSTITUTE(SUBSTITUTE(UPPER(S451)," ",""),":",": "))),0)),"Não encontrado")</f>
        <v>Não encontrado</v>
      </c>
      <c r="E451" s="42" t="str" cm="1">
        <f t="array" ref="E451">IFERROR(INDEX({"IMPEDITIVO"},MATCH(TRUE,ISNUMBER(FIND(SUBSTITUTE(SUBSTITUTE(UPPER({"IMPEDITIVO"})," ",""),":",": "),SUBSTITUTE(SUBSTITUTE(UPPER(S451)," ",""),":",": "))),0)),"-")</f>
        <v>-</v>
      </c>
      <c r="K451" s="49"/>
    </row>
    <row r="452" spans="1:11" x14ac:dyDescent="0.25">
      <c r="A452" s="46" t="str" cm="1">
        <f t="array" ref="A452">IFERROR(INDEX(#REF!,MATCH(TRUE,ISNUMBER(FIND(SUBSTITUTE(SUBSTITUTE(UPPER(#REF!)," ",""),":",": "),SUBSTITUTE(SUBSTITUTE(UPPER(S452)," ",""),":",": "))),0)),"Undefined")</f>
        <v>Undefined</v>
      </c>
      <c r="B452" s="42" t="str" cm="1">
        <f t="array" ref="B452">IFERROR(INDEX({"URGENTE"},MATCH(TRUE,ISNUMBER(FIND(SUBSTITUTE(SUBSTITUTE(UPPER({"URGENTE"})," ",""),":",": "),SUBSTITUTE(SUBSTITUTE(UPPER(S452)," ",""),":",": "))),0)),"-")</f>
        <v>-</v>
      </c>
      <c r="C452" s="46" t="str" cm="1">
        <f t="array" ref="C452">IFERROR(INDEX(#REF!,MATCH(TRUE,ISNUMBER(FIND(SUBSTITUTE(SUBSTITUTE(UPPER(#REF!)," ",""),":",": "),SUBSTITUTE(SUBSTITUTE(UPPER(S452)," ",""),":",": "))),0)),"Não encontrado")</f>
        <v>Não encontrado</v>
      </c>
      <c r="D452" s="46" t="str" cm="1">
        <f t="array" ref="D452">IFERROR(INDEX(#REF!,MATCH(TRUE,ISNUMBER(FIND(SUBSTITUTE(SUBSTITUTE(UPPER(#REF!)," ",""),":",": "),SUBSTITUTE(SUBSTITUTE(UPPER(S452)," ",""),":",": "))),0)),"Não encontrado")</f>
        <v>Não encontrado</v>
      </c>
      <c r="E452" s="42" t="str" cm="1">
        <f t="array" ref="E452">IFERROR(INDEX({"IMPEDITIVO"},MATCH(TRUE,ISNUMBER(FIND(SUBSTITUTE(SUBSTITUTE(UPPER({"IMPEDITIVO"})," ",""),":",": "),SUBSTITUTE(SUBSTITUTE(UPPER(S452)," ",""),":",": "))),0)),"-")</f>
        <v>-</v>
      </c>
      <c r="K452" s="49"/>
    </row>
    <row r="453" spans="1:11" x14ac:dyDescent="0.25">
      <c r="A453" s="46" t="str" cm="1">
        <f t="array" ref="A453">IFERROR(INDEX(#REF!,MATCH(TRUE,ISNUMBER(FIND(SUBSTITUTE(SUBSTITUTE(UPPER(#REF!)," ",""),":",": "),SUBSTITUTE(SUBSTITUTE(UPPER(S453)," ",""),":",": "))),0)),"Undefined")</f>
        <v>Undefined</v>
      </c>
      <c r="B453" s="42" t="str" cm="1">
        <f t="array" ref="B453">IFERROR(INDEX({"URGENTE"},MATCH(TRUE,ISNUMBER(FIND(SUBSTITUTE(SUBSTITUTE(UPPER({"URGENTE"})," ",""),":",": "),SUBSTITUTE(SUBSTITUTE(UPPER(S453)," ",""),":",": "))),0)),"-")</f>
        <v>-</v>
      </c>
      <c r="C453" s="46" t="str" cm="1">
        <f t="array" ref="C453">IFERROR(INDEX(#REF!,MATCH(TRUE,ISNUMBER(FIND(SUBSTITUTE(SUBSTITUTE(UPPER(#REF!)," ",""),":",": "),SUBSTITUTE(SUBSTITUTE(UPPER(S453)," ",""),":",": "))),0)),"Não encontrado")</f>
        <v>Não encontrado</v>
      </c>
      <c r="D453" s="46" t="str" cm="1">
        <f t="array" ref="D453">IFERROR(INDEX(#REF!,MATCH(TRUE,ISNUMBER(FIND(SUBSTITUTE(SUBSTITUTE(UPPER(#REF!)," ",""),":",": "),SUBSTITUTE(SUBSTITUTE(UPPER(S453)," ",""),":",": "))),0)),"Não encontrado")</f>
        <v>Não encontrado</v>
      </c>
      <c r="E453" s="42" t="str" cm="1">
        <f t="array" ref="E453">IFERROR(INDEX({"IMPEDITIVO"},MATCH(TRUE,ISNUMBER(FIND(SUBSTITUTE(SUBSTITUTE(UPPER({"IMPEDITIVO"})," ",""),":",": "),SUBSTITUTE(SUBSTITUTE(UPPER(S453)," ",""),":",": "))),0)),"-")</f>
        <v>-</v>
      </c>
      <c r="K453" s="49"/>
    </row>
    <row r="454" spans="1:11" x14ac:dyDescent="0.25">
      <c r="A454" s="46" t="str" cm="1">
        <f t="array" ref="A454">IFERROR(INDEX(#REF!,MATCH(TRUE,ISNUMBER(FIND(SUBSTITUTE(SUBSTITUTE(UPPER(#REF!)," ",""),":",": "),SUBSTITUTE(SUBSTITUTE(UPPER(S454)," ",""),":",": "))),0)),"Undefined")</f>
        <v>Undefined</v>
      </c>
      <c r="B454" s="42" t="str" cm="1">
        <f t="array" ref="B454">IFERROR(INDEX({"URGENTE"},MATCH(TRUE,ISNUMBER(FIND(SUBSTITUTE(SUBSTITUTE(UPPER({"URGENTE"})," ",""),":",": "),SUBSTITUTE(SUBSTITUTE(UPPER(S454)," ",""),":",": "))),0)),"-")</f>
        <v>-</v>
      </c>
      <c r="C454" s="46" t="str" cm="1">
        <f t="array" ref="C454">IFERROR(INDEX(#REF!,MATCH(TRUE,ISNUMBER(FIND(SUBSTITUTE(SUBSTITUTE(UPPER(#REF!)," ",""),":",": "),SUBSTITUTE(SUBSTITUTE(UPPER(S454)," ",""),":",": "))),0)),"Não encontrado")</f>
        <v>Não encontrado</v>
      </c>
      <c r="D454" s="46" t="str" cm="1">
        <f t="array" ref="D454">IFERROR(INDEX(#REF!,MATCH(TRUE,ISNUMBER(FIND(SUBSTITUTE(SUBSTITUTE(UPPER(#REF!)," ",""),":",": "),SUBSTITUTE(SUBSTITUTE(UPPER(S454)," ",""),":",": "))),0)),"Não encontrado")</f>
        <v>Não encontrado</v>
      </c>
      <c r="E454" s="42" t="str" cm="1">
        <f t="array" ref="E454">IFERROR(INDEX({"IMPEDITIVO"},MATCH(TRUE,ISNUMBER(FIND(SUBSTITUTE(SUBSTITUTE(UPPER({"IMPEDITIVO"})," ",""),":",": "),SUBSTITUTE(SUBSTITUTE(UPPER(S454)," ",""),":",": "))),0)),"-")</f>
        <v>-</v>
      </c>
      <c r="K454" s="49"/>
    </row>
    <row r="455" spans="1:11" x14ac:dyDescent="0.25">
      <c r="A455" s="46" t="str" cm="1">
        <f t="array" ref="A455">IFERROR(INDEX(#REF!,MATCH(TRUE,ISNUMBER(FIND(SUBSTITUTE(SUBSTITUTE(UPPER(#REF!)," ",""),":",": "),SUBSTITUTE(SUBSTITUTE(UPPER(S455)," ",""),":",": "))),0)),"Undefined")</f>
        <v>Undefined</v>
      </c>
      <c r="B455" s="42" t="str" cm="1">
        <f t="array" ref="B455">IFERROR(INDEX({"URGENTE"},MATCH(TRUE,ISNUMBER(FIND(SUBSTITUTE(SUBSTITUTE(UPPER({"URGENTE"})," ",""),":",": "),SUBSTITUTE(SUBSTITUTE(UPPER(S455)," ",""),":",": "))),0)),"-")</f>
        <v>-</v>
      </c>
      <c r="C455" s="46" t="str" cm="1">
        <f t="array" ref="C455">IFERROR(INDEX(#REF!,MATCH(TRUE,ISNUMBER(FIND(SUBSTITUTE(SUBSTITUTE(UPPER(#REF!)," ",""),":",": "),SUBSTITUTE(SUBSTITUTE(UPPER(S455)," ",""),":",": "))),0)),"Não encontrado")</f>
        <v>Não encontrado</v>
      </c>
      <c r="D455" s="46" t="str" cm="1">
        <f t="array" ref="D455">IFERROR(INDEX(#REF!,MATCH(TRUE,ISNUMBER(FIND(SUBSTITUTE(SUBSTITUTE(UPPER(#REF!)," ",""),":",": "),SUBSTITUTE(SUBSTITUTE(UPPER(S455)," ",""),":",": "))),0)),"Não encontrado")</f>
        <v>Não encontrado</v>
      </c>
      <c r="E455" s="42" t="str" cm="1">
        <f t="array" ref="E455">IFERROR(INDEX({"IMPEDITIVO"},MATCH(TRUE,ISNUMBER(FIND(SUBSTITUTE(SUBSTITUTE(UPPER({"IMPEDITIVO"})," ",""),":",": "),SUBSTITUTE(SUBSTITUTE(UPPER(S455)," ",""),":",": "))),0)),"-")</f>
        <v>-</v>
      </c>
      <c r="K455" s="49"/>
    </row>
    <row r="456" spans="1:11" x14ac:dyDescent="0.25">
      <c r="A456" s="46" t="str" cm="1">
        <f t="array" ref="A456">IFERROR(INDEX(#REF!,MATCH(TRUE,ISNUMBER(FIND(SUBSTITUTE(SUBSTITUTE(UPPER(#REF!)," ",""),":",": "),SUBSTITUTE(SUBSTITUTE(UPPER(S456)," ",""),":",": "))),0)),"Undefined")</f>
        <v>Undefined</v>
      </c>
      <c r="B456" s="42" t="str" cm="1">
        <f t="array" ref="B456">IFERROR(INDEX({"URGENTE"},MATCH(TRUE,ISNUMBER(FIND(SUBSTITUTE(SUBSTITUTE(UPPER({"URGENTE"})," ",""),":",": "),SUBSTITUTE(SUBSTITUTE(UPPER(S456)," ",""),":",": "))),0)),"-")</f>
        <v>-</v>
      </c>
      <c r="C456" s="46" t="str" cm="1">
        <f t="array" ref="C456">IFERROR(INDEX(#REF!,MATCH(TRUE,ISNUMBER(FIND(SUBSTITUTE(SUBSTITUTE(UPPER(#REF!)," ",""),":",": "),SUBSTITUTE(SUBSTITUTE(UPPER(S456)," ",""),":",": "))),0)),"Não encontrado")</f>
        <v>Não encontrado</v>
      </c>
      <c r="D456" s="46" t="str" cm="1">
        <f t="array" ref="D456">IFERROR(INDEX(#REF!,MATCH(TRUE,ISNUMBER(FIND(SUBSTITUTE(SUBSTITUTE(UPPER(#REF!)," ",""),":",": "),SUBSTITUTE(SUBSTITUTE(UPPER(S456)," ",""),":",": "))),0)),"Não encontrado")</f>
        <v>Não encontrado</v>
      </c>
      <c r="E456" s="42" t="str" cm="1">
        <f t="array" ref="E456">IFERROR(INDEX({"IMPEDITIVO"},MATCH(TRUE,ISNUMBER(FIND(SUBSTITUTE(SUBSTITUTE(UPPER({"IMPEDITIVO"})," ",""),":",": "),SUBSTITUTE(SUBSTITUTE(UPPER(S456)," ",""),":",": "))),0)),"-")</f>
        <v>-</v>
      </c>
      <c r="K456" s="49"/>
    </row>
    <row r="457" spans="1:11" x14ac:dyDescent="0.25">
      <c r="A457" s="46" t="str" cm="1">
        <f t="array" ref="A457">IFERROR(INDEX(#REF!,MATCH(TRUE,ISNUMBER(FIND(SUBSTITUTE(SUBSTITUTE(UPPER(#REF!)," ",""),":",": "),SUBSTITUTE(SUBSTITUTE(UPPER(S457)," ",""),":",": "))),0)),"Undefined")</f>
        <v>Undefined</v>
      </c>
      <c r="B457" s="42" t="str" cm="1">
        <f t="array" ref="B457">IFERROR(INDEX({"URGENTE"},MATCH(TRUE,ISNUMBER(FIND(SUBSTITUTE(SUBSTITUTE(UPPER({"URGENTE"})," ",""),":",": "),SUBSTITUTE(SUBSTITUTE(UPPER(S457)," ",""),":",": "))),0)),"-")</f>
        <v>-</v>
      </c>
      <c r="C457" s="46" t="str" cm="1">
        <f t="array" ref="C457">IFERROR(INDEX(#REF!,MATCH(TRUE,ISNUMBER(FIND(SUBSTITUTE(SUBSTITUTE(UPPER(#REF!)," ",""),":",": "),SUBSTITUTE(SUBSTITUTE(UPPER(S457)," ",""),":",": "))),0)),"Não encontrado")</f>
        <v>Não encontrado</v>
      </c>
      <c r="D457" s="46" t="str" cm="1">
        <f t="array" ref="D457">IFERROR(INDEX(#REF!,MATCH(TRUE,ISNUMBER(FIND(SUBSTITUTE(SUBSTITUTE(UPPER(#REF!)," ",""),":",": "),SUBSTITUTE(SUBSTITUTE(UPPER(S457)," ",""),":",": "))),0)),"Não encontrado")</f>
        <v>Não encontrado</v>
      </c>
      <c r="E457" s="42" t="str" cm="1">
        <f t="array" ref="E457">IFERROR(INDEX({"IMPEDITIVO"},MATCH(TRUE,ISNUMBER(FIND(SUBSTITUTE(SUBSTITUTE(UPPER({"IMPEDITIVO"})," ",""),":",": "),SUBSTITUTE(SUBSTITUTE(UPPER(S457)," ",""),":",": "))),0)),"-")</f>
        <v>-</v>
      </c>
      <c r="K457" s="49"/>
    </row>
    <row r="458" spans="1:11" x14ac:dyDescent="0.25">
      <c r="A458" s="46" t="str" cm="1">
        <f t="array" ref="A458">IFERROR(INDEX(#REF!,MATCH(TRUE,ISNUMBER(FIND(SUBSTITUTE(SUBSTITUTE(UPPER(#REF!)," ",""),":",": "),SUBSTITUTE(SUBSTITUTE(UPPER(S458)," ",""),":",": "))),0)),"Undefined")</f>
        <v>Undefined</v>
      </c>
      <c r="B458" s="42" t="str" cm="1">
        <f t="array" ref="B458">IFERROR(INDEX({"URGENTE"},MATCH(TRUE,ISNUMBER(FIND(SUBSTITUTE(SUBSTITUTE(UPPER({"URGENTE"})," ",""),":",": "),SUBSTITUTE(SUBSTITUTE(UPPER(S458)," ",""),":",": "))),0)),"-")</f>
        <v>-</v>
      </c>
      <c r="C458" s="46" t="str" cm="1">
        <f t="array" ref="C458">IFERROR(INDEX(#REF!,MATCH(TRUE,ISNUMBER(FIND(SUBSTITUTE(SUBSTITUTE(UPPER(#REF!)," ",""),":",": "),SUBSTITUTE(SUBSTITUTE(UPPER(S458)," ",""),":",": "))),0)),"Não encontrado")</f>
        <v>Não encontrado</v>
      </c>
      <c r="D458" s="46" t="str" cm="1">
        <f t="array" ref="D458">IFERROR(INDEX(#REF!,MATCH(TRUE,ISNUMBER(FIND(SUBSTITUTE(SUBSTITUTE(UPPER(#REF!)," ",""),":",": "),SUBSTITUTE(SUBSTITUTE(UPPER(S458)," ",""),":",": "))),0)),"Não encontrado")</f>
        <v>Não encontrado</v>
      </c>
      <c r="E458" s="42" t="str" cm="1">
        <f t="array" ref="E458">IFERROR(INDEX({"IMPEDITIVO"},MATCH(TRUE,ISNUMBER(FIND(SUBSTITUTE(SUBSTITUTE(UPPER({"IMPEDITIVO"})," ",""),":",": "),SUBSTITUTE(SUBSTITUTE(UPPER(S458)," ",""),":",": "))),0)),"-")</f>
        <v>-</v>
      </c>
      <c r="K458" s="49"/>
    </row>
    <row r="459" spans="1:11" x14ac:dyDescent="0.25">
      <c r="A459" s="46" t="str" cm="1">
        <f t="array" ref="A459">IFERROR(INDEX(#REF!,MATCH(TRUE,ISNUMBER(FIND(SUBSTITUTE(SUBSTITUTE(UPPER(#REF!)," ",""),":",": "),SUBSTITUTE(SUBSTITUTE(UPPER(S459)," ",""),":",": "))),0)),"Undefined")</f>
        <v>Undefined</v>
      </c>
      <c r="B459" s="42" t="str" cm="1">
        <f t="array" ref="B459">IFERROR(INDEX({"URGENTE"},MATCH(TRUE,ISNUMBER(FIND(SUBSTITUTE(SUBSTITUTE(UPPER({"URGENTE"})," ",""),":",": "),SUBSTITUTE(SUBSTITUTE(UPPER(S459)," ",""),":",": "))),0)),"-")</f>
        <v>-</v>
      </c>
      <c r="C459" s="46" t="str" cm="1">
        <f t="array" ref="C459">IFERROR(INDEX(#REF!,MATCH(TRUE,ISNUMBER(FIND(SUBSTITUTE(SUBSTITUTE(UPPER(#REF!)," ",""),":",": "),SUBSTITUTE(SUBSTITUTE(UPPER(S459)," ",""),":",": "))),0)),"Não encontrado")</f>
        <v>Não encontrado</v>
      </c>
      <c r="D459" s="46" t="str" cm="1">
        <f t="array" ref="D459">IFERROR(INDEX(#REF!,MATCH(TRUE,ISNUMBER(FIND(SUBSTITUTE(SUBSTITUTE(UPPER(#REF!)," ",""),":",": "),SUBSTITUTE(SUBSTITUTE(UPPER(S459)," ",""),":",": "))),0)),"Não encontrado")</f>
        <v>Não encontrado</v>
      </c>
      <c r="E459" s="42" t="str" cm="1">
        <f t="array" ref="E459">IFERROR(INDEX({"IMPEDITIVO"},MATCH(TRUE,ISNUMBER(FIND(SUBSTITUTE(SUBSTITUTE(UPPER({"IMPEDITIVO"})," ",""),":",": "),SUBSTITUTE(SUBSTITUTE(UPPER(S459)," ",""),":",": "))),0)),"-")</f>
        <v>-</v>
      </c>
      <c r="K459" s="49"/>
    </row>
    <row r="460" spans="1:11" x14ac:dyDescent="0.25">
      <c r="A460" s="46" t="str" cm="1">
        <f t="array" ref="A460">IFERROR(INDEX(#REF!,MATCH(TRUE,ISNUMBER(FIND(SUBSTITUTE(SUBSTITUTE(UPPER(#REF!)," ",""),":",": "),SUBSTITUTE(SUBSTITUTE(UPPER(S460)," ",""),":",": "))),0)),"Undefined")</f>
        <v>Undefined</v>
      </c>
      <c r="B460" s="42" t="str" cm="1">
        <f t="array" ref="B460">IFERROR(INDEX({"URGENTE"},MATCH(TRUE,ISNUMBER(FIND(SUBSTITUTE(SUBSTITUTE(UPPER({"URGENTE"})," ",""),":",": "),SUBSTITUTE(SUBSTITUTE(UPPER(S460)," ",""),":",": "))),0)),"-")</f>
        <v>-</v>
      </c>
      <c r="C460" s="46" t="str" cm="1">
        <f t="array" ref="C460">IFERROR(INDEX(#REF!,MATCH(TRUE,ISNUMBER(FIND(SUBSTITUTE(SUBSTITUTE(UPPER(#REF!)," ",""),":",": "),SUBSTITUTE(SUBSTITUTE(UPPER(S460)," ",""),":",": "))),0)),"Não encontrado")</f>
        <v>Não encontrado</v>
      </c>
      <c r="D460" s="46" t="str" cm="1">
        <f t="array" ref="D460">IFERROR(INDEX(#REF!,MATCH(TRUE,ISNUMBER(FIND(SUBSTITUTE(SUBSTITUTE(UPPER(#REF!)," ",""),":",": "),SUBSTITUTE(SUBSTITUTE(UPPER(S460)," ",""),":",": "))),0)),"Não encontrado")</f>
        <v>Não encontrado</v>
      </c>
      <c r="E460" s="42" t="str" cm="1">
        <f t="array" ref="E460">IFERROR(INDEX({"IMPEDITIVO"},MATCH(TRUE,ISNUMBER(FIND(SUBSTITUTE(SUBSTITUTE(UPPER({"IMPEDITIVO"})," ",""),":",": "),SUBSTITUTE(SUBSTITUTE(UPPER(S460)," ",""),":",": "))),0)),"-")</f>
        <v>-</v>
      </c>
      <c r="K460" s="49"/>
    </row>
    <row r="461" spans="1:11" x14ac:dyDescent="0.25">
      <c r="A461" s="46" t="str" cm="1">
        <f t="array" ref="A461">IFERROR(INDEX(#REF!,MATCH(TRUE,ISNUMBER(FIND(SUBSTITUTE(SUBSTITUTE(UPPER(#REF!)," ",""),":",": "),SUBSTITUTE(SUBSTITUTE(UPPER(S461)," ",""),":",": "))),0)),"Undefined")</f>
        <v>Undefined</v>
      </c>
      <c r="B461" s="42" t="str" cm="1">
        <f t="array" ref="B461">IFERROR(INDEX({"URGENTE"},MATCH(TRUE,ISNUMBER(FIND(SUBSTITUTE(SUBSTITUTE(UPPER({"URGENTE"})," ",""),":",": "),SUBSTITUTE(SUBSTITUTE(UPPER(S461)," ",""),":",": "))),0)),"-")</f>
        <v>-</v>
      </c>
      <c r="C461" s="46" t="str" cm="1">
        <f t="array" ref="C461">IFERROR(INDEX(#REF!,MATCH(TRUE,ISNUMBER(FIND(SUBSTITUTE(SUBSTITUTE(UPPER(#REF!)," ",""),":",": "),SUBSTITUTE(SUBSTITUTE(UPPER(S461)," ",""),":",": "))),0)),"Não encontrado")</f>
        <v>Não encontrado</v>
      </c>
      <c r="D461" s="46" t="str" cm="1">
        <f t="array" ref="D461">IFERROR(INDEX(#REF!,MATCH(TRUE,ISNUMBER(FIND(SUBSTITUTE(SUBSTITUTE(UPPER(#REF!)," ",""),":",": "),SUBSTITUTE(SUBSTITUTE(UPPER(S461)," ",""),":",": "))),0)),"Não encontrado")</f>
        <v>Não encontrado</v>
      </c>
      <c r="E461" s="42" t="str" cm="1">
        <f t="array" ref="E461">IFERROR(INDEX({"IMPEDITIVO"},MATCH(TRUE,ISNUMBER(FIND(SUBSTITUTE(SUBSTITUTE(UPPER({"IMPEDITIVO"})," ",""),":",": "),SUBSTITUTE(SUBSTITUTE(UPPER(S461)," ",""),":",": "))),0)),"-")</f>
        <v>-</v>
      </c>
      <c r="K461" s="49"/>
    </row>
    <row r="462" spans="1:11" x14ac:dyDescent="0.25">
      <c r="A462" s="46" t="str" cm="1">
        <f t="array" ref="A462">IFERROR(INDEX(#REF!,MATCH(TRUE,ISNUMBER(FIND(SUBSTITUTE(SUBSTITUTE(UPPER(#REF!)," ",""),":",": "),SUBSTITUTE(SUBSTITUTE(UPPER(S462)," ",""),":",": "))),0)),"Undefined")</f>
        <v>Undefined</v>
      </c>
      <c r="B462" s="42" t="str" cm="1">
        <f t="array" ref="B462">IFERROR(INDEX({"URGENTE"},MATCH(TRUE,ISNUMBER(FIND(SUBSTITUTE(SUBSTITUTE(UPPER({"URGENTE"})," ",""),":",": "),SUBSTITUTE(SUBSTITUTE(UPPER(S462)," ",""),":",": "))),0)),"-")</f>
        <v>-</v>
      </c>
      <c r="C462" s="46" t="str" cm="1">
        <f t="array" ref="C462">IFERROR(INDEX(#REF!,MATCH(TRUE,ISNUMBER(FIND(SUBSTITUTE(SUBSTITUTE(UPPER(#REF!)," ",""),":",": "),SUBSTITUTE(SUBSTITUTE(UPPER(S462)," ",""),":",": "))),0)),"Não encontrado")</f>
        <v>Não encontrado</v>
      </c>
      <c r="D462" s="46" t="str" cm="1">
        <f t="array" ref="D462">IFERROR(INDEX(#REF!,MATCH(TRUE,ISNUMBER(FIND(SUBSTITUTE(SUBSTITUTE(UPPER(#REF!)," ",""),":",": "),SUBSTITUTE(SUBSTITUTE(UPPER(S462)," ",""),":",": "))),0)),"Não encontrado")</f>
        <v>Não encontrado</v>
      </c>
      <c r="E462" s="42" t="str" cm="1">
        <f t="array" ref="E462">IFERROR(INDEX({"IMPEDITIVO"},MATCH(TRUE,ISNUMBER(FIND(SUBSTITUTE(SUBSTITUTE(UPPER({"IMPEDITIVO"})," ",""),":",": "),SUBSTITUTE(SUBSTITUTE(UPPER(S462)," ",""),":",": "))),0)),"-")</f>
        <v>-</v>
      </c>
      <c r="K462" s="49"/>
    </row>
    <row r="463" spans="1:11" x14ac:dyDescent="0.25">
      <c r="A463" s="46" t="str" cm="1">
        <f t="array" ref="A463">IFERROR(INDEX(#REF!,MATCH(TRUE,ISNUMBER(FIND(SUBSTITUTE(SUBSTITUTE(UPPER(#REF!)," ",""),":",": "),SUBSTITUTE(SUBSTITUTE(UPPER(S463)," ",""),":",": "))),0)),"Undefined")</f>
        <v>Undefined</v>
      </c>
      <c r="B463" s="42" t="str" cm="1">
        <f t="array" ref="B463">IFERROR(INDEX({"URGENTE"},MATCH(TRUE,ISNUMBER(FIND(SUBSTITUTE(SUBSTITUTE(UPPER({"URGENTE"})," ",""),":",": "),SUBSTITUTE(SUBSTITUTE(UPPER(S463)," ",""),":",": "))),0)),"-")</f>
        <v>-</v>
      </c>
      <c r="C463" s="46" t="str" cm="1">
        <f t="array" ref="C463">IFERROR(INDEX(#REF!,MATCH(TRUE,ISNUMBER(FIND(SUBSTITUTE(SUBSTITUTE(UPPER(#REF!)," ",""),":",": "),SUBSTITUTE(SUBSTITUTE(UPPER(S463)," ",""),":",": "))),0)),"Não encontrado")</f>
        <v>Não encontrado</v>
      </c>
      <c r="D463" s="46" t="str" cm="1">
        <f t="array" ref="D463">IFERROR(INDEX(#REF!,MATCH(TRUE,ISNUMBER(FIND(SUBSTITUTE(SUBSTITUTE(UPPER(#REF!)," ",""),":",": "),SUBSTITUTE(SUBSTITUTE(UPPER(S463)," ",""),":",": "))),0)),"Não encontrado")</f>
        <v>Não encontrado</v>
      </c>
      <c r="E463" s="42" t="str" cm="1">
        <f t="array" ref="E463">IFERROR(INDEX({"IMPEDITIVO"},MATCH(TRUE,ISNUMBER(FIND(SUBSTITUTE(SUBSTITUTE(UPPER({"IMPEDITIVO"})," ",""),":",": "),SUBSTITUTE(SUBSTITUTE(UPPER(S463)," ",""),":",": "))),0)),"-")</f>
        <v>-</v>
      </c>
      <c r="K463" s="49"/>
    </row>
    <row r="464" spans="1:11" x14ac:dyDescent="0.25">
      <c r="A464" s="46" t="str" cm="1">
        <f t="array" ref="A464">IFERROR(INDEX(#REF!,MATCH(TRUE,ISNUMBER(FIND(SUBSTITUTE(SUBSTITUTE(UPPER(#REF!)," ",""),":",": "),SUBSTITUTE(SUBSTITUTE(UPPER(S464)," ",""),":",": "))),0)),"Undefined")</f>
        <v>Undefined</v>
      </c>
      <c r="B464" s="42" t="str" cm="1">
        <f t="array" ref="B464">IFERROR(INDEX({"URGENTE"},MATCH(TRUE,ISNUMBER(FIND(SUBSTITUTE(SUBSTITUTE(UPPER({"URGENTE"})," ",""),":",": "),SUBSTITUTE(SUBSTITUTE(UPPER(S464)," ",""),":",": "))),0)),"-")</f>
        <v>-</v>
      </c>
      <c r="C464" s="46" t="str" cm="1">
        <f t="array" ref="C464">IFERROR(INDEX(#REF!,MATCH(TRUE,ISNUMBER(FIND(SUBSTITUTE(SUBSTITUTE(UPPER(#REF!)," ",""),":",": "),SUBSTITUTE(SUBSTITUTE(UPPER(S464)," ",""),":",": "))),0)),"Não encontrado")</f>
        <v>Não encontrado</v>
      </c>
      <c r="D464" s="46" t="str" cm="1">
        <f t="array" ref="D464">IFERROR(INDEX(#REF!,MATCH(TRUE,ISNUMBER(FIND(SUBSTITUTE(SUBSTITUTE(UPPER(#REF!)," ",""),":",": "),SUBSTITUTE(SUBSTITUTE(UPPER(S464)," ",""),":",": "))),0)),"Não encontrado")</f>
        <v>Não encontrado</v>
      </c>
      <c r="E464" s="42" t="str" cm="1">
        <f t="array" ref="E464">IFERROR(INDEX({"IMPEDITIVO"},MATCH(TRUE,ISNUMBER(FIND(SUBSTITUTE(SUBSTITUTE(UPPER({"IMPEDITIVO"})," ",""),":",": "),SUBSTITUTE(SUBSTITUTE(UPPER(S464)," ",""),":",": "))),0)),"-")</f>
        <v>-</v>
      </c>
      <c r="K464" s="49"/>
    </row>
    <row r="465" spans="1:11" x14ac:dyDescent="0.25">
      <c r="A465" s="46" t="str" cm="1">
        <f t="array" ref="A465">IFERROR(INDEX(#REF!,MATCH(TRUE,ISNUMBER(FIND(SUBSTITUTE(SUBSTITUTE(UPPER(#REF!)," ",""),":",": "),SUBSTITUTE(SUBSTITUTE(UPPER(S465)," ",""),":",": "))),0)),"Undefined")</f>
        <v>Undefined</v>
      </c>
      <c r="B465" s="42" t="str" cm="1">
        <f t="array" ref="B465">IFERROR(INDEX({"URGENTE"},MATCH(TRUE,ISNUMBER(FIND(SUBSTITUTE(SUBSTITUTE(UPPER({"URGENTE"})," ",""),":",": "),SUBSTITUTE(SUBSTITUTE(UPPER(S465)," ",""),":",": "))),0)),"-")</f>
        <v>-</v>
      </c>
      <c r="C465" s="46" t="str" cm="1">
        <f t="array" ref="C465">IFERROR(INDEX(#REF!,MATCH(TRUE,ISNUMBER(FIND(SUBSTITUTE(SUBSTITUTE(UPPER(#REF!)," ",""),":",": "),SUBSTITUTE(SUBSTITUTE(UPPER(S465)," ",""),":",": "))),0)),"Não encontrado")</f>
        <v>Não encontrado</v>
      </c>
      <c r="D465" s="46" t="str" cm="1">
        <f t="array" ref="D465">IFERROR(INDEX(#REF!,MATCH(TRUE,ISNUMBER(FIND(SUBSTITUTE(SUBSTITUTE(UPPER(#REF!)," ",""),":",": "),SUBSTITUTE(SUBSTITUTE(UPPER(S465)," ",""),":",": "))),0)),"Não encontrado")</f>
        <v>Não encontrado</v>
      </c>
      <c r="E465" s="42" t="str" cm="1">
        <f t="array" ref="E465">IFERROR(INDEX({"IMPEDITIVO"},MATCH(TRUE,ISNUMBER(FIND(SUBSTITUTE(SUBSTITUTE(UPPER({"IMPEDITIVO"})," ",""),":",": "),SUBSTITUTE(SUBSTITUTE(UPPER(S465)," ",""),":",": "))),0)),"-")</f>
        <v>-</v>
      </c>
      <c r="K465" s="49"/>
    </row>
    <row r="466" spans="1:11" x14ac:dyDescent="0.25">
      <c r="A466" s="46" t="str" cm="1">
        <f t="array" ref="A466">IFERROR(INDEX(#REF!,MATCH(TRUE,ISNUMBER(FIND(SUBSTITUTE(SUBSTITUTE(UPPER(#REF!)," ",""),":",": "),SUBSTITUTE(SUBSTITUTE(UPPER(S466)," ",""),":",": "))),0)),"Undefined")</f>
        <v>Undefined</v>
      </c>
      <c r="B466" s="42" t="str" cm="1">
        <f t="array" ref="B466">IFERROR(INDEX({"URGENTE"},MATCH(TRUE,ISNUMBER(FIND(SUBSTITUTE(SUBSTITUTE(UPPER({"URGENTE"})," ",""),":",": "),SUBSTITUTE(SUBSTITUTE(UPPER(S466)," ",""),":",": "))),0)),"-")</f>
        <v>-</v>
      </c>
      <c r="C466" s="46" t="str" cm="1">
        <f t="array" ref="C466">IFERROR(INDEX(#REF!,MATCH(TRUE,ISNUMBER(FIND(SUBSTITUTE(SUBSTITUTE(UPPER(#REF!)," ",""),":",": "),SUBSTITUTE(SUBSTITUTE(UPPER(S466)," ",""),":",": "))),0)),"Não encontrado")</f>
        <v>Não encontrado</v>
      </c>
      <c r="D466" s="46" t="str" cm="1">
        <f t="array" ref="D466">IFERROR(INDEX(#REF!,MATCH(TRUE,ISNUMBER(FIND(SUBSTITUTE(SUBSTITUTE(UPPER(#REF!)," ",""),":",": "),SUBSTITUTE(SUBSTITUTE(UPPER(S466)," ",""),":",": "))),0)),"Não encontrado")</f>
        <v>Não encontrado</v>
      </c>
      <c r="E466" s="42" t="str" cm="1">
        <f t="array" ref="E466">IFERROR(INDEX({"IMPEDITIVO"},MATCH(TRUE,ISNUMBER(FIND(SUBSTITUTE(SUBSTITUTE(UPPER({"IMPEDITIVO"})," ",""),":",": "),SUBSTITUTE(SUBSTITUTE(UPPER(S466)," ",""),":",": "))),0)),"-")</f>
        <v>-</v>
      </c>
      <c r="K466" s="49"/>
    </row>
    <row r="467" spans="1:11" x14ac:dyDescent="0.25">
      <c r="A467" s="46" t="str" cm="1">
        <f t="array" ref="A467">IFERROR(INDEX(#REF!,MATCH(TRUE,ISNUMBER(FIND(SUBSTITUTE(SUBSTITUTE(UPPER(#REF!)," ",""),":",": "),SUBSTITUTE(SUBSTITUTE(UPPER(S467)," ",""),":",": "))),0)),"Undefined")</f>
        <v>Undefined</v>
      </c>
      <c r="B467" s="42" t="str" cm="1">
        <f t="array" ref="B467">IFERROR(INDEX({"URGENTE"},MATCH(TRUE,ISNUMBER(FIND(SUBSTITUTE(SUBSTITUTE(UPPER({"URGENTE"})," ",""),":",": "),SUBSTITUTE(SUBSTITUTE(UPPER(S467)," ",""),":",": "))),0)),"-")</f>
        <v>-</v>
      </c>
      <c r="C467" s="46" t="str" cm="1">
        <f t="array" ref="C467">IFERROR(INDEX(#REF!,MATCH(TRUE,ISNUMBER(FIND(SUBSTITUTE(SUBSTITUTE(UPPER(#REF!)," ",""),":",": "),SUBSTITUTE(SUBSTITUTE(UPPER(S467)," ",""),":",": "))),0)),"Não encontrado")</f>
        <v>Não encontrado</v>
      </c>
      <c r="D467" s="46" t="str" cm="1">
        <f t="array" ref="D467">IFERROR(INDEX(#REF!,MATCH(TRUE,ISNUMBER(FIND(SUBSTITUTE(SUBSTITUTE(UPPER(#REF!)," ",""),":",": "),SUBSTITUTE(SUBSTITUTE(UPPER(S467)," ",""),":",": "))),0)),"Não encontrado")</f>
        <v>Não encontrado</v>
      </c>
      <c r="E467" s="42" t="str" cm="1">
        <f t="array" ref="E467">IFERROR(INDEX({"IMPEDITIVO"},MATCH(TRUE,ISNUMBER(FIND(SUBSTITUTE(SUBSTITUTE(UPPER({"IMPEDITIVO"})," ",""),":",": "),SUBSTITUTE(SUBSTITUTE(UPPER(S467)," ",""),":",": "))),0)),"-")</f>
        <v>-</v>
      </c>
      <c r="K467" s="49"/>
    </row>
    <row r="468" spans="1:11" x14ac:dyDescent="0.25">
      <c r="A468" s="46" t="str" cm="1">
        <f t="array" ref="A468">IFERROR(INDEX(#REF!,MATCH(TRUE,ISNUMBER(FIND(SUBSTITUTE(SUBSTITUTE(UPPER(#REF!)," ",""),":",": "),SUBSTITUTE(SUBSTITUTE(UPPER(S468)," ",""),":",": "))),0)),"Undefined")</f>
        <v>Undefined</v>
      </c>
      <c r="B468" s="42" t="str" cm="1">
        <f t="array" ref="B468">IFERROR(INDEX({"URGENTE"},MATCH(TRUE,ISNUMBER(FIND(SUBSTITUTE(SUBSTITUTE(UPPER({"URGENTE"})," ",""),":",": "),SUBSTITUTE(SUBSTITUTE(UPPER(S468)," ",""),":",": "))),0)),"-")</f>
        <v>-</v>
      </c>
      <c r="C468" s="46" t="str" cm="1">
        <f t="array" ref="C468">IFERROR(INDEX(#REF!,MATCH(TRUE,ISNUMBER(FIND(SUBSTITUTE(SUBSTITUTE(UPPER(#REF!)," ",""),":",": "),SUBSTITUTE(SUBSTITUTE(UPPER(S468)," ",""),":",": "))),0)),"Não encontrado")</f>
        <v>Não encontrado</v>
      </c>
      <c r="D468" s="46" t="str" cm="1">
        <f t="array" ref="D468">IFERROR(INDEX(#REF!,MATCH(TRUE,ISNUMBER(FIND(SUBSTITUTE(SUBSTITUTE(UPPER(#REF!)," ",""),":",": "),SUBSTITUTE(SUBSTITUTE(UPPER(S468)," ",""),":",": "))),0)),"Não encontrado")</f>
        <v>Não encontrado</v>
      </c>
      <c r="E468" s="42" t="str" cm="1">
        <f t="array" ref="E468">IFERROR(INDEX({"IMPEDITIVO"},MATCH(TRUE,ISNUMBER(FIND(SUBSTITUTE(SUBSTITUTE(UPPER({"IMPEDITIVO"})," ",""),":",": "),SUBSTITUTE(SUBSTITUTE(UPPER(S468)," ",""),":",": "))),0)),"-")</f>
        <v>-</v>
      </c>
      <c r="K468" s="49"/>
    </row>
    <row r="469" spans="1:11" x14ac:dyDescent="0.25">
      <c r="A469" s="46" t="str" cm="1">
        <f t="array" ref="A469">IFERROR(INDEX(#REF!,MATCH(TRUE,ISNUMBER(FIND(SUBSTITUTE(SUBSTITUTE(UPPER(#REF!)," ",""),":",": "),SUBSTITUTE(SUBSTITUTE(UPPER(S469)," ",""),":",": "))),0)),"Undefined")</f>
        <v>Undefined</v>
      </c>
      <c r="B469" s="42" t="str" cm="1">
        <f t="array" ref="B469">IFERROR(INDEX({"URGENTE"},MATCH(TRUE,ISNUMBER(FIND(SUBSTITUTE(SUBSTITUTE(UPPER({"URGENTE"})," ",""),":",": "),SUBSTITUTE(SUBSTITUTE(UPPER(S469)," ",""),":",": "))),0)),"-")</f>
        <v>-</v>
      </c>
      <c r="C469" s="46" t="str" cm="1">
        <f t="array" ref="C469">IFERROR(INDEX(#REF!,MATCH(TRUE,ISNUMBER(FIND(SUBSTITUTE(SUBSTITUTE(UPPER(#REF!)," ",""),":",": "),SUBSTITUTE(SUBSTITUTE(UPPER(S469)," ",""),":",": "))),0)),"Não encontrado")</f>
        <v>Não encontrado</v>
      </c>
      <c r="D469" s="46" t="str" cm="1">
        <f t="array" ref="D469">IFERROR(INDEX(#REF!,MATCH(TRUE,ISNUMBER(FIND(SUBSTITUTE(SUBSTITUTE(UPPER(#REF!)," ",""),":",": "),SUBSTITUTE(SUBSTITUTE(UPPER(S469)," ",""),":",": "))),0)),"Não encontrado")</f>
        <v>Não encontrado</v>
      </c>
      <c r="E469" s="42" t="str" cm="1">
        <f t="array" ref="E469">IFERROR(INDEX({"IMPEDITIVO"},MATCH(TRUE,ISNUMBER(FIND(SUBSTITUTE(SUBSTITUTE(UPPER({"IMPEDITIVO"})," ",""),":",": "),SUBSTITUTE(SUBSTITUTE(UPPER(S469)," ",""),":",": "))),0)),"-")</f>
        <v>-</v>
      </c>
      <c r="K469" s="49"/>
    </row>
    <row r="470" spans="1:11" x14ac:dyDescent="0.25">
      <c r="A470" s="46" t="str" cm="1">
        <f t="array" ref="A470">IFERROR(INDEX(#REF!,MATCH(TRUE,ISNUMBER(FIND(SUBSTITUTE(SUBSTITUTE(UPPER(#REF!)," ",""),":",": "),SUBSTITUTE(SUBSTITUTE(UPPER(S470)," ",""),":",": "))),0)),"Undefined")</f>
        <v>Undefined</v>
      </c>
      <c r="B470" s="42" t="str" cm="1">
        <f t="array" ref="B470">IFERROR(INDEX({"URGENTE"},MATCH(TRUE,ISNUMBER(FIND(SUBSTITUTE(SUBSTITUTE(UPPER({"URGENTE"})," ",""),":",": "),SUBSTITUTE(SUBSTITUTE(UPPER(S470)," ",""),":",": "))),0)),"-")</f>
        <v>-</v>
      </c>
      <c r="C470" s="46" t="str" cm="1">
        <f t="array" ref="C470">IFERROR(INDEX(#REF!,MATCH(TRUE,ISNUMBER(FIND(SUBSTITUTE(SUBSTITUTE(UPPER(#REF!)," ",""),":",": "),SUBSTITUTE(SUBSTITUTE(UPPER(S470)," ",""),":",": "))),0)),"Não encontrado")</f>
        <v>Não encontrado</v>
      </c>
      <c r="D470" s="46" t="str" cm="1">
        <f t="array" ref="D470">IFERROR(INDEX(#REF!,MATCH(TRUE,ISNUMBER(FIND(SUBSTITUTE(SUBSTITUTE(UPPER(#REF!)," ",""),":",": "),SUBSTITUTE(SUBSTITUTE(UPPER(S470)," ",""),":",": "))),0)),"Não encontrado")</f>
        <v>Não encontrado</v>
      </c>
      <c r="E470" s="42" t="str" cm="1">
        <f t="array" ref="E470">IFERROR(INDEX({"IMPEDITIVO"},MATCH(TRUE,ISNUMBER(FIND(SUBSTITUTE(SUBSTITUTE(UPPER({"IMPEDITIVO"})," ",""),":",": "),SUBSTITUTE(SUBSTITUTE(UPPER(S470)," ",""),":",": "))),0)),"-")</f>
        <v>-</v>
      </c>
      <c r="K470" s="49"/>
    </row>
    <row r="471" spans="1:11" x14ac:dyDescent="0.25">
      <c r="A471" s="46" t="str" cm="1">
        <f t="array" ref="A471">IFERROR(INDEX(#REF!,MATCH(TRUE,ISNUMBER(FIND(SUBSTITUTE(SUBSTITUTE(UPPER(#REF!)," ",""),":",": "),SUBSTITUTE(SUBSTITUTE(UPPER(S471)," ",""),":",": "))),0)),"Undefined")</f>
        <v>Undefined</v>
      </c>
      <c r="B471" s="42" t="str" cm="1">
        <f t="array" ref="B471">IFERROR(INDEX({"URGENTE"},MATCH(TRUE,ISNUMBER(FIND(SUBSTITUTE(SUBSTITUTE(UPPER({"URGENTE"})," ",""),":",": "),SUBSTITUTE(SUBSTITUTE(UPPER(S471)," ",""),":",": "))),0)),"-")</f>
        <v>-</v>
      </c>
      <c r="C471" s="46" t="str" cm="1">
        <f t="array" ref="C471">IFERROR(INDEX(#REF!,MATCH(TRUE,ISNUMBER(FIND(SUBSTITUTE(SUBSTITUTE(UPPER(#REF!)," ",""),":",": "),SUBSTITUTE(SUBSTITUTE(UPPER(S471)," ",""),":",": "))),0)),"Não encontrado")</f>
        <v>Não encontrado</v>
      </c>
      <c r="D471" s="46" t="str" cm="1">
        <f t="array" ref="D471">IFERROR(INDEX(#REF!,MATCH(TRUE,ISNUMBER(FIND(SUBSTITUTE(SUBSTITUTE(UPPER(#REF!)," ",""),":",": "),SUBSTITUTE(SUBSTITUTE(UPPER(S471)," ",""),":",": "))),0)),"Não encontrado")</f>
        <v>Não encontrado</v>
      </c>
      <c r="E471" s="42" t="str" cm="1">
        <f t="array" ref="E471">IFERROR(INDEX({"IMPEDITIVO"},MATCH(TRUE,ISNUMBER(FIND(SUBSTITUTE(SUBSTITUTE(UPPER({"IMPEDITIVO"})," ",""),":",": "),SUBSTITUTE(SUBSTITUTE(UPPER(S471)," ",""),":",": "))),0)),"-")</f>
        <v>-</v>
      </c>
      <c r="K471" s="49"/>
    </row>
    <row r="472" spans="1:11" x14ac:dyDescent="0.25">
      <c r="A472" s="46" t="str" cm="1">
        <f t="array" ref="A472">IFERROR(INDEX(#REF!,MATCH(TRUE,ISNUMBER(FIND(SUBSTITUTE(SUBSTITUTE(UPPER(#REF!)," ",""),":",": "),SUBSTITUTE(SUBSTITUTE(UPPER(S472)," ",""),":",": "))),0)),"Undefined")</f>
        <v>Undefined</v>
      </c>
      <c r="B472" s="42" t="str" cm="1">
        <f t="array" ref="B472">IFERROR(INDEX({"URGENTE"},MATCH(TRUE,ISNUMBER(FIND(SUBSTITUTE(SUBSTITUTE(UPPER({"URGENTE"})," ",""),":",": "),SUBSTITUTE(SUBSTITUTE(UPPER(S472)," ",""),":",": "))),0)),"-")</f>
        <v>-</v>
      </c>
      <c r="C472" s="46" t="str" cm="1">
        <f t="array" ref="C472">IFERROR(INDEX(#REF!,MATCH(TRUE,ISNUMBER(FIND(SUBSTITUTE(SUBSTITUTE(UPPER(#REF!)," ",""),":",": "),SUBSTITUTE(SUBSTITUTE(UPPER(S472)," ",""),":",": "))),0)),"Não encontrado")</f>
        <v>Não encontrado</v>
      </c>
      <c r="D472" s="46" t="str" cm="1">
        <f t="array" ref="D472">IFERROR(INDEX(#REF!,MATCH(TRUE,ISNUMBER(FIND(SUBSTITUTE(SUBSTITUTE(UPPER(#REF!)," ",""),":",": "),SUBSTITUTE(SUBSTITUTE(UPPER(S472)," ",""),":",": "))),0)),"Não encontrado")</f>
        <v>Não encontrado</v>
      </c>
      <c r="E472" s="42" t="str" cm="1">
        <f t="array" ref="E472">IFERROR(INDEX({"IMPEDITIVO"},MATCH(TRUE,ISNUMBER(FIND(SUBSTITUTE(SUBSTITUTE(UPPER({"IMPEDITIVO"})," ",""),":",": "),SUBSTITUTE(SUBSTITUTE(UPPER(S472)," ",""),":",": "))),0)),"-")</f>
        <v>-</v>
      </c>
      <c r="K472" s="49"/>
    </row>
    <row r="473" spans="1:11" x14ac:dyDescent="0.25">
      <c r="A473" s="46" t="str" cm="1">
        <f t="array" ref="A473">IFERROR(INDEX(#REF!,MATCH(TRUE,ISNUMBER(FIND(SUBSTITUTE(SUBSTITUTE(UPPER(#REF!)," ",""),":",": "),SUBSTITUTE(SUBSTITUTE(UPPER(S473)," ",""),":",": "))),0)),"Undefined")</f>
        <v>Undefined</v>
      </c>
      <c r="B473" s="42" t="str" cm="1">
        <f t="array" ref="B473">IFERROR(INDEX({"URGENTE"},MATCH(TRUE,ISNUMBER(FIND(SUBSTITUTE(SUBSTITUTE(UPPER({"URGENTE"})," ",""),":",": "),SUBSTITUTE(SUBSTITUTE(UPPER(S473)," ",""),":",": "))),0)),"-")</f>
        <v>-</v>
      </c>
      <c r="C473" s="46" t="str" cm="1">
        <f t="array" ref="C473">IFERROR(INDEX(#REF!,MATCH(TRUE,ISNUMBER(FIND(SUBSTITUTE(SUBSTITUTE(UPPER(#REF!)," ",""),":",": "),SUBSTITUTE(SUBSTITUTE(UPPER(S473)," ",""),":",": "))),0)),"Não encontrado")</f>
        <v>Não encontrado</v>
      </c>
      <c r="D473" s="46" t="str" cm="1">
        <f t="array" ref="D473">IFERROR(INDEX(#REF!,MATCH(TRUE,ISNUMBER(FIND(SUBSTITUTE(SUBSTITUTE(UPPER(#REF!)," ",""),":",": "),SUBSTITUTE(SUBSTITUTE(UPPER(S473)," ",""),":",": "))),0)),"Não encontrado")</f>
        <v>Não encontrado</v>
      </c>
      <c r="E473" s="42" t="str" cm="1">
        <f t="array" ref="E473">IFERROR(INDEX({"IMPEDITIVO"},MATCH(TRUE,ISNUMBER(FIND(SUBSTITUTE(SUBSTITUTE(UPPER({"IMPEDITIVO"})," ",""),":",": "),SUBSTITUTE(SUBSTITUTE(UPPER(S473)," ",""),":",": "))),0)),"-")</f>
        <v>-</v>
      </c>
      <c r="K473" s="49"/>
    </row>
    <row r="474" spans="1:11" x14ac:dyDescent="0.25">
      <c r="A474" s="46" t="str" cm="1">
        <f t="array" ref="A474">IFERROR(INDEX(#REF!,MATCH(TRUE,ISNUMBER(FIND(SUBSTITUTE(SUBSTITUTE(UPPER(#REF!)," ",""),":",": "),SUBSTITUTE(SUBSTITUTE(UPPER(S474)," ",""),":",": "))),0)),"Undefined")</f>
        <v>Undefined</v>
      </c>
      <c r="B474" s="42" t="str" cm="1">
        <f t="array" ref="B474">IFERROR(INDEX({"URGENTE"},MATCH(TRUE,ISNUMBER(FIND(SUBSTITUTE(SUBSTITUTE(UPPER({"URGENTE"})," ",""),":",": "),SUBSTITUTE(SUBSTITUTE(UPPER(S474)," ",""),":",": "))),0)),"-")</f>
        <v>-</v>
      </c>
      <c r="C474" s="46" t="str" cm="1">
        <f t="array" ref="C474">IFERROR(INDEX(#REF!,MATCH(TRUE,ISNUMBER(FIND(SUBSTITUTE(SUBSTITUTE(UPPER(#REF!)," ",""),":",": "),SUBSTITUTE(SUBSTITUTE(UPPER(S474)," ",""),":",": "))),0)),"Não encontrado")</f>
        <v>Não encontrado</v>
      </c>
      <c r="D474" s="46" t="str" cm="1">
        <f t="array" ref="D474">IFERROR(INDEX(#REF!,MATCH(TRUE,ISNUMBER(FIND(SUBSTITUTE(SUBSTITUTE(UPPER(#REF!)," ",""),":",": "),SUBSTITUTE(SUBSTITUTE(UPPER(S474)," ",""),":",": "))),0)),"Não encontrado")</f>
        <v>Não encontrado</v>
      </c>
      <c r="E474" s="42" t="str" cm="1">
        <f t="array" ref="E474">IFERROR(INDEX({"IMPEDITIVO"},MATCH(TRUE,ISNUMBER(FIND(SUBSTITUTE(SUBSTITUTE(UPPER({"IMPEDITIVO"})," ",""),":",": "),SUBSTITUTE(SUBSTITUTE(UPPER(S474)," ",""),":",": "))),0)),"-")</f>
        <v>-</v>
      </c>
      <c r="K474" s="49"/>
    </row>
    <row r="475" spans="1:11" x14ac:dyDescent="0.25">
      <c r="A475" s="46" t="str" cm="1">
        <f t="array" ref="A475">IFERROR(INDEX(#REF!,MATCH(TRUE,ISNUMBER(FIND(SUBSTITUTE(SUBSTITUTE(UPPER(#REF!)," ",""),":",": "),SUBSTITUTE(SUBSTITUTE(UPPER(S475)," ",""),":",": "))),0)),"Undefined")</f>
        <v>Undefined</v>
      </c>
      <c r="B475" s="42" t="str" cm="1">
        <f t="array" ref="B475">IFERROR(INDEX({"URGENTE"},MATCH(TRUE,ISNUMBER(FIND(SUBSTITUTE(SUBSTITUTE(UPPER({"URGENTE"})," ",""),":",": "),SUBSTITUTE(SUBSTITUTE(UPPER(S475)," ",""),":",": "))),0)),"-")</f>
        <v>-</v>
      </c>
      <c r="C475" s="46" t="str" cm="1">
        <f t="array" ref="C475">IFERROR(INDEX(#REF!,MATCH(TRUE,ISNUMBER(FIND(SUBSTITUTE(SUBSTITUTE(UPPER(#REF!)," ",""),":",": "),SUBSTITUTE(SUBSTITUTE(UPPER(S475)," ",""),":",": "))),0)),"Não encontrado")</f>
        <v>Não encontrado</v>
      </c>
      <c r="D475" s="46" t="str" cm="1">
        <f t="array" ref="D475">IFERROR(INDEX(#REF!,MATCH(TRUE,ISNUMBER(FIND(SUBSTITUTE(SUBSTITUTE(UPPER(#REF!)," ",""),":",": "),SUBSTITUTE(SUBSTITUTE(UPPER(S475)," ",""),":",": "))),0)),"Não encontrado")</f>
        <v>Não encontrado</v>
      </c>
      <c r="E475" s="42" t="str" cm="1">
        <f t="array" ref="E475">IFERROR(INDEX({"IMPEDITIVO"},MATCH(TRUE,ISNUMBER(FIND(SUBSTITUTE(SUBSTITUTE(UPPER({"IMPEDITIVO"})," ",""),":",": "),SUBSTITUTE(SUBSTITUTE(UPPER(S475)," ",""),":",": "))),0)),"-")</f>
        <v>-</v>
      </c>
      <c r="K475" s="49"/>
    </row>
    <row r="476" spans="1:11" x14ac:dyDescent="0.25">
      <c r="A476" s="46" t="str" cm="1">
        <f t="array" ref="A476">IFERROR(INDEX(#REF!,MATCH(TRUE,ISNUMBER(FIND(SUBSTITUTE(SUBSTITUTE(UPPER(#REF!)," ",""),":",": "),SUBSTITUTE(SUBSTITUTE(UPPER(S476)," ",""),":",": "))),0)),"Undefined")</f>
        <v>Undefined</v>
      </c>
      <c r="B476" s="42" t="str" cm="1">
        <f t="array" ref="B476">IFERROR(INDEX({"URGENTE"},MATCH(TRUE,ISNUMBER(FIND(SUBSTITUTE(SUBSTITUTE(UPPER({"URGENTE"})," ",""),":",": "),SUBSTITUTE(SUBSTITUTE(UPPER(S476)," ",""),":",": "))),0)),"-")</f>
        <v>-</v>
      </c>
      <c r="C476" s="46" t="str" cm="1">
        <f t="array" ref="C476">IFERROR(INDEX(#REF!,MATCH(TRUE,ISNUMBER(FIND(SUBSTITUTE(SUBSTITUTE(UPPER(#REF!)," ",""),":",": "),SUBSTITUTE(SUBSTITUTE(UPPER(S476)," ",""),":",": "))),0)),"Não encontrado")</f>
        <v>Não encontrado</v>
      </c>
      <c r="D476" s="46" t="str" cm="1">
        <f t="array" ref="D476">IFERROR(INDEX(#REF!,MATCH(TRUE,ISNUMBER(FIND(SUBSTITUTE(SUBSTITUTE(UPPER(#REF!)," ",""),":",": "),SUBSTITUTE(SUBSTITUTE(UPPER(S476)," ",""),":",": "))),0)),"Não encontrado")</f>
        <v>Não encontrado</v>
      </c>
      <c r="E476" s="42" t="str" cm="1">
        <f t="array" ref="E476">IFERROR(INDEX({"IMPEDITIVO"},MATCH(TRUE,ISNUMBER(FIND(SUBSTITUTE(SUBSTITUTE(UPPER({"IMPEDITIVO"})," ",""),":",": "),SUBSTITUTE(SUBSTITUTE(UPPER(S476)," ",""),":",": "))),0)),"-")</f>
        <v>-</v>
      </c>
      <c r="K476" s="49"/>
    </row>
    <row r="477" spans="1:11" x14ac:dyDescent="0.25">
      <c r="A477" s="46" t="str" cm="1">
        <f t="array" ref="A477">IFERROR(INDEX(#REF!,MATCH(TRUE,ISNUMBER(FIND(SUBSTITUTE(SUBSTITUTE(UPPER(#REF!)," ",""),":",": "),SUBSTITUTE(SUBSTITUTE(UPPER(S477)," ",""),":",": "))),0)),"Undefined")</f>
        <v>Undefined</v>
      </c>
      <c r="B477" s="42" t="str" cm="1">
        <f t="array" ref="B477">IFERROR(INDEX({"URGENTE"},MATCH(TRUE,ISNUMBER(FIND(SUBSTITUTE(SUBSTITUTE(UPPER({"URGENTE"})," ",""),":",": "),SUBSTITUTE(SUBSTITUTE(UPPER(S477)," ",""),":",": "))),0)),"-")</f>
        <v>-</v>
      </c>
      <c r="C477" s="46" t="str" cm="1">
        <f t="array" ref="C477">IFERROR(INDEX(#REF!,MATCH(TRUE,ISNUMBER(FIND(SUBSTITUTE(SUBSTITUTE(UPPER(#REF!)," ",""),":",": "),SUBSTITUTE(SUBSTITUTE(UPPER(S477)," ",""),":",": "))),0)),"Não encontrado")</f>
        <v>Não encontrado</v>
      </c>
      <c r="D477" s="46" t="str" cm="1">
        <f t="array" ref="D477">IFERROR(INDEX(#REF!,MATCH(TRUE,ISNUMBER(FIND(SUBSTITUTE(SUBSTITUTE(UPPER(#REF!)," ",""),":",": "),SUBSTITUTE(SUBSTITUTE(UPPER(S477)," ",""),":",": "))),0)),"Não encontrado")</f>
        <v>Não encontrado</v>
      </c>
      <c r="E477" s="42" t="str" cm="1">
        <f t="array" ref="E477">IFERROR(INDEX({"IMPEDITIVO"},MATCH(TRUE,ISNUMBER(FIND(SUBSTITUTE(SUBSTITUTE(UPPER({"IMPEDITIVO"})," ",""),":",": "),SUBSTITUTE(SUBSTITUTE(UPPER(S477)," ",""),":",": "))),0)),"-")</f>
        <v>-</v>
      </c>
      <c r="K477" s="49"/>
    </row>
    <row r="478" spans="1:11" x14ac:dyDescent="0.25">
      <c r="A478" s="46" t="str" cm="1">
        <f t="array" ref="A478">IFERROR(INDEX(#REF!,MATCH(TRUE,ISNUMBER(FIND(SUBSTITUTE(SUBSTITUTE(UPPER(#REF!)," ",""),":",": "),SUBSTITUTE(SUBSTITUTE(UPPER(S478)," ",""),":",": "))),0)),"Undefined")</f>
        <v>Undefined</v>
      </c>
      <c r="B478" s="42" t="str" cm="1">
        <f t="array" ref="B478">IFERROR(INDEX({"URGENTE"},MATCH(TRUE,ISNUMBER(FIND(SUBSTITUTE(SUBSTITUTE(UPPER({"URGENTE"})," ",""),":",": "),SUBSTITUTE(SUBSTITUTE(UPPER(S478)," ",""),":",": "))),0)),"-")</f>
        <v>-</v>
      </c>
      <c r="C478" s="46" t="str" cm="1">
        <f t="array" ref="C478">IFERROR(INDEX(#REF!,MATCH(TRUE,ISNUMBER(FIND(SUBSTITUTE(SUBSTITUTE(UPPER(#REF!)," ",""),":",": "),SUBSTITUTE(SUBSTITUTE(UPPER(S478)," ",""),":",": "))),0)),"Não encontrado")</f>
        <v>Não encontrado</v>
      </c>
      <c r="D478" s="46" t="str" cm="1">
        <f t="array" ref="D478">IFERROR(INDEX(#REF!,MATCH(TRUE,ISNUMBER(FIND(SUBSTITUTE(SUBSTITUTE(UPPER(#REF!)," ",""),":",": "),SUBSTITUTE(SUBSTITUTE(UPPER(S478)," ",""),":",": "))),0)),"Não encontrado")</f>
        <v>Não encontrado</v>
      </c>
      <c r="E478" s="42" t="str" cm="1">
        <f t="array" ref="E478">IFERROR(INDEX({"IMPEDITIVO"},MATCH(TRUE,ISNUMBER(FIND(SUBSTITUTE(SUBSTITUTE(UPPER({"IMPEDITIVO"})," ",""),":",": "),SUBSTITUTE(SUBSTITUTE(UPPER(S478)," ",""),":",": "))),0)),"-")</f>
        <v>-</v>
      </c>
      <c r="K478" s="49"/>
    </row>
    <row r="479" spans="1:11" x14ac:dyDescent="0.25">
      <c r="A479" s="46" t="str" cm="1">
        <f t="array" ref="A479">IFERROR(INDEX(#REF!,MATCH(TRUE,ISNUMBER(FIND(SUBSTITUTE(SUBSTITUTE(UPPER(#REF!)," ",""),":",": "),SUBSTITUTE(SUBSTITUTE(UPPER(S479)," ",""),":",": "))),0)),"Undefined")</f>
        <v>Undefined</v>
      </c>
      <c r="B479" s="42" t="str" cm="1">
        <f t="array" ref="B479">IFERROR(INDEX({"URGENTE"},MATCH(TRUE,ISNUMBER(FIND(SUBSTITUTE(SUBSTITUTE(UPPER({"URGENTE"})," ",""),":",": "),SUBSTITUTE(SUBSTITUTE(UPPER(S479)," ",""),":",": "))),0)),"-")</f>
        <v>-</v>
      </c>
      <c r="C479" s="46" t="str" cm="1">
        <f t="array" ref="C479">IFERROR(INDEX(#REF!,MATCH(TRUE,ISNUMBER(FIND(SUBSTITUTE(SUBSTITUTE(UPPER(#REF!)," ",""),":",": "),SUBSTITUTE(SUBSTITUTE(UPPER(S479)," ",""),":",": "))),0)),"Não encontrado")</f>
        <v>Não encontrado</v>
      </c>
      <c r="D479" s="46" t="str" cm="1">
        <f t="array" ref="D479">IFERROR(INDEX(#REF!,MATCH(TRUE,ISNUMBER(FIND(SUBSTITUTE(SUBSTITUTE(UPPER(#REF!)," ",""),":",": "),SUBSTITUTE(SUBSTITUTE(UPPER(S479)," ",""),":",": "))),0)),"Não encontrado")</f>
        <v>Não encontrado</v>
      </c>
      <c r="E479" s="42" t="str" cm="1">
        <f t="array" ref="E479">IFERROR(INDEX({"IMPEDITIVO"},MATCH(TRUE,ISNUMBER(FIND(SUBSTITUTE(SUBSTITUTE(UPPER({"IMPEDITIVO"})," ",""),":",": "),SUBSTITUTE(SUBSTITUTE(UPPER(S479)," ",""),":",": "))),0)),"-")</f>
        <v>-</v>
      </c>
      <c r="K479" s="49"/>
    </row>
    <row r="480" spans="1:11" x14ac:dyDescent="0.25">
      <c r="A480" s="46" t="str" cm="1">
        <f t="array" ref="A480">IFERROR(INDEX(#REF!,MATCH(TRUE,ISNUMBER(FIND(SUBSTITUTE(SUBSTITUTE(UPPER(#REF!)," ",""),":",": "),SUBSTITUTE(SUBSTITUTE(UPPER(S480)," ",""),":",": "))),0)),"Undefined")</f>
        <v>Undefined</v>
      </c>
      <c r="B480" s="42" t="str" cm="1">
        <f t="array" ref="B480">IFERROR(INDEX({"URGENTE"},MATCH(TRUE,ISNUMBER(FIND(SUBSTITUTE(SUBSTITUTE(UPPER({"URGENTE"})," ",""),":",": "),SUBSTITUTE(SUBSTITUTE(UPPER(S480)," ",""),":",": "))),0)),"-")</f>
        <v>-</v>
      </c>
      <c r="C480" s="46" t="str" cm="1">
        <f t="array" ref="C480">IFERROR(INDEX(#REF!,MATCH(TRUE,ISNUMBER(FIND(SUBSTITUTE(SUBSTITUTE(UPPER(#REF!)," ",""),":",": "),SUBSTITUTE(SUBSTITUTE(UPPER(S480)," ",""),":",": "))),0)),"Não encontrado")</f>
        <v>Não encontrado</v>
      </c>
      <c r="D480" s="46" t="str" cm="1">
        <f t="array" ref="D480">IFERROR(INDEX(#REF!,MATCH(TRUE,ISNUMBER(FIND(SUBSTITUTE(SUBSTITUTE(UPPER(#REF!)," ",""),":",": "),SUBSTITUTE(SUBSTITUTE(UPPER(S480)," ",""),":",": "))),0)),"Não encontrado")</f>
        <v>Não encontrado</v>
      </c>
      <c r="E480" s="42" t="str" cm="1">
        <f t="array" ref="E480">IFERROR(INDEX({"IMPEDITIVO"},MATCH(TRUE,ISNUMBER(FIND(SUBSTITUTE(SUBSTITUTE(UPPER({"IMPEDITIVO"})," ",""),":",": "),SUBSTITUTE(SUBSTITUTE(UPPER(S480)," ",""),":",": "))),0)),"-")</f>
        <v>-</v>
      </c>
      <c r="K480" s="49"/>
    </row>
    <row r="481" spans="1:11" x14ac:dyDescent="0.25">
      <c r="A481" s="46" t="str" cm="1">
        <f t="array" ref="A481">IFERROR(INDEX(#REF!,MATCH(TRUE,ISNUMBER(FIND(SUBSTITUTE(SUBSTITUTE(UPPER(#REF!)," ",""),":",": "),SUBSTITUTE(SUBSTITUTE(UPPER(S481)," ",""),":",": "))),0)),"Undefined")</f>
        <v>Undefined</v>
      </c>
      <c r="B481" s="42" t="str" cm="1">
        <f t="array" ref="B481">IFERROR(INDEX({"URGENTE"},MATCH(TRUE,ISNUMBER(FIND(SUBSTITUTE(SUBSTITUTE(UPPER({"URGENTE"})," ",""),":",": "),SUBSTITUTE(SUBSTITUTE(UPPER(S481)," ",""),":",": "))),0)),"-")</f>
        <v>-</v>
      </c>
      <c r="C481" s="46" t="str" cm="1">
        <f t="array" ref="C481">IFERROR(INDEX(#REF!,MATCH(TRUE,ISNUMBER(FIND(SUBSTITUTE(SUBSTITUTE(UPPER(#REF!)," ",""),":",": "),SUBSTITUTE(SUBSTITUTE(UPPER(S481)," ",""),":",": "))),0)),"Não encontrado")</f>
        <v>Não encontrado</v>
      </c>
      <c r="D481" s="46" t="str" cm="1">
        <f t="array" ref="D481">IFERROR(INDEX(#REF!,MATCH(TRUE,ISNUMBER(FIND(SUBSTITUTE(SUBSTITUTE(UPPER(#REF!)," ",""),":",": "),SUBSTITUTE(SUBSTITUTE(UPPER(S481)," ",""),":",": "))),0)),"Não encontrado")</f>
        <v>Não encontrado</v>
      </c>
      <c r="E481" s="42" t="str" cm="1">
        <f t="array" ref="E481">IFERROR(INDEX({"IMPEDITIVO"},MATCH(TRUE,ISNUMBER(FIND(SUBSTITUTE(SUBSTITUTE(UPPER({"IMPEDITIVO"})," ",""),":",": "),SUBSTITUTE(SUBSTITUTE(UPPER(S481)," ",""),":",": "))),0)),"-")</f>
        <v>-</v>
      </c>
      <c r="K481" s="49"/>
    </row>
    <row r="482" spans="1:11" x14ac:dyDescent="0.25">
      <c r="A482" s="46" t="str" cm="1">
        <f t="array" ref="A482">IFERROR(INDEX(#REF!,MATCH(TRUE,ISNUMBER(FIND(SUBSTITUTE(SUBSTITUTE(UPPER(#REF!)," ",""),":",": "),SUBSTITUTE(SUBSTITUTE(UPPER(S482)," ",""),":",": "))),0)),"Undefined")</f>
        <v>Undefined</v>
      </c>
      <c r="B482" s="42" t="str" cm="1">
        <f t="array" ref="B482">IFERROR(INDEX({"URGENTE"},MATCH(TRUE,ISNUMBER(FIND(SUBSTITUTE(SUBSTITUTE(UPPER({"URGENTE"})," ",""),":",": "),SUBSTITUTE(SUBSTITUTE(UPPER(S482)," ",""),":",": "))),0)),"-")</f>
        <v>-</v>
      </c>
      <c r="C482" s="46" t="str" cm="1">
        <f t="array" ref="C482">IFERROR(INDEX(#REF!,MATCH(TRUE,ISNUMBER(FIND(SUBSTITUTE(SUBSTITUTE(UPPER(#REF!)," ",""),":",": "),SUBSTITUTE(SUBSTITUTE(UPPER(S482)," ",""),":",": "))),0)),"Não encontrado")</f>
        <v>Não encontrado</v>
      </c>
      <c r="D482" s="46" t="str" cm="1">
        <f t="array" ref="D482">IFERROR(INDEX(#REF!,MATCH(TRUE,ISNUMBER(FIND(SUBSTITUTE(SUBSTITUTE(UPPER(#REF!)," ",""),":",": "),SUBSTITUTE(SUBSTITUTE(UPPER(S482)," ",""),":",": "))),0)),"Não encontrado")</f>
        <v>Não encontrado</v>
      </c>
      <c r="E482" s="42" t="str" cm="1">
        <f t="array" ref="E482">IFERROR(INDEX({"IMPEDITIVO"},MATCH(TRUE,ISNUMBER(FIND(SUBSTITUTE(SUBSTITUTE(UPPER({"IMPEDITIVO"})," ",""),":",": "),SUBSTITUTE(SUBSTITUTE(UPPER(S482)," ",""),":",": "))),0)),"-")</f>
        <v>-</v>
      </c>
      <c r="K482" s="49"/>
    </row>
    <row r="483" spans="1:11" x14ac:dyDescent="0.25">
      <c r="A483" s="46" t="str" cm="1">
        <f t="array" ref="A483">IFERROR(INDEX(#REF!,MATCH(TRUE,ISNUMBER(FIND(SUBSTITUTE(SUBSTITUTE(UPPER(#REF!)," ",""),":",": "),SUBSTITUTE(SUBSTITUTE(UPPER(S483)," ",""),":",": "))),0)),"Undefined")</f>
        <v>Undefined</v>
      </c>
      <c r="B483" s="42" t="str" cm="1">
        <f t="array" ref="B483">IFERROR(INDEX({"URGENTE"},MATCH(TRUE,ISNUMBER(FIND(SUBSTITUTE(SUBSTITUTE(UPPER({"URGENTE"})," ",""),":",": "),SUBSTITUTE(SUBSTITUTE(UPPER(S483)," ",""),":",": "))),0)),"-")</f>
        <v>-</v>
      </c>
      <c r="C483" s="46" t="str" cm="1">
        <f t="array" ref="C483">IFERROR(INDEX(#REF!,MATCH(TRUE,ISNUMBER(FIND(SUBSTITUTE(SUBSTITUTE(UPPER(#REF!)," ",""),":",": "),SUBSTITUTE(SUBSTITUTE(UPPER(S483)," ",""),":",": "))),0)),"Não encontrado")</f>
        <v>Não encontrado</v>
      </c>
      <c r="D483" s="46" t="str" cm="1">
        <f t="array" ref="D483">IFERROR(INDEX(#REF!,MATCH(TRUE,ISNUMBER(FIND(SUBSTITUTE(SUBSTITUTE(UPPER(#REF!)," ",""),":",": "),SUBSTITUTE(SUBSTITUTE(UPPER(S483)," ",""),":",": "))),0)),"Não encontrado")</f>
        <v>Não encontrado</v>
      </c>
      <c r="E483" s="42" t="str" cm="1">
        <f t="array" ref="E483">IFERROR(INDEX({"IMPEDITIVO"},MATCH(TRUE,ISNUMBER(FIND(SUBSTITUTE(SUBSTITUTE(UPPER({"IMPEDITIVO"})," ",""),":",": "),SUBSTITUTE(SUBSTITUTE(UPPER(S483)," ",""),":",": "))),0)),"-")</f>
        <v>-</v>
      </c>
      <c r="K483" s="49"/>
    </row>
    <row r="484" spans="1:11" x14ac:dyDescent="0.25">
      <c r="A484" s="46" t="str" cm="1">
        <f t="array" ref="A484">IFERROR(INDEX(#REF!,MATCH(TRUE,ISNUMBER(FIND(SUBSTITUTE(SUBSTITUTE(UPPER(#REF!)," ",""),":",": "),SUBSTITUTE(SUBSTITUTE(UPPER(S484)," ",""),":",": "))),0)),"Undefined")</f>
        <v>Undefined</v>
      </c>
      <c r="B484" s="42" t="str" cm="1">
        <f t="array" ref="B484">IFERROR(INDEX({"URGENTE"},MATCH(TRUE,ISNUMBER(FIND(SUBSTITUTE(SUBSTITUTE(UPPER({"URGENTE"})," ",""),":",": "),SUBSTITUTE(SUBSTITUTE(UPPER(S484)," ",""),":",": "))),0)),"-")</f>
        <v>-</v>
      </c>
      <c r="C484" s="46" t="str" cm="1">
        <f t="array" ref="C484">IFERROR(INDEX(#REF!,MATCH(TRUE,ISNUMBER(FIND(SUBSTITUTE(SUBSTITUTE(UPPER(#REF!)," ",""),":",": "),SUBSTITUTE(SUBSTITUTE(UPPER(S484)," ",""),":",": "))),0)),"Não encontrado")</f>
        <v>Não encontrado</v>
      </c>
      <c r="D484" s="46" t="str" cm="1">
        <f t="array" ref="D484">IFERROR(INDEX(#REF!,MATCH(TRUE,ISNUMBER(FIND(SUBSTITUTE(SUBSTITUTE(UPPER(#REF!)," ",""),":",": "),SUBSTITUTE(SUBSTITUTE(UPPER(S484)," ",""),":",": "))),0)),"Não encontrado")</f>
        <v>Não encontrado</v>
      </c>
      <c r="E484" s="42" t="str" cm="1">
        <f t="array" ref="E484">IFERROR(INDEX({"IMPEDITIVO"},MATCH(TRUE,ISNUMBER(FIND(SUBSTITUTE(SUBSTITUTE(UPPER({"IMPEDITIVO"})," ",""),":",": "),SUBSTITUTE(SUBSTITUTE(UPPER(S484)," ",""),":",": "))),0)),"-")</f>
        <v>-</v>
      </c>
      <c r="K484" s="49"/>
    </row>
    <row r="485" spans="1:11" x14ac:dyDescent="0.25">
      <c r="A485" s="46" t="str" cm="1">
        <f t="array" ref="A485">IFERROR(INDEX(#REF!,MATCH(TRUE,ISNUMBER(FIND(SUBSTITUTE(SUBSTITUTE(UPPER(#REF!)," ",""),":",": "),SUBSTITUTE(SUBSTITUTE(UPPER(S485)," ",""),":",": "))),0)),"Undefined")</f>
        <v>Undefined</v>
      </c>
      <c r="B485" s="42" t="str" cm="1">
        <f t="array" ref="B485">IFERROR(INDEX({"URGENTE"},MATCH(TRUE,ISNUMBER(FIND(SUBSTITUTE(SUBSTITUTE(UPPER({"URGENTE"})," ",""),":",": "),SUBSTITUTE(SUBSTITUTE(UPPER(S485)," ",""),":",": "))),0)),"-")</f>
        <v>-</v>
      </c>
      <c r="C485" s="46" t="str" cm="1">
        <f t="array" ref="C485">IFERROR(INDEX(#REF!,MATCH(TRUE,ISNUMBER(FIND(SUBSTITUTE(SUBSTITUTE(UPPER(#REF!)," ",""),":",": "),SUBSTITUTE(SUBSTITUTE(UPPER(S485)," ",""),":",": "))),0)),"Não encontrado")</f>
        <v>Não encontrado</v>
      </c>
      <c r="D485" s="46" t="str" cm="1">
        <f t="array" ref="D485">IFERROR(INDEX(#REF!,MATCH(TRUE,ISNUMBER(FIND(SUBSTITUTE(SUBSTITUTE(UPPER(#REF!)," ",""),":",": "),SUBSTITUTE(SUBSTITUTE(UPPER(S485)," ",""),":",": "))),0)),"Não encontrado")</f>
        <v>Não encontrado</v>
      </c>
      <c r="E485" s="42" t="str" cm="1">
        <f t="array" ref="E485">IFERROR(INDEX({"IMPEDITIVO"},MATCH(TRUE,ISNUMBER(FIND(SUBSTITUTE(SUBSTITUTE(UPPER({"IMPEDITIVO"})," ",""),":",": "),SUBSTITUTE(SUBSTITUTE(UPPER(S485)," ",""),":",": "))),0)),"-")</f>
        <v>-</v>
      </c>
      <c r="K485" s="49"/>
    </row>
    <row r="486" spans="1:11" x14ac:dyDescent="0.25">
      <c r="A486" s="46" t="str" cm="1">
        <f t="array" ref="A486">IFERROR(INDEX(#REF!,MATCH(TRUE,ISNUMBER(FIND(SUBSTITUTE(SUBSTITUTE(UPPER(#REF!)," ",""),":",": "),SUBSTITUTE(SUBSTITUTE(UPPER(S486)," ",""),":",": "))),0)),"Undefined")</f>
        <v>Undefined</v>
      </c>
      <c r="B486" s="42" t="str" cm="1">
        <f t="array" ref="B486">IFERROR(INDEX({"URGENTE"},MATCH(TRUE,ISNUMBER(FIND(SUBSTITUTE(SUBSTITUTE(UPPER({"URGENTE"})," ",""),":",": "),SUBSTITUTE(SUBSTITUTE(UPPER(S486)," ",""),":",": "))),0)),"-")</f>
        <v>-</v>
      </c>
      <c r="C486" s="46" t="str" cm="1">
        <f t="array" ref="C486">IFERROR(INDEX(#REF!,MATCH(TRUE,ISNUMBER(FIND(SUBSTITUTE(SUBSTITUTE(UPPER(#REF!)," ",""),":",": "),SUBSTITUTE(SUBSTITUTE(UPPER(S486)," ",""),":",": "))),0)),"Não encontrado")</f>
        <v>Não encontrado</v>
      </c>
      <c r="D486" s="46" t="str" cm="1">
        <f t="array" ref="D486">IFERROR(INDEX(#REF!,MATCH(TRUE,ISNUMBER(FIND(SUBSTITUTE(SUBSTITUTE(UPPER(#REF!)," ",""),":",": "),SUBSTITUTE(SUBSTITUTE(UPPER(S486)," ",""),":",": "))),0)),"Não encontrado")</f>
        <v>Não encontrado</v>
      </c>
      <c r="E486" s="42" t="str" cm="1">
        <f t="array" ref="E486">IFERROR(INDEX({"IMPEDITIVO"},MATCH(TRUE,ISNUMBER(FIND(SUBSTITUTE(SUBSTITUTE(UPPER({"IMPEDITIVO"})," ",""),":",": "),SUBSTITUTE(SUBSTITUTE(UPPER(S486)," ",""),":",": "))),0)),"-")</f>
        <v>-</v>
      </c>
      <c r="K486" s="49"/>
    </row>
    <row r="487" spans="1:11" x14ac:dyDescent="0.25">
      <c r="A487" s="46" t="str" cm="1">
        <f t="array" ref="A487">IFERROR(INDEX(#REF!,MATCH(TRUE,ISNUMBER(FIND(SUBSTITUTE(SUBSTITUTE(UPPER(#REF!)," ",""),":",": "),SUBSTITUTE(SUBSTITUTE(UPPER(S487)," ",""),":",": "))),0)),"Undefined")</f>
        <v>Undefined</v>
      </c>
      <c r="B487" s="42" t="str" cm="1">
        <f t="array" ref="B487">IFERROR(INDEX({"URGENTE"},MATCH(TRUE,ISNUMBER(FIND(SUBSTITUTE(SUBSTITUTE(UPPER({"URGENTE"})," ",""),":",": "),SUBSTITUTE(SUBSTITUTE(UPPER(S487)," ",""),":",": "))),0)),"-")</f>
        <v>-</v>
      </c>
      <c r="C487" s="46" t="str" cm="1">
        <f t="array" ref="C487">IFERROR(INDEX(#REF!,MATCH(TRUE,ISNUMBER(FIND(SUBSTITUTE(SUBSTITUTE(UPPER(#REF!)," ",""),":",": "),SUBSTITUTE(SUBSTITUTE(UPPER(S487)," ",""),":",": "))),0)),"Não encontrado")</f>
        <v>Não encontrado</v>
      </c>
      <c r="D487" s="46" t="str" cm="1">
        <f t="array" ref="D487">IFERROR(INDEX(#REF!,MATCH(TRUE,ISNUMBER(FIND(SUBSTITUTE(SUBSTITUTE(UPPER(#REF!)," ",""),":",": "),SUBSTITUTE(SUBSTITUTE(UPPER(S487)," ",""),":",": "))),0)),"Não encontrado")</f>
        <v>Não encontrado</v>
      </c>
      <c r="E487" s="42" t="str" cm="1">
        <f t="array" ref="E487">IFERROR(INDEX({"IMPEDITIVO"},MATCH(TRUE,ISNUMBER(FIND(SUBSTITUTE(SUBSTITUTE(UPPER({"IMPEDITIVO"})," ",""),":",": "),SUBSTITUTE(SUBSTITUTE(UPPER(S487)," ",""),":",": "))),0)),"-")</f>
        <v>-</v>
      </c>
      <c r="K487" s="49"/>
    </row>
    <row r="488" spans="1:11" x14ac:dyDescent="0.25">
      <c r="A488" s="46" t="str" cm="1">
        <f t="array" ref="A488">IFERROR(INDEX(#REF!,MATCH(TRUE,ISNUMBER(FIND(SUBSTITUTE(SUBSTITUTE(UPPER(#REF!)," ",""),":",": "),SUBSTITUTE(SUBSTITUTE(UPPER(S488)," ",""),":",": "))),0)),"Undefined")</f>
        <v>Undefined</v>
      </c>
      <c r="B488" s="42" t="str" cm="1">
        <f t="array" ref="B488">IFERROR(INDEX({"URGENTE"},MATCH(TRUE,ISNUMBER(FIND(SUBSTITUTE(SUBSTITUTE(UPPER({"URGENTE"})," ",""),":",": "),SUBSTITUTE(SUBSTITUTE(UPPER(S488)," ",""),":",": "))),0)),"-")</f>
        <v>-</v>
      </c>
      <c r="C488" s="46" t="str" cm="1">
        <f t="array" ref="C488">IFERROR(INDEX(#REF!,MATCH(TRUE,ISNUMBER(FIND(SUBSTITUTE(SUBSTITUTE(UPPER(#REF!)," ",""),":",": "),SUBSTITUTE(SUBSTITUTE(UPPER(S488)," ",""),":",": "))),0)),"Não encontrado")</f>
        <v>Não encontrado</v>
      </c>
      <c r="D488" s="46" t="str" cm="1">
        <f t="array" ref="D488">IFERROR(INDEX(#REF!,MATCH(TRUE,ISNUMBER(FIND(SUBSTITUTE(SUBSTITUTE(UPPER(#REF!)," ",""),":",": "),SUBSTITUTE(SUBSTITUTE(UPPER(S488)," ",""),":",": "))),0)),"Não encontrado")</f>
        <v>Não encontrado</v>
      </c>
      <c r="E488" s="42" t="str" cm="1">
        <f t="array" ref="E488">IFERROR(INDEX({"IMPEDITIVO"},MATCH(TRUE,ISNUMBER(FIND(SUBSTITUTE(SUBSTITUTE(UPPER({"IMPEDITIVO"})," ",""),":",": "),SUBSTITUTE(SUBSTITUTE(UPPER(S488)," ",""),":",": "))),0)),"-")</f>
        <v>-</v>
      </c>
      <c r="K488" s="49"/>
    </row>
    <row r="489" spans="1:11" x14ac:dyDescent="0.25">
      <c r="A489" s="46" t="str" cm="1">
        <f t="array" ref="A489">IFERROR(INDEX(#REF!,MATCH(TRUE,ISNUMBER(FIND(SUBSTITUTE(SUBSTITUTE(UPPER(#REF!)," ",""),":",": "),SUBSTITUTE(SUBSTITUTE(UPPER(S489)," ",""),":",": "))),0)),"Undefined")</f>
        <v>Undefined</v>
      </c>
      <c r="B489" s="42" t="str" cm="1">
        <f t="array" ref="B489">IFERROR(INDEX({"URGENTE"},MATCH(TRUE,ISNUMBER(FIND(SUBSTITUTE(SUBSTITUTE(UPPER({"URGENTE"})," ",""),":",": "),SUBSTITUTE(SUBSTITUTE(UPPER(S489)," ",""),":",": "))),0)),"-")</f>
        <v>-</v>
      </c>
      <c r="C489" s="46" t="str" cm="1">
        <f t="array" ref="C489">IFERROR(INDEX(#REF!,MATCH(TRUE,ISNUMBER(FIND(SUBSTITUTE(SUBSTITUTE(UPPER(#REF!)," ",""),":",": "),SUBSTITUTE(SUBSTITUTE(UPPER(S489)," ",""),":",": "))),0)),"Não encontrado")</f>
        <v>Não encontrado</v>
      </c>
      <c r="D489" s="46" t="str" cm="1">
        <f t="array" ref="D489">IFERROR(INDEX(#REF!,MATCH(TRUE,ISNUMBER(FIND(SUBSTITUTE(SUBSTITUTE(UPPER(#REF!)," ",""),":",": "),SUBSTITUTE(SUBSTITUTE(UPPER(S489)," ",""),":",": "))),0)),"Não encontrado")</f>
        <v>Não encontrado</v>
      </c>
      <c r="E489" s="42" t="str" cm="1">
        <f t="array" ref="E489">IFERROR(INDEX({"IMPEDITIVO"},MATCH(TRUE,ISNUMBER(FIND(SUBSTITUTE(SUBSTITUTE(UPPER({"IMPEDITIVO"})," ",""),":",": "),SUBSTITUTE(SUBSTITUTE(UPPER(S489)," ",""),":",": "))),0)),"-")</f>
        <v>-</v>
      </c>
      <c r="K489" s="49"/>
    </row>
    <row r="490" spans="1:11" x14ac:dyDescent="0.25">
      <c r="A490" s="46" t="str" cm="1">
        <f t="array" ref="A490">IFERROR(INDEX(#REF!,MATCH(TRUE,ISNUMBER(FIND(SUBSTITUTE(SUBSTITUTE(UPPER(#REF!)," ",""),":",": "),SUBSTITUTE(SUBSTITUTE(UPPER(S490)," ",""),":",": "))),0)),"Undefined")</f>
        <v>Undefined</v>
      </c>
      <c r="B490" s="42" t="str" cm="1">
        <f t="array" ref="B490">IFERROR(INDEX({"URGENTE"},MATCH(TRUE,ISNUMBER(FIND(SUBSTITUTE(SUBSTITUTE(UPPER({"URGENTE"})," ",""),":",": "),SUBSTITUTE(SUBSTITUTE(UPPER(S490)," ",""),":",": "))),0)),"-")</f>
        <v>-</v>
      </c>
      <c r="C490" s="46" t="str" cm="1">
        <f t="array" ref="C490">IFERROR(INDEX(#REF!,MATCH(TRUE,ISNUMBER(FIND(SUBSTITUTE(SUBSTITUTE(UPPER(#REF!)," ",""),":",": "),SUBSTITUTE(SUBSTITUTE(UPPER(S490)," ",""),":",": "))),0)),"Não encontrado")</f>
        <v>Não encontrado</v>
      </c>
      <c r="D490" s="46" t="str" cm="1">
        <f t="array" ref="D490">IFERROR(INDEX(#REF!,MATCH(TRUE,ISNUMBER(FIND(SUBSTITUTE(SUBSTITUTE(UPPER(#REF!)," ",""),":",": "),SUBSTITUTE(SUBSTITUTE(UPPER(S490)," ",""),":",": "))),0)),"Não encontrado")</f>
        <v>Não encontrado</v>
      </c>
      <c r="E490" s="42" t="str" cm="1">
        <f t="array" ref="E490">IFERROR(INDEX({"IMPEDITIVO"},MATCH(TRUE,ISNUMBER(FIND(SUBSTITUTE(SUBSTITUTE(UPPER({"IMPEDITIVO"})," ",""),":",": "),SUBSTITUTE(SUBSTITUTE(UPPER(S490)," ",""),":",": "))),0)),"-")</f>
        <v>-</v>
      </c>
      <c r="K490" s="49"/>
    </row>
    <row r="491" spans="1:11" x14ac:dyDescent="0.25">
      <c r="A491" s="46" t="str" cm="1">
        <f t="array" ref="A491">IFERROR(INDEX(#REF!,MATCH(TRUE,ISNUMBER(FIND(SUBSTITUTE(SUBSTITUTE(UPPER(#REF!)," ",""),":",": "),SUBSTITUTE(SUBSTITUTE(UPPER(S491)," ",""),":",": "))),0)),"Undefined")</f>
        <v>Undefined</v>
      </c>
      <c r="B491" s="42" t="str" cm="1">
        <f t="array" ref="B491">IFERROR(INDEX({"URGENTE"},MATCH(TRUE,ISNUMBER(FIND(SUBSTITUTE(SUBSTITUTE(UPPER({"URGENTE"})," ",""),":",": "),SUBSTITUTE(SUBSTITUTE(UPPER(S491)," ",""),":",": "))),0)),"-")</f>
        <v>-</v>
      </c>
      <c r="C491" s="46" t="str" cm="1">
        <f t="array" ref="C491">IFERROR(INDEX(#REF!,MATCH(TRUE,ISNUMBER(FIND(SUBSTITUTE(SUBSTITUTE(UPPER(#REF!)," ",""),":",": "),SUBSTITUTE(SUBSTITUTE(UPPER(S491)," ",""),":",": "))),0)),"Não encontrado")</f>
        <v>Não encontrado</v>
      </c>
      <c r="D491" s="46" t="str" cm="1">
        <f t="array" ref="D491">IFERROR(INDEX(#REF!,MATCH(TRUE,ISNUMBER(FIND(SUBSTITUTE(SUBSTITUTE(UPPER(#REF!)," ",""),":",": "),SUBSTITUTE(SUBSTITUTE(UPPER(S491)," ",""),":",": "))),0)),"Não encontrado")</f>
        <v>Não encontrado</v>
      </c>
      <c r="E491" s="42" t="str" cm="1">
        <f t="array" ref="E491">IFERROR(INDEX({"IMPEDITIVO"},MATCH(TRUE,ISNUMBER(FIND(SUBSTITUTE(SUBSTITUTE(UPPER({"IMPEDITIVO"})," ",""),":",": "),SUBSTITUTE(SUBSTITUTE(UPPER(S491)," ",""),":",": "))),0)),"-")</f>
        <v>-</v>
      </c>
      <c r="K491" s="49"/>
    </row>
    <row r="492" spans="1:11" x14ac:dyDescent="0.25">
      <c r="A492" s="46" t="str" cm="1">
        <f t="array" ref="A492">IFERROR(INDEX(#REF!,MATCH(TRUE,ISNUMBER(FIND(SUBSTITUTE(SUBSTITUTE(UPPER(#REF!)," ",""),":",": "),SUBSTITUTE(SUBSTITUTE(UPPER(S492)," ",""),":",": "))),0)),"Undefined")</f>
        <v>Undefined</v>
      </c>
      <c r="B492" s="42" t="str" cm="1">
        <f t="array" ref="B492">IFERROR(INDEX({"URGENTE"},MATCH(TRUE,ISNUMBER(FIND(SUBSTITUTE(SUBSTITUTE(UPPER({"URGENTE"})," ",""),":",": "),SUBSTITUTE(SUBSTITUTE(UPPER(S492)," ",""),":",": "))),0)),"-")</f>
        <v>-</v>
      </c>
      <c r="C492" s="46" t="str" cm="1">
        <f t="array" ref="C492">IFERROR(INDEX(#REF!,MATCH(TRUE,ISNUMBER(FIND(SUBSTITUTE(SUBSTITUTE(UPPER(#REF!)," ",""),":",": "),SUBSTITUTE(SUBSTITUTE(UPPER(S492)," ",""),":",": "))),0)),"Não encontrado")</f>
        <v>Não encontrado</v>
      </c>
      <c r="D492" s="46" t="str" cm="1">
        <f t="array" ref="D492">IFERROR(INDEX(#REF!,MATCH(TRUE,ISNUMBER(FIND(SUBSTITUTE(SUBSTITUTE(UPPER(#REF!)," ",""),":",": "),SUBSTITUTE(SUBSTITUTE(UPPER(S492)," ",""),":",": "))),0)),"Não encontrado")</f>
        <v>Não encontrado</v>
      </c>
      <c r="E492" s="42" t="str" cm="1">
        <f t="array" ref="E492">IFERROR(INDEX({"IMPEDITIVO"},MATCH(TRUE,ISNUMBER(FIND(SUBSTITUTE(SUBSTITUTE(UPPER({"IMPEDITIVO"})," ",""),":",": "),SUBSTITUTE(SUBSTITUTE(UPPER(S492)," ",""),":",": "))),0)),"-")</f>
        <v>-</v>
      </c>
      <c r="K492" s="49"/>
    </row>
    <row r="493" spans="1:11" x14ac:dyDescent="0.25">
      <c r="A493" s="46" t="str" cm="1">
        <f t="array" ref="A493">IFERROR(INDEX(#REF!,MATCH(TRUE,ISNUMBER(FIND(SUBSTITUTE(SUBSTITUTE(UPPER(#REF!)," ",""),":",": "),SUBSTITUTE(SUBSTITUTE(UPPER(S493)," ",""),":",": "))),0)),"Undefined")</f>
        <v>Undefined</v>
      </c>
      <c r="B493" s="42" t="str" cm="1">
        <f t="array" ref="B493">IFERROR(INDEX({"URGENTE"},MATCH(TRUE,ISNUMBER(FIND(SUBSTITUTE(SUBSTITUTE(UPPER({"URGENTE"})," ",""),":",": "),SUBSTITUTE(SUBSTITUTE(UPPER(S493)," ",""),":",": "))),0)),"-")</f>
        <v>-</v>
      </c>
      <c r="C493" s="46" t="str" cm="1">
        <f t="array" ref="C493">IFERROR(INDEX(#REF!,MATCH(TRUE,ISNUMBER(FIND(SUBSTITUTE(SUBSTITUTE(UPPER(#REF!)," ",""),":",": "),SUBSTITUTE(SUBSTITUTE(UPPER(S493)," ",""),":",": "))),0)),"Não encontrado")</f>
        <v>Não encontrado</v>
      </c>
      <c r="D493" s="46" t="str" cm="1">
        <f t="array" ref="D493">IFERROR(INDEX(#REF!,MATCH(TRUE,ISNUMBER(FIND(SUBSTITUTE(SUBSTITUTE(UPPER(#REF!)," ",""),":",": "),SUBSTITUTE(SUBSTITUTE(UPPER(S493)," ",""),":",": "))),0)),"Não encontrado")</f>
        <v>Não encontrado</v>
      </c>
      <c r="E493" s="42" t="str" cm="1">
        <f t="array" ref="E493">IFERROR(INDEX({"IMPEDITIVO"},MATCH(TRUE,ISNUMBER(FIND(SUBSTITUTE(SUBSTITUTE(UPPER({"IMPEDITIVO"})," ",""),":",": "),SUBSTITUTE(SUBSTITUTE(UPPER(S493)," ",""),":",": "))),0)),"-")</f>
        <v>-</v>
      </c>
      <c r="K493" s="49"/>
    </row>
    <row r="494" spans="1:11" x14ac:dyDescent="0.25">
      <c r="A494" s="46" t="str" cm="1">
        <f t="array" ref="A494">IFERROR(INDEX(#REF!,MATCH(TRUE,ISNUMBER(FIND(SUBSTITUTE(SUBSTITUTE(UPPER(#REF!)," ",""),":",": "),SUBSTITUTE(SUBSTITUTE(UPPER(S494)," ",""),":",": "))),0)),"Undefined")</f>
        <v>Undefined</v>
      </c>
      <c r="B494" s="42" t="str" cm="1">
        <f t="array" ref="B494">IFERROR(INDEX({"URGENTE"},MATCH(TRUE,ISNUMBER(FIND(SUBSTITUTE(SUBSTITUTE(UPPER({"URGENTE"})," ",""),":",": "),SUBSTITUTE(SUBSTITUTE(UPPER(S494)," ",""),":",": "))),0)),"-")</f>
        <v>-</v>
      </c>
      <c r="C494" s="46" t="str" cm="1">
        <f t="array" ref="C494">IFERROR(INDEX(#REF!,MATCH(TRUE,ISNUMBER(FIND(SUBSTITUTE(SUBSTITUTE(UPPER(#REF!)," ",""),":",": "),SUBSTITUTE(SUBSTITUTE(UPPER(S494)," ",""),":",": "))),0)),"Não encontrado")</f>
        <v>Não encontrado</v>
      </c>
      <c r="D494" s="46" t="str" cm="1">
        <f t="array" ref="D494">IFERROR(INDEX(#REF!,MATCH(TRUE,ISNUMBER(FIND(SUBSTITUTE(SUBSTITUTE(UPPER(#REF!)," ",""),":",": "),SUBSTITUTE(SUBSTITUTE(UPPER(S494)," ",""),":",": "))),0)),"Não encontrado")</f>
        <v>Não encontrado</v>
      </c>
      <c r="E494" s="42" t="str" cm="1">
        <f t="array" ref="E494">IFERROR(INDEX({"IMPEDITIVO"},MATCH(TRUE,ISNUMBER(FIND(SUBSTITUTE(SUBSTITUTE(UPPER({"IMPEDITIVO"})," ",""),":",": "),SUBSTITUTE(SUBSTITUTE(UPPER(S494)," ",""),":",": "))),0)),"-")</f>
        <v>-</v>
      </c>
      <c r="K494" s="49"/>
    </row>
    <row r="495" spans="1:11" x14ac:dyDescent="0.25">
      <c r="A495" s="46" t="str" cm="1">
        <f t="array" ref="A495">IFERROR(INDEX(#REF!,MATCH(TRUE,ISNUMBER(FIND(SUBSTITUTE(SUBSTITUTE(UPPER(#REF!)," ",""),":",": "),SUBSTITUTE(SUBSTITUTE(UPPER(S495)," ",""),":",": "))),0)),"Undefined")</f>
        <v>Undefined</v>
      </c>
      <c r="B495" s="42" t="str" cm="1">
        <f t="array" ref="B495">IFERROR(INDEX({"URGENTE"},MATCH(TRUE,ISNUMBER(FIND(SUBSTITUTE(SUBSTITUTE(UPPER({"URGENTE"})," ",""),":",": "),SUBSTITUTE(SUBSTITUTE(UPPER(S495)," ",""),":",": "))),0)),"-")</f>
        <v>-</v>
      </c>
      <c r="C495" s="46" t="str" cm="1">
        <f t="array" ref="C495">IFERROR(INDEX(#REF!,MATCH(TRUE,ISNUMBER(FIND(SUBSTITUTE(SUBSTITUTE(UPPER(#REF!)," ",""),":",": "),SUBSTITUTE(SUBSTITUTE(UPPER(S495)," ",""),":",": "))),0)),"Não encontrado")</f>
        <v>Não encontrado</v>
      </c>
      <c r="D495" s="46" t="str" cm="1">
        <f t="array" ref="D495">IFERROR(INDEX(#REF!,MATCH(TRUE,ISNUMBER(FIND(SUBSTITUTE(SUBSTITUTE(UPPER(#REF!)," ",""),":",": "),SUBSTITUTE(SUBSTITUTE(UPPER(S495)," ",""),":",": "))),0)),"Não encontrado")</f>
        <v>Não encontrado</v>
      </c>
      <c r="E495" s="42" t="str" cm="1">
        <f t="array" ref="E495">IFERROR(INDEX({"IMPEDITIVO"},MATCH(TRUE,ISNUMBER(FIND(SUBSTITUTE(SUBSTITUTE(UPPER({"IMPEDITIVO"})," ",""),":",": "),SUBSTITUTE(SUBSTITUTE(UPPER(S495)," ",""),":",": "))),0)),"-")</f>
        <v>-</v>
      </c>
      <c r="K495" s="49"/>
    </row>
    <row r="496" spans="1:11" x14ac:dyDescent="0.25">
      <c r="A496" s="46" t="str" cm="1">
        <f t="array" ref="A496">IFERROR(INDEX(#REF!,MATCH(TRUE,ISNUMBER(FIND(SUBSTITUTE(SUBSTITUTE(UPPER(#REF!)," ",""),":",": "),SUBSTITUTE(SUBSTITUTE(UPPER(S496)," ",""),":",": "))),0)),"Undefined")</f>
        <v>Undefined</v>
      </c>
      <c r="B496" s="42" t="str" cm="1">
        <f t="array" ref="B496">IFERROR(INDEX({"URGENTE"},MATCH(TRUE,ISNUMBER(FIND(SUBSTITUTE(SUBSTITUTE(UPPER({"URGENTE"})," ",""),":",": "),SUBSTITUTE(SUBSTITUTE(UPPER(S496)," ",""),":",": "))),0)),"-")</f>
        <v>-</v>
      </c>
      <c r="C496" s="46" t="str" cm="1">
        <f t="array" ref="C496">IFERROR(INDEX(#REF!,MATCH(TRUE,ISNUMBER(FIND(SUBSTITUTE(SUBSTITUTE(UPPER(#REF!)," ",""),":",": "),SUBSTITUTE(SUBSTITUTE(UPPER(S496)," ",""),":",": "))),0)),"Não encontrado")</f>
        <v>Não encontrado</v>
      </c>
      <c r="D496" s="46" t="str" cm="1">
        <f t="array" ref="D496">IFERROR(INDEX(#REF!,MATCH(TRUE,ISNUMBER(FIND(SUBSTITUTE(SUBSTITUTE(UPPER(#REF!)," ",""),":",": "),SUBSTITUTE(SUBSTITUTE(UPPER(S496)," ",""),":",": "))),0)),"Não encontrado")</f>
        <v>Não encontrado</v>
      </c>
      <c r="E496" s="42" t="str" cm="1">
        <f t="array" ref="E496">IFERROR(INDEX({"IMPEDITIVO"},MATCH(TRUE,ISNUMBER(FIND(SUBSTITUTE(SUBSTITUTE(UPPER({"IMPEDITIVO"})," ",""),":",": "),SUBSTITUTE(SUBSTITUTE(UPPER(S496)," ",""),":",": "))),0)),"-")</f>
        <v>-</v>
      </c>
      <c r="K496" s="49"/>
    </row>
    <row r="497" spans="1:11" x14ac:dyDescent="0.25">
      <c r="A497" s="46" t="str" cm="1">
        <f t="array" ref="A497">IFERROR(INDEX(#REF!,MATCH(TRUE,ISNUMBER(FIND(SUBSTITUTE(SUBSTITUTE(UPPER(#REF!)," ",""),":",": "),SUBSTITUTE(SUBSTITUTE(UPPER(S497)," ",""),":",": "))),0)),"Undefined")</f>
        <v>Undefined</v>
      </c>
      <c r="B497" s="42" t="str" cm="1">
        <f t="array" ref="B497">IFERROR(INDEX({"URGENTE"},MATCH(TRUE,ISNUMBER(FIND(SUBSTITUTE(SUBSTITUTE(UPPER({"URGENTE"})," ",""),":",": "),SUBSTITUTE(SUBSTITUTE(UPPER(S497)," ",""),":",": "))),0)),"-")</f>
        <v>-</v>
      </c>
      <c r="C497" s="46" t="str" cm="1">
        <f t="array" ref="C497">IFERROR(INDEX(#REF!,MATCH(TRUE,ISNUMBER(FIND(SUBSTITUTE(SUBSTITUTE(UPPER(#REF!)," ",""),":",": "),SUBSTITUTE(SUBSTITUTE(UPPER(S497)," ",""),":",": "))),0)),"Não encontrado")</f>
        <v>Não encontrado</v>
      </c>
      <c r="D497" s="46" t="str" cm="1">
        <f t="array" ref="D497">IFERROR(INDEX(#REF!,MATCH(TRUE,ISNUMBER(FIND(SUBSTITUTE(SUBSTITUTE(UPPER(#REF!)," ",""),":",": "),SUBSTITUTE(SUBSTITUTE(UPPER(S497)," ",""),":",": "))),0)),"Não encontrado")</f>
        <v>Não encontrado</v>
      </c>
      <c r="E497" s="42" t="str" cm="1">
        <f t="array" ref="E497">IFERROR(INDEX({"IMPEDITIVO"},MATCH(TRUE,ISNUMBER(FIND(SUBSTITUTE(SUBSTITUTE(UPPER({"IMPEDITIVO"})," ",""),":",": "),SUBSTITUTE(SUBSTITUTE(UPPER(S497)," ",""),":",": "))),0)),"-")</f>
        <v>-</v>
      </c>
      <c r="K497" s="49"/>
    </row>
    <row r="498" spans="1:11" x14ac:dyDescent="0.25">
      <c r="A498" s="46" t="str" cm="1">
        <f t="array" ref="A498">IFERROR(INDEX(#REF!,MATCH(TRUE,ISNUMBER(FIND(SUBSTITUTE(SUBSTITUTE(UPPER(#REF!)," ",""),":",": "),SUBSTITUTE(SUBSTITUTE(UPPER(S498)," ",""),":",": "))),0)),"Undefined")</f>
        <v>Undefined</v>
      </c>
      <c r="B498" s="42" t="str" cm="1">
        <f t="array" ref="B498">IFERROR(INDEX({"URGENTE"},MATCH(TRUE,ISNUMBER(FIND(SUBSTITUTE(SUBSTITUTE(UPPER({"URGENTE"})," ",""),":",": "),SUBSTITUTE(SUBSTITUTE(UPPER(S498)," ",""),":",": "))),0)),"-")</f>
        <v>-</v>
      </c>
      <c r="C498" s="46" t="str" cm="1">
        <f t="array" ref="C498">IFERROR(INDEX(#REF!,MATCH(TRUE,ISNUMBER(FIND(SUBSTITUTE(SUBSTITUTE(UPPER(#REF!)," ",""),":",": "),SUBSTITUTE(SUBSTITUTE(UPPER(S498)," ",""),":",": "))),0)),"Não encontrado")</f>
        <v>Não encontrado</v>
      </c>
      <c r="D498" s="46" t="str" cm="1">
        <f t="array" ref="D498">IFERROR(INDEX(#REF!,MATCH(TRUE,ISNUMBER(FIND(SUBSTITUTE(SUBSTITUTE(UPPER(#REF!)," ",""),":",": "),SUBSTITUTE(SUBSTITUTE(UPPER(S498)," ",""),":",": "))),0)),"Não encontrado")</f>
        <v>Não encontrado</v>
      </c>
      <c r="E498" s="42" t="str" cm="1">
        <f t="array" ref="E498">IFERROR(INDEX({"IMPEDITIVO"},MATCH(TRUE,ISNUMBER(FIND(SUBSTITUTE(SUBSTITUTE(UPPER({"IMPEDITIVO"})," ",""),":",": "),SUBSTITUTE(SUBSTITUTE(UPPER(S498)," ",""),":",": "))),0)),"-")</f>
        <v>-</v>
      </c>
      <c r="K498" s="49"/>
    </row>
    <row r="499" spans="1:11" x14ac:dyDescent="0.25">
      <c r="A499" s="46" t="str" cm="1">
        <f t="array" ref="A499">IFERROR(INDEX(#REF!,MATCH(TRUE,ISNUMBER(FIND(SUBSTITUTE(SUBSTITUTE(UPPER(#REF!)," ",""),":",": "),SUBSTITUTE(SUBSTITUTE(UPPER(S499)," ",""),":",": "))),0)),"Undefined")</f>
        <v>Undefined</v>
      </c>
      <c r="B499" s="42" t="str" cm="1">
        <f t="array" ref="B499">IFERROR(INDEX({"URGENTE"},MATCH(TRUE,ISNUMBER(FIND(SUBSTITUTE(SUBSTITUTE(UPPER({"URGENTE"})," ",""),":",": "),SUBSTITUTE(SUBSTITUTE(UPPER(S499)," ",""),":",": "))),0)),"-")</f>
        <v>-</v>
      </c>
      <c r="C499" s="46" t="str" cm="1">
        <f t="array" ref="C499">IFERROR(INDEX(#REF!,MATCH(TRUE,ISNUMBER(FIND(SUBSTITUTE(SUBSTITUTE(UPPER(#REF!)," ",""),":",": "),SUBSTITUTE(SUBSTITUTE(UPPER(S499)," ",""),":",": "))),0)),"Não encontrado")</f>
        <v>Não encontrado</v>
      </c>
      <c r="D499" s="46" t="str" cm="1">
        <f t="array" ref="D499">IFERROR(INDEX(#REF!,MATCH(TRUE,ISNUMBER(FIND(SUBSTITUTE(SUBSTITUTE(UPPER(#REF!)," ",""),":",": "),SUBSTITUTE(SUBSTITUTE(UPPER(S499)," ",""),":",": "))),0)),"Não encontrado")</f>
        <v>Não encontrado</v>
      </c>
      <c r="E499" s="42" t="str" cm="1">
        <f t="array" ref="E499">IFERROR(INDEX({"IMPEDITIVO"},MATCH(TRUE,ISNUMBER(FIND(SUBSTITUTE(SUBSTITUTE(UPPER({"IMPEDITIVO"})," ",""),":",": "),SUBSTITUTE(SUBSTITUTE(UPPER(S499)," ",""),":",": "))),0)),"-")</f>
        <v>-</v>
      </c>
      <c r="K499" s="49"/>
    </row>
    <row r="500" spans="1:11" x14ac:dyDescent="0.25">
      <c r="A500" s="46" t="str" cm="1">
        <f t="array" ref="A500">IFERROR(INDEX(#REF!,MATCH(TRUE,ISNUMBER(FIND(SUBSTITUTE(SUBSTITUTE(UPPER(#REF!)," ",""),":",": "),SUBSTITUTE(SUBSTITUTE(UPPER(S500)," ",""),":",": "))),0)),"Undefined")</f>
        <v>Undefined</v>
      </c>
      <c r="B500" s="42" t="str" cm="1">
        <f t="array" ref="B500">IFERROR(INDEX({"URGENTE"},MATCH(TRUE,ISNUMBER(FIND(SUBSTITUTE(SUBSTITUTE(UPPER({"URGENTE"})," ",""),":",": "),SUBSTITUTE(SUBSTITUTE(UPPER(S500)," ",""),":",": "))),0)),"-")</f>
        <v>-</v>
      </c>
      <c r="C500" s="46" t="str" cm="1">
        <f t="array" ref="C500">IFERROR(INDEX(#REF!,MATCH(TRUE,ISNUMBER(FIND(SUBSTITUTE(SUBSTITUTE(UPPER(#REF!)," ",""),":",": "),SUBSTITUTE(SUBSTITUTE(UPPER(S500)," ",""),":",": "))),0)),"Não encontrado")</f>
        <v>Não encontrado</v>
      </c>
      <c r="D500" s="46" t="str" cm="1">
        <f t="array" ref="D500">IFERROR(INDEX(#REF!,MATCH(TRUE,ISNUMBER(FIND(SUBSTITUTE(SUBSTITUTE(UPPER(#REF!)," ",""),":",": "),SUBSTITUTE(SUBSTITUTE(UPPER(S500)," ",""),":",": "))),0)),"Não encontrado")</f>
        <v>Não encontrado</v>
      </c>
      <c r="E500" s="42" t="str" cm="1">
        <f t="array" ref="E500">IFERROR(INDEX({"IMPEDITIVO"},MATCH(TRUE,ISNUMBER(FIND(SUBSTITUTE(SUBSTITUTE(UPPER({"IMPEDITIVO"})," ",""),":",": "),SUBSTITUTE(SUBSTITUTE(UPPER(S500)," ",""),":",": "))),0)),"-")</f>
        <v>-</v>
      </c>
      <c r="K500" s="49"/>
    </row>
    <row r="501" spans="1:11" x14ac:dyDescent="0.25">
      <c r="A501" s="46" t="str" cm="1">
        <f t="array" ref="A501">IFERROR(INDEX(#REF!,MATCH(TRUE,ISNUMBER(FIND(SUBSTITUTE(SUBSTITUTE(UPPER(#REF!)," ",""),":",": "),SUBSTITUTE(SUBSTITUTE(UPPER(S501)," ",""),":",": "))),0)),"Undefined")</f>
        <v>Undefined</v>
      </c>
      <c r="B501" s="42" t="str" cm="1">
        <f t="array" ref="B501">IFERROR(INDEX({"URGENTE"},MATCH(TRUE,ISNUMBER(FIND(SUBSTITUTE(SUBSTITUTE(UPPER({"URGENTE"})," ",""),":",": "),SUBSTITUTE(SUBSTITUTE(UPPER(S501)," ",""),":",": "))),0)),"-")</f>
        <v>-</v>
      </c>
      <c r="C501" s="46" t="str" cm="1">
        <f t="array" ref="C501">IFERROR(INDEX(#REF!,MATCH(TRUE,ISNUMBER(FIND(SUBSTITUTE(SUBSTITUTE(UPPER(#REF!)," ",""),":",": "),SUBSTITUTE(SUBSTITUTE(UPPER(S501)," ",""),":",": "))),0)),"Não encontrado")</f>
        <v>Não encontrado</v>
      </c>
      <c r="D501" s="46" t="str" cm="1">
        <f t="array" ref="D501">IFERROR(INDEX(#REF!,MATCH(TRUE,ISNUMBER(FIND(SUBSTITUTE(SUBSTITUTE(UPPER(#REF!)," ",""),":",": "),SUBSTITUTE(SUBSTITUTE(UPPER(S501)," ",""),":",": "))),0)),"Não encontrado")</f>
        <v>Não encontrado</v>
      </c>
      <c r="E501" s="42" t="str" cm="1">
        <f t="array" ref="E501">IFERROR(INDEX({"IMPEDITIVO"},MATCH(TRUE,ISNUMBER(FIND(SUBSTITUTE(SUBSTITUTE(UPPER({"IMPEDITIVO"})," ",""),":",": "),SUBSTITUTE(SUBSTITUTE(UPPER(S501)," ",""),":",": "))),0)),"-")</f>
        <v>-</v>
      </c>
      <c r="K501" s="49"/>
    </row>
    <row r="502" spans="1:11" x14ac:dyDescent="0.25">
      <c r="A502" s="46" t="str" cm="1">
        <f t="array" ref="A502">IFERROR(INDEX(#REF!,MATCH(TRUE,ISNUMBER(FIND(SUBSTITUTE(SUBSTITUTE(UPPER(#REF!)," ",""),":",": "),SUBSTITUTE(SUBSTITUTE(UPPER(S502)," ",""),":",": "))),0)),"Undefined")</f>
        <v>Undefined</v>
      </c>
      <c r="B502" s="42" t="str" cm="1">
        <f t="array" ref="B502">IFERROR(INDEX({"URGENTE"},MATCH(TRUE,ISNUMBER(FIND(SUBSTITUTE(SUBSTITUTE(UPPER({"URGENTE"})," ",""),":",": "),SUBSTITUTE(SUBSTITUTE(UPPER(S502)," ",""),":",": "))),0)),"-")</f>
        <v>-</v>
      </c>
      <c r="C502" s="46" t="str" cm="1">
        <f t="array" ref="C502">IFERROR(INDEX(#REF!,MATCH(TRUE,ISNUMBER(FIND(SUBSTITUTE(SUBSTITUTE(UPPER(#REF!)," ",""),":",": "),SUBSTITUTE(SUBSTITUTE(UPPER(S502)," ",""),":",": "))),0)),"Não encontrado")</f>
        <v>Não encontrado</v>
      </c>
      <c r="D502" s="46" t="str" cm="1">
        <f t="array" ref="D502">IFERROR(INDEX(#REF!,MATCH(TRUE,ISNUMBER(FIND(SUBSTITUTE(SUBSTITUTE(UPPER(#REF!)," ",""),":",": "),SUBSTITUTE(SUBSTITUTE(UPPER(S502)," ",""),":",": "))),0)),"Não encontrado")</f>
        <v>Não encontrado</v>
      </c>
      <c r="E502" s="42" t="str" cm="1">
        <f t="array" ref="E502">IFERROR(INDEX({"IMPEDITIVO"},MATCH(TRUE,ISNUMBER(FIND(SUBSTITUTE(SUBSTITUTE(UPPER({"IMPEDITIVO"})," ",""),":",": "),SUBSTITUTE(SUBSTITUTE(UPPER(S502)," ",""),":",": "))),0)),"-")</f>
        <v>-</v>
      </c>
      <c r="K502" s="49"/>
    </row>
    <row r="503" spans="1:11" x14ac:dyDescent="0.25">
      <c r="A503" s="46" t="str" cm="1">
        <f t="array" ref="A503">IFERROR(INDEX(#REF!,MATCH(TRUE,ISNUMBER(FIND(SUBSTITUTE(SUBSTITUTE(UPPER(#REF!)," ",""),":",": "),SUBSTITUTE(SUBSTITUTE(UPPER(S503)," ",""),":",": "))),0)),"Undefined")</f>
        <v>Undefined</v>
      </c>
      <c r="B503" s="42" t="str" cm="1">
        <f t="array" ref="B503">IFERROR(INDEX({"URGENTE"},MATCH(TRUE,ISNUMBER(FIND(SUBSTITUTE(SUBSTITUTE(UPPER({"URGENTE"})," ",""),":",": "),SUBSTITUTE(SUBSTITUTE(UPPER(S503)," ",""),":",": "))),0)),"-")</f>
        <v>-</v>
      </c>
      <c r="C503" s="46" t="str" cm="1">
        <f t="array" ref="C503">IFERROR(INDEX(#REF!,MATCH(TRUE,ISNUMBER(FIND(SUBSTITUTE(SUBSTITUTE(UPPER(#REF!)," ",""),":",": "),SUBSTITUTE(SUBSTITUTE(UPPER(S503)," ",""),":",": "))),0)),"Não encontrado")</f>
        <v>Não encontrado</v>
      </c>
      <c r="D503" s="46" t="str" cm="1">
        <f t="array" ref="D503">IFERROR(INDEX(#REF!,MATCH(TRUE,ISNUMBER(FIND(SUBSTITUTE(SUBSTITUTE(UPPER(#REF!)," ",""),":",": "),SUBSTITUTE(SUBSTITUTE(UPPER(S503)," ",""),":",": "))),0)),"Não encontrado")</f>
        <v>Não encontrado</v>
      </c>
      <c r="E503" s="42" t="str" cm="1">
        <f t="array" ref="E503">IFERROR(INDEX({"IMPEDITIVO"},MATCH(TRUE,ISNUMBER(FIND(SUBSTITUTE(SUBSTITUTE(UPPER({"IMPEDITIVO"})," ",""),":",": "),SUBSTITUTE(SUBSTITUTE(UPPER(S503)," ",""),":",": "))),0)),"-")</f>
        <v>-</v>
      </c>
      <c r="K503" s="49"/>
    </row>
    <row r="504" spans="1:11" x14ac:dyDescent="0.25">
      <c r="A504" s="46" t="str" cm="1">
        <f t="array" ref="A504">IFERROR(INDEX(#REF!,MATCH(TRUE,ISNUMBER(FIND(SUBSTITUTE(SUBSTITUTE(UPPER(#REF!)," ",""),":",": "),SUBSTITUTE(SUBSTITUTE(UPPER(S504)," ",""),":",": "))),0)),"Undefined")</f>
        <v>Undefined</v>
      </c>
      <c r="B504" s="42" t="str" cm="1">
        <f t="array" ref="B504">IFERROR(INDEX({"URGENTE"},MATCH(TRUE,ISNUMBER(FIND(SUBSTITUTE(SUBSTITUTE(UPPER({"URGENTE"})," ",""),":",": "),SUBSTITUTE(SUBSTITUTE(UPPER(S504)," ",""),":",": "))),0)),"-")</f>
        <v>-</v>
      </c>
      <c r="C504" s="46" t="str" cm="1">
        <f t="array" ref="C504">IFERROR(INDEX(#REF!,MATCH(TRUE,ISNUMBER(FIND(SUBSTITUTE(SUBSTITUTE(UPPER(#REF!)," ",""),":",": "),SUBSTITUTE(SUBSTITUTE(UPPER(S504)," ",""),":",": "))),0)),"Não encontrado")</f>
        <v>Não encontrado</v>
      </c>
      <c r="D504" s="46" t="str" cm="1">
        <f t="array" ref="D504">IFERROR(INDEX(#REF!,MATCH(TRUE,ISNUMBER(FIND(SUBSTITUTE(SUBSTITUTE(UPPER(#REF!)," ",""),":",": "),SUBSTITUTE(SUBSTITUTE(UPPER(S504)," ",""),":",": "))),0)),"Não encontrado")</f>
        <v>Não encontrado</v>
      </c>
      <c r="E504" s="42" t="str" cm="1">
        <f t="array" ref="E504">IFERROR(INDEX({"IMPEDITIVO"},MATCH(TRUE,ISNUMBER(FIND(SUBSTITUTE(SUBSTITUTE(UPPER({"IMPEDITIVO"})," ",""),":",": "),SUBSTITUTE(SUBSTITUTE(UPPER(S504)," ",""),":",": "))),0)),"-")</f>
        <v>-</v>
      </c>
      <c r="K504" s="49"/>
    </row>
    <row r="505" spans="1:11" x14ac:dyDescent="0.25">
      <c r="A505" s="46" t="str" cm="1">
        <f t="array" ref="A505">IFERROR(INDEX(#REF!,MATCH(TRUE,ISNUMBER(FIND(SUBSTITUTE(SUBSTITUTE(UPPER(#REF!)," ",""),":",": "),SUBSTITUTE(SUBSTITUTE(UPPER(S505)," ",""),":",": "))),0)),"Undefined")</f>
        <v>Undefined</v>
      </c>
      <c r="B505" s="42" t="str" cm="1">
        <f t="array" ref="B505">IFERROR(INDEX({"URGENTE"},MATCH(TRUE,ISNUMBER(FIND(SUBSTITUTE(SUBSTITUTE(UPPER({"URGENTE"})," ",""),":",": "),SUBSTITUTE(SUBSTITUTE(UPPER(S505)," ",""),":",": "))),0)),"-")</f>
        <v>-</v>
      </c>
      <c r="C505" s="46" t="str" cm="1">
        <f t="array" ref="C505">IFERROR(INDEX(#REF!,MATCH(TRUE,ISNUMBER(FIND(SUBSTITUTE(SUBSTITUTE(UPPER(#REF!)," ",""),":",": "),SUBSTITUTE(SUBSTITUTE(UPPER(S505)," ",""),":",": "))),0)),"Não encontrado")</f>
        <v>Não encontrado</v>
      </c>
      <c r="D505" s="46" t="str" cm="1">
        <f t="array" ref="D505">IFERROR(INDEX(#REF!,MATCH(TRUE,ISNUMBER(FIND(SUBSTITUTE(SUBSTITUTE(UPPER(#REF!)," ",""),":",": "),SUBSTITUTE(SUBSTITUTE(UPPER(S505)," ",""),":",": "))),0)),"Não encontrado")</f>
        <v>Não encontrado</v>
      </c>
      <c r="E505" s="42" t="str" cm="1">
        <f t="array" ref="E505">IFERROR(INDEX({"IMPEDITIVO"},MATCH(TRUE,ISNUMBER(FIND(SUBSTITUTE(SUBSTITUTE(UPPER({"IMPEDITIVO"})," ",""),":",": "),SUBSTITUTE(SUBSTITUTE(UPPER(S505)," ",""),":",": "))),0)),"-")</f>
        <v>-</v>
      </c>
      <c r="K505" s="49"/>
    </row>
    <row r="506" spans="1:11" x14ac:dyDescent="0.25">
      <c r="A506" s="46" t="str" cm="1">
        <f t="array" ref="A506">IFERROR(INDEX(#REF!,MATCH(TRUE,ISNUMBER(FIND(SUBSTITUTE(SUBSTITUTE(UPPER(#REF!)," ",""),":",": "),SUBSTITUTE(SUBSTITUTE(UPPER(S506)," ",""),":",": "))),0)),"Undefined")</f>
        <v>Undefined</v>
      </c>
      <c r="B506" s="42" t="str" cm="1">
        <f t="array" ref="B506">IFERROR(INDEX({"URGENTE"},MATCH(TRUE,ISNUMBER(FIND(SUBSTITUTE(SUBSTITUTE(UPPER({"URGENTE"})," ",""),":",": "),SUBSTITUTE(SUBSTITUTE(UPPER(S506)," ",""),":",": "))),0)),"-")</f>
        <v>-</v>
      </c>
      <c r="C506" s="46" t="str" cm="1">
        <f t="array" ref="C506">IFERROR(INDEX(#REF!,MATCH(TRUE,ISNUMBER(FIND(SUBSTITUTE(SUBSTITUTE(UPPER(#REF!)," ",""),":",": "),SUBSTITUTE(SUBSTITUTE(UPPER(S506)," ",""),":",": "))),0)),"Não encontrado")</f>
        <v>Não encontrado</v>
      </c>
      <c r="D506" s="46" t="str" cm="1">
        <f t="array" ref="D506">IFERROR(INDEX(#REF!,MATCH(TRUE,ISNUMBER(FIND(SUBSTITUTE(SUBSTITUTE(UPPER(#REF!)," ",""),":",": "),SUBSTITUTE(SUBSTITUTE(UPPER(S506)," ",""),":",": "))),0)),"Não encontrado")</f>
        <v>Não encontrado</v>
      </c>
      <c r="E506" s="42" t="str" cm="1">
        <f t="array" ref="E506">IFERROR(INDEX({"IMPEDITIVO"},MATCH(TRUE,ISNUMBER(FIND(SUBSTITUTE(SUBSTITUTE(UPPER({"IMPEDITIVO"})," ",""),":",": "),SUBSTITUTE(SUBSTITUTE(UPPER(S506)," ",""),":",": "))),0)),"-")</f>
        <v>-</v>
      </c>
      <c r="K506" s="49"/>
    </row>
    <row r="507" spans="1:11" x14ac:dyDescent="0.25">
      <c r="A507" s="46" t="str" cm="1">
        <f t="array" ref="A507">IFERROR(INDEX(#REF!,MATCH(TRUE,ISNUMBER(FIND(SUBSTITUTE(SUBSTITUTE(UPPER(#REF!)," ",""),":",": "),SUBSTITUTE(SUBSTITUTE(UPPER(S507)," ",""),":",": "))),0)),"Undefined")</f>
        <v>Undefined</v>
      </c>
      <c r="B507" s="42" t="str" cm="1">
        <f t="array" ref="B507">IFERROR(INDEX({"URGENTE"},MATCH(TRUE,ISNUMBER(FIND(SUBSTITUTE(SUBSTITUTE(UPPER({"URGENTE"})," ",""),":",": "),SUBSTITUTE(SUBSTITUTE(UPPER(S507)," ",""),":",": "))),0)),"-")</f>
        <v>-</v>
      </c>
      <c r="C507" s="46" t="str" cm="1">
        <f t="array" ref="C507">IFERROR(INDEX(#REF!,MATCH(TRUE,ISNUMBER(FIND(SUBSTITUTE(SUBSTITUTE(UPPER(#REF!)," ",""),":",": "),SUBSTITUTE(SUBSTITUTE(UPPER(S507)," ",""),":",": "))),0)),"Não encontrado")</f>
        <v>Não encontrado</v>
      </c>
      <c r="D507" s="46" t="str" cm="1">
        <f t="array" ref="D507">IFERROR(INDEX(#REF!,MATCH(TRUE,ISNUMBER(FIND(SUBSTITUTE(SUBSTITUTE(UPPER(#REF!)," ",""),":",": "),SUBSTITUTE(SUBSTITUTE(UPPER(S507)," ",""),":",": "))),0)),"Não encontrado")</f>
        <v>Não encontrado</v>
      </c>
      <c r="E507" s="42" t="str" cm="1">
        <f t="array" ref="E507">IFERROR(INDEX({"IMPEDITIVO"},MATCH(TRUE,ISNUMBER(FIND(SUBSTITUTE(SUBSTITUTE(UPPER({"IMPEDITIVO"})," ",""),":",": "),SUBSTITUTE(SUBSTITUTE(UPPER(S507)," ",""),":",": "))),0)),"-")</f>
        <v>-</v>
      </c>
      <c r="K507" s="49"/>
    </row>
    <row r="508" spans="1:11" x14ac:dyDescent="0.25">
      <c r="A508" s="46" t="str" cm="1">
        <f t="array" ref="A508">IFERROR(INDEX(#REF!,MATCH(TRUE,ISNUMBER(FIND(SUBSTITUTE(SUBSTITUTE(UPPER(#REF!)," ",""),":",": "),SUBSTITUTE(SUBSTITUTE(UPPER(S508)," ",""),":",": "))),0)),"Undefined")</f>
        <v>Undefined</v>
      </c>
      <c r="B508" s="42" t="str" cm="1">
        <f t="array" ref="B508">IFERROR(INDEX({"URGENTE"},MATCH(TRUE,ISNUMBER(FIND(SUBSTITUTE(SUBSTITUTE(UPPER({"URGENTE"})," ",""),":",": "),SUBSTITUTE(SUBSTITUTE(UPPER(S508)," ",""),":",": "))),0)),"-")</f>
        <v>-</v>
      </c>
      <c r="C508" s="46" t="str" cm="1">
        <f t="array" ref="C508">IFERROR(INDEX(#REF!,MATCH(TRUE,ISNUMBER(FIND(SUBSTITUTE(SUBSTITUTE(UPPER(#REF!)," ",""),":",": "),SUBSTITUTE(SUBSTITUTE(UPPER(S508)," ",""),":",": "))),0)),"Não encontrado")</f>
        <v>Não encontrado</v>
      </c>
      <c r="D508" s="46" t="str" cm="1">
        <f t="array" ref="D508">IFERROR(INDEX(#REF!,MATCH(TRUE,ISNUMBER(FIND(SUBSTITUTE(SUBSTITUTE(UPPER(#REF!)," ",""),":",": "),SUBSTITUTE(SUBSTITUTE(UPPER(S508)," ",""),":",": "))),0)),"Não encontrado")</f>
        <v>Não encontrado</v>
      </c>
      <c r="E508" s="42" t="str" cm="1">
        <f t="array" ref="E508">IFERROR(INDEX({"IMPEDITIVO"},MATCH(TRUE,ISNUMBER(FIND(SUBSTITUTE(SUBSTITUTE(UPPER({"IMPEDITIVO"})," ",""),":",": "),SUBSTITUTE(SUBSTITUTE(UPPER(S508)," ",""),":",": "))),0)),"-")</f>
        <v>-</v>
      </c>
      <c r="K508" s="49"/>
    </row>
    <row r="509" spans="1:11" x14ac:dyDescent="0.25">
      <c r="A509" s="46" t="str" cm="1">
        <f t="array" ref="A509">IFERROR(INDEX(#REF!,MATCH(TRUE,ISNUMBER(FIND(SUBSTITUTE(SUBSTITUTE(UPPER(#REF!)," ",""),":",": "),SUBSTITUTE(SUBSTITUTE(UPPER(S509)," ",""),":",": "))),0)),"Undefined")</f>
        <v>Undefined</v>
      </c>
      <c r="B509" s="42" t="str" cm="1">
        <f t="array" ref="B509">IFERROR(INDEX({"URGENTE"},MATCH(TRUE,ISNUMBER(FIND(SUBSTITUTE(SUBSTITUTE(UPPER({"URGENTE"})," ",""),":",": "),SUBSTITUTE(SUBSTITUTE(UPPER(S509)," ",""),":",": "))),0)),"-")</f>
        <v>-</v>
      </c>
      <c r="C509" s="46" t="str" cm="1">
        <f t="array" ref="C509">IFERROR(INDEX(#REF!,MATCH(TRUE,ISNUMBER(FIND(SUBSTITUTE(SUBSTITUTE(UPPER(#REF!)," ",""),":",": "),SUBSTITUTE(SUBSTITUTE(UPPER(S509)," ",""),":",": "))),0)),"Não encontrado")</f>
        <v>Não encontrado</v>
      </c>
      <c r="D509" s="46" t="str" cm="1">
        <f t="array" ref="D509">IFERROR(INDEX(#REF!,MATCH(TRUE,ISNUMBER(FIND(SUBSTITUTE(SUBSTITUTE(UPPER(#REF!)," ",""),":",": "),SUBSTITUTE(SUBSTITUTE(UPPER(S509)," ",""),":",": "))),0)),"Não encontrado")</f>
        <v>Não encontrado</v>
      </c>
      <c r="E509" s="42" t="str" cm="1">
        <f t="array" ref="E509">IFERROR(INDEX({"IMPEDITIVO"},MATCH(TRUE,ISNUMBER(FIND(SUBSTITUTE(SUBSTITUTE(UPPER({"IMPEDITIVO"})," ",""),":",": "),SUBSTITUTE(SUBSTITUTE(UPPER(S509)," ",""),":",": "))),0)),"-")</f>
        <v>-</v>
      </c>
      <c r="K509" s="49"/>
    </row>
    <row r="510" spans="1:11" x14ac:dyDescent="0.25">
      <c r="A510" s="46" t="str" cm="1">
        <f t="array" ref="A510">IFERROR(INDEX(#REF!,MATCH(TRUE,ISNUMBER(FIND(SUBSTITUTE(SUBSTITUTE(UPPER(#REF!)," ",""),":",": "),SUBSTITUTE(SUBSTITUTE(UPPER(S510)," ",""),":",": "))),0)),"Undefined")</f>
        <v>Undefined</v>
      </c>
      <c r="B510" s="42" t="str" cm="1">
        <f t="array" ref="B510">IFERROR(INDEX({"URGENTE"},MATCH(TRUE,ISNUMBER(FIND(SUBSTITUTE(SUBSTITUTE(UPPER({"URGENTE"})," ",""),":",": "),SUBSTITUTE(SUBSTITUTE(UPPER(S510)," ",""),":",": "))),0)),"-")</f>
        <v>-</v>
      </c>
      <c r="C510" s="46" t="str" cm="1">
        <f t="array" ref="C510">IFERROR(INDEX(#REF!,MATCH(TRUE,ISNUMBER(FIND(SUBSTITUTE(SUBSTITUTE(UPPER(#REF!)," ",""),":",": "),SUBSTITUTE(SUBSTITUTE(UPPER(S510)," ",""),":",": "))),0)),"Não encontrado")</f>
        <v>Não encontrado</v>
      </c>
      <c r="D510" s="46" t="str" cm="1">
        <f t="array" ref="D510">IFERROR(INDEX(#REF!,MATCH(TRUE,ISNUMBER(FIND(SUBSTITUTE(SUBSTITUTE(UPPER(#REF!)," ",""),":",": "),SUBSTITUTE(SUBSTITUTE(UPPER(S510)," ",""),":",": "))),0)),"Não encontrado")</f>
        <v>Não encontrado</v>
      </c>
      <c r="E510" s="42" t="str" cm="1">
        <f t="array" ref="E510">IFERROR(INDEX({"IMPEDITIVO"},MATCH(TRUE,ISNUMBER(FIND(SUBSTITUTE(SUBSTITUTE(UPPER({"IMPEDITIVO"})," ",""),":",": "),SUBSTITUTE(SUBSTITUTE(UPPER(S510)," ",""),":",": "))),0)),"-")</f>
        <v>-</v>
      </c>
      <c r="K510" s="49"/>
    </row>
    <row r="511" spans="1:11" x14ac:dyDescent="0.25">
      <c r="A511" s="46" t="str" cm="1">
        <f t="array" ref="A511">IFERROR(INDEX(#REF!,MATCH(TRUE,ISNUMBER(FIND(SUBSTITUTE(SUBSTITUTE(UPPER(#REF!)," ",""),":",": "),SUBSTITUTE(SUBSTITUTE(UPPER(S511)," ",""),":",": "))),0)),"Undefined")</f>
        <v>Undefined</v>
      </c>
      <c r="B511" s="42" t="str" cm="1">
        <f t="array" ref="B511">IFERROR(INDEX({"URGENTE"},MATCH(TRUE,ISNUMBER(FIND(SUBSTITUTE(SUBSTITUTE(UPPER({"URGENTE"})," ",""),":",": "),SUBSTITUTE(SUBSTITUTE(UPPER(S511)," ",""),":",": "))),0)),"-")</f>
        <v>-</v>
      </c>
      <c r="C511" s="46" t="str" cm="1">
        <f t="array" ref="C511">IFERROR(INDEX(#REF!,MATCH(TRUE,ISNUMBER(FIND(SUBSTITUTE(SUBSTITUTE(UPPER(#REF!)," ",""),":",": "),SUBSTITUTE(SUBSTITUTE(UPPER(S511)," ",""),":",": "))),0)),"Não encontrado")</f>
        <v>Não encontrado</v>
      </c>
      <c r="D511" s="46" t="str" cm="1">
        <f t="array" ref="D511">IFERROR(INDEX(#REF!,MATCH(TRUE,ISNUMBER(FIND(SUBSTITUTE(SUBSTITUTE(UPPER(#REF!)," ",""),":",": "),SUBSTITUTE(SUBSTITUTE(UPPER(S511)," ",""),":",": "))),0)),"Não encontrado")</f>
        <v>Não encontrado</v>
      </c>
      <c r="E511" s="42" t="str" cm="1">
        <f t="array" ref="E511">IFERROR(INDEX({"IMPEDITIVO"},MATCH(TRUE,ISNUMBER(FIND(SUBSTITUTE(SUBSTITUTE(UPPER({"IMPEDITIVO"})," ",""),":",": "),SUBSTITUTE(SUBSTITUTE(UPPER(S511)," ",""),":",": "))),0)),"-")</f>
        <v>-</v>
      </c>
      <c r="K511" s="49"/>
    </row>
    <row r="512" spans="1:11" x14ac:dyDescent="0.25">
      <c r="A512" s="46" t="str" cm="1">
        <f t="array" ref="A512">IFERROR(INDEX(#REF!,MATCH(TRUE,ISNUMBER(FIND(SUBSTITUTE(SUBSTITUTE(UPPER(#REF!)," ",""),":",": "),SUBSTITUTE(SUBSTITUTE(UPPER(S512)," ",""),":",": "))),0)),"Undefined")</f>
        <v>Undefined</v>
      </c>
      <c r="B512" s="42" t="str" cm="1">
        <f t="array" ref="B512">IFERROR(INDEX({"URGENTE"},MATCH(TRUE,ISNUMBER(FIND(SUBSTITUTE(SUBSTITUTE(UPPER({"URGENTE"})," ",""),":",": "),SUBSTITUTE(SUBSTITUTE(UPPER(S512)," ",""),":",": "))),0)),"-")</f>
        <v>-</v>
      </c>
      <c r="C512" s="46" t="str" cm="1">
        <f t="array" ref="C512">IFERROR(INDEX(#REF!,MATCH(TRUE,ISNUMBER(FIND(SUBSTITUTE(SUBSTITUTE(UPPER(#REF!)," ",""),":",": "),SUBSTITUTE(SUBSTITUTE(UPPER(S512)," ",""),":",": "))),0)),"Não encontrado")</f>
        <v>Não encontrado</v>
      </c>
      <c r="D512" s="46" t="str" cm="1">
        <f t="array" ref="D512">IFERROR(INDEX(#REF!,MATCH(TRUE,ISNUMBER(FIND(SUBSTITUTE(SUBSTITUTE(UPPER(#REF!)," ",""),":",": "),SUBSTITUTE(SUBSTITUTE(UPPER(S512)," ",""),":",": "))),0)),"Não encontrado")</f>
        <v>Não encontrado</v>
      </c>
      <c r="E512" s="42" t="str" cm="1">
        <f t="array" ref="E512">IFERROR(INDEX({"IMPEDITIVO"},MATCH(TRUE,ISNUMBER(FIND(SUBSTITUTE(SUBSTITUTE(UPPER({"IMPEDITIVO"})," ",""),":",": "),SUBSTITUTE(SUBSTITUTE(UPPER(S512)," ",""),":",": "))),0)),"-")</f>
        <v>-</v>
      </c>
      <c r="K512" s="49"/>
    </row>
    <row r="513" spans="1:11" x14ac:dyDescent="0.25">
      <c r="A513" s="46" t="str" cm="1">
        <f t="array" ref="A513">IFERROR(INDEX(#REF!,MATCH(TRUE,ISNUMBER(FIND(SUBSTITUTE(SUBSTITUTE(UPPER(#REF!)," ",""),":",": "),SUBSTITUTE(SUBSTITUTE(UPPER(S513)," ",""),":",": "))),0)),"Undefined")</f>
        <v>Undefined</v>
      </c>
      <c r="B513" s="42" t="str" cm="1">
        <f t="array" ref="B513">IFERROR(INDEX({"URGENTE"},MATCH(TRUE,ISNUMBER(FIND(SUBSTITUTE(SUBSTITUTE(UPPER({"URGENTE"})," ",""),":",": "),SUBSTITUTE(SUBSTITUTE(UPPER(S513)," ",""),":",": "))),0)),"-")</f>
        <v>-</v>
      </c>
      <c r="C513" s="46" t="str" cm="1">
        <f t="array" ref="C513">IFERROR(INDEX(#REF!,MATCH(TRUE,ISNUMBER(FIND(SUBSTITUTE(SUBSTITUTE(UPPER(#REF!)," ",""),":",": "),SUBSTITUTE(SUBSTITUTE(UPPER(S513)," ",""),":",": "))),0)),"Não encontrado")</f>
        <v>Não encontrado</v>
      </c>
      <c r="D513" s="46" t="str" cm="1">
        <f t="array" ref="D513">IFERROR(INDEX(#REF!,MATCH(TRUE,ISNUMBER(FIND(SUBSTITUTE(SUBSTITUTE(UPPER(#REF!)," ",""),":",": "),SUBSTITUTE(SUBSTITUTE(UPPER(S513)," ",""),":",": "))),0)),"Não encontrado")</f>
        <v>Não encontrado</v>
      </c>
      <c r="E513" s="42" t="str" cm="1">
        <f t="array" ref="E513">IFERROR(INDEX({"IMPEDITIVO"},MATCH(TRUE,ISNUMBER(FIND(SUBSTITUTE(SUBSTITUTE(UPPER({"IMPEDITIVO"})," ",""),":",": "),SUBSTITUTE(SUBSTITUTE(UPPER(S513)," ",""),":",": "))),0)),"-")</f>
        <v>-</v>
      </c>
      <c r="K513" s="49"/>
    </row>
    <row r="514" spans="1:11" x14ac:dyDescent="0.25">
      <c r="A514" s="46" t="str" cm="1">
        <f t="array" ref="A514">IFERROR(INDEX(#REF!,MATCH(TRUE,ISNUMBER(FIND(SUBSTITUTE(SUBSTITUTE(UPPER(#REF!)," ",""),":",": "),SUBSTITUTE(SUBSTITUTE(UPPER(S514)," ",""),":",": "))),0)),"Undefined")</f>
        <v>Undefined</v>
      </c>
      <c r="B514" s="42" t="str" cm="1">
        <f t="array" ref="B514">IFERROR(INDEX({"URGENTE"},MATCH(TRUE,ISNUMBER(FIND(SUBSTITUTE(SUBSTITUTE(UPPER({"URGENTE"})," ",""),":",": "),SUBSTITUTE(SUBSTITUTE(UPPER(S514)," ",""),":",": "))),0)),"-")</f>
        <v>-</v>
      </c>
      <c r="C514" s="46" t="str" cm="1">
        <f t="array" ref="C514">IFERROR(INDEX(#REF!,MATCH(TRUE,ISNUMBER(FIND(SUBSTITUTE(SUBSTITUTE(UPPER(#REF!)," ",""),":",": "),SUBSTITUTE(SUBSTITUTE(UPPER(S514)," ",""),":",": "))),0)),"Não encontrado")</f>
        <v>Não encontrado</v>
      </c>
      <c r="D514" s="46" t="str" cm="1">
        <f t="array" ref="D514">IFERROR(INDEX(#REF!,MATCH(TRUE,ISNUMBER(FIND(SUBSTITUTE(SUBSTITUTE(UPPER(#REF!)," ",""),":",": "),SUBSTITUTE(SUBSTITUTE(UPPER(S514)," ",""),":",": "))),0)),"Não encontrado")</f>
        <v>Não encontrado</v>
      </c>
      <c r="E514" s="42" t="str" cm="1">
        <f t="array" ref="E514">IFERROR(INDEX({"IMPEDITIVO"},MATCH(TRUE,ISNUMBER(FIND(SUBSTITUTE(SUBSTITUTE(UPPER({"IMPEDITIVO"})," ",""),":",": "),SUBSTITUTE(SUBSTITUTE(UPPER(S514)," ",""),":",": "))),0)),"-")</f>
        <v>-</v>
      </c>
      <c r="K514" s="49"/>
    </row>
    <row r="515" spans="1:11" x14ac:dyDescent="0.25">
      <c r="A515" s="46" t="str" cm="1">
        <f t="array" ref="A515">IFERROR(INDEX(#REF!,MATCH(TRUE,ISNUMBER(FIND(SUBSTITUTE(SUBSTITUTE(UPPER(#REF!)," ",""),":",": "),SUBSTITUTE(SUBSTITUTE(UPPER(S515)," ",""),":",": "))),0)),"Undefined")</f>
        <v>Undefined</v>
      </c>
      <c r="B515" s="42" t="str" cm="1">
        <f t="array" ref="B515">IFERROR(INDEX({"URGENTE"},MATCH(TRUE,ISNUMBER(FIND(SUBSTITUTE(SUBSTITUTE(UPPER({"URGENTE"})," ",""),":",": "),SUBSTITUTE(SUBSTITUTE(UPPER(S515)," ",""),":",": "))),0)),"-")</f>
        <v>-</v>
      </c>
      <c r="C515" s="46" t="str" cm="1">
        <f t="array" ref="C515">IFERROR(INDEX(#REF!,MATCH(TRUE,ISNUMBER(FIND(SUBSTITUTE(SUBSTITUTE(UPPER(#REF!)," ",""),":",": "),SUBSTITUTE(SUBSTITUTE(UPPER(S515)," ",""),":",": "))),0)),"Não encontrado")</f>
        <v>Não encontrado</v>
      </c>
      <c r="D515" s="46" t="str" cm="1">
        <f t="array" ref="D515">IFERROR(INDEX(#REF!,MATCH(TRUE,ISNUMBER(FIND(SUBSTITUTE(SUBSTITUTE(UPPER(#REF!)," ",""),":",": "),SUBSTITUTE(SUBSTITUTE(UPPER(S515)," ",""),":",": "))),0)),"Não encontrado")</f>
        <v>Não encontrado</v>
      </c>
      <c r="E515" s="42" t="str" cm="1">
        <f t="array" ref="E515">IFERROR(INDEX({"IMPEDITIVO"},MATCH(TRUE,ISNUMBER(FIND(SUBSTITUTE(SUBSTITUTE(UPPER({"IMPEDITIVO"})," ",""),":",": "),SUBSTITUTE(SUBSTITUTE(UPPER(S515)," ",""),":",": "))),0)),"-")</f>
        <v>-</v>
      </c>
      <c r="K515" s="49"/>
    </row>
    <row r="516" spans="1:11" x14ac:dyDescent="0.25">
      <c r="A516" s="46" t="str" cm="1">
        <f t="array" ref="A516">IFERROR(INDEX(#REF!,MATCH(TRUE,ISNUMBER(FIND(SUBSTITUTE(SUBSTITUTE(UPPER(#REF!)," ",""),":",": "),SUBSTITUTE(SUBSTITUTE(UPPER(S516)," ",""),":",": "))),0)),"Undefined")</f>
        <v>Undefined</v>
      </c>
      <c r="B516" s="42" t="str" cm="1">
        <f t="array" ref="B516">IFERROR(INDEX({"URGENTE"},MATCH(TRUE,ISNUMBER(FIND(SUBSTITUTE(SUBSTITUTE(UPPER({"URGENTE"})," ",""),":",": "),SUBSTITUTE(SUBSTITUTE(UPPER(S516)," ",""),":",": "))),0)),"-")</f>
        <v>-</v>
      </c>
      <c r="C516" s="46" t="str" cm="1">
        <f t="array" ref="C516">IFERROR(INDEX(#REF!,MATCH(TRUE,ISNUMBER(FIND(SUBSTITUTE(SUBSTITUTE(UPPER(#REF!)," ",""),":",": "),SUBSTITUTE(SUBSTITUTE(UPPER(S516)," ",""),":",": "))),0)),"Não encontrado")</f>
        <v>Não encontrado</v>
      </c>
      <c r="D516" s="46" t="str" cm="1">
        <f t="array" ref="D516">IFERROR(INDEX(#REF!,MATCH(TRUE,ISNUMBER(FIND(SUBSTITUTE(SUBSTITUTE(UPPER(#REF!)," ",""),":",": "),SUBSTITUTE(SUBSTITUTE(UPPER(S516)," ",""),":",": "))),0)),"Não encontrado")</f>
        <v>Não encontrado</v>
      </c>
      <c r="E516" s="42" t="str" cm="1">
        <f t="array" ref="E516">IFERROR(INDEX({"IMPEDITIVO"},MATCH(TRUE,ISNUMBER(FIND(SUBSTITUTE(SUBSTITUTE(UPPER({"IMPEDITIVO"})," ",""),":",": "),SUBSTITUTE(SUBSTITUTE(UPPER(S516)," ",""),":",": "))),0)),"-")</f>
        <v>-</v>
      </c>
      <c r="K516" s="49"/>
    </row>
    <row r="517" spans="1:11" x14ac:dyDescent="0.25">
      <c r="A517" s="46" t="str" cm="1">
        <f t="array" ref="A517">IFERROR(INDEX(#REF!,MATCH(TRUE,ISNUMBER(FIND(SUBSTITUTE(SUBSTITUTE(UPPER(#REF!)," ",""),":",": "),SUBSTITUTE(SUBSTITUTE(UPPER(S517)," ",""),":",": "))),0)),"Undefined")</f>
        <v>Undefined</v>
      </c>
      <c r="B517" s="42" t="str" cm="1">
        <f t="array" ref="B517">IFERROR(INDEX({"URGENTE"},MATCH(TRUE,ISNUMBER(FIND(SUBSTITUTE(SUBSTITUTE(UPPER({"URGENTE"})," ",""),":",": "),SUBSTITUTE(SUBSTITUTE(UPPER(S517)," ",""),":",": "))),0)),"-")</f>
        <v>-</v>
      </c>
      <c r="C517" s="46" t="str" cm="1">
        <f t="array" ref="C517">IFERROR(INDEX(#REF!,MATCH(TRUE,ISNUMBER(FIND(SUBSTITUTE(SUBSTITUTE(UPPER(#REF!)," ",""),":",": "),SUBSTITUTE(SUBSTITUTE(UPPER(S517)," ",""),":",": "))),0)),"Não encontrado")</f>
        <v>Não encontrado</v>
      </c>
      <c r="D517" s="46" t="str" cm="1">
        <f t="array" ref="D517">IFERROR(INDEX(#REF!,MATCH(TRUE,ISNUMBER(FIND(SUBSTITUTE(SUBSTITUTE(UPPER(#REF!)," ",""),":",": "),SUBSTITUTE(SUBSTITUTE(UPPER(S517)," ",""),":",": "))),0)),"Não encontrado")</f>
        <v>Não encontrado</v>
      </c>
      <c r="E517" s="42" t="str" cm="1">
        <f t="array" ref="E517">IFERROR(INDEX({"IMPEDITIVO"},MATCH(TRUE,ISNUMBER(FIND(SUBSTITUTE(SUBSTITUTE(UPPER({"IMPEDITIVO"})," ",""),":",": "),SUBSTITUTE(SUBSTITUTE(UPPER(S517)," ",""),":",": "))),0)),"-")</f>
        <v>-</v>
      </c>
      <c r="K517" s="49"/>
    </row>
    <row r="518" spans="1:11" x14ac:dyDescent="0.25">
      <c r="A518" s="46" t="str" cm="1">
        <f t="array" ref="A518">IFERROR(INDEX(#REF!,MATCH(TRUE,ISNUMBER(FIND(SUBSTITUTE(SUBSTITUTE(UPPER(#REF!)," ",""),":",": "),SUBSTITUTE(SUBSTITUTE(UPPER(S518)," ",""),":",": "))),0)),"Undefined")</f>
        <v>Undefined</v>
      </c>
      <c r="B518" s="42" t="str" cm="1">
        <f t="array" ref="B518">IFERROR(INDEX({"URGENTE"},MATCH(TRUE,ISNUMBER(FIND(SUBSTITUTE(SUBSTITUTE(UPPER({"URGENTE"})," ",""),":",": "),SUBSTITUTE(SUBSTITUTE(UPPER(S518)," ",""),":",": "))),0)),"-")</f>
        <v>-</v>
      </c>
      <c r="C518" s="46" t="str" cm="1">
        <f t="array" ref="C518">IFERROR(INDEX(#REF!,MATCH(TRUE,ISNUMBER(FIND(SUBSTITUTE(SUBSTITUTE(UPPER(#REF!)," ",""),":",": "),SUBSTITUTE(SUBSTITUTE(UPPER(S518)," ",""),":",": "))),0)),"Não encontrado")</f>
        <v>Não encontrado</v>
      </c>
      <c r="D518" s="46" t="str" cm="1">
        <f t="array" ref="D518">IFERROR(INDEX(#REF!,MATCH(TRUE,ISNUMBER(FIND(SUBSTITUTE(SUBSTITUTE(UPPER(#REF!)," ",""),":",": "),SUBSTITUTE(SUBSTITUTE(UPPER(S518)," ",""),":",": "))),0)),"Não encontrado")</f>
        <v>Não encontrado</v>
      </c>
      <c r="E518" s="42" t="str" cm="1">
        <f t="array" ref="E518">IFERROR(INDEX({"IMPEDITIVO"},MATCH(TRUE,ISNUMBER(FIND(SUBSTITUTE(SUBSTITUTE(UPPER({"IMPEDITIVO"})," ",""),":",": "),SUBSTITUTE(SUBSTITUTE(UPPER(S518)," ",""),":",": "))),0)),"-")</f>
        <v>-</v>
      </c>
      <c r="K518" s="49"/>
    </row>
    <row r="519" spans="1:11" x14ac:dyDescent="0.25">
      <c r="A519" s="46" t="str" cm="1">
        <f t="array" ref="A519">IFERROR(INDEX(#REF!,MATCH(TRUE,ISNUMBER(FIND(SUBSTITUTE(SUBSTITUTE(UPPER(#REF!)," ",""),":",": "),SUBSTITUTE(SUBSTITUTE(UPPER(S519)," ",""),":",": "))),0)),"Undefined")</f>
        <v>Undefined</v>
      </c>
      <c r="B519" s="42" t="str" cm="1">
        <f t="array" ref="B519">IFERROR(INDEX({"URGENTE"},MATCH(TRUE,ISNUMBER(FIND(SUBSTITUTE(SUBSTITUTE(UPPER({"URGENTE"})," ",""),":",": "),SUBSTITUTE(SUBSTITUTE(UPPER(S519)," ",""),":",": "))),0)),"-")</f>
        <v>-</v>
      </c>
      <c r="C519" s="46" t="str" cm="1">
        <f t="array" ref="C519">IFERROR(INDEX(#REF!,MATCH(TRUE,ISNUMBER(FIND(SUBSTITUTE(SUBSTITUTE(UPPER(#REF!)," ",""),":",": "),SUBSTITUTE(SUBSTITUTE(UPPER(S519)," ",""),":",": "))),0)),"Não encontrado")</f>
        <v>Não encontrado</v>
      </c>
      <c r="D519" s="46" t="str" cm="1">
        <f t="array" ref="D519">IFERROR(INDEX(#REF!,MATCH(TRUE,ISNUMBER(FIND(SUBSTITUTE(SUBSTITUTE(UPPER(#REF!)," ",""),":",": "),SUBSTITUTE(SUBSTITUTE(UPPER(S519)," ",""),":",": "))),0)),"Não encontrado")</f>
        <v>Não encontrado</v>
      </c>
      <c r="E519" s="42" t="str" cm="1">
        <f t="array" ref="E519">IFERROR(INDEX({"IMPEDITIVO"},MATCH(TRUE,ISNUMBER(FIND(SUBSTITUTE(SUBSTITUTE(UPPER({"IMPEDITIVO"})," ",""),":",": "),SUBSTITUTE(SUBSTITUTE(UPPER(S519)," ",""),":",": "))),0)),"-")</f>
        <v>-</v>
      </c>
      <c r="K519" s="49"/>
    </row>
    <row r="520" spans="1:11" x14ac:dyDescent="0.25">
      <c r="A520" s="46" t="str" cm="1">
        <f t="array" ref="A520">IFERROR(INDEX(#REF!,MATCH(TRUE,ISNUMBER(FIND(SUBSTITUTE(SUBSTITUTE(UPPER(#REF!)," ",""),":",": "),SUBSTITUTE(SUBSTITUTE(UPPER(S520)," ",""),":",": "))),0)),"Undefined")</f>
        <v>Undefined</v>
      </c>
      <c r="B520" s="42" t="str" cm="1">
        <f t="array" ref="B520">IFERROR(INDEX({"URGENTE"},MATCH(TRUE,ISNUMBER(FIND(SUBSTITUTE(SUBSTITUTE(UPPER({"URGENTE"})," ",""),":",": "),SUBSTITUTE(SUBSTITUTE(UPPER(S520)," ",""),":",": "))),0)),"-")</f>
        <v>-</v>
      </c>
      <c r="C520" s="46" t="str" cm="1">
        <f t="array" ref="C520">IFERROR(INDEX(#REF!,MATCH(TRUE,ISNUMBER(FIND(SUBSTITUTE(SUBSTITUTE(UPPER(#REF!)," ",""),":",": "),SUBSTITUTE(SUBSTITUTE(UPPER(S520)," ",""),":",": "))),0)),"Não encontrado")</f>
        <v>Não encontrado</v>
      </c>
      <c r="D520" s="46" t="str" cm="1">
        <f t="array" ref="D520">IFERROR(INDEX(#REF!,MATCH(TRUE,ISNUMBER(FIND(SUBSTITUTE(SUBSTITUTE(UPPER(#REF!)," ",""),":",": "),SUBSTITUTE(SUBSTITUTE(UPPER(S520)," ",""),":",": "))),0)),"Não encontrado")</f>
        <v>Não encontrado</v>
      </c>
      <c r="E520" s="42" t="str" cm="1">
        <f t="array" ref="E520">IFERROR(INDEX({"IMPEDITIVO"},MATCH(TRUE,ISNUMBER(FIND(SUBSTITUTE(SUBSTITUTE(UPPER({"IMPEDITIVO"})," ",""),":",": "),SUBSTITUTE(SUBSTITUTE(UPPER(S520)," ",""),":",": "))),0)),"-")</f>
        <v>-</v>
      </c>
      <c r="K520" s="49"/>
    </row>
    <row r="521" spans="1:11" x14ac:dyDescent="0.25">
      <c r="A521" s="46" t="str" cm="1">
        <f t="array" ref="A521">IFERROR(INDEX(#REF!,MATCH(TRUE,ISNUMBER(FIND(SUBSTITUTE(SUBSTITUTE(UPPER(#REF!)," ",""),":",": "),SUBSTITUTE(SUBSTITUTE(UPPER(S521)," ",""),":",": "))),0)),"Undefined")</f>
        <v>Undefined</v>
      </c>
      <c r="B521" s="42" t="str" cm="1">
        <f t="array" ref="B521">IFERROR(INDEX({"URGENTE"},MATCH(TRUE,ISNUMBER(FIND(SUBSTITUTE(SUBSTITUTE(UPPER({"URGENTE"})," ",""),":",": "),SUBSTITUTE(SUBSTITUTE(UPPER(S521)," ",""),":",": "))),0)),"-")</f>
        <v>-</v>
      </c>
      <c r="C521" s="46" t="str" cm="1">
        <f t="array" ref="C521">IFERROR(INDEX(#REF!,MATCH(TRUE,ISNUMBER(FIND(SUBSTITUTE(SUBSTITUTE(UPPER(#REF!)," ",""),":",": "),SUBSTITUTE(SUBSTITUTE(UPPER(S521)," ",""),":",": "))),0)),"Não encontrado")</f>
        <v>Não encontrado</v>
      </c>
      <c r="D521" s="46" t="str" cm="1">
        <f t="array" ref="D521">IFERROR(INDEX(#REF!,MATCH(TRUE,ISNUMBER(FIND(SUBSTITUTE(SUBSTITUTE(UPPER(#REF!)," ",""),":",": "),SUBSTITUTE(SUBSTITUTE(UPPER(S521)," ",""),":",": "))),0)),"Não encontrado")</f>
        <v>Não encontrado</v>
      </c>
      <c r="E521" s="42" t="str" cm="1">
        <f t="array" ref="E521">IFERROR(INDEX({"IMPEDITIVO"},MATCH(TRUE,ISNUMBER(FIND(SUBSTITUTE(SUBSTITUTE(UPPER({"IMPEDITIVO"})," ",""),":",": "),SUBSTITUTE(SUBSTITUTE(UPPER(S521)," ",""),":",": "))),0)),"-")</f>
        <v>-</v>
      </c>
      <c r="K521" s="49"/>
    </row>
    <row r="522" spans="1:11" x14ac:dyDescent="0.25">
      <c r="A522" s="46" t="str" cm="1">
        <f t="array" ref="A522">IFERROR(INDEX(#REF!,MATCH(TRUE,ISNUMBER(FIND(SUBSTITUTE(SUBSTITUTE(UPPER(#REF!)," ",""),":",": "),SUBSTITUTE(SUBSTITUTE(UPPER(S522)," ",""),":",": "))),0)),"Undefined")</f>
        <v>Undefined</v>
      </c>
      <c r="B522" s="42" t="str" cm="1">
        <f t="array" ref="B522">IFERROR(INDEX({"URGENTE"},MATCH(TRUE,ISNUMBER(FIND(SUBSTITUTE(SUBSTITUTE(UPPER({"URGENTE"})," ",""),":",": "),SUBSTITUTE(SUBSTITUTE(UPPER(S522)," ",""),":",": "))),0)),"-")</f>
        <v>-</v>
      </c>
      <c r="C522" s="46" t="str" cm="1">
        <f t="array" ref="C522">IFERROR(INDEX(#REF!,MATCH(TRUE,ISNUMBER(FIND(SUBSTITUTE(SUBSTITUTE(UPPER(#REF!)," ",""),":",": "),SUBSTITUTE(SUBSTITUTE(UPPER(S522)," ",""),":",": "))),0)),"Não encontrado")</f>
        <v>Não encontrado</v>
      </c>
      <c r="D522" s="46" t="str" cm="1">
        <f t="array" ref="D522">IFERROR(INDEX(#REF!,MATCH(TRUE,ISNUMBER(FIND(SUBSTITUTE(SUBSTITUTE(UPPER(#REF!)," ",""),":",": "),SUBSTITUTE(SUBSTITUTE(UPPER(S522)," ",""),":",": "))),0)),"Não encontrado")</f>
        <v>Não encontrado</v>
      </c>
      <c r="E522" s="42" t="str" cm="1">
        <f t="array" ref="E522">IFERROR(INDEX({"IMPEDITIVO"},MATCH(TRUE,ISNUMBER(FIND(SUBSTITUTE(SUBSTITUTE(UPPER({"IMPEDITIVO"})," ",""),":",": "),SUBSTITUTE(SUBSTITUTE(UPPER(S522)," ",""),":",": "))),0)),"-")</f>
        <v>-</v>
      </c>
      <c r="K522" s="49"/>
    </row>
    <row r="523" spans="1:11" x14ac:dyDescent="0.25">
      <c r="A523" s="46" t="str" cm="1">
        <f t="array" ref="A523">IFERROR(INDEX(#REF!,MATCH(TRUE,ISNUMBER(FIND(SUBSTITUTE(SUBSTITUTE(UPPER(#REF!)," ",""),":",": "),SUBSTITUTE(SUBSTITUTE(UPPER(S523)," ",""),":",": "))),0)),"Undefined")</f>
        <v>Undefined</v>
      </c>
      <c r="B523" s="42" t="str" cm="1">
        <f t="array" ref="B523">IFERROR(INDEX({"URGENTE"},MATCH(TRUE,ISNUMBER(FIND(SUBSTITUTE(SUBSTITUTE(UPPER({"URGENTE"})," ",""),":",": "),SUBSTITUTE(SUBSTITUTE(UPPER(S523)," ",""),":",": "))),0)),"-")</f>
        <v>-</v>
      </c>
      <c r="C523" s="46" t="str" cm="1">
        <f t="array" ref="C523">IFERROR(INDEX(#REF!,MATCH(TRUE,ISNUMBER(FIND(SUBSTITUTE(SUBSTITUTE(UPPER(#REF!)," ",""),":",": "),SUBSTITUTE(SUBSTITUTE(UPPER(S523)," ",""),":",": "))),0)),"Não encontrado")</f>
        <v>Não encontrado</v>
      </c>
      <c r="D523" s="46" t="str" cm="1">
        <f t="array" ref="D523">IFERROR(INDEX(#REF!,MATCH(TRUE,ISNUMBER(FIND(SUBSTITUTE(SUBSTITUTE(UPPER(#REF!)," ",""),":",": "),SUBSTITUTE(SUBSTITUTE(UPPER(S523)," ",""),":",": "))),0)),"Não encontrado")</f>
        <v>Não encontrado</v>
      </c>
      <c r="E523" s="42" t="str" cm="1">
        <f t="array" ref="E523">IFERROR(INDEX({"IMPEDITIVO"},MATCH(TRUE,ISNUMBER(FIND(SUBSTITUTE(SUBSTITUTE(UPPER({"IMPEDITIVO"})," ",""),":",": "),SUBSTITUTE(SUBSTITUTE(UPPER(S523)," ",""),":",": "))),0)),"-")</f>
        <v>-</v>
      </c>
      <c r="K523" s="49"/>
    </row>
    <row r="524" spans="1:11" x14ac:dyDescent="0.25">
      <c r="A524" s="46" t="str" cm="1">
        <f t="array" ref="A524">IFERROR(INDEX(#REF!,MATCH(TRUE,ISNUMBER(FIND(SUBSTITUTE(SUBSTITUTE(UPPER(#REF!)," ",""),":",": "),SUBSTITUTE(SUBSTITUTE(UPPER(S524)," ",""),":",": "))),0)),"Undefined")</f>
        <v>Undefined</v>
      </c>
      <c r="B524" s="42" t="str" cm="1">
        <f t="array" ref="B524">IFERROR(INDEX({"URGENTE"},MATCH(TRUE,ISNUMBER(FIND(SUBSTITUTE(SUBSTITUTE(UPPER({"URGENTE"})," ",""),":",": "),SUBSTITUTE(SUBSTITUTE(UPPER(S524)," ",""),":",": "))),0)),"-")</f>
        <v>-</v>
      </c>
      <c r="C524" s="46" t="str" cm="1">
        <f t="array" ref="C524">IFERROR(INDEX(#REF!,MATCH(TRUE,ISNUMBER(FIND(SUBSTITUTE(SUBSTITUTE(UPPER(#REF!)," ",""),":",": "),SUBSTITUTE(SUBSTITUTE(UPPER(S524)," ",""),":",": "))),0)),"Não encontrado")</f>
        <v>Não encontrado</v>
      </c>
      <c r="D524" s="46" t="str" cm="1">
        <f t="array" ref="D524">IFERROR(INDEX(#REF!,MATCH(TRUE,ISNUMBER(FIND(SUBSTITUTE(SUBSTITUTE(UPPER(#REF!)," ",""),":",": "),SUBSTITUTE(SUBSTITUTE(UPPER(S524)," ",""),":",": "))),0)),"Não encontrado")</f>
        <v>Não encontrado</v>
      </c>
      <c r="E524" s="42" t="str" cm="1">
        <f t="array" ref="E524">IFERROR(INDEX({"IMPEDITIVO"},MATCH(TRUE,ISNUMBER(FIND(SUBSTITUTE(SUBSTITUTE(UPPER({"IMPEDITIVO"})," ",""),":",": "),SUBSTITUTE(SUBSTITUTE(UPPER(S524)," ",""),":",": "))),0)),"-")</f>
        <v>-</v>
      </c>
      <c r="K524" s="49"/>
    </row>
    <row r="525" spans="1:11" x14ac:dyDescent="0.25">
      <c r="A525" s="46" t="str" cm="1">
        <f t="array" ref="A525">IFERROR(INDEX(#REF!,MATCH(TRUE,ISNUMBER(FIND(SUBSTITUTE(SUBSTITUTE(UPPER(#REF!)," ",""),":",": "),SUBSTITUTE(SUBSTITUTE(UPPER(S525)," ",""),":",": "))),0)),"Undefined")</f>
        <v>Undefined</v>
      </c>
      <c r="B525" s="42" t="str" cm="1">
        <f t="array" ref="B525">IFERROR(INDEX({"URGENTE"},MATCH(TRUE,ISNUMBER(FIND(SUBSTITUTE(SUBSTITUTE(UPPER({"URGENTE"})," ",""),":",": "),SUBSTITUTE(SUBSTITUTE(UPPER(S525)," ",""),":",": "))),0)),"-")</f>
        <v>-</v>
      </c>
      <c r="C525" s="46" t="str" cm="1">
        <f t="array" ref="C525">IFERROR(INDEX(#REF!,MATCH(TRUE,ISNUMBER(FIND(SUBSTITUTE(SUBSTITUTE(UPPER(#REF!)," ",""),":",": "),SUBSTITUTE(SUBSTITUTE(UPPER(S525)," ",""),":",": "))),0)),"Não encontrado")</f>
        <v>Não encontrado</v>
      </c>
      <c r="D525" s="46" t="str" cm="1">
        <f t="array" ref="D525">IFERROR(INDEX(#REF!,MATCH(TRUE,ISNUMBER(FIND(SUBSTITUTE(SUBSTITUTE(UPPER(#REF!)," ",""),":",": "),SUBSTITUTE(SUBSTITUTE(UPPER(S525)," ",""),":",": "))),0)),"Não encontrado")</f>
        <v>Não encontrado</v>
      </c>
      <c r="E525" s="42" t="str" cm="1">
        <f t="array" ref="E525">IFERROR(INDEX({"IMPEDITIVO"},MATCH(TRUE,ISNUMBER(FIND(SUBSTITUTE(SUBSTITUTE(UPPER({"IMPEDITIVO"})," ",""),":",": "),SUBSTITUTE(SUBSTITUTE(UPPER(S525)," ",""),":",": "))),0)),"-")</f>
        <v>-</v>
      </c>
      <c r="K525" s="49"/>
    </row>
    <row r="526" spans="1:11" x14ac:dyDescent="0.25">
      <c r="A526" s="46" t="str" cm="1">
        <f t="array" ref="A526">IFERROR(INDEX(#REF!,MATCH(TRUE,ISNUMBER(FIND(SUBSTITUTE(SUBSTITUTE(UPPER(#REF!)," ",""),":",": "),SUBSTITUTE(SUBSTITUTE(UPPER(S526)," ",""),":",": "))),0)),"Undefined")</f>
        <v>Undefined</v>
      </c>
      <c r="B526" s="42" t="str" cm="1">
        <f t="array" ref="B526">IFERROR(INDEX({"URGENTE"},MATCH(TRUE,ISNUMBER(FIND(SUBSTITUTE(SUBSTITUTE(UPPER({"URGENTE"})," ",""),":",": "),SUBSTITUTE(SUBSTITUTE(UPPER(S526)," ",""),":",": "))),0)),"-")</f>
        <v>-</v>
      </c>
      <c r="C526" s="46" t="str" cm="1">
        <f t="array" ref="C526">IFERROR(INDEX(#REF!,MATCH(TRUE,ISNUMBER(FIND(SUBSTITUTE(SUBSTITUTE(UPPER(#REF!)," ",""),":",": "),SUBSTITUTE(SUBSTITUTE(UPPER(S526)," ",""),":",": "))),0)),"Não encontrado")</f>
        <v>Não encontrado</v>
      </c>
      <c r="D526" s="46" t="str" cm="1">
        <f t="array" ref="D526">IFERROR(INDEX(#REF!,MATCH(TRUE,ISNUMBER(FIND(SUBSTITUTE(SUBSTITUTE(UPPER(#REF!)," ",""),":",": "),SUBSTITUTE(SUBSTITUTE(UPPER(S526)," ",""),":",": "))),0)),"Não encontrado")</f>
        <v>Não encontrado</v>
      </c>
      <c r="E526" s="42" t="str" cm="1">
        <f t="array" ref="E526">IFERROR(INDEX({"IMPEDITIVO"},MATCH(TRUE,ISNUMBER(FIND(SUBSTITUTE(SUBSTITUTE(UPPER({"IMPEDITIVO"})," ",""),":",": "),SUBSTITUTE(SUBSTITUTE(UPPER(S526)," ",""),":",": "))),0)),"-")</f>
        <v>-</v>
      </c>
      <c r="K526" s="49"/>
    </row>
    <row r="527" spans="1:11" x14ac:dyDescent="0.25">
      <c r="A527" s="46" t="str" cm="1">
        <f t="array" ref="A527">IFERROR(INDEX(#REF!,MATCH(TRUE,ISNUMBER(FIND(SUBSTITUTE(SUBSTITUTE(UPPER(#REF!)," ",""),":",": "),SUBSTITUTE(SUBSTITUTE(UPPER(S527)," ",""),":",": "))),0)),"Undefined")</f>
        <v>Undefined</v>
      </c>
      <c r="B527" s="42" t="str" cm="1">
        <f t="array" ref="B527">IFERROR(INDEX({"URGENTE"},MATCH(TRUE,ISNUMBER(FIND(SUBSTITUTE(SUBSTITUTE(UPPER({"URGENTE"})," ",""),":",": "),SUBSTITUTE(SUBSTITUTE(UPPER(S527)," ",""),":",": "))),0)),"-")</f>
        <v>-</v>
      </c>
      <c r="C527" s="46" t="str" cm="1">
        <f t="array" ref="C527">IFERROR(INDEX(#REF!,MATCH(TRUE,ISNUMBER(FIND(SUBSTITUTE(SUBSTITUTE(UPPER(#REF!)," ",""),":",": "),SUBSTITUTE(SUBSTITUTE(UPPER(S527)," ",""),":",": "))),0)),"Não encontrado")</f>
        <v>Não encontrado</v>
      </c>
      <c r="D527" s="46" t="str" cm="1">
        <f t="array" ref="D527">IFERROR(INDEX(#REF!,MATCH(TRUE,ISNUMBER(FIND(SUBSTITUTE(SUBSTITUTE(UPPER(#REF!)," ",""),":",": "),SUBSTITUTE(SUBSTITUTE(UPPER(S527)," ",""),":",": "))),0)),"Não encontrado")</f>
        <v>Não encontrado</v>
      </c>
      <c r="E527" s="42" t="str" cm="1">
        <f t="array" ref="E527">IFERROR(INDEX({"IMPEDITIVO"},MATCH(TRUE,ISNUMBER(FIND(SUBSTITUTE(SUBSTITUTE(UPPER({"IMPEDITIVO"})," ",""),":",": "),SUBSTITUTE(SUBSTITUTE(UPPER(S527)," ",""),":",": "))),0)),"-")</f>
        <v>-</v>
      </c>
      <c r="K527" s="49"/>
    </row>
    <row r="528" spans="1:11" x14ac:dyDescent="0.25">
      <c r="A528" s="46" t="str" cm="1">
        <f t="array" ref="A528">IFERROR(INDEX(#REF!,MATCH(TRUE,ISNUMBER(FIND(SUBSTITUTE(SUBSTITUTE(UPPER(#REF!)," ",""),":",": "),SUBSTITUTE(SUBSTITUTE(UPPER(S528)," ",""),":",": "))),0)),"Undefined")</f>
        <v>Undefined</v>
      </c>
      <c r="B528" s="42" t="str" cm="1">
        <f t="array" ref="B528">IFERROR(INDEX({"URGENTE"},MATCH(TRUE,ISNUMBER(FIND(SUBSTITUTE(SUBSTITUTE(UPPER({"URGENTE"})," ",""),":",": "),SUBSTITUTE(SUBSTITUTE(UPPER(S528)," ",""),":",": "))),0)),"-")</f>
        <v>-</v>
      </c>
      <c r="C528" s="46" t="str" cm="1">
        <f t="array" ref="C528">IFERROR(INDEX(#REF!,MATCH(TRUE,ISNUMBER(FIND(SUBSTITUTE(SUBSTITUTE(UPPER(#REF!)," ",""),":",": "),SUBSTITUTE(SUBSTITUTE(UPPER(S528)," ",""),":",": "))),0)),"Não encontrado")</f>
        <v>Não encontrado</v>
      </c>
      <c r="D528" s="46" t="str" cm="1">
        <f t="array" ref="D528">IFERROR(INDEX(#REF!,MATCH(TRUE,ISNUMBER(FIND(SUBSTITUTE(SUBSTITUTE(UPPER(#REF!)," ",""),":",": "),SUBSTITUTE(SUBSTITUTE(UPPER(S528)," ",""),":",": "))),0)),"Não encontrado")</f>
        <v>Não encontrado</v>
      </c>
      <c r="E528" s="42" t="str" cm="1">
        <f t="array" ref="E528">IFERROR(INDEX({"IMPEDITIVO"},MATCH(TRUE,ISNUMBER(FIND(SUBSTITUTE(SUBSTITUTE(UPPER({"IMPEDITIVO"})," ",""),":",": "),SUBSTITUTE(SUBSTITUTE(UPPER(S528)," ",""),":",": "))),0)),"-")</f>
        <v>-</v>
      </c>
      <c r="K528" s="49"/>
    </row>
    <row r="529" spans="1:11" x14ac:dyDescent="0.25">
      <c r="A529" s="46" t="str" cm="1">
        <f t="array" ref="A529">IFERROR(INDEX(#REF!,MATCH(TRUE,ISNUMBER(FIND(SUBSTITUTE(SUBSTITUTE(UPPER(#REF!)," ",""),":",": "),SUBSTITUTE(SUBSTITUTE(UPPER(S529)," ",""),":",": "))),0)),"Undefined")</f>
        <v>Undefined</v>
      </c>
      <c r="B529" s="42" t="str" cm="1">
        <f t="array" ref="B529">IFERROR(INDEX({"URGENTE"},MATCH(TRUE,ISNUMBER(FIND(SUBSTITUTE(SUBSTITUTE(UPPER({"URGENTE"})," ",""),":",": "),SUBSTITUTE(SUBSTITUTE(UPPER(S529)," ",""),":",": "))),0)),"-")</f>
        <v>-</v>
      </c>
      <c r="C529" s="46" t="str" cm="1">
        <f t="array" ref="C529">IFERROR(INDEX(#REF!,MATCH(TRUE,ISNUMBER(FIND(SUBSTITUTE(SUBSTITUTE(UPPER(#REF!)," ",""),":",": "),SUBSTITUTE(SUBSTITUTE(UPPER(S529)," ",""),":",": "))),0)),"Não encontrado")</f>
        <v>Não encontrado</v>
      </c>
      <c r="D529" s="46" t="str" cm="1">
        <f t="array" ref="D529">IFERROR(INDEX(#REF!,MATCH(TRUE,ISNUMBER(FIND(SUBSTITUTE(SUBSTITUTE(UPPER(#REF!)," ",""),":",": "),SUBSTITUTE(SUBSTITUTE(UPPER(S529)," ",""),":",": "))),0)),"Não encontrado")</f>
        <v>Não encontrado</v>
      </c>
      <c r="E529" s="42" t="str" cm="1">
        <f t="array" ref="E529">IFERROR(INDEX({"IMPEDITIVO"},MATCH(TRUE,ISNUMBER(FIND(SUBSTITUTE(SUBSTITUTE(UPPER({"IMPEDITIVO"})," ",""),":",": "),SUBSTITUTE(SUBSTITUTE(UPPER(S529)," ",""),":",": "))),0)),"-")</f>
        <v>-</v>
      </c>
      <c r="K529" s="49"/>
    </row>
    <row r="530" spans="1:11" x14ac:dyDescent="0.25">
      <c r="A530" s="46" t="str" cm="1">
        <f t="array" ref="A530">IFERROR(INDEX(#REF!,MATCH(TRUE,ISNUMBER(FIND(SUBSTITUTE(SUBSTITUTE(UPPER(#REF!)," ",""),":",": "),SUBSTITUTE(SUBSTITUTE(UPPER(S530)," ",""),":",": "))),0)),"Undefined")</f>
        <v>Undefined</v>
      </c>
      <c r="B530" s="42" t="str" cm="1">
        <f t="array" ref="B530">IFERROR(INDEX({"URGENTE"},MATCH(TRUE,ISNUMBER(FIND(SUBSTITUTE(SUBSTITUTE(UPPER({"URGENTE"})," ",""),":",": "),SUBSTITUTE(SUBSTITUTE(UPPER(S530)," ",""),":",": "))),0)),"-")</f>
        <v>-</v>
      </c>
      <c r="C530" s="46" t="str" cm="1">
        <f t="array" ref="C530">IFERROR(INDEX(#REF!,MATCH(TRUE,ISNUMBER(FIND(SUBSTITUTE(SUBSTITUTE(UPPER(#REF!)," ",""),":",": "),SUBSTITUTE(SUBSTITUTE(UPPER(S530)," ",""),":",": "))),0)),"Não encontrado")</f>
        <v>Não encontrado</v>
      </c>
      <c r="D530" s="46" t="str" cm="1">
        <f t="array" ref="D530">IFERROR(INDEX(#REF!,MATCH(TRUE,ISNUMBER(FIND(SUBSTITUTE(SUBSTITUTE(UPPER(#REF!)," ",""),":",": "),SUBSTITUTE(SUBSTITUTE(UPPER(S530)," ",""),":",": "))),0)),"Não encontrado")</f>
        <v>Não encontrado</v>
      </c>
      <c r="E530" s="42" t="str" cm="1">
        <f t="array" ref="E530">IFERROR(INDEX({"IMPEDITIVO"},MATCH(TRUE,ISNUMBER(FIND(SUBSTITUTE(SUBSTITUTE(UPPER({"IMPEDITIVO"})," ",""),":",": "),SUBSTITUTE(SUBSTITUTE(UPPER(S530)," ",""),":",": "))),0)),"-")</f>
        <v>-</v>
      </c>
      <c r="K530" s="49"/>
    </row>
    <row r="531" spans="1:11" x14ac:dyDescent="0.25">
      <c r="A531" s="46" t="str" cm="1">
        <f t="array" ref="A531">IFERROR(INDEX(#REF!,MATCH(TRUE,ISNUMBER(FIND(SUBSTITUTE(SUBSTITUTE(UPPER(#REF!)," ",""),":",": "),SUBSTITUTE(SUBSTITUTE(UPPER(S531)," ",""),":",": "))),0)),"Undefined")</f>
        <v>Undefined</v>
      </c>
      <c r="B531" s="42" t="str" cm="1">
        <f t="array" ref="B531">IFERROR(INDEX({"URGENTE"},MATCH(TRUE,ISNUMBER(FIND(SUBSTITUTE(SUBSTITUTE(UPPER({"URGENTE"})," ",""),":",": "),SUBSTITUTE(SUBSTITUTE(UPPER(S531)," ",""),":",": "))),0)),"-")</f>
        <v>-</v>
      </c>
      <c r="C531" s="46" t="str" cm="1">
        <f t="array" ref="C531">IFERROR(INDEX(#REF!,MATCH(TRUE,ISNUMBER(FIND(SUBSTITUTE(SUBSTITUTE(UPPER(#REF!)," ",""),":",": "),SUBSTITUTE(SUBSTITUTE(UPPER(S531)," ",""),":",": "))),0)),"Não encontrado")</f>
        <v>Não encontrado</v>
      </c>
      <c r="D531" s="46" t="str" cm="1">
        <f t="array" ref="D531">IFERROR(INDEX(#REF!,MATCH(TRUE,ISNUMBER(FIND(SUBSTITUTE(SUBSTITUTE(UPPER(#REF!)," ",""),":",": "),SUBSTITUTE(SUBSTITUTE(UPPER(S531)," ",""),":",": "))),0)),"Não encontrado")</f>
        <v>Não encontrado</v>
      </c>
      <c r="E531" s="42" t="str" cm="1">
        <f t="array" ref="E531">IFERROR(INDEX({"IMPEDITIVO"},MATCH(TRUE,ISNUMBER(FIND(SUBSTITUTE(SUBSTITUTE(UPPER({"IMPEDITIVO"})," ",""),":",": "),SUBSTITUTE(SUBSTITUTE(UPPER(S531)," ",""),":",": "))),0)),"-")</f>
        <v>-</v>
      </c>
      <c r="K531" s="49"/>
    </row>
    <row r="532" spans="1:11" x14ac:dyDescent="0.25">
      <c r="A532" s="46" t="str" cm="1">
        <f t="array" ref="A532">IFERROR(INDEX(#REF!,MATCH(TRUE,ISNUMBER(FIND(SUBSTITUTE(SUBSTITUTE(UPPER(#REF!)," ",""),":",": "),SUBSTITUTE(SUBSTITUTE(UPPER(S532)," ",""),":",": "))),0)),"Undefined")</f>
        <v>Undefined</v>
      </c>
      <c r="B532" s="42" t="str" cm="1">
        <f t="array" ref="B532">IFERROR(INDEX({"URGENTE"},MATCH(TRUE,ISNUMBER(FIND(SUBSTITUTE(SUBSTITUTE(UPPER({"URGENTE"})," ",""),":",": "),SUBSTITUTE(SUBSTITUTE(UPPER(S532)," ",""),":",": "))),0)),"-")</f>
        <v>-</v>
      </c>
      <c r="C532" s="46" t="str" cm="1">
        <f t="array" ref="C532">IFERROR(INDEX(#REF!,MATCH(TRUE,ISNUMBER(FIND(SUBSTITUTE(SUBSTITUTE(UPPER(#REF!)," ",""),":",": "),SUBSTITUTE(SUBSTITUTE(UPPER(S532)," ",""),":",": "))),0)),"Não encontrado")</f>
        <v>Não encontrado</v>
      </c>
      <c r="D532" s="46" t="str" cm="1">
        <f t="array" ref="D532">IFERROR(INDEX(#REF!,MATCH(TRUE,ISNUMBER(FIND(SUBSTITUTE(SUBSTITUTE(UPPER(#REF!)," ",""),":",": "),SUBSTITUTE(SUBSTITUTE(UPPER(S532)," ",""),":",": "))),0)),"Não encontrado")</f>
        <v>Não encontrado</v>
      </c>
      <c r="E532" s="42" t="str" cm="1">
        <f t="array" ref="E532">IFERROR(INDEX({"IMPEDITIVO"},MATCH(TRUE,ISNUMBER(FIND(SUBSTITUTE(SUBSTITUTE(UPPER({"IMPEDITIVO"})," ",""),":",": "),SUBSTITUTE(SUBSTITUTE(UPPER(S532)," ",""),":",": "))),0)),"-")</f>
        <v>-</v>
      </c>
      <c r="K532" s="49"/>
    </row>
    <row r="533" spans="1:11" x14ac:dyDescent="0.25">
      <c r="A533" s="46" t="str" cm="1">
        <f t="array" ref="A533">IFERROR(INDEX(#REF!,MATCH(TRUE,ISNUMBER(FIND(SUBSTITUTE(SUBSTITUTE(UPPER(#REF!)," ",""),":",": "),SUBSTITUTE(SUBSTITUTE(UPPER(S533)," ",""),":",": "))),0)),"Undefined")</f>
        <v>Undefined</v>
      </c>
      <c r="B533" s="42" t="str" cm="1">
        <f t="array" ref="B533">IFERROR(INDEX({"URGENTE"},MATCH(TRUE,ISNUMBER(FIND(SUBSTITUTE(SUBSTITUTE(UPPER({"URGENTE"})," ",""),":",": "),SUBSTITUTE(SUBSTITUTE(UPPER(S533)," ",""),":",": "))),0)),"-")</f>
        <v>-</v>
      </c>
      <c r="C533" s="46" t="str" cm="1">
        <f t="array" ref="C533">IFERROR(INDEX(#REF!,MATCH(TRUE,ISNUMBER(FIND(SUBSTITUTE(SUBSTITUTE(UPPER(#REF!)," ",""),":",": "),SUBSTITUTE(SUBSTITUTE(UPPER(S533)," ",""),":",": "))),0)),"Não encontrado")</f>
        <v>Não encontrado</v>
      </c>
      <c r="D533" s="46" t="str" cm="1">
        <f t="array" ref="D533">IFERROR(INDEX(#REF!,MATCH(TRUE,ISNUMBER(FIND(SUBSTITUTE(SUBSTITUTE(UPPER(#REF!)," ",""),":",": "),SUBSTITUTE(SUBSTITUTE(UPPER(S533)," ",""),":",": "))),0)),"Não encontrado")</f>
        <v>Não encontrado</v>
      </c>
      <c r="E533" s="42" t="str" cm="1">
        <f t="array" ref="E533">IFERROR(INDEX({"IMPEDITIVO"},MATCH(TRUE,ISNUMBER(FIND(SUBSTITUTE(SUBSTITUTE(UPPER({"IMPEDITIVO"})," ",""),":",": "),SUBSTITUTE(SUBSTITUTE(UPPER(S533)," ",""),":",": "))),0)),"-")</f>
        <v>-</v>
      </c>
      <c r="K533" s="49"/>
    </row>
    <row r="534" spans="1:11" x14ac:dyDescent="0.25">
      <c r="A534" s="46" t="str" cm="1">
        <f t="array" ref="A534">IFERROR(INDEX(#REF!,MATCH(TRUE,ISNUMBER(FIND(SUBSTITUTE(SUBSTITUTE(UPPER(#REF!)," ",""),":",": "),SUBSTITUTE(SUBSTITUTE(UPPER(S534)," ",""),":",": "))),0)),"Undefined")</f>
        <v>Undefined</v>
      </c>
      <c r="B534" s="42" t="str" cm="1">
        <f t="array" ref="B534">IFERROR(INDEX({"URGENTE"},MATCH(TRUE,ISNUMBER(FIND(SUBSTITUTE(SUBSTITUTE(UPPER({"URGENTE"})," ",""),":",": "),SUBSTITUTE(SUBSTITUTE(UPPER(S534)," ",""),":",": "))),0)),"-")</f>
        <v>-</v>
      </c>
      <c r="C534" s="46" t="str" cm="1">
        <f t="array" ref="C534">IFERROR(INDEX(#REF!,MATCH(TRUE,ISNUMBER(FIND(SUBSTITUTE(SUBSTITUTE(UPPER(#REF!)," ",""),":",": "),SUBSTITUTE(SUBSTITUTE(UPPER(S534)," ",""),":",": "))),0)),"Não encontrado")</f>
        <v>Não encontrado</v>
      </c>
      <c r="D534" s="46" t="str" cm="1">
        <f t="array" ref="D534">IFERROR(INDEX(#REF!,MATCH(TRUE,ISNUMBER(FIND(SUBSTITUTE(SUBSTITUTE(UPPER(#REF!)," ",""),":",": "),SUBSTITUTE(SUBSTITUTE(UPPER(S534)," ",""),":",": "))),0)),"Não encontrado")</f>
        <v>Não encontrado</v>
      </c>
      <c r="E534" s="42" t="str" cm="1">
        <f t="array" ref="E534">IFERROR(INDEX({"IMPEDITIVO"},MATCH(TRUE,ISNUMBER(FIND(SUBSTITUTE(SUBSTITUTE(UPPER({"IMPEDITIVO"})," ",""),":",": "),SUBSTITUTE(SUBSTITUTE(UPPER(S534)," ",""),":",": "))),0)),"-")</f>
        <v>-</v>
      </c>
      <c r="K534" s="49"/>
    </row>
    <row r="535" spans="1:11" x14ac:dyDescent="0.25">
      <c r="A535" s="46" t="str" cm="1">
        <f t="array" ref="A535">IFERROR(INDEX(#REF!,MATCH(TRUE,ISNUMBER(FIND(SUBSTITUTE(SUBSTITUTE(UPPER(#REF!)," ",""),":",": "),SUBSTITUTE(SUBSTITUTE(UPPER(S535)," ",""),":",": "))),0)),"Undefined")</f>
        <v>Undefined</v>
      </c>
      <c r="B535" s="42" t="str" cm="1">
        <f t="array" ref="B535">IFERROR(INDEX({"URGENTE"},MATCH(TRUE,ISNUMBER(FIND(SUBSTITUTE(SUBSTITUTE(UPPER({"URGENTE"})," ",""),":",": "),SUBSTITUTE(SUBSTITUTE(UPPER(S535)," ",""),":",": "))),0)),"-")</f>
        <v>-</v>
      </c>
      <c r="C535" s="46" t="str" cm="1">
        <f t="array" ref="C535">IFERROR(INDEX(#REF!,MATCH(TRUE,ISNUMBER(FIND(SUBSTITUTE(SUBSTITUTE(UPPER(#REF!)," ",""),":",": "),SUBSTITUTE(SUBSTITUTE(UPPER(S535)," ",""),":",": "))),0)),"Não encontrado")</f>
        <v>Não encontrado</v>
      </c>
      <c r="D535" s="46" t="str" cm="1">
        <f t="array" ref="D535">IFERROR(INDEX(#REF!,MATCH(TRUE,ISNUMBER(FIND(SUBSTITUTE(SUBSTITUTE(UPPER(#REF!)," ",""),":",": "),SUBSTITUTE(SUBSTITUTE(UPPER(S535)," ",""),":",": "))),0)),"Não encontrado")</f>
        <v>Não encontrado</v>
      </c>
      <c r="E535" s="42" t="str" cm="1">
        <f t="array" ref="E535">IFERROR(INDEX({"IMPEDITIVO"},MATCH(TRUE,ISNUMBER(FIND(SUBSTITUTE(SUBSTITUTE(UPPER({"IMPEDITIVO"})," ",""),":",": "),SUBSTITUTE(SUBSTITUTE(UPPER(S535)," ",""),":",": "))),0)),"-")</f>
        <v>-</v>
      </c>
      <c r="K535" s="49"/>
    </row>
    <row r="536" spans="1:11" x14ac:dyDescent="0.25">
      <c r="A536" s="46" t="str" cm="1">
        <f t="array" ref="A536">IFERROR(INDEX(#REF!,MATCH(TRUE,ISNUMBER(FIND(SUBSTITUTE(SUBSTITUTE(UPPER(#REF!)," ",""),":",": "),SUBSTITUTE(SUBSTITUTE(UPPER(S536)," ",""),":",": "))),0)),"Undefined")</f>
        <v>Undefined</v>
      </c>
      <c r="B536" s="42" t="str" cm="1">
        <f t="array" ref="B536">IFERROR(INDEX({"URGENTE"},MATCH(TRUE,ISNUMBER(FIND(SUBSTITUTE(SUBSTITUTE(UPPER({"URGENTE"})," ",""),":",": "),SUBSTITUTE(SUBSTITUTE(UPPER(S536)," ",""),":",": "))),0)),"-")</f>
        <v>-</v>
      </c>
      <c r="C536" s="46" t="str" cm="1">
        <f t="array" ref="C536">IFERROR(INDEX(#REF!,MATCH(TRUE,ISNUMBER(FIND(SUBSTITUTE(SUBSTITUTE(UPPER(#REF!)," ",""),":",": "),SUBSTITUTE(SUBSTITUTE(UPPER(S536)," ",""),":",": "))),0)),"Não encontrado")</f>
        <v>Não encontrado</v>
      </c>
      <c r="D536" s="46" t="str" cm="1">
        <f t="array" ref="D536">IFERROR(INDEX(#REF!,MATCH(TRUE,ISNUMBER(FIND(SUBSTITUTE(SUBSTITUTE(UPPER(#REF!)," ",""),":",": "),SUBSTITUTE(SUBSTITUTE(UPPER(S536)," ",""),":",": "))),0)),"Não encontrado")</f>
        <v>Não encontrado</v>
      </c>
      <c r="E536" s="42" t="str" cm="1">
        <f t="array" ref="E536">IFERROR(INDEX({"IMPEDITIVO"},MATCH(TRUE,ISNUMBER(FIND(SUBSTITUTE(SUBSTITUTE(UPPER({"IMPEDITIVO"})," ",""),":",": "),SUBSTITUTE(SUBSTITUTE(UPPER(S536)," ",""),":",": "))),0)),"-")</f>
        <v>-</v>
      </c>
      <c r="K536" s="49"/>
    </row>
    <row r="537" spans="1:11" x14ac:dyDescent="0.25">
      <c r="A537" s="46" t="str" cm="1">
        <f t="array" ref="A537">IFERROR(INDEX(#REF!,MATCH(TRUE,ISNUMBER(FIND(SUBSTITUTE(SUBSTITUTE(UPPER(#REF!)," ",""),":",": "),SUBSTITUTE(SUBSTITUTE(UPPER(S537)," ",""),":",": "))),0)),"Undefined")</f>
        <v>Undefined</v>
      </c>
      <c r="B537" s="42" t="str" cm="1">
        <f t="array" ref="B537">IFERROR(INDEX({"URGENTE"},MATCH(TRUE,ISNUMBER(FIND(SUBSTITUTE(SUBSTITUTE(UPPER({"URGENTE"})," ",""),":",": "),SUBSTITUTE(SUBSTITUTE(UPPER(S537)," ",""),":",": "))),0)),"-")</f>
        <v>-</v>
      </c>
      <c r="C537" s="46" t="str" cm="1">
        <f t="array" ref="C537">IFERROR(INDEX(#REF!,MATCH(TRUE,ISNUMBER(FIND(SUBSTITUTE(SUBSTITUTE(UPPER(#REF!)," ",""),":",": "),SUBSTITUTE(SUBSTITUTE(UPPER(S537)," ",""),":",": "))),0)),"Não encontrado")</f>
        <v>Não encontrado</v>
      </c>
      <c r="D537" s="46" t="str" cm="1">
        <f t="array" ref="D537">IFERROR(INDEX(#REF!,MATCH(TRUE,ISNUMBER(FIND(SUBSTITUTE(SUBSTITUTE(UPPER(#REF!)," ",""),":",": "),SUBSTITUTE(SUBSTITUTE(UPPER(S537)," ",""),":",": "))),0)),"Não encontrado")</f>
        <v>Não encontrado</v>
      </c>
      <c r="E537" s="42" t="str" cm="1">
        <f t="array" ref="E537">IFERROR(INDEX({"IMPEDITIVO"},MATCH(TRUE,ISNUMBER(FIND(SUBSTITUTE(SUBSTITUTE(UPPER({"IMPEDITIVO"})," ",""),":",": "),SUBSTITUTE(SUBSTITUTE(UPPER(S537)," ",""),":",": "))),0)),"-")</f>
        <v>-</v>
      </c>
      <c r="K537" s="49"/>
    </row>
    <row r="538" spans="1:11" x14ac:dyDescent="0.25">
      <c r="A538" s="46" t="str" cm="1">
        <f t="array" ref="A538">IFERROR(INDEX(#REF!,MATCH(TRUE,ISNUMBER(FIND(SUBSTITUTE(SUBSTITUTE(UPPER(#REF!)," ",""),":",": "),SUBSTITUTE(SUBSTITUTE(UPPER(S538)," ",""),":",": "))),0)),"Undefined")</f>
        <v>Undefined</v>
      </c>
      <c r="B538" s="42" t="str" cm="1">
        <f t="array" ref="B538">IFERROR(INDEX({"URGENTE"},MATCH(TRUE,ISNUMBER(FIND(SUBSTITUTE(SUBSTITUTE(UPPER({"URGENTE"})," ",""),":",": "),SUBSTITUTE(SUBSTITUTE(UPPER(S538)," ",""),":",": "))),0)),"-")</f>
        <v>-</v>
      </c>
      <c r="C538" s="46" t="str" cm="1">
        <f t="array" ref="C538">IFERROR(INDEX(#REF!,MATCH(TRUE,ISNUMBER(FIND(SUBSTITUTE(SUBSTITUTE(UPPER(#REF!)," ",""),":",": "),SUBSTITUTE(SUBSTITUTE(UPPER(S538)," ",""),":",": "))),0)),"Não encontrado")</f>
        <v>Não encontrado</v>
      </c>
      <c r="D538" s="46" t="str" cm="1">
        <f t="array" ref="D538">IFERROR(INDEX(#REF!,MATCH(TRUE,ISNUMBER(FIND(SUBSTITUTE(SUBSTITUTE(UPPER(#REF!)," ",""),":",": "),SUBSTITUTE(SUBSTITUTE(UPPER(S538)," ",""),":",": "))),0)),"Não encontrado")</f>
        <v>Não encontrado</v>
      </c>
      <c r="E538" s="42" t="str" cm="1">
        <f t="array" ref="E538">IFERROR(INDEX({"IMPEDITIVO"},MATCH(TRUE,ISNUMBER(FIND(SUBSTITUTE(SUBSTITUTE(UPPER({"IMPEDITIVO"})," ",""),":",": "),SUBSTITUTE(SUBSTITUTE(UPPER(S538)," ",""),":",": "))),0)),"-")</f>
        <v>-</v>
      </c>
      <c r="K538" s="49"/>
    </row>
    <row r="539" spans="1:11" x14ac:dyDescent="0.25">
      <c r="A539" s="46" t="str" cm="1">
        <f t="array" ref="A539">IFERROR(INDEX(#REF!,MATCH(TRUE,ISNUMBER(FIND(SUBSTITUTE(SUBSTITUTE(UPPER(#REF!)," ",""),":",": "),SUBSTITUTE(SUBSTITUTE(UPPER(S539)," ",""),":",": "))),0)),"Undefined")</f>
        <v>Undefined</v>
      </c>
      <c r="B539" s="42" t="str" cm="1">
        <f t="array" ref="B539">IFERROR(INDEX({"URGENTE"},MATCH(TRUE,ISNUMBER(FIND(SUBSTITUTE(SUBSTITUTE(UPPER({"URGENTE"})," ",""),":",": "),SUBSTITUTE(SUBSTITUTE(UPPER(S539)," ",""),":",": "))),0)),"-")</f>
        <v>-</v>
      </c>
      <c r="C539" s="46" t="str" cm="1">
        <f t="array" ref="C539">IFERROR(INDEX(#REF!,MATCH(TRUE,ISNUMBER(FIND(SUBSTITUTE(SUBSTITUTE(UPPER(#REF!)," ",""),":",": "),SUBSTITUTE(SUBSTITUTE(UPPER(S539)," ",""),":",": "))),0)),"Não encontrado")</f>
        <v>Não encontrado</v>
      </c>
      <c r="D539" s="46" t="str" cm="1">
        <f t="array" ref="D539">IFERROR(INDEX(#REF!,MATCH(TRUE,ISNUMBER(FIND(SUBSTITUTE(SUBSTITUTE(UPPER(#REF!)," ",""),":",": "),SUBSTITUTE(SUBSTITUTE(UPPER(S539)," ",""),":",": "))),0)),"Não encontrado")</f>
        <v>Não encontrado</v>
      </c>
      <c r="E539" s="42" t="str" cm="1">
        <f t="array" ref="E539">IFERROR(INDEX({"IMPEDITIVO"},MATCH(TRUE,ISNUMBER(FIND(SUBSTITUTE(SUBSTITUTE(UPPER({"IMPEDITIVO"})," ",""),":",": "),SUBSTITUTE(SUBSTITUTE(UPPER(S539)," ",""),":",": "))),0)),"-")</f>
        <v>-</v>
      </c>
      <c r="K539" s="49"/>
    </row>
    <row r="540" spans="1:11" x14ac:dyDescent="0.25">
      <c r="A540" s="46" t="str" cm="1">
        <f t="array" ref="A540">IFERROR(INDEX(#REF!,MATCH(TRUE,ISNUMBER(FIND(SUBSTITUTE(SUBSTITUTE(UPPER(#REF!)," ",""),":",": "),SUBSTITUTE(SUBSTITUTE(UPPER(S540)," ",""),":",": "))),0)),"Undefined")</f>
        <v>Undefined</v>
      </c>
      <c r="B540" s="42" t="str" cm="1">
        <f t="array" ref="B540">IFERROR(INDEX({"URGENTE"},MATCH(TRUE,ISNUMBER(FIND(SUBSTITUTE(SUBSTITUTE(UPPER({"URGENTE"})," ",""),":",": "),SUBSTITUTE(SUBSTITUTE(UPPER(S540)," ",""),":",": "))),0)),"-")</f>
        <v>-</v>
      </c>
      <c r="C540" s="46" t="str" cm="1">
        <f t="array" ref="C540">IFERROR(INDEX(#REF!,MATCH(TRUE,ISNUMBER(FIND(SUBSTITUTE(SUBSTITUTE(UPPER(#REF!)," ",""),":",": "),SUBSTITUTE(SUBSTITUTE(UPPER(S540)," ",""),":",": "))),0)),"Não encontrado")</f>
        <v>Não encontrado</v>
      </c>
      <c r="D540" s="46" t="str" cm="1">
        <f t="array" ref="D540">IFERROR(INDEX(#REF!,MATCH(TRUE,ISNUMBER(FIND(SUBSTITUTE(SUBSTITUTE(UPPER(#REF!)," ",""),":",": "),SUBSTITUTE(SUBSTITUTE(UPPER(S540)," ",""),":",": "))),0)),"Não encontrado")</f>
        <v>Não encontrado</v>
      </c>
      <c r="E540" s="42" t="str" cm="1">
        <f t="array" ref="E540">IFERROR(INDEX({"IMPEDITIVO"},MATCH(TRUE,ISNUMBER(FIND(SUBSTITUTE(SUBSTITUTE(UPPER({"IMPEDITIVO"})," ",""),":",": "),SUBSTITUTE(SUBSTITUTE(UPPER(S540)," ",""),":",": "))),0)),"-")</f>
        <v>-</v>
      </c>
      <c r="K540" s="49"/>
    </row>
    <row r="541" spans="1:11" x14ac:dyDescent="0.25">
      <c r="A541" s="46" t="str" cm="1">
        <f t="array" ref="A541">IFERROR(INDEX(#REF!,MATCH(TRUE,ISNUMBER(FIND(SUBSTITUTE(SUBSTITUTE(UPPER(#REF!)," ",""),":",": "),SUBSTITUTE(SUBSTITUTE(UPPER(S541)," ",""),":",": "))),0)),"Undefined")</f>
        <v>Undefined</v>
      </c>
      <c r="B541" s="42" t="str" cm="1">
        <f t="array" ref="B541">IFERROR(INDEX({"URGENTE"},MATCH(TRUE,ISNUMBER(FIND(SUBSTITUTE(SUBSTITUTE(UPPER({"URGENTE"})," ",""),":",": "),SUBSTITUTE(SUBSTITUTE(UPPER(S541)," ",""),":",": "))),0)),"-")</f>
        <v>-</v>
      </c>
      <c r="C541" s="46" t="str" cm="1">
        <f t="array" ref="C541">IFERROR(INDEX(#REF!,MATCH(TRUE,ISNUMBER(FIND(SUBSTITUTE(SUBSTITUTE(UPPER(#REF!)," ",""),":",": "),SUBSTITUTE(SUBSTITUTE(UPPER(S541)," ",""),":",": "))),0)),"Não encontrado")</f>
        <v>Não encontrado</v>
      </c>
      <c r="D541" s="46" t="str" cm="1">
        <f t="array" ref="D541">IFERROR(INDEX(#REF!,MATCH(TRUE,ISNUMBER(FIND(SUBSTITUTE(SUBSTITUTE(UPPER(#REF!)," ",""),":",": "),SUBSTITUTE(SUBSTITUTE(UPPER(S541)," ",""),":",": "))),0)),"Não encontrado")</f>
        <v>Não encontrado</v>
      </c>
      <c r="E541" s="42" t="str" cm="1">
        <f t="array" ref="E541">IFERROR(INDEX({"IMPEDITIVO"},MATCH(TRUE,ISNUMBER(FIND(SUBSTITUTE(SUBSTITUTE(UPPER({"IMPEDITIVO"})," ",""),":",": "),SUBSTITUTE(SUBSTITUTE(UPPER(S541)," ",""),":",": "))),0)),"-")</f>
        <v>-</v>
      </c>
      <c r="K541" s="49"/>
    </row>
    <row r="542" spans="1:11" x14ac:dyDescent="0.25">
      <c r="A542" s="46" t="str" cm="1">
        <f t="array" ref="A542">IFERROR(INDEX(#REF!,MATCH(TRUE,ISNUMBER(FIND(SUBSTITUTE(SUBSTITUTE(UPPER(#REF!)," ",""),":",": "),SUBSTITUTE(SUBSTITUTE(UPPER(S542)," ",""),":",": "))),0)),"Undefined")</f>
        <v>Undefined</v>
      </c>
      <c r="B542" s="42" t="str" cm="1">
        <f t="array" ref="B542">IFERROR(INDEX({"URGENTE"},MATCH(TRUE,ISNUMBER(FIND(SUBSTITUTE(SUBSTITUTE(UPPER({"URGENTE"})," ",""),":",": "),SUBSTITUTE(SUBSTITUTE(UPPER(S542)," ",""),":",": "))),0)),"-")</f>
        <v>-</v>
      </c>
      <c r="C542" s="46" t="str" cm="1">
        <f t="array" ref="C542">IFERROR(INDEX(#REF!,MATCH(TRUE,ISNUMBER(FIND(SUBSTITUTE(SUBSTITUTE(UPPER(#REF!)," ",""),":",": "),SUBSTITUTE(SUBSTITUTE(UPPER(S542)," ",""),":",": "))),0)),"Não encontrado")</f>
        <v>Não encontrado</v>
      </c>
      <c r="D542" s="46" t="str" cm="1">
        <f t="array" ref="D542">IFERROR(INDEX(#REF!,MATCH(TRUE,ISNUMBER(FIND(SUBSTITUTE(SUBSTITUTE(UPPER(#REF!)," ",""),":",": "),SUBSTITUTE(SUBSTITUTE(UPPER(S542)," ",""),":",": "))),0)),"Não encontrado")</f>
        <v>Não encontrado</v>
      </c>
      <c r="E542" s="42" t="str" cm="1">
        <f t="array" ref="E542">IFERROR(INDEX({"IMPEDITIVO"},MATCH(TRUE,ISNUMBER(FIND(SUBSTITUTE(SUBSTITUTE(UPPER({"IMPEDITIVO"})," ",""),":",": "),SUBSTITUTE(SUBSTITUTE(UPPER(S542)," ",""),":",": "))),0)),"-")</f>
        <v>-</v>
      </c>
      <c r="K542" s="49"/>
    </row>
    <row r="543" spans="1:11" x14ac:dyDescent="0.25">
      <c r="A543" s="46" t="str" cm="1">
        <f t="array" ref="A543">IFERROR(INDEX(#REF!,MATCH(TRUE,ISNUMBER(FIND(SUBSTITUTE(SUBSTITUTE(UPPER(#REF!)," ",""),":",": "),SUBSTITUTE(SUBSTITUTE(UPPER(S543)," ",""),":",": "))),0)),"Undefined")</f>
        <v>Undefined</v>
      </c>
      <c r="B543" s="42" t="str" cm="1">
        <f t="array" ref="B543">IFERROR(INDEX({"URGENTE"},MATCH(TRUE,ISNUMBER(FIND(SUBSTITUTE(SUBSTITUTE(UPPER({"URGENTE"})," ",""),":",": "),SUBSTITUTE(SUBSTITUTE(UPPER(S543)," ",""),":",": "))),0)),"-")</f>
        <v>-</v>
      </c>
      <c r="C543" s="46" t="str" cm="1">
        <f t="array" ref="C543">IFERROR(INDEX(#REF!,MATCH(TRUE,ISNUMBER(FIND(SUBSTITUTE(SUBSTITUTE(UPPER(#REF!)," ",""),":",": "),SUBSTITUTE(SUBSTITUTE(UPPER(S543)," ",""),":",": "))),0)),"Não encontrado")</f>
        <v>Não encontrado</v>
      </c>
      <c r="D543" s="46" t="str" cm="1">
        <f t="array" ref="D543">IFERROR(INDEX(#REF!,MATCH(TRUE,ISNUMBER(FIND(SUBSTITUTE(SUBSTITUTE(UPPER(#REF!)," ",""),":",": "),SUBSTITUTE(SUBSTITUTE(UPPER(S543)," ",""),":",": "))),0)),"Não encontrado")</f>
        <v>Não encontrado</v>
      </c>
      <c r="E543" s="42" t="str" cm="1">
        <f t="array" ref="E543">IFERROR(INDEX({"IMPEDITIVO"},MATCH(TRUE,ISNUMBER(FIND(SUBSTITUTE(SUBSTITUTE(UPPER({"IMPEDITIVO"})," ",""),":",": "),SUBSTITUTE(SUBSTITUTE(UPPER(S543)," ",""),":",": "))),0)),"-")</f>
        <v>-</v>
      </c>
      <c r="K543" s="49"/>
    </row>
    <row r="544" spans="1:11" x14ac:dyDescent="0.25">
      <c r="A544" s="46" t="str" cm="1">
        <f t="array" ref="A544">IFERROR(INDEX(#REF!,MATCH(TRUE,ISNUMBER(FIND(SUBSTITUTE(SUBSTITUTE(UPPER(#REF!)," ",""),":",": "),SUBSTITUTE(SUBSTITUTE(UPPER(S544)," ",""),":",": "))),0)),"Undefined")</f>
        <v>Undefined</v>
      </c>
      <c r="B544" s="42" t="str" cm="1">
        <f t="array" ref="B544">IFERROR(INDEX({"URGENTE"},MATCH(TRUE,ISNUMBER(FIND(SUBSTITUTE(SUBSTITUTE(UPPER({"URGENTE"})," ",""),":",": "),SUBSTITUTE(SUBSTITUTE(UPPER(S544)," ",""),":",": "))),0)),"-")</f>
        <v>-</v>
      </c>
      <c r="C544" s="46" t="str" cm="1">
        <f t="array" ref="C544">IFERROR(INDEX(#REF!,MATCH(TRUE,ISNUMBER(FIND(SUBSTITUTE(SUBSTITUTE(UPPER(#REF!)," ",""),":",": "),SUBSTITUTE(SUBSTITUTE(UPPER(S544)," ",""),":",": "))),0)),"Não encontrado")</f>
        <v>Não encontrado</v>
      </c>
      <c r="D544" s="46" t="str" cm="1">
        <f t="array" ref="D544">IFERROR(INDEX(#REF!,MATCH(TRUE,ISNUMBER(FIND(SUBSTITUTE(SUBSTITUTE(UPPER(#REF!)," ",""),":",": "),SUBSTITUTE(SUBSTITUTE(UPPER(S544)," ",""),":",": "))),0)),"Não encontrado")</f>
        <v>Não encontrado</v>
      </c>
      <c r="E544" s="42" t="str" cm="1">
        <f t="array" ref="E544">IFERROR(INDEX({"IMPEDITIVO"},MATCH(TRUE,ISNUMBER(FIND(SUBSTITUTE(SUBSTITUTE(UPPER({"IMPEDITIVO"})," ",""),":",": "),SUBSTITUTE(SUBSTITUTE(UPPER(S544)," ",""),":",": "))),0)),"-")</f>
        <v>-</v>
      </c>
      <c r="K544" s="49"/>
    </row>
    <row r="545" spans="1:11" x14ac:dyDescent="0.25">
      <c r="A545" s="46" t="str" cm="1">
        <f t="array" ref="A545">IFERROR(INDEX(#REF!,MATCH(TRUE,ISNUMBER(FIND(SUBSTITUTE(SUBSTITUTE(UPPER(#REF!)," ",""),":",": "),SUBSTITUTE(SUBSTITUTE(UPPER(S545)," ",""),":",": "))),0)),"Undefined")</f>
        <v>Undefined</v>
      </c>
      <c r="B545" s="42" t="str" cm="1">
        <f t="array" ref="B545">IFERROR(INDEX({"URGENTE"},MATCH(TRUE,ISNUMBER(FIND(SUBSTITUTE(SUBSTITUTE(UPPER({"URGENTE"})," ",""),":",": "),SUBSTITUTE(SUBSTITUTE(UPPER(S545)," ",""),":",": "))),0)),"-")</f>
        <v>-</v>
      </c>
      <c r="C545" s="46" t="str" cm="1">
        <f t="array" ref="C545">IFERROR(INDEX(#REF!,MATCH(TRUE,ISNUMBER(FIND(SUBSTITUTE(SUBSTITUTE(UPPER(#REF!)," ",""),":",": "),SUBSTITUTE(SUBSTITUTE(UPPER(S545)," ",""),":",": "))),0)),"Não encontrado")</f>
        <v>Não encontrado</v>
      </c>
      <c r="D545" s="46" t="str" cm="1">
        <f t="array" ref="D545">IFERROR(INDEX(#REF!,MATCH(TRUE,ISNUMBER(FIND(SUBSTITUTE(SUBSTITUTE(UPPER(#REF!)," ",""),":",": "),SUBSTITUTE(SUBSTITUTE(UPPER(S545)," ",""),":",": "))),0)),"Não encontrado")</f>
        <v>Não encontrado</v>
      </c>
      <c r="E545" s="42" t="str" cm="1">
        <f t="array" ref="E545">IFERROR(INDEX({"IMPEDITIVO"},MATCH(TRUE,ISNUMBER(FIND(SUBSTITUTE(SUBSTITUTE(UPPER({"IMPEDITIVO"})," ",""),":",": "),SUBSTITUTE(SUBSTITUTE(UPPER(S545)," ",""),":",": "))),0)),"-")</f>
        <v>-</v>
      </c>
      <c r="K545" s="49"/>
    </row>
    <row r="546" spans="1:11" x14ac:dyDescent="0.25">
      <c r="A546" s="46" t="str" cm="1">
        <f t="array" ref="A546">IFERROR(INDEX(#REF!,MATCH(TRUE,ISNUMBER(FIND(SUBSTITUTE(SUBSTITUTE(UPPER(#REF!)," ",""),":",": "),SUBSTITUTE(SUBSTITUTE(UPPER(S546)," ",""),":",": "))),0)),"Undefined")</f>
        <v>Undefined</v>
      </c>
      <c r="B546" s="42" t="str" cm="1">
        <f t="array" ref="B546">IFERROR(INDEX({"URGENTE"},MATCH(TRUE,ISNUMBER(FIND(SUBSTITUTE(SUBSTITUTE(UPPER({"URGENTE"})," ",""),":",": "),SUBSTITUTE(SUBSTITUTE(UPPER(S546)," ",""),":",": "))),0)),"-")</f>
        <v>-</v>
      </c>
      <c r="C546" s="46" t="str" cm="1">
        <f t="array" ref="C546">IFERROR(INDEX(#REF!,MATCH(TRUE,ISNUMBER(FIND(SUBSTITUTE(SUBSTITUTE(UPPER(#REF!)," ",""),":",": "),SUBSTITUTE(SUBSTITUTE(UPPER(S546)," ",""),":",": "))),0)),"Não encontrado")</f>
        <v>Não encontrado</v>
      </c>
      <c r="D546" s="46" t="str" cm="1">
        <f t="array" ref="D546">IFERROR(INDEX(#REF!,MATCH(TRUE,ISNUMBER(FIND(SUBSTITUTE(SUBSTITUTE(UPPER(#REF!)," ",""),":",": "),SUBSTITUTE(SUBSTITUTE(UPPER(S546)," ",""),":",": "))),0)),"Não encontrado")</f>
        <v>Não encontrado</v>
      </c>
      <c r="E546" s="42" t="str" cm="1">
        <f t="array" ref="E546">IFERROR(INDEX({"IMPEDITIVO"},MATCH(TRUE,ISNUMBER(FIND(SUBSTITUTE(SUBSTITUTE(UPPER({"IMPEDITIVO"})," ",""),":",": "),SUBSTITUTE(SUBSTITUTE(UPPER(S546)," ",""),":",": "))),0)),"-")</f>
        <v>-</v>
      </c>
      <c r="K546" s="49"/>
    </row>
    <row r="547" spans="1:11" x14ac:dyDescent="0.25">
      <c r="A547" s="46" t="str" cm="1">
        <f t="array" ref="A547">IFERROR(INDEX(#REF!,MATCH(TRUE,ISNUMBER(FIND(SUBSTITUTE(SUBSTITUTE(UPPER(#REF!)," ",""),":",": "),SUBSTITUTE(SUBSTITUTE(UPPER(S547)," ",""),":",": "))),0)),"Undefined")</f>
        <v>Undefined</v>
      </c>
      <c r="B547" s="42" t="str" cm="1">
        <f t="array" ref="B547">IFERROR(INDEX({"URGENTE"},MATCH(TRUE,ISNUMBER(FIND(SUBSTITUTE(SUBSTITUTE(UPPER({"URGENTE"})," ",""),":",": "),SUBSTITUTE(SUBSTITUTE(UPPER(S547)," ",""),":",": "))),0)),"-")</f>
        <v>-</v>
      </c>
      <c r="C547" s="46" t="str" cm="1">
        <f t="array" ref="C547">IFERROR(INDEX(#REF!,MATCH(TRUE,ISNUMBER(FIND(SUBSTITUTE(SUBSTITUTE(UPPER(#REF!)," ",""),":",": "),SUBSTITUTE(SUBSTITUTE(UPPER(S547)," ",""),":",": "))),0)),"Não encontrado")</f>
        <v>Não encontrado</v>
      </c>
      <c r="D547" s="46" t="str" cm="1">
        <f t="array" ref="D547">IFERROR(INDEX(#REF!,MATCH(TRUE,ISNUMBER(FIND(SUBSTITUTE(SUBSTITUTE(UPPER(#REF!)," ",""),":",": "),SUBSTITUTE(SUBSTITUTE(UPPER(S547)," ",""),":",": "))),0)),"Não encontrado")</f>
        <v>Não encontrado</v>
      </c>
      <c r="E547" s="42" t="str" cm="1">
        <f t="array" ref="E547">IFERROR(INDEX({"IMPEDITIVO"},MATCH(TRUE,ISNUMBER(FIND(SUBSTITUTE(SUBSTITUTE(UPPER({"IMPEDITIVO"})," ",""),":",": "),SUBSTITUTE(SUBSTITUTE(UPPER(S547)," ",""),":",": "))),0)),"-")</f>
        <v>-</v>
      </c>
      <c r="K547" s="49"/>
    </row>
    <row r="548" spans="1:11" x14ac:dyDescent="0.25">
      <c r="A548" s="46" t="str" cm="1">
        <f t="array" ref="A548">IFERROR(INDEX(#REF!,MATCH(TRUE,ISNUMBER(FIND(SUBSTITUTE(SUBSTITUTE(UPPER(#REF!)," ",""),":",": "),SUBSTITUTE(SUBSTITUTE(UPPER(S548)," ",""),":",": "))),0)),"Undefined")</f>
        <v>Undefined</v>
      </c>
      <c r="B548" s="42" t="str" cm="1">
        <f t="array" ref="B548">IFERROR(INDEX({"URGENTE"},MATCH(TRUE,ISNUMBER(FIND(SUBSTITUTE(SUBSTITUTE(UPPER({"URGENTE"})," ",""),":",": "),SUBSTITUTE(SUBSTITUTE(UPPER(S548)," ",""),":",": "))),0)),"-")</f>
        <v>-</v>
      </c>
      <c r="C548" s="46" t="str" cm="1">
        <f t="array" ref="C548">IFERROR(INDEX(#REF!,MATCH(TRUE,ISNUMBER(FIND(SUBSTITUTE(SUBSTITUTE(UPPER(#REF!)," ",""),":",": "),SUBSTITUTE(SUBSTITUTE(UPPER(S548)," ",""),":",": "))),0)),"Não encontrado")</f>
        <v>Não encontrado</v>
      </c>
      <c r="D548" s="46" t="str" cm="1">
        <f t="array" ref="D548">IFERROR(INDEX(#REF!,MATCH(TRUE,ISNUMBER(FIND(SUBSTITUTE(SUBSTITUTE(UPPER(#REF!)," ",""),":",": "),SUBSTITUTE(SUBSTITUTE(UPPER(S548)," ",""),":",": "))),0)),"Não encontrado")</f>
        <v>Não encontrado</v>
      </c>
      <c r="E548" s="42" t="str" cm="1">
        <f t="array" ref="E548">IFERROR(INDEX({"IMPEDITIVO"},MATCH(TRUE,ISNUMBER(FIND(SUBSTITUTE(SUBSTITUTE(UPPER({"IMPEDITIVO"})," ",""),":",": "),SUBSTITUTE(SUBSTITUTE(UPPER(S548)," ",""),":",": "))),0)),"-")</f>
        <v>-</v>
      </c>
      <c r="K548" s="49"/>
    </row>
    <row r="549" spans="1:11" x14ac:dyDescent="0.25">
      <c r="A549" s="46" t="str" cm="1">
        <f t="array" ref="A549">IFERROR(INDEX(#REF!,MATCH(TRUE,ISNUMBER(FIND(SUBSTITUTE(SUBSTITUTE(UPPER(#REF!)," ",""),":",": "),SUBSTITUTE(SUBSTITUTE(UPPER(S549)," ",""),":",": "))),0)),"Undefined")</f>
        <v>Undefined</v>
      </c>
      <c r="B549" s="42" t="str" cm="1">
        <f t="array" ref="B549">IFERROR(INDEX({"URGENTE"},MATCH(TRUE,ISNUMBER(FIND(SUBSTITUTE(SUBSTITUTE(UPPER({"URGENTE"})," ",""),":",": "),SUBSTITUTE(SUBSTITUTE(UPPER(S549)," ",""),":",": "))),0)),"-")</f>
        <v>-</v>
      </c>
      <c r="C549" s="46" t="str" cm="1">
        <f t="array" ref="C549">IFERROR(INDEX(#REF!,MATCH(TRUE,ISNUMBER(FIND(SUBSTITUTE(SUBSTITUTE(UPPER(#REF!)," ",""),":",": "),SUBSTITUTE(SUBSTITUTE(UPPER(S549)," ",""),":",": "))),0)),"Não encontrado")</f>
        <v>Não encontrado</v>
      </c>
      <c r="D549" s="46" t="str" cm="1">
        <f t="array" ref="D549">IFERROR(INDEX(#REF!,MATCH(TRUE,ISNUMBER(FIND(SUBSTITUTE(SUBSTITUTE(UPPER(#REF!)," ",""),":",": "),SUBSTITUTE(SUBSTITUTE(UPPER(S549)," ",""),":",": "))),0)),"Não encontrado")</f>
        <v>Não encontrado</v>
      </c>
      <c r="E549" s="42" t="str" cm="1">
        <f t="array" ref="E549">IFERROR(INDEX({"IMPEDITIVO"},MATCH(TRUE,ISNUMBER(FIND(SUBSTITUTE(SUBSTITUTE(UPPER({"IMPEDITIVO"})," ",""),":",": "),SUBSTITUTE(SUBSTITUTE(UPPER(S549)," ",""),":",": "))),0)),"-")</f>
        <v>-</v>
      </c>
      <c r="K549" s="49"/>
    </row>
    <row r="550" spans="1:11" x14ac:dyDescent="0.25">
      <c r="A550" s="46" t="str" cm="1">
        <f t="array" ref="A550">IFERROR(INDEX(#REF!,MATCH(TRUE,ISNUMBER(FIND(SUBSTITUTE(SUBSTITUTE(UPPER(#REF!)," ",""),":",": "),SUBSTITUTE(SUBSTITUTE(UPPER(S550)," ",""),":",": "))),0)),"Undefined")</f>
        <v>Undefined</v>
      </c>
      <c r="B550" s="42" t="str" cm="1">
        <f t="array" ref="B550">IFERROR(INDEX({"URGENTE"},MATCH(TRUE,ISNUMBER(FIND(SUBSTITUTE(SUBSTITUTE(UPPER({"URGENTE"})," ",""),":",": "),SUBSTITUTE(SUBSTITUTE(UPPER(S550)," ",""),":",": "))),0)),"-")</f>
        <v>-</v>
      </c>
      <c r="C550" s="46" t="str" cm="1">
        <f t="array" ref="C550">IFERROR(INDEX(#REF!,MATCH(TRUE,ISNUMBER(FIND(SUBSTITUTE(SUBSTITUTE(UPPER(#REF!)," ",""),":",": "),SUBSTITUTE(SUBSTITUTE(UPPER(S550)," ",""),":",": "))),0)),"Não encontrado")</f>
        <v>Não encontrado</v>
      </c>
      <c r="D550" s="46" t="str" cm="1">
        <f t="array" ref="D550">IFERROR(INDEX(#REF!,MATCH(TRUE,ISNUMBER(FIND(SUBSTITUTE(SUBSTITUTE(UPPER(#REF!)," ",""),":",": "),SUBSTITUTE(SUBSTITUTE(UPPER(S550)," ",""),":",": "))),0)),"Não encontrado")</f>
        <v>Não encontrado</v>
      </c>
      <c r="E550" s="42" t="str" cm="1">
        <f t="array" ref="E550">IFERROR(INDEX({"IMPEDITIVO"},MATCH(TRUE,ISNUMBER(FIND(SUBSTITUTE(SUBSTITUTE(UPPER({"IMPEDITIVO"})," ",""),":",": "),SUBSTITUTE(SUBSTITUTE(UPPER(S550)," ",""),":",": "))),0)),"-")</f>
        <v>-</v>
      </c>
      <c r="K550" s="49"/>
    </row>
    <row r="551" spans="1:11" x14ac:dyDescent="0.25">
      <c r="A551" s="46" t="str" cm="1">
        <f t="array" ref="A551">IFERROR(INDEX(#REF!,MATCH(TRUE,ISNUMBER(FIND(SUBSTITUTE(SUBSTITUTE(UPPER(#REF!)," ",""),":",": "),SUBSTITUTE(SUBSTITUTE(UPPER(S551)," ",""),":",": "))),0)),"Undefined")</f>
        <v>Undefined</v>
      </c>
      <c r="B551" s="42" t="str" cm="1">
        <f t="array" ref="B551">IFERROR(INDEX({"URGENTE"},MATCH(TRUE,ISNUMBER(FIND(SUBSTITUTE(SUBSTITUTE(UPPER({"URGENTE"})," ",""),":",": "),SUBSTITUTE(SUBSTITUTE(UPPER(S551)," ",""),":",": "))),0)),"-")</f>
        <v>-</v>
      </c>
      <c r="C551" s="46" t="str" cm="1">
        <f t="array" ref="C551">IFERROR(INDEX(#REF!,MATCH(TRUE,ISNUMBER(FIND(SUBSTITUTE(SUBSTITUTE(UPPER(#REF!)," ",""),":",": "),SUBSTITUTE(SUBSTITUTE(UPPER(S551)," ",""),":",": "))),0)),"Não encontrado")</f>
        <v>Não encontrado</v>
      </c>
      <c r="D551" s="46" t="str" cm="1">
        <f t="array" ref="D551">IFERROR(INDEX(#REF!,MATCH(TRUE,ISNUMBER(FIND(SUBSTITUTE(SUBSTITUTE(UPPER(#REF!)," ",""),":",": "),SUBSTITUTE(SUBSTITUTE(UPPER(S551)," ",""),":",": "))),0)),"Não encontrado")</f>
        <v>Não encontrado</v>
      </c>
      <c r="E551" s="42" t="str" cm="1">
        <f t="array" ref="E551">IFERROR(INDEX({"IMPEDITIVO"},MATCH(TRUE,ISNUMBER(FIND(SUBSTITUTE(SUBSTITUTE(UPPER({"IMPEDITIVO"})," ",""),":",": "),SUBSTITUTE(SUBSTITUTE(UPPER(S551)," ",""),":",": "))),0)),"-")</f>
        <v>-</v>
      </c>
      <c r="K551" s="49"/>
    </row>
    <row r="552" spans="1:11" x14ac:dyDescent="0.25">
      <c r="A552" s="46" t="str" cm="1">
        <f t="array" ref="A552">IFERROR(INDEX(#REF!,MATCH(TRUE,ISNUMBER(FIND(SUBSTITUTE(SUBSTITUTE(UPPER(#REF!)," ",""),":",": "),SUBSTITUTE(SUBSTITUTE(UPPER(S552)," ",""),":",": "))),0)),"Undefined")</f>
        <v>Undefined</v>
      </c>
      <c r="B552" s="42" t="str" cm="1">
        <f t="array" ref="B552">IFERROR(INDEX({"URGENTE"},MATCH(TRUE,ISNUMBER(FIND(SUBSTITUTE(SUBSTITUTE(UPPER({"URGENTE"})," ",""),":",": "),SUBSTITUTE(SUBSTITUTE(UPPER(S552)," ",""),":",": "))),0)),"-")</f>
        <v>-</v>
      </c>
      <c r="C552" s="46" t="str" cm="1">
        <f t="array" ref="C552">IFERROR(INDEX(#REF!,MATCH(TRUE,ISNUMBER(FIND(SUBSTITUTE(SUBSTITUTE(UPPER(#REF!)," ",""),":",": "),SUBSTITUTE(SUBSTITUTE(UPPER(S552)," ",""),":",": "))),0)),"Não encontrado")</f>
        <v>Não encontrado</v>
      </c>
      <c r="D552" s="46" t="str" cm="1">
        <f t="array" ref="D552">IFERROR(INDEX(#REF!,MATCH(TRUE,ISNUMBER(FIND(SUBSTITUTE(SUBSTITUTE(UPPER(#REF!)," ",""),":",": "),SUBSTITUTE(SUBSTITUTE(UPPER(S552)," ",""),":",": "))),0)),"Não encontrado")</f>
        <v>Não encontrado</v>
      </c>
      <c r="E552" s="42" t="str" cm="1">
        <f t="array" ref="E552">IFERROR(INDEX({"IMPEDITIVO"},MATCH(TRUE,ISNUMBER(FIND(SUBSTITUTE(SUBSTITUTE(UPPER({"IMPEDITIVO"})," ",""),":",": "),SUBSTITUTE(SUBSTITUTE(UPPER(S552)," ",""),":",": "))),0)),"-")</f>
        <v>-</v>
      </c>
      <c r="K552" s="49"/>
    </row>
    <row r="553" spans="1:11" x14ac:dyDescent="0.25">
      <c r="A553" s="46" t="str" cm="1">
        <f t="array" ref="A553">IFERROR(INDEX(#REF!,MATCH(TRUE,ISNUMBER(FIND(SUBSTITUTE(SUBSTITUTE(UPPER(#REF!)," ",""),":",": "),SUBSTITUTE(SUBSTITUTE(UPPER(S553)," ",""),":",": "))),0)),"Undefined")</f>
        <v>Undefined</v>
      </c>
      <c r="B553" s="42" t="str" cm="1">
        <f t="array" ref="B553">IFERROR(INDEX({"URGENTE"},MATCH(TRUE,ISNUMBER(FIND(SUBSTITUTE(SUBSTITUTE(UPPER({"URGENTE"})," ",""),":",": "),SUBSTITUTE(SUBSTITUTE(UPPER(S553)," ",""),":",": "))),0)),"-")</f>
        <v>-</v>
      </c>
      <c r="C553" s="46" t="str" cm="1">
        <f t="array" ref="C553">IFERROR(INDEX(#REF!,MATCH(TRUE,ISNUMBER(FIND(SUBSTITUTE(SUBSTITUTE(UPPER(#REF!)," ",""),":",": "),SUBSTITUTE(SUBSTITUTE(UPPER(S553)," ",""),":",": "))),0)),"Não encontrado")</f>
        <v>Não encontrado</v>
      </c>
      <c r="D553" s="46" t="str" cm="1">
        <f t="array" ref="D553">IFERROR(INDEX(#REF!,MATCH(TRUE,ISNUMBER(FIND(SUBSTITUTE(SUBSTITUTE(UPPER(#REF!)," ",""),":",": "),SUBSTITUTE(SUBSTITUTE(UPPER(S553)," ",""),":",": "))),0)),"Não encontrado")</f>
        <v>Não encontrado</v>
      </c>
      <c r="E553" s="42" t="str" cm="1">
        <f t="array" ref="E553">IFERROR(INDEX({"IMPEDITIVO"},MATCH(TRUE,ISNUMBER(FIND(SUBSTITUTE(SUBSTITUTE(UPPER({"IMPEDITIVO"})," ",""),":",": "),SUBSTITUTE(SUBSTITUTE(UPPER(S553)," ",""),":",": "))),0)),"-")</f>
        <v>-</v>
      </c>
      <c r="K553" s="49"/>
    </row>
    <row r="554" spans="1:11" x14ac:dyDescent="0.25">
      <c r="A554" s="46" t="str" cm="1">
        <f t="array" ref="A554">IFERROR(INDEX(#REF!,MATCH(TRUE,ISNUMBER(FIND(SUBSTITUTE(SUBSTITUTE(UPPER(#REF!)," ",""),":",": "),SUBSTITUTE(SUBSTITUTE(UPPER(S554)," ",""),":",": "))),0)),"Undefined")</f>
        <v>Undefined</v>
      </c>
      <c r="B554" s="42" t="str" cm="1">
        <f t="array" ref="B554">IFERROR(INDEX({"URGENTE"},MATCH(TRUE,ISNUMBER(FIND(SUBSTITUTE(SUBSTITUTE(UPPER({"URGENTE"})," ",""),":",": "),SUBSTITUTE(SUBSTITUTE(UPPER(S554)," ",""),":",": "))),0)),"-")</f>
        <v>-</v>
      </c>
      <c r="C554" s="46" t="str" cm="1">
        <f t="array" ref="C554">IFERROR(INDEX(#REF!,MATCH(TRUE,ISNUMBER(FIND(SUBSTITUTE(SUBSTITUTE(UPPER(#REF!)," ",""),":",": "),SUBSTITUTE(SUBSTITUTE(UPPER(S554)," ",""),":",": "))),0)),"Não encontrado")</f>
        <v>Não encontrado</v>
      </c>
      <c r="D554" s="46" t="str" cm="1">
        <f t="array" ref="D554">IFERROR(INDEX(#REF!,MATCH(TRUE,ISNUMBER(FIND(SUBSTITUTE(SUBSTITUTE(UPPER(#REF!)," ",""),":",": "),SUBSTITUTE(SUBSTITUTE(UPPER(S554)," ",""),":",": "))),0)),"Não encontrado")</f>
        <v>Não encontrado</v>
      </c>
      <c r="E554" s="42" t="str" cm="1">
        <f t="array" ref="E554">IFERROR(INDEX({"IMPEDITIVO"},MATCH(TRUE,ISNUMBER(FIND(SUBSTITUTE(SUBSTITUTE(UPPER({"IMPEDITIVO"})," ",""),":",": "),SUBSTITUTE(SUBSTITUTE(UPPER(S554)," ",""),":",": "))),0)),"-")</f>
        <v>-</v>
      </c>
      <c r="K554" s="49"/>
    </row>
    <row r="555" spans="1:11" x14ac:dyDescent="0.25">
      <c r="A555" s="46" t="str" cm="1">
        <f t="array" ref="A555">IFERROR(INDEX(#REF!,MATCH(TRUE,ISNUMBER(FIND(SUBSTITUTE(SUBSTITUTE(UPPER(#REF!)," ",""),":",": "),SUBSTITUTE(SUBSTITUTE(UPPER(S555)," ",""),":",": "))),0)),"Undefined")</f>
        <v>Undefined</v>
      </c>
      <c r="B555" s="42" t="str" cm="1">
        <f t="array" ref="B555">IFERROR(INDEX({"URGENTE"},MATCH(TRUE,ISNUMBER(FIND(SUBSTITUTE(SUBSTITUTE(UPPER({"URGENTE"})," ",""),":",": "),SUBSTITUTE(SUBSTITUTE(UPPER(S555)," ",""),":",": "))),0)),"-")</f>
        <v>-</v>
      </c>
      <c r="C555" s="46" t="str" cm="1">
        <f t="array" ref="C555">IFERROR(INDEX(#REF!,MATCH(TRUE,ISNUMBER(FIND(SUBSTITUTE(SUBSTITUTE(UPPER(#REF!)," ",""),":",": "),SUBSTITUTE(SUBSTITUTE(UPPER(S555)," ",""),":",": "))),0)),"Não encontrado")</f>
        <v>Não encontrado</v>
      </c>
      <c r="D555" s="46" t="str" cm="1">
        <f t="array" ref="D555">IFERROR(INDEX(#REF!,MATCH(TRUE,ISNUMBER(FIND(SUBSTITUTE(SUBSTITUTE(UPPER(#REF!)," ",""),":",": "),SUBSTITUTE(SUBSTITUTE(UPPER(S555)," ",""),":",": "))),0)),"Não encontrado")</f>
        <v>Não encontrado</v>
      </c>
      <c r="E555" s="42" t="str" cm="1">
        <f t="array" ref="E555">IFERROR(INDEX({"IMPEDITIVO"},MATCH(TRUE,ISNUMBER(FIND(SUBSTITUTE(SUBSTITUTE(UPPER({"IMPEDITIVO"})," ",""),":",": "),SUBSTITUTE(SUBSTITUTE(UPPER(S555)," ",""),":",": "))),0)),"-")</f>
        <v>-</v>
      </c>
      <c r="K555" s="49"/>
    </row>
    <row r="556" spans="1:11" x14ac:dyDescent="0.25">
      <c r="A556" s="46" t="str" cm="1">
        <f t="array" ref="A556">IFERROR(INDEX(#REF!,MATCH(TRUE,ISNUMBER(FIND(SUBSTITUTE(SUBSTITUTE(UPPER(#REF!)," ",""),":",": "),SUBSTITUTE(SUBSTITUTE(UPPER(S556)," ",""),":",": "))),0)),"Undefined")</f>
        <v>Undefined</v>
      </c>
      <c r="B556" s="42" t="str" cm="1">
        <f t="array" ref="B556">IFERROR(INDEX({"URGENTE"},MATCH(TRUE,ISNUMBER(FIND(SUBSTITUTE(SUBSTITUTE(UPPER({"URGENTE"})," ",""),":",": "),SUBSTITUTE(SUBSTITUTE(UPPER(S556)," ",""),":",": "))),0)),"-")</f>
        <v>-</v>
      </c>
      <c r="C556" s="46" t="str" cm="1">
        <f t="array" ref="C556">IFERROR(INDEX(#REF!,MATCH(TRUE,ISNUMBER(FIND(SUBSTITUTE(SUBSTITUTE(UPPER(#REF!)," ",""),":",": "),SUBSTITUTE(SUBSTITUTE(UPPER(S556)," ",""),":",": "))),0)),"Não encontrado")</f>
        <v>Não encontrado</v>
      </c>
      <c r="D556" s="46" t="str" cm="1">
        <f t="array" ref="D556">IFERROR(INDEX(#REF!,MATCH(TRUE,ISNUMBER(FIND(SUBSTITUTE(SUBSTITUTE(UPPER(#REF!)," ",""),":",": "),SUBSTITUTE(SUBSTITUTE(UPPER(S556)," ",""),":",": "))),0)),"Não encontrado")</f>
        <v>Não encontrado</v>
      </c>
      <c r="E556" s="42" t="str" cm="1">
        <f t="array" ref="E556">IFERROR(INDEX({"IMPEDITIVO"},MATCH(TRUE,ISNUMBER(FIND(SUBSTITUTE(SUBSTITUTE(UPPER({"IMPEDITIVO"})," ",""),":",": "),SUBSTITUTE(SUBSTITUTE(UPPER(S556)," ",""),":",": "))),0)),"-")</f>
        <v>-</v>
      </c>
      <c r="K556" s="49"/>
    </row>
    <row r="557" spans="1:11" x14ac:dyDescent="0.25">
      <c r="A557" s="46" t="str" cm="1">
        <f t="array" ref="A557">IFERROR(INDEX(#REF!,MATCH(TRUE,ISNUMBER(FIND(SUBSTITUTE(SUBSTITUTE(UPPER(#REF!)," ",""),":",": "),SUBSTITUTE(SUBSTITUTE(UPPER(S557)," ",""),":",": "))),0)),"Undefined")</f>
        <v>Undefined</v>
      </c>
      <c r="B557" s="42" t="str" cm="1">
        <f t="array" ref="B557">IFERROR(INDEX({"URGENTE"},MATCH(TRUE,ISNUMBER(FIND(SUBSTITUTE(SUBSTITUTE(UPPER({"URGENTE"})," ",""),":",": "),SUBSTITUTE(SUBSTITUTE(UPPER(S557)," ",""),":",": "))),0)),"-")</f>
        <v>-</v>
      </c>
      <c r="C557" s="46" t="str" cm="1">
        <f t="array" ref="C557">IFERROR(INDEX(#REF!,MATCH(TRUE,ISNUMBER(FIND(SUBSTITUTE(SUBSTITUTE(UPPER(#REF!)," ",""),":",": "),SUBSTITUTE(SUBSTITUTE(UPPER(S557)," ",""),":",": "))),0)),"Não encontrado")</f>
        <v>Não encontrado</v>
      </c>
      <c r="D557" s="46" t="str" cm="1">
        <f t="array" ref="D557">IFERROR(INDEX(#REF!,MATCH(TRUE,ISNUMBER(FIND(SUBSTITUTE(SUBSTITUTE(UPPER(#REF!)," ",""),":",": "),SUBSTITUTE(SUBSTITUTE(UPPER(S557)," ",""),":",": "))),0)),"Não encontrado")</f>
        <v>Não encontrado</v>
      </c>
      <c r="E557" s="42" t="str" cm="1">
        <f t="array" ref="E557">IFERROR(INDEX({"IMPEDITIVO"},MATCH(TRUE,ISNUMBER(FIND(SUBSTITUTE(SUBSTITUTE(UPPER({"IMPEDITIVO"})," ",""),":",": "),SUBSTITUTE(SUBSTITUTE(UPPER(S557)," ",""),":",": "))),0)),"-")</f>
        <v>-</v>
      </c>
      <c r="K557" s="49"/>
    </row>
    <row r="558" spans="1:11" x14ac:dyDescent="0.25">
      <c r="A558" s="46" t="str" cm="1">
        <f t="array" ref="A558">IFERROR(INDEX(#REF!,MATCH(TRUE,ISNUMBER(FIND(SUBSTITUTE(SUBSTITUTE(UPPER(#REF!)," ",""),":",": "),SUBSTITUTE(SUBSTITUTE(UPPER(S558)," ",""),":",": "))),0)),"Undefined")</f>
        <v>Undefined</v>
      </c>
      <c r="B558" s="42" t="str" cm="1">
        <f t="array" ref="B558">IFERROR(INDEX({"URGENTE"},MATCH(TRUE,ISNUMBER(FIND(SUBSTITUTE(SUBSTITUTE(UPPER({"URGENTE"})," ",""),":",": "),SUBSTITUTE(SUBSTITUTE(UPPER(S558)," ",""),":",": "))),0)),"-")</f>
        <v>-</v>
      </c>
      <c r="C558" s="46" t="str" cm="1">
        <f t="array" ref="C558">IFERROR(INDEX(#REF!,MATCH(TRUE,ISNUMBER(FIND(SUBSTITUTE(SUBSTITUTE(UPPER(#REF!)," ",""),":",": "),SUBSTITUTE(SUBSTITUTE(UPPER(S558)," ",""),":",": "))),0)),"Não encontrado")</f>
        <v>Não encontrado</v>
      </c>
      <c r="D558" s="46" t="str" cm="1">
        <f t="array" ref="D558">IFERROR(INDEX(#REF!,MATCH(TRUE,ISNUMBER(FIND(SUBSTITUTE(SUBSTITUTE(UPPER(#REF!)," ",""),":",": "),SUBSTITUTE(SUBSTITUTE(UPPER(S558)," ",""),":",": "))),0)),"Não encontrado")</f>
        <v>Não encontrado</v>
      </c>
      <c r="E558" s="42" t="str" cm="1">
        <f t="array" ref="E558">IFERROR(INDEX({"IMPEDITIVO"},MATCH(TRUE,ISNUMBER(FIND(SUBSTITUTE(SUBSTITUTE(UPPER({"IMPEDITIVO"})," ",""),":",": "),SUBSTITUTE(SUBSTITUTE(UPPER(S558)," ",""),":",": "))),0)),"-")</f>
        <v>-</v>
      </c>
      <c r="K558" s="49"/>
    </row>
    <row r="559" spans="1:11" x14ac:dyDescent="0.25">
      <c r="A559" s="46" t="str" cm="1">
        <f t="array" ref="A559">IFERROR(INDEX(#REF!,MATCH(TRUE,ISNUMBER(FIND(SUBSTITUTE(SUBSTITUTE(UPPER(#REF!)," ",""),":",": "),SUBSTITUTE(SUBSTITUTE(UPPER(S559)," ",""),":",": "))),0)),"Undefined")</f>
        <v>Undefined</v>
      </c>
      <c r="B559" s="42" t="str" cm="1">
        <f t="array" ref="B559">IFERROR(INDEX({"URGENTE"},MATCH(TRUE,ISNUMBER(FIND(SUBSTITUTE(SUBSTITUTE(UPPER({"URGENTE"})," ",""),":",": "),SUBSTITUTE(SUBSTITUTE(UPPER(S559)," ",""),":",": "))),0)),"-")</f>
        <v>-</v>
      </c>
      <c r="C559" s="46" t="str" cm="1">
        <f t="array" ref="C559">IFERROR(INDEX(#REF!,MATCH(TRUE,ISNUMBER(FIND(SUBSTITUTE(SUBSTITUTE(UPPER(#REF!)," ",""),":",": "),SUBSTITUTE(SUBSTITUTE(UPPER(S559)," ",""),":",": "))),0)),"Não encontrado")</f>
        <v>Não encontrado</v>
      </c>
      <c r="D559" s="46" t="str" cm="1">
        <f t="array" ref="D559">IFERROR(INDEX(#REF!,MATCH(TRUE,ISNUMBER(FIND(SUBSTITUTE(SUBSTITUTE(UPPER(#REF!)," ",""),":",": "),SUBSTITUTE(SUBSTITUTE(UPPER(S559)," ",""),":",": "))),0)),"Não encontrado")</f>
        <v>Não encontrado</v>
      </c>
      <c r="E559" s="42" t="str" cm="1">
        <f t="array" ref="E559">IFERROR(INDEX({"IMPEDITIVO"},MATCH(TRUE,ISNUMBER(FIND(SUBSTITUTE(SUBSTITUTE(UPPER({"IMPEDITIVO"})," ",""),":",": "),SUBSTITUTE(SUBSTITUTE(UPPER(S559)," ",""),":",": "))),0)),"-")</f>
        <v>-</v>
      </c>
      <c r="K559" s="49"/>
    </row>
    <row r="560" spans="1:11" x14ac:dyDescent="0.25">
      <c r="A560" s="46" t="str" cm="1">
        <f t="array" ref="A560">IFERROR(INDEX(#REF!,MATCH(TRUE,ISNUMBER(FIND(SUBSTITUTE(SUBSTITUTE(UPPER(#REF!)," ",""),":",": "),SUBSTITUTE(SUBSTITUTE(UPPER(S560)," ",""),":",": "))),0)),"Undefined")</f>
        <v>Undefined</v>
      </c>
      <c r="B560" s="42" t="str" cm="1">
        <f t="array" ref="B560">IFERROR(INDEX({"URGENTE"},MATCH(TRUE,ISNUMBER(FIND(SUBSTITUTE(SUBSTITUTE(UPPER({"URGENTE"})," ",""),":",": "),SUBSTITUTE(SUBSTITUTE(UPPER(S560)," ",""),":",": "))),0)),"-")</f>
        <v>-</v>
      </c>
      <c r="C560" s="46" t="str" cm="1">
        <f t="array" ref="C560">IFERROR(INDEX(#REF!,MATCH(TRUE,ISNUMBER(FIND(SUBSTITUTE(SUBSTITUTE(UPPER(#REF!)," ",""),":",": "),SUBSTITUTE(SUBSTITUTE(UPPER(S560)," ",""),":",": "))),0)),"Não encontrado")</f>
        <v>Não encontrado</v>
      </c>
      <c r="D560" s="46" t="str" cm="1">
        <f t="array" ref="D560">IFERROR(INDEX(#REF!,MATCH(TRUE,ISNUMBER(FIND(SUBSTITUTE(SUBSTITUTE(UPPER(#REF!)," ",""),":",": "),SUBSTITUTE(SUBSTITUTE(UPPER(S560)," ",""),":",": "))),0)),"Não encontrado")</f>
        <v>Não encontrado</v>
      </c>
      <c r="E560" s="42" t="str" cm="1">
        <f t="array" ref="E560">IFERROR(INDEX({"IMPEDITIVO"},MATCH(TRUE,ISNUMBER(FIND(SUBSTITUTE(SUBSTITUTE(UPPER({"IMPEDITIVO"})," ",""),":",": "),SUBSTITUTE(SUBSTITUTE(UPPER(S560)," ",""),":",": "))),0)),"-")</f>
        <v>-</v>
      </c>
      <c r="K560" s="49"/>
    </row>
    <row r="561" spans="1:11" x14ac:dyDescent="0.25">
      <c r="A561" s="46" t="str" cm="1">
        <f t="array" ref="A561">IFERROR(INDEX(#REF!,MATCH(TRUE,ISNUMBER(FIND(SUBSTITUTE(SUBSTITUTE(UPPER(#REF!)," ",""),":",": "),SUBSTITUTE(SUBSTITUTE(UPPER(S561)," ",""),":",": "))),0)),"Undefined")</f>
        <v>Undefined</v>
      </c>
      <c r="B561" s="42" t="str" cm="1">
        <f t="array" ref="B561">IFERROR(INDEX({"URGENTE"},MATCH(TRUE,ISNUMBER(FIND(SUBSTITUTE(SUBSTITUTE(UPPER({"URGENTE"})," ",""),":",": "),SUBSTITUTE(SUBSTITUTE(UPPER(S561)," ",""),":",": "))),0)),"-")</f>
        <v>-</v>
      </c>
      <c r="C561" s="46" t="str" cm="1">
        <f t="array" ref="C561">IFERROR(INDEX(#REF!,MATCH(TRUE,ISNUMBER(FIND(SUBSTITUTE(SUBSTITUTE(UPPER(#REF!)," ",""),":",": "),SUBSTITUTE(SUBSTITUTE(UPPER(S561)," ",""),":",": "))),0)),"Não encontrado")</f>
        <v>Não encontrado</v>
      </c>
      <c r="D561" s="46" t="str" cm="1">
        <f t="array" ref="D561">IFERROR(INDEX(#REF!,MATCH(TRUE,ISNUMBER(FIND(SUBSTITUTE(SUBSTITUTE(UPPER(#REF!)," ",""),":",": "),SUBSTITUTE(SUBSTITUTE(UPPER(S561)," ",""),":",": "))),0)),"Não encontrado")</f>
        <v>Não encontrado</v>
      </c>
      <c r="E561" s="42" t="str" cm="1">
        <f t="array" ref="E561">IFERROR(INDEX({"IMPEDITIVO"},MATCH(TRUE,ISNUMBER(FIND(SUBSTITUTE(SUBSTITUTE(UPPER({"IMPEDITIVO"})," ",""),":",": "),SUBSTITUTE(SUBSTITUTE(UPPER(S561)," ",""),":",": "))),0)),"-")</f>
        <v>-</v>
      </c>
      <c r="K561" s="49"/>
    </row>
    <row r="562" spans="1:11" x14ac:dyDescent="0.25">
      <c r="A562" s="46" t="str" cm="1">
        <f t="array" ref="A562">IFERROR(INDEX(#REF!,MATCH(TRUE,ISNUMBER(FIND(SUBSTITUTE(SUBSTITUTE(UPPER(#REF!)," ",""),":",": "),SUBSTITUTE(SUBSTITUTE(UPPER(S562)," ",""),":",": "))),0)),"Undefined")</f>
        <v>Undefined</v>
      </c>
      <c r="B562" s="42" t="str" cm="1">
        <f t="array" ref="B562">IFERROR(INDEX({"URGENTE"},MATCH(TRUE,ISNUMBER(FIND(SUBSTITUTE(SUBSTITUTE(UPPER({"URGENTE"})," ",""),":",": "),SUBSTITUTE(SUBSTITUTE(UPPER(S562)," ",""),":",": "))),0)),"-")</f>
        <v>-</v>
      </c>
      <c r="C562" s="46" t="str" cm="1">
        <f t="array" ref="C562">IFERROR(INDEX(#REF!,MATCH(TRUE,ISNUMBER(FIND(SUBSTITUTE(SUBSTITUTE(UPPER(#REF!)," ",""),":",": "),SUBSTITUTE(SUBSTITUTE(UPPER(S562)," ",""),":",": "))),0)),"Não encontrado")</f>
        <v>Não encontrado</v>
      </c>
      <c r="D562" s="46" t="str" cm="1">
        <f t="array" ref="D562">IFERROR(INDEX(#REF!,MATCH(TRUE,ISNUMBER(FIND(SUBSTITUTE(SUBSTITUTE(UPPER(#REF!)," ",""),":",": "),SUBSTITUTE(SUBSTITUTE(UPPER(S562)," ",""),":",": "))),0)),"Não encontrado")</f>
        <v>Não encontrado</v>
      </c>
      <c r="E562" s="42" t="str" cm="1">
        <f t="array" ref="E562">IFERROR(INDEX({"IMPEDITIVO"},MATCH(TRUE,ISNUMBER(FIND(SUBSTITUTE(SUBSTITUTE(UPPER({"IMPEDITIVO"})," ",""),":",": "),SUBSTITUTE(SUBSTITUTE(UPPER(S562)," ",""),":",": "))),0)),"-")</f>
        <v>-</v>
      </c>
      <c r="K562" s="49"/>
    </row>
    <row r="563" spans="1:11" x14ac:dyDescent="0.25">
      <c r="A563" s="46" t="str" cm="1">
        <f t="array" ref="A563">IFERROR(INDEX(#REF!,MATCH(TRUE,ISNUMBER(FIND(SUBSTITUTE(SUBSTITUTE(UPPER(#REF!)," ",""),":",": "),SUBSTITUTE(SUBSTITUTE(UPPER(S563)," ",""),":",": "))),0)),"Undefined")</f>
        <v>Undefined</v>
      </c>
      <c r="B563" s="42" t="str" cm="1">
        <f t="array" ref="B563">IFERROR(INDEX({"URGENTE"},MATCH(TRUE,ISNUMBER(FIND(SUBSTITUTE(SUBSTITUTE(UPPER({"URGENTE"})," ",""),":",": "),SUBSTITUTE(SUBSTITUTE(UPPER(S563)," ",""),":",": "))),0)),"-")</f>
        <v>-</v>
      </c>
      <c r="C563" s="46" t="str" cm="1">
        <f t="array" ref="C563">IFERROR(INDEX(#REF!,MATCH(TRUE,ISNUMBER(FIND(SUBSTITUTE(SUBSTITUTE(UPPER(#REF!)," ",""),":",": "),SUBSTITUTE(SUBSTITUTE(UPPER(S563)," ",""),":",": "))),0)),"Não encontrado")</f>
        <v>Não encontrado</v>
      </c>
      <c r="D563" s="46" t="str" cm="1">
        <f t="array" ref="D563">IFERROR(INDEX(#REF!,MATCH(TRUE,ISNUMBER(FIND(SUBSTITUTE(SUBSTITUTE(UPPER(#REF!)," ",""),":",": "),SUBSTITUTE(SUBSTITUTE(UPPER(S563)," ",""),":",": "))),0)),"Não encontrado")</f>
        <v>Não encontrado</v>
      </c>
      <c r="E563" s="42" t="str" cm="1">
        <f t="array" ref="E563">IFERROR(INDEX({"IMPEDITIVO"},MATCH(TRUE,ISNUMBER(FIND(SUBSTITUTE(SUBSTITUTE(UPPER({"IMPEDITIVO"})," ",""),":",": "),SUBSTITUTE(SUBSTITUTE(UPPER(S563)," ",""),":",": "))),0)),"-")</f>
        <v>-</v>
      </c>
      <c r="K563" s="49"/>
    </row>
    <row r="564" spans="1:11" x14ac:dyDescent="0.25">
      <c r="A564" s="46" t="str" cm="1">
        <f t="array" ref="A564">IFERROR(INDEX(#REF!,MATCH(TRUE,ISNUMBER(FIND(SUBSTITUTE(SUBSTITUTE(UPPER(#REF!)," ",""),":",": "),SUBSTITUTE(SUBSTITUTE(UPPER(S564)," ",""),":",": "))),0)),"Undefined")</f>
        <v>Undefined</v>
      </c>
      <c r="B564" s="42" t="str" cm="1">
        <f t="array" ref="B564">IFERROR(INDEX({"URGENTE"},MATCH(TRUE,ISNUMBER(FIND(SUBSTITUTE(SUBSTITUTE(UPPER({"URGENTE"})," ",""),":",": "),SUBSTITUTE(SUBSTITUTE(UPPER(S564)," ",""),":",": "))),0)),"-")</f>
        <v>-</v>
      </c>
      <c r="C564" s="46" t="str" cm="1">
        <f t="array" ref="C564">IFERROR(INDEX(#REF!,MATCH(TRUE,ISNUMBER(FIND(SUBSTITUTE(SUBSTITUTE(UPPER(#REF!)," ",""),":",": "),SUBSTITUTE(SUBSTITUTE(UPPER(S564)," ",""),":",": "))),0)),"Não encontrado")</f>
        <v>Não encontrado</v>
      </c>
      <c r="D564" s="46" t="str" cm="1">
        <f t="array" ref="D564">IFERROR(INDEX(#REF!,MATCH(TRUE,ISNUMBER(FIND(SUBSTITUTE(SUBSTITUTE(UPPER(#REF!)," ",""),":",": "),SUBSTITUTE(SUBSTITUTE(UPPER(S564)," ",""),":",": "))),0)),"Não encontrado")</f>
        <v>Não encontrado</v>
      </c>
      <c r="E564" s="42" t="str" cm="1">
        <f t="array" ref="E564">IFERROR(INDEX({"IMPEDITIVO"},MATCH(TRUE,ISNUMBER(FIND(SUBSTITUTE(SUBSTITUTE(UPPER({"IMPEDITIVO"})," ",""),":",": "),SUBSTITUTE(SUBSTITUTE(UPPER(S564)," ",""),":",": "))),0)),"-")</f>
        <v>-</v>
      </c>
      <c r="K564" s="49"/>
    </row>
    <row r="565" spans="1:11" x14ac:dyDescent="0.25">
      <c r="A565" s="46" t="str" cm="1">
        <f t="array" ref="A565">IFERROR(INDEX(#REF!,MATCH(TRUE,ISNUMBER(FIND(SUBSTITUTE(SUBSTITUTE(UPPER(#REF!)," ",""),":",": "),SUBSTITUTE(SUBSTITUTE(UPPER(S565)," ",""),":",": "))),0)),"Undefined")</f>
        <v>Undefined</v>
      </c>
      <c r="B565" s="42" t="str" cm="1">
        <f t="array" ref="B565">IFERROR(INDEX({"URGENTE"},MATCH(TRUE,ISNUMBER(FIND(SUBSTITUTE(SUBSTITUTE(UPPER({"URGENTE"})," ",""),":",": "),SUBSTITUTE(SUBSTITUTE(UPPER(S565)," ",""),":",": "))),0)),"-")</f>
        <v>-</v>
      </c>
      <c r="C565" s="46" t="str" cm="1">
        <f t="array" ref="C565">IFERROR(INDEX(#REF!,MATCH(TRUE,ISNUMBER(FIND(SUBSTITUTE(SUBSTITUTE(UPPER(#REF!)," ",""),":",": "),SUBSTITUTE(SUBSTITUTE(UPPER(S565)," ",""),":",": "))),0)),"Não encontrado")</f>
        <v>Não encontrado</v>
      </c>
      <c r="D565" s="46" t="str" cm="1">
        <f t="array" ref="D565">IFERROR(INDEX(#REF!,MATCH(TRUE,ISNUMBER(FIND(SUBSTITUTE(SUBSTITUTE(UPPER(#REF!)," ",""),":",": "),SUBSTITUTE(SUBSTITUTE(UPPER(S565)," ",""),":",": "))),0)),"Não encontrado")</f>
        <v>Não encontrado</v>
      </c>
      <c r="E565" s="42" t="str" cm="1">
        <f t="array" ref="E565">IFERROR(INDEX({"IMPEDITIVO"},MATCH(TRUE,ISNUMBER(FIND(SUBSTITUTE(SUBSTITUTE(UPPER({"IMPEDITIVO"})," ",""),":",": "),SUBSTITUTE(SUBSTITUTE(UPPER(S565)," ",""),":",": "))),0)),"-")</f>
        <v>-</v>
      </c>
      <c r="K565" s="49"/>
    </row>
    <row r="566" spans="1:11" x14ac:dyDescent="0.25">
      <c r="A566" s="46" t="str" cm="1">
        <f t="array" ref="A566">IFERROR(INDEX(#REF!,MATCH(TRUE,ISNUMBER(FIND(SUBSTITUTE(SUBSTITUTE(UPPER(#REF!)," ",""),":",": "),SUBSTITUTE(SUBSTITUTE(UPPER(S566)," ",""),":",": "))),0)),"Undefined")</f>
        <v>Undefined</v>
      </c>
      <c r="B566" s="42" t="str" cm="1">
        <f t="array" ref="B566">IFERROR(INDEX({"URGENTE"},MATCH(TRUE,ISNUMBER(FIND(SUBSTITUTE(SUBSTITUTE(UPPER({"URGENTE"})," ",""),":",": "),SUBSTITUTE(SUBSTITUTE(UPPER(S566)," ",""),":",": "))),0)),"-")</f>
        <v>-</v>
      </c>
      <c r="C566" s="46" t="str" cm="1">
        <f t="array" ref="C566">IFERROR(INDEX(#REF!,MATCH(TRUE,ISNUMBER(FIND(SUBSTITUTE(SUBSTITUTE(UPPER(#REF!)," ",""),":",": "),SUBSTITUTE(SUBSTITUTE(UPPER(S566)," ",""),":",": "))),0)),"Não encontrado")</f>
        <v>Não encontrado</v>
      </c>
      <c r="D566" s="46" t="str" cm="1">
        <f t="array" ref="D566">IFERROR(INDEX(#REF!,MATCH(TRUE,ISNUMBER(FIND(SUBSTITUTE(SUBSTITUTE(UPPER(#REF!)," ",""),":",": "),SUBSTITUTE(SUBSTITUTE(UPPER(S566)," ",""),":",": "))),0)),"Não encontrado")</f>
        <v>Não encontrado</v>
      </c>
      <c r="E566" s="42" t="str" cm="1">
        <f t="array" ref="E566">IFERROR(INDEX({"IMPEDITIVO"},MATCH(TRUE,ISNUMBER(FIND(SUBSTITUTE(SUBSTITUTE(UPPER({"IMPEDITIVO"})," ",""),":",": "),SUBSTITUTE(SUBSTITUTE(UPPER(S566)," ",""),":",": "))),0)),"-")</f>
        <v>-</v>
      </c>
      <c r="K566" s="49"/>
    </row>
    <row r="567" spans="1:11" x14ac:dyDescent="0.25">
      <c r="A567" s="46" t="str" cm="1">
        <f t="array" ref="A567">IFERROR(INDEX(#REF!,MATCH(TRUE,ISNUMBER(FIND(SUBSTITUTE(SUBSTITUTE(UPPER(#REF!)," ",""),":",": "),SUBSTITUTE(SUBSTITUTE(UPPER(S567)," ",""),":",": "))),0)),"Undefined")</f>
        <v>Undefined</v>
      </c>
      <c r="B567" s="42" t="str" cm="1">
        <f t="array" ref="B567">IFERROR(INDEX({"URGENTE"},MATCH(TRUE,ISNUMBER(FIND(SUBSTITUTE(SUBSTITUTE(UPPER({"URGENTE"})," ",""),":",": "),SUBSTITUTE(SUBSTITUTE(UPPER(S567)," ",""),":",": "))),0)),"-")</f>
        <v>-</v>
      </c>
      <c r="C567" s="46" t="str" cm="1">
        <f t="array" ref="C567">IFERROR(INDEX(#REF!,MATCH(TRUE,ISNUMBER(FIND(SUBSTITUTE(SUBSTITUTE(UPPER(#REF!)," ",""),":",": "),SUBSTITUTE(SUBSTITUTE(UPPER(S567)," ",""),":",": "))),0)),"Não encontrado")</f>
        <v>Não encontrado</v>
      </c>
      <c r="D567" s="46" t="str" cm="1">
        <f t="array" ref="D567">IFERROR(INDEX(#REF!,MATCH(TRUE,ISNUMBER(FIND(SUBSTITUTE(SUBSTITUTE(UPPER(#REF!)," ",""),":",": "),SUBSTITUTE(SUBSTITUTE(UPPER(S567)," ",""),":",": "))),0)),"Não encontrado")</f>
        <v>Não encontrado</v>
      </c>
      <c r="E567" s="42" t="str" cm="1">
        <f t="array" ref="E567">IFERROR(INDEX({"IMPEDITIVO"},MATCH(TRUE,ISNUMBER(FIND(SUBSTITUTE(SUBSTITUTE(UPPER({"IMPEDITIVO"})," ",""),":",": "),SUBSTITUTE(SUBSTITUTE(UPPER(S567)," ",""),":",": "))),0)),"-")</f>
        <v>-</v>
      </c>
      <c r="K567" s="49"/>
    </row>
    <row r="568" spans="1:11" x14ac:dyDescent="0.25">
      <c r="A568" s="46" t="str" cm="1">
        <f t="array" ref="A568">IFERROR(INDEX(#REF!,MATCH(TRUE,ISNUMBER(FIND(SUBSTITUTE(SUBSTITUTE(UPPER(#REF!)," ",""),":",": "),SUBSTITUTE(SUBSTITUTE(UPPER(S568)," ",""),":",": "))),0)),"Undefined")</f>
        <v>Undefined</v>
      </c>
      <c r="B568" s="42" t="str" cm="1">
        <f t="array" ref="B568">IFERROR(INDEX({"URGENTE"},MATCH(TRUE,ISNUMBER(FIND(SUBSTITUTE(SUBSTITUTE(UPPER({"URGENTE"})," ",""),":",": "),SUBSTITUTE(SUBSTITUTE(UPPER(S568)," ",""),":",": "))),0)),"-")</f>
        <v>-</v>
      </c>
      <c r="C568" s="46" t="str" cm="1">
        <f t="array" ref="C568">IFERROR(INDEX(#REF!,MATCH(TRUE,ISNUMBER(FIND(SUBSTITUTE(SUBSTITUTE(UPPER(#REF!)," ",""),":",": "),SUBSTITUTE(SUBSTITUTE(UPPER(S568)," ",""),":",": "))),0)),"Não encontrado")</f>
        <v>Não encontrado</v>
      </c>
      <c r="D568" s="46" t="str" cm="1">
        <f t="array" ref="D568">IFERROR(INDEX(#REF!,MATCH(TRUE,ISNUMBER(FIND(SUBSTITUTE(SUBSTITUTE(UPPER(#REF!)," ",""),":",": "),SUBSTITUTE(SUBSTITUTE(UPPER(S568)," ",""),":",": "))),0)),"Não encontrado")</f>
        <v>Não encontrado</v>
      </c>
      <c r="E568" s="42" t="str" cm="1">
        <f t="array" ref="E568">IFERROR(INDEX({"IMPEDITIVO"},MATCH(TRUE,ISNUMBER(FIND(SUBSTITUTE(SUBSTITUTE(UPPER({"IMPEDITIVO"})," ",""),":",": "),SUBSTITUTE(SUBSTITUTE(UPPER(S568)," ",""),":",": "))),0)),"-")</f>
        <v>-</v>
      </c>
      <c r="K568" s="49"/>
    </row>
    <row r="569" spans="1:11" x14ac:dyDescent="0.25">
      <c r="A569" s="46" t="str" cm="1">
        <f t="array" ref="A569">IFERROR(INDEX(#REF!,MATCH(TRUE,ISNUMBER(FIND(SUBSTITUTE(SUBSTITUTE(UPPER(#REF!)," ",""),":",": "),SUBSTITUTE(SUBSTITUTE(UPPER(S569)," ",""),":",": "))),0)),"Undefined")</f>
        <v>Undefined</v>
      </c>
      <c r="B569" s="42" t="str" cm="1">
        <f t="array" ref="B569">IFERROR(INDEX({"URGENTE"},MATCH(TRUE,ISNUMBER(FIND(SUBSTITUTE(SUBSTITUTE(UPPER({"URGENTE"})," ",""),":",": "),SUBSTITUTE(SUBSTITUTE(UPPER(S569)," ",""),":",": "))),0)),"-")</f>
        <v>-</v>
      </c>
      <c r="C569" s="46" t="str" cm="1">
        <f t="array" ref="C569">IFERROR(INDEX(#REF!,MATCH(TRUE,ISNUMBER(FIND(SUBSTITUTE(SUBSTITUTE(UPPER(#REF!)," ",""),":",": "),SUBSTITUTE(SUBSTITUTE(UPPER(S569)," ",""),":",": "))),0)),"Não encontrado")</f>
        <v>Não encontrado</v>
      </c>
      <c r="D569" s="46" t="str" cm="1">
        <f t="array" ref="D569">IFERROR(INDEX(#REF!,MATCH(TRUE,ISNUMBER(FIND(SUBSTITUTE(SUBSTITUTE(UPPER(#REF!)," ",""),":",": "),SUBSTITUTE(SUBSTITUTE(UPPER(S569)," ",""),":",": "))),0)),"Não encontrado")</f>
        <v>Não encontrado</v>
      </c>
      <c r="E569" s="42" t="str" cm="1">
        <f t="array" ref="E569">IFERROR(INDEX({"IMPEDITIVO"},MATCH(TRUE,ISNUMBER(FIND(SUBSTITUTE(SUBSTITUTE(UPPER({"IMPEDITIVO"})," ",""),":",": "),SUBSTITUTE(SUBSTITUTE(UPPER(S569)," ",""),":",": "))),0)),"-")</f>
        <v>-</v>
      </c>
      <c r="K569" s="49"/>
    </row>
    <row r="570" spans="1:11" x14ac:dyDescent="0.25">
      <c r="A570" s="46" t="str" cm="1">
        <f t="array" ref="A570">IFERROR(INDEX(#REF!,MATCH(TRUE,ISNUMBER(FIND(SUBSTITUTE(SUBSTITUTE(UPPER(#REF!)," ",""),":",": "),SUBSTITUTE(SUBSTITUTE(UPPER(S570)," ",""),":",": "))),0)),"Undefined")</f>
        <v>Undefined</v>
      </c>
      <c r="B570" s="42" t="str" cm="1">
        <f t="array" ref="B570">IFERROR(INDEX({"URGENTE"},MATCH(TRUE,ISNUMBER(FIND(SUBSTITUTE(SUBSTITUTE(UPPER({"URGENTE"})," ",""),":",": "),SUBSTITUTE(SUBSTITUTE(UPPER(S570)," ",""),":",": "))),0)),"-")</f>
        <v>-</v>
      </c>
      <c r="C570" s="46" t="str" cm="1">
        <f t="array" ref="C570">IFERROR(INDEX(#REF!,MATCH(TRUE,ISNUMBER(FIND(SUBSTITUTE(SUBSTITUTE(UPPER(#REF!)," ",""),":",": "),SUBSTITUTE(SUBSTITUTE(UPPER(S570)," ",""),":",": "))),0)),"Não encontrado")</f>
        <v>Não encontrado</v>
      </c>
      <c r="D570" s="46" t="str" cm="1">
        <f t="array" ref="D570">IFERROR(INDEX(#REF!,MATCH(TRUE,ISNUMBER(FIND(SUBSTITUTE(SUBSTITUTE(UPPER(#REF!)," ",""),":",": "),SUBSTITUTE(SUBSTITUTE(UPPER(S570)," ",""),":",": "))),0)),"Não encontrado")</f>
        <v>Não encontrado</v>
      </c>
      <c r="E570" s="42" t="str" cm="1">
        <f t="array" ref="E570">IFERROR(INDEX({"IMPEDITIVO"},MATCH(TRUE,ISNUMBER(FIND(SUBSTITUTE(SUBSTITUTE(UPPER({"IMPEDITIVO"})," ",""),":",": "),SUBSTITUTE(SUBSTITUTE(UPPER(S570)," ",""),":",": "))),0)),"-")</f>
        <v>-</v>
      </c>
      <c r="K570" s="49"/>
    </row>
    <row r="571" spans="1:11" x14ac:dyDescent="0.25">
      <c r="A571" s="46" t="str" cm="1">
        <f t="array" ref="A571">IFERROR(INDEX(#REF!,MATCH(TRUE,ISNUMBER(FIND(SUBSTITUTE(SUBSTITUTE(UPPER(#REF!)," ",""),":",": "),SUBSTITUTE(SUBSTITUTE(UPPER(S571)," ",""),":",": "))),0)),"Undefined")</f>
        <v>Undefined</v>
      </c>
      <c r="B571" s="42" t="str" cm="1">
        <f t="array" ref="B571">IFERROR(INDEX({"URGENTE"},MATCH(TRUE,ISNUMBER(FIND(SUBSTITUTE(SUBSTITUTE(UPPER({"URGENTE"})," ",""),":",": "),SUBSTITUTE(SUBSTITUTE(UPPER(S571)," ",""),":",": "))),0)),"-")</f>
        <v>-</v>
      </c>
      <c r="C571" s="46" t="str" cm="1">
        <f t="array" ref="C571">IFERROR(INDEX(#REF!,MATCH(TRUE,ISNUMBER(FIND(SUBSTITUTE(SUBSTITUTE(UPPER(#REF!)," ",""),":",": "),SUBSTITUTE(SUBSTITUTE(UPPER(S571)," ",""),":",": "))),0)),"Não encontrado")</f>
        <v>Não encontrado</v>
      </c>
      <c r="D571" s="46" t="str" cm="1">
        <f t="array" ref="D571">IFERROR(INDEX(#REF!,MATCH(TRUE,ISNUMBER(FIND(SUBSTITUTE(SUBSTITUTE(UPPER(#REF!)," ",""),":",": "),SUBSTITUTE(SUBSTITUTE(UPPER(S571)," ",""),":",": "))),0)),"Não encontrado")</f>
        <v>Não encontrado</v>
      </c>
      <c r="E571" s="42" t="str" cm="1">
        <f t="array" ref="E571">IFERROR(INDEX({"IMPEDITIVO"},MATCH(TRUE,ISNUMBER(FIND(SUBSTITUTE(SUBSTITUTE(UPPER({"IMPEDITIVO"})," ",""),":",": "),SUBSTITUTE(SUBSTITUTE(UPPER(S571)," ",""),":",": "))),0)),"-")</f>
        <v>-</v>
      </c>
      <c r="K571" s="49"/>
    </row>
    <row r="572" spans="1:11" x14ac:dyDescent="0.25">
      <c r="A572" s="46" t="str" cm="1">
        <f t="array" ref="A572">IFERROR(INDEX(#REF!,MATCH(TRUE,ISNUMBER(FIND(SUBSTITUTE(SUBSTITUTE(UPPER(#REF!)," ",""),":",": "),SUBSTITUTE(SUBSTITUTE(UPPER(S572)," ",""),":",": "))),0)),"Undefined")</f>
        <v>Undefined</v>
      </c>
      <c r="B572" s="42" t="str" cm="1">
        <f t="array" ref="B572">IFERROR(INDEX({"URGENTE"},MATCH(TRUE,ISNUMBER(FIND(SUBSTITUTE(SUBSTITUTE(UPPER({"URGENTE"})," ",""),":",": "),SUBSTITUTE(SUBSTITUTE(UPPER(S572)," ",""),":",": "))),0)),"-")</f>
        <v>-</v>
      </c>
      <c r="C572" s="46" t="str" cm="1">
        <f t="array" ref="C572">IFERROR(INDEX(#REF!,MATCH(TRUE,ISNUMBER(FIND(SUBSTITUTE(SUBSTITUTE(UPPER(#REF!)," ",""),":",": "),SUBSTITUTE(SUBSTITUTE(UPPER(S572)," ",""),":",": "))),0)),"Não encontrado")</f>
        <v>Não encontrado</v>
      </c>
      <c r="D572" s="46" t="str" cm="1">
        <f t="array" ref="D572">IFERROR(INDEX(#REF!,MATCH(TRUE,ISNUMBER(FIND(SUBSTITUTE(SUBSTITUTE(UPPER(#REF!)," ",""),":",": "),SUBSTITUTE(SUBSTITUTE(UPPER(S572)," ",""),":",": "))),0)),"Não encontrado")</f>
        <v>Não encontrado</v>
      </c>
      <c r="E572" s="42" t="str" cm="1">
        <f t="array" ref="E572">IFERROR(INDEX({"IMPEDITIVO"},MATCH(TRUE,ISNUMBER(FIND(SUBSTITUTE(SUBSTITUTE(UPPER({"IMPEDITIVO"})," ",""),":",": "),SUBSTITUTE(SUBSTITUTE(UPPER(S572)," ",""),":",": "))),0)),"-")</f>
        <v>-</v>
      </c>
      <c r="K572" s="49"/>
    </row>
    <row r="573" spans="1:11" x14ac:dyDescent="0.25">
      <c r="A573" s="46" t="str" cm="1">
        <f t="array" ref="A573">IFERROR(INDEX(#REF!,MATCH(TRUE,ISNUMBER(FIND(SUBSTITUTE(SUBSTITUTE(UPPER(#REF!)," ",""),":",": "),SUBSTITUTE(SUBSTITUTE(UPPER(S573)," ",""),":",": "))),0)),"Undefined")</f>
        <v>Undefined</v>
      </c>
      <c r="B573" s="42" t="str" cm="1">
        <f t="array" ref="B573">IFERROR(INDEX({"URGENTE"},MATCH(TRUE,ISNUMBER(FIND(SUBSTITUTE(SUBSTITUTE(UPPER({"URGENTE"})," ",""),":",": "),SUBSTITUTE(SUBSTITUTE(UPPER(S573)," ",""),":",": "))),0)),"-")</f>
        <v>-</v>
      </c>
      <c r="C573" s="46" t="str" cm="1">
        <f t="array" ref="C573">IFERROR(INDEX(#REF!,MATCH(TRUE,ISNUMBER(FIND(SUBSTITUTE(SUBSTITUTE(UPPER(#REF!)," ",""),":",": "),SUBSTITUTE(SUBSTITUTE(UPPER(S573)," ",""),":",": "))),0)),"Não encontrado")</f>
        <v>Não encontrado</v>
      </c>
      <c r="D573" s="46" t="str" cm="1">
        <f t="array" ref="D573">IFERROR(INDEX(#REF!,MATCH(TRUE,ISNUMBER(FIND(SUBSTITUTE(SUBSTITUTE(UPPER(#REF!)," ",""),":",": "),SUBSTITUTE(SUBSTITUTE(UPPER(S573)," ",""),":",": "))),0)),"Não encontrado")</f>
        <v>Não encontrado</v>
      </c>
      <c r="E573" s="42" t="str" cm="1">
        <f t="array" ref="E573">IFERROR(INDEX({"IMPEDITIVO"},MATCH(TRUE,ISNUMBER(FIND(SUBSTITUTE(SUBSTITUTE(UPPER({"IMPEDITIVO"})," ",""),":",": "),SUBSTITUTE(SUBSTITUTE(UPPER(S573)," ",""),":",": "))),0)),"-")</f>
        <v>-</v>
      </c>
      <c r="K573" s="49"/>
    </row>
    <row r="574" spans="1:11" x14ac:dyDescent="0.25">
      <c r="A574" s="46" t="str" cm="1">
        <f t="array" ref="A574">IFERROR(INDEX(#REF!,MATCH(TRUE,ISNUMBER(FIND(SUBSTITUTE(SUBSTITUTE(UPPER(#REF!)," ",""),":",": "),SUBSTITUTE(SUBSTITUTE(UPPER(S574)," ",""),":",": "))),0)),"Undefined")</f>
        <v>Undefined</v>
      </c>
      <c r="B574" s="42" t="str" cm="1">
        <f t="array" ref="B574">IFERROR(INDEX({"URGENTE"},MATCH(TRUE,ISNUMBER(FIND(SUBSTITUTE(SUBSTITUTE(UPPER({"URGENTE"})," ",""),":",": "),SUBSTITUTE(SUBSTITUTE(UPPER(S574)," ",""),":",": "))),0)),"-")</f>
        <v>-</v>
      </c>
      <c r="C574" s="46" t="str" cm="1">
        <f t="array" ref="C574">IFERROR(INDEX(#REF!,MATCH(TRUE,ISNUMBER(FIND(SUBSTITUTE(SUBSTITUTE(UPPER(#REF!)," ",""),":",": "),SUBSTITUTE(SUBSTITUTE(UPPER(S574)," ",""),":",": "))),0)),"Não encontrado")</f>
        <v>Não encontrado</v>
      </c>
      <c r="D574" s="46" t="str" cm="1">
        <f t="array" ref="D574">IFERROR(INDEX(#REF!,MATCH(TRUE,ISNUMBER(FIND(SUBSTITUTE(SUBSTITUTE(UPPER(#REF!)," ",""),":",": "),SUBSTITUTE(SUBSTITUTE(UPPER(S574)," ",""),":",": "))),0)),"Não encontrado")</f>
        <v>Não encontrado</v>
      </c>
      <c r="E574" s="42" t="str" cm="1">
        <f t="array" ref="E574">IFERROR(INDEX({"IMPEDITIVO"},MATCH(TRUE,ISNUMBER(FIND(SUBSTITUTE(SUBSTITUTE(UPPER({"IMPEDITIVO"})," ",""),":",": "),SUBSTITUTE(SUBSTITUTE(UPPER(S574)," ",""),":",": "))),0)),"-")</f>
        <v>-</v>
      </c>
      <c r="K574" s="49"/>
    </row>
    <row r="575" spans="1:11" x14ac:dyDescent="0.25">
      <c r="A575" s="46" t="str" cm="1">
        <f t="array" ref="A575">IFERROR(INDEX(#REF!,MATCH(TRUE,ISNUMBER(FIND(SUBSTITUTE(SUBSTITUTE(UPPER(#REF!)," ",""),":",": "),SUBSTITUTE(SUBSTITUTE(UPPER(S575)," ",""),":",": "))),0)),"Undefined")</f>
        <v>Undefined</v>
      </c>
      <c r="B575" s="42" t="str" cm="1">
        <f t="array" ref="B575">IFERROR(INDEX({"URGENTE"},MATCH(TRUE,ISNUMBER(FIND(SUBSTITUTE(SUBSTITUTE(UPPER({"URGENTE"})," ",""),":",": "),SUBSTITUTE(SUBSTITUTE(UPPER(S575)," ",""),":",": "))),0)),"-")</f>
        <v>-</v>
      </c>
      <c r="C575" s="46" t="str" cm="1">
        <f t="array" ref="C575">IFERROR(INDEX(#REF!,MATCH(TRUE,ISNUMBER(FIND(SUBSTITUTE(SUBSTITUTE(UPPER(#REF!)," ",""),":",": "),SUBSTITUTE(SUBSTITUTE(UPPER(S575)," ",""),":",": "))),0)),"Não encontrado")</f>
        <v>Não encontrado</v>
      </c>
      <c r="D575" s="46" t="str" cm="1">
        <f t="array" ref="D575">IFERROR(INDEX(#REF!,MATCH(TRUE,ISNUMBER(FIND(SUBSTITUTE(SUBSTITUTE(UPPER(#REF!)," ",""),":",": "),SUBSTITUTE(SUBSTITUTE(UPPER(S575)," ",""),":",": "))),0)),"Não encontrado")</f>
        <v>Não encontrado</v>
      </c>
      <c r="E575" s="42" t="str" cm="1">
        <f t="array" ref="E575">IFERROR(INDEX({"IMPEDITIVO"},MATCH(TRUE,ISNUMBER(FIND(SUBSTITUTE(SUBSTITUTE(UPPER({"IMPEDITIVO"})," ",""),":",": "),SUBSTITUTE(SUBSTITUTE(UPPER(S575)," ",""),":",": "))),0)),"-")</f>
        <v>-</v>
      </c>
      <c r="K575" s="49"/>
    </row>
    <row r="576" spans="1:11" x14ac:dyDescent="0.25">
      <c r="A576" s="46" t="str" cm="1">
        <f t="array" ref="A576">IFERROR(INDEX(#REF!,MATCH(TRUE,ISNUMBER(FIND(SUBSTITUTE(SUBSTITUTE(UPPER(#REF!)," ",""),":",": "),SUBSTITUTE(SUBSTITUTE(UPPER(S576)," ",""),":",": "))),0)),"Undefined")</f>
        <v>Undefined</v>
      </c>
      <c r="B576" s="42" t="str" cm="1">
        <f t="array" ref="B576">IFERROR(INDEX({"URGENTE"},MATCH(TRUE,ISNUMBER(FIND(SUBSTITUTE(SUBSTITUTE(UPPER({"URGENTE"})," ",""),":",": "),SUBSTITUTE(SUBSTITUTE(UPPER(S576)," ",""),":",": "))),0)),"-")</f>
        <v>-</v>
      </c>
      <c r="C576" s="46" t="str" cm="1">
        <f t="array" ref="C576">IFERROR(INDEX(#REF!,MATCH(TRUE,ISNUMBER(FIND(SUBSTITUTE(SUBSTITUTE(UPPER(#REF!)," ",""),":",": "),SUBSTITUTE(SUBSTITUTE(UPPER(S576)," ",""),":",": "))),0)),"Não encontrado")</f>
        <v>Não encontrado</v>
      </c>
      <c r="D576" s="46" t="str" cm="1">
        <f t="array" ref="D576">IFERROR(INDEX(#REF!,MATCH(TRUE,ISNUMBER(FIND(SUBSTITUTE(SUBSTITUTE(UPPER(#REF!)," ",""),":",": "),SUBSTITUTE(SUBSTITUTE(UPPER(S576)," ",""),":",": "))),0)),"Não encontrado")</f>
        <v>Não encontrado</v>
      </c>
      <c r="E576" s="42" t="str" cm="1">
        <f t="array" ref="E576">IFERROR(INDEX({"IMPEDITIVO"},MATCH(TRUE,ISNUMBER(FIND(SUBSTITUTE(SUBSTITUTE(UPPER({"IMPEDITIVO"})," ",""),":",": "),SUBSTITUTE(SUBSTITUTE(UPPER(S576)," ",""),":",": "))),0)),"-")</f>
        <v>-</v>
      </c>
      <c r="K576" s="49"/>
    </row>
    <row r="577" spans="1:11" x14ac:dyDescent="0.25">
      <c r="A577" s="46" t="str" cm="1">
        <f t="array" ref="A577">IFERROR(INDEX(#REF!,MATCH(TRUE,ISNUMBER(FIND(SUBSTITUTE(SUBSTITUTE(UPPER(#REF!)," ",""),":",": "),SUBSTITUTE(SUBSTITUTE(UPPER(S577)," ",""),":",": "))),0)),"Undefined")</f>
        <v>Undefined</v>
      </c>
      <c r="B577" s="42" t="str" cm="1">
        <f t="array" ref="B577">IFERROR(INDEX({"URGENTE"},MATCH(TRUE,ISNUMBER(FIND(SUBSTITUTE(SUBSTITUTE(UPPER({"URGENTE"})," ",""),":",": "),SUBSTITUTE(SUBSTITUTE(UPPER(S577)," ",""),":",": "))),0)),"-")</f>
        <v>-</v>
      </c>
      <c r="C577" s="46" t="str" cm="1">
        <f t="array" ref="C577">IFERROR(INDEX(#REF!,MATCH(TRUE,ISNUMBER(FIND(SUBSTITUTE(SUBSTITUTE(UPPER(#REF!)," ",""),":",": "),SUBSTITUTE(SUBSTITUTE(UPPER(S577)," ",""),":",": "))),0)),"Não encontrado")</f>
        <v>Não encontrado</v>
      </c>
      <c r="D577" s="46" t="str" cm="1">
        <f t="array" ref="D577">IFERROR(INDEX(#REF!,MATCH(TRUE,ISNUMBER(FIND(SUBSTITUTE(SUBSTITUTE(UPPER(#REF!)," ",""),":",": "),SUBSTITUTE(SUBSTITUTE(UPPER(S577)," ",""),":",": "))),0)),"Não encontrado")</f>
        <v>Não encontrado</v>
      </c>
      <c r="E577" s="42" t="str" cm="1">
        <f t="array" ref="E577">IFERROR(INDEX({"IMPEDITIVO"},MATCH(TRUE,ISNUMBER(FIND(SUBSTITUTE(SUBSTITUTE(UPPER({"IMPEDITIVO"})," ",""),":",": "),SUBSTITUTE(SUBSTITUTE(UPPER(S577)," ",""),":",": "))),0)),"-")</f>
        <v>-</v>
      </c>
      <c r="K577" s="49"/>
    </row>
    <row r="578" spans="1:11" x14ac:dyDescent="0.25">
      <c r="A578" s="46" t="str" cm="1">
        <f t="array" ref="A578">IFERROR(INDEX(#REF!,MATCH(TRUE,ISNUMBER(FIND(SUBSTITUTE(SUBSTITUTE(UPPER(#REF!)," ",""),":",": "),SUBSTITUTE(SUBSTITUTE(UPPER(S578)," ",""),":",": "))),0)),"Undefined")</f>
        <v>Undefined</v>
      </c>
      <c r="B578" s="42" t="str" cm="1">
        <f t="array" ref="B578">IFERROR(INDEX({"URGENTE"},MATCH(TRUE,ISNUMBER(FIND(SUBSTITUTE(SUBSTITUTE(UPPER({"URGENTE"})," ",""),":",": "),SUBSTITUTE(SUBSTITUTE(UPPER(S578)," ",""),":",": "))),0)),"-")</f>
        <v>-</v>
      </c>
      <c r="C578" s="46" t="str" cm="1">
        <f t="array" ref="C578">IFERROR(INDEX(#REF!,MATCH(TRUE,ISNUMBER(FIND(SUBSTITUTE(SUBSTITUTE(UPPER(#REF!)," ",""),":",": "),SUBSTITUTE(SUBSTITUTE(UPPER(S578)," ",""),":",": "))),0)),"Não encontrado")</f>
        <v>Não encontrado</v>
      </c>
      <c r="D578" s="46" t="str" cm="1">
        <f t="array" ref="D578">IFERROR(INDEX(#REF!,MATCH(TRUE,ISNUMBER(FIND(SUBSTITUTE(SUBSTITUTE(UPPER(#REF!)," ",""),":",": "),SUBSTITUTE(SUBSTITUTE(UPPER(S578)," ",""),":",": "))),0)),"Não encontrado")</f>
        <v>Não encontrado</v>
      </c>
      <c r="E578" s="42" t="str" cm="1">
        <f t="array" ref="E578">IFERROR(INDEX({"IMPEDITIVO"},MATCH(TRUE,ISNUMBER(FIND(SUBSTITUTE(SUBSTITUTE(UPPER({"IMPEDITIVO"})," ",""),":",": "),SUBSTITUTE(SUBSTITUTE(UPPER(S578)," ",""),":",": "))),0)),"-")</f>
        <v>-</v>
      </c>
      <c r="K578" s="49"/>
    </row>
    <row r="579" spans="1:11" x14ac:dyDescent="0.25">
      <c r="A579" s="46" t="str" cm="1">
        <f t="array" ref="A579">IFERROR(INDEX(#REF!,MATCH(TRUE,ISNUMBER(FIND(SUBSTITUTE(SUBSTITUTE(UPPER(#REF!)," ",""),":",": "),SUBSTITUTE(SUBSTITUTE(UPPER(S579)," ",""),":",": "))),0)),"Undefined")</f>
        <v>Undefined</v>
      </c>
      <c r="B579" s="42" t="str" cm="1">
        <f t="array" ref="B579">IFERROR(INDEX({"URGENTE"},MATCH(TRUE,ISNUMBER(FIND(SUBSTITUTE(SUBSTITUTE(UPPER({"URGENTE"})," ",""),":",": "),SUBSTITUTE(SUBSTITUTE(UPPER(S579)," ",""),":",": "))),0)),"-")</f>
        <v>-</v>
      </c>
      <c r="C579" s="46" t="str" cm="1">
        <f t="array" ref="C579">IFERROR(INDEX(#REF!,MATCH(TRUE,ISNUMBER(FIND(SUBSTITUTE(SUBSTITUTE(UPPER(#REF!)," ",""),":",": "),SUBSTITUTE(SUBSTITUTE(UPPER(S579)," ",""),":",": "))),0)),"Não encontrado")</f>
        <v>Não encontrado</v>
      </c>
      <c r="D579" s="46" t="str" cm="1">
        <f t="array" ref="D579">IFERROR(INDEX(#REF!,MATCH(TRUE,ISNUMBER(FIND(SUBSTITUTE(SUBSTITUTE(UPPER(#REF!)," ",""),":",": "),SUBSTITUTE(SUBSTITUTE(UPPER(S579)," ",""),":",": "))),0)),"Não encontrado")</f>
        <v>Não encontrado</v>
      </c>
      <c r="E579" s="42" t="str" cm="1">
        <f t="array" ref="E579">IFERROR(INDEX({"IMPEDITIVO"},MATCH(TRUE,ISNUMBER(FIND(SUBSTITUTE(SUBSTITUTE(UPPER({"IMPEDITIVO"})," ",""),":",": "),SUBSTITUTE(SUBSTITUTE(UPPER(S579)," ",""),":",": "))),0)),"-")</f>
        <v>-</v>
      </c>
      <c r="K579" s="49"/>
    </row>
    <row r="580" spans="1:11" x14ac:dyDescent="0.25">
      <c r="A580" s="46" t="str" cm="1">
        <f t="array" ref="A580">IFERROR(INDEX(#REF!,MATCH(TRUE,ISNUMBER(FIND(SUBSTITUTE(SUBSTITUTE(UPPER(#REF!)," ",""),":",": "),SUBSTITUTE(SUBSTITUTE(UPPER(S580)," ",""),":",": "))),0)),"Undefined")</f>
        <v>Undefined</v>
      </c>
      <c r="B580" s="42" t="str" cm="1">
        <f t="array" ref="B580">IFERROR(INDEX({"URGENTE"},MATCH(TRUE,ISNUMBER(FIND(SUBSTITUTE(SUBSTITUTE(UPPER({"URGENTE"})," ",""),":",": "),SUBSTITUTE(SUBSTITUTE(UPPER(S580)," ",""),":",": "))),0)),"-")</f>
        <v>-</v>
      </c>
      <c r="C580" s="46" t="str" cm="1">
        <f t="array" ref="C580">IFERROR(INDEX(#REF!,MATCH(TRUE,ISNUMBER(FIND(SUBSTITUTE(SUBSTITUTE(UPPER(#REF!)," ",""),":",": "),SUBSTITUTE(SUBSTITUTE(UPPER(S580)," ",""),":",": "))),0)),"Não encontrado")</f>
        <v>Não encontrado</v>
      </c>
      <c r="D580" s="46" t="str" cm="1">
        <f t="array" ref="D580">IFERROR(INDEX(#REF!,MATCH(TRUE,ISNUMBER(FIND(SUBSTITUTE(SUBSTITUTE(UPPER(#REF!)," ",""),":",": "),SUBSTITUTE(SUBSTITUTE(UPPER(S580)," ",""),":",": "))),0)),"Não encontrado")</f>
        <v>Não encontrado</v>
      </c>
      <c r="E580" s="42" t="str" cm="1">
        <f t="array" ref="E580">IFERROR(INDEX({"IMPEDITIVO"},MATCH(TRUE,ISNUMBER(FIND(SUBSTITUTE(SUBSTITUTE(UPPER({"IMPEDITIVO"})," ",""),":",": "),SUBSTITUTE(SUBSTITUTE(UPPER(S580)," ",""),":",": "))),0)),"-")</f>
        <v>-</v>
      </c>
      <c r="K580" s="49"/>
    </row>
    <row r="581" spans="1:11" x14ac:dyDescent="0.25">
      <c r="A581" s="46" t="str" cm="1">
        <f t="array" ref="A581">IFERROR(INDEX(#REF!,MATCH(TRUE,ISNUMBER(FIND(SUBSTITUTE(SUBSTITUTE(UPPER(#REF!)," ",""),":",": "),SUBSTITUTE(SUBSTITUTE(UPPER(S581)," ",""),":",": "))),0)),"Undefined")</f>
        <v>Undefined</v>
      </c>
      <c r="B581" s="42" t="str" cm="1">
        <f t="array" ref="B581">IFERROR(INDEX({"URGENTE"},MATCH(TRUE,ISNUMBER(FIND(SUBSTITUTE(SUBSTITUTE(UPPER({"URGENTE"})," ",""),":",": "),SUBSTITUTE(SUBSTITUTE(UPPER(S581)," ",""),":",": "))),0)),"-")</f>
        <v>-</v>
      </c>
      <c r="C581" s="46" t="str" cm="1">
        <f t="array" ref="C581">IFERROR(INDEX(#REF!,MATCH(TRUE,ISNUMBER(FIND(SUBSTITUTE(SUBSTITUTE(UPPER(#REF!)," ",""),":",": "),SUBSTITUTE(SUBSTITUTE(UPPER(S581)," ",""),":",": "))),0)),"Não encontrado")</f>
        <v>Não encontrado</v>
      </c>
      <c r="D581" s="46" t="str" cm="1">
        <f t="array" ref="D581">IFERROR(INDEX(#REF!,MATCH(TRUE,ISNUMBER(FIND(SUBSTITUTE(SUBSTITUTE(UPPER(#REF!)," ",""),":",": "),SUBSTITUTE(SUBSTITUTE(UPPER(S581)," ",""),":",": "))),0)),"Não encontrado")</f>
        <v>Não encontrado</v>
      </c>
      <c r="E581" s="42" t="str" cm="1">
        <f t="array" ref="E581">IFERROR(INDEX({"IMPEDITIVO"},MATCH(TRUE,ISNUMBER(FIND(SUBSTITUTE(SUBSTITUTE(UPPER({"IMPEDITIVO"})," ",""),":",": "),SUBSTITUTE(SUBSTITUTE(UPPER(S581)," ",""),":",": "))),0)),"-")</f>
        <v>-</v>
      </c>
      <c r="K581" s="49"/>
    </row>
    <row r="582" spans="1:11" x14ac:dyDescent="0.25">
      <c r="A582" s="46" t="str" cm="1">
        <f t="array" ref="A582">IFERROR(INDEX(#REF!,MATCH(TRUE,ISNUMBER(FIND(SUBSTITUTE(SUBSTITUTE(UPPER(#REF!)," ",""),":",": "),SUBSTITUTE(SUBSTITUTE(UPPER(S582)," ",""),":",": "))),0)),"Undefined")</f>
        <v>Undefined</v>
      </c>
      <c r="B582" s="42" t="str" cm="1">
        <f t="array" ref="B582">IFERROR(INDEX({"URGENTE"},MATCH(TRUE,ISNUMBER(FIND(SUBSTITUTE(SUBSTITUTE(UPPER({"URGENTE"})," ",""),":",": "),SUBSTITUTE(SUBSTITUTE(UPPER(S582)," ",""),":",": "))),0)),"-")</f>
        <v>-</v>
      </c>
      <c r="C582" s="46" t="str" cm="1">
        <f t="array" ref="C582">IFERROR(INDEX(#REF!,MATCH(TRUE,ISNUMBER(FIND(SUBSTITUTE(SUBSTITUTE(UPPER(#REF!)," ",""),":",": "),SUBSTITUTE(SUBSTITUTE(UPPER(S582)," ",""),":",": "))),0)),"Não encontrado")</f>
        <v>Não encontrado</v>
      </c>
      <c r="D582" s="46" t="str" cm="1">
        <f t="array" ref="D582">IFERROR(INDEX(#REF!,MATCH(TRUE,ISNUMBER(FIND(SUBSTITUTE(SUBSTITUTE(UPPER(#REF!)," ",""),":",": "),SUBSTITUTE(SUBSTITUTE(UPPER(S582)," ",""),":",": "))),0)),"Não encontrado")</f>
        <v>Não encontrado</v>
      </c>
      <c r="E582" s="42" t="str" cm="1">
        <f t="array" ref="E582">IFERROR(INDEX({"IMPEDITIVO"},MATCH(TRUE,ISNUMBER(FIND(SUBSTITUTE(SUBSTITUTE(UPPER({"IMPEDITIVO"})," ",""),":",": "),SUBSTITUTE(SUBSTITUTE(UPPER(S582)," ",""),":",": "))),0)),"-")</f>
        <v>-</v>
      </c>
      <c r="K582" s="49"/>
    </row>
    <row r="583" spans="1:11" x14ac:dyDescent="0.25">
      <c r="A583" s="46" t="str" cm="1">
        <f t="array" ref="A583">IFERROR(INDEX(#REF!,MATCH(TRUE,ISNUMBER(FIND(SUBSTITUTE(SUBSTITUTE(UPPER(#REF!)," ",""),":",": "),SUBSTITUTE(SUBSTITUTE(UPPER(S583)," ",""),":",": "))),0)),"Undefined")</f>
        <v>Undefined</v>
      </c>
      <c r="B583" s="42" t="str" cm="1">
        <f t="array" ref="B583">IFERROR(INDEX({"URGENTE"},MATCH(TRUE,ISNUMBER(FIND(SUBSTITUTE(SUBSTITUTE(UPPER({"URGENTE"})," ",""),":",": "),SUBSTITUTE(SUBSTITUTE(UPPER(S583)," ",""),":",": "))),0)),"-")</f>
        <v>-</v>
      </c>
      <c r="C583" s="46" t="str" cm="1">
        <f t="array" ref="C583">IFERROR(INDEX(#REF!,MATCH(TRUE,ISNUMBER(FIND(SUBSTITUTE(SUBSTITUTE(UPPER(#REF!)," ",""),":",": "),SUBSTITUTE(SUBSTITUTE(UPPER(S583)," ",""),":",": "))),0)),"Não encontrado")</f>
        <v>Não encontrado</v>
      </c>
      <c r="D583" s="46" t="str" cm="1">
        <f t="array" ref="D583">IFERROR(INDEX(#REF!,MATCH(TRUE,ISNUMBER(FIND(SUBSTITUTE(SUBSTITUTE(UPPER(#REF!)," ",""),":",": "),SUBSTITUTE(SUBSTITUTE(UPPER(S583)," ",""),":",": "))),0)),"Não encontrado")</f>
        <v>Não encontrado</v>
      </c>
      <c r="E583" s="42" t="str" cm="1">
        <f t="array" ref="E583">IFERROR(INDEX({"IMPEDITIVO"},MATCH(TRUE,ISNUMBER(FIND(SUBSTITUTE(SUBSTITUTE(UPPER({"IMPEDITIVO"})," ",""),":",": "),SUBSTITUTE(SUBSTITUTE(UPPER(S583)," ",""),":",": "))),0)),"-")</f>
        <v>-</v>
      </c>
      <c r="K583" s="49"/>
    </row>
    <row r="584" spans="1:11" x14ac:dyDescent="0.25">
      <c r="A584" s="46" t="str" cm="1">
        <f t="array" ref="A584">IFERROR(INDEX(#REF!,MATCH(TRUE,ISNUMBER(FIND(SUBSTITUTE(SUBSTITUTE(UPPER(#REF!)," ",""),":",": "),SUBSTITUTE(SUBSTITUTE(UPPER(S584)," ",""),":",": "))),0)),"Undefined")</f>
        <v>Undefined</v>
      </c>
      <c r="B584" s="42" t="str" cm="1">
        <f t="array" ref="B584">IFERROR(INDEX({"URGENTE"},MATCH(TRUE,ISNUMBER(FIND(SUBSTITUTE(SUBSTITUTE(UPPER({"URGENTE"})," ",""),":",": "),SUBSTITUTE(SUBSTITUTE(UPPER(S584)," ",""),":",": "))),0)),"-")</f>
        <v>-</v>
      </c>
      <c r="C584" s="46" t="str" cm="1">
        <f t="array" ref="C584">IFERROR(INDEX(#REF!,MATCH(TRUE,ISNUMBER(FIND(SUBSTITUTE(SUBSTITUTE(UPPER(#REF!)," ",""),":",": "),SUBSTITUTE(SUBSTITUTE(UPPER(S584)," ",""),":",": "))),0)),"Não encontrado")</f>
        <v>Não encontrado</v>
      </c>
      <c r="D584" s="46" t="str" cm="1">
        <f t="array" ref="D584">IFERROR(INDEX(#REF!,MATCH(TRUE,ISNUMBER(FIND(SUBSTITUTE(SUBSTITUTE(UPPER(#REF!)," ",""),":",": "),SUBSTITUTE(SUBSTITUTE(UPPER(S584)," ",""),":",": "))),0)),"Não encontrado")</f>
        <v>Não encontrado</v>
      </c>
      <c r="E584" s="42" t="str" cm="1">
        <f t="array" ref="E584">IFERROR(INDEX({"IMPEDITIVO"},MATCH(TRUE,ISNUMBER(FIND(SUBSTITUTE(SUBSTITUTE(UPPER({"IMPEDITIVO"})," ",""),":",": "),SUBSTITUTE(SUBSTITUTE(UPPER(S584)," ",""),":",": "))),0)),"-")</f>
        <v>-</v>
      </c>
      <c r="K584" s="49"/>
    </row>
    <row r="585" spans="1:11" x14ac:dyDescent="0.25">
      <c r="A585" s="46" t="str" cm="1">
        <f t="array" ref="A585">IFERROR(INDEX(#REF!,MATCH(TRUE,ISNUMBER(FIND(SUBSTITUTE(SUBSTITUTE(UPPER(#REF!)," ",""),":",": "),SUBSTITUTE(SUBSTITUTE(UPPER(S585)," ",""),":",": "))),0)),"Undefined")</f>
        <v>Undefined</v>
      </c>
      <c r="B585" s="42" t="str" cm="1">
        <f t="array" ref="B585">IFERROR(INDEX({"URGENTE"},MATCH(TRUE,ISNUMBER(FIND(SUBSTITUTE(SUBSTITUTE(UPPER({"URGENTE"})," ",""),":",": "),SUBSTITUTE(SUBSTITUTE(UPPER(S585)," ",""),":",": "))),0)),"-")</f>
        <v>-</v>
      </c>
      <c r="C585" s="46" t="str" cm="1">
        <f t="array" ref="C585">IFERROR(INDEX(#REF!,MATCH(TRUE,ISNUMBER(FIND(SUBSTITUTE(SUBSTITUTE(UPPER(#REF!)," ",""),":",": "),SUBSTITUTE(SUBSTITUTE(UPPER(S585)," ",""),":",": "))),0)),"Não encontrado")</f>
        <v>Não encontrado</v>
      </c>
      <c r="D585" s="46" t="str" cm="1">
        <f t="array" ref="D585">IFERROR(INDEX(#REF!,MATCH(TRUE,ISNUMBER(FIND(SUBSTITUTE(SUBSTITUTE(UPPER(#REF!)," ",""),":",": "),SUBSTITUTE(SUBSTITUTE(UPPER(S585)," ",""),":",": "))),0)),"Não encontrado")</f>
        <v>Não encontrado</v>
      </c>
      <c r="E585" s="42" t="str" cm="1">
        <f t="array" ref="E585">IFERROR(INDEX({"IMPEDITIVO"},MATCH(TRUE,ISNUMBER(FIND(SUBSTITUTE(SUBSTITUTE(UPPER({"IMPEDITIVO"})," ",""),":",": "),SUBSTITUTE(SUBSTITUTE(UPPER(S585)," ",""),":",": "))),0)),"-")</f>
        <v>-</v>
      </c>
      <c r="K585" s="49"/>
    </row>
    <row r="586" spans="1:11" x14ac:dyDescent="0.25">
      <c r="A586" s="46" t="str" cm="1">
        <f t="array" ref="A586">IFERROR(INDEX(#REF!,MATCH(TRUE,ISNUMBER(FIND(SUBSTITUTE(SUBSTITUTE(UPPER(#REF!)," ",""),":",": "),SUBSTITUTE(SUBSTITUTE(UPPER(S586)," ",""),":",": "))),0)),"Undefined")</f>
        <v>Undefined</v>
      </c>
      <c r="B586" s="42" t="str" cm="1">
        <f t="array" ref="B586">IFERROR(INDEX({"URGENTE"},MATCH(TRUE,ISNUMBER(FIND(SUBSTITUTE(SUBSTITUTE(UPPER({"URGENTE"})," ",""),":",": "),SUBSTITUTE(SUBSTITUTE(UPPER(S586)," ",""),":",": "))),0)),"-")</f>
        <v>-</v>
      </c>
      <c r="C586" s="46" t="str" cm="1">
        <f t="array" ref="C586">IFERROR(INDEX(#REF!,MATCH(TRUE,ISNUMBER(FIND(SUBSTITUTE(SUBSTITUTE(UPPER(#REF!)," ",""),":",": "),SUBSTITUTE(SUBSTITUTE(UPPER(S586)," ",""),":",": "))),0)),"Não encontrado")</f>
        <v>Não encontrado</v>
      </c>
      <c r="D586" s="46" t="str" cm="1">
        <f t="array" ref="D586">IFERROR(INDEX(#REF!,MATCH(TRUE,ISNUMBER(FIND(SUBSTITUTE(SUBSTITUTE(UPPER(#REF!)," ",""),":",": "),SUBSTITUTE(SUBSTITUTE(UPPER(S586)," ",""),":",": "))),0)),"Não encontrado")</f>
        <v>Não encontrado</v>
      </c>
      <c r="E586" s="42" t="str" cm="1">
        <f t="array" ref="E586">IFERROR(INDEX({"IMPEDITIVO"},MATCH(TRUE,ISNUMBER(FIND(SUBSTITUTE(SUBSTITUTE(UPPER({"IMPEDITIVO"})," ",""),":",": "),SUBSTITUTE(SUBSTITUTE(UPPER(S586)," ",""),":",": "))),0)),"-")</f>
        <v>-</v>
      </c>
      <c r="K586" s="49"/>
    </row>
    <row r="587" spans="1:11" x14ac:dyDescent="0.25">
      <c r="A587" s="46" t="str" cm="1">
        <f t="array" ref="A587">IFERROR(INDEX(#REF!,MATCH(TRUE,ISNUMBER(FIND(SUBSTITUTE(SUBSTITUTE(UPPER(#REF!)," ",""),":",": "),SUBSTITUTE(SUBSTITUTE(UPPER(S587)," ",""),":",": "))),0)),"Undefined")</f>
        <v>Undefined</v>
      </c>
      <c r="B587" s="42" t="str" cm="1">
        <f t="array" ref="B587">IFERROR(INDEX({"URGENTE"},MATCH(TRUE,ISNUMBER(FIND(SUBSTITUTE(SUBSTITUTE(UPPER({"URGENTE"})," ",""),":",": "),SUBSTITUTE(SUBSTITUTE(UPPER(S587)," ",""),":",": "))),0)),"-")</f>
        <v>-</v>
      </c>
      <c r="C587" s="46" t="str" cm="1">
        <f t="array" ref="C587">IFERROR(INDEX(#REF!,MATCH(TRUE,ISNUMBER(FIND(SUBSTITUTE(SUBSTITUTE(UPPER(#REF!)," ",""),":",": "),SUBSTITUTE(SUBSTITUTE(UPPER(S587)," ",""),":",": "))),0)),"Não encontrado")</f>
        <v>Não encontrado</v>
      </c>
      <c r="D587" s="46" t="str" cm="1">
        <f t="array" ref="D587">IFERROR(INDEX(#REF!,MATCH(TRUE,ISNUMBER(FIND(SUBSTITUTE(SUBSTITUTE(UPPER(#REF!)," ",""),":",": "),SUBSTITUTE(SUBSTITUTE(UPPER(S587)," ",""),":",": "))),0)),"Não encontrado")</f>
        <v>Não encontrado</v>
      </c>
      <c r="E587" s="42" t="str" cm="1">
        <f t="array" ref="E587">IFERROR(INDEX({"IMPEDITIVO"},MATCH(TRUE,ISNUMBER(FIND(SUBSTITUTE(SUBSTITUTE(UPPER({"IMPEDITIVO"})," ",""),":",": "),SUBSTITUTE(SUBSTITUTE(UPPER(S587)," ",""),":",": "))),0)),"-")</f>
        <v>-</v>
      </c>
      <c r="K587" s="49"/>
    </row>
    <row r="588" spans="1:11" x14ac:dyDescent="0.25">
      <c r="A588" s="46" t="str" cm="1">
        <f t="array" ref="A588">IFERROR(INDEX(#REF!,MATCH(TRUE,ISNUMBER(FIND(SUBSTITUTE(SUBSTITUTE(UPPER(#REF!)," ",""),":",": "),SUBSTITUTE(SUBSTITUTE(UPPER(S588)," ",""),":",": "))),0)),"Undefined")</f>
        <v>Undefined</v>
      </c>
      <c r="B588" s="42" t="str" cm="1">
        <f t="array" ref="B588">IFERROR(INDEX({"URGENTE"},MATCH(TRUE,ISNUMBER(FIND(SUBSTITUTE(SUBSTITUTE(UPPER({"URGENTE"})," ",""),":",": "),SUBSTITUTE(SUBSTITUTE(UPPER(S588)," ",""),":",": "))),0)),"-")</f>
        <v>-</v>
      </c>
      <c r="C588" s="46" t="str" cm="1">
        <f t="array" ref="C588">IFERROR(INDEX(#REF!,MATCH(TRUE,ISNUMBER(FIND(SUBSTITUTE(SUBSTITUTE(UPPER(#REF!)," ",""),":",": "),SUBSTITUTE(SUBSTITUTE(UPPER(S588)," ",""),":",": "))),0)),"Não encontrado")</f>
        <v>Não encontrado</v>
      </c>
      <c r="D588" s="46" t="str" cm="1">
        <f t="array" ref="D588">IFERROR(INDEX(#REF!,MATCH(TRUE,ISNUMBER(FIND(SUBSTITUTE(SUBSTITUTE(UPPER(#REF!)," ",""),":",": "),SUBSTITUTE(SUBSTITUTE(UPPER(S588)," ",""),":",": "))),0)),"Não encontrado")</f>
        <v>Não encontrado</v>
      </c>
      <c r="E588" s="42" t="str" cm="1">
        <f t="array" ref="E588">IFERROR(INDEX({"IMPEDITIVO"},MATCH(TRUE,ISNUMBER(FIND(SUBSTITUTE(SUBSTITUTE(UPPER({"IMPEDITIVO"})," ",""),":",": "),SUBSTITUTE(SUBSTITUTE(UPPER(S588)," ",""),":",": "))),0)),"-")</f>
        <v>-</v>
      </c>
      <c r="K588" s="49"/>
    </row>
    <row r="589" spans="1:11" x14ac:dyDescent="0.25">
      <c r="A589" s="46" t="str" cm="1">
        <f t="array" ref="A589">IFERROR(INDEX(#REF!,MATCH(TRUE,ISNUMBER(FIND(SUBSTITUTE(SUBSTITUTE(UPPER(#REF!)," ",""),":",": "),SUBSTITUTE(SUBSTITUTE(UPPER(S589)," ",""),":",": "))),0)),"Undefined")</f>
        <v>Undefined</v>
      </c>
      <c r="B589" s="42" t="str" cm="1">
        <f t="array" ref="B589">IFERROR(INDEX({"URGENTE"},MATCH(TRUE,ISNUMBER(FIND(SUBSTITUTE(SUBSTITUTE(UPPER({"URGENTE"})," ",""),":",": "),SUBSTITUTE(SUBSTITUTE(UPPER(S589)," ",""),":",": "))),0)),"-")</f>
        <v>-</v>
      </c>
      <c r="C589" s="46" t="str" cm="1">
        <f t="array" ref="C589">IFERROR(INDEX(#REF!,MATCH(TRUE,ISNUMBER(FIND(SUBSTITUTE(SUBSTITUTE(UPPER(#REF!)," ",""),":",": "),SUBSTITUTE(SUBSTITUTE(UPPER(S589)," ",""),":",": "))),0)),"Não encontrado")</f>
        <v>Não encontrado</v>
      </c>
      <c r="D589" s="46" t="str" cm="1">
        <f t="array" ref="D589">IFERROR(INDEX(#REF!,MATCH(TRUE,ISNUMBER(FIND(SUBSTITUTE(SUBSTITUTE(UPPER(#REF!)," ",""),":",": "),SUBSTITUTE(SUBSTITUTE(UPPER(S589)," ",""),":",": "))),0)),"Não encontrado")</f>
        <v>Não encontrado</v>
      </c>
      <c r="E589" s="42" t="str" cm="1">
        <f t="array" ref="E589">IFERROR(INDEX({"IMPEDITIVO"},MATCH(TRUE,ISNUMBER(FIND(SUBSTITUTE(SUBSTITUTE(UPPER({"IMPEDITIVO"})," ",""),":",": "),SUBSTITUTE(SUBSTITUTE(UPPER(S589)," ",""),":",": "))),0)),"-")</f>
        <v>-</v>
      </c>
      <c r="K589" s="49"/>
    </row>
    <row r="590" spans="1:11" x14ac:dyDescent="0.25">
      <c r="A590" s="46" t="str" cm="1">
        <f t="array" ref="A590">IFERROR(INDEX(#REF!,MATCH(TRUE,ISNUMBER(FIND(SUBSTITUTE(SUBSTITUTE(UPPER(#REF!)," ",""),":",": "),SUBSTITUTE(SUBSTITUTE(UPPER(S590)," ",""),":",": "))),0)),"Undefined")</f>
        <v>Undefined</v>
      </c>
      <c r="B590" s="42" t="str" cm="1">
        <f t="array" ref="B590">IFERROR(INDEX({"URGENTE"},MATCH(TRUE,ISNUMBER(FIND(SUBSTITUTE(SUBSTITUTE(UPPER({"URGENTE"})," ",""),":",": "),SUBSTITUTE(SUBSTITUTE(UPPER(S590)," ",""),":",": "))),0)),"-")</f>
        <v>-</v>
      </c>
      <c r="C590" s="46" t="str" cm="1">
        <f t="array" ref="C590">IFERROR(INDEX(#REF!,MATCH(TRUE,ISNUMBER(FIND(SUBSTITUTE(SUBSTITUTE(UPPER(#REF!)," ",""),":",": "),SUBSTITUTE(SUBSTITUTE(UPPER(S590)," ",""),":",": "))),0)),"Não encontrado")</f>
        <v>Não encontrado</v>
      </c>
      <c r="D590" s="46" t="str" cm="1">
        <f t="array" ref="D590">IFERROR(INDEX(#REF!,MATCH(TRUE,ISNUMBER(FIND(SUBSTITUTE(SUBSTITUTE(UPPER(#REF!)," ",""),":",": "),SUBSTITUTE(SUBSTITUTE(UPPER(S590)," ",""),":",": "))),0)),"Não encontrado")</f>
        <v>Não encontrado</v>
      </c>
      <c r="E590" s="42" t="str" cm="1">
        <f t="array" ref="E590">IFERROR(INDEX({"IMPEDITIVO"},MATCH(TRUE,ISNUMBER(FIND(SUBSTITUTE(SUBSTITUTE(UPPER({"IMPEDITIVO"})," ",""),":",": "),SUBSTITUTE(SUBSTITUTE(UPPER(S590)," ",""),":",": "))),0)),"-")</f>
        <v>-</v>
      </c>
      <c r="K590" s="49"/>
    </row>
    <row r="591" spans="1:11" x14ac:dyDescent="0.25">
      <c r="A591" s="46" t="str" cm="1">
        <f t="array" ref="A591">IFERROR(INDEX(#REF!,MATCH(TRUE,ISNUMBER(FIND(SUBSTITUTE(SUBSTITUTE(UPPER(#REF!)," ",""),":",": "),SUBSTITUTE(SUBSTITUTE(UPPER(S591)," ",""),":",": "))),0)),"Undefined")</f>
        <v>Undefined</v>
      </c>
      <c r="B591" s="42" t="str" cm="1">
        <f t="array" ref="B591">IFERROR(INDEX({"URGENTE"},MATCH(TRUE,ISNUMBER(FIND(SUBSTITUTE(SUBSTITUTE(UPPER({"URGENTE"})," ",""),":",": "),SUBSTITUTE(SUBSTITUTE(UPPER(S591)," ",""),":",": "))),0)),"-")</f>
        <v>-</v>
      </c>
      <c r="C591" s="46" t="str" cm="1">
        <f t="array" ref="C591">IFERROR(INDEX(#REF!,MATCH(TRUE,ISNUMBER(FIND(SUBSTITUTE(SUBSTITUTE(UPPER(#REF!)," ",""),":",": "),SUBSTITUTE(SUBSTITUTE(UPPER(S591)," ",""),":",": "))),0)),"Não encontrado")</f>
        <v>Não encontrado</v>
      </c>
      <c r="D591" s="46" t="str" cm="1">
        <f t="array" ref="D591">IFERROR(INDEX(#REF!,MATCH(TRUE,ISNUMBER(FIND(SUBSTITUTE(SUBSTITUTE(UPPER(#REF!)," ",""),":",": "),SUBSTITUTE(SUBSTITUTE(UPPER(S591)," ",""),":",": "))),0)),"Não encontrado")</f>
        <v>Não encontrado</v>
      </c>
      <c r="E591" s="42" t="str" cm="1">
        <f t="array" ref="E591">IFERROR(INDEX({"IMPEDITIVO"},MATCH(TRUE,ISNUMBER(FIND(SUBSTITUTE(SUBSTITUTE(UPPER({"IMPEDITIVO"})," ",""),":",": "),SUBSTITUTE(SUBSTITUTE(UPPER(S591)," ",""),":",": "))),0)),"-")</f>
        <v>-</v>
      </c>
      <c r="K591" s="49"/>
    </row>
    <row r="592" spans="1:11" x14ac:dyDescent="0.25">
      <c r="A592" s="46" t="str" cm="1">
        <f t="array" ref="A592">IFERROR(INDEX(#REF!,MATCH(TRUE,ISNUMBER(FIND(SUBSTITUTE(SUBSTITUTE(UPPER(#REF!)," ",""),":",": "),SUBSTITUTE(SUBSTITUTE(UPPER(S592)," ",""),":",": "))),0)),"Undefined")</f>
        <v>Undefined</v>
      </c>
      <c r="B592" s="42" t="str" cm="1">
        <f t="array" ref="B592">IFERROR(INDEX({"URGENTE"},MATCH(TRUE,ISNUMBER(FIND(SUBSTITUTE(SUBSTITUTE(UPPER({"URGENTE"})," ",""),":",": "),SUBSTITUTE(SUBSTITUTE(UPPER(S592)," ",""),":",": "))),0)),"-")</f>
        <v>-</v>
      </c>
      <c r="C592" s="46" t="str" cm="1">
        <f t="array" ref="C592">IFERROR(INDEX(#REF!,MATCH(TRUE,ISNUMBER(FIND(SUBSTITUTE(SUBSTITUTE(UPPER(#REF!)," ",""),":",": "),SUBSTITUTE(SUBSTITUTE(UPPER(S592)," ",""),":",": "))),0)),"Não encontrado")</f>
        <v>Não encontrado</v>
      </c>
      <c r="D592" s="46" t="str" cm="1">
        <f t="array" ref="D592">IFERROR(INDEX(#REF!,MATCH(TRUE,ISNUMBER(FIND(SUBSTITUTE(SUBSTITUTE(UPPER(#REF!)," ",""),":",": "),SUBSTITUTE(SUBSTITUTE(UPPER(S592)," ",""),":",": "))),0)),"Não encontrado")</f>
        <v>Não encontrado</v>
      </c>
      <c r="E592" s="42" t="str" cm="1">
        <f t="array" ref="E592">IFERROR(INDEX({"IMPEDITIVO"},MATCH(TRUE,ISNUMBER(FIND(SUBSTITUTE(SUBSTITUTE(UPPER({"IMPEDITIVO"})," ",""),":",": "),SUBSTITUTE(SUBSTITUTE(UPPER(S592)," ",""),":",": "))),0)),"-")</f>
        <v>-</v>
      </c>
      <c r="K592" s="49"/>
    </row>
    <row r="593" spans="1:11" x14ac:dyDescent="0.25">
      <c r="A593" s="46" t="str" cm="1">
        <f t="array" ref="A593">IFERROR(INDEX(#REF!,MATCH(TRUE,ISNUMBER(FIND(SUBSTITUTE(SUBSTITUTE(UPPER(#REF!)," ",""),":",": "),SUBSTITUTE(SUBSTITUTE(UPPER(S593)," ",""),":",": "))),0)),"Undefined")</f>
        <v>Undefined</v>
      </c>
      <c r="B593" s="42" t="str" cm="1">
        <f t="array" ref="B593">IFERROR(INDEX({"URGENTE"},MATCH(TRUE,ISNUMBER(FIND(SUBSTITUTE(SUBSTITUTE(UPPER({"URGENTE"})," ",""),":",": "),SUBSTITUTE(SUBSTITUTE(UPPER(S593)," ",""),":",": "))),0)),"-")</f>
        <v>-</v>
      </c>
      <c r="C593" s="46" t="str" cm="1">
        <f t="array" ref="C593">IFERROR(INDEX(#REF!,MATCH(TRUE,ISNUMBER(FIND(SUBSTITUTE(SUBSTITUTE(UPPER(#REF!)," ",""),":",": "),SUBSTITUTE(SUBSTITUTE(UPPER(S593)," ",""),":",": "))),0)),"Não encontrado")</f>
        <v>Não encontrado</v>
      </c>
      <c r="D593" s="46" t="str" cm="1">
        <f t="array" ref="D593">IFERROR(INDEX(#REF!,MATCH(TRUE,ISNUMBER(FIND(SUBSTITUTE(SUBSTITUTE(UPPER(#REF!)," ",""),":",": "),SUBSTITUTE(SUBSTITUTE(UPPER(S593)," ",""),":",": "))),0)),"Não encontrado")</f>
        <v>Não encontrado</v>
      </c>
      <c r="E593" s="42" t="str" cm="1">
        <f t="array" ref="E593">IFERROR(INDEX({"IMPEDITIVO"},MATCH(TRUE,ISNUMBER(FIND(SUBSTITUTE(SUBSTITUTE(UPPER({"IMPEDITIVO"})," ",""),":",": "),SUBSTITUTE(SUBSTITUTE(UPPER(S593)," ",""),":",": "))),0)),"-")</f>
        <v>-</v>
      </c>
      <c r="K593" s="49"/>
    </row>
    <row r="594" spans="1:11" x14ac:dyDescent="0.25">
      <c r="A594" s="46" t="str" cm="1">
        <f t="array" ref="A594">IFERROR(INDEX(#REF!,MATCH(TRUE,ISNUMBER(FIND(SUBSTITUTE(SUBSTITUTE(UPPER(#REF!)," ",""),":",": "),SUBSTITUTE(SUBSTITUTE(UPPER(S594)," ",""),":",": "))),0)),"Undefined")</f>
        <v>Undefined</v>
      </c>
      <c r="B594" s="42" t="str" cm="1">
        <f t="array" ref="B594">IFERROR(INDEX({"URGENTE"},MATCH(TRUE,ISNUMBER(FIND(SUBSTITUTE(SUBSTITUTE(UPPER({"URGENTE"})," ",""),":",": "),SUBSTITUTE(SUBSTITUTE(UPPER(S594)," ",""),":",": "))),0)),"-")</f>
        <v>-</v>
      </c>
      <c r="C594" s="46" t="str" cm="1">
        <f t="array" ref="C594">IFERROR(INDEX(#REF!,MATCH(TRUE,ISNUMBER(FIND(SUBSTITUTE(SUBSTITUTE(UPPER(#REF!)," ",""),":",": "),SUBSTITUTE(SUBSTITUTE(UPPER(S594)," ",""),":",": "))),0)),"Não encontrado")</f>
        <v>Não encontrado</v>
      </c>
      <c r="D594" s="46" t="str" cm="1">
        <f t="array" ref="D594">IFERROR(INDEX(#REF!,MATCH(TRUE,ISNUMBER(FIND(SUBSTITUTE(SUBSTITUTE(UPPER(#REF!)," ",""),":",": "),SUBSTITUTE(SUBSTITUTE(UPPER(S594)," ",""),":",": "))),0)),"Não encontrado")</f>
        <v>Não encontrado</v>
      </c>
      <c r="E594" s="42" t="str" cm="1">
        <f t="array" ref="E594">IFERROR(INDEX({"IMPEDITIVO"},MATCH(TRUE,ISNUMBER(FIND(SUBSTITUTE(SUBSTITUTE(UPPER({"IMPEDITIVO"})," ",""),":",": "),SUBSTITUTE(SUBSTITUTE(UPPER(S594)," ",""),":",": "))),0)),"-")</f>
        <v>-</v>
      </c>
      <c r="K594" s="49"/>
    </row>
    <row r="595" spans="1:11" x14ac:dyDescent="0.25">
      <c r="A595" s="46" t="str" cm="1">
        <f t="array" ref="A595">IFERROR(INDEX(#REF!,MATCH(TRUE,ISNUMBER(FIND(SUBSTITUTE(SUBSTITUTE(UPPER(#REF!)," ",""),":",": "),SUBSTITUTE(SUBSTITUTE(UPPER(S595)," ",""),":",": "))),0)),"Undefined")</f>
        <v>Undefined</v>
      </c>
      <c r="B595" s="42" t="str" cm="1">
        <f t="array" ref="B595">IFERROR(INDEX({"URGENTE"},MATCH(TRUE,ISNUMBER(FIND(SUBSTITUTE(SUBSTITUTE(UPPER({"URGENTE"})," ",""),":",": "),SUBSTITUTE(SUBSTITUTE(UPPER(S595)," ",""),":",": "))),0)),"-")</f>
        <v>-</v>
      </c>
      <c r="C595" s="46" t="str" cm="1">
        <f t="array" ref="C595">IFERROR(INDEX(#REF!,MATCH(TRUE,ISNUMBER(FIND(SUBSTITUTE(SUBSTITUTE(UPPER(#REF!)," ",""),":",": "),SUBSTITUTE(SUBSTITUTE(UPPER(S595)," ",""),":",": "))),0)),"Não encontrado")</f>
        <v>Não encontrado</v>
      </c>
      <c r="D595" s="46" t="str" cm="1">
        <f t="array" ref="D595">IFERROR(INDEX(#REF!,MATCH(TRUE,ISNUMBER(FIND(SUBSTITUTE(SUBSTITUTE(UPPER(#REF!)," ",""),":",": "),SUBSTITUTE(SUBSTITUTE(UPPER(S595)," ",""),":",": "))),0)),"Não encontrado")</f>
        <v>Não encontrado</v>
      </c>
      <c r="E595" s="42" t="str" cm="1">
        <f t="array" ref="E595">IFERROR(INDEX({"IMPEDITIVO"},MATCH(TRUE,ISNUMBER(FIND(SUBSTITUTE(SUBSTITUTE(UPPER({"IMPEDITIVO"})," ",""),":",": "),SUBSTITUTE(SUBSTITUTE(UPPER(S595)," ",""),":",": "))),0)),"-")</f>
        <v>-</v>
      </c>
      <c r="K595" s="49"/>
    </row>
    <row r="596" spans="1:11" x14ac:dyDescent="0.25">
      <c r="A596" s="46" t="str" cm="1">
        <f t="array" ref="A596">IFERROR(INDEX(#REF!,MATCH(TRUE,ISNUMBER(FIND(SUBSTITUTE(SUBSTITUTE(UPPER(#REF!)," ",""),":",": "),SUBSTITUTE(SUBSTITUTE(UPPER(S596)," ",""),":",": "))),0)),"Undefined")</f>
        <v>Undefined</v>
      </c>
      <c r="B596" s="42" t="str" cm="1">
        <f t="array" ref="B596">IFERROR(INDEX({"URGENTE"},MATCH(TRUE,ISNUMBER(FIND(SUBSTITUTE(SUBSTITUTE(UPPER({"URGENTE"})," ",""),":",": "),SUBSTITUTE(SUBSTITUTE(UPPER(S596)," ",""),":",": "))),0)),"-")</f>
        <v>-</v>
      </c>
      <c r="C596" s="46" t="str" cm="1">
        <f t="array" ref="C596">IFERROR(INDEX(#REF!,MATCH(TRUE,ISNUMBER(FIND(SUBSTITUTE(SUBSTITUTE(UPPER(#REF!)," ",""),":",": "),SUBSTITUTE(SUBSTITUTE(UPPER(S596)," ",""),":",": "))),0)),"Não encontrado")</f>
        <v>Não encontrado</v>
      </c>
      <c r="D596" s="46" t="str" cm="1">
        <f t="array" ref="D596">IFERROR(INDEX(#REF!,MATCH(TRUE,ISNUMBER(FIND(SUBSTITUTE(SUBSTITUTE(UPPER(#REF!)," ",""),":",": "),SUBSTITUTE(SUBSTITUTE(UPPER(S596)," ",""),":",": "))),0)),"Não encontrado")</f>
        <v>Não encontrado</v>
      </c>
      <c r="E596" s="42" t="str" cm="1">
        <f t="array" ref="E596">IFERROR(INDEX({"IMPEDITIVO"},MATCH(TRUE,ISNUMBER(FIND(SUBSTITUTE(SUBSTITUTE(UPPER({"IMPEDITIVO"})," ",""),":",": "),SUBSTITUTE(SUBSTITUTE(UPPER(S596)," ",""),":",": "))),0)),"-")</f>
        <v>-</v>
      </c>
      <c r="K596" s="49"/>
    </row>
    <row r="597" spans="1:11" x14ac:dyDescent="0.25">
      <c r="A597" s="46" t="str" cm="1">
        <f t="array" ref="A597">IFERROR(INDEX(#REF!,MATCH(TRUE,ISNUMBER(FIND(SUBSTITUTE(SUBSTITUTE(UPPER(#REF!)," ",""),":",": "),SUBSTITUTE(SUBSTITUTE(UPPER(S597)," ",""),":",": "))),0)),"Undefined")</f>
        <v>Undefined</v>
      </c>
      <c r="B597" s="42" t="str" cm="1">
        <f t="array" ref="B597">IFERROR(INDEX({"URGENTE"},MATCH(TRUE,ISNUMBER(FIND(SUBSTITUTE(SUBSTITUTE(UPPER({"URGENTE"})," ",""),":",": "),SUBSTITUTE(SUBSTITUTE(UPPER(S597)," ",""),":",": "))),0)),"-")</f>
        <v>-</v>
      </c>
      <c r="C597" s="46" t="str" cm="1">
        <f t="array" ref="C597">IFERROR(INDEX(#REF!,MATCH(TRUE,ISNUMBER(FIND(SUBSTITUTE(SUBSTITUTE(UPPER(#REF!)," ",""),":",": "),SUBSTITUTE(SUBSTITUTE(UPPER(S597)," ",""),":",": "))),0)),"Não encontrado")</f>
        <v>Não encontrado</v>
      </c>
      <c r="D597" s="46" t="str" cm="1">
        <f t="array" ref="D597">IFERROR(INDEX(#REF!,MATCH(TRUE,ISNUMBER(FIND(SUBSTITUTE(SUBSTITUTE(UPPER(#REF!)," ",""),":",": "),SUBSTITUTE(SUBSTITUTE(UPPER(S597)," ",""),":",": "))),0)),"Não encontrado")</f>
        <v>Não encontrado</v>
      </c>
      <c r="E597" s="42" t="str" cm="1">
        <f t="array" ref="E597">IFERROR(INDEX({"IMPEDITIVO"},MATCH(TRUE,ISNUMBER(FIND(SUBSTITUTE(SUBSTITUTE(UPPER({"IMPEDITIVO"})," ",""),":",": "),SUBSTITUTE(SUBSTITUTE(UPPER(S597)," ",""),":",": "))),0)),"-")</f>
        <v>-</v>
      </c>
      <c r="K597" s="49"/>
    </row>
    <row r="598" spans="1:11" x14ac:dyDescent="0.25">
      <c r="A598" s="46" t="str" cm="1">
        <f t="array" ref="A598">IFERROR(INDEX(#REF!,MATCH(TRUE,ISNUMBER(FIND(SUBSTITUTE(SUBSTITUTE(UPPER(#REF!)," ",""),":",": "),SUBSTITUTE(SUBSTITUTE(UPPER(S598)," ",""),":",": "))),0)),"Undefined")</f>
        <v>Undefined</v>
      </c>
      <c r="B598" s="42" t="str" cm="1">
        <f t="array" ref="B598">IFERROR(INDEX({"URGENTE"},MATCH(TRUE,ISNUMBER(FIND(SUBSTITUTE(SUBSTITUTE(UPPER({"URGENTE"})," ",""),":",": "),SUBSTITUTE(SUBSTITUTE(UPPER(S598)," ",""),":",": "))),0)),"-")</f>
        <v>-</v>
      </c>
      <c r="C598" s="46" t="str" cm="1">
        <f t="array" ref="C598">IFERROR(INDEX(#REF!,MATCH(TRUE,ISNUMBER(FIND(SUBSTITUTE(SUBSTITUTE(UPPER(#REF!)," ",""),":",": "),SUBSTITUTE(SUBSTITUTE(UPPER(S598)," ",""),":",": "))),0)),"Não encontrado")</f>
        <v>Não encontrado</v>
      </c>
      <c r="D598" s="46" t="str" cm="1">
        <f t="array" ref="D598">IFERROR(INDEX(#REF!,MATCH(TRUE,ISNUMBER(FIND(SUBSTITUTE(SUBSTITUTE(UPPER(#REF!)," ",""),":",": "),SUBSTITUTE(SUBSTITUTE(UPPER(S598)," ",""),":",": "))),0)),"Não encontrado")</f>
        <v>Não encontrado</v>
      </c>
      <c r="E598" s="42" t="str" cm="1">
        <f t="array" ref="E598">IFERROR(INDEX({"IMPEDITIVO"},MATCH(TRUE,ISNUMBER(FIND(SUBSTITUTE(SUBSTITUTE(UPPER({"IMPEDITIVO"})," ",""),":",": "),SUBSTITUTE(SUBSTITUTE(UPPER(S598)," ",""),":",": "))),0)),"-")</f>
        <v>-</v>
      </c>
      <c r="K598" s="49"/>
    </row>
    <row r="599" spans="1:11" x14ac:dyDescent="0.25">
      <c r="A599" s="46" t="str" cm="1">
        <f t="array" ref="A599">IFERROR(INDEX(#REF!,MATCH(TRUE,ISNUMBER(FIND(SUBSTITUTE(SUBSTITUTE(UPPER(#REF!)," ",""),":",": "),SUBSTITUTE(SUBSTITUTE(UPPER(S599)," ",""),":",": "))),0)),"Undefined")</f>
        <v>Undefined</v>
      </c>
      <c r="B599" s="42" t="str" cm="1">
        <f t="array" ref="B599">IFERROR(INDEX({"URGENTE"},MATCH(TRUE,ISNUMBER(FIND(SUBSTITUTE(SUBSTITUTE(UPPER({"URGENTE"})," ",""),":",": "),SUBSTITUTE(SUBSTITUTE(UPPER(S599)," ",""),":",": "))),0)),"-")</f>
        <v>-</v>
      </c>
      <c r="C599" s="46" t="str" cm="1">
        <f t="array" ref="C599">IFERROR(INDEX(#REF!,MATCH(TRUE,ISNUMBER(FIND(SUBSTITUTE(SUBSTITUTE(UPPER(#REF!)," ",""),":",": "),SUBSTITUTE(SUBSTITUTE(UPPER(S599)," ",""),":",": "))),0)),"Não encontrado")</f>
        <v>Não encontrado</v>
      </c>
      <c r="D599" s="46" t="str" cm="1">
        <f t="array" ref="D599">IFERROR(INDEX(#REF!,MATCH(TRUE,ISNUMBER(FIND(SUBSTITUTE(SUBSTITUTE(UPPER(#REF!)," ",""),":",": "),SUBSTITUTE(SUBSTITUTE(UPPER(S599)," ",""),":",": "))),0)),"Não encontrado")</f>
        <v>Não encontrado</v>
      </c>
      <c r="E599" s="42" t="str" cm="1">
        <f t="array" ref="E599">IFERROR(INDEX({"IMPEDITIVO"},MATCH(TRUE,ISNUMBER(FIND(SUBSTITUTE(SUBSTITUTE(UPPER({"IMPEDITIVO"})," ",""),":",": "),SUBSTITUTE(SUBSTITUTE(UPPER(S599)," ",""),":",": "))),0)),"-")</f>
        <v>-</v>
      </c>
      <c r="K599" s="49"/>
    </row>
    <row r="600" spans="1:11" x14ac:dyDescent="0.25">
      <c r="A600" s="46" t="str" cm="1">
        <f t="array" ref="A600">IFERROR(INDEX(#REF!,MATCH(TRUE,ISNUMBER(FIND(SUBSTITUTE(SUBSTITUTE(UPPER(#REF!)," ",""),":",": "),SUBSTITUTE(SUBSTITUTE(UPPER(S600)," ",""),":",": "))),0)),"Undefined")</f>
        <v>Undefined</v>
      </c>
      <c r="B600" s="42" t="str" cm="1">
        <f t="array" ref="B600">IFERROR(INDEX({"URGENTE"},MATCH(TRUE,ISNUMBER(FIND(SUBSTITUTE(SUBSTITUTE(UPPER({"URGENTE"})," ",""),":",": "),SUBSTITUTE(SUBSTITUTE(UPPER(S600)," ",""),":",": "))),0)),"-")</f>
        <v>-</v>
      </c>
      <c r="C600" s="46" t="str" cm="1">
        <f t="array" ref="C600">IFERROR(INDEX(#REF!,MATCH(TRUE,ISNUMBER(FIND(SUBSTITUTE(SUBSTITUTE(UPPER(#REF!)," ",""),":",": "),SUBSTITUTE(SUBSTITUTE(UPPER(S600)," ",""),":",": "))),0)),"Não encontrado")</f>
        <v>Não encontrado</v>
      </c>
      <c r="D600" s="46" t="str" cm="1">
        <f t="array" ref="D600">IFERROR(INDEX(#REF!,MATCH(TRUE,ISNUMBER(FIND(SUBSTITUTE(SUBSTITUTE(UPPER(#REF!)," ",""),":",": "),SUBSTITUTE(SUBSTITUTE(UPPER(S600)," ",""),":",": "))),0)),"Não encontrado")</f>
        <v>Não encontrado</v>
      </c>
      <c r="E600" s="42" t="str" cm="1">
        <f t="array" ref="E600">IFERROR(INDEX({"IMPEDITIVO"},MATCH(TRUE,ISNUMBER(FIND(SUBSTITUTE(SUBSTITUTE(UPPER({"IMPEDITIVO"})," ",""),":",": "),SUBSTITUTE(SUBSTITUTE(UPPER(S600)," ",""),":",": "))),0)),"-")</f>
        <v>-</v>
      </c>
      <c r="K600" s="49"/>
    </row>
    <row r="601" spans="1:11" x14ac:dyDescent="0.25">
      <c r="A601" s="46" t="str" cm="1">
        <f t="array" ref="A601">IFERROR(INDEX(#REF!,MATCH(TRUE,ISNUMBER(FIND(SUBSTITUTE(SUBSTITUTE(UPPER(#REF!)," ",""),":",": "),SUBSTITUTE(SUBSTITUTE(UPPER(S601)," ",""),":",": "))),0)),"Undefined")</f>
        <v>Undefined</v>
      </c>
      <c r="B601" s="42" t="str" cm="1">
        <f t="array" ref="B601">IFERROR(INDEX({"URGENTE"},MATCH(TRUE,ISNUMBER(FIND(SUBSTITUTE(SUBSTITUTE(UPPER({"URGENTE"})," ",""),":",": "),SUBSTITUTE(SUBSTITUTE(UPPER(S601)," ",""),":",": "))),0)),"-")</f>
        <v>-</v>
      </c>
      <c r="C601" s="46" t="str" cm="1">
        <f t="array" ref="C601">IFERROR(INDEX(#REF!,MATCH(TRUE,ISNUMBER(FIND(SUBSTITUTE(SUBSTITUTE(UPPER(#REF!)," ",""),":",": "),SUBSTITUTE(SUBSTITUTE(UPPER(S601)," ",""),":",": "))),0)),"Não encontrado")</f>
        <v>Não encontrado</v>
      </c>
      <c r="D601" s="46" t="str" cm="1">
        <f t="array" ref="D601">IFERROR(INDEX(#REF!,MATCH(TRUE,ISNUMBER(FIND(SUBSTITUTE(SUBSTITUTE(UPPER(#REF!)," ",""),":",": "),SUBSTITUTE(SUBSTITUTE(UPPER(S601)," ",""),":",": "))),0)),"Não encontrado")</f>
        <v>Não encontrado</v>
      </c>
      <c r="E601" s="42" t="str" cm="1">
        <f t="array" ref="E601">IFERROR(INDEX({"IMPEDITIVO"},MATCH(TRUE,ISNUMBER(FIND(SUBSTITUTE(SUBSTITUTE(UPPER({"IMPEDITIVO"})," ",""),":",": "),SUBSTITUTE(SUBSTITUTE(UPPER(S601)," ",""),":",": "))),0)),"-")</f>
        <v>-</v>
      </c>
      <c r="K601" s="49"/>
    </row>
    <row r="602" spans="1:11" x14ac:dyDescent="0.25">
      <c r="A602" s="46" t="str" cm="1">
        <f t="array" ref="A602">IFERROR(INDEX(#REF!,MATCH(TRUE,ISNUMBER(FIND(SUBSTITUTE(SUBSTITUTE(UPPER(#REF!)," ",""),":",": "),SUBSTITUTE(SUBSTITUTE(UPPER(S602)," ",""),":",": "))),0)),"Undefined")</f>
        <v>Undefined</v>
      </c>
      <c r="B602" s="42" t="str" cm="1">
        <f t="array" ref="B602">IFERROR(INDEX({"URGENTE"},MATCH(TRUE,ISNUMBER(FIND(SUBSTITUTE(SUBSTITUTE(UPPER({"URGENTE"})," ",""),":",": "),SUBSTITUTE(SUBSTITUTE(UPPER(S602)," ",""),":",": "))),0)),"-")</f>
        <v>-</v>
      </c>
      <c r="C602" s="46" t="str" cm="1">
        <f t="array" ref="C602">IFERROR(INDEX(#REF!,MATCH(TRUE,ISNUMBER(FIND(SUBSTITUTE(SUBSTITUTE(UPPER(#REF!)," ",""),":",": "),SUBSTITUTE(SUBSTITUTE(UPPER(S602)," ",""),":",": "))),0)),"Não encontrado")</f>
        <v>Não encontrado</v>
      </c>
      <c r="D602" s="46" t="str" cm="1">
        <f t="array" ref="D602">IFERROR(INDEX(#REF!,MATCH(TRUE,ISNUMBER(FIND(SUBSTITUTE(SUBSTITUTE(UPPER(#REF!)," ",""),":",": "),SUBSTITUTE(SUBSTITUTE(UPPER(S602)," ",""),":",": "))),0)),"Não encontrado")</f>
        <v>Não encontrado</v>
      </c>
      <c r="E602" s="42" t="str" cm="1">
        <f t="array" ref="E602">IFERROR(INDEX({"IMPEDITIVO"},MATCH(TRUE,ISNUMBER(FIND(SUBSTITUTE(SUBSTITUTE(UPPER({"IMPEDITIVO"})," ",""),":",": "),SUBSTITUTE(SUBSTITUTE(UPPER(S602)," ",""),":",": "))),0)),"-")</f>
        <v>-</v>
      </c>
      <c r="K602" s="49"/>
    </row>
    <row r="603" spans="1:11" x14ac:dyDescent="0.25">
      <c r="A603" s="46" t="str" cm="1">
        <f t="array" ref="A603">IFERROR(INDEX(#REF!,MATCH(TRUE,ISNUMBER(FIND(SUBSTITUTE(SUBSTITUTE(UPPER(#REF!)," ",""),":",": "),SUBSTITUTE(SUBSTITUTE(UPPER(S603)," ",""),":",": "))),0)),"Undefined")</f>
        <v>Undefined</v>
      </c>
      <c r="B603" s="42" t="str" cm="1">
        <f t="array" ref="B603">IFERROR(INDEX({"URGENTE"},MATCH(TRUE,ISNUMBER(FIND(SUBSTITUTE(SUBSTITUTE(UPPER({"URGENTE"})," ",""),":",": "),SUBSTITUTE(SUBSTITUTE(UPPER(S603)," ",""),":",": "))),0)),"-")</f>
        <v>-</v>
      </c>
      <c r="C603" s="46" t="str" cm="1">
        <f t="array" ref="C603">IFERROR(INDEX(#REF!,MATCH(TRUE,ISNUMBER(FIND(SUBSTITUTE(SUBSTITUTE(UPPER(#REF!)," ",""),":",": "),SUBSTITUTE(SUBSTITUTE(UPPER(S603)," ",""),":",": "))),0)),"Não encontrado")</f>
        <v>Não encontrado</v>
      </c>
      <c r="D603" s="46" t="str" cm="1">
        <f t="array" ref="D603">IFERROR(INDEX(#REF!,MATCH(TRUE,ISNUMBER(FIND(SUBSTITUTE(SUBSTITUTE(UPPER(#REF!)," ",""),":",": "),SUBSTITUTE(SUBSTITUTE(UPPER(S603)," ",""),":",": "))),0)),"Não encontrado")</f>
        <v>Não encontrado</v>
      </c>
      <c r="E603" s="42" t="str" cm="1">
        <f t="array" ref="E603">IFERROR(INDEX({"IMPEDITIVO"},MATCH(TRUE,ISNUMBER(FIND(SUBSTITUTE(SUBSTITUTE(UPPER({"IMPEDITIVO"})," ",""),":",": "),SUBSTITUTE(SUBSTITUTE(UPPER(S603)," ",""),":",": "))),0)),"-")</f>
        <v>-</v>
      </c>
      <c r="K603" s="49"/>
    </row>
    <row r="604" spans="1:11" x14ac:dyDescent="0.25">
      <c r="A604" s="46" t="str" cm="1">
        <f t="array" ref="A604">IFERROR(INDEX(#REF!,MATCH(TRUE,ISNUMBER(FIND(SUBSTITUTE(SUBSTITUTE(UPPER(#REF!)," ",""),":",": "),SUBSTITUTE(SUBSTITUTE(UPPER(S604)," ",""),":",": "))),0)),"Undefined")</f>
        <v>Undefined</v>
      </c>
      <c r="B604" s="42" t="str" cm="1">
        <f t="array" ref="B604">IFERROR(INDEX({"URGENTE"},MATCH(TRUE,ISNUMBER(FIND(SUBSTITUTE(SUBSTITUTE(UPPER({"URGENTE"})," ",""),":",": "),SUBSTITUTE(SUBSTITUTE(UPPER(S604)," ",""),":",": "))),0)),"-")</f>
        <v>-</v>
      </c>
      <c r="C604" s="46" t="str" cm="1">
        <f t="array" ref="C604">IFERROR(INDEX(#REF!,MATCH(TRUE,ISNUMBER(FIND(SUBSTITUTE(SUBSTITUTE(UPPER(#REF!)," ",""),":",": "),SUBSTITUTE(SUBSTITUTE(UPPER(S604)," ",""),":",": "))),0)),"Não encontrado")</f>
        <v>Não encontrado</v>
      </c>
      <c r="D604" s="46" t="str" cm="1">
        <f t="array" ref="D604">IFERROR(INDEX(#REF!,MATCH(TRUE,ISNUMBER(FIND(SUBSTITUTE(SUBSTITUTE(UPPER(#REF!)," ",""),":",": "),SUBSTITUTE(SUBSTITUTE(UPPER(S604)," ",""),":",": "))),0)),"Não encontrado")</f>
        <v>Não encontrado</v>
      </c>
      <c r="E604" s="42" t="str" cm="1">
        <f t="array" ref="E604">IFERROR(INDEX({"IMPEDITIVO"},MATCH(TRUE,ISNUMBER(FIND(SUBSTITUTE(SUBSTITUTE(UPPER({"IMPEDITIVO"})," ",""),":",": "),SUBSTITUTE(SUBSTITUTE(UPPER(S604)," ",""),":",": "))),0)),"-")</f>
        <v>-</v>
      </c>
      <c r="K604" s="49"/>
    </row>
    <row r="605" spans="1:11" x14ac:dyDescent="0.25">
      <c r="A605" s="46" t="str" cm="1">
        <f t="array" ref="A605">IFERROR(INDEX(#REF!,MATCH(TRUE,ISNUMBER(FIND(SUBSTITUTE(SUBSTITUTE(UPPER(#REF!)," ",""),":",": "),SUBSTITUTE(SUBSTITUTE(UPPER(S605)," ",""),":",": "))),0)),"Undefined")</f>
        <v>Undefined</v>
      </c>
      <c r="B605" s="42" t="str" cm="1">
        <f t="array" ref="B605">IFERROR(INDEX({"URGENTE"},MATCH(TRUE,ISNUMBER(FIND(SUBSTITUTE(SUBSTITUTE(UPPER({"URGENTE"})," ",""),":",": "),SUBSTITUTE(SUBSTITUTE(UPPER(S605)," ",""),":",": "))),0)),"-")</f>
        <v>-</v>
      </c>
      <c r="C605" s="46" t="str" cm="1">
        <f t="array" ref="C605">IFERROR(INDEX(#REF!,MATCH(TRUE,ISNUMBER(FIND(SUBSTITUTE(SUBSTITUTE(UPPER(#REF!)," ",""),":",": "),SUBSTITUTE(SUBSTITUTE(UPPER(S605)," ",""),":",": "))),0)),"Não encontrado")</f>
        <v>Não encontrado</v>
      </c>
      <c r="D605" s="46" t="str" cm="1">
        <f t="array" ref="D605">IFERROR(INDEX(#REF!,MATCH(TRUE,ISNUMBER(FIND(SUBSTITUTE(SUBSTITUTE(UPPER(#REF!)," ",""),":",": "),SUBSTITUTE(SUBSTITUTE(UPPER(S605)," ",""),":",": "))),0)),"Não encontrado")</f>
        <v>Não encontrado</v>
      </c>
      <c r="E605" s="42" t="str" cm="1">
        <f t="array" ref="E605">IFERROR(INDEX({"IMPEDITIVO"},MATCH(TRUE,ISNUMBER(FIND(SUBSTITUTE(SUBSTITUTE(UPPER({"IMPEDITIVO"})," ",""),":",": "),SUBSTITUTE(SUBSTITUTE(UPPER(S605)," ",""),":",": "))),0)),"-")</f>
        <v>-</v>
      </c>
      <c r="K605" s="49"/>
    </row>
    <row r="606" spans="1:11" x14ac:dyDescent="0.25">
      <c r="A606" s="46" t="str" cm="1">
        <f t="array" ref="A606">IFERROR(INDEX(#REF!,MATCH(TRUE,ISNUMBER(FIND(SUBSTITUTE(SUBSTITUTE(UPPER(#REF!)," ",""),":",": "),SUBSTITUTE(SUBSTITUTE(UPPER(S606)," ",""),":",": "))),0)),"Undefined")</f>
        <v>Undefined</v>
      </c>
      <c r="B606" s="42" t="str" cm="1">
        <f t="array" ref="B606">IFERROR(INDEX({"URGENTE"},MATCH(TRUE,ISNUMBER(FIND(SUBSTITUTE(SUBSTITUTE(UPPER({"URGENTE"})," ",""),":",": "),SUBSTITUTE(SUBSTITUTE(UPPER(S606)," ",""),":",": "))),0)),"-")</f>
        <v>-</v>
      </c>
      <c r="C606" s="46" t="str" cm="1">
        <f t="array" ref="C606">IFERROR(INDEX(#REF!,MATCH(TRUE,ISNUMBER(FIND(SUBSTITUTE(SUBSTITUTE(UPPER(#REF!)," ",""),":",": "),SUBSTITUTE(SUBSTITUTE(UPPER(S606)," ",""),":",": "))),0)),"Não encontrado")</f>
        <v>Não encontrado</v>
      </c>
      <c r="D606" s="46" t="str" cm="1">
        <f t="array" ref="D606">IFERROR(INDEX(#REF!,MATCH(TRUE,ISNUMBER(FIND(SUBSTITUTE(SUBSTITUTE(UPPER(#REF!)," ",""),":",": "),SUBSTITUTE(SUBSTITUTE(UPPER(S606)," ",""),":",": "))),0)),"Não encontrado")</f>
        <v>Não encontrado</v>
      </c>
      <c r="E606" s="42" t="str" cm="1">
        <f t="array" ref="E606">IFERROR(INDEX({"IMPEDITIVO"},MATCH(TRUE,ISNUMBER(FIND(SUBSTITUTE(SUBSTITUTE(UPPER({"IMPEDITIVO"})," ",""),":",": "),SUBSTITUTE(SUBSTITUTE(UPPER(S606)," ",""),":",": "))),0)),"-")</f>
        <v>-</v>
      </c>
      <c r="K606" s="49"/>
    </row>
    <row r="607" spans="1:11" x14ac:dyDescent="0.25">
      <c r="A607" s="46" t="str" cm="1">
        <f t="array" ref="A607">IFERROR(INDEX(#REF!,MATCH(TRUE,ISNUMBER(FIND(SUBSTITUTE(SUBSTITUTE(UPPER(#REF!)," ",""),":",": "),SUBSTITUTE(SUBSTITUTE(UPPER(S607)," ",""),":",": "))),0)),"Undefined")</f>
        <v>Undefined</v>
      </c>
      <c r="B607" s="42" t="str" cm="1">
        <f t="array" ref="B607">IFERROR(INDEX({"URGENTE"},MATCH(TRUE,ISNUMBER(FIND(SUBSTITUTE(SUBSTITUTE(UPPER({"URGENTE"})," ",""),":",": "),SUBSTITUTE(SUBSTITUTE(UPPER(S607)," ",""),":",": "))),0)),"-")</f>
        <v>-</v>
      </c>
      <c r="C607" s="46" t="str" cm="1">
        <f t="array" ref="C607">IFERROR(INDEX(#REF!,MATCH(TRUE,ISNUMBER(FIND(SUBSTITUTE(SUBSTITUTE(UPPER(#REF!)," ",""),":",": "),SUBSTITUTE(SUBSTITUTE(UPPER(S607)," ",""),":",": "))),0)),"Não encontrado")</f>
        <v>Não encontrado</v>
      </c>
      <c r="D607" s="46" t="str" cm="1">
        <f t="array" ref="D607">IFERROR(INDEX(#REF!,MATCH(TRUE,ISNUMBER(FIND(SUBSTITUTE(SUBSTITUTE(UPPER(#REF!)," ",""),":",": "),SUBSTITUTE(SUBSTITUTE(UPPER(S607)," ",""),":",": "))),0)),"Não encontrado")</f>
        <v>Não encontrado</v>
      </c>
      <c r="E607" s="42" t="str" cm="1">
        <f t="array" ref="E607">IFERROR(INDEX({"IMPEDITIVO"},MATCH(TRUE,ISNUMBER(FIND(SUBSTITUTE(SUBSTITUTE(UPPER({"IMPEDITIVO"})," ",""),":",": "),SUBSTITUTE(SUBSTITUTE(UPPER(S607)," ",""),":",": "))),0)),"-")</f>
        <v>-</v>
      </c>
      <c r="K607" s="49"/>
    </row>
    <row r="608" spans="1:11" x14ac:dyDescent="0.25">
      <c r="A608" s="46" t="str" cm="1">
        <f t="array" ref="A608">IFERROR(INDEX(#REF!,MATCH(TRUE,ISNUMBER(FIND(SUBSTITUTE(SUBSTITUTE(UPPER(#REF!)," ",""),":",": "),SUBSTITUTE(SUBSTITUTE(UPPER(S608)," ",""),":",": "))),0)),"Undefined")</f>
        <v>Undefined</v>
      </c>
      <c r="B608" s="42" t="str" cm="1">
        <f t="array" ref="B608">IFERROR(INDEX({"URGENTE"},MATCH(TRUE,ISNUMBER(FIND(SUBSTITUTE(SUBSTITUTE(UPPER({"URGENTE"})," ",""),":",": "),SUBSTITUTE(SUBSTITUTE(UPPER(S608)," ",""),":",": "))),0)),"-")</f>
        <v>-</v>
      </c>
      <c r="C608" s="46" t="str" cm="1">
        <f t="array" ref="C608">IFERROR(INDEX(#REF!,MATCH(TRUE,ISNUMBER(FIND(SUBSTITUTE(SUBSTITUTE(UPPER(#REF!)," ",""),":",": "),SUBSTITUTE(SUBSTITUTE(UPPER(S608)," ",""),":",": "))),0)),"Não encontrado")</f>
        <v>Não encontrado</v>
      </c>
      <c r="D608" s="46" t="str" cm="1">
        <f t="array" ref="D608">IFERROR(INDEX(#REF!,MATCH(TRUE,ISNUMBER(FIND(SUBSTITUTE(SUBSTITUTE(UPPER(#REF!)," ",""),":",": "),SUBSTITUTE(SUBSTITUTE(UPPER(S608)," ",""),":",": "))),0)),"Não encontrado")</f>
        <v>Não encontrado</v>
      </c>
      <c r="E608" s="42" t="str" cm="1">
        <f t="array" ref="E608">IFERROR(INDEX({"IMPEDITIVO"},MATCH(TRUE,ISNUMBER(FIND(SUBSTITUTE(SUBSTITUTE(UPPER({"IMPEDITIVO"})," ",""),":",": "),SUBSTITUTE(SUBSTITUTE(UPPER(S608)," ",""),":",": "))),0)),"-")</f>
        <v>-</v>
      </c>
      <c r="K608" s="49"/>
    </row>
    <row r="609" spans="1:11" x14ac:dyDescent="0.25">
      <c r="A609" s="46" t="str" cm="1">
        <f t="array" ref="A609">IFERROR(INDEX(#REF!,MATCH(TRUE,ISNUMBER(FIND(SUBSTITUTE(SUBSTITUTE(UPPER(#REF!)," ",""),":",": "),SUBSTITUTE(SUBSTITUTE(UPPER(S609)," ",""),":",": "))),0)),"Undefined")</f>
        <v>Undefined</v>
      </c>
      <c r="B609" s="42" t="str" cm="1">
        <f t="array" ref="B609">IFERROR(INDEX({"URGENTE"},MATCH(TRUE,ISNUMBER(FIND(SUBSTITUTE(SUBSTITUTE(UPPER({"URGENTE"})," ",""),":",": "),SUBSTITUTE(SUBSTITUTE(UPPER(S609)," ",""),":",": "))),0)),"-")</f>
        <v>-</v>
      </c>
      <c r="C609" s="46" t="str" cm="1">
        <f t="array" ref="C609">IFERROR(INDEX(#REF!,MATCH(TRUE,ISNUMBER(FIND(SUBSTITUTE(SUBSTITUTE(UPPER(#REF!)," ",""),":",": "),SUBSTITUTE(SUBSTITUTE(UPPER(S609)," ",""),":",": "))),0)),"Não encontrado")</f>
        <v>Não encontrado</v>
      </c>
      <c r="D609" s="46" t="str" cm="1">
        <f t="array" ref="D609">IFERROR(INDEX(#REF!,MATCH(TRUE,ISNUMBER(FIND(SUBSTITUTE(SUBSTITUTE(UPPER(#REF!)," ",""),":",": "),SUBSTITUTE(SUBSTITUTE(UPPER(S609)," ",""),":",": "))),0)),"Não encontrado")</f>
        <v>Não encontrado</v>
      </c>
      <c r="E609" s="42" t="str" cm="1">
        <f t="array" ref="E609">IFERROR(INDEX({"IMPEDITIVO"},MATCH(TRUE,ISNUMBER(FIND(SUBSTITUTE(SUBSTITUTE(UPPER({"IMPEDITIVO"})," ",""),":",": "),SUBSTITUTE(SUBSTITUTE(UPPER(S609)," ",""),":",": "))),0)),"-")</f>
        <v>-</v>
      </c>
      <c r="K609" s="49"/>
    </row>
    <row r="610" spans="1:11" x14ac:dyDescent="0.25">
      <c r="A610" s="46" t="str" cm="1">
        <f t="array" ref="A610">IFERROR(INDEX(#REF!,MATCH(TRUE,ISNUMBER(FIND(SUBSTITUTE(SUBSTITUTE(UPPER(#REF!)," ",""),":",": "),SUBSTITUTE(SUBSTITUTE(UPPER(S610)," ",""),":",": "))),0)),"Undefined")</f>
        <v>Undefined</v>
      </c>
      <c r="B610" s="42" t="str" cm="1">
        <f t="array" ref="B610">IFERROR(INDEX({"URGENTE"},MATCH(TRUE,ISNUMBER(FIND(SUBSTITUTE(SUBSTITUTE(UPPER({"URGENTE"})," ",""),":",": "),SUBSTITUTE(SUBSTITUTE(UPPER(S610)," ",""),":",": "))),0)),"-")</f>
        <v>-</v>
      </c>
      <c r="C610" s="46" t="str" cm="1">
        <f t="array" ref="C610">IFERROR(INDEX(#REF!,MATCH(TRUE,ISNUMBER(FIND(SUBSTITUTE(SUBSTITUTE(UPPER(#REF!)," ",""),":",": "),SUBSTITUTE(SUBSTITUTE(UPPER(S610)," ",""),":",": "))),0)),"Não encontrado")</f>
        <v>Não encontrado</v>
      </c>
      <c r="D610" s="46" t="str" cm="1">
        <f t="array" ref="D610">IFERROR(INDEX(#REF!,MATCH(TRUE,ISNUMBER(FIND(SUBSTITUTE(SUBSTITUTE(UPPER(#REF!)," ",""),":",": "),SUBSTITUTE(SUBSTITUTE(UPPER(S610)," ",""),":",": "))),0)),"Não encontrado")</f>
        <v>Não encontrado</v>
      </c>
      <c r="E610" s="42" t="str" cm="1">
        <f t="array" ref="E610">IFERROR(INDEX({"IMPEDITIVO"},MATCH(TRUE,ISNUMBER(FIND(SUBSTITUTE(SUBSTITUTE(UPPER({"IMPEDITIVO"})," ",""),":",": "),SUBSTITUTE(SUBSTITUTE(UPPER(S610)," ",""),":",": "))),0)),"-")</f>
        <v>-</v>
      </c>
      <c r="K610" s="49"/>
    </row>
    <row r="611" spans="1:11" x14ac:dyDescent="0.25">
      <c r="A611" s="46" t="str" cm="1">
        <f t="array" ref="A611">IFERROR(INDEX(#REF!,MATCH(TRUE,ISNUMBER(FIND(SUBSTITUTE(SUBSTITUTE(UPPER(#REF!)," ",""),":",": "),SUBSTITUTE(SUBSTITUTE(UPPER(S611)," ",""),":",": "))),0)),"Undefined")</f>
        <v>Undefined</v>
      </c>
      <c r="B611" s="42" t="str" cm="1">
        <f t="array" ref="B611">IFERROR(INDEX({"URGENTE"},MATCH(TRUE,ISNUMBER(FIND(SUBSTITUTE(SUBSTITUTE(UPPER({"URGENTE"})," ",""),":",": "),SUBSTITUTE(SUBSTITUTE(UPPER(S611)," ",""),":",": "))),0)),"-")</f>
        <v>-</v>
      </c>
      <c r="C611" s="46" t="str" cm="1">
        <f t="array" ref="C611">IFERROR(INDEX(#REF!,MATCH(TRUE,ISNUMBER(FIND(SUBSTITUTE(SUBSTITUTE(UPPER(#REF!)," ",""),":",": "),SUBSTITUTE(SUBSTITUTE(UPPER(S611)," ",""),":",": "))),0)),"Não encontrado")</f>
        <v>Não encontrado</v>
      </c>
      <c r="D611" s="46" t="str" cm="1">
        <f t="array" ref="D611">IFERROR(INDEX(#REF!,MATCH(TRUE,ISNUMBER(FIND(SUBSTITUTE(SUBSTITUTE(UPPER(#REF!)," ",""),":",": "),SUBSTITUTE(SUBSTITUTE(UPPER(S611)," ",""),":",": "))),0)),"Não encontrado")</f>
        <v>Não encontrado</v>
      </c>
      <c r="E611" s="42" t="str" cm="1">
        <f t="array" ref="E611">IFERROR(INDEX({"IMPEDITIVO"},MATCH(TRUE,ISNUMBER(FIND(SUBSTITUTE(SUBSTITUTE(UPPER({"IMPEDITIVO"})," ",""),":",": "),SUBSTITUTE(SUBSTITUTE(UPPER(S611)," ",""),":",": "))),0)),"-")</f>
        <v>-</v>
      </c>
      <c r="K611" s="49"/>
    </row>
    <row r="612" spans="1:11" x14ac:dyDescent="0.25">
      <c r="A612" s="46" t="str" cm="1">
        <f t="array" ref="A612">IFERROR(INDEX(#REF!,MATCH(TRUE,ISNUMBER(FIND(SUBSTITUTE(SUBSTITUTE(UPPER(#REF!)," ",""),":",": "),SUBSTITUTE(SUBSTITUTE(UPPER(S612)," ",""),":",": "))),0)),"Undefined")</f>
        <v>Undefined</v>
      </c>
      <c r="B612" s="42" t="str" cm="1">
        <f t="array" ref="B612">IFERROR(INDEX({"URGENTE"},MATCH(TRUE,ISNUMBER(FIND(SUBSTITUTE(SUBSTITUTE(UPPER({"URGENTE"})," ",""),":",": "),SUBSTITUTE(SUBSTITUTE(UPPER(S612)," ",""),":",": "))),0)),"-")</f>
        <v>-</v>
      </c>
      <c r="C612" s="46" t="str" cm="1">
        <f t="array" ref="C612">IFERROR(INDEX(#REF!,MATCH(TRUE,ISNUMBER(FIND(SUBSTITUTE(SUBSTITUTE(UPPER(#REF!)," ",""),":",": "),SUBSTITUTE(SUBSTITUTE(UPPER(S612)," ",""),":",": "))),0)),"Não encontrado")</f>
        <v>Não encontrado</v>
      </c>
      <c r="D612" s="46" t="str" cm="1">
        <f t="array" ref="D612">IFERROR(INDEX(#REF!,MATCH(TRUE,ISNUMBER(FIND(SUBSTITUTE(SUBSTITUTE(UPPER(#REF!)," ",""),":",": "),SUBSTITUTE(SUBSTITUTE(UPPER(S612)," ",""),":",": "))),0)),"Não encontrado")</f>
        <v>Não encontrado</v>
      </c>
      <c r="E612" s="42" t="str" cm="1">
        <f t="array" ref="E612">IFERROR(INDEX({"IMPEDITIVO"},MATCH(TRUE,ISNUMBER(FIND(SUBSTITUTE(SUBSTITUTE(UPPER({"IMPEDITIVO"})," ",""),":",": "),SUBSTITUTE(SUBSTITUTE(UPPER(S612)," ",""),":",": "))),0)),"-")</f>
        <v>-</v>
      </c>
      <c r="K612" s="49"/>
    </row>
    <row r="613" spans="1:11" x14ac:dyDescent="0.25">
      <c r="A613" s="46" t="str" cm="1">
        <f t="array" ref="A613">IFERROR(INDEX(#REF!,MATCH(TRUE,ISNUMBER(FIND(SUBSTITUTE(SUBSTITUTE(UPPER(#REF!)," ",""),":",": "),SUBSTITUTE(SUBSTITUTE(UPPER(S613)," ",""),":",": "))),0)),"Undefined")</f>
        <v>Undefined</v>
      </c>
      <c r="B613" s="42" t="str" cm="1">
        <f t="array" ref="B613">IFERROR(INDEX({"URGENTE"},MATCH(TRUE,ISNUMBER(FIND(SUBSTITUTE(SUBSTITUTE(UPPER({"URGENTE"})," ",""),":",": "),SUBSTITUTE(SUBSTITUTE(UPPER(S613)," ",""),":",": "))),0)),"-")</f>
        <v>-</v>
      </c>
      <c r="C613" s="46" t="str" cm="1">
        <f t="array" ref="C613">IFERROR(INDEX(#REF!,MATCH(TRUE,ISNUMBER(FIND(SUBSTITUTE(SUBSTITUTE(UPPER(#REF!)," ",""),":",": "),SUBSTITUTE(SUBSTITUTE(UPPER(S613)," ",""),":",": "))),0)),"Não encontrado")</f>
        <v>Não encontrado</v>
      </c>
      <c r="D613" s="46" t="str" cm="1">
        <f t="array" ref="D613">IFERROR(INDEX(#REF!,MATCH(TRUE,ISNUMBER(FIND(SUBSTITUTE(SUBSTITUTE(UPPER(#REF!)," ",""),":",": "),SUBSTITUTE(SUBSTITUTE(UPPER(S613)," ",""),":",": "))),0)),"Não encontrado")</f>
        <v>Não encontrado</v>
      </c>
      <c r="E613" s="42" t="str" cm="1">
        <f t="array" ref="E613">IFERROR(INDEX({"IMPEDITIVO"},MATCH(TRUE,ISNUMBER(FIND(SUBSTITUTE(SUBSTITUTE(UPPER({"IMPEDITIVO"})," ",""),":",": "),SUBSTITUTE(SUBSTITUTE(UPPER(S613)," ",""),":",": "))),0)),"-")</f>
        <v>-</v>
      </c>
      <c r="K613" s="49"/>
    </row>
    <row r="614" spans="1:11" x14ac:dyDescent="0.25">
      <c r="A614" s="46" t="str" cm="1">
        <f t="array" ref="A614">IFERROR(INDEX(#REF!,MATCH(TRUE,ISNUMBER(FIND(SUBSTITUTE(SUBSTITUTE(UPPER(#REF!)," ",""),":",": "),SUBSTITUTE(SUBSTITUTE(UPPER(S614)," ",""),":",": "))),0)),"Undefined")</f>
        <v>Undefined</v>
      </c>
      <c r="B614" s="42" t="str" cm="1">
        <f t="array" ref="B614">IFERROR(INDEX({"URGENTE"},MATCH(TRUE,ISNUMBER(FIND(SUBSTITUTE(SUBSTITUTE(UPPER({"URGENTE"})," ",""),":",": "),SUBSTITUTE(SUBSTITUTE(UPPER(S614)," ",""),":",": "))),0)),"-")</f>
        <v>-</v>
      </c>
      <c r="C614" s="46" t="str" cm="1">
        <f t="array" ref="C614">IFERROR(INDEX(#REF!,MATCH(TRUE,ISNUMBER(FIND(SUBSTITUTE(SUBSTITUTE(UPPER(#REF!)," ",""),":",": "),SUBSTITUTE(SUBSTITUTE(UPPER(S614)," ",""),":",": "))),0)),"Não encontrado")</f>
        <v>Não encontrado</v>
      </c>
      <c r="D614" s="46" t="str" cm="1">
        <f t="array" ref="D614">IFERROR(INDEX(#REF!,MATCH(TRUE,ISNUMBER(FIND(SUBSTITUTE(SUBSTITUTE(UPPER(#REF!)," ",""),":",": "),SUBSTITUTE(SUBSTITUTE(UPPER(S614)," ",""),":",": "))),0)),"Não encontrado")</f>
        <v>Não encontrado</v>
      </c>
      <c r="E614" s="42" t="str" cm="1">
        <f t="array" ref="E614">IFERROR(INDEX({"IMPEDITIVO"},MATCH(TRUE,ISNUMBER(FIND(SUBSTITUTE(SUBSTITUTE(UPPER({"IMPEDITIVO"})," ",""),":",": "),SUBSTITUTE(SUBSTITUTE(UPPER(S614)," ",""),":",": "))),0)),"-")</f>
        <v>-</v>
      </c>
      <c r="K614" s="49"/>
    </row>
    <row r="615" spans="1:11" x14ac:dyDescent="0.25">
      <c r="A615" s="46" t="str" cm="1">
        <f t="array" ref="A615">IFERROR(INDEX(#REF!,MATCH(TRUE,ISNUMBER(FIND(SUBSTITUTE(SUBSTITUTE(UPPER(#REF!)," ",""),":",": "),SUBSTITUTE(SUBSTITUTE(UPPER(S615)," ",""),":",": "))),0)),"Undefined")</f>
        <v>Undefined</v>
      </c>
      <c r="B615" s="42" t="str" cm="1">
        <f t="array" ref="B615">IFERROR(INDEX({"URGENTE"},MATCH(TRUE,ISNUMBER(FIND(SUBSTITUTE(SUBSTITUTE(UPPER({"URGENTE"})," ",""),":",": "),SUBSTITUTE(SUBSTITUTE(UPPER(S615)," ",""),":",": "))),0)),"-")</f>
        <v>-</v>
      </c>
      <c r="C615" s="46" t="str" cm="1">
        <f t="array" ref="C615">IFERROR(INDEX(#REF!,MATCH(TRUE,ISNUMBER(FIND(SUBSTITUTE(SUBSTITUTE(UPPER(#REF!)," ",""),":",": "),SUBSTITUTE(SUBSTITUTE(UPPER(S615)," ",""),":",": "))),0)),"Não encontrado")</f>
        <v>Não encontrado</v>
      </c>
      <c r="D615" s="46" t="str" cm="1">
        <f t="array" ref="D615">IFERROR(INDEX(#REF!,MATCH(TRUE,ISNUMBER(FIND(SUBSTITUTE(SUBSTITUTE(UPPER(#REF!)," ",""),":",": "),SUBSTITUTE(SUBSTITUTE(UPPER(S615)," ",""),":",": "))),0)),"Não encontrado")</f>
        <v>Não encontrado</v>
      </c>
      <c r="E615" s="42" t="str" cm="1">
        <f t="array" ref="E615">IFERROR(INDEX({"IMPEDITIVO"},MATCH(TRUE,ISNUMBER(FIND(SUBSTITUTE(SUBSTITUTE(UPPER({"IMPEDITIVO"})," ",""),":",": "),SUBSTITUTE(SUBSTITUTE(UPPER(S615)," ",""),":",": "))),0)),"-")</f>
        <v>-</v>
      </c>
      <c r="K615" s="49"/>
    </row>
    <row r="616" spans="1:11" x14ac:dyDescent="0.25">
      <c r="A616" s="46" t="str" cm="1">
        <f t="array" ref="A616">IFERROR(INDEX(#REF!,MATCH(TRUE,ISNUMBER(FIND(SUBSTITUTE(SUBSTITUTE(UPPER(#REF!)," ",""),":",": "),SUBSTITUTE(SUBSTITUTE(UPPER(S616)," ",""),":",": "))),0)),"Undefined")</f>
        <v>Undefined</v>
      </c>
      <c r="B616" s="42" t="str" cm="1">
        <f t="array" ref="B616">IFERROR(INDEX({"URGENTE"},MATCH(TRUE,ISNUMBER(FIND(SUBSTITUTE(SUBSTITUTE(UPPER({"URGENTE"})," ",""),":",": "),SUBSTITUTE(SUBSTITUTE(UPPER(S616)," ",""),":",": "))),0)),"-")</f>
        <v>-</v>
      </c>
      <c r="C616" s="46" t="str" cm="1">
        <f t="array" ref="C616">IFERROR(INDEX(#REF!,MATCH(TRUE,ISNUMBER(FIND(SUBSTITUTE(SUBSTITUTE(UPPER(#REF!)," ",""),":",": "),SUBSTITUTE(SUBSTITUTE(UPPER(S616)," ",""),":",": "))),0)),"Não encontrado")</f>
        <v>Não encontrado</v>
      </c>
      <c r="D616" s="46" t="str" cm="1">
        <f t="array" ref="D616">IFERROR(INDEX(#REF!,MATCH(TRUE,ISNUMBER(FIND(SUBSTITUTE(SUBSTITUTE(UPPER(#REF!)," ",""),":",": "),SUBSTITUTE(SUBSTITUTE(UPPER(S616)," ",""),":",": "))),0)),"Não encontrado")</f>
        <v>Não encontrado</v>
      </c>
      <c r="E616" s="42" t="str" cm="1">
        <f t="array" ref="E616">IFERROR(INDEX({"IMPEDITIVO"},MATCH(TRUE,ISNUMBER(FIND(SUBSTITUTE(SUBSTITUTE(UPPER({"IMPEDITIVO"})," ",""),":",": "),SUBSTITUTE(SUBSTITUTE(UPPER(S616)," ",""),":",": "))),0)),"-")</f>
        <v>-</v>
      </c>
      <c r="K616" s="49"/>
    </row>
    <row r="617" spans="1:11" x14ac:dyDescent="0.25">
      <c r="A617" s="46" t="str" cm="1">
        <f t="array" ref="A617">IFERROR(INDEX(#REF!,MATCH(TRUE,ISNUMBER(FIND(SUBSTITUTE(SUBSTITUTE(UPPER(#REF!)," ",""),":",": "),SUBSTITUTE(SUBSTITUTE(UPPER(S617)," ",""),":",": "))),0)),"Undefined")</f>
        <v>Undefined</v>
      </c>
      <c r="B617" s="42" t="str" cm="1">
        <f t="array" ref="B617">IFERROR(INDEX({"URGENTE"},MATCH(TRUE,ISNUMBER(FIND(SUBSTITUTE(SUBSTITUTE(UPPER({"URGENTE"})," ",""),":",": "),SUBSTITUTE(SUBSTITUTE(UPPER(S617)," ",""),":",": "))),0)),"-")</f>
        <v>-</v>
      </c>
      <c r="C617" s="46" t="str" cm="1">
        <f t="array" ref="C617">IFERROR(INDEX(#REF!,MATCH(TRUE,ISNUMBER(FIND(SUBSTITUTE(SUBSTITUTE(UPPER(#REF!)," ",""),":",": "),SUBSTITUTE(SUBSTITUTE(UPPER(S617)," ",""),":",": "))),0)),"Não encontrado")</f>
        <v>Não encontrado</v>
      </c>
      <c r="D617" s="46" t="str" cm="1">
        <f t="array" ref="D617">IFERROR(INDEX(#REF!,MATCH(TRUE,ISNUMBER(FIND(SUBSTITUTE(SUBSTITUTE(UPPER(#REF!)," ",""),":",": "),SUBSTITUTE(SUBSTITUTE(UPPER(S617)," ",""),":",": "))),0)),"Não encontrado")</f>
        <v>Não encontrado</v>
      </c>
      <c r="E617" s="42" t="str" cm="1">
        <f t="array" ref="E617">IFERROR(INDEX({"IMPEDITIVO"},MATCH(TRUE,ISNUMBER(FIND(SUBSTITUTE(SUBSTITUTE(UPPER({"IMPEDITIVO"})," ",""),":",": "),SUBSTITUTE(SUBSTITUTE(UPPER(S617)," ",""),":",": "))),0)),"-")</f>
        <v>-</v>
      </c>
      <c r="K617" s="49"/>
    </row>
    <row r="618" spans="1:11" x14ac:dyDescent="0.25">
      <c r="A618" s="46" t="str" cm="1">
        <f t="array" ref="A618">IFERROR(INDEX(#REF!,MATCH(TRUE,ISNUMBER(FIND(SUBSTITUTE(SUBSTITUTE(UPPER(#REF!)," ",""),":",": "),SUBSTITUTE(SUBSTITUTE(UPPER(S618)," ",""),":",": "))),0)),"Undefined")</f>
        <v>Undefined</v>
      </c>
      <c r="B618" s="42" t="str" cm="1">
        <f t="array" ref="B618">IFERROR(INDEX({"URGENTE"},MATCH(TRUE,ISNUMBER(FIND(SUBSTITUTE(SUBSTITUTE(UPPER({"URGENTE"})," ",""),":",": "),SUBSTITUTE(SUBSTITUTE(UPPER(S618)," ",""),":",": "))),0)),"-")</f>
        <v>-</v>
      </c>
      <c r="C618" s="46" t="str" cm="1">
        <f t="array" ref="C618">IFERROR(INDEX(#REF!,MATCH(TRUE,ISNUMBER(FIND(SUBSTITUTE(SUBSTITUTE(UPPER(#REF!)," ",""),":",": "),SUBSTITUTE(SUBSTITUTE(UPPER(S618)," ",""),":",": "))),0)),"Não encontrado")</f>
        <v>Não encontrado</v>
      </c>
      <c r="D618" s="46" t="str" cm="1">
        <f t="array" ref="D618">IFERROR(INDEX(#REF!,MATCH(TRUE,ISNUMBER(FIND(SUBSTITUTE(SUBSTITUTE(UPPER(#REF!)," ",""),":",": "),SUBSTITUTE(SUBSTITUTE(UPPER(S618)," ",""),":",": "))),0)),"Não encontrado")</f>
        <v>Não encontrado</v>
      </c>
      <c r="E618" s="42" t="str" cm="1">
        <f t="array" ref="E618">IFERROR(INDEX({"IMPEDITIVO"},MATCH(TRUE,ISNUMBER(FIND(SUBSTITUTE(SUBSTITUTE(UPPER({"IMPEDITIVO"})," ",""),":",": "),SUBSTITUTE(SUBSTITUTE(UPPER(S618)," ",""),":",": "))),0)),"-")</f>
        <v>-</v>
      </c>
      <c r="K618" s="49"/>
    </row>
    <row r="619" spans="1:11" x14ac:dyDescent="0.25">
      <c r="A619" s="46" t="str" cm="1">
        <f t="array" ref="A619">IFERROR(INDEX(#REF!,MATCH(TRUE,ISNUMBER(FIND(SUBSTITUTE(SUBSTITUTE(UPPER(#REF!)," ",""),":",": "),SUBSTITUTE(SUBSTITUTE(UPPER(S619)," ",""),":",": "))),0)),"Undefined")</f>
        <v>Undefined</v>
      </c>
      <c r="B619" s="42" t="str" cm="1">
        <f t="array" ref="B619">IFERROR(INDEX({"URGENTE"},MATCH(TRUE,ISNUMBER(FIND(SUBSTITUTE(SUBSTITUTE(UPPER({"URGENTE"})," ",""),":",": "),SUBSTITUTE(SUBSTITUTE(UPPER(S619)," ",""),":",": "))),0)),"-")</f>
        <v>-</v>
      </c>
      <c r="C619" s="46" t="str" cm="1">
        <f t="array" ref="C619">IFERROR(INDEX(#REF!,MATCH(TRUE,ISNUMBER(FIND(SUBSTITUTE(SUBSTITUTE(UPPER(#REF!)," ",""),":",": "),SUBSTITUTE(SUBSTITUTE(UPPER(S619)," ",""),":",": "))),0)),"Não encontrado")</f>
        <v>Não encontrado</v>
      </c>
      <c r="D619" s="46" t="str" cm="1">
        <f t="array" ref="D619">IFERROR(INDEX(#REF!,MATCH(TRUE,ISNUMBER(FIND(SUBSTITUTE(SUBSTITUTE(UPPER(#REF!)," ",""),":",": "),SUBSTITUTE(SUBSTITUTE(UPPER(S619)," ",""),":",": "))),0)),"Não encontrado")</f>
        <v>Não encontrado</v>
      </c>
      <c r="E619" s="42" t="str" cm="1">
        <f t="array" ref="E619">IFERROR(INDEX({"IMPEDITIVO"},MATCH(TRUE,ISNUMBER(FIND(SUBSTITUTE(SUBSTITUTE(UPPER({"IMPEDITIVO"})," ",""),":",": "),SUBSTITUTE(SUBSTITUTE(UPPER(S619)," ",""),":",": "))),0)),"-")</f>
        <v>-</v>
      </c>
      <c r="K619" s="49"/>
    </row>
    <row r="620" spans="1:11" x14ac:dyDescent="0.25">
      <c r="A620" s="46" t="str" cm="1">
        <f t="array" ref="A620">IFERROR(INDEX(#REF!,MATCH(TRUE,ISNUMBER(FIND(SUBSTITUTE(SUBSTITUTE(UPPER(#REF!)," ",""),":",": "),SUBSTITUTE(SUBSTITUTE(UPPER(S620)," ",""),":",": "))),0)),"Undefined")</f>
        <v>Undefined</v>
      </c>
      <c r="B620" s="42" t="str" cm="1">
        <f t="array" ref="B620">IFERROR(INDEX({"URGENTE"},MATCH(TRUE,ISNUMBER(FIND(SUBSTITUTE(SUBSTITUTE(UPPER({"URGENTE"})," ",""),":",": "),SUBSTITUTE(SUBSTITUTE(UPPER(S620)," ",""),":",": "))),0)),"-")</f>
        <v>-</v>
      </c>
      <c r="C620" s="46" t="str" cm="1">
        <f t="array" ref="C620">IFERROR(INDEX(#REF!,MATCH(TRUE,ISNUMBER(FIND(SUBSTITUTE(SUBSTITUTE(UPPER(#REF!)," ",""),":",": "),SUBSTITUTE(SUBSTITUTE(UPPER(S620)," ",""),":",": "))),0)),"Não encontrado")</f>
        <v>Não encontrado</v>
      </c>
      <c r="D620" s="46" t="str" cm="1">
        <f t="array" ref="D620">IFERROR(INDEX(#REF!,MATCH(TRUE,ISNUMBER(FIND(SUBSTITUTE(SUBSTITUTE(UPPER(#REF!)," ",""),":",": "),SUBSTITUTE(SUBSTITUTE(UPPER(S620)," ",""),":",": "))),0)),"Não encontrado")</f>
        <v>Não encontrado</v>
      </c>
      <c r="E620" s="42" t="str" cm="1">
        <f t="array" ref="E620">IFERROR(INDEX({"IMPEDITIVO"},MATCH(TRUE,ISNUMBER(FIND(SUBSTITUTE(SUBSTITUTE(UPPER({"IMPEDITIVO"})," ",""),":",": "),SUBSTITUTE(SUBSTITUTE(UPPER(S620)," ",""),":",": "))),0)),"-")</f>
        <v>-</v>
      </c>
      <c r="K620" s="49"/>
    </row>
    <row r="621" spans="1:11" x14ac:dyDescent="0.25">
      <c r="A621" s="46" t="str" cm="1">
        <f t="array" ref="A621">IFERROR(INDEX(#REF!,MATCH(TRUE,ISNUMBER(FIND(SUBSTITUTE(SUBSTITUTE(UPPER(#REF!)," ",""),":",": "),SUBSTITUTE(SUBSTITUTE(UPPER(S621)," ",""),":",": "))),0)),"Undefined")</f>
        <v>Undefined</v>
      </c>
      <c r="B621" s="42" t="str" cm="1">
        <f t="array" ref="B621">IFERROR(INDEX({"URGENTE"},MATCH(TRUE,ISNUMBER(FIND(SUBSTITUTE(SUBSTITUTE(UPPER({"URGENTE"})," ",""),":",": "),SUBSTITUTE(SUBSTITUTE(UPPER(S621)," ",""),":",": "))),0)),"-")</f>
        <v>-</v>
      </c>
      <c r="C621" s="46" t="str" cm="1">
        <f t="array" ref="C621">IFERROR(INDEX(#REF!,MATCH(TRUE,ISNUMBER(FIND(SUBSTITUTE(SUBSTITUTE(UPPER(#REF!)," ",""),":",": "),SUBSTITUTE(SUBSTITUTE(UPPER(S621)," ",""),":",": "))),0)),"Não encontrado")</f>
        <v>Não encontrado</v>
      </c>
      <c r="D621" s="46" t="str" cm="1">
        <f t="array" ref="D621">IFERROR(INDEX(#REF!,MATCH(TRUE,ISNUMBER(FIND(SUBSTITUTE(SUBSTITUTE(UPPER(#REF!)," ",""),":",": "),SUBSTITUTE(SUBSTITUTE(UPPER(S621)," ",""),":",": "))),0)),"Não encontrado")</f>
        <v>Não encontrado</v>
      </c>
      <c r="E621" s="42" t="str" cm="1">
        <f t="array" ref="E621">IFERROR(INDEX({"IMPEDITIVO"},MATCH(TRUE,ISNUMBER(FIND(SUBSTITUTE(SUBSTITUTE(UPPER({"IMPEDITIVO"})," ",""),":",": "),SUBSTITUTE(SUBSTITUTE(UPPER(S621)," ",""),":",": "))),0)),"-")</f>
        <v>-</v>
      </c>
      <c r="K621" s="49"/>
    </row>
    <row r="622" spans="1:11" x14ac:dyDescent="0.25">
      <c r="A622" s="46" t="str" cm="1">
        <f t="array" ref="A622">IFERROR(INDEX(#REF!,MATCH(TRUE,ISNUMBER(FIND(SUBSTITUTE(SUBSTITUTE(UPPER(#REF!)," ",""),":",": "),SUBSTITUTE(SUBSTITUTE(UPPER(S622)," ",""),":",": "))),0)),"Undefined")</f>
        <v>Undefined</v>
      </c>
      <c r="B622" s="42" t="str" cm="1">
        <f t="array" ref="B622">IFERROR(INDEX({"URGENTE"},MATCH(TRUE,ISNUMBER(FIND(SUBSTITUTE(SUBSTITUTE(UPPER({"URGENTE"})," ",""),":",": "),SUBSTITUTE(SUBSTITUTE(UPPER(S622)," ",""),":",": "))),0)),"-")</f>
        <v>-</v>
      </c>
      <c r="C622" s="46" t="str" cm="1">
        <f t="array" ref="C622">IFERROR(INDEX(#REF!,MATCH(TRUE,ISNUMBER(FIND(SUBSTITUTE(SUBSTITUTE(UPPER(#REF!)," ",""),":",": "),SUBSTITUTE(SUBSTITUTE(UPPER(S622)," ",""),":",": "))),0)),"Não encontrado")</f>
        <v>Não encontrado</v>
      </c>
      <c r="D622" s="46" t="str" cm="1">
        <f t="array" ref="D622">IFERROR(INDEX(#REF!,MATCH(TRUE,ISNUMBER(FIND(SUBSTITUTE(SUBSTITUTE(UPPER(#REF!)," ",""),":",": "),SUBSTITUTE(SUBSTITUTE(UPPER(S622)," ",""),":",": "))),0)),"Não encontrado")</f>
        <v>Não encontrado</v>
      </c>
      <c r="E622" s="42" t="str" cm="1">
        <f t="array" ref="E622">IFERROR(INDEX({"IMPEDITIVO"},MATCH(TRUE,ISNUMBER(FIND(SUBSTITUTE(SUBSTITUTE(UPPER({"IMPEDITIVO"})," ",""),":",": "),SUBSTITUTE(SUBSTITUTE(UPPER(S622)," ",""),":",": "))),0)),"-")</f>
        <v>-</v>
      </c>
      <c r="K622" s="49"/>
    </row>
    <row r="623" spans="1:11" x14ac:dyDescent="0.25">
      <c r="A623" s="46" t="str" cm="1">
        <f t="array" ref="A623">IFERROR(INDEX(#REF!,MATCH(TRUE,ISNUMBER(FIND(SUBSTITUTE(SUBSTITUTE(UPPER(#REF!)," ",""),":",": "),SUBSTITUTE(SUBSTITUTE(UPPER(S623)," ",""),":",": "))),0)),"Undefined")</f>
        <v>Undefined</v>
      </c>
      <c r="B623" s="42" t="str" cm="1">
        <f t="array" ref="B623">IFERROR(INDEX({"URGENTE"},MATCH(TRUE,ISNUMBER(FIND(SUBSTITUTE(SUBSTITUTE(UPPER({"URGENTE"})," ",""),":",": "),SUBSTITUTE(SUBSTITUTE(UPPER(S623)," ",""),":",": "))),0)),"-")</f>
        <v>-</v>
      </c>
      <c r="C623" s="46" t="str" cm="1">
        <f t="array" ref="C623">IFERROR(INDEX(#REF!,MATCH(TRUE,ISNUMBER(FIND(SUBSTITUTE(SUBSTITUTE(UPPER(#REF!)," ",""),":",": "),SUBSTITUTE(SUBSTITUTE(UPPER(S623)," ",""),":",": "))),0)),"Não encontrado")</f>
        <v>Não encontrado</v>
      </c>
      <c r="D623" s="46" t="str" cm="1">
        <f t="array" ref="D623">IFERROR(INDEX(#REF!,MATCH(TRUE,ISNUMBER(FIND(SUBSTITUTE(SUBSTITUTE(UPPER(#REF!)," ",""),":",": "),SUBSTITUTE(SUBSTITUTE(UPPER(S623)," ",""),":",": "))),0)),"Não encontrado")</f>
        <v>Não encontrado</v>
      </c>
      <c r="E623" s="42" t="str" cm="1">
        <f t="array" ref="E623">IFERROR(INDEX({"IMPEDITIVO"},MATCH(TRUE,ISNUMBER(FIND(SUBSTITUTE(SUBSTITUTE(UPPER({"IMPEDITIVO"})," ",""),":",": "),SUBSTITUTE(SUBSTITUTE(UPPER(S623)," ",""),":",": "))),0)),"-")</f>
        <v>-</v>
      </c>
      <c r="K623" s="49"/>
    </row>
    <row r="624" spans="1:11" x14ac:dyDescent="0.25">
      <c r="A624" s="46" t="str" cm="1">
        <f t="array" ref="A624">IFERROR(INDEX(#REF!,MATCH(TRUE,ISNUMBER(FIND(SUBSTITUTE(SUBSTITUTE(UPPER(#REF!)," ",""),":",": "),SUBSTITUTE(SUBSTITUTE(UPPER(S624)," ",""),":",": "))),0)),"Undefined")</f>
        <v>Undefined</v>
      </c>
      <c r="B624" s="42" t="str" cm="1">
        <f t="array" ref="B624">IFERROR(INDEX({"URGENTE"},MATCH(TRUE,ISNUMBER(FIND(SUBSTITUTE(SUBSTITUTE(UPPER({"URGENTE"})," ",""),":",": "),SUBSTITUTE(SUBSTITUTE(UPPER(S624)," ",""),":",": "))),0)),"-")</f>
        <v>-</v>
      </c>
      <c r="C624" s="46" t="str" cm="1">
        <f t="array" ref="C624">IFERROR(INDEX(#REF!,MATCH(TRUE,ISNUMBER(FIND(SUBSTITUTE(SUBSTITUTE(UPPER(#REF!)," ",""),":",": "),SUBSTITUTE(SUBSTITUTE(UPPER(S624)," ",""),":",": "))),0)),"Não encontrado")</f>
        <v>Não encontrado</v>
      </c>
      <c r="D624" s="46" t="str" cm="1">
        <f t="array" ref="D624">IFERROR(INDEX(#REF!,MATCH(TRUE,ISNUMBER(FIND(SUBSTITUTE(SUBSTITUTE(UPPER(#REF!)," ",""),":",": "),SUBSTITUTE(SUBSTITUTE(UPPER(S624)," ",""),":",": "))),0)),"Não encontrado")</f>
        <v>Não encontrado</v>
      </c>
      <c r="E624" s="42" t="str" cm="1">
        <f t="array" ref="E624">IFERROR(INDEX({"IMPEDITIVO"},MATCH(TRUE,ISNUMBER(FIND(SUBSTITUTE(SUBSTITUTE(UPPER({"IMPEDITIVO"})," ",""),":",": "),SUBSTITUTE(SUBSTITUTE(UPPER(S624)," ",""),":",": "))),0)),"-")</f>
        <v>-</v>
      </c>
      <c r="K624" s="49"/>
    </row>
    <row r="625" spans="1:11" x14ac:dyDescent="0.25">
      <c r="A625" s="46" t="str" cm="1">
        <f t="array" ref="A625">IFERROR(INDEX(#REF!,MATCH(TRUE,ISNUMBER(FIND(SUBSTITUTE(SUBSTITUTE(UPPER(#REF!)," ",""),":",": "),SUBSTITUTE(SUBSTITUTE(UPPER(S625)," ",""),":",": "))),0)),"Undefined")</f>
        <v>Undefined</v>
      </c>
      <c r="B625" s="42" t="str" cm="1">
        <f t="array" ref="B625">IFERROR(INDEX({"URGENTE"},MATCH(TRUE,ISNUMBER(FIND(SUBSTITUTE(SUBSTITUTE(UPPER({"URGENTE"})," ",""),":",": "),SUBSTITUTE(SUBSTITUTE(UPPER(S625)," ",""),":",": "))),0)),"-")</f>
        <v>-</v>
      </c>
      <c r="C625" s="46" t="str" cm="1">
        <f t="array" ref="C625">IFERROR(INDEX(#REF!,MATCH(TRUE,ISNUMBER(FIND(SUBSTITUTE(SUBSTITUTE(UPPER(#REF!)," ",""),":",": "),SUBSTITUTE(SUBSTITUTE(UPPER(S625)," ",""),":",": "))),0)),"Não encontrado")</f>
        <v>Não encontrado</v>
      </c>
      <c r="D625" s="46" t="str" cm="1">
        <f t="array" ref="D625">IFERROR(INDEX(#REF!,MATCH(TRUE,ISNUMBER(FIND(SUBSTITUTE(SUBSTITUTE(UPPER(#REF!)," ",""),":",": "),SUBSTITUTE(SUBSTITUTE(UPPER(S625)," ",""),":",": "))),0)),"Não encontrado")</f>
        <v>Não encontrado</v>
      </c>
      <c r="E625" s="42" t="str" cm="1">
        <f t="array" ref="E625">IFERROR(INDEX({"IMPEDITIVO"},MATCH(TRUE,ISNUMBER(FIND(SUBSTITUTE(SUBSTITUTE(UPPER({"IMPEDITIVO"})," ",""),":",": "),SUBSTITUTE(SUBSTITUTE(UPPER(S625)," ",""),":",": "))),0)),"-")</f>
        <v>-</v>
      </c>
      <c r="K625" s="49"/>
    </row>
    <row r="626" spans="1:11" x14ac:dyDescent="0.25">
      <c r="A626" s="46" t="str" cm="1">
        <f t="array" ref="A626">IFERROR(INDEX(#REF!,MATCH(TRUE,ISNUMBER(FIND(SUBSTITUTE(SUBSTITUTE(UPPER(#REF!)," ",""),":",": "),SUBSTITUTE(SUBSTITUTE(UPPER(S626)," ",""),":",": "))),0)),"Undefined")</f>
        <v>Undefined</v>
      </c>
      <c r="B626" s="42" t="str" cm="1">
        <f t="array" ref="B626">IFERROR(INDEX({"URGENTE"},MATCH(TRUE,ISNUMBER(FIND(SUBSTITUTE(SUBSTITUTE(UPPER({"URGENTE"})," ",""),":",": "),SUBSTITUTE(SUBSTITUTE(UPPER(S626)," ",""),":",": "))),0)),"-")</f>
        <v>-</v>
      </c>
      <c r="C626" s="46" t="str" cm="1">
        <f t="array" ref="C626">IFERROR(INDEX(#REF!,MATCH(TRUE,ISNUMBER(FIND(SUBSTITUTE(SUBSTITUTE(UPPER(#REF!)," ",""),":",": "),SUBSTITUTE(SUBSTITUTE(UPPER(S626)," ",""),":",": "))),0)),"Não encontrado")</f>
        <v>Não encontrado</v>
      </c>
      <c r="D626" s="46" t="str" cm="1">
        <f t="array" ref="D626">IFERROR(INDEX(#REF!,MATCH(TRUE,ISNUMBER(FIND(SUBSTITUTE(SUBSTITUTE(UPPER(#REF!)," ",""),":",": "),SUBSTITUTE(SUBSTITUTE(UPPER(S626)," ",""),":",": "))),0)),"Não encontrado")</f>
        <v>Não encontrado</v>
      </c>
      <c r="E626" s="42" t="str" cm="1">
        <f t="array" ref="E626">IFERROR(INDEX({"IMPEDITIVO"},MATCH(TRUE,ISNUMBER(FIND(SUBSTITUTE(SUBSTITUTE(UPPER({"IMPEDITIVO"})," ",""),":",": "),SUBSTITUTE(SUBSTITUTE(UPPER(S626)," ",""),":",": "))),0)),"-")</f>
        <v>-</v>
      </c>
      <c r="K626" s="49"/>
    </row>
    <row r="627" spans="1:11" x14ac:dyDescent="0.25">
      <c r="A627" s="46" t="str" cm="1">
        <f t="array" ref="A627">IFERROR(INDEX(#REF!,MATCH(TRUE,ISNUMBER(FIND(SUBSTITUTE(SUBSTITUTE(UPPER(#REF!)," ",""),":",": "),SUBSTITUTE(SUBSTITUTE(UPPER(S627)," ",""),":",": "))),0)),"Undefined")</f>
        <v>Undefined</v>
      </c>
      <c r="B627" s="42" t="str" cm="1">
        <f t="array" ref="B627">IFERROR(INDEX({"URGENTE"},MATCH(TRUE,ISNUMBER(FIND(SUBSTITUTE(SUBSTITUTE(UPPER({"URGENTE"})," ",""),":",": "),SUBSTITUTE(SUBSTITUTE(UPPER(S627)," ",""),":",": "))),0)),"-")</f>
        <v>-</v>
      </c>
      <c r="C627" s="46" t="str" cm="1">
        <f t="array" ref="C627">IFERROR(INDEX(#REF!,MATCH(TRUE,ISNUMBER(FIND(SUBSTITUTE(SUBSTITUTE(UPPER(#REF!)," ",""),":",": "),SUBSTITUTE(SUBSTITUTE(UPPER(S627)," ",""),":",": "))),0)),"Não encontrado")</f>
        <v>Não encontrado</v>
      </c>
      <c r="D627" s="46" t="str" cm="1">
        <f t="array" ref="D627">IFERROR(INDEX(#REF!,MATCH(TRUE,ISNUMBER(FIND(SUBSTITUTE(SUBSTITUTE(UPPER(#REF!)," ",""),":",": "),SUBSTITUTE(SUBSTITUTE(UPPER(S627)," ",""),":",": "))),0)),"Não encontrado")</f>
        <v>Não encontrado</v>
      </c>
      <c r="E627" s="42" t="str" cm="1">
        <f t="array" ref="E627">IFERROR(INDEX({"IMPEDITIVO"},MATCH(TRUE,ISNUMBER(FIND(SUBSTITUTE(SUBSTITUTE(UPPER({"IMPEDITIVO"})," ",""),":",": "),SUBSTITUTE(SUBSTITUTE(UPPER(S627)," ",""),":",": "))),0)),"-")</f>
        <v>-</v>
      </c>
      <c r="K627" s="49"/>
    </row>
    <row r="628" spans="1:11" x14ac:dyDescent="0.25">
      <c r="A628" s="46" t="str" cm="1">
        <f t="array" ref="A628">IFERROR(INDEX(#REF!,MATCH(TRUE,ISNUMBER(FIND(SUBSTITUTE(SUBSTITUTE(UPPER(#REF!)," ",""),":",": "),SUBSTITUTE(SUBSTITUTE(UPPER(S628)," ",""),":",": "))),0)),"Undefined")</f>
        <v>Undefined</v>
      </c>
      <c r="B628" s="42" t="str" cm="1">
        <f t="array" ref="B628">IFERROR(INDEX({"URGENTE"},MATCH(TRUE,ISNUMBER(FIND(SUBSTITUTE(SUBSTITUTE(UPPER({"URGENTE"})," ",""),":",": "),SUBSTITUTE(SUBSTITUTE(UPPER(S628)," ",""),":",": "))),0)),"-")</f>
        <v>-</v>
      </c>
      <c r="C628" s="46" t="str" cm="1">
        <f t="array" ref="C628">IFERROR(INDEX(#REF!,MATCH(TRUE,ISNUMBER(FIND(SUBSTITUTE(SUBSTITUTE(UPPER(#REF!)," ",""),":",": "),SUBSTITUTE(SUBSTITUTE(UPPER(S628)," ",""),":",": "))),0)),"Não encontrado")</f>
        <v>Não encontrado</v>
      </c>
      <c r="D628" s="46" t="str" cm="1">
        <f t="array" ref="D628">IFERROR(INDEX(#REF!,MATCH(TRUE,ISNUMBER(FIND(SUBSTITUTE(SUBSTITUTE(UPPER(#REF!)," ",""),":",": "),SUBSTITUTE(SUBSTITUTE(UPPER(S628)," ",""),":",": "))),0)),"Não encontrado")</f>
        <v>Não encontrado</v>
      </c>
      <c r="E628" s="42" t="str" cm="1">
        <f t="array" ref="E628">IFERROR(INDEX({"IMPEDITIVO"},MATCH(TRUE,ISNUMBER(FIND(SUBSTITUTE(SUBSTITUTE(UPPER({"IMPEDITIVO"})," ",""),":",": "),SUBSTITUTE(SUBSTITUTE(UPPER(S628)," ",""),":",": "))),0)),"-")</f>
        <v>-</v>
      </c>
      <c r="K628" s="49"/>
    </row>
    <row r="629" spans="1:11" x14ac:dyDescent="0.25">
      <c r="A629" s="46" t="str" cm="1">
        <f t="array" ref="A629">IFERROR(INDEX(#REF!,MATCH(TRUE,ISNUMBER(FIND(SUBSTITUTE(SUBSTITUTE(UPPER(#REF!)," ",""),":",": "),SUBSTITUTE(SUBSTITUTE(UPPER(S629)," ",""),":",": "))),0)),"Undefined")</f>
        <v>Undefined</v>
      </c>
      <c r="B629" s="42" t="str" cm="1">
        <f t="array" ref="B629">IFERROR(INDEX({"URGENTE"},MATCH(TRUE,ISNUMBER(FIND(SUBSTITUTE(SUBSTITUTE(UPPER({"URGENTE"})," ",""),":",": "),SUBSTITUTE(SUBSTITUTE(UPPER(S629)," ",""),":",": "))),0)),"-")</f>
        <v>-</v>
      </c>
      <c r="C629" s="46" t="str" cm="1">
        <f t="array" ref="C629">IFERROR(INDEX(#REF!,MATCH(TRUE,ISNUMBER(FIND(SUBSTITUTE(SUBSTITUTE(UPPER(#REF!)," ",""),":",": "),SUBSTITUTE(SUBSTITUTE(UPPER(S629)," ",""),":",": "))),0)),"Não encontrado")</f>
        <v>Não encontrado</v>
      </c>
      <c r="D629" s="46" t="str" cm="1">
        <f t="array" ref="D629">IFERROR(INDEX(#REF!,MATCH(TRUE,ISNUMBER(FIND(SUBSTITUTE(SUBSTITUTE(UPPER(#REF!)," ",""),":",": "),SUBSTITUTE(SUBSTITUTE(UPPER(S629)," ",""),":",": "))),0)),"Não encontrado")</f>
        <v>Não encontrado</v>
      </c>
      <c r="E629" s="42" t="str" cm="1">
        <f t="array" ref="E629">IFERROR(INDEX({"IMPEDITIVO"},MATCH(TRUE,ISNUMBER(FIND(SUBSTITUTE(SUBSTITUTE(UPPER({"IMPEDITIVO"})," ",""),":",": "),SUBSTITUTE(SUBSTITUTE(UPPER(S629)," ",""),":",": "))),0)),"-")</f>
        <v>-</v>
      </c>
      <c r="K629" s="49"/>
    </row>
    <row r="630" spans="1:11" x14ac:dyDescent="0.25">
      <c r="A630" s="46" t="str" cm="1">
        <f t="array" ref="A630">IFERROR(INDEX(#REF!,MATCH(TRUE,ISNUMBER(FIND(SUBSTITUTE(SUBSTITUTE(UPPER(#REF!)," ",""),":",": "),SUBSTITUTE(SUBSTITUTE(UPPER(S630)," ",""),":",": "))),0)),"Undefined")</f>
        <v>Undefined</v>
      </c>
      <c r="B630" s="42" t="str" cm="1">
        <f t="array" ref="B630">IFERROR(INDEX({"URGENTE"},MATCH(TRUE,ISNUMBER(FIND(SUBSTITUTE(SUBSTITUTE(UPPER({"URGENTE"})," ",""),":",": "),SUBSTITUTE(SUBSTITUTE(UPPER(S630)," ",""),":",": "))),0)),"-")</f>
        <v>-</v>
      </c>
      <c r="C630" s="46" t="str" cm="1">
        <f t="array" ref="C630">IFERROR(INDEX(#REF!,MATCH(TRUE,ISNUMBER(FIND(SUBSTITUTE(SUBSTITUTE(UPPER(#REF!)," ",""),":",": "),SUBSTITUTE(SUBSTITUTE(UPPER(S630)," ",""),":",": "))),0)),"Não encontrado")</f>
        <v>Não encontrado</v>
      </c>
      <c r="D630" s="46" t="str" cm="1">
        <f t="array" ref="D630">IFERROR(INDEX(#REF!,MATCH(TRUE,ISNUMBER(FIND(SUBSTITUTE(SUBSTITUTE(UPPER(#REF!)," ",""),":",": "),SUBSTITUTE(SUBSTITUTE(UPPER(S630)," ",""),":",": "))),0)),"Não encontrado")</f>
        <v>Não encontrado</v>
      </c>
      <c r="E630" s="42" t="str" cm="1">
        <f t="array" ref="E630">IFERROR(INDEX({"IMPEDITIVO"},MATCH(TRUE,ISNUMBER(FIND(SUBSTITUTE(SUBSTITUTE(UPPER({"IMPEDITIVO"})," ",""),":",": "),SUBSTITUTE(SUBSTITUTE(UPPER(S630)," ",""),":",": "))),0)),"-")</f>
        <v>-</v>
      </c>
      <c r="K630" s="49"/>
    </row>
    <row r="631" spans="1:11" x14ac:dyDescent="0.25">
      <c r="A631" s="46" t="str" cm="1">
        <f t="array" ref="A631">IFERROR(INDEX(#REF!,MATCH(TRUE,ISNUMBER(FIND(SUBSTITUTE(SUBSTITUTE(UPPER(#REF!)," ",""),":",": "),SUBSTITUTE(SUBSTITUTE(UPPER(S631)," ",""),":",": "))),0)),"Undefined")</f>
        <v>Undefined</v>
      </c>
      <c r="B631" s="42" t="str" cm="1">
        <f t="array" ref="B631">IFERROR(INDEX({"URGENTE"},MATCH(TRUE,ISNUMBER(FIND(SUBSTITUTE(SUBSTITUTE(UPPER({"URGENTE"})," ",""),":",": "),SUBSTITUTE(SUBSTITUTE(UPPER(S631)," ",""),":",": "))),0)),"-")</f>
        <v>-</v>
      </c>
      <c r="C631" s="46" t="str" cm="1">
        <f t="array" ref="C631">IFERROR(INDEX(#REF!,MATCH(TRUE,ISNUMBER(FIND(SUBSTITUTE(SUBSTITUTE(UPPER(#REF!)," ",""),":",": "),SUBSTITUTE(SUBSTITUTE(UPPER(S631)," ",""),":",": "))),0)),"Não encontrado")</f>
        <v>Não encontrado</v>
      </c>
      <c r="D631" s="46" t="str" cm="1">
        <f t="array" ref="D631">IFERROR(INDEX(#REF!,MATCH(TRUE,ISNUMBER(FIND(SUBSTITUTE(SUBSTITUTE(UPPER(#REF!)," ",""),":",": "),SUBSTITUTE(SUBSTITUTE(UPPER(S631)," ",""),":",": "))),0)),"Não encontrado")</f>
        <v>Não encontrado</v>
      </c>
      <c r="E631" s="42" t="str" cm="1">
        <f t="array" ref="E631">IFERROR(INDEX({"IMPEDITIVO"},MATCH(TRUE,ISNUMBER(FIND(SUBSTITUTE(SUBSTITUTE(UPPER({"IMPEDITIVO"})," ",""),":",": "),SUBSTITUTE(SUBSTITUTE(UPPER(S631)," ",""),":",": "))),0)),"-")</f>
        <v>-</v>
      </c>
      <c r="K631" s="49"/>
    </row>
    <row r="632" spans="1:11" x14ac:dyDescent="0.25">
      <c r="A632" s="46" t="str" cm="1">
        <f t="array" ref="A632">IFERROR(INDEX(#REF!,MATCH(TRUE,ISNUMBER(FIND(SUBSTITUTE(SUBSTITUTE(UPPER(#REF!)," ",""),":",": "),SUBSTITUTE(SUBSTITUTE(UPPER(S632)," ",""),":",": "))),0)),"Undefined")</f>
        <v>Undefined</v>
      </c>
      <c r="B632" s="42" t="str" cm="1">
        <f t="array" ref="B632">IFERROR(INDEX({"URGENTE"},MATCH(TRUE,ISNUMBER(FIND(SUBSTITUTE(SUBSTITUTE(UPPER({"URGENTE"})," ",""),":",": "),SUBSTITUTE(SUBSTITUTE(UPPER(S632)," ",""),":",": "))),0)),"-")</f>
        <v>-</v>
      </c>
      <c r="C632" s="46" t="str" cm="1">
        <f t="array" ref="C632">IFERROR(INDEX(#REF!,MATCH(TRUE,ISNUMBER(FIND(SUBSTITUTE(SUBSTITUTE(UPPER(#REF!)," ",""),":",": "),SUBSTITUTE(SUBSTITUTE(UPPER(S632)," ",""),":",": "))),0)),"Não encontrado")</f>
        <v>Não encontrado</v>
      </c>
      <c r="D632" s="46" t="str" cm="1">
        <f t="array" ref="D632">IFERROR(INDEX(#REF!,MATCH(TRUE,ISNUMBER(FIND(SUBSTITUTE(SUBSTITUTE(UPPER(#REF!)," ",""),":",": "),SUBSTITUTE(SUBSTITUTE(UPPER(S632)," ",""),":",": "))),0)),"Não encontrado")</f>
        <v>Não encontrado</v>
      </c>
      <c r="E632" s="42" t="str" cm="1">
        <f t="array" ref="E632">IFERROR(INDEX({"IMPEDITIVO"},MATCH(TRUE,ISNUMBER(FIND(SUBSTITUTE(SUBSTITUTE(UPPER({"IMPEDITIVO"})," ",""),":",": "),SUBSTITUTE(SUBSTITUTE(UPPER(S632)," ",""),":",": "))),0)),"-")</f>
        <v>-</v>
      </c>
      <c r="K632" s="49"/>
    </row>
    <row r="633" spans="1:11" x14ac:dyDescent="0.25">
      <c r="A633" s="46" t="str" cm="1">
        <f t="array" ref="A633">IFERROR(INDEX(#REF!,MATCH(TRUE,ISNUMBER(FIND(SUBSTITUTE(SUBSTITUTE(UPPER(#REF!)," ",""),":",": "),SUBSTITUTE(SUBSTITUTE(UPPER(S633)," ",""),":",": "))),0)),"Undefined")</f>
        <v>Undefined</v>
      </c>
      <c r="B633" s="42" t="str" cm="1">
        <f t="array" ref="B633">IFERROR(INDEX({"URGENTE"},MATCH(TRUE,ISNUMBER(FIND(SUBSTITUTE(SUBSTITUTE(UPPER({"URGENTE"})," ",""),":",": "),SUBSTITUTE(SUBSTITUTE(UPPER(S633)," ",""),":",": "))),0)),"-")</f>
        <v>-</v>
      </c>
      <c r="C633" s="46" t="str" cm="1">
        <f t="array" ref="C633">IFERROR(INDEX(#REF!,MATCH(TRUE,ISNUMBER(FIND(SUBSTITUTE(SUBSTITUTE(UPPER(#REF!)," ",""),":",": "),SUBSTITUTE(SUBSTITUTE(UPPER(S633)," ",""),":",": "))),0)),"Não encontrado")</f>
        <v>Não encontrado</v>
      </c>
      <c r="D633" s="46" t="str" cm="1">
        <f t="array" ref="D633">IFERROR(INDEX(#REF!,MATCH(TRUE,ISNUMBER(FIND(SUBSTITUTE(SUBSTITUTE(UPPER(#REF!)," ",""),":",": "),SUBSTITUTE(SUBSTITUTE(UPPER(S633)," ",""),":",": "))),0)),"Não encontrado")</f>
        <v>Não encontrado</v>
      </c>
      <c r="E633" s="42" t="str" cm="1">
        <f t="array" ref="E633">IFERROR(INDEX({"IMPEDITIVO"},MATCH(TRUE,ISNUMBER(FIND(SUBSTITUTE(SUBSTITUTE(UPPER({"IMPEDITIVO"})," ",""),":",": "),SUBSTITUTE(SUBSTITUTE(UPPER(S633)," ",""),":",": "))),0)),"-")</f>
        <v>-</v>
      </c>
      <c r="K633" s="49"/>
    </row>
    <row r="634" spans="1:11" x14ac:dyDescent="0.25">
      <c r="A634" s="46" t="str" cm="1">
        <f t="array" ref="A634">IFERROR(INDEX(#REF!,MATCH(TRUE,ISNUMBER(FIND(SUBSTITUTE(SUBSTITUTE(UPPER(#REF!)," ",""),":",": "),SUBSTITUTE(SUBSTITUTE(UPPER(S634)," ",""),":",": "))),0)),"Undefined")</f>
        <v>Undefined</v>
      </c>
      <c r="B634" s="42" t="str" cm="1">
        <f t="array" ref="B634">IFERROR(INDEX({"URGENTE"},MATCH(TRUE,ISNUMBER(FIND(SUBSTITUTE(SUBSTITUTE(UPPER({"URGENTE"})," ",""),":",": "),SUBSTITUTE(SUBSTITUTE(UPPER(S634)," ",""),":",": "))),0)),"-")</f>
        <v>-</v>
      </c>
      <c r="C634" s="46" t="str" cm="1">
        <f t="array" ref="C634">IFERROR(INDEX(#REF!,MATCH(TRUE,ISNUMBER(FIND(SUBSTITUTE(SUBSTITUTE(UPPER(#REF!)," ",""),":",": "),SUBSTITUTE(SUBSTITUTE(UPPER(S634)," ",""),":",": "))),0)),"Não encontrado")</f>
        <v>Não encontrado</v>
      </c>
      <c r="D634" s="46" t="str" cm="1">
        <f t="array" ref="D634">IFERROR(INDEX(#REF!,MATCH(TRUE,ISNUMBER(FIND(SUBSTITUTE(SUBSTITUTE(UPPER(#REF!)," ",""),":",": "),SUBSTITUTE(SUBSTITUTE(UPPER(S634)," ",""),":",": "))),0)),"Não encontrado")</f>
        <v>Não encontrado</v>
      </c>
      <c r="E634" s="42" t="str" cm="1">
        <f t="array" ref="E634">IFERROR(INDEX({"IMPEDITIVO"},MATCH(TRUE,ISNUMBER(FIND(SUBSTITUTE(SUBSTITUTE(UPPER({"IMPEDITIVO"})," ",""),":",": "),SUBSTITUTE(SUBSTITUTE(UPPER(S634)," ",""),":",": "))),0)),"-")</f>
        <v>-</v>
      </c>
      <c r="K634" s="49"/>
    </row>
    <row r="635" spans="1:11" x14ac:dyDescent="0.25">
      <c r="A635" s="46" t="str" cm="1">
        <f t="array" ref="A635">IFERROR(INDEX(#REF!,MATCH(TRUE,ISNUMBER(FIND(SUBSTITUTE(SUBSTITUTE(UPPER(#REF!)," ",""),":",": "),SUBSTITUTE(SUBSTITUTE(UPPER(S635)," ",""),":",": "))),0)),"Undefined")</f>
        <v>Undefined</v>
      </c>
      <c r="B635" s="42" t="str" cm="1">
        <f t="array" ref="B635">IFERROR(INDEX({"URGENTE"},MATCH(TRUE,ISNUMBER(FIND(SUBSTITUTE(SUBSTITUTE(UPPER({"URGENTE"})," ",""),":",": "),SUBSTITUTE(SUBSTITUTE(UPPER(S635)," ",""),":",": "))),0)),"-")</f>
        <v>-</v>
      </c>
      <c r="C635" s="46" t="str" cm="1">
        <f t="array" ref="C635">IFERROR(INDEX(#REF!,MATCH(TRUE,ISNUMBER(FIND(SUBSTITUTE(SUBSTITUTE(UPPER(#REF!)," ",""),":",": "),SUBSTITUTE(SUBSTITUTE(UPPER(S635)," ",""),":",": "))),0)),"Não encontrado")</f>
        <v>Não encontrado</v>
      </c>
      <c r="D635" s="46" t="str" cm="1">
        <f t="array" ref="D635">IFERROR(INDEX(#REF!,MATCH(TRUE,ISNUMBER(FIND(SUBSTITUTE(SUBSTITUTE(UPPER(#REF!)," ",""),":",": "),SUBSTITUTE(SUBSTITUTE(UPPER(S635)," ",""),":",": "))),0)),"Não encontrado")</f>
        <v>Não encontrado</v>
      </c>
      <c r="E635" s="42" t="str" cm="1">
        <f t="array" ref="E635">IFERROR(INDEX({"IMPEDITIVO"},MATCH(TRUE,ISNUMBER(FIND(SUBSTITUTE(SUBSTITUTE(UPPER({"IMPEDITIVO"})," ",""),":",": "),SUBSTITUTE(SUBSTITUTE(UPPER(S635)," ",""),":",": "))),0)),"-")</f>
        <v>-</v>
      </c>
      <c r="K635" s="49"/>
    </row>
    <row r="636" spans="1:11" x14ac:dyDescent="0.25">
      <c r="A636" s="46" t="str" cm="1">
        <f t="array" ref="A636">IFERROR(INDEX(#REF!,MATCH(TRUE,ISNUMBER(FIND(SUBSTITUTE(SUBSTITUTE(UPPER(#REF!)," ",""),":",": "),SUBSTITUTE(SUBSTITUTE(UPPER(S636)," ",""),":",": "))),0)),"Undefined")</f>
        <v>Undefined</v>
      </c>
      <c r="B636" s="42" t="str" cm="1">
        <f t="array" ref="B636">IFERROR(INDEX({"URGENTE"},MATCH(TRUE,ISNUMBER(FIND(SUBSTITUTE(SUBSTITUTE(UPPER({"URGENTE"})," ",""),":",": "),SUBSTITUTE(SUBSTITUTE(UPPER(S636)," ",""),":",": "))),0)),"-")</f>
        <v>-</v>
      </c>
      <c r="C636" s="46" t="str" cm="1">
        <f t="array" ref="C636">IFERROR(INDEX(#REF!,MATCH(TRUE,ISNUMBER(FIND(SUBSTITUTE(SUBSTITUTE(UPPER(#REF!)," ",""),":",": "),SUBSTITUTE(SUBSTITUTE(UPPER(S636)," ",""),":",": "))),0)),"Não encontrado")</f>
        <v>Não encontrado</v>
      </c>
      <c r="D636" s="46" t="str" cm="1">
        <f t="array" ref="D636">IFERROR(INDEX(#REF!,MATCH(TRUE,ISNUMBER(FIND(SUBSTITUTE(SUBSTITUTE(UPPER(#REF!)," ",""),":",": "),SUBSTITUTE(SUBSTITUTE(UPPER(S636)," ",""),":",": "))),0)),"Não encontrado")</f>
        <v>Não encontrado</v>
      </c>
      <c r="E636" s="42" t="str" cm="1">
        <f t="array" ref="E636">IFERROR(INDEX({"IMPEDITIVO"},MATCH(TRUE,ISNUMBER(FIND(SUBSTITUTE(SUBSTITUTE(UPPER({"IMPEDITIVO"})," ",""),":",": "),SUBSTITUTE(SUBSTITUTE(UPPER(S636)," ",""),":",": "))),0)),"-")</f>
        <v>-</v>
      </c>
      <c r="K636" s="49"/>
    </row>
    <row r="637" spans="1:11" x14ac:dyDescent="0.25">
      <c r="A637" s="46" t="str" cm="1">
        <f t="array" ref="A637">IFERROR(INDEX(#REF!,MATCH(TRUE,ISNUMBER(FIND(SUBSTITUTE(SUBSTITUTE(UPPER(#REF!)," ",""),":",": "),SUBSTITUTE(SUBSTITUTE(UPPER(S637)," ",""),":",": "))),0)),"Undefined")</f>
        <v>Undefined</v>
      </c>
      <c r="B637" s="42" t="str" cm="1">
        <f t="array" ref="B637">IFERROR(INDEX({"URGENTE"},MATCH(TRUE,ISNUMBER(FIND(SUBSTITUTE(SUBSTITUTE(UPPER({"URGENTE"})," ",""),":",": "),SUBSTITUTE(SUBSTITUTE(UPPER(S637)," ",""),":",": "))),0)),"-")</f>
        <v>-</v>
      </c>
      <c r="C637" s="46" t="str" cm="1">
        <f t="array" ref="C637">IFERROR(INDEX(#REF!,MATCH(TRUE,ISNUMBER(FIND(SUBSTITUTE(SUBSTITUTE(UPPER(#REF!)," ",""),":",": "),SUBSTITUTE(SUBSTITUTE(UPPER(S637)," ",""),":",": "))),0)),"Não encontrado")</f>
        <v>Não encontrado</v>
      </c>
      <c r="D637" s="46" t="str" cm="1">
        <f t="array" ref="D637">IFERROR(INDEX(#REF!,MATCH(TRUE,ISNUMBER(FIND(SUBSTITUTE(SUBSTITUTE(UPPER(#REF!)," ",""),":",": "),SUBSTITUTE(SUBSTITUTE(UPPER(S637)," ",""),":",": "))),0)),"Não encontrado")</f>
        <v>Não encontrado</v>
      </c>
      <c r="E637" s="42" t="str" cm="1">
        <f t="array" ref="E637">IFERROR(INDEX({"IMPEDITIVO"},MATCH(TRUE,ISNUMBER(FIND(SUBSTITUTE(SUBSTITUTE(UPPER({"IMPEDITIVO"})," ",""),":",": "),SUBSTITUTE(SUBSTITUTE(UPPER(S637)," ",""),":",": "))),0)),"-")</f>
        <v>-</v>
      </c>
      <c r="K637" s="49"/>
    </row>
    <row r="638" spans="1:11" x14ac:dyDescent="0.25">
      <c r="A638" s="46" t="str" cm="1">
        <f t="array" ref="A638">IFERROR(INDEX(#REF!,MATCH(TRUE,ISNUMBER(FIND(SUBSTITUTE(SUBSTITUTE(UPPER(#REF!)," ",""),":",": "),SUBSTITUTE(SUBSTITUTE(UPPER(S638)," ",""),":",": "))),0)),"Undefined")</f>
        <v>Undefined</v>
      </c>
      <c r="B638" s="42" t="str" cm="1">
        <f t="array" ref="B638">IFERROR(INDEX({"URGENTE"},MATCH(TRUE,ISNUMBER(FIND(SUBSTITUTE(SUBSTITUTE(UPPER({"URGENTE"})," ",""),":",": "),SUBSTITUTE(SUBSTITUTE(UPPER(S638)," ",""),":",": "))),0)),"-")</f>
        <v>-</v>
      </c>
      <c r="C638" s="46" t="str" cm="1">
        <f t="array" ref="C638">IFERROR(INDEX(#REF!,MATCH(TRUE,ISNUMBER(FIND(SUBSTITUTE(SUBSTITUTE(UPPER(#REF!)," ",""),":",": "),SUBSTITUTE(SUBSTITUTE(UPPER(S638)," ",""),":",": "))),0)),"Não encontrado")</f>
        <v>Não encontrado</v>
      </c>
      <c r="D638" s="46" t="str" cm="1">
        <f t="array" ref="D638">IFERROR(INDEX(#REF!,MATCH(TRUE,ISNUMBER(FIND(SUBSTITUTE(SUBSTITUTE(UPPER(#REF!)," ",""),":",": "),SUBSTITUTE(SUBSTITUTE(UPPER(S638)," ",""),":",": "))),0)),"Não encontrado")</f>
        <v>Não encontrado</v>
      </c>
      <c r="E638" s="42" t="str" cm="1">
        <f t="array" ref="E638">IFERROR(INDEX({"IMPEDITIVO"},MATCH(TRUE,ISNUMBER(FIND(SUBSTITUTE(SUBSTITUTE(UPPER({"IMPEDITIVO"})," ",""),":",": "),SUBSTITUTE(SUBSTITUTE(UPPER(S638)," ",""),":",": "))),0)),"-")</f>
        <v>-</v>
      </c>
      <c r="K638" s="49"/>
    </row>
    <row r="639" spans="1:11" x14ac:dyDescent="0.25">
      <c r="A639" s="46" t="str" cm="1">
        <f t="array" ref="A639">IFERROR(INDEX(#REF!,MATCH(TRUE,ISNUMBER(FIND(SUBSTITUTE(SUBSTITUTE(UPPER(#REF!)," ",""),":",": "),SUBSTITUTE(SUBSTITUTE(UPPER(S639)," ",""),":",": "))),0)),"Undefined")</f>
        <v>Undefined</v>
      </c>
      <c r="B639" s="42" t="str" cm="1">
        <f t="array" ref="B639">IFERROR(INDEX({"URGENTE"},MATCH(TRUE,ISNUMBER(FIND(SUBSTITUTE(SUBSTITUTE(UPPER({"URGENTE"})," ",""),":",": "),SUBSTITUTE(SUBSTITUTE(UPPER(S639)," ",""),":",": "))),0)),"-")</f>
        <v>-</v>
      </c>
      <c r="C639" s="46" t="str" cm="1">
        <f t="array" ref="C639">IFERROR(INDEX(#REF!,MATCH(TRUE,ISNUMBER(FIND(SUBSTITUTE(SUBSTITUTE(UPPER(#REF!)," ",""),":",": "),SUBSTITUTE(SUBSTITUTE(UPPER(S639)," ",""),":",": "))),0)),"Não encontrado")</f>
        <v>Não encontrado</v>
      </c>
      <c r="D639" s="46" t="str" cm="1">
        <f t="array" ref="D639">IFERROR(INDEX(#REF!,MATCH(TRUE,ISNUMBER(FIND(SUBSTITUTE(SUBSTITUTE(UPPER(#REF!)," ",""),":",": "),SUBSTITUTE(SUBSTITUTE(UPPER(S639)," ",""),":",": "))),0)),"Não encontrado")</f>
        <v>Não encontrado</v>
      </c>
      <c r="E639" s="42" t="str" cm="1">
        <f t="array" ref="E639">IFERROR(INDEX({"IMPEDITIVO"},MATCH(TRUE,ISNUMBER(FIND(SUBSTITUTE(SUBSTITUTE(UPPER({"IMPEDITIVO"})," ",""),":",": "),SUBSTITUTE(SUBSTITUTE(UPPER(S639)," ",""),":",": "))),0)),"-")</f>
        <v>-</v>
      </c>
      <c r="K639" s="49"/>
    </row>
    <row r="640" spans="1:11" x14ac:dyDescent="0.25">
      <c r="A640" s="46" t="str" cm="1">
        <f t="array" ref="A640">IFERROR(INDEX(#REF!,MATCH(TRUE,ISNUMBER(FIND(SUBSTITUTE(SUBSTITUTE(UPPER(#REF!)," ",""),":",": "),SUBSTITUTE(SUBSTITUTE(UPPER(S640)," ",""),":",": "))),0)),"Undefined")</f>
        <v>Undefined</v>
      </c>
      <c r="B640" s="42" t="str" cm="1">
        <f t="array" ref="B640">IFERROR(INDEX({"URGENTE"},MATCH(TRUE,ISNUMBER(FIND(SUBSTITUTE(SUBSTITUTE(UPPER({"URGENTE"})," ",""),":",": "),SUBSTITUTE(SUBSTITUTE(UPPER(S640)," ",""),":",": "))),0)),"-")</f>
        <v>-</v>
      </c>
      <c r="C640" s="46" t="str" cm="1">
        <f t="array" ref="C640">IFERROR(INDEX(#REF!,MATCH(TRUE,ISNUMBER(FIND(SUBSTITUTE(SUBSTITUTE(UPPER(#REF!)," ",""),":",": "),SUBSTITUTE(SUBSTITUTE(UPPER(S640)," ",""),":",": "))),0)),"Não encontrado")</f>
        <v>Não encontrado</v>
      </c>
      <c r="D640" s="46" t="str" cm="1">
        <f t="array" ref="D640">IFERROR(INDEX(#REF!,MATCH(TRUE,ISNUMBER(FIND(SUBSTITUTE(SUBSTITUTE(UPPER(#REF!)," ",""),":",": "),SUBSTITUTE(SUBSTITUTE(UPPER(S640)," ",""),":",": "))),0)),"Não encontrado")</f>
        <v>Não encontrado</v>
      </c>
      <c r="E640" s="42" t="str" cm="1">
        <f t="array" ref="E640">IFERROR(INDEX({"IMPEDITIVO"},MATCH(TRUE,ISNUMBER(FIND(SUBSTITUTE(SUBSTITUTE(UPPER({"IMPEDITIVO"})," ",""),":",": "),SUBSTITUTE(SUBSTITUTE(UPPER(S640)," ",""),":",": "))),0)),"-")</f>
        <v>-</v>
      </c>
      <c r="K640" s="49"/>
    </row>
    <row r="641" spans="1:11" x14ac:dyDescent="0.25">
      <c r="A641" s="46" t="str" cm="1">
        <f t="array" ref="A641">IFERROR(INDEX(#REF!,MATCH(TRUE,ISNUMBER(FIND(SUBSTITUTE(SUBSTITUTE(UPPER(#REF!)," ",""),":",": "),SUBSTITUTE(SUBSTITUTE(UPPER(S641)," ",""),":",": "))),0)),"Undefined")</f>
        <v>Undefined</v>
      </c>
      <c r="B641" s="42" t="str" cm="1">
        <f t="array" ref="B641">IFERROR(INDEX({"URGENTE"},MATCH(TRUE,ISNUMBER(FIND(SUBSTITUTE(SUBSTITUTE(UPPER({"URGENTE"})," ",""),":",": "),SUBSTITUTE(SUBSTITUTE(UPPER(S641)," ",""),":",": "))),0)),"-")</f>
        <v>-</v>
      </c>
      <c r="C641" s="46" t="str" cm="1">
        <f t="array" ref="C641">IFERROR(INDEX(#REF!,MATCH(TRUE,ISNUMBER(FIND(SUBSTITUTE(SUBSTITUTE(UPPER(#REF!)," ",""),":",": "),SUBSTITUTE(SUBSTITUTE(UPPER(S641)," ",""),":",": "))),0)),"Não encontrado")</f>
        <v>Não encontrado</v>
      </c>
      <c r="D641" s="46" t="str" cm="1">
        <f t="array" ref="D641">IFERROR(INDEX(#REF!,MATCH(TRUE,ISNUMBER(FIND(SUBSTITUTE(SUBSTITUTE(UPPER(#REF!)," ",""),":",": "),SUBSTITUTE(SUBSTITUTE(UPPER(S641)," ",""),":",": "))),0)),"Não encontrado")</f>
        <v>Não encontrado</v>
      </c>
      <c r="E641" s="42" t="str" cm="1">
        <f t="array" ref="E641">IFERROR(INDEX({"IMPEDITIVO"},MATCH(TRUE,ISNUMBER(FIND(SUBSTITUTE(SUBSTITUTE(UPPER({"IMPEDITIVO"})," ",""),":",": "),SUBSTITUTE(SUBSTITUTE(UPPER(S641)," ",""),":",": "))),0)),"-")</f>
        <v>-</v>
      </c>
      <c r="K641" s="49"/>
    </row>
    <row r="642" spans="1:11" x14ac:dyDescent="0.25">
      <c r="A642" s="46" t="str" cm="1">
        <f t="array" ref="A642">IFERROR(INDEX(#REF!,MATCH(TRUE,ISNUMBER(FIND(SUBSTITUTE(SUBSTITUTE(UPPER(#REF!)," ",""),":",": "),SUBSTITUTE(SUBSTITUTE(UPPER(S642)," ",""),":",": "))),0)),"Undefined")</f>
        <v>Undefined</v>
      </c>
      <c r="B642" s="42" t="str" cm="1">
        <f t="array" ref="B642">IFERROR(INDEX({"URGENTE"},MATCH(TRUE,ISNUMBER(FIND(SUBSTITUTE(SUBSTITUTE(UPPER({"URGENTE"})," ",""),":",": "),SUBSTITUTE(SUBSTITUTE(UPPER(S642)," ",""),":",": "))),0)),"-")</f>
        <v>-</v>
      </c>
      <c r="C642" s="46" t="str" cm="1">
        <f t="array" ref="C642">IFERROR(INDEX(#REF!,MATCH(TRUE,ISNUMBER(FIND(SUBSTITUTE(SUBSTITUTE(UPPER(#REF!)," ",""),":",": "),SUBSTITUTE(SUBSTITUTE(UPPER(S642)," ",""),":",": "))),0)),"Não encontrado")</f>
        <v>Não encontrado</v>
      </c>
      <c r="D642" s="46" t="str" cm="1">
        <f t="array" ref="D642">IFERROR(INDEX(#REF!,MATCH(TRUE,ISNUMBER(FIND(SUBSTITUTE(SUBSTITUTE(UPPER(#REF!)," ",""),":",": "),SUBSTITUTE(SUBSTITUTE(UPPER(S642)," ",""),":",": "))),0)),"Não encontrado")</f>
        <v>Não encontrado</v>
      </c>
      <c r="E642" s="42" t="str" cm="1">
        <f t="array" ref="E642">IFERROR(INDEX({"IMPEDITIVO"},MATCH(TRUE,ISNUMBER(FIND(SUBSTITUTE(SUBSTITUTE(UPPER({"IMPEDITIVO"})," ",""),":",": "),SUBSTITUTE(SUBSTITUTE(UPPER(S642)," ",""),":",": "))),0)),"-")</f>
        <v>-</v>
      </c>
      <c r="K642" s="49"/>
    </row>
    <row r="643" spans="1:11" x14ac:dyDescent="0.25">
      <c r="A643" s="46" t="str" cm="1">
        <f t="array" ref="A643">IFERROR(INDEX(#REF!,MATCH(TRUE,ISNUMBER(FIND(SUBSTITUTE(SUBSTITUTE(UPPER(#REF!)," ",""),":",": "),SUBSTITUTE(SUBSTITUTE(UPPER(S643)," ",""),":",": "))),0)),"Undefined")</f>
        <v>Undefined</v>
      </c>
      <c r="B643" s="42" t="str" cm="1">
        <f t="array" ref="B643">IFERROR(INDEX({"URGENTE"},MATCH(TRUE,ISNUMBER(FIND(SUBSTITUTE(SUBSTITUTE(UPPER({"URGENTE"})," ",""),":",": "),SUBSTITUTE(SUBSTITUTE(UPPER(S643)," ",""),":",": "))),0)),"-")</f>
        <v>-</v>
      </c>
      <c r="C643" s="46" t="str" cm="1">
        <f t="array" ref="C643">IFERROR(INDEX(#REF!,MATCH(TRUE,ISNUMBER(FIND(SUBSTITUTE(SUBSTITUTE(UPPER(#REF!)," ",""),":",": "),SUBSTITUTE(SUBSTITUTE(UPPER(S643)," ",""),":",": "))),0)),"Não encontrado")</f>
        <v>Não encontrado</v>
      </c>
      <c r="D643" s="46" t="str" cm="1">
        <f t="array" ref="D643">IFERROR(INDEX(#REF!,MATCH(TRUE,ISNUMBER(FIND(SUBSTITUTE(SUBSTITUTE(UPPER(#REF!)," ",""),":",": "),SUBSTITUTE(SUBSTITUTE(UPPER(S643)," ",""),":",": "))),0)),"Não encontrado")</f>
        <v>Não encontrado</v>
      </c>
      <c r="E643" s="42" t="str" cm="1">
        <f t="array" ref="E643">IFERROR(INDEX({"IMPEDITIVO"},MATCH(TRUE,ISNUMBER(FIND(SUBSTITUTE(SUBSTITUTE(UPPER({"IMPEDITIVO"})," ",""),":",": "),SUBSTITUTE(SUBSTITUTE(UPPER(S643)," ",""),":",": "))),0)),"-")</f>
        <v>-</v>
      </c>
      <c r="K643" s="49"/>
    </row>
    <row r="644" spans="1:11" x14ac:dyDescent="0.25">
      <c r="A644" s="46" t="str" cm="1">
        <f t="array" ref="A644">IFERROR(INDEX(#REF!,MATCH(TRUE,ISNUMBER(FIND(SUBSTITUTE(SUBSTITUTE(UPPER(#REF!)," ",""),":",": "),SUBSTITUTE(SUBSTITUTE(UPPER(S644)," ",""),":",": "))),0)),"Undefined")</f>
        <v>Undefined</v>
      </c>
      <c r="B644" s="42" t="str" cm="1">
        <f t="array" ref="B644">IFERROR(INDEX({"URGENTE"},MATCH(TRUE,ISNUMBER(FIND(SUBSTITUTE(SUBSTITUTE(UPPER({"URGENTE"})," ",""),":",": "),SUBSTITUTE(SUBSTITUTE(UPPER(S644)," ",""),":",": "))),0)),"-")</f>
        <v>-</v>
      </c>
      <c r="C644" s="46" t="str" cm="1">
        <f t="array" ref="C644">IFERROR(INDEX(#REF!,MATCH(TRUE,ISNUMBER(FIND(SUBSTITUTE(SUBSTITUTE(UPPER(#REF!)," ",""),":",": "),SUBSTITUTE(SUBSTITUTE(UPPER(S644)," ",""),":",": "))),0)),"Não encontrado")</f>
        <v>Não encontrado</v>
      </c>
      <c r="D644" s="46" t="str" cm="1">
        <f t="array" ref="D644">IFERROR(INDEX(#REF!,MATCH(TRUE,ISNUMBER(FIND(SUBSTITUTE(SUBSTITUTE(UPPER(#REF!)," ",""),":",": "),SUBSTITUTE(SUBSTITUTE(UPPER(S644)," ",""),":",": "))),0)),"Não encontrado")</f>
        <v>Não encontrado</v>
      </c>
      <c r="E644" s="42" t="str" cm="1">
        <f t="array" ref="E644">IFERROR(INDEX({"IMPEDITIVO"},MATCH(TRUE,ISNUMBER(FIND(SUBSTITUTE(SUBSTITUTE(UPPER({"IMPEDITIVO"})," ",""),":",": "),SUBSTITUTE(SUBSTITUTE(UPPER(S644)," ",""),":",": "))),0)),"-")</f>
        <v>-</v>
      </c>
      <c r="K644" s="49"/>
    </row>
    <row r="645" spans="1:11" x14ac:dyDescent="0.25">
      <c r="A645" s="46" t="str" cm="1">
        <f t="array" ref="A645">IFERROR(INDEX(#REF!,MATCH(TRUE,ISNUMBER(FIND(SUBSTITUTE(SUBSTITUTE(UPPER(#REF!)," ",""),":",": "),SUBSTITUTE(SUBSTITUTE(UPPER(S645)," ",""),":",": "))),0)),"Undefined")</f>
        <v>Undefined</v>
      </c>
      <c r="B645" s="42" t="str" cm="1">
        <f t="array" ref="B645">IFERROR(INDEX({"URGENTE"},MATCH(TRUE,ISNUMBER(FIND(SUBSTITUTE(SUBSTITUTE(UPPER({"URGENTE"})," ",""),":",": "),SUBSTITUTE(SUBSTITUTE(UPPER(S645)," ",""),":",": "))),0)),"-")</f>
        <v>-</v>
      </c>
      <c r="C645" s="46" t="str" cm="1">
        <f t="array" ref="C645">IFERROR(INDEX(#REF!,MATCH(TRUE,ISNUMBER(FIND(SUBSTITUTE(SUBSTITUTE(UPPER(#REF!)," ",""),":",": "),SUBSTITUTE(SUBSTITUTE(UPPER(S645)," ",""),":",": "))),0)),"Não encontrado")</f>
        <v>Não encontrado</v>
      </c>
      <c r="D645" s="46" t="str" cm="1">
        <f t="array" ref="D645">IFERROR(INDEX(#REF!,MATCH(TRUE,ISNUMBER(FIND(SUBSTITUTE(SUBSTITUTE(UPPER(#REF!)," ",""),":",": "),SUBSTITUTE(SUBSTITUTE(UPPER(S645)," ",""),":",": "))),0)),"Não encontrado")</f>
        <v>Não encontrado</v>
      </c>
      <c r="E645" s="42" t="str" cm="1">
        <f t="array" ref="E645">IFERROR(INDEX({"IMPEDITIVO"},MATCH(TRUE,ISNUMBER(FIND(SUBSTITUTE(SUBSTITUTE(UPPER({"IMPEDITIVO"})," ",""),":",": "),SUBSTITUTE(SUBSTITUTE(UPPER(S645)," ",""),":",": "))),0)),"-")</f>
        <v>-</v>
      </c>
      <c r="K645" s="49"/>
    </row>
    <row r="646" spans="1:11" x14ac:dyDescent="0.25">
      <c r="A646" s="46" t="str" cm="1">
        <f t="array" ref="A646">IFERROR(INDEX(#REF!,MATCH(TRUE,ISNUMBER(FIND(SUBSTITUTE(SUBSTITUTE(UPPER(#REF!)," ",""),":",": "),SUBSTITUTE(SUBSTITUTE(UPPER(S646)," ",""),":",": "))),0)),"Undefined")</f>
        <v>Undefined</v>
      </c>
      <c r="B646" s="42" t="str" cm="1">
        <f t="array" ref="B646">IFERROR(INDEX({"URGENTE"},MATCH(TRUE,ISNUMBER(FIND(SUBSTITUTE(SUBSTITUTE(UPPER({"URGENTE"})," ",""),":",": "),SUBSTITUTE(SUBSTITUTE(UPPER(S646)," ",""),":",": "))),0)),"-")</f>
        <v>-</v>
      </c>
      <c r="C646" s="46" t="str" cm="1">
        <f t="array" ref="C646">IFERROR(INDEX(#REF!,MATCH(TRUE,ISNUMBER(FIND(SUBSTITUTE(SUBSTITUTE(UPPER(#REF!)," ",""),":",": "),SUBSTITUTE(SUBSTITUTE(UPPER(S646)," ",""),":",": "))),0)),"Não encontrado")</f>
        <v>Não encontrado</v>
      </c>
      <c r="D646" s="46" t="str" cm="1">
        <f t="array" ref="D646">IFERROR(INDEX(#REF!,MATCH(TRUE,ISNUMBER(FIND(SUBSTITUTE(SUBSTITUTE(UPPER(#REF!)," ",""),":",": "),SUBSTITUTE(SUBSTITUTE(UPPER(S646)," ",""),":",": "))),0)),"Não encontrado")</f>
        <v>Não encontrado</v>
      </c>
      <c r="E646" s="42" t="str" cm="1">
        <f t="array" ref="E646">IFERROR(INDEX({"IMPEDITIVO"},MATCH(TRUE,ISNUMBER(FIND(SUBSTITUTE(SUBSTITUTE(UPPER({"IMPEDITIVO"})," ",""),":",": "),SUBSTITUTE(SUBSTITUTE(UPPER(S646)," ",""),":",": "))),0)),"-")</f>
        <v>-</v>
      </c>
      <c r="K646" s="49"/>
    </row>
    <row r="647" spans="1:11" x14ac:dyDescent="0.25">
      <c r="A647" s="46" t="str" cm="1">
        <f t="array" ref="A647">IFERROR(INDEX(#REF!,MATCH(TRUE,ISNUMBER(FIND(SUBSTITUTE(SUBSTITUTE(UPPER(#REF!)," ",""),":",": "),SUBSTITUTE(SUBSTITUTE(UPPER(S647)," ",""),":",": "))),0)),"Undefined")</f>
        <v>Undefined</v>
      </c>
      <c r="B647" s="42" t="str" cm="1">
        <f t="array" ref="B647">IFERROR(INDEX({"URGENTE"},MATCH(TRUE,ISNUMBER(FIND(SUBSTITUTE(SUBSTITUTE(UPPER({"URGENTE"})," ",""),":",": "),SUBSTITUTE(SUBSTITUTE(UPPER(S647)," ",""),":",": "))),0)),"-")</f>
        <v>-</v>
      </c>
      <c r="C647" s="46" t="str" cm="1">
        <f t="array" ref="C647">IFERROR(INDEX(#REF!,MATCH(TRUE,ISNUMBER(FIND(SUBSTITUTE(SUBSTITUTE(UPPER(#REF!)," ",""),":",": "),SUBSTITUTE(SUBSTITUTE(UPPER(S647)," ",""),":",": "))),0)),"Não encontrado")</f>
        <v>Não encontrado</v>
      </c>
      <c r="D647" s="46" t="str" cm="1">
        <f t="array" ref="D647">IFERROR(INDEX(#REF!,MATCH(TRUE,ISNUMBER(FIND(SUBSTITUTE(SUBSTITUTE(UPPER(#REF!)," ",""),":",": "),SUBSTITUTE(SUBSTITUTE(UPPER(S647)," ",""),":",": "))),0)),"Não encontrado")</f>
        <v>Não encontrado</v>
      </c>
      <c r="E647" s="42" t="str" cm="1">
        <f t="array" ref="E647">IFERROR(INDEX({"IMPEDITIVO"},MATCH(TRUE,ISNUMBER(FIND(SUBSTITUTE(SUBSTITUTE(UPPER({"IMPEDITIVO"})," ",""),":",": "),SUBSTITUTE(SUBSTITUTE(UPPER(S647)," ",""),":",": "))),0)),"-")</f>
        <v>-</v>
      </c>
      <c r="K647" s="49"/>
    </row>
    <row r="648" spans="1:11" x14ac:dyDescent="0.25">
      <c r="A648" s="46" t="str" cm="1">
        <f t="array" ref="A648">IFERROR(INDEX(#REF!,MATCH(TRUE,ISNUMBER(FIND(SUBSTITUTE(SUBSTITUTE(UPPER(#REF!)," ",""),":",": "),SUBSTITUTE(SUBSTITUTE(UPPER(S648)," ",""),":",": "))),0)),"Undefined")</f>
        <v>Undefined</v>
      </c>
      <c r="B648" s="42" t="str" cm="1">
        <f t="array" ref="B648">IFERROR(INDEX({"URGENTE"},MATCH(TRUE,ISNUMBER(FIND(SUBSTITUTE(SUBSTITUTE(UPPER({"URGENTE"})," ",""),":",": "),SUBSTITUTE(SUBSTITUTE(UPPER(S648)," ",""),":",": "))),0)),"-")</f>
        <v>-</v>
      </c>
      <c r="C648" s="46" t="str" cm="1">
        <f t="array" ref="C648">IFERROR(INDEX(#REF!,MATCH(TRUE,ISNUMBER(FIND(SUBSTITUTE(SUBSTITUTE(UPPER(#REF!)," ",""),":",": "),SUBSTITUTE(SUBSTITUTE(UPPER(S648)," ",""),":",": "))),0)),"Não encontrado")</f>
        <v>Não encontrado</v>
      </c>
      <c r="D648" s="46" t="str" cm="1">
        <f t="array" ref="D648">IFERROR(INDEX(#REF!,MATCH(TRUE,ISNUMBER(FIND(SUBSTITUTE(SUBSTITUTE(UPPER(#REF!)," ",""),":",": "),SUBSTITUTE(SUBSTITUTE(UPPER(S648)," ",""),":",": "))),0)),"Não encontrado")</f>
        <v>Não encontrado</v>
      </c>
      <c r="E648" s="42" t="str" cm="1">
        <f t="array" ref="E648">IFERROR(INDEX({"IMPEDITIVO"},MATCH(TRUE,ISNUMBER(FIND(SUBSTITUTE(SUBSTITUTE(UPPER({"IMPEDITIVO"})," ",""),":",": "),SUBSTITUTE(SUBSTITUTE(UPPER(S648)," ",""),":",": "))),0)),"-")</f>
        <v>-</v>
      </c>
      <c r="K648" s="49"/>
    </row>
    <row r="649" spans="1:11" x14ac:dyDescent="0.25">
      <c r="A649" s="46" t="str" cm="1">
        <f t="array" ref="A649">IFERROR(INDEX(#REF!,MATCH(TRUE,ISNUMBER(FIND(SUBSTITUTE(SUBSTITUTE(UPPER(#REF!)," ",""),":",": "),SUBSTITUTE(SUBSTITUTE(UPPER(S649)," ",""),":",": "))),0)),"Undefined")</f>
        <v>Undefined</v>
      </c>
      <c r="B649" s="42" t="str" cm="1">
        <f t="array" ref="B649">IFERROR(INDEX({"URGENTE"},MATCH(TRUE,ISNUMBER(FIND(SUBSTITUTE(SUBSTITUTE(UPPER({"URGENTE"})," ",""),":",": "),SUBSTITUTE(SUBSTITUTE(UPPER(S649)," ",""),":",": "))),0)),"-")</f>
        <v>-</v>
      </c>
      <c r="C649" s="46" t="str" cm="1">
        <f t="array" ref="C649">IFERROR(INDEX(#REF!,MATCH(TRUE,ISNUMBER(FIND(SUBSTITUTE(SUBSTITUTE(UPPER(#REF!)," ",""),":",": "),SUBSTITUTE(SUBSTITUTE(UPPER(S649)," ",""),":",": "))),0)),"Não encontrado")</f>
        <v>Não encontrado</v>
      </c>
      <c r="D649" s="46" t="str" cm="1">
        <f t="array" ref="D649">IFERROR(INDEX(#REF!,MATCH(TRUE,ISNUMBER(FIND(SUBSTITUTE(SUBSTITUTE(UPPER(#REF!)," ",""),":",": "),SUBSTITUTE(SUBSTITUTE(UPPER(S649)," ",""),":",": "))),0)),"Não encontrado")</f>
        <v>Não encontrado</v>
      </c>
      <c r="E649" s="42" t="str" cm="1">
        <f t="array" ref="E649">IFERROR(INDEX({"IMPEDITIVO"},MATCH(TRUE,ISNUMBER(FIND(SUBSTITUTE(SUBSTITUTE(UPPER({"IMPEDITIVO"})," ",""),":",": "),SUBSTITUTE(SUBSTITUTE(UPPER(S649)," ",""),":",": "))),0)),"-")</f>
        <v>-</v>
      </c>
      <c r="K649" s="49"/>
    </row>
    <row r="650" spans="1:11" x14ac:dyDescent="0.25">
      <c r="A650" s="46" t="str" cm="1">
        <f t="array" ref="A650">IFERROR(INDEX(#REF!,MATCH(TRUE,ISNUMBER(FIND(SUBSTITUTE(SUBSTITUTE(UPPER(#REF!)," ",""),":",": "),SUBSTITUTE(SUBSTITUTE(UPPER(S650)," ",""),":",": "))),0)),"Undefined")</f>
        <v>Undefined</v>
      </c>
      <c r="B650" s="42" t="str" cm="1">
        <f t="array" ref="B650">IFERROR(INDEX({"URGENTE"},MATCH(TRUE,ISNUMBER(FIND(SUBSTITUTE(SUBSTITUTE(UPPER({"URGENTE"})," ",""),":",": "),SUBSTITUTE(SUBSTITUTE(UPPER(S650)," ",""),":",": "))),0)),"-")</f>
        <v>-</v>
      </c>
      <c r="C650" s="46" t="str" cm="1">
        <f t="array" ref="C650">IFERROR(INDEX(#REF!,MATCH(TRUE,ISNUMBER(FIND(SUBSTITUTE(SUBSTITUTE(UPPER(#REF!)," ",""),":",": "),SUBSTITUTE(SUBSTITUTE(UPPER(S650)," ",""),":",": "))),0)),"Não encontrado")</f>
        <v>Não encontrado</v>
      </c>
      <c r="D650" s="46" t="str" cm="1">
        <f t="array" ref="D650">IFERROR(INDEX(#REF!,MATCH(TRUE,ISNUMBER(FIND(SUBSTITUTE(SUBSTITUTE(UPPER(#REF!)," ",""),":",": "),SUBSTITUTE(SUBSTITUTE(UPPER(S650)," ",""),":",": "))),0)),"Não encontrado")</f>
        <v>Não encontrado</v>
      </c>
      <c r="E650" s="42" t="str" cm="1">
        <f t="array" ref="E650">IFERROR(INDEX({"IMPEDITIVO"},MATCH(TRUE,ISNUMBER(FIND(SUBSTITUTE(SUBSTITUTE(UPPER({"IMPEDITIVO"})," ",""),":",": "),SUBSTITUTE(SUBSTITUTE(UPPER(S650)," ",""),":",": "))),0)),"-")</f>
        <v>-</v>
      </c>
      <c r="K650" s="49"/>
    </row>
    <row r="651" spans="1:11" x14ac:dyDescent="0.25">
      <c r="A651" s="46" t="str" cm="1">
        <f t="array" ref="A651">IFERROR(INDEX(#REF!,MATCH(TRUE,ISNUMBER(FIND(SUBSTITUTE(SUBSTITUTE(UPPER(#REF!)," ",""),":",": "),SUBSTITUTE(SUBSTITUTE(UPPER(S651)," ",""),":",": "))),0)),"Undefined")</f>
        <v>Undefined</v>
      </c>
      <c r="B651" s="42" t="str" cm="1">
        <f t="array" ref="B651">IFERROR(INDEX({"URGENTE"},MATCH(TRUE,ISNUMBER(FIND(SUBSTITUTE(SUBSTITUTE(UPPER({"URGENTE"})," ",""),":",": "),SUBSTITUTE(SUBSTITUTE(UPPER(S651)," ",""),":",": "))),0)),"-")</f>
        <v>-</v>
      </c>
      <c r="C651" s="46" t="str" cm="1">
        <f t="array" ref="C651">IFERROR(INDEX(#REF!,MATCH(TRUE,ISNUMBER(FIND(SUBSTITUTE(SUBSTITUTE(UPPER(#REF!)," ",""),":",": "),SUBSTITUTE(SUBSTITUTE(UPPER(S651)," ",""),":",": "))),0)),"Não encontrado")</f>
        <v>Não encontrado</v>
      </c>
      <c r="D651" s="46" t="str" cm="1">
        <f t="array" ref="D651">IFERROR(INDEX(#REF!,MATCH(TRUE,ISNUMBER(FIND(SUBSTITUTE(SUBSTITUTE(UPPER(#REF!)," ",""),":",": "),SUBSTITUTE(SUBSTITUTE(UPPER(S651)," ",""),":",": "))),0)),"Não encontrado")</f>
        <v>Não encontrado</v>
      </c>
      <c r="E651" s="42" t="str" cm="1">
        <f t="array" ref="E651">IFERROR(INDEX({"IMPEDITIVO"},MATCH(TRUE,ISNUMBER(FIND(SUBSTITUTE(SUBSTITUTE(UPPER({"IMPEDITIVO"})," ",""),":",": "),SUBSTITUTE(SUBSTITUTE(UPPER(S651)," ",""),":",": "))),0)),"-")</f>
        <v>-</v>
      </c>
      <c r="K651" s="49"/>
    </row>
    <row r="652" spans="1:11" x14ac:dyDescent="0.25">
      <c r="A652" s="46" t="str" cm="1">
        <f t="array" ref="A652">IFERROR(INDEX(#REF!,MATCH(TRUE,ISNUMBER(FIND(SUBSTITUTE(SUBSTITUTE(UPPER(#REF!)," ",""),":",": "),SUBSTITUTE(SUBSTITUTE(UPPER(S652)," ",""),":",": "))),0)),"Undefined")</f>
        <v>Undefined</v>
      </c>
      <c r="B652" s="42" t="str" cm="1">
        <f t="array" ref="B652">IFERROR(INDEX({"URGENTE"},MATCH(TRUE,ISNUMBER(FIND(SUBSTITUTE(SUBSTITUTE(UPPER({"URGENTE"})," ",""),":",": "),SUBSTITUTE(SUBSTITUTE(UPPER(S652)," ",""),":",": "))),0)),"-")</f>
        <v>-</v>
      </c>
      <c r="C652" s="46" t="str" cm="1">
        <f t="array" ref="C652">IFERROR(INDEX(#REF!,MATCH(TRUE,ISNUMBER(FIND(SUBSTITUTE(SUBSTITUTE(UPPER(#REF!)," ",""),":",": "),SUBSTITUTE(SUBSTITUTE(UPPER(S652)," ",""),":",": "))),0)),"Não encontrado")</f>
        <v>Não encontrado</v>
      </c>
      <c r="D652" s="46" t="str" cm="1">
        <f t="array" ref="D652">IFERROR(INDEX(#REF!,MATCH(TRUE,ISNUMBER(FIND(SUBSTITUTE(SUBSTITUTE(UPPER(#REF!)," ",""),":",": "),SUBSTITUTE(SUBSTITUTE(UPPER(S652)," ",""),":",": "))),0)),"Não encontrado")</f>
        <v>Não encontrado</v>
      </c>
      <c r="E652" s="42" t="str" cm="1">
        <f t="array" ref="E652">IFERROR(INDEX({"IMPEDITIVO"},MATCH(TRUE,ISNUMBER(FIND(SUBSTITUTE(SUBSTITUTE(UPPER({"IMPEDITIVO"})," ",""),":",": "),SUBSTITUTE(SUBSTITUTE(UPPER(S652)," ",""),":",": "))),0)),"-")</f>
        <v>-</v>
      </c>
      <c r="K652" s="49"/>
    </row>
    <row r="653" spans="1:11" x14ac:dyDescent="0.25">
      <c r="A653" s="46" t="str" cm="1">
        <f t="array" ref="A653">IFERROR(INDEX(#REF!,MATCH(TRUE,ISNUMBER(FIND(SUBSTITUTE(SUBSTITUTE(UPPER(#REF!)," ",""),":",": "),SUBSTITUTE(SUBSTITUTE(UPPER(S653)," ",""),":",": "))),0)),"Undefined")</f>
        <v>Undefined</v>
      </c>
      <c r="B653" s="42" t="str" cm="1">
        <f t="array" ref="B653">IFERROR(INDEX({"URGENTE"},MATCH(TRUE,ISNUMBER(FIND(SUBSTITUTE(SUBSTITUTE(UPPER({"URGENTE"})," ",""),":",": "),SUBSTITUTE(SUBSTITUTE(UPPER(S653)," ",""),":",": "))),0)),"-")</f>
        <v>-</v>
      </c>
      <c r="C653" s="46" t="str" cm="1">
        <f t="array" ref="C653">IFERROR(INDEX(#REF!,MATCH(TRUE,ISNUMBER(FIND(SUBSTITUTE(SUBSTITUTE(UPPER(#REF!)," ",""),":",": "),SUBSTITUTE(SUBSTITUTE(UPPER(S653)," ",""),":",": "))),0)),"Não encontrado")</f>
        <v>Não encontrado</v>
      </c>
      <c r="D653" s="46" t="str" cm="1">
        <f t="array" ref="D653">IFERROR(INDEX(#REF!,MATCH(TRUE,ISNUMBER(FIND(SUBSTITUTE(SUBSTITUTE(UPPER(#REF!)," ",""),":",": "),SUBSTITUTE(SUBSTITUTE(UPPER(S653)," ",""),":",": "))),0)),"Não encontrado")</f>
        <v>Não encontrado</v>
      </c>
      <c r="E653" s="42" t="str" cm="1">
        <f t="array" ref="E653">IFERROR(INDEX({"IMPEDITIVO"},MATCH(TRUE,ISNUMBER(FIND(SUBSTITUTE(SUBSTITUTE(UPPER({"IMPEDITIVO"})," ",""),":",": "),SUBSTITUTE(SUBSTITUTE(UPPER(S653)," ",""),":",": "))),0)),"-")</f>
        <v>-</v>
      </c>
      <c r="K653" s="49"/>
    </row>
    <row r="654" spans="1:11" x14ac:dyDescent="0.25">
      <c r="A654" s="46" t="str" cm="1">
        <f t="array" ref="A654">IFERROR(INDEX(#REF!,MATCH(TRUE,ISNUMBER(FIND(SUBSTITUTE(SUBSTITUTE(UPPER(#REF!)," ",""),":",": "),SUBSTITUTE(SUBSTITUTE(UPPER(S654)," ",""),":",": "))),0)),"Undefined")</f>
        <v>Undefined</v>
      </c>
      <c r="B654" s="42" t="str" cm="1">
        <f t="array" ref="B654">IFERROR(INDEX({"URGENTE"},MATCH(TRUE,ISNUMBER(FIND(SUBSTITUTE(SUBSTITUTE(UPPER({"URGENTE"})," ",""),":",": "),SUBSTITUTE(SUBSTITUTE(UPPER(S654)," ",""),":",": "))),0)),"-")</f>
        <v>-</v>
      </c>
      <c r="C654" s="46" t="str" cm="1">
        <f t="array" ref="C654">IFERROR(INDEX(#REF!,MATCH(TRUE,ISNUMBER(FIND(SUBSTITUTE(SUBSTITUTE(UPPER(#REF!)," ",""),":",": "),SUBSTITUTE(SUBSTITUTE(UPPER(S654)," ",""),":",": "))),0)),"Não encontrado")</f>
        <v>Não encontrado</v>
      </c>
      <c r="D654" s="46" t="str" cm="1">
        <f t="array" ref="D654">IFERROR(INDEX(#REF!,MATCH(TRUE,ISNUMBER(FIND(SUBSTITUTE(SUBSTITUTE(UPPER(#REF!)," ",""),":",": "),SUBSTITUTE(SUBSTITUTE(UPPER(S654)," ",""),":",": "))),0)),"Não encontrado")</f>
        <v>Não encontrado</v>
      </c>
      <c r="E654" s="42" t="str" cm="1">
        <f t="array" ref="E654">IFERROR(INDEX({"IMPEDITIVO"},MATCH(TRUE,ISNUMBER(FIND(SUBSTITUTE(SUBSTITUTE(UPPER({"IMPEDITIVO"})," ",""),":",": "),SUBSTITUTE(SUBSTITUTE(UPPER(S654)," ",""),":",": "))),0)),"-")</f>
        <v>-</v>
      </c>
      <c r="K654" s="49"/>
    </row>
    <row r="655" spans="1:11" x14ac:dyDescent="0.25">
      <c r="A655" s="46" t="str" cm="1">
        <f t="array" ref="A655">IFERROR(INDEX(#REF!,MATCH(TRUE,ISNUMBER(FIND(SUBSTITUTE(SUBSTITUTE(UPPER(#REF!)," ",""),":",": "),SUBSTITUTE(SUBSTITUTE(UPPER(S655)," ",""),":",": "))),0)),"Undefined")</f>
        <v>Undefined</v>
      </c>
      <c r="B655" s="42" t="str" cm="1">
        <f t="array" ref="B655">IFERROR(INDEX({"URGENTE"},MATCH(TRUE,ISNUMBER(FIND(SUBSTITUTE(SUBSTITUTE(UPPER({"URGENTE"})," ",""),":",": "),SUBSTITUTE(SUBSTITUTE(UPPER(S655)," ",""),":",": "))),0)),"-")</f>
        <v>-</v>
      </c>
      <c r="C655" s="46" t="str" cm="1">
        <f t="array" ref="C655">IFERROR(INDEX(#REF!,MATCH(TRUE,ISNUMBER(FIND(SUBSTITUTE(SUBSTITUTE(UPPER(#REF!)," ",""),":",": "),SUBSTITUTE(SUBSTITUTE(UPPER(S655)," ",""),":",": "))),0)),"Não encontrado")</f>
        <v>Não encontrado</v>
      </c>
      <c r="D655" s="46" t="str" cm="1">
        <f t="array" ref="D655">IFERROR(INDEX(#REF!,MATCH(TRUE,ISNUMBER(FIND(SUBSTITUTE(SUBSTITUTE(UPPER(#REF!)," ",""),":",": "),SUBSTITUTE(SUBSTITUTE(UPPER(S655)," ",""),":",": "))),0)),"Não encontrado")</f>
        <v>Não encontrado</v>
      </c>
      <c r="E655" s="42" t="str" cm="1">
        <f t="array" ref="E655">IFERROR(INDEX({"IMPEDITIVO"},MATCH(TRUE,ISNUMBER(FIND(SUBSTITUTE(SUBSTITUTE(UPPER({"IMPEDITIVO"})," ",""),":",": "),SUBSTITUTE(SUBSTITUTE(UPPER(S655)," ",""),":",": "))),0)),"-")</f>
        <v>-</v>
      </c>
      <c r="K655" s="49"/>
    </row>
    <row r="656" spans="1:11" x14ac:dyDescent="0.25">
      <c r="A656" s="46" t="str" cm="1">
        <f t="array" ref="A656">IFERROR(INDEX(#REF!,MATCH(TRUE,ISNUMBER(FIND(SUBSTITUTE(SUBSTITUTE(UPPER(#REF!)," ",""),":",": "),SUBSTITUTE(SUBSTITUTE(UPPER(S656)," ",""),":",": "))),0)),"Undefined")</f>
        <v>Undefined</v>
      </c>
      <c r="B656" s="42" t="str" cm="1">
        <f t="array" ref="B656">IFERROR(INDEX({"URGENTE"},MATCH(TRUE,ISNUMBER(FIND(SUBSTITUTE(SUBSTITUTE(UPPER({"URGENTE"})," ",""),":",": "),SUBSTITUTE(SUBSTITUTE(UPPER(S656)," ",""),":",": "))),0)),"-")</f>
        <v>-</v>
      </c>
      <c r="C656" s="46" t="str" cm="1">
        <f t="array" ref="C656">IFERROR(INDEX(#REF!,MATCH(TRUE,ISNUMBER(FIND(SUBSTITUTE(SUBSTITUTE(UPPER(#REF!)," ",""),":",": "),SUBSTITUTE(SUBSTITUTE(UPPER(S656)," ",""),":",": "))),0)),"Não encontrado")</f>
        <v>Não encontrado</v>
      </c>
      <c r="D656" s="46" t="str" cm="1">
        <f t="array" ref="D656">IFERROR(INDEX(#REF!,MATCH(TRUE,ISNUMBER(FIND(SUBSTITUTE(SUBSTITUTE(UPPER(#REF!)," ",""),":",": "),SUBSTITUTE(SUBSTITUTE(UPPER(S656)," ",""),":",": "))),0)),"Não encontrado")</f>
        <v>Não encontrado</v>
      </c>
      <c r="E656" s="42" t="str" cm="1">
        <f t="array" ref="E656">IFERROR(INDEX({"IMPEDITIVO"},MATCH(TRUE,ISNUMBER(FIND(SUBSTITUTE(SUBSTITUTE(UPPER({"IMPEDITIVO"})," ",""),":",": "),SUBSTITUTE(SUBSTITUTE(UPPER(S656)," ",""),":",": "))),0)),"-")</f>
        <v>-</v>
      </c>
      <c r="K656" s="49"/>
    </row>
    <row r="657" spans="1:11" x14ac:dyDescent="0.25">
      <c r="A657" s="46" t="str" cm="1">
        <f t="array" ref="A657">IFERROR(INDEX(#REF!,MATCH(TRUE,ISNUMBER(FIND(SUBSTITUTE(SUBSTITUTE(UPPER(#REF!)," ",""),":",": "),SUBSTITUTE(SUBSTITUTE(UPPER(S657)," ",""),":",": "))),0)),"Undefined")</f>
        <v>Undefined</v>
      </c>
      <c r="B657" s="42" t="str" cm="1">
        <f t="array" ref="B657">IFERROR(INDEX({"URGENTE"},MATCH(TRUE,ISNUMBER(FIND(SUBSTITUTE(SUBSTITUTE(UPPER({"URGENTE"})," ",""),":",": "),SUBSTITUTE(SUBSTITUTE(UPPER(S657)," ",""),":",": "))),0)),"-")</f>
        <v>-</v>
      </c>
      <c r="C657" s="46" t="str" cm="1">
        <f t="array" ref="C657">IFERROR(INDEX(#REF!,MATCH(TRUE,ISNUMBER(FIND(SUBSTITUTE(SUBSTITUTE(UPPER(#REF!)," ",""),":",": "),SUBSTITUTE(SUBSTITUTE(UPPER(S657)," ",""),":",": "))),0)),"Não encontrado")</f>
        <v>Não encontrado</v>
      </c>
      <c r="D657" s="46" t="str" cm="1">
        <f t="array" ref="D657">IFERROR(INDEX(#REF!,MATCH(TRUE,ISNUMBER(FIND(SUBSTITUTE(SUBSTITUTE(UPPER(#REF!)," ",""),":",": "),SUBSTITUTE(SUBSTITUTE(UPPER(S657)," ",""),":",": "))),0)),"Não encontrado")</f>
        <v>Não encontrado</v>
      </c>
      <c r="E657" s="42" t="str" cm="1">
        <f t="array" ref="E657">IFERROR(INDEX({"IMPEDITIVO"},MATCH(TRUE,ISNUMBER(FIND(SUBSTITUTE(SUBSTITUTE(UPPER({"IMPEDITIVO"})," ",""),":",": "),SUBSTITUTE(SUBSTITUTE(UPPER(S657)," ",""),":",": "))),0)),"-")</f>
        <v>-</v>
      </c>
      <c r="K657" s="49"/>
    </row>
    <row r="658" spans="1:11" x14ac:dyDescent="0.25">
      <c r="A658" s="46" t="str" cm="1">
        <f t="array" ref="A658">IFERROR(INDEX(#REF!,MATCH(TRUE,ISNUMBER(FIND(SUBSTITUTE(SUBSTITUTE(UPPER(#REF!)," ",""),":",": "),SUBSTITUTE(SUBSTITUTE(UPPER(S658)," ",""),":",": "))),0)),"Undefined")</f>
        <v>Undefined</v>
      </c>
      <c r="B658" s="42" t="str" cm="1">
        <f t="array" ref="B658">IFERROR(INDEX({"URGENTE"},MATCH(TRUE,ISNUMBER(FIND(SUBSTITUTE(SUBSTITUTE(UPPER({"URGENTE"})," ",""),":",": "),SUBSTITUTE(SUBSTITUTE(UPPER(S658)," ",""),":",": "))),0)),"-")</f>
        <v>-</v>
      </c>
      <c r="C658" s="46" t="str" cm="1">
        <f t="array" ref="C658">IFERROR(INDEX(#REF!,MATCH(TRUE,ISNUMBER(FIND(SUBSTITUTE(SUBSTITUTE(UPPER(#REF!)," ",""),":",": "),SUBSTITUTE(SUBSTITUTE(UPPER(S658)," ",""),":",": "))),0)),"Não encontrado")</f>
        <v>Não encontrado</v>
      </c>
      <c r="D658" s="46" t="str" cm="1">
        <f t="array" ref="D658">IFERROR(INDEX(#REF!,MATCH(TRUE,ISNUMBER(FIND(SUBSTITUTE(SUBSTITUTE(UPPER(#REF!)," ",""),":",": "),SUBSTITUTE(SUBSTITUTE(UPPER(S658)," ",""),":",": "))),0)),"Não encontrado")</f>
        <v>Não encontrado</v>
      </c>
      <c r="E658" s="42" t="str" cm="1">
        <f t="array" ref="E658">IFERROR(INDEX({"IMPEDITIVO"},MATCH(TRUE,ISNUMBER(FIND(SUBSTITUTE(SUBSTITUTE(UPPER({"IMPEDITIVO"})," ",""),":",": "),SUBSTITUTE(SUBSTITUTE(UPPER(S658)," ",""),":",": "))),0)),"-")</f>
        <v>-</v>
      </c>
      <c r="K658" s="49"/>
    </row>
    <row r="659" spans="1:11" x14ac:dyDescent="0.25">
      <c r="A659" s="46" t="str" cm="1">
        <f t="array" ref="A659">IFERROR(INDEX(#REF!,MATCH(TRUE,ISNUMBER(FIND(SUBSTITUTE(SUBSTITUTE(UPPER(#REF!)," ",""),":",": "),SUBSTITUTE(SUBSTITUTE(UPPER(S659)," ",""),":",": "))),0)),"Undefined")</f>
        <v>Undefined</v>
      </c>
      <c r="B659" s="42" t="str" cm="1">
        <f t="array" ref="B659">IFERROR(INDEX({"URGENTE"},MATCH(TRUE,ISNUMBER(FIND(SUBSTITUTE(SUBSTITUTE(UPPER({"URGENTE"})," ",""),":",": "),SUBSTITUTE(SUBSTITUTE(UPPER(S659)," ",""),":",": "))),0)),"-")</f>
        <v>-</v>
      </c>
      <c r="C659" s="46" t="str" cm="1">
        <f t="array" ref="C659">IFERROR(INDEX(#REF!,MATCH(TRUE,ISNUMBER(FIND(SUBSTITUTE(SUBSTITUTE(UPPER(#REF!)," ",""),":",": "),SUBSTITUTE(SUBSTITUTE(UPPER(S659)," ",""),":",": "))),0)),"Não encontrado")</f>
        <v>Não encontrado</v>
      </c>
      <c r="D659" s="46" t="str" cm="1">
        <f t="array" ref="D659">IFERROR(INDEX(#REF!,MATCH(TRUE,ISNUMBER(FIND(SUBSTITUTE(SUBSTITUTE(UPPER(#REF!)," ",""),":",": "),SUBSTITUTE(SUBSTITUTE(UPPER(S659)," ",""),":",": "))),0)),"Não encontrado")</f>
        <v>Não encontrado</v>
      </c>
      <c r="E659" s="42" t="str" cm="1">
        <f t="array" ref="E659">IFERROR(INDEX({"IMPEDITIVO"},MATCH(TRUE,ISNUMBER(FIND(SUBSTITUTE(SUBSTITUTE(UPPER({"IMPEDITIVO"})," ",""),":",": "),SUBSTITUTE(SUBSTITUTE(UPPER(S659)," ",""),":",": "))),0)),"-")</f>
        <v>-</v>
      </c>
      <c r="K659" s="49"/>
    </row>
    <row r="660" spans="1:11" x14ac:dyDescent="0.25">
      <c r="A660" s="46" t="str" cm="1">
        <f t="array" ref="A660">IFERROR(INDEX(#REF!,MATCH(TRUE,ISNUMBER(FIND(SUBSTITUTE(SUBSTITUTE(UPPER(#REF!)," ",""),":",": "),SUBSTITUTE(SUBSTITUTE(UPPER(S660)," ",""),":",": "))),0)),"Undefined")</f>
        <v>Undefined</v>
      </c>
      <c r="B660" s="42" t="str" cm="1">
        <f t="array" ref="B660">IFERROR(INDEX({"URGENTE"},MATCH(TRUE,ISNUMBER(FIND(SUBSTITUTE(SUBSTITUTE(UPPER({"URGENTE"})," ",""),":",": "),SUBSTITUTE(SUBSTITUTE(UPPER(S660)," ",""),":",": "))),0)),"-")</f>
        <v>-</v>
      </c>
      <c r="C660" s="46" t="str" cm="1">
        <f t="array" ref="C660">IFERROR(INDEX(#REF!,MATCH(TRUE,ISNUMBER(FIND(SUBSTITUTE(SUBSTITUTE(UPPER(#REF!)," ",""),":",": "),SUBSTITUTE(SUBSTITUTE(UPPER(S660)," ",""),":",": "))),0)),"Não encontrado")</f>
        <v>Não encontrado</v>
      </c>
      <c r="D660" s="46" t="str" cm="1">
        <f t="array" ref="D660">IFERROR(INDEX(#REF!,MATCH(TRUE,ISNUMBER(FIND(SUBSTITUTE(SUBSTITUTE(UPPER(#REF!)," ",""),":",": "),SUBSTITUTE(SUBSTITUTE(UPPER(S660)," ",""),":",": "))),0)),"Não encontrado")</f>
        <v>Não encontrado</v>
      </c>
      <c r="E660" s="42" t="str" cm="1">
        <f t="array" ref="E660">IFERROR(INDEX({"IMPEDITIVO"},MATCH(TRUE,ISNUMBER(FIND(SUBSTITUTE(SUBSTITUTE(UPPER({"IMPEDITIVO"})," ",""),":",": "),SUBSTITUTE(SUBSTITUTE(UPPER(S660)," ",""),":",": "))),0)),"-")</f>
        <v>-</v>
      </c>
      <c r="K660" s="49"/>
    </row>
    <row r="661" spans="1:11" x14ac:dyDescent="0.25">
      <c r="A661" s="46" t="str" cm="1">
        <f t="array" ref="A661">IFERROR(INDEX(#REF!,MATCH(TRUE,ISNUMBER(FIND(SUBSTITUTE(SUBSTITUTE(UPPER(#REF!)," ",""),":",": "),SUBSTITUTE(SUBSTITUTE(UPPER(S661)," ",""),":",": "))),0)),"Undefined")</f>
        <v>Undefined</v>
      </c>
      <c r="B661" s="42" t="str" cm="1">
        <f t="array" ref="B661">IFERROR(INDEX({"URGENTE"},MATCH(TRUE,ISNUMBER(FIND(SUBSTITUTE(SUBSTITUTE(UPPER({"URGENTE"})," ",""),":",": "),SUBSTITUTE(SUBSTITUTE(UPPER(S661)," ",""),":",": "))),0)),"-")</f>
        <v>-</v>
      </c>
      <c r="C661" s="46" t="str" cm="1">
        <f t="array" ref="C661">IFERROR(INDEX(#REF!,MATCH(TRUE,ISNUMBER(FIND(SUBSTITUTE(SUBSTITUTE(UPPER(#REF!)," ",""),":",": "),SUBSTITUTE(SUBSTITUTE(UPPER(S661)," ",""),":",": "))),0)),"Não encontrado")</f>
        <v>Não encontrado</v>
      </c>
      <c r="D661" s="46" t="str" cm="1">
        <f t="array" ref="D661">IFERROR(INDEX(#REF!,MATCH(TRUE,ISNUMBER(FIND(SUBSTITUTE(SUBSTITUTE(UPPER(#REF!)," ",""),":",": "),SUBSTITUTE(SUBSTITUTE(UPPER(S661)," ",""),":",": "))),0)),"Não encontrado")</f>
        <v>Não encontrado</v>
      </c>
      <c r="E661" s="42" t="str" cm="1">
        <f t="array" ref="E661">IFERROR(INDEX({"IMPEDITIVO"},MATCH(TRUE,ISNUMBER(FIND(SUBSTITUTE(SUBSTITUTE(UPPER({"IMPEDITIVO"})," ",""),":",": "),SUBSTITUTE(SUBSTITUTE(UPPER(S661)," ",""),":",": "))),0)),"-")</f>
        <v>-</v>
      </c>
      <c r="K661" s="49"/>
    </row>
    <row r="662" spans="1:11" x14ac:dyDescent="0.25">
      <c r="A662" s="46" t="str" cm="1">
        <f t="array" ref="A662">IFERROR(INDEX(#REF!,MATCH(TRUE,ISNUMBER(FIND(SUBSTITUTE(SUBSTITUTE(UPPER(#REF!)," ",""),":",": "),SUBSTITUTE(SUBSTITUTE(UPPER(S662)," ",""),":",": "))),0)),"Undefined")</f>
        <v>Undefined</v>
      </c>
      <c r="B662" s="42" t="str" cm="1">
        <f t="array" ref="B662">IFERROR(INDEX({"URGENTE"},MATCH(TRUE,ISNUMBER(FIND(SUBSTITUTE(SUBSTITUTE(UPPER({"URGENTE"})," ",""),":",": "),SUBSTITUTE(SUBSTITUTE(UPPER(S662)," ",""),":",": "))),0)),"-")</f>
        <v>-</v>
      </c>
      <c r="C662" s="46" t="str" cm="1">
        <f t="array" ref="C662">IFERROR(INDEX(#REF!,MATCH(TRUE,ISNUMBER(FIND(SUBSTITUTE(SUBSTITUTE(UPPER(#REF!)," ",""),":",": "),SUBSTITUTE(SUBSTITUTE(UPPER(S662)," ",""),":",": "))),0)),"Não encontrado")</f>
        <v>Não encontrado</v>
      </c>
      <c r="D662" s="46" t="str" cm="1">
        <f t="array" ref="D662">IFERROR(INDEX(#REF!,MATCH(TRUE,ISNUMBER(FIND(SUBSTITUTE(SUBSTITUTE(UPPER(#REF!)," ",""),":",": "),SUBSTITUTE(SUBSTITUTE(UPPER(S662)," ",""),":",": "))),0)),"Não encontrado")</f>
        <v>Não encontrado</v>
      </c>
      <c r="E662" s="42" t="str" cm="1">
        <f t="array" ref="E662">IFERROR(INDEX({"IMPEDITIVO"},MATCH(TRUE,ISNUMBER(FIND(SUBSTITUTE(SUBSTITUTE(UPPER({"IMPEDITIVO"})," ",""),":",": "),SUBSTITUTE(SUBSTITUTE(UPPER(S662)," ",""),":",": "))),0)),"-")</f>
        <v>-</v>
      </c>
      <c r="K662" s="49"/>
    </row>
    <row r="663" spans="1:11" x14ac:dyDescent="0.25">
      <c r="A663" s="46" t="str" cm="1">
        <f t="array" ref="A663">IFERROR(INDEX(#REF!,MATCH(TRUE,ISNUMBER(FIND(SUBSTITUTE(SUBSTITUTE(UPPER(#REF!)," ",""),":",": "),SUBSTITUTE(SUBSTITUTE(UPPER(S663)," ",""),":",": "))),0)),"Undefined")</f>
        <v>Undefined</v>
      </c>
      <c r="B663" s="42" t="str" cm="1">
        <f t="array" ref="B663">IFERROR(INDEX({"URGENTE"},MATCH(TRUE,ISNUMBER(FIND(SUBSTITUTE(SUBSTITUTE(UPPER({"URGENTE"})," ",""),":",": "),SUBSTITUTE(SUBSTITUTE(UPPER(S663)," ",""),":",": "))),0)),"-")</f>
        <v>-</v>
      </c>
      <c r="C663" s="46" t="str" cm="1">
        <f t="array" ref="C663">IFERROR(INDEX(#REF!,MATCH(TRUE,ISNUMBER(FIND(SUBSTITUTE(SUBSTITUTE(UPPER(#REF!)," ",""),":",": "),SUBSTITUTE(SUBSTITUTE(UPPER(S663)," ",""),":",": "))),0)),"Não encontrado")</f>
        <v>Não encontrado</v>
      </c>
      <c r="D663" s="46" t="str" cm="1">
        <f t="array" ref="D663">IFERROR(INDEX(#REF!,MATCH(TRUE,ISNUMBER(FIND(SUBSTITUTE(SUBSTITUTE(UPPER(#REF!)," ",""),":",": "),SUBSTITUTE(SUBSTITUTE(UPPER(S663)," ",""),":",": "))),0)),"Não encontrado")</f>
        <v>Não encontrado</v>
      </c>
      <c r="E663" s="42" t="str" cm="1">
        <f t="array" ref="E663">IFERROR(INDEX({"IMPEDITIVO"},MATCH(TRUE,ISNUMBER(FIND(SUBSTITUTE(SUBSTITUTE(UPPER({"IMPEDITIVO"})," ",""),":",": "),SUBSTITUTE(SUBSTITUTE(UPPER(S663)," ",""),":",": "))),0)),"-")</f>
        <v>-</v>
      </c>
      <c r="K663" s="49"/>
    </row>
    <row r="664" spans="1:11" x14ac:dyDescent="0.25">
      <c r="A664" s="46" t="str" cm="1">
        <f t="array" ref="A664">IFERROR(INDEX(#REF!,MATCH(TRUE,ISNUMBER(FIND(SUBSTITUTE(SUBSTITUTE(UPPER(#REF!)," ",""),":",": "),SUBSTITUTE(SUBSTITUTE(UPPER(S664)," ",""),":",": "))),0)),"Undefined")</f>
        <v>Undefined</v>
      </c>
      <c r="B664" s="42" t="str" cm="1">
        <f t="array" ref="B664">IFERROR(INDEX({"URGENTE"},MATCH(TRUE,ISNUMBER(FIND(SUBSTITUTE(SUBSTITUTE(UPPER({"URGENTE"})," ",""),":",": "),SUBSTITUTE(SUBSTITUTE(UPPER(S664)," ",""),":",": "))),0)),"-")</f>
        <v>-</v>
      </c>
      <c r="C664" s="46" t="str" cm="1">
        <f t="array" ref="C664">IFERROR(INDEX(#REF!,MATCH(TRUE,ISNUMBER(FIND(SUBSTITUTE(SUBSTITUTE(UPPER(#REF!)," ",""),":",": "),SUBSTITUTE(SUBSTITUTE(UPPER(S664)," ",""),":",": "))),0)),"Não encontrado")</f>
        <v>Não encontrado</v>
      </c>
      <c r="D664" s="46" t="str" cm="1">
        <f t="array" ref="D664">IFERROR(INDEX(#REF!,MATCH(TRUE,ISNUMBER(FIND(SUBSTITUTE(SUBSTITUTE(UPPER(#REF!)," ",""),":",": "),SUBSTITUTE(SUBSTITUTE(UPPER(S664)," ",""),":",": "))),0)),"Não encontrado")</f>
        <v>Não encontrado</v>
      </c>
      <c r="E664" s="42" t="str" cm="1">
        <f t="array" ref="E664">IFERROR(INDEX({"IMPEDITIVO"},MATCH(TRUE,ISNUMBER(FIND(SUBSTITUTE(SUBSTITUTE(UPPER({"IMPEDITIVO"})," ",""),":",": "),SUBSTITUTE(SUBSTITUTE(UPPER(S664)," ",""),":",": "))),0)),"-")</f>
        <v>-</v>
      </c>
      <c r="K664" s="49"/>
    </row>
    <row r="665" spans="1:11" x14ac:dyDescent="0.25">
      <c r="A665" s="46" t="str" cm="1">
        <f t="array" ref="A665">IFERROR(INDEX(#REF!,MATCH(TRUE,ISNUMBER(FIND(SUBSTITUTE(SUBSTITUTE(UPPER(#REF!)," ",""),":",": "),SUBSTITUTE(SUBSTITUTE(UPPER(S665)," ",""),":",": "))),0)),"Undefined")</f>
        <v>Undefined</v>
      </c>
      <c r="B665" s="42" t="str" cm="1">
        <f t="array" ref="B665">IFERROR(INDEX({"URGENTE"},MATCH(TRUE,ISNUMBER(FIND(SUBSTITUTE(SUBSTITUTE(UPPER({"URGENTE"})," ",""),":",": "),SUBSTITUTE(SUBSTITUTE(UPPER(S665)," ",""),":",": "))),0)),"-")</f>
        <v>-</v>
      </c>
      <c r="C665" s="46" t="str" cm="1">
        <f t="array" ref="C665">IFERROR(INDEX(#REF!,MATCH(TRUE,ISNUMBER(FIND(SUBSTITUTE(SUBSTITUTE(UPPER(#REF!)," ",""),":",": "),SUBSTITUTE(SUBSTITUTE(UPPER(S665)," ",""),":",": "))),0)),"Não encontrado")</f>
        <v>Não encontrado</v>
      </c>
      <c r="D665" s="46" t="str" cm="1">
        <f t="array" ref="D665">IFERROR(INDEX(#REF!,MATCH(TRUE,ISNUMBER(FIND(SUBSTITUTE(SUBSTITUTE(UPPER(#REF!)," ",""),":",": "),SUBSTITUTE(SUBSTITUTE(UPPER(S665)," ",""),":",": "))),0)),"Não encontrado")</f>
        <v>Não encontrado</v>
      </c>
      <c r="E665" s="42" t="str" cm="1">
        <f t="array" ref="E665">IFERROR(INDEX({"IMPEDITIVO"},MATCH(TRUE,ISNUMBER(FIND(SUBSTITUTE(SUBSTITUTE(UPPER({"IMPEDITIVO"})," ",""),":",": "),SUBSTITUTE(SUBSTITUTE(UPPER(S665)," ",""),":",": "))),0)),"-")</f>
        <v>-</v>
      </c>
      <c r="K665" s="49"/>
    </row>
    <row r="666" spans="1:11" x14ac:dyDescent="0.25">
      <c r="A666" s="46" t="str" cm="1">
        <f t="array" ref="A666">IFERROR(INDEX(#REF!,MATCH(TRUE,ISNUMBER(FIND(SUBSTITUTE(SUBSTITUTE(UPPER(#REF!)," ",""),":",": "),SUBSTITUTE(SUBSTITUTE(UPPER(S666)," ",""),":",": "))),0)),"Undefined")</f>
        <v>Undefined</v>
      </c>
      <c r="B666" s="42" t="str" cm="1">
        <f t="array" ref="B666">IFERROR(INDEX({"URGENTE"},MATCH(TRUE,ISNUMBER(FIND(SUBSTITUTE(SUBSTITUTE(UPPER({"URGENTE"})," ",""),":",": "),SUBSTITUTE(SUBSTITUTE(UPPER(S666)," ",""),":",": "))),0)),"-")</f>
        <v>-</v>
      </c>
      <c r="C666" s="46" t="str" cm="1">
        <f t="array" ref="C666">IFERROR(INDEX(#REF!,MATCH(TRUE,ISNUMBER(FIND(SUBSTITUTE(SUBSTITUTE(UPPER(#REF!)," ",""),":",": "),SUBSTITUTE(SUBSTITUTE(UPPER(S666)," ",""),":",": "))),0)),"Não encontrado")</f>
        <v>Não encontrado</v>
      </c>
      <c r="D666" s="46" t="str" cm="1">
        <f t="array" ref="D666">IFERROR(INDEX(#REF!,MATCH(TRUE,ISNUMBER(FIND(SUBSTITUTE(SUBSTITUTE(UPPER(#REF!)," ",""),":",": "),SUBSTITUTE(SUBSTITUTE(UPPER(S666)," ",""),":",": "))),0)),"Não encontrado")</f>
        <v>Não encontrado</v>
      </c>
      <c r="E666" s="42" t="str" cm="1">
        <f t="array" ref="E666">IFERROR(INDEX({"IMPEDITIVO"},MATCH(TRUE,ISNUMBER(FIND(SUBSTITUTE(SUBSTITUTE(UPPER({"IMPEDITIVO"})," ",""),":",": "),SUBSTITUTE(SUBSTITUTE(UPPER(S666)," ",""),":",": "))),0)),"-")</f>
        <v>-</v>
      </c>
      <c r="K666" s="49"/>
    </row>
    <row r="667" spans="1:11" x14ac:dyDescent="0.25">
      <c r="A667" s="46" t="str" cm="1">
        <f t="array" ref="A667">IFERROR(INDEX(#REF!,MATCH(TRUE,ISNUMBER(FIND(SUBSTITUTE(SUBSTITUTE(UPPER(#REF!)," ",""),":",": "),SUBSTITUTE(SUBSTITUTE(UPPER(S667)," ",""),":",": "))),0)),"Undefined")</f>
        <v>Undefined</v>
      </c>
      <c r="B667" s="42" t="str" cm="1">
        <f t="array" ref="B667">IFERROR(INDEX({"URGENTE"},MATCH(TRUE,ISNUMBER(FIND(SUBSTITUTE(SUBSTITUTE(UPPER({"URGENTE"})," ",""),":",": "),SUBSTITUTE(SUBSTITUTE(UPPER(S667)," ",""),":",": "))),0)),"-")</f>
        <v>-</v>
      </c>
      <c r="C667" s="46" t="str" cm="1">
        <f t="array" ref="C667">IFERROR(INDEX(#REF!,MATCH(TRUE,ISNUMBER(FIND(SUBSTITUTE(SUBSTITUTE(UPPER(#REF!)," ",""),":",": "),SUBSTITUTE(SUBSTITUTE(UPPER(S667)," ",""),":",": "))),0)),"Não encontrado")</f>
        <v>Não encontrado</v>
      </c>
      <c r="D667" s="46" t="str" cm="1">
        <f t="array" ref="D667">IFERROR(INDEX(#REF!,MATCH(TRUE,ISNUMBER(FIND(SUBSTITUTE(SUBSTITUTE(UPPER(#REF!)," ",""),":",": "),SUBSTITUTE(SUBSTITUTE(UPPER(S667)," ",""),":",": "))),0)),"Não encontrado")</f>
        <v>Não encontrado</v>
      </c>
      <c r="E667" s="42" t="str" cm="1">
        <f t="array" ref="E667">IFERROR(INDEX({"IMPEDITIVO"},MATCH(TRUE,ISNUMBER(FIND(SUBSTITUTE(SUBSTITUTE(UPPER({"IMPEDITIVO"})," ",""),":",": "),SUBSTITUTE(SUBSTITUTE(UPPER(S667)," ",""),":",": "))),0)),"-")</f>
        <v>-</v>
      </c>
      <c r="K667" s="49"/>
    </row>
    <row r="668" spans="1:11" x14ac:dyDescent="0.25">
      <c r="A668" s="46" t="str" cm="1">
        <f t="array" ref="A668">IFERROR(INDEX(#REF!,MATCH(TRUE,ISNUMBER(FIND(SUBSTITUTE(SUBSTITUTE(UPPER(#REF!)," ",""),":",": "),SUBSTITUTE(SUBSTITUTE(UPPER(S668)," ",""),":",": "))),0)),"Undefined")</f>
        <v>Undefined</v>
      </c>
      <c r="B668" s="42" t="str" cm="1">
        <f t="array" ref="B668">IFERROR(INDEX({"URGENTE"},MATCH(TRUE,ISNUMBER(FIND(SUBSTITUTE(SUBSTITUTE(UPPER({"URGENTE"})," ",""),":",": "),SUBSTITUTE(SUBSTITUTE(UPPER(S668)," ",""),":",": "))),0)),"-")</f>
        <v>-</v>
      </c>
      <c r="C668" s="46" t="str" cm="1">
        <f t="array" ref="C668">IFERROR(INDEX(#REF!,MATCH(TRUE,ISNUMBER(FIND(SUBSTITUTE(SUBSTITUTE(UPPER(#REF!)," ",""),":",": "),SUBSTITUTE(SUBSTITUTE(UPPER(S668)," ",""),":",": "))),0)),"Não encontrado")</f>
        <v>Não encontrado</v>
      </c>
      <c r="D668" s="46" t="str" cm="1">
        <f t="array" ref="D668">IFERROR(INDEX(#REF!,MATCH(TRUE,ISNUMBER(FIND(SUBSTITUTE(SUBSTITUTE(UPPER(#REF!)," ",""),":",": "),SUBSTITUTE(SUBSTITUTE(UPPER(S668)," ",""),":",": "))),0)),"Não encontrado")</f>
        <v>Não encontrado</v>
      </c>
      <c r="E668" s="42" t="str" cm="1">
        <f t="array" ref="E668">IFERROR(INDEX({"IMPEDITIVO"},MATCH(TRUE,ISNUMBER(FIND(SUBSTITUTE(SUBSTITUTE(UPPER({"IMPEDITIVO"})," ",""),":",": "),SUBSTITUTE(SUBSTITUTE(UPPER(S668)," ",""),":",": "))),0)),"-")</f>
        <v>-</v>
      </c>
      <c r="K668" s="49"/>
    </row>
    <row r="669" spans="1:11" x14ac:dyDescent="0.25">
      <c r="A669" s="46" t="str" cm="1">
        <f t="array" ref="A669">IFERROR(INDEX(#REF!,MATCH(TRUE,ISNUMBER(FIND(SUBSTITUTE(SUBSTITUTE(UPPER(#REF!)," ",""),":",": "),SUBSTITUTE(SUBSTITUTE(UPPER(S669)," ",""),":",": "))),0)),"Undefined")</f>
        <v>Undefined</v>
      </c>
      <c r="B669" s="42" t="str" cm="1">
        <f t="array" ref="B669">IFERROR(INDEX({"URGENTE"},MATCH(TRUE,ISNUMBER(FIND(SUBSTITUTE(SUBSTITUTE(UPPER({"URGENTE"})," ",""),":",": "),SUBSTITUTE(SUBSTITUTE(UPPER(S669)," ",""),":",": "))),0)),"-")</f>
        <v>-</v>
      </c>
      <c r="C669" s="46" t="str" cm="1">
        <f t="array" ref="C669">IFERROR(INDEX(#REF!,MATCH(TRUE,ISNUMBER(FIND(SUBSTITUTE(SUBSTITUTE(UPPER(#REF!)," ",""),":",": "),SUBSTITUTE(SUBSTITUTE(UPPER(S669)," ",""),":",": "))),0)),"Não encontrado")</f>
        <v>Não encontrado</v>
      </c>
      <c r="D669" s="46" t="str" cm="1">
        <f t="array" ref="D669">IFERROR(INDEX(#REF!,MATCH(TRUE,ISNUMBER(FIND(SUBSTITUTE(SUBSTITUTE(UPPER(#REF!)," ",""),":",": "),SUBSTITUTE(SUBSTITUTE(UPPER(S669)," ",""),":",": "))),0)),"Não encontrado")</f>
        <v>Não encontrado</v>
      </c>
      <c r="E669" s="42" t="str" cm="1">
        <f t="array" ref="E669">IFERROR(INDEX({"IMPEDITIVO"},MATCH(TRUE,ISNUMBER(FIND(SUBSTITUTE(SUBSTITUTE(UPPER({"IMPEDITIVO"})," ",""),":",": "),SUBSTITUTE(SUBSTITUTE(UPPER(S669)," ",""),":",": "))),0)),"-")</f>
        <v>-</v>
      </c>
      <c r="K669" s="49"/>
    </row>
    <row r="670" spans="1:11" x14ac:dyDescent="0.25">
      <c r="A670" s="46" t="str" cm="1">
        <f t="array" ref="A670">IFERROR(INDEX(#REF!,MATCH(TRUE,ISNUMBER(FIND(SUBSTITUTE(SUBSTITUTE(UPPER(#REF!)," ",""),":",": "),SUBSTITUTE(SUBSTITUTE(UPPER(S670)," ",""),":",": "))),0)),"Undefined")</f>
        <v>Undefined</v>
      </c>
      <c r="B670" s="42" t="str" cm="1">
        <f t="array" ref="B670">IFERROR(INDEX({"URGENTE"},MATCH(TRUE,ISNUMBER(FIND(SUBSTITUTE(SUBSTITUTE(UPPER({"URGENTE"})," ",""),":",": "),SUBSTITUTE(SUBSTITUTE(UPPER(S670)," ",""),":",": "))),0)),"-")</f>
        <v>-</v>
      </c>
      <c r="C670" s="46" t="str" cm="1">
        <f t="array" ref="C670">IFERROR(INDEX(#REF!,MATCH(TRUE,ISNUMBER(FIND(SUBSTITUTE(SUBSTITUTE(UPPER(#REF!)," ",""),":",": "),SUBSTITUTE(SUBSTITUTE(UPPER(S670)," ",""),":",": "))),0)),"Não encontrado")</f>
        <v>Não encontrado</v>
      </c>
      <c r="D670" s="46" t="str" cm="1">
        <f t="array" ref="D670">IFERROR(INDEX(#REF!,MATCH(TRUE,ISNUMBER(FIND(SUBSTITUTE(SUBSTITUTE(UPPER(#REF!)," ",""),":",": "),SUBSTITUTE(SUBSTITUTE(UPPER(S670)," ",""),":",": "))),0)),"Não encontrado")</f>
        <v>Não encontrado</v>
      </c>
      <c r="E670" s="42" t="str" cm="1">
        <f t="array" ref="E670">IFERROR(INDEX({"IMPEDITIVO"},MATCH(TRUE,ISNUMBER(FIND(SUBSTITUTE(SUBSTITUTE(UPPER({"IMPEDITIVO"})," ",""),":",": "),SUBSTITUTE(SUBSTITUTE(UPPER(S670)," ",""),":",": "))),0)),"-")</f>
        <v>-</v>
      </c>
      <c r="K670" s="49"/>
    </row>
    <row r="671" spans="1:11" x14ac:dyDescent="0.25">
      <c r="A671" s="46" t="str" cm="1">
        <f t="array" ref="A671">IFERROR(INDEX(#REF!,MATCH(TRUE,ISNUMBER(FIND(SUBSTITUTE(SUBSTITUTE(UPPER(#REF!)," ",""),":",": "),SUBSTITUTE(SUBSTITUTE(UPPER(S671)," ",""),":",": "))),0)),"Undefined")</f>
        <v>Undefined</v>
      </c>
      <c r="B671" s="42" t="str" cm="1">
        <f t="array" ref="B671">IFERROR(INDEX({"URGENTE"},MATCH(TRUE,ISNUMBER(FIND(SUBSTITUTE(SUBSTITUTE(UPPER({"URGENTE"})," ",""),":",": "),SUBSTITUTE(SUBSTITUTE(UPPER(S671)," ",""),":",": "))),0)),"-")</f>
        <v>-</v>
      </c>
      <c r="C671" s="46" t="str" cm="1">
        <f t="array" ref="C671">IFERROR(INDEX(#REF!,MATCH(TRUE,ISNUMBER(FIND(SUBSTITUTE(SUBSTITUTE(UPPER(#REF!)," ",""),":",": "),SUBSTITUTE(SUBSTITUTE(UPPER(S671)," ",""),":",": "))),0)),"Não encontrado")</f>
        <v>Não encontrado</v>
      </c>
      <c r="D671" s="46" t="str" cm="1">
        <f t="array" ref="D671">IFERROR(INDEX(#REF!,MATCH(TRUE,ISNUMBER(FIND(SUBSTITUTE(SUBSTITUTE(UPPER(#REF!)," ",""),":",": "),SUBSTITUTE(SUBSTITUTE(UPPER(S671)," ",""),":",": "))),0)),"Não encontrado")</f>
        <v>Não encontrado</v>
      </c>
      <c r="E671" s="42" t="str" cm="1">
        <f t="array" ref="E671">IFERROR(INDEX({"IMPEDITIVO"},MATCH(TRUE,ISNUMBER(FIND(SUBSTITUTE(SUBSTITUTE(UPPER({"IMPEDITIVO"})," ",""),":",": "),SUBSTITUTE(SUBSTITUTE(UPPER(S671)," ",""),":",": "))),0)),"-")</f>
        <v>-</v>
      </c>
      <c r="K671" s="49"/>
    </row>
    <row r="672" spans="1:11" x14ac:dyDescent="0.25">
      <c r="A672" s="46" t="str" cm="1">
        <f t="array" ref="A672">IFERROR(INDEX(#REF!,MATCH(TRUE,ISNUMBER(FIND(SUBSTITUTE(SUBSTITUTE(UPPER(#REF!)," ",""),":",": "),SUBSTITUTE(SUBSTITUTE(UPPER(S672)," ",""),":",": "))),0)),"Undefined")</f>
        <v>Undefined</v>
      </c>
      <c r="B672" s="42" t="str" cm="1">
        <f t="array" ref="B672">IFERROR(INDEX({"URGENTE"},MATCH(TRUE,ISNUMBER(FIND(SUBSTITUTE(SUBSTITUTE(UPPER({"URGENTE"})," ",""),":",": "),SUBSTITUTE(SUBSTITUTE(UPPER(S672)," ",""),":",": "))),0)),"-")</f>
        <v>-</v>
      </c>
      <c r="C672" s="46" t="str" cm="1">
        <f t="array" ref="C672">IFERROR(INDEX(#REF!,MATCH(TRUE,ISNUMBER(FIND(SUBSTITUTE(SUBSTITUTE(UPPER(#REF!)," ",""),":",": "),SUBSTITUTE(SUBSTITUTE(UPPER(S672)," ",""),":",": "))),0)),"Não encontrado")</f>
        <v>Não encontrado</v>
      </c>
      <c r="D672" s="46" t="str" cm="1">
        <f t="array" ref="D672">IFERROR(INDEX(#REF!,MATCH(TRUE,ISNUMBER(FIND(SUBSTITUTE(SUBSTITUTE(UPPER(#REF!)," ",""),":",": "),SUBSTITUTE(SUBSTITUTE(UPPER(S672)," ",""),":",": "))),0)),"Não encontrado")</f>
        <v>Não encontrado</v>
      </c>
      <c r="E672" s="42" t="str" cm="1">
        <f t="array" ref="E672">IFERROR(INDEX({"IMPEDITIVO"},MATCH(TRUE,ISNUMBER(FIND(SUBSTITUTE(SUBSTITUTE(UPPER({"IMPEDITIVO"})," ",""),":",": "),SUBSTITUTE(SUBSTITUTE(UPPER(S672)," ",""),":",": "))),0)),"-")</f>
        <v>-</v>
      </c>
      <c r="K672" s="49"/>
    </row>
    <row r="673" spans="1:11" x14ac:dyDescent="0.25">
      <c r="A673" s="46" t="str" cm="1">
        <f t="array" ref="A673">IFERROR(INDEX(#REF!,MATCH(TRUE,ISNUMBER(FIND(SUBSTITUTE(SUBSTITUTE(UPPER(#REF!)," ",""),":",": "),SUBSTITUTE(SUBSTITUTE(UPPER(S673)," ",""),":",": "))),0)),"Undefined")</f>
        <v>Undefined</v>
      </c>
      <c r="B673" s="42" t="str" cm="1">
        <f t="array" ref="B673">IFERROR(INDEX({"URGENTE"},MATCH(TRUE,ISNUMBER(FIND(SUBSTITUTE(SUBSTITUTE(UPPER({"URGENTE"})," ",""),":",": "),SUBSTITUTE(SUBSTITUTE(UPPER(S673)," ",""),":",": "))),0)),"-")</f>
        <v>-</v>
      </c>
      <c r="C673" s="46" t="str" cm="1">
        <f t="array" ref="C673">IFERROR(INDEX(#REF!,MATCH(TRUE,ISNUMBER(FIND(SUBSTITUTE(SUBSTITUTE(UPPER(#REF!)," ",""),":",": "),SUBSTITUTE(SUBSTITUTE(UPPER(S673)," ",""),":",": "))),0)),"Não encontrado")</f>
        <v>Não encontrado</v>
      </c>
      <c r="D673" s="46" t="str" cm="1">
        <f t="array" ref="D673">IFERROR(INDEX(#REF!,MATCH(TRUE,ISNUMBER(FIND(SUBSTITUTE(SUBSTITUTE(UPPER(#REF!)," ",""),":",": "),SUBSTITUTE(SUBSTITUTE(UPPER(S673)," ",""),":",": "))),0)),"Não encontrado")</f>
        <v>Não encontrado</v>
      </c>
      <c r="E673" s="42" t="str" cm="1">
        <f t="array" ref="E673">IFERROR(INDEX({"IMPEDITIVO"},MATCH(TRUE,ISNUMBER(FIND(SUBSTITUTE(SUBSTITUTE(UPPER({"IMPEDITIVO"})," ",""),":",": "),SUBSTITUTE(SUBSTITUTE(UPPER(S673)," ",""),":",": "))),0)),"-")</f>
        <v>-</v>
      </c>
      <c r="K673" s="49"/>
    </row>
    <row r="674" spans="1:11" x14ac:dyDescent="0.25">
      <c r="A674" s="46" t="str" cm="1">
        <f t="array" ref="A674">IFERROR(INDEX(#REF!,MATCH(TRUE,ISNUMBER(FIND(SUBSTITUTE(SUBSTITUTE(UPPER(#REF!)," ",""),":",": "),SUBSTITUTE(SUBSTITUTE(UPPER(S674)," ",""),":",": "))),0)),"Undefined")</f>
        <v>Undefined</v>
      </c>
      <c r="B674" s="42" t="str" cm="1">
        <f t="array" ref="B674">IFERROR(INDEX({"URGENTE"},MATCH(TRUE,ISNUMBER(FIND(SUBSTITUTE(SUBSTITUTE(UPPER({"URGENTE"})," ",""),":",": "),SUBSTITUTE(SUBSTITUTE(UPPER(S674)," ",""),":",": "))),0)),"-")</f>
        <v>-</v>
      </c>
      <c r="C674" s="46" t="str" cm="1">
        <f t="array" ref="C674">IFERROR(INDEX(#REF!,MATCH(TRUE,ISNUMBER(FIND(SUBSTITUTE(SUBSTITUTE(UPPER(#REF!)," ",""),":",": "),SUBSTITUTE(SUBSTITUTE(UPPER(S674)," ",""),":",": "))),0)),"Não encontrado")</f>
        <v>Não encontrado</v>
      </c>
      <c r="D674" s="46" t="str" cm="1">
        <f t="array" ref="D674">IFERROR(INDEX(#REF!,MATCH(TRUE,ISNUMBER(FIND(SUBSTITUTE(SUBSTITUTE(UPPER(#REF!)," ",""),":",": "),SUBSTITUTE(SUBSTITUTE(UPPER(S674)," ",""),":",": "))),0)),"Não encontrado")</f>
        <v>Não encontrado</v>
      </c>
      <c r="E674" s="42" t="str" cm="1">
        <f t="array" ref="E674">IFERROR(INDEX({"IMPEDITIVO"},MATCH(TRUE,ISNUMBER(FIND(SUBSTITUTE(SUBSTITUTE(UPPER({"IMPEDITIVO"})," ",""),":",": "),SUBSTITUTE(SUBSTITUTE(UPPER(S674)," ",""),":",": "))),0)),"-")</f>
        <v>-</v>
      </c>
      <c r="K674" s="49"/>
    </row>
    <row r="675" spans="1:11" x14ac:dyDescent="0.25">
      <c r="A675" s="46" t="str" cm="1">
        <f t="array" ref="A675">IFERROR(INDEX(#REF!,MATCH(TRUE,ISNUMBER(FIND(SUBSTITUTE(SUBSTITUTE(UPPER(#REF!)," ",""),":",": "),SUBSTITUTE(SUBSTITUTE(UPPER(S675)," ",""),":",": "))),0)),"Undefined")</f>
        <v>Undefined</v>
      </c>
      <c r="B675" s="42" t="str" cm="1">
        <f t="array" ref="B675">IFERROR(INDEX({"URGENTE"},MATCH(TRUE,ISNUMBER(FIND(SUBSTITUTE(SUBSTITUTE(UPPER({"URGENTE"})," ",""),":",": "),SUBSTITUTE(SUBSTITUTE(UPPER(S675)," ",""),":",": "))),0)),"-")</f>
        <v>-</v>
      </c>
      <c r="C675" s="46" t="str" cm="1">
        <f t="array" ref="C675">IFERROR(INDEX(#REF!,MATCH(TRUE,ISNUMBER(FIND(SUBSTITUTE(SUBSTITUTE(UPPER(#REF!)," ",""),":",": "),SUBSTITUTE(SUBSTITUTE(UPPER(S675)," ",""),":",": "))),0)),"Não encontrado")</f>
        <v>Não encontrado</v>
      </c>
      <c r="D675" s="46" t="str" cm="1">
        <f t="array" ref="D675">IFERROR(INDEX(#REF!,MATCH(TRUE,ISNUMBER(FIND(SUBSTITUTE(SUBSTITUTE(UPPER(#REF!)," ",""),":",": "),SUBSTITUTE(SUBSTITUTE(UPPER(S675)," ",""),":",": "))),0)),"Não encontrado")</f>
        <v>Não encontrado</v>
      </c>
      <c r="E675" s="42" t="str" cm="1">
        <f t="array" ref="E675">IFERROR(INDEX({"IMPEDITIVO"},MATCH(TRUE,ISNUMBER(FIND(SUBSTITUTE(SUBSTITUTE(UPPER({"IMPEDITIVO"})," ",""),":",": "),SUBSTITUTE(SUBSTITUTE(UPPER(S675)," ",""),":",": "))),0)),"-")</f>
        <v>-</v>
      </c>
      <c r="K675" s="49"/>
    </row>
    <row r="676" spans="1:11" x14ac:dyDescent="0.25">
      <c r="A676" s="46" t="str" cm="1">
        <f t="array" ref="A676">IFERROR(INDEX(#REF!,MATCH(TRUE,ISNUMBER(FIND(SUBSTITUTE(SUBSTITUTE(UPPER(#REF!)," ",""),":",": "),SUBSTITUTE(SUBSTITUTE(UPPER(S676)," ",""),":",": "))),0)),"Undefined")</f>
        <v>Undefined</v>
      </c>
      <c r="B676" s="42" t="str" cm="1">
        <f t="array" ref="B676">IFERROR(INDEX({"URGENTE"},MATCH(TRUE,ISNUMBER(FIND(SUBSTITUTE(SUBSTITUTE(UPPER({"URGENTE"})," ",""),":",": "),SUBSTITUTE(SUBSTITUTE(UPPER(S676)," ",""),":",": "))),0)),"-")</f>
        <v>-</v>
      </c>
      <c r="C676" s="46" t="str" cm="1">
        <f t="array" ref="C676">IFERROR(INDEX(#REF!,MATCH(TRUE,ISNUMBER(FIND(SUBSTITUTE(SUBSTITUTE(UPPER(#REF!)," ",""),":",": "),SUBSTITUTE(SUBSTITUTE(UPPER(S676)," ",""),":",": "))),0)),"Não encontrado")</f>
        <v>Não encontrado</v>
      </c>
      <c r="D676" s="46" t="str" cm="1">
        <f t="array" ref="D676">IFERROR(INDEX(#REF!,MATCH(TRUE,ISNUMBER(FIND(SUBSTITUTE(SUBSTITUTE(UPPER(#REF!)," ",""),":",": "),SUBSTITUTE(SUBSTITUTE(UPPER(S676)," ",""),":",": "))),0)),"Não encontrado")</f>
        <v>Não encontrado</v>
      </c>
      <c r="E676" s="42" t="str" cm="1">
        <f t="array" ref="E676">IFERROR(INDEX({"IMPEDITIVO"},MATCH(TRUE,ISNUMBER(FIND(SUBSTITUTE(SUBSTITUTE(UPPER({"IMPEDITIVO"})," ",""),":",": "),SUBSTITUTE(SUBSTITUTE(UPPER(S676)," ",""),":",": "))),0)),"-")</f>
        <v>-</v>
      </c>
      <c r="K676" s="49"/>
    </row>
    <row r="677" spans="1:11" x14ac:dyDescent="0.25">
      <c r="A677" s="46" t="str" cm="1">
        <f t="array" ref="A677">IFERROR(INDEX(#REF!,MATCH(TRUE,ISNUMBER(FIND(SUBSTITUTE(SUBSTITUTE(UPPER(#REF!)," ",""),":",": "),SUBSTITUTE(SUBSTITUTE(UPPER(S677)," ",""),":",": "))),0)),"Undefined")</f>
        <v>Undefined</v>
      </c>
      <c r="B677" s="42" t="str" cm="1">
        <f t="array" ref="B677">IFERROR(INDEX({"URGENTE"},MATCH(TRUE,ISNUMBER(FIND(SUBSTITUTE(SUBSTITUTE(UPPER({"URGENTE"})," ",""),":",": "),SUBSTITUTE(SUBSTITUTE(UPPER(S677)," ",""),":",": "))),0)),"-")</f>
        <v>-</v>
      </c>
      <c r="C677" s="46" t="str" cm="1">
        <f t="array" ref="C677">IFERROR(INDEX(#REF!,MATCH(TRUE,ISNUMBER(FIND(SUBSTITUTE(SUBSTITUTE(UPPER(#REF!)," ",""),":",": "),SUBSTITUTE(SUBSTITUTE(UPPER(S677)," ",""),":",": "))),0)),"Não encontrado")</f>
        <v>Não encontrado</v>
      </c>
      <c r="D677" s="46" t="str" cm="1">
        <f t="array" ref="D677">IFERROR(INDEX(#REF!,MATCH(TRUE,ISNUMBER(FIND(SUBSTITUTE(SUBSTITUTE(UPPER(#REF!)," ",""),":",": "),SUBSTITUTE(SUBSTITUTE(UPPER(S677)," ",""),":",": "))),0)),"Não encontrado")</f>
        <v>Não encontrado</v>
      </c>
      <c r="E677" s="42" t="str" cm="1">
        <f t="array" ref="E677">IFERROR(INDEX({"IMPEDITIVO"},MATCH(TRUE,ISNUMBER(FIND(SUBSTITUTE(SUBSTITUTE(UPPER({"IMPEDITIVO"})," ",""),":",": "),SUBSTITUTE(SUBSTITUTE(UPPER(S677)," ",""),":",": "))),0)),"-")</f>
        <v>-</v>
      </c>
      <c r="K677" s="49"/>
    </row>
    <row r="678" spans="1:11" x14ac:dyDescent="0.25">
      <c r="A678" s="46" t="str" cm="1">
        <f t="array" ref="A678">IFERROR(INDEX(#REF!,MATCH(TRUE,ISNUMBER(FIND(SUBSTITUTE(SUBSTITUTE(UPPER(#REF!)," ",""),":",": "),SUBSTITUTE(SUBSTITUTE(UPPER(S678)," ",""),":",": "))),0)),"Undefined")</f>
        <v>Undefined</v>
      </c>
      <c r="B678" s="42" t="str" cm="1">
        <f t="array" ref="B678">IFERROR(INDEX({"URGENTE"},MATCH(TRUE,ISNUMBER(FIND(SUBSTITUTE(SUBSTITUTE(UPPER({"URGENTE"})," ",""),":",": "),SUBSTITUTE(SUBSTITUTE(UPPER(S678)," ",""),":",": "))),0)),"-")</f>
        <v>-</v>
      </c>
      <c r="C678" s="46" t="str" cm="1">
        <f t="array" ref="C678">IFERROR(INDEX(#REF!,MATCH(TRUE,ISNUMBER(FIND(SUBSTITUTE(SUBSTITUTE(UPPER(#REF!)," ",""),":",": "),SUBSTITUTE(SUBSTITUTE(UPPER(S678)," ",""),":",": "))),0)),"Não encontrado")</f>
        <v>Não encontrado</v>
      </c>
      <c r="D678" s="46" t="str" cm="1">
        <f t="array" ref="D678">IFERROR(INDEX(#REF!,MATCH(TRUE,ISNUMBER(FIND(SUBSTITUTE(SUBSTITUTE(UPPER(#REF!)," ",""),":",": "),SUBSTITUTE(SUBSTITUTE(UPPER(S678)," ",""),":",": "))),0)),"Não encontrado")</f>
        <v>Não encontrado</v>
      </c>
      <c r="E678" s="42" t="str" cm="1">
        <f t="array" ref="E678">IFERROR(INDEX({"IMPEDITIVO"},MATCH(TRUE,ISNUMBER(FIND(SUBSTITUTE(SUBSTITUTE(UPPER({"IMPEDITIVO"})," ",""),":",": "),SUBSTITUTE(SUBSTITUTE(UPPER(S678)," ",""),":",": "))),0)),"-")</f>
        <v>-</v>
      </c>
      <c r="K678" s="49"/>
    </row>
    <row r="679" spans="1:11" x14ac:dyDescent="0.25">
      <c r="A679" s="46" t="str" cm="1">
        <f t="array" ref="A679">IFERROR(INDEX(#REF!,MATCH(TRUE,ISNUMBER(FIND(SUBSTITUTE(SUBSTITUTE(UPPER(#REF!)," ",""),":",": "),SUBSTITUTE(SUBSTITUTE(UPPER(S679)," ",""),":",": "))),0)),"Undefined")</f>
        <v>Undefined</v>
      </c>
      <c r="B679" s="42" t="str" cm="1">
        <f t="array" ref="B679">IFERROR(INDEX({"URGENTE"},MATCH(TRUE,ISNUMBER(FIND(SUBSTITUTE(SUBSTITUTE(UPPER({"URGENTE"})," ",""),":",": "),SUBSTITUTE(SUBSTITUTE(UPPER(S679)," ",""),":",": "))),0)),"-")</f>
        <v>-</v>
      </c>
      <c r="C679" s="46" t="str" cm="1">
        <f t="array" ref="C679">IFERROR(INDEX(#REF!,MATCH(TRUE,ISNUMBER(FIND(SUBSTITUTE(SUBSTITUTE(UPPER(#REF!)," ",""),":",": "),SUBSTITUTE(SUBSTITUTE(UPPER(S679)," ",""),":",": "))),0)),"Não encontrado")</f>
        <v>Não encontrado</v>
      </c>
      <c r="D679" s="46" t="str" cm="1">
        <f t="array" ref="D679">IFERROR(INDEX(#REF!,MATCH(TRUE,ISNUMBER(FIND(SUBSTITUTE(SUBSTITUTE(UPPER(#REF!)," ",""),":",": "),SUBSTITUTE(SUBSTITUTE(UPPER(S679)," ",""),":",": "))),0)),"Não encontrado")</f>
        <v>Não encontrado</v>
      </c>
      <c r="E679" s="42" t="str" cm="1">
        <f t="array" ref="E679">IFERROR(INDEX({"IMPEDITIVO"},MATCH(TRUE,ISNUMBER(FIND(SUBSTITUTE(SUBSTITUTE(UPPER({"IMPEDITIVO"})," ",""),":",": "),SUBSTITUTE(SUBSTITUTE(UPPER(S679)," ",""),":",": "))),0)),"-")</f>
        <v>-</v>
      </c>
      <c r="K679" s="49"/>
    </row>
    <row r="680" spans="1:11" x14ac:dyDescent="0.25">
      <c r="A680" s="46" t="str" cm="1">
        <f t="array" ref="A680">IFERROR(INDEX(#REF!,MATCH(TRUE,ISNUMBER(FIND(SUBSTITUTE(SUBSTITUTE(UPPER(#REF!)," ",""),":",": "),SUBSTITUTE(SUBSTITUTE(UPPER(S680)," ",""),":",": "))),0)),"Undefined")</f>
        <v>Undefined</v>
      </c>
      <c r="B680" s="42" t="str" cm="1">
        <f t="array" ref="B680">IFERROR(INDEX({"URGENTE"},MATCH(TRUE,ISNUMBER(FIND(SUBSTITUTE(SUBSTITUTE(UPPER({"URGENTE"})," ",""),":",": "),SUBSTITUTE(SUBSTITUTE(UPPER(S680)," ",""),":",": "))),0)),"-")</f>
        <v>-</v>
      </c>
      <c r="C680" s="46" t="str" cm="1">
        <f t="array" ref="C680">IFERROR(INDEX(#REF!,MATCH(TRUE,ISNUMBER(FIND(SUBSTITUTE(SUBSTITUTE(UPPER(#REF!)," ",""),":",": "),SUBSTITUTE(SUBSTITUTE(UPPER(S680)," ",""),":",": "))),0)),"Não encontrado")</f>
        <v>Não encontrado</v>
      </c>
      <c r="D680" s="46" t="str" cm="1">
        <f t="array" ref="D680">IFERROR(INDEX(#REF!,MATCH(TRUE,ISNUMBER(FIND(SUBSTITUTE(SUBSTITUTE(UPPER(#REF!)," ",""),":",": "),SUBSTITUTE(SUBSTITUTE(UPPER(S680)," ",""),":",": "))),0)),"Não encontrado")</f>
        <v>Não encontrado</v>
      </c>
      <c r="E680" s="42" t="str" cm="1">
        <f t="array" ref="E680">IFERROR(INDEX({"IMPEDITIVO"},MATCH(TRUE,ISNUMBER(FIND(SUBSTITUTE(SUBSTITUTE(UPPER({"IMPEDITIVO"})," ",""),":",": "),SUBSTITUTE(SUBSTITUTE(UPPER(S680)," ",""),":",": "))),0)),"-")</f>
        <v>-</v>
      </c>
      <c r="K680" s="49"/>
    </row>
    <row r="681" spans="1:11" x14ac:dyDescent="0.25">
      <c r="A681" s="46" t="str" cm="1">
        <f t="array" ref="A681">IFERROR(INDEX(#REF!,MATCH(TRUE,ISNUMBER(FIND(SUBSTITUTE(SUBSTITUTE(UPPER(#REF!)," ",""),":",": "),SUBSTITUTE(SUBSTITUTE(UPPER(S681)," ",""),":",": "))),0)),"Undefined")</f>
        <v>Undefined</v>
      </c>
      <c r="B681" s="42" t="str" cm="1">
        <f t="array" ref="B681">IFERROR(INDEX({"URGENTE"},MATCH(TRUE,ISNUMBER(FIND(SUBSTITUTE(SUBSTITUTE(UPPER({"URGENTE"})," ",""),":",": "),SUBSTITUTE(SUBSTITUTE(UPPER(S681)," ",""),":",": "))),0)),"-")</f>
        <v>-</v>
      </c>
      <c r="C681" s="46" t="str" cm="1">
        <f t="array" ref="C681">IFERROR(INDEX(#REF!,MATCH(TRUE,ISNUMBER(FIND(SUBSTITUTE(SUBSTITUTE(UPPER(#REF!)," ",""),":",": "),SUBSTITUTE(SUBSTITUTE(UPPER(S681)," ",""),":",": "))),0)),"Não encontrado")</f>
        <v>Não encontrado</v>
      </c>
      <c r="D681" s="46" t="str" cm="1">
        <f t="array" ref="D681">IFERROR(INDEX(#REF!,MATCH(TRUE,ISNUMBER(FIND(SUBSTITUTE(SUBSTITUTE(UPPER(#REF!)," ",""),":",": "),SUBSTITUTE(SUBSTITUTE(UPPER(S681)," ",""),":",": "))),0)),"Não encontrado")</f>
        <v>Não encontrado</v>
      </c>
      <c r="E681" s="42" t="str" cm="1">
        <f t="array" ref="E681">IFERROR(INDEX({"IMPEDITIVO"},MATCH(TRUE,ISNUMBER(FIND(SUBSTITUTE(SUBSTITUTE(UPPER({"IMPEDITIVO"})," ",""),":",": "),SUBSTITUTE(SUBSTITUTE(UPPER(S681)," ",""),":",": "))),0)),"-")</f>
        <v>-</v>
      </c>
      <c r="K681" s="49"/>
    </row>
    <row r="682" spans="1:11" x14ac:dyDescent="0.25">
      <c r="A682" s="46" t="str" cm="1">
        <f t="array" ref="A682">IFERROR(INDEX(#REF!,MATCH(TRUE,ISNUMBER(FIND(SUBSTITUTE(SUBSTITUTE(UPPER(#REF!)," ",""),":",": "),SUBSTITUTE(SUBSTITUTE(UPPER(S682)," ",""),":",": "))),0)),"Undefined")</f>
        <v>Undefined</v>
      </c>
      <c r="B682" s="42" t="str" cm="1">
        <f t="array" ref="B682">IFERROR(INDEX({"URGENTE"},MATCH(TRUE,ISNUMBER(FIND(SUBSTITUTE(SUBSTITUTE(UPPER({"URGENTE"})," ",""),":",": "),SUBSTITUTE(SUBSTITUTE(UPPER(S682)," ",""),":",": "))),0)),"-")</f>
        <v>-</v>
      </c>
      <c r="C682" s="46" t="str" cm="1">
        <f t="array" ref="C682">IFERROR(INDEX(#REF!,MATCH(TRUE,ISNUMBER(FIND(SUBSTITUTE(SUBSTITUTE(UPPER(#REF!)," ",""),":",": "),SUBSTITUTE(SUBSTITUTE(UPPER(S682)," ",""),":",": "))),0)),"Não encontrado")</f>
        <v>Não encontrado</v>
      </c>
      <c r="D682" s="46" t="str" cm="1">
        <f t="array" ref="D682">IFERROR(INDEX(#REF!,MATCH(TRUE,ISNUMBER(FIND(SUBSTITUTE(SUBSTITUTE(UPPER(#REF!)," ",""),":",": "),SUBSTITUTE(SUBSTITUTE(UPPER(S682)," ",""),":",": "))),0)),"Não encontrado")</f>
        <v>Não encontrado</v>
      </c>
      <c r="E682" s="42" t="str" cm="1">
        <f t="array" ref="E682">IFERROR(INDEX({"IMPEDITIVO"},MATCH(TRUE,ISNUMBER(FIND(SUBSTITUTE(SUBSTITUTE(UPPER({"IMPEDITIVO"})," ",""),":",": "),SUBSTITUTE(SUBSTITUTE(UPPER(S682)," ",""),":",": "))),0)),"-")</f>
        <v>-</v>
      </c>
      <c r="K682" s="49"/>
    </row>
    <row r="683" spans="1:11" x14ac:dyDescent="0.25">
      <c r="A683" s="46" t="str" cm="1">
        <f t="array" ref="A683">IFERROR(INDEX(#REF!,MATCH(TRUE,ISNUMBER(FIND(SUBSTITUTE(SUBSTITUTE(UPPER(#REF!)," ",""),":",": "),SUBSTITUTE(SUBSTITUTE(UPPER(S683)," ",""),":",": "))),0)),"Undefined")</f>
        <v>Undefined</v>
      </c>
      <c r="B683" s="42" t="str" cm="1">
        <f t="array" ref="B683">IFERROR(INDEX({"URGENTE"},MATCH(TRUE,ISNUMBER(FIND(SUBSTITUTE(SUBSTITUTE(UPPER({"URGENTE"})," ",""),":",": "),SUBSTITUTE(SUBSTITUTE(UPPER(S683)," ",""),":",": "))),0)),"-")</f>
        <v>-</v>
      </c>
      <c r="C683" s="46" t="str" cm="1">
        <f t="array" ref="C683">IFERROR(INDEX(#REF!,MATCH(TRUE,ISNUMBER(FIND(SUBSTITUTE(SUBSTITUTE(UPPER(#REF!)," ",""),":",": "),SUBSTITUTE(SUBSTITUTE(UPPER(S683)," ",""),":",": "))),0)),"Não encontrado")</f>
        <v>Não encontrado</v>
      </c>
      <c r="D683" s="46" t="str" cm="1">
        <f t="array" ref="D683">IFERROR(INDEX(#REF!,MATCH(TRUE,ISNUMBER(FIND(SUBSTITUTE(SUBSTITUTE(UPPER(#REF!)," ",""),":",": "),SUBSTITUTE(SUBSTITUTE(UPPER(S683)," ",""),":",": "))),0)),"Não encontrado")</f>
        <v>Não encontrado</v>
      </c>
      <c r="E683" s="42" t="str" cm="1">
        <f t="array" ref="E683">IFERROR(INDEX({"IMPEDITIVO"},MATCH(TRUE,ISNUMBER(FIND(SUBSTITUTE(SUBSTITUTE(UPPER({"IMPEDITIVO"})," ",""),":",": "),SUBSTITUTE(SUBSTITUTE(UPPER(S683)," ",""),":",": "))),0)),"-")</f>
        <v>-</v>
      </c>
      <c r="K683" s="49"/>
    </row>
    <row r="684" spans="1:11" x14ac:dyDescent="0.25">
      <c r="A684" s="46" t="str" cm="1">
        <f t="array" ref="A684">IFERROR(INDEX(#REF!,MATCH(TRUE,ISNUMBER(FIND(SUBSTITUTE(SUBSTITUTE(UPPER(#REF!)," ",""),":",": "),SUBSTITUTE(SUBSTITUTE(UPPER(S684)," ",""),":",": "))),0)),"Undefined")</f>
        <v>Undefined</v>
      </c>
      <c r="B684" s="42" t="str" cm="1">
        <f t="array" ref="B684">IFERROR(INDEX({"URGENTE"},MATCH(TRUE,ISNUMBER(FIND(SUBSTITUTE(SUBSTITUTE(UPPER({"URGENTE"})," ",""),":",": "),SUBSTITUTE(SUBSTITUTE(UPPER(S684)," ",""),":",": "))),0)),"-")</f>
        <v>-</v>
      </c>
      <c r="C684" s="46" t="str" cm="1">
        <f t="array" ref="C684">IFERROR(INDEX(#REF!,MATCH(TRUE,ISNUMBER(FIND(SUBSTITUTE(SUBSTITUTE(UPPER(#REF!)," ",""),":",": "),SUBSTITUTE(SUBSTITUTE(UPPER(S684)," ",""),":",": "))),0)),"Não encontrado")</f>
        <v>Não encontrado</v>
      </c>
      <c r="D684" s="46" t="str" cm="1">
        <f t="array" ref="D684">IFERROR(INDEX(#REF!,MATCH(TRUE,ISNUMBER(FIND(SUBSTITUTE(SUBSTITUTE(UPPER(#REF!)," ",""),":",": "),SUBSTITUTE(SUBSTITUTE(UPPER(S684)," ",""),":",": "))),0)),"Não encontrado")</f>
        <v>Não encontrado</v>
      </c>
      <c r="E684" s="42" t="str" cm="1">
        <f t="array" ref="E684">IFERROR(INDEX({"IMPEDITIVO"},MATCH(TRUE,ISNUMBER(FIND(SUBSTITUTE(SUBSTITUTE(UPPER({"IMPEDITIVO"})," ",""),":",": "),SUBSTITUTE(SUBSTITUTE(UPPER(S684)," ",""),":",": "))),0)),"-")</f>
        <v>-</v>
      </c>
      <c r="K684" s="49"/>
    </row>
    <row r="685" spans="1:11" x14ac:dyDescent="0.25">
      <c r="A685" s="46" t="str" cm="1">
        <f t="array" ref="A685">IFERROR(INDEX(#REF!,MATCH(TRUE,ISNUMBER(FIND(SUBSTITUTE(SUBSTITUTE(UPPER(#REF!)," ",""),":",": "),SUBSTITUTE(SUBSTITUTE(UPPER(S685)," ",""),":",": "))),0)),"Undefined")</f>
        <v>Undefined</v>
      </c>
      <c r="B685" s="42" t="str" cm="1">
        <f t="array" ref="B685">IFERROR(INDEX({"URGENTE"},MATCH(TRUE,ISNUMBER(FIND(SUBSTITUTE(SUBSTITUTE(UPPER({"URGENTE"})," ",""),":",": "),SUBSTITUTE(SUBSTITUTE(UPPER(S685)," ",""),":",": "))),0)),"-")</f>
        <v>-</v>
      </c>
      <c r="C685" s="46" t="str" cm="1">
        <f t="array" ref="C685">IFERROR(INDEX(#REF!,MATCH(TRUE,ISNUMBER(FIND(SUBSTITUTE(SUBSTITUTE(UPPER(#REF!)," ",""),":",": "),SUBSTITUTE(SUBSTITUTE(UPPER(S685)," ",""),":",": "))),0)),"Não encontrado")</f>
        <v>Não encontrado</v>
      </c>
      <c r="D685" s="46" t="str" cm="1">
        <f t="array" ref="D685">IFERROR(INDEX(#REF!,MATCH(TRUE,ISNUMBER(FIND(SUBSTITUTE(SUBSTITUTE(UPPER(#REF!)," ",""),":",": "),SUBSTITUTE(SUBSTITUTE(UPPER(S685)," ",""),":",": "))),0)),"Não encontrado")</f>
        <v>Não encontrado</v>
      </c>
      <c r="E685" s="42" t="str" cm="1">
        <f t="array" ref="E685">IFERROR(INDEX({"IMPEDITIVO"},MATCH(TRUE,ISNUMBER(FIND(SUBSTITUTE(SUBSTITUTE(UPPER({"IMPEDITIVO"})," ",""),":",": "),SUBSTITUTE(SUBSTITUTE(UPPER(S685)," ",""),":",": "))),0)),"-")</f>
        <v>-</v>
      </c>
      <c r="K685" s="49"/>
    </row>
    <row r="686" spans="1:11" x14ac:dyDescent="0.25">
      <c r="A686" s="46" t="str" cm="1">
        <f t="array" ref="A686">IFERROR(INDEX(#REF!,MATCH(TRUE,ISNUMBER(FIND(SUBSTITUTE(SUBSTITUTE(UPPER(#REF!)," ",""),":",": "),SUBSTITUTE(SUBSTITUTE(UPPER(S686)," ",""),":",": "))),0)),"Undefined")</f>
        <v>Undefined</v>
      </c>
      <c r="B686" s="42" t="str" cm="1">
        <f t="array" ref="B686">IFERROR(INDEX({"URGENTE"},MATCH(TRUE,ISNUMBER(FIND(SUBSTITUTE(SUBSTITUTE(UPPER({"URGENTE"})," ",""),":",": "),SUBSTITUTE(SUBSTITUTE(UPPER(S686)," ",""),":",": "))),0)),"-")</f>
        <v>-</v>
      </c>
      <c r="C686" s="46" t="str" cm="1">
        <f t="array" ref="C686">IFERROR(INDEX(#REF!,MATCH(TRUE,ISNUMBER(FIND(SUBSTITUTE(SUBSTITUTE(UPPER(#REF!)," ",""),":",": "),SUBSTITUTE(SUBSTITUTE(UPPER(S686)," ",""),":",": "))),0)),"Não encontrado")</f>
        <v>Não encontrado</v>
      </c>
      <c r="D686" s="46" t="str" cm="1">
        <f t="array" ref="D686">IFERROR(INDEX(#REF!,MATCH(TRUE,ISNUMBER(FIND(SUBSTITUTE(SUBSTITUTE(UPPER(#REF!)," ",""),":",": "),SUBSTITUTE(SUBSTITUTE(UPPER(S686)," ",""),":",": "))),0)),"Não encontrado")</f>
        <v>Não encontrado</v>
      </c>
      <c r="E686" s="42" t="str" cm="1">
        <f t="array" ref="E686">IFERROR(INDEX({"IMPEDITIVO"},MATCH(TRUE,ISNUMBER(FIND(SUBSTITUTE(SUBSTITUTE(UPPER({"IMPEDITIVO"})," ",""),":",": "),SUBSTITUTE(SUBSTITUTE(UPPER(S686)," ",""),":",": "))),0)),"-")</f>
        <v>-</v>
      </c>
      <c r="K686" s="49"/>
    </row>
    <row r="687" spans="1:11" x14ac:dyDescent="0.25">
      <c r="A687" s="46" t="str" cm="1">
        <f t="array" ref="A687">IFERROR(INDEX(#REF!,MATCH(TRUE,ISNUMBER(FIND(SUBSTITUTE(SUBSTITUTE(UPPER(#REF!)," ",""),":",": "),SUBSTITUTE(SUBSTITUTE(UPPER(S687)," ",""),":",": "))),0)),"Undefined")</f>
        <v>Undefined</v>
      </c>
      <c r="B687" s="42" t="str" cm="1">
        <f t="array" ref="B687">IFERROR(INDEX({"URGENTE"},MATCH(TRUE,ISNUMBER(FIND(SUBSTITUTE(SUBSTITUTE(UPPER({"URGENTE"})," ",""),":",": "),SUBSTITUTE(SUBSTITUTE(UPPER(S687)," ",""),":",": "))),0)),"-")</f>
        <v>-</v>
      </c>
      <c r="C687" s="46" t="str" cm="1">
        <f t="array" ref="C687">IFERROR(INDEX(#REF!,MATCH(TRUE,ISNUMBER(FIND(SUBSTITUTE(SUBSTITUTE(UPPER(#REF!)," ",""),":",": "),SUBSTITUTE(SUBSTITUTE(UPPER(S687)," ",""),":",": "))),0)),"Não encontrado")</f>
        <v>Não encontrado</v>
      </c>
      <c r="D687" s="46" t="str" cm="1">
        <f t="array" ref="D687">IFERROR(INDEX(#REF!,MATCH(TRUE,ISNUMBER(FIND(SUBSTITUTE(SUBSTITUTE(UPPER(#REF!)," ",""),":",": "),SUBSTITUTE(SUBSTITUTE(UPPER(S687)," ",""),":",": "))),0)),"Não encontrado")</f>
        <v>Não encontrado</v>
      </c>
      <c r="E687" s="42" t="str" cm="1">
        <f t="array" ref="E687">IFERROR(INDEX({"IMPEDITIVO"},MATCH(TRUE,ISNUMBER(FIND(SUBSTITUTE(SUBSTITUTE(UPPER({"IMPEDITIVO"})," ",""),":",": "),SUBSTITUTE(SUBSTITUTE(UPPER(S687)," ",""),":",": "))),0)),"-")</f>
        <v>-</v>
      </c>
      <c r="K687" s="49"/>
    </row>
    <row r="688" spans="1:11" x14ac:dyDescent="0.25">
      <c r="A688" s="46" t="str" cm="1">
        <f t="array" ref="A688">IFERROR(INDEX(#REF!,MATCH(TRUE,ISNUMBER(FIND(SUBSTITUTE(SUBSTITUTE(UPPER(#REF!)," ",""),":",": "),SUBSTITUTE(SUBSTITUTE(UPPER(S688)," ",""),":",": "))),0)),"Undefined")</f>
        <v>Undefined</v>
      </c>
      <c r="B688" s="42" t="str" cm="1">
        <f t="array" ref="B688">IFERROR(INDEX({"URGENTE"},MATCH(TRUE,ISNUMBER(FIND(SUBSTITUTE(SUBSTITUTE(UPPER({"URGENTE"})," ",""),":",": "),SUBSTITUTE(SUBSTITUTE(UPPER(S688)," ",""),":",": "))),0)),"-")</f>
        <v>-</v>
      </c>
      <c r="C688" s="46" t="str" cm="1">
        <f t="array" ref="C688">IFERROR(INDEX(#REF!,MATCH(TRUE,ISNUMBER(FIND(SUBSTITUTE(SUBSTITUTE(UPPER(#REF!)," ",""),":",": "),SUBSTITUTE(SUBSTITUTE(UPPER(S688)," ",""),":",": "))),0)),"Não encontrado")</f>
        <v>Não encontrado</v>
      </c>
      <c r="D688" s="46" t="str" cm="1">
        <f t="array" ref="D688">IFERROR(INDEX(#REF!,MATCH(TRUE,ISNUMBER(FIND(SUBSTITUTE(SUBSTITUTE(UPPER(#REF!)," ",""),":",": "),SUBSTITUTE(SUBSTITUTE(UPPER(S688)," ",""),":",": "))),0)),"Não encontrado")</f>
        <v>Não encontrado</v>
      </c>
      <c r="E688" s="42" t="str" cm="1">
        <f t="array" ref="E688">IFERROR(INDEX({"IMPEDITIVO"},MATCH(TRUE,ISNUMBER(FIND(SUBSTITUTE(SUBSTITUTE(UPPER({"IMPEDITIVO"})," ",""),":",": "),SUBSTITUTE(SUBSTITUTE(UPPER(S688)," ",""),":",": "))),0)),"-")</f>
        <v>-</v>
      </c>
      <c r="K688" s="49"/>
    </row>
    <row r="689" spans="1:11" x14ac:dyDescent="0.25">
      <c r="A689" s="46" t="str" cm="1">
        <f t="array" ref="A689">IFERROR(INDEX(#REF!,MATCH(TRUE,ISNUMBER(FIND(SUBSTITUTE(SUBSTITUTE(UPPER(#REF!)," ",""),":",": "),SUBSTITUTE(SUBSTITUTE(UPPER(S689)," ",""),":",": "))),0)),"Undefined")</f>
        <v>Undefined</v>
      </c>
      <c r="B689" s="42" t="str" cm="1">
        <f t="array" ref="B689">IFERROR(INDEX({"URGENTE"},MATCH(TRUE,ISNUMBER(FIND(SUBSTITUTE(SUBSTITUTE(UPPER({"URGENTE"})," ",""),":",": "),SUBSTITUTE(SUBSTITUTE(UPPER(S689)," ",""),":",": "))),0)),"-")</f>
        <v>-</v>
      </c>
      <c r="C689" s="46" t="str" cm="1">
        <f t="array" ref="C689">IFERROR(INDEX(#REF!,MATCH(TRUE,ISNUMBER(FIND(SUBSTITUTE(SUBSTITUTE(UPPER(#REF!)," ",""),":",": "),SUBSTITUTE(SUBSTITUTE(UPPER(S689)," ",""),":",": "))),0)),"Não encontrado")</f>
        <v>Não encontrado</v>
      </c>
      <c r="D689" s="46" t="str" cm="1">
        <f t="array" ref="D689">IFERROR(INDEX(#REF!,MATCH(TRUE,ISNUMBER(FIND(SUBSTITUTE(SUBSTITUTE(UPPER(#REF!)," ",""),":",": "),SUBSTITUTE(SUBSTITUTE(UPPER(S689)," ",""),":",": "))),0)),"Não encontrado")</f>
        <v>Não encontrado</v>
      </c>
      <c r="E689" s="42" t="str" cm="1">
        <f t="array" ref="E689">IFERROR(INDEX({"IMPEDITIVO"},MATCH(TRUE,ISNUMBER(FIND(SUBSTITUTE(SUBSTITUTE(UPPER({"IMPEDITIVO"})," ",""),":",": "),SUBSTITUTE(SUBSTITUTE(UPPER(S689)," ",""),":",": "))),0)),"-")</f>
        <v>-</v>
      </c>
      <c r="K689" s="49"/>
    </row>
    <row r="690" spans="1:11" x14ac:dyDescent="0.25">
      <c r="A690" s="46" t="str" cm="1">
        <f t="array" ref="A690">IFERROR(INDEX(#REF!,MATCH(TRUE,ISNUMBER(FIND(SUBSTITUTE(SUBSTITUTE(UPPER(#REF!)," ",""),":",": "),SUBSTITUTE(SUBSTITUTE(UPPER(S690)," ",""),":",": "))),0)),"Undefined")</f>
        <v>Undefined</v>
      </c>
      <c r="B690" s="42" t="str" cm="1">
        <f t="array" ref="B690">IFERROR(INDEX({"URGENTE"},MATCH(TRUE,ISNUMBER(FIND(SUBSTITUTE(SUBSTITUTE(UPPER({"URGENTE"})," ",""),":",": "),SUBSTITUTE(SUBSTITUTE(UPPER(S690)," ",""),":",": "))),0)),"-")</f>
        <v>-</v>
      </c>
      <c r="C690" s="46" t="str" cm="1">
        <f t="array" ref="C690">IFERROR(INDEX(#REF!,MATCH(TRUE,ISNUMBER(FIND(SUBSTITUTE(SUBSTITUTE(UPPER(#REF!)," ",""),":",": "),SUBSTITUTE(SUBSTITUTE(UPPER(S690)," ",""),":",": "))),0)),"Não encontrado")</f>
        <v>Não encontrado</v>
      </c>
      <c r="D690" s="46" t="str" cm="1">
        <f t="array" ref="D690">IFERROR(INDEX(#REF!,MATCH(TRUE,ISNUMBER(FIND(SUBSTITUTE(SUBSTITUTE(UPPER(#REF!)," ",""),":",": "),SUBSTITUTE(SUBSTITUTE(UPPER(S690)," ",""),":",": "))),0)),"Não encontrado")</f>
        <v>Não encontrado</v>
      </c>
      <c r="E690" s="42" t="str" cm="1">
        <f t="array" ref="E690">IFERROR(INDEX({"IMPEDITIVO"},MATCH(TRUE,ISNUMBER(FIND(SUBSTITUTE(SUBSTITUTE(UPPER({"IMPEDITIVO"})," ",""),":",": "),SUBSTITUTE(SUBSTITUTE(UPPER(S690)," ",""),":",": "))),0)),"-")</f>
        <v>-</v>
      </c>
      <c r="K690" s="49"/>
    </row>
    <row r="691" spans="1:11" x14ac:dyDescent="0.25">
      <c r="A691" s="46" t="str" cm="1">
        <f t="array" ref="A691">IFERROR(INDEX(#REF!,MATCH(TRUE,ISNUMBER(FIND(SUBSTITUTE(SUBSTITUTE(UPPER(#REF!)," ",""),":",": "),SUBSTITUTE(SUBSTITUTE(UPPER(S691)," ",""),":",": "))),0)),"Undefined")</f>
        <v>Undefined</v>
      </c>
      <c r="B691" s="42" t="str" cm="1">
        <f t="array" ref="B691">IFERROR(INDEX({"URGENTE"},MATCH(TRUE,ISNUMBER(FIND(SUBSTITUTE(SUBSTITUTE(UPPER({"URGENTE"})," ",""),":",": "),SUBSTITUTE(SUBSTITUTE(UPPER(S691)," ",""),":",": "))),0)),"-")</f>
        <v>-</v>
      </c>
      <c r="C691" s="46" t="str" cm="1">
        <f t="array" ref="C691">IFERROR(INDEX(#REF!,MATCH(TRUE,ISNUMBER(FIND(SUBSTITUTE(SUBSTITUTE(UPPER(#REF!)," ",""),":",": "),SUBSTITUTE(SUBSTITUTE(UPPER(S691)," ",""),":",": "))),0)),"Não encontrado")</f>
        <v>Não encontrado</v>
      </c>
      <c r="D691" s="46" t="str" cm="1">
        <f t="array" ref="D691">IFERROR(INDEX(#REF!,MATCH(TRUE,ISNUMBER(FIND(SUBSTITUTE(SUBSTITUTE(UPPER(#REF!)," ",""),":",": "),SUBSTITUTE(SUBSTITUTE(UPPER(S691)," ",""),":",": "))),0)),"Não encontrado")</f>
        <v>Não encontrado</v>
      </c>
      <c r="E691" s="42" t="str" cm="1">
        <f t="array" ref="E691">IFERROR(INDEX({"IMPEDITIVO"},MATCH(TRUE,ISNUMBER(FIND(SUBSTITUTE(SUBSTITUTE(UPPER({"IMPEDITIVO"})," ",""),":",": "),SUBSTITUTE(SUBSTITUTE(UPPER(S691)," ",""),":",": "))),0)),"-")</f>
        <v>-</v>
      </c>
      <c r="K691" s="49"/>
    </row>
    <row r="692" spans="1:11" x14ac:dyDescent="0.25">
      <c r="A692" s="46" t="str" cm="1">
        <f t="array" ref="A692">IFERROR(INDEX(#REF!,MATCH(TRUE,ISNUMBER(FIND(SUBSTITUTE(SUBSTITUTE(UPPER(#REF!)," ",""),":",": "),SUBSTITUTE(SUBSTITUTE(UPPER(S692)," ",""),":",": "))),0)),"Undefined")</f>
        <v>Undefined</v>
      </c>
      <c r="B692" s="42" t="str" cm="1">
        <f t="array" ref="B692">IFERROR(INDEX({"URGENTE"},MATCH(TRUE,ISNUMBER(FIND(SUBSTITUTE(SUBSTITUTE(UPPER({"URGENTE"})," ",""),":",": "),SUBSTITUTE(SUBSTITUTE(UPPER(S692)," ",""),":",": "))),0)),"-")</f>
        <v>-</v>
      </c>
      <c r="C692" s="46" t="str" cm="1">
        <f t="array" ref="C692">IFERROR(INDEX(#REF!,MATCH(TRUE,ISNUMBER(FIND(SUBSTITUTE(SUBSTITUTE(UPPER(#REF!)," ",""),":",": "),SUBSTITUTE(SUBSTITUTE(UPPER(S692)," ",""),":",": "))),0)),"Não encontrado")</f>
        <v>Não encontrado</v>
      </c>
      <c r="D692" s="46" t="str" cm="1">
        <f t="array" ref="D692">IFERROR(INDEX(#REF!,MATCH(TRUE,ISNUMBER(FIND(SUBSTITUTE(SUBSTITUTE(UPPER(#REF!)," ",""),":",": "),SUBSTITUTE(SUBSTITUTE(UPPER(S692)," ",""),":",": "))),0)),"Não encontrado")</f>
        <v>Não encontrado</v>
      </c>
      <c r="E692" s="42" t="str" cm="1">
        <f t="array" ref="E692">IFERROR(INDEX({"IMPEDITIVO"},MATCH(TRUE,ISNUMBER(FIND(SUBSTITUTE(SUBSTITUTE(UPPER({"IMPEDITIVO"})," ",""),":",": "),SUBSTITUTE(SUBSTITUTE(UPPER(S692)," ",""),":",": "))),0)),"-")</f>
        <v>-</v>
      </c>
      <c r="K692" s="49"/>
    </row>
    <row r="693" spans="1:11" x14ac:dyDescent="0.25">
      <c r="A693" s="46" t="str" cm="1">
        <f t="array" ref="A693">IFERROR(INDEX(#REF!,MATCH(TRUE,ISNUMBER(FIND(SUBSTITUTE(SUBSTITUTE(UPPER(#REF!)," ",""),":",": "),SUBSTITUTE(SUBSTITUTE(UPPER(S693)," ",""),":",": "))),0)),"Undefined")</f>
        <v>Undefined</v>
      </c>
      <c r="B693" s="42" t="str" cm="1">
        <f t="array" ref="B693">IFERROR(INDEX({"URGENTE"},MATCH(TRUE,ISNUMBER(FIND(SUBSTITUTE(SUBSTITUTE(UPPER({"URGENTE"})," ",""),":",": "),SUBSTITUTE(SUBSTITUTE(UPPER(S693)," ",""),":",": "))),0)),"-")</f>
        <v>-</v>
      </c>
      <c r="C693" s="46" t="str" cm="1">
        <f t="array" ref="C693">IFERROR(INDEX(#REF!,MATCH(TRUE,ISNUMBER(FIND(SUBSTITUTE(SUBSTITUTE(UPPER(#REF!)," ",""),":",": "),SUBSTITUTE(SUBSTITUTE(UPPER(S693)," ",""),":",": "))),0)),"Não encontrado")</f>
        <v>Não encontrado</v>
      </c>
      <c r="D693" s="46" t="str" cm="1">
        <f t="array" ref="D693">IFERROR(INDEX(#REF!,MATCH(TRUE,ISNUMBER(FIND(SUBSTITUTE(SUBSTITUTE(UPPER(#REF!)," ",""),":",": "),SUBSTITUTE(SUBSTITUTE(UPPER(S693)," ",""),":",": "))),0)),"Não encontrado")</f>
        <v>Não encontrado</v>
      </c>
      <c r="E693" s="42" t="str" cm="1">
        <f t="array" ref="E693">IFERROR(INDEX({"IMPEDITIVO"},MATCH(TRUE,ISNUMBER(FIND(SUBSTITUTE(SUBSTITUTE(UPPER({"IMPEDITIVO"})," ",""),":",": "),SUBSTITUTE(SUBSTITUTE(UPPER(S693)," ",""),":",": "))),0)),"-")</f>
        <v>-</v>
      </c>
      <c r="K693" s="49"/>
    </row>
    <row r="694" spans="1:11" x14ac:dyDescent="0.25">
      <c r="A694" s="46" t="str" cm="1">
        <f t="array" ref="A694">IFERROR(INDEX(#REF!,MATCH(TRUE,ISNUMBER(FIND(SUBSTITUTE(SUBSTITUTE(UPPER(#REF!)," ",""),":",": "),SUBSTITUTE(SUBSTITUTE(UPPER(S694)," ",""),":",": "))),0)),"Undefined")</f>
        <v>Undefined</v>
      </c>
      <c r="B694" s="42" t="str" cm="1">
        <f t="array" ref="B694">IFERROR(INDEX({"URGENTE"},MATCH(TRUE,ISNUMBER(FIND(SUBSTITUTE(SUBSTITUTE(UPPER({"URGENTE"})," ",""),":",": "),SUBSTITUTE(SUBSTITUTE(UPPER(S694)," ",""),":",": "))),0)),"-")</f>
        <v>-</v>
      </c>
      <c r="C694" s="46" t="str" cm="1">
        <f t="array" ref="C694">IFERROR(INDEX(#REF!,MATCH(TRUE,ISNUMBER(FIND(SUBSTITUTE(SUBSTITUTE(UPPER(#REF!)," ",""),":",": "),SUBSTITUTE(SUBSTITUTE(UPPER(S694)," ",""),":",": "))),0)),"Não encontrado")</f>
        <v>Não encontrado</v>
      </c>
      <c r="D694" s="46" t="str" cm="1">
        <f t="array" ref="D694">IFERROR(INDEX(#REF!,MATCH(TRUE,ISNUMBER(FIND(SUBSTITUTE(SUBSTITUTE(UPPER(#REF!)," ",""),":",": "),SUBSTITUTE(SUBSTITUTE(UPPER(S694)," ",""),":",": "))),0)),"Não encontrado")</f>
        <v>Não encontrado</v>
      </c>
      <c r="E694" s="42" t="str" cm="1">
        <f t="array" ref="E694">IFERROR(INDEX({"IMPEDITIVO"},MATCH(TRUE,ISNUMBER(FIND(SUBSTITUTE(SUBSTITUTE(UPPER({"IMPEDITIVO"})," ",""),":",": "),SUBSTITUTE(SUBSTITUTE(UPPER(S694)," ",""),":",": "))),0)),"-")</f>
        <v>-</v>
      </c>
      <c r="K694" s="49"/>
    </row>
    <row r="695" spans="1:11" x14ac:dyDescent="0.25">
      <c r="A695" s="46" t="str" cm="1">
        <f t="array" ref="A695">IFERROR(INDEX(#REF!,MATCH(TRUE,ISNUMBER(FIND(SUBSTITUTE(SUBSTITUTE(UPPER(#REF!)," ",""),":",": "),SUBSTITUTE(SUBSTITUTE(UPPER(S695)," ",""),":",": "))),0)),"Undefined")</f>
        <v>Undefined</v>
      </c>
      <c r="B695" s="42" t="str" cm="1">
        <f t="array" ref="B695">IFERROR(INDEX({"URGENTE"},MATCH(TRUE,ISNUMBER(FIND(SUBSTITUTE(SUBSTITUTE(UPPER({"URGENTE"})," ",""),":",": "),SUBSTITUTE(SUBSTITUTE(UPPER(S695)," ",""),":",": "))),0)),"-")</f>
        <v>-</v>
      </c>
      <c r="C695" s="46" t="str" cm="1">
        <f t="array" ref="C695">IFERROR(INDEX(#REF!,MATCH(TRUE,ISNUMBER(FIND(SUBSTITUTE(SUBSTITUTE(UPPER(#REF!)," ",""),":",": "),SUBSTITUTE(SUBSTITUTE(UPPER(S695)," ",""),":",": "))),0)),"Não encontrado")</f>
        <v>Não encontrado</v>
      </c>
      <c r="D695" s="46" t="str" cm="1">
        <f t="array" ref="D695">IFERROR(INDEX(#REF!,MATCH(TRUE,ISNUMBER(FIND(SUBSTITUTE(SUBSTITUTE(UPPER(#REF!)," ",""),":",": "),SUBSTITUTE(SUBSTITUTE(UPPER(S695)," ",""),":",": "))),0)),"Não encontrado")</f>
        <v>Não encontrado</v>
      </c>
      <c r="E695" s="42" t="str" cm="1">
        <f t="array" ref="E695">IFERROR(INDEX({"IMPEDITIVO"},MATCH(TRUE,ISNUMBER(FIND(SUBSTITUTE(SUBSTITUTE(UPPER({"IMPEDITIVO"})," ",""),":",": "),SUBSTITUTE(SUBSTITUTE(UPPER(S695)," ",""),":",": "))),0)),"-")</f>
        <v>-</v>
      </c>
      <c r="K695" s="49"/>
    </row>
    <row r="696" spans="1:11" x14ac:dyDescent="0.25">
      <c r="A696" s="46" t="str" cm="1">
        <f t="array" ref="A696">IFERROR(INDEX(#REF!,MATCH(TRUE,ISNUMBER(FIND(SUBSTITUTE(SUBSTITUTE(UPPER(#REF!)," ",""),":",": "),SUBSTITUTE(SUBSTITUTE(UPPER(S696)," ",""),":",": "))),0)),"Undefined")</f>
        <v>Undefined</v>
      </c>
      <c r="B696" s="42" t="str" cm="1">
        <f t="array" ref="B696">IFERROR(INDEX({"URGENTE"},MATCH(TRUE,ISNUMBER(FIND(SUBSTITUTE(SUBSTITUTE(UPPER({"URGENTE"})," ",""),":",": "),SUBSTITUTE(SUBSTITUTE(UPPER(S696)," ",""),":",": "))),0)),"-")</f>
        <v>-</v>
      </c>
      <c r="C696" s="46" t="str" cm="1">
        <f t="array" ref="C696">IFERROR(INDEX(#REF!,MATCH(TRUE,ISNUMBER(FIND(SUBSTITUTE(SUBSTITUTE(UPPER(#REF!)," ",""),":",": "),SUBSTITUTE(SUBSTITUTE(UPPER(S696)," ",""),":",": "))),0)),"Não encontrado")</f>
        <v>Não encontrado</v>
      </c>
      <c r="D696" s="46" t="str" cm="1">
        <f t="array" ref="D696">IFERROR(INDEX(#REF!,MATCH(TRUE,ISNUMBER(FIND(SUBSTITUTE(SUBSTITUTE(UPPER(#REF!)," ",""),":",": "),SUBSTITUTE(SUBSTITUTE(UPPER(S696)," ",""),":",": "))),0)),"Não encontrado")</f>
        <v>Não encontrado</v>
      </c>
      <c r="E696" s="42" t="str" cm="1">
        <f t="array" ref="E696">IFERROR(INDEX({"IMPEDITIVO"},MATCH(TRUE,ISNUMBER(FIND(SUBSTITUTE(SUBSTITUTE(UPPER({"IMPEDITIVO"})," ",""),":",": "),SUBSTITUTE(SUBSTITUTE(UPPER(S696)," ",""),":",": "))),0)),"-")</f>
        <v>-</v>
      </c>
      <c r="K696" s="49"/>
    </row>
    <row r="697" spans="1:11" x14ac:dyDescent="0.25">
      <c r="A697" s="46" t="str" cm="1">
        <f t="array" ref="A697">IFERROR(INDEX(#REF!,MATCH(TRUE,ISNUMBER(FIND(SUBSTITUTE(SUBSTITUTE(UPPER(#REF!)," ",""),":",": "),SUBSTITUTE(SUBSTITUTE(UPPER(S697)," ",""),":",": "))),0)),"Undefined")</f>
        <v>Undefined</v>
      </c>
      <c r="B697" s="42" t="str" cm="1">
        <f t="array" ref="B697">IFERROR(INDEX({"URGENTE"},MATCH(TRUE,ISNUMBER(FIND(SUBSTITUTE(SUBSTITUTE(UPPER({"URGENTE"})," ",""),":",": "),SUBSTITUTE(SUBSTITUTE(UPPER(S697)," ",""),":",": "))),0)),"-")</f>
        <v>-</v>
      </c>
      <c r="C697" s="46" t="str" cm="1">
        <f t="array" ref="C697">IFERROR(INDEX(#REF!,MATCH(TRUE,ISNUMBER(FIND(SUBSTITUTE(SUBSTITUTE(UPPER(#REF!)," ",""),":",": "),SUBSTITUTE(SUBSTITUTE(UPPER(S697)," ",""),":",": "))),0)),"Não encontrado")</f>
        <v>Não encontrado</v>
      </c>
      <c r="D697" s="46" t="str" cm="1">
        <f t="array" ref="D697">IFERROR(INDEX(#REF!,MATCH(TRUE,ISNUMBER(FIND(SUBSTITUTE(SUBSTITUTE(UPPER(#REF!)," ",""),":",": "),SUBSTITUTE(SUBSTITUTE(UPPER(S697)," ",""),":",": "))),0)),"Não encontrado")</f>
        <v>Não encontrado</v>
      </c>
      <c r="E697" s="42" t="str" cm="1">
        <f t="array" ref="E697">IFERROR(INDEX({"IMPEDITIVO"},MATCH(TRUE,ISNUMBER(FIND(SUBSTITUTE(SUBSTITUTE(UPPER({"IMPEDITIVO"})," ",""),":",": "),SUBSTITUTE(SUBSTITUTE(UPPER(S697)," ",""),":",": "))),0)),"-")</f>
        <v>-</v>
      </c>
      <c r="K697" s="49"/>
    </row>
    <row r="698" spans="1:11" x14ac:dyDescent="0.25">
      <c r="A698" s="46" t="str" cm="1">
        <f t="array" ref="A698">IFERROR(INDEX(#REF!,MATCH(TRUE,ISNUMBER(FIND(SUBSTITUTE(SUBSTITUTE(UPPER(#REF!)," ",""),":",": "),SUBSTITUTE(SUBSTITUTE(UPPER(S698)," ",""),":",": "))),0)),"Undefined")</f>
        <v>Undefined</v>
      </c>
      <c r="B698" s="42" t="str" cm="1">
        <f t="array" ref="B698">IFERROR(INDEX({"URGENTE"},MATCH(TRUE,ISNUMBER(FIND(SUBSTITUTE(SUBSTITUTE(UPPER({"URGENTE"})," ",""),":",": "),SUBSTITUTE(SUBSTITUTE(UPPER(S698)," ",""),":",": "))),0)),"-")</f>
        <v>-</v>
      </c>
      <c r="C698" s="46" t="str" cm="1">
        <f t="array" ref="C698">IFERROR(INDEX(#REF!,MATCH(TRUE,ISNUMBER(FIND(SUBSTITUTE(SUBSTITUTE(UPPER(#REF!)," ",""),":",": "),SUBSTITUTE(SUBSTITUTE(UPPER(S698)," ",""),":",": "))),0)),"Não encontrado")</f>
        <v>Não encontrado</v>
      </c>
      <c r="D698" s="46" t="str" cm="1">
        <f t="array" ref="D698">IFERROR(INDEX(#REF!,MATCH(TRUE,ISNUMBER(FIND(SUBSTITUTE(SUBSTITUTE(UPPER(#REF!)," ",""),":",": "),SUBSTITUTE(SUBSTITUTE(UPPER(S698)," ",""),":",": "))),0)),"Não encontrado")</f>
        <v>Não encontrado</v>
      </c>
      <c r="E698" s="42" t="str" cm="1">
        <f t="array" ref="E698">IFERROR(INDEX({"IMPEDITIVO"},MATCH(TRUE,ISNUMBER(FIND(SUBSTITUTE(SUBSTITUTE(UPPER({"IMPEDITIVO"})," ",""),":",": "),SUBSTITUTE(SUBSTITUTE(UPPER(S698)," ",""),":",": "))),0)),"-")</f>
        <v>-</v>
      </c>
      <c r="K698" s="49"/>
    </row>
    <row r="699" spans="1:11" x14ac:dyDescent="0.25">
      <c r="A699" s="46" t="str" cm="1">
        <f t="array" ref="A699">IFERROR(INDEX(#REF!,MATCH(TRUE,ISNUMBER(FIND(SUBSTITUTE(SUBSTITUTE(UPPER(#REF!)," ",""),":",": "),SUBSTITUTE(SUBSTITUTE(UPPER(S699)," ",""),":",": "))),0)),"Undefined")</f>
        <v>Undefined</v>
      </c>
      <c r="B699" s="42" t="str" cm="1">
        <f t="array" ref="B699">IFERROR(INDEX({"URGENTE"},MATCH(TRUE,ISNUMBER(FIND(SUBSTITUTE(SUBSTITUTE(UPPER({"URGENTE"})," ",""),":",": "),SUBSTITUTE(SUBSTITUTE(UPPER(S699)," ",""),":",": "))),0)),"-")</f>
        <v>-</v>
      </c>
      <c r="C699" s="46" t="str" cm="1">
        <f t="array" ref="C699">IFERROR(INDEX(#REF!,MATCH(TRUE,ISNUMBER(FIND(SUBSTITUTE(SUBSTITUTE(UPPER(#REF!)," ",""),":",": "),SUBSTITUTE(SUBSTITUTE(UPPER(S699)," ",""),":",": "))),0)),"Não encontrado")</f>
        <v>Não encontrado</v>
      </c>
      <c r="D699" s="46" t="str" cm="1">
        <f t="array" ref="D699">IFERROR(INDEX(#REF!,MATCH(TRUE,ISNUMBER(FIND(SUBSTITUTE(SUBSTITUTE(UPPER(#REF!)," ",""),":",": "),SUBSTITUTE(SUBSTITUTE(UPPER(S699)," ",""),":",": "))),0)),"Não encontrado")</f>
        <v>Não encontrado</v>
      </c>
      <c r="E699" s="42" t="str" cm="1">
        <f t="array" ref="E699">IFERROR(INDEX({"IMPEDITIVO"},MATCH(TRUE,ISNUMBER(FIND(SUBSTITUTE(SUBSTITUTE(UPPER({"IMPEDITIVO"})," ",""),":",": "),SUBSTITUTE(SUBSTITUTE(UPPER(S699)," ",""),":",": "))),0)),"-")</f>
        <v>-</v>
      </c>
      <c r="K699" s="49"/>
    </row>
    <row r="700" spans="1:11" x14ac:dyDescent="0.25">
      <c r="A700" s="46" t="str" cm="1">
        <f t="array" ref="A700">IFERROR(INDEX(#REF!,MATCH(TRUE,ISNUMBER(FIND(SUBSTITUTE(SUBSTITUTE(UPPER(#REF!)," ",""),":",": "),SUBSTITUTE(SUBSTITUTE(UPPER(S700)," ",""),":",": "))),0)),"Undefined")</f>
        <v>Undefined</v>
      </c>
      <c r="B700" s="42" t="str" cm="1">
        <f t="array" ref="B700">IFERROR(INDEX({"URGENTE"},MATCH(TRUE,ISNUMBER(FIND(SUBSTITUTE(SUBSTITUTE(UPPER({"URGENTE"})," ",""),":",": "),SUBSTITUTE(SUBSTITUTE(UPPER(S700)," ",""),":",": "))),0)),"-")</f>
        <v>-</v>
      </c>
      <c r="C700" s="46" t="str" cm="1">
        <f t="array" ref="C700">IFERROR(INDEX(#REF!,MATCH(TRUE,ISNUMBER(FIND(SUBSTITUTE(SUBSTITUTE(UPPER(#REF!)," ",""),":",": "),SUBSTITUTE(SUBSTITUTE(UPPER(S700)," ",""),":",": "))),0)),"Não encontrado")</f>
        <v>Não encontrado</v>
      </c>
      <c r="D700" s="46" t="str" cm="1">
        <f t="array" ref="D700">IFERROR(INDEX(#REF!,MATCH(TRUE,ISNUMBER(FIND(SUBSTITUTE(SUBSTITUTE(UPPER(#REF!)," ",""),":",": "),SUBSTITUTE(SUBSTITUTE(UPPER(S700)," ",""),":",": "))),0)),"Não encontrado")</f>
        <v>Não encontrado</v>
      </c>
      <c r="E700" s="42" t="str" cm="1">
        <f t="array" ref="E700">IFERROR(INDEX({"IMPEDITIVO"},MATCH(TRUE,ISNUMBER(FIND(SUBSTITUTE(SUBSTITUTE(UPPER({"IMPEDITIVO"})," ",""),":",": "),SUBSTITUTE(SUBSTITUTE(UPPER(S700)," ",""),":",": "))),0)),"-")</f>
        <v>-</v>
      </c>
      <c r="K700" s="49"/>
    </row>
    <row r="701" spans="1:11" x14ac:dyDescent="0.25">
      <c r="A701" s="46" t="str" cm="1">
        <f t="array" ref="A701">IFERROR(INDEX(#REF!,MATCH(TRUE,ISNUMBER(FIND(SUBSTITUTE(SUBSTITUTE(UPPER(#REF!)," ",""),":",": "),SUBSTITUTE(SUBSTITUTE(UPPER(S701)," ",""),":",": "))),0)),"Undefined")</f>
        <v>Undefined</v>
      </c>
      <c r="B701" s="42" t="str" cm="1">
        <f t="array" ref="B701">IFERROR(INDEX({"URGENTE"},MATCH(TRUE,ISNUMBER(FIND(SUBSTITUTE(SUBSTITUTE(UPPER({"URGENTE"})," ",""),":",": "),SUBSTITUTE(SUBSTITUTE(UPPER(S701)," ",""),":",": "))),0)),"-")</f>
        <v>-</v>
      </c>
      <c r="C701" s="46" t="str" cm="1">
        <f t="array" ref="C701">IFERROR(INDEX(#REF!,MATCH(TRUE,ISNUMBER(FIND(SUBSTITUTE(SUBSTITUTE(UPPER(#REF!)," ",""),":",": "),SUBSTITUTE(SUBSTITUTE(UPPER(S701)," ",""),":",": "))),0)),"Não encontrado")</f>
        <v>Não encontrado</v>
      </c>
      <c r="D701" s="46" t="str" cm="1">
        <f t="array" ref="D701">IFERROR(INDEX(#REF!,MATCH(TRUE,ISNUMBER(FIND(SUBSTITUTE(SUBSTITUTE(UPPER(#REF!)," ",""),":",": "),SUBSTITUTE(SUBSTITUTE(UPPER(S701)," ",""),":",": "))),0)),"Não encontrado")</f>
        <v>Não encontrado</v>
      </c>
      <c r="E701" s="42" t="str" cm="1">
        <f t="array" ref="E701">IFERROR(INDEX({"IMPEDITIVO"},MATCH(TRUE,ISNUMBER(FIND(SUBSTITUTE(SUBSTITUTE(UPPER({"IMPEDITIVO"})," ",""),":",": "),SUBSTITUTE(SUBSTITUTE(UPPER(S701)," ",""),":",": "))),0)),"-")</f>
        <v>-</v>
      </c>
      <c r="K701" s="49"/>
    </row>
    <row r="702" spans="1:11" x14ac:dyDescent="0.25">
      <c r="A702" s="46" t="str" cm="1">
        <f t="array" ref="A702">IFERROR(INDEX(#REF!,MATCH(TRUE,ISNUMBER(FIND(SUBSTITUTE(SUBSTITUTE(UPPER(#REF!)," ",""),":",": "),SUBSTITUTE(SUBSTITUTE(UPPER(S702)," ",""),":",": "))),0)),"Undefined")</f>
        <v>Undefined</v>
      </c>
      <c r="B702" s="42" t="str" cm="1">
        <f t="array" ref="B702">IFERROR(INDEX({"URGENTE"},MATCH(TRUE,ISNUMBER(FIND(SUBSTITUTE(SUBSTITUTE(UPPER({"URGENTE"})," ",""),":",": "),SUBSTITUTE(SUBSTITUTE(UPPER(S702)," ",""),":",": "))),0)),"-")</f>
        <v>-</v>
      </c>
      <c r="C702" s="46" t="str" cm="1">
        <f t="array" ref="C702">IFERROR(INDEX(#REF!,MATCH(TRUE,ISNUMBER(FIND(SUBSTITUTE(SUBSTITUTE(UPPER(#REF!)," ",""),":",": "),SUBSTITUTE(SUBSTITUTE(UPPER(S702)," ",""),":",": "))),0)),"Não encontrado")</f>
        <v>Não encontrado</v>
      </c>
      <c r="D702" s="46" t="str" cm="1">
        <f t="array" ref="D702">IFERROR(INDEX(#REF!,MATCH(TRUE,ISNUMBER(FIND(SUBSTITUTE(SUBSTITUTE(UPPER(#REF!)," ",""),":",": "),SUBSTITUTE(SUBSTITUTE(UPPER(S702)," ",""),":",": "))),0)),"Não encontrado")</f>
        <v>Não encontrado</v>
      </c>
      <c r="E702" s="42" t="str" cm="1">
        <f t="array" ref="E702">IFERROR(INDEX({"IMPEDITIVO"},MATCH(TRUE,ISNUMBER(FIND(SUBSTITUTE(SUBSTITUTE(UPPER({"IMPEDITIVO"})," ",""),":",": "),SUBSTITUTE(SUBSTITUTE(UPPER(S702)," ",""),":",": "))),0)),"-")</f>
        <v>-</v>
      </c>
      <c r="K702" s="49"/>
    </row>
    <row r="703" spans="1:11" x14ac:dyDescent="0.25">
      <c r="A703" s="46" t="str" cm="1">
        <f t="array" ref="A703">IFERROR(INDEX(#REF!,MATCH(TRUE,ISNUMBER(FIND(SUBSTITUTE(SUBSTITUTE(UPPER(#REF!)," ",""),":",": "),SUBSTITUTE(SUBSTITUTE(UPPER(S703)," ",""),":",": "))),0)),"Undefined")</f>
        <v>Undefined</v>
      </c>
      <c r="B703" s="42" t="str" cm="1">
        <f t="array" ref="B703">IFERROR(INDEX({"URGENTE"},MATCH(TRUE,ISNUMBER(FIND(SUBSTITUTE(SUBSTITUTE(UPPER({"URGENTE"})," ",""),":",": "),SUBSTITUTE(SUBSTITUTE(UPPER(S703)," ",""),":",": "))),0)),"-")</f>
        <v>-</v>
      </c>
      <c r="C703" s="46" t="str" cm="1">
        <f t="array" ref="C703">IFERROR(INDEX(#REF!,MATCH(TRUE,ISNUMBER(FIND(SUBSTITUTE(SUBSTITUTE(UPPER(#REF!)," ",""),":",": "),SUBSTITUTE(SUBSTITUTE(UPPER(S703)," ",""),":",": "))),0)),"Não encontrado")</f>
        <v>Não encontrado</v>
      </c>
      <c r="D703" s="46" t="str" cm="1">
        <f t="array" ref="D703">IFERROR(INDEX(#REF!,MATCH(TRUE,ISNUMBER(FIND(SUBSTITUTE(SUBSTITUTE(UPPER(#REF!)," ",""),":",": "),SUBSTITUTE(SUBSTITUTE(UPPER(S703)," ",""),":",": "))),0)),"Não encontrado")</f>
        <v>Não encontrado</v>
      </c>
      <c r="E703" s="42" t="str" cm="1">
        <f t="array" ref="E703">IFERROR(INDEX({"IMPEDITIVO"},MATCH(TRUE,ISNUMBER(FIND(SUBSTITUTE(SUBSTITUTE(UPPER({"IMPEDITIVO"})," ",""),":",": "),SUBSTITUTE(SUBSTITUTE(UPPER(S703)," ",""),":",": "))),0)),"-")</f>
        <v>-</v>
      </c>
      <c r="K703" s="49"/>
    </row>
    <row r="704" spans="1:11" x14ac:dyDescent="0.25">
      <c r="A704" s="46" t="str" cm="1">
        <f t="array" ref="A704">IFERROR(INDEX(#REF!,MATCH(TRUE,ISNUMBER(FIND(SUBSTITUTE(SUBSTITUTE(UPPER(#REF!)," ",""),":",": "),SUBSTITUTE(SUBSTITUTE(UPPER(S704)," ",""),":",": "))),0)),"Undefined")</f>
        <v>Undefined</v>
      </c>
      <c r="B704" s="42" t="str" cm="1">
        <f t="array" ref="B704">IFERROR(INDEX({"URGENTE"},MATCH(TRUE,ISNUMBER(FIND(SUBSTITUTE(SUBSTITUTE(UPPER({"URGENTE"})," ",""),":",": "),SUBSTITUTE(SUBSTITUTE(UPPER(S704)," ",""),":",": "))),0)),"-")</f>
        <v>-</v>
      </c>
      <c r="C704" s="46" t="str" cm="1">
        <f t="array" ref="C704">IFERROR(INDEX(#REF!,MATCH(TRUE,ISNUMBER(FIND(SUBSTITUTE(SUBSTITUTE(UPPER(#REF!)," ",""),":",": "),SUBSTITUTE(SUBSTITUTE(UPPER(S704)," ",""),":",": "))),0)),"Não encontrado")</f>
        <v>Não encontrado</v>
      </c>
      <c r="D704" s="46" t="str" cm="1">
        <f t="array" ref="D704">IFERROR(INDEX(#REF!,MATCH(TRUE,ISNUMBER(FIND(SUBSTITUTE(SUBSTITUTE(UPPER(#REF!)," ",""),":",": "),SUBSTITUTE(SUBSTITUTE(UPPER(S704)," ",""),":",": "))),0)),"Não encontrado")</f>
        <v>Não encontrado</v>
      </c>
      <c r="E704" s="42" t="str" cm="1">
        <f t="array" ref="E704">IFERROR(INDEX({"IMPEDITIVO"},MATCH(TRUE,ISNUMBER(FIND(SUBSTITUTE(SUBSTITUTE(UPPER({"IMPEDITIVO"})," ",""),":",": "),SUBSTITUTE(SUBSTITUTE(UPPER(S704)," ",""),":",": "))),0)),"-")</f>
        <v>-</v>
      </c>
      <c r="K704" s="49"/>
    </row>
    <row r="705" spans="1:11" x14ac:dyDescent="0.25">
      <c r="A705" s="46" t="str" cm="1">
        <f t="array" ref="A705">IFERROR(INDEX(#REF!,MATCH(TRUE,ISNUMBER(FIND(SUBSTITUTE(SUBSTITUTE(UPPER(#REF!)," ",""),":",": "),SUBSTITUTE(SUBSTITUTE(UPPER(S705)," ",""),":",": "))),0)),"Undefined")</f>
        <v>Undefined</v>
      </c>
      <c r="B705" s="42" t="str" cm="1">
        <f t="array" ref="B705">IFERROR(INDEX({"URGENTE"},MATCH(TRUE,ISNUMBER(FIND(SUBSTITUTE(SUBSTITUTE(UPPER({"URGENTE"})," ",""),":",": "),SUBSTITUTE(SUBSTITUTE(UPPER(S705)," ",""),":",": "))),0)),"-")</f>
        <v>-</v>
      </c>
      <c r="C705" s="46" t="str" cm="1">
        <f t="array" ref="C705">IFERROR(INDEX(#REF!,MATCH(TRUE,ISNUMBER(FIND(SUBSTITUTE(SUBSTITUTE(UPPER(#REF!)," ",""),":",": "),SUBSTITUTE(SUBSTITUTE(UPPER(S705)," ",""),":",": "))),0)),"Não encontrado")</f>
        <v>Não encontrado</v>
      </c>
      <c r="D705" s="46" t="str" cm="1">
        <f t="array" ref="D705">IFERROR(INDEX(#REF!,MATCH(TRUE,ISNUMBER(FIND(SUBSTITUTE(SUBSTITUTE(UPPER(#REF!)," ",""),":",": "),SUBSTITUTE(SUBSTITUTE(UPPER(S705)," ",""),":",": "))),0)),"Não encontrado")</f>
        <v>Não encontrado</v>
      </c>
      <c r="E705" s="42" t="str" cm="1">
        <f t="array" ref="E705">IFERROR(INDEX({"IMPEDITIVO"},MATCH(TRUE,ISNUMBER(FIND(SUBSTITUTE(SUBSTITUTE(UPPER({"IMPEDITIVO"})," ",""),":",": "),SUBSTITUTE(SUBSTITUTE(UPPER(S705)," ",""),":",": "))),0)),"-")</f>
        <v>-</v>
      </c>
      <c r="K705" s="49"/>
    </row>
    <row r="706" spans="1:11" x14ac:dyDescent="0.25">
      <c r="A706" s="46" t="str" cm="1">
        <f t="array" ref="A706">IFERROR(INDEX(#REF!,MATCH(TRUE,ISNUMBER(FIND(SUBSTITUTE(SUBSTITUTE(UPPER(#REF!)," ",""),":",": "),SUBSTITUTE(SUBSTITUTE(UPPER(S706)," ",""),":",": "))),0)),"Undefined")</f>
        <v>Undefined</v>
      </c>
      <c r="B706" s="42" t="str" cm="1">
        <f t="array" ref="B706">IFERROR(INDEX({"URGENTE"},MATCH(TRUE,ISNUMBER(FIND(SUBSTITUTE(SUBSTITUTE(UPPER({"URGENTE"})," ",""),":",": "),SUBSTITUTE(SUBSTITUTE(UPPER(S706)," ",""),":",": "))),0)),"-")</f>
        <v>-</v>
      </c>
      <c r="C706" s="46" t="str" cm="1">
        <f t="array" ref="C706">IFERROR(INDEX(#REF!,MATCH(TRUE,ISNUMBER(FIND(SUBSTITUTE(SUBSTITUTE(UPPER(#REF!)," ",""),":",": "),SUBSTITUTE(SUBSTITUTE(UPPER(S706)," ",""),":",": "))),0)),"Não encontrado")</f>
        <v>Não encontrado</v>
      </c>
      <c r="D706" s="46" t="str" cm="1">
        <f t="array" ref="D706">IFERROR(INDEX(#REF!,MATCH(TRUE,ISNUMBER(FIND(SUBSTITUTE(SUBSTITUTE(UPPER(#REF!)," ",""),":",": "),SUBSTITUTE(SUBSTITUTE(UPPER(S706)," ",""),":",": "))),0)),"Não encontrado")</f>
        <v>Não encontrado</v>
      </c>
      <c r="E706" s="42" t="str" cm="1">
        <f t="array" ref="E706">IFERROR(INDEX({"IMPEDITIVO"},MATCH(TRUE,ISNUMBER(FIND(SUBSTITUTE(SUBSTITUTE(UPPER({"IMPEDITIVO"})," ",""),":",": "),SUBSTITUTE(SUBSTITUTE(UPPER(S706)," ",""),":",": "))),0)),"-")</f>
        <v>-</v>
      </c>
      <c r="K706" s="49"/>
    </row>
    <row r="707" spans="1:11" x14ac:dyDescent="0.25">
      <c r="A707" s="46" t="str" cm="1">
        <f t="array" ref="A707">IFERROR(INDEX(#REF!,MATCH(TRUE,ISNUMBER(FIND(SUBSTITUTE(SUBSTITUTE(UPPER(#REF!)," ",""),":",": "),SUBSTITUTE(SUBSTITUTE(UPPER(S707)," ",""),":",": "))),0)),"Undefined")</f>
        <v>Undefined</v>
      </c>
      <c r="B707" s="42" t="str" cm="1">
        <f t="array" ref="B707">IFERROR(INDEX({"URGENTE"},MATCH(TRUE,ISNUMBER(FIND(SUBSTITUTE(SUBSTITUTE(UPPER({"URGENTE"})," ",""),":",": "),SUBSTITUTE(SUBSTITUTE(UPPER(S707)," ",""),":",": "))),0)),"-")</f>
        <v>-</v>
      </c>
      <c r="C707" s="46" t="str" cm="1">
        <f t="array" ref="C707">IFERROR(INDEX(#REF!,MATCH(TRUE,ISNUMBER(FIND(SUBSTITUTE(SUBSTITUTE(UPPER(#REF!)," ",""),":",": "),SUBSTITUTE(SUBSTITUTE(UPPER(S707)," ",""),":",": "))),0)),"Não encontrado")</f>
        <v>Não encontrado</v>
      </c>
      <c r="D707" s="46" t="str" cm="1">
        <f t="array" ref="D707">IFERROR(INDEX(#REF!,MATCH(TRUE,ISNUMBER(FIND(SUBSTITUTE(SUBSTITUTE(UPPER(#REF!)," ",""),":",": "),SUBSTITUTE(SUBSTITUTE(UPPER(S707)," ",""),":",": "))),0)),"Não encontrado")</f>
        <v>Não encontrado</v>
      </c>
      <c r="E707" s="42" t="str" cm="1">
        <f t="array" ref="E707">IFERROR(INDEX({"IMPEDITIVO"},MATCH(TRUE,ISNUMBER(FIND(SUBSTITUTE(SUBSTITUTE(UPPER({"IMPEDITIVO"})," ",""),":",": "),SUBSTITUTE(SUBSTITUTE(UPPER(S707)," ",""),":",": "))),0)),"-")</f>
        <v>-</v>
      </c>
      <c r="K707" s="49"/>
    </row>
    <row r="708" spans="1:11" x14ac:dyDescent="0.25">
      <c r="A708" s="46" t="str" cm="1">
        <f t="array" ref="A708">IFERROR(INDEX(#REF!,MATCH(TRUE,ISNUMBER(FIND(SUBSTITUTE(SUBSTITUTE(UPPER(#REF!)," ",""),":",": "),SUBSTITUTE(SUBSTITUTE(UPPER(S708)," ",""),":",": "))),0)),"Undefined")</f>
        <v>Undefined</v>
      </c>
      <c r="B708" s="42" t="str" cm="1">
        <f t="array" ref="B708">IFERROR(INDEX({"URGENTE"},MATCH(TRUE,ISNUMBER(FIND(SUBSTITUTE(SUBSTITUTE(UPPER({"URGENTE"})," ",""),":",": "),SUBSTITUTE(SUBSTITUTE(UPPER(S708)," ",""),":",": "))),0)),"-")</f>
        <v>-</v>
      </c>
      <c r="C708" s="46" t="str" cm="1">
        <f t="array" ref="C708">IFERROR(INDEX(#REF!,MATCH(TRUE,ISNUMBER(FIND(SUBSTITUTE(SUBSTITUTE(UPPER(#REF!)," ",""),":",": "),SUBSTITUTE(SUBSTITUTE(UPPER(S708)," ",""),":",": "))),0)),"Não encontrado")</f>
        <v>Não encontrado</v>
      </c>
      <c r="D708" s="46" t="str" cm="1">
        <f t="array" ref="D708">IFERROR(INDEX(#REF!,MATCH(TRUE,ISNUMBER(FIND(SUBSTITUTE(SUBSTITUTE(UPPER(#REF!)," ",""),":",": "),SUBSTITUTE(SUBSTITUTE(UPPER(S708)," ",""),":",": "))),0)),"Não encontrado")</f>
        <v>Não encontrado</v>
      </c>
      <c r="E708" s="42" t="str" cm="1">
        <f t="array" ref="E708">IFERROR(INDEX({"IMPEDITIVO"},MATCH(TRUE,ISNUMBER(FIND(SUBSTITUTE(SUBSTITUTE(UPPER({"IMPEDITIVO"})," ",""),":",": "),SUBSTITUTE(SUBSTITUTE(UPPER(S708)," ",""),":",": "))),0)),"-")</f>
        <v>-</v>
      </c>
      <c r="K708" s="49"/>
    </row>
    <row r="709" spans="1:11" x14ac:dyDescent="0.25">
      <c r="A709" s="46" t="str" cm="1">
        <f t="array" ref="A709">IFERROR(INDEX(#REF!,MATCH(TRUE,ISNUMBER(FIND(SUBSTITUTE(SUBSTITUTE(UPPER(#REF!)," ",""),":",": "),SUBSTITUTE(SUBSTITUTE(UPPER(S709)," ",""),":",": "))),0)),"Undefined")</f>
        <v>Undefined</v>
      </c>
      <c r="B709" s="42" t="str" cm="1">
        <f t="array" ref="B709">IFERROR(INDEX({"URGENTE"},MATCH(TRUE,ISNUMBER(FIND(SUBSTITUTE(SUBSTITUTE(UPPER({"URGENTE"})," ",""),":",": "),SUBSTITUTE(SUBSTITUTE(UPPER(S709)," ",""),":",": "))),0)),"-")</f>
        <v>-</v>
      </c>
      <c r="C709" s="46" t="str" cm="1">
        <f t="array" ref="C709">IFERROR(INDEX(#REF!,MATCH(TRUE,ISNUMBER(FIND(SUBSTITUTE(SUBSTITUTE(UPPER(#REF!)," ",""),":",": "),SUBSTITUTE(SUBSTITUTE(UPPER(S709)," ",""),":",": "))),0)),"Não encontrado")</f>
        <v>Não encontrado</v>
      </c>
      <c r="D709" s="46" t="str" cm="1">
        <f t="array" ref="D709">IFERROR(INDEX(#REF!,MATCH(TRUE,ISNUMBER(FIND(SUBSTITUTE(SUBSTITUTE(UPPER(#REF!)," ",""),":",": "),SUBSTITUTE(SUBSTITUTE(UPPER(S709)," ",""),":",": "))),0)),"Não encontrado")</f>
        <v>Não encontrado</v>
      </c>
      <c r="E709" s="42" t="str" cm="1">
        <f t="array" ref="E709">IFERROR(INDEX({"IMPEDITIVO"},MATCH(TRUE,ISNUMBER(FIND(SUBSTITUTE(SUBSTITUTE(UPPER({"IMPEDITIVO"})," ",""),":",": "),SUBSTITUTE(SUBSTITUTE(UPPER(S709)," ",""),":",": "))),0)),"-")</f>
        <v>-</v>
      </c>
      <c r="K709" s="49"/>
    </row>
    <row r="710" spans="1:11" x14ac:dyDescent="0.25">
      <c r="A710" s="46" t="str" cm="1">
        <f t="array" ref="A710">IFERROR(INDEX(#REF!,MATCH(TRUE,ISNUMBER(FIND(SUBSTITUTE(SUBSTITUTE(UPPER(#REF!)," ",""),":",": "),SUBSTITUTE(SUBSTITUTE(UPPER(S710)," ",""),":",": "))),0)),"Undefined")</f>
        <v>Undefined</v>
      </c>
      <c r="B710" s="42" t="str" cm="1">
        <f t="array" ref="B710">IFERROR(INDEX({"URGENTE"},MATCH(TRUE,ISNUMBER(FIND(SUBSTITUTE(SUBSTITUTE(UPPER({"URGENTE"})," ",""),":",": "),SUBSTITUTE(SUBSTITUTE(UPPER(S710)," ",""),":",": "))),0)),"-")</f>
        <v>-</v>
      </c>
      <c r="C710" s="46" t="str" cm="1">
        <f t="array" ref="C710">IFERROR(INDEX(#REF!,MATCH(TRUE,ISNUMBER(FIND(SUBSTITUTE(SUBSTITUTE(UPPER(#REF!)," ",""),":",": "),SUBSTITUTE(SUBSTITUTE(UPPER(S710)," ",""),":",": "))),0)),"Não encontrado")</f>
        <v>Não encontrado</v>
      </c>
      <c r="D710" s="46" t="str" cm="1">
        <f t="array" ref="D710">IFERROR(INDEX(#REF!,MATCH(TRUE,ISNUMBER(FIND(SUBSTITUTE(SUBSTITUTE(UPPER(#REF!)," ",""),":",": "),SUBSTITUTE(SUBSTITUTE(UPPER(S710)," ",""),":",": "))),0)),"Não encontrado")</f>
        <v>Não encontrado</v>
      </c>
      <c r="E710" s="42" t="str" cm="1">
        <f t="array" ref="E710">IFERROR(INDEX({"IMPEDITIVO"},MATCH(TRUE,ISNUMBER(FIND(SUBSTITUTE(SUBSTITUTE(UPPER({"IMPEDITIVO"})," ",""),":",": "),SUBSTITUTE(SUBSTITUTE(UPPER(S710)," ",""),":",": "))),0)),"-")</f>
        <v>-</v>
      </c>
      <c r="K710" s="49"/>
    </row>
    <row r="711" spans="1:11" x14ac:dyDescent="0.25">
      <c r="A711" s="46" t="str" cm="1">
        <f t="array" ref="A711">IFERROR(INDEX(#REF!,MATCH(TRUE,ISNUMBER(FIND(SUBSTITUTE(SUBSTITUTE(UPPER(#REF!)," ",""),":",": "),SUBSTITUTE(SUBSTITUTE(UPPER(S711)," ",""),":",": "))),0)),"Undefined")</f>
        <v>Undefined</v>
      </c>
      <c r="B711" s="42" t="str" cm="1">
        <f t="array" ref="B711">IFERROR(INDEX({"URGENTE"},MATCH(TRUE,ISNUMBER(FIND(SUBSTITUTE(SUBSTITUTE(UPPER({"URGENTE"})," ",""),":",": "),SUBSTITUTE(SUBSTITUTE(UPPER(S711)," ",""),":",": "))),0)),"-")</f>
        <v>-</v>
      </c>
      <c r="C711" s="46" t="str" cm="1">
        <f t="array" ref="C711">IFERROR(INDEX(#REF!,MATCH(TRUE,ISNUMBER(FIND(SUBSTITUTE(SUBSTITUTE(UPPER(#REF!)," ",""),":",": "),SUBSTITUTE(SUBSTITUTE(UPPER(S711)," ",""),":",": "))),0)),"Não encontrado")</f>
        <v>Não encontrado</v>
      </c>
      <c r="D711" s="46" t="str" cm="1">
        <f t="array" ref="D711">IFERROR(INDEX(#REF!,MATCH(TRUE,ISNUMBER(FIND(SUBSTITUTE(SUBSTITUTE(UPPER(#REF!)," ",""),":",": "),SUBSTITUTE(SUBSTITUTE(UPPER(S711)," ",""),":",": "))),0)),"Não encontrado")</f>
        <v>Não encontrado</v>
      </c>
      <c r="E711" s="42" t="str" cm="1">
        <f t="array" ref="E711">IFERROR(INDEX({"IMPEDITIVO"},MATCH(TRUE,ISNUMBER(FIND(SUBSTITUTE(SUBSTITUTE(UPPER({"IMPEDITIVO"})," ",""),":",": "),SUBSTITUTE(SUBSTITUTE(UPPER(S711)," ",""),":",": "))),0)),"-")</f>
        <v>-</v>
      </c>
      <c r="K711" s="49"/>
    </row>
    <row r="712" spans="1:11" x14ac:dyDescent="0.25">
      <c r="A712" s="46" t="str" cm="1">
        <f t="array" ref="A712">IFERROR(INDEX(#REF!,MATCH(TRUE,ISNUMBER(FIND(SUBSTITUTE(SUBSTITUTE(UPPER(#REF!)," ",""),":",": "),SUBSTITUTE(SUBSTITUTE(UPPER(S712)," ",""),":",": "))),0)),"Undefined")</f>
        <v>Undefined</v>
      </c>
      <c r="B712" s="42" t="str" cm="1">
        <f t="array" ref="B712">IFERROR(INDEX({"URGENTE"},MATCH(TRUE,ISNUMBER(FIND(SUBSTITUTE(SUBSTITUTE(UPPER({"URGENTE"})," ",""),":",": "),SUBSTITUTE(SUBSTITUTE(UPPER(S712)," ",""),":",": "))),0)),"-")</f>
        <v>-</v>
      </c>
      <c r="C712" s="46" t="str" cm="1">
        <f t="array" ref="C712">IFERROR(INDEX(#REF!,MATCH(TRUE,ISNUMBER(FIND(SUBSTITUTE(SUBSTITUTE(UPPER(#REF!)," ",""),":",": "),SUBSTITUTE(SUBSTITUTE(UPPER(S712)," ",""),":",": "))),0)),"Não encontrado")</f>
        <v>Não encontrado</v>
      </c>
      <c r="D712" s="46" t="str" cm="1">
        <f t="array" ref="D712">IFERROR(INDEX(#REF!,MATCH(TRUE,ISNUMBER(FIND(SUBSTITUTE(SUBSTITUTE(UPPER(#REF!)," ",""),":",": "),SUBSTITUTE(SUBSTITUTE(UPPER(S712)," ",""),":",": "))),0)),"Não encontrado")</f>
        <v>Não encontrado</v>
      </c>
      <c r="E712" s="42" t="str" cm="1">
        <f t="array" ref="E712">IFERROR(INDEX({"IMPEDITIVO"},MATCH(TRUE,ISNUMBER(FIND(SUBSTITUTE(SUBSTITUTE(UPPER({"IMPEDITIVO"})," ",""),":",": "),SUBSTITUTE(SUBSTITUTE(UPPER(S712)," ",""),":",": "))),0)),"-")</f>
        <v>-</v>
      </c>
      <c r="K712" s="49"/>
    </row>
    <row r="713" spans="1:11" x14ac:dyDescent="0.25">
      <c r="A713" s="46" t="str" cm="1">
        <f t="array" ref="A713">IFERROR(INDEX(#REF!,MATCH(TRUE,ISNUMBER(FIND(SUBSTITUTE(SUBSTITUTE(UPPER(#REF!)," ",""),":",": "),SUBSTITUTE(SUBSTITUTE(UPPER(S713)," ",""),":",": "))),0)),"Undefined")</f>
        <v>Undefined</v>
      </c>
      <c r="B713" s="42" t="str" cm="1">
        <f t="array" ref="B713">IFERROR(INDEX({"URGENTE"},MATCH(TRUE,ISNUMBER(FIND(SUBSTITUTE(SUBSTITUTE(UPPER({"URGENTE"})," ",""),":",": "),SUBSTITUTE(SUBSTITUTE(UPPER(S713)," ",""),":",": "))),0)),"-")</f>
        <v>-</v>
      </c>
      <c r="C713" s="46" t="str" cm="1">
        <f t="array" ref="C713">IFERROR(INDEX(#REF!,MATCH(TRUE,ISNUMBER(FIND(SUBSTITUTE(SUBSTITUTE(UPPER(#REF!)," ",""),":",": "),SUBSTITUTE(SUBSTITUTE(UPPER(S713)," ",""),":",": "))),0)),"Não encontrado")</f>
        <v>Não encontrado</v>
      </c>
      <c r="D713" s="46" t="str" cm="1">
        <f t="array" ref="D713">IFERROR(INDEX(#REF!,MATCH(TRUE,ISNUMBER(FIND(SUBSTITUTE(SUBSTITUTE(UPPER(#REF!)," ",""),":",": "),SUBSTITUTE(SUBSTITUTE(UPPER(S713)," ",""),":",": "))),0)),"Não encontrado")</f>
        <v>Não encontrado</v>
      </c>
      <c r="E713" s="42" t="str" cm="1">
        <f t="array" ref="E713">IFERROR(INDEX({"IMPEDITIVO"},MATCH(TRUE,ISNUMBER(FIND(SUBSTITUTE(SUBSTITUTE(UPPER({"IMPEDITIVO"})," ",""),":",": "),SUBSTITUTE(SUBSTITUTE(UPPER(S713)," ",""),":",": "))),0)),"-")</f>
        <v>-</v>
      </c>
      <c r="K713" s="49"/>
    </row>
    <row r="714" spans="1:11" x14ac:dyDescent="0.25">
      <c r="A714" s="46" t="str" cm="1">
        <f t="array" ref="A714">IFERROR(INDEX(#REF!,MATCH(TRUE,ISNUMBER(FIND(SUBSTITUTE(SUBSTITUTE(UPPER(#REF!)," ",""),":",": "),SUBSTITUTE(SUBSTITUTE(UPPER(S714)," ",""),":",": "))),0)),"Undefined")</f>
        <v>Undefined</v>
      </c>
      <c r="B714" s="42" t="str" cm="1">
        <f t="array" ref="B714">IFERROR(INDEX({"URGENTE"},MATCH(TRUE,ISNUMBER(FIND(SUBSTITUTE(SUBSTITUTE(UPPER({"URGENTE"})," ",""),":",": "),SUBSTITUTE(SUBSTITUTE(UPPER(S714)," ",""),":",": "))),0)),"-")</f>
        <v>-</v>
      </c>
      <c r="C714" s="46" t="str" cm="1">
        <f t="array" ref="C714">IFERROR(INDEX(#REF!,MATCH(TRUE,ISNUMBER(FIND(SUBSTITUTE(SUBSTITUTE(UPPER(#REF!)," ",""),":",": "),SUBSTITUTE(SUBSTITUTE(UPPER(S714)," ",""),":",": "))),0)),"Não encontrado")</f>
        <v>Não encontrado</v>
      </c>
      <c r="D714" s="46" t="str" cm="1">
        <f t="array" ref="D714">IFERROR(INDEX(#REF!,MATCH(TRUE,ISNUMBER(FIND(SUBSTITUTE(SUBSTITUTE(UPPER(#REF!)," ",""),":",": "),SUBSTITUTE(SUBSTITUTE(UPPER(S714)," ",""),":",": "))),0)),"Não encontrado")</f>
        <v>Não encontrado</v>
      </c>
      <c r="E714" s="42" t="str" cm="1">
        <f t="array" ref="E714">IFERROR(INDEX({"IMPEDITIVO"},MATCH(TRUE,ISNUMBER(FIND(SUBSTITUTE(SUBSTITUTE(UPPER({"IMPEDITIVO"})," ",""),":",": "),SUBSTITUTE(SUBSTITUTE(UPPER(S714)," ",""),":",": "))),0)),"-")</f>
        <v>-</v>
      </c>
      <c r="K714" s="49"/>
    </row>
    <row r="715" spans="1:11" x14ac:dyDescent="0.25">
      <c r="A715" s="46" t="str" cm="1">
        <f t="array" ref="A715">IFERROR(INDEX(#REF!,MATCH(TRUE,ISNUMBER(FIND(SUBSTITUTE(SUBSTITUTE(UPPER(#REF!)," ",""),":",": "),SUBSTITUTE(SUBSTITUTE(UPPER(S715)," ",""),":",": "))),0)),"Undefined")</f>
        <v>Undefined</v>
      </c>
      <c r="B715" s="42" t="str" cm="1">
        <f t="array" ref="B715">IFERROR(INDEX({"URGENTE"},MATCH(TRUE,ISNUMBER(FIND(SUBSTITUTE(SUBSTITUTE(UPPER({"URGENTE"})," ",""),":",": "),SUBSTITUTE(SUBSTITUTE(UPPER(S715)," ",""),":",": "))),0)),"-")</f>
        <v>-</v>
      </c>
      <c r="C715" s="46" t="str" cm="1">
        <f t="array" ref="C715">IFERROR(INDEX(#REF!,MATCH(TRUE,ISNUMBER(FIND(SUBSTITUTE(SUBSTITUTE(UPPER(#REF!)," ",""),":",": "),SUBSTITUTE(SUBSTITUTE(UPPER(S715)," ",""),":",": "))),0)),"Não encontrado")</f>
        <v>Não encontrado</v>
      </c>
      <c r="D715" s="46" t="str" cm="1">
        <f t="array" ref="D715">IFERROR(INDEX(#REF!,MATCH(TRUE,ISNUMBER(FIND(SUBSTITUTE(SUBSTITUTE(UPPER(#REF!)," ",""),":",": "),SUBSTITUTE(SUBSTITUTE(UPPER(S715)," ",""),":",": "))),0)),"Não encontrado")</f>
        <v>Não encontrado</v>
      </c>
      <c r="E715" s="42" t="str" cm="1">
        <f t="array" ref="E715">IFERROR(INDEX({"IMPEDITIVO"},MATCH(TRUE,ISNUMBER(FIND(SUBSTITUTE(SUBSTITUTE(UPPER({"IMPEDITIVO"})," ",""),":",": "),SUBSTITUTE(SUBSTITUTE(UPPER(S715)," ",""),":",": "))),0)),"-")</f>
        <v>-</v>
      </c>
      <c r="K715" s="49"/>
    </row>
    <row r="716" spans="1:11" x14ac:dyDescent="0.25">
      <c r="A716" s="46" t="str" cm="1">
        <f t="array" ref="A716">IFERROR(INDEX(#REF!,MATCH(TRUE,ISNUMBER(FIND(SUBSTITUTE(SUBSTITUTE(UPPER(#REF!)," ",""),":",": "),SUBSTITUTE(SUBSTITUTE(UPPER(S716)," ",""),":",": "))),0)),"Undefined")</f>
        <v>Undefined</v>
      </c>
      <c r="B716" s="42" t="str" cm="1">
        <f t="array" ref="B716">IFERROR(INDEX({"URGENTE"},MATCH(TRUE,ISNUMBER(FIND(SUBSTITUTE(SUBSTITUTE(UPPER({"URGENTE"})," ",""),":",": "),SUBSTITUTE(SUBSTITUTE(UPPER(S716)," ",""),":",": "))),0)),"-")</f>
        <v>-</v>
      </c>
      <c r="C716" s="46" t="str" cm="1">
        <f t="array" ref="C716">IFERROR(INDEX(#REF!,MATCH(TRUE,ISNUMBER(FIND(SUBSTITUTE(SUBSTITUTE(UPPER(#REF!)," ",""),":",": "),SUBSTITUTE(SUBSTITUTE(UPPER(S716)," ",""),":",": "))),0)),"Não encontrado")</f>
        <v>Não encontrado</v>
      </c>
      <c r="D716" s="46" t="str" cm="1">
        <f t="array" ref="D716">IFERROR(INDEX(#REF!,MATCH(TRUE,ISNUMBER(FIND(SUBSTITUTE(SUBSTITUTE(UPPER(#REF!)," ",""),":",": "),SUBSTITUTE(SUBSTITUTE(UPPER(S716)," ",""),":",": "))),0)),"Não encontrado")</f>
        <v>Não encontrado</v>
      </c>
      <c r="E716" s="42" t="str" cm="1">
        <f t="array" ref="E716">IFERROR(INDEX({"IMPEDITIVO"},MATCH(TRUE,ISNUMBER(FIND(SUBSTITUTE(SUBSTITUTE(UPPER({"IMPEDITIVO"})," ",""),":",": "),SUBSTITUTE(SUBSTITUTE(UPPER(S716)," ",""),":",": "))),0)),"-")</f>
        <v>-</v>
      </c>
      <c r="K716" s="49"/>
    </row>
    <row r="717" spans="1:11" x14ac:dyDescent="0.25">
      <c r="A717" s="46" t="str" cm="1">
        <f t="array" ref="A717">IFERROR(INDEX(#REF!,MATCH(TRUE,ISNUMBER(FIND(SUBSTITUTE(SUBSTITUTE(UPPER(#REF!)," ",""),":",": "),SUBSTITUTE(SUBSTITUTE(UPPER(S717)," ",""),":",": "))),0)),"Undefined")</f>
        <v>Undefined</v>
      </c>
      <c r="B717" s="42" t="str" cm="1">
        <f t="array" ref="B717">IFERROR(INDEX({"URGENTE"},MATCH(TRUE,ISNUMBER(FIND(SUBSTITUTE(SUBSTITUTE(UPPER({"URGENTE"})," ",""),":",": "),SUBSTITUTE(SUBSTITUTE(UPPER(S717)," ",""),":",": "))),0)),"-")</f>
        <v>-</v>
      </c>
      <c r="C717" s="46" t="str" cm="1">
        <f t="array" ref="C717">IFERROR(INDEX(#REF!,MATCH(TRUE,ISNUMBER(FIND(SUBSTITUTE(SUBSTITUTE(UPPER(#REF!)," ",""),":",": "),SUBSTITUTE(SUBSTITUTE(UPPER(S717)," ",""),":",": "))),0)),"Não encontrado")</f>
        <v>Não encontrado</v>
      </c>
      <c r="D717" s="46" t="str" cm="1">
        <f t="array" ref="D717">IFERROR(INDEX(#REF!,MATCH(TRUE,ISNUMBER(FIND(SUBSTITUTE(SUBSTITUTE(UPPER(#REF!)," ",""),":",": "),SUBSTITUTE(SUBSTITUTE(UPPER(S717)," ",""),":",": "))),0)),"Não encontrado")</f>
        <v>Não encontrado</v>
      </c>
      <c r="E717" s="42" t="str" cm="1">
        <f t="array" ref="E717">IFERROR(INDEX({"IMPEDITIVO"},MATCH(TRUE,ISNUMBER(FIND(SUBSTITUTE(SUBSTITUTE(UPPER({"IMPEDITIVO"})," ",""),":",": "),SUBSTITUTE(SUBSTITUTE(UPPER(S717)," ",""),":",": "))),0)),"-")</f>
        <v>-</v>
      </c>
      <c r="K717" s="49"/>
    </row>
    <row r="718" spans="1:11" x14ac:dyDescent="0.25">
      <c r="A718" s="46" t="str" cm="1">
        <f t="array" ref="A718">IFERROR(INDEX(#REF!,MATCH(TRUE,ISNUMBER(FIND(SUBSTITUTE(SUBSTITUTE(UPPER(#REF!)," ",""),":",": "),SUBSTITUTE(SUBSTITUTE(UPPER(S718)," ",""),":",": "))),0)),"Undefined")</f>
        <v>Undefined</v>
      </c>
      <c r="B718" s="42" t="str" cm="1">
        <f t="array" ref="B718">IFERROR(INDEX({"URGENTE"},MATCH(TRUE,ISNUMBER(FIND(SUBSTITUTE(SUBSTITUTE(UPPER({"URGENTE"})," ",""),":",": "),SUBSTITUTE(SUBSTITUTE(UPPER(S718)," ",""),":",": "))),0)),"-")</f>
        <v>-</v>
      </c>
      <c r="C718" s="46" t="str" cm="1">
        <f t="array" ref="C718">IFERROR(INDEX(#REF!,MATCH(TRUE,ISNUMBER(FIND(SUBSTITUTE(SUBSTITUTE(UPPER(#REF!)," ",""),":",": "),SUBSTITUTE(SUBSTITUTE(UPPER(S718)," ",""),":",": "))),0)),"Não encontrado")</f>
        <v>Não encontrado</v>
      </c>
      <c r="D718" s="46" t="str" cm="1">
        <f t="array" ref="D718">IFERROR(INDEX(#REF!,MATCH(TRUE,ISNUMBER(FIND(SUBSTITUTE(SUBSTITUTE(UPPER(#REF!)," ",""),":",": "),SUBSTITUTE(SUBSTITUTE(UPPER(S718)," ",""),":",": "))),0)),"Não encontrado")</f>
        <v>Não encontrado</v>
      </c>
      <c r="E718" s="42" t="str" cm="1">
        <f t="array" ref="E718">IFERROR(INDEX({"IMPEDITIVO"},MATCH(TRUE,ISNUMBER(FIND(SUBSTITUTE(SUBSTITUTE(UPPER({"IMPEDITIVO"})," ",""),":",": "),SUBSTITUTE(SUBSTITUTE(UPPER(S718)," ",""),":",": "))),0)),"-")</f>
        <v>-</v>
      </c>
      <c r="K718" s="49"/>
    </row>
    <row r="719" spans="1:11" x14ac:dyDescent="0.25">
      <c r="A719" s="46" t="str" cm="1">
        <f t="array" ref="A719">IFERROR(INDEX(#REF!,MATCH(TRUE,ISNUMBER(FIND(SUBSTITUTE(SUBSTITUTE(UPPER(#REF!)," ",""),":",": "),SUBSTITUTE(SUBSTITUTE(UPPER(S719)," ",""),":",": "))),0)),"Undefined")</f>
        <v>Undefined</v>
      </c>
      <c r="B719" s="42" t="str" cm="1">
        <f t="array" ref="B719">IFERROR(INDEX({"URGENTE"},MATCH(TRUE,ISNUMBER(FIND(SUBSTITUTE(SUBSTITUTE(UPPER({"URGENTE"})," ",""),":",": "),SUBSTITUTE(SUBSTITUTE(UPPER(S719)," ",""),":",": "))),0)),"-")</f>
        <v>-</v>
      </c>
      <c r="C719" s="46" t="str" cm="1">
        <f t="array" ref="C719">IFERROR(INDEX(#REF!,MATCH(TRUE,ISNUMBER(FIND(SUBSTITUTE(SUBSTITUTE(UPPER(#REF!)," ",""),":",": "),SUBSTITUTE(SUBSTITUTE(UPPER(S719)," ",""),":",": "))),0)),"Não encontrado")</f>
        <v>Não encontrado</v>
      </c>
      <c r="D719" s="46" t="str" cm="1">
        <f t="array" ref="D719">IFERROR(INDEX(#REF!,MATCH(TRUE,ISNUMBER(FIND(SUBSTITUTE(SUBSTITUTE(UPPER(#REF!)," ",""),":",": "),SUBSTITUTE(SUBSTITUTE(UPPER(S719)," ",""),":",": "))),0)),"Não encontrado")</f>
        <v>Não encontrado</v>
      </c>
      <c r="E719" s="42" t="str" cm="1">
        <f t="array" ref="E719">IFERROR(INDEX({"IMPEDITIVO"},MATCH(TRUE,ISNUMBER(FIND(SUBSTITUTE(SUBSTITUTE(UPPER({"IMPEDITIVO"})," ",""),":",": "),SUBSTITUTE(SUBSTITUTE(UPPER(S719)," ",""),":",": "))),0)),"-")</f>
        <v>-</v>
      </c>
      <c r="K719" s="49"/>
    </row>
    <row r="720" spans="1:11" x14ac:dyDescent="0.25">
      <c r="A720" s="46" t="str" cm="1">
        <f t="array" ref="A720">IFERROR(INDEX(#REF!,MATCH(TRUE,ISNUMBER(FIND(SUBSTITUTE(SUBSTITUTE(UPPER(#REF!)," ",""),":",": "),SUBSTITUTE(SUBSTITUTE(UPPER(S720)," ",""),":",": "))),0)),"Undefined")</f>
        <v>Undefined</v>
      </c>
      <c r="B720" s="42" t="str" cm="1">
        <f t="array" ref="B720">IFERROR(INDEX({"URGENTE"},MATCH(TRUE,ISNUMBER(FIND(SUBSTITUTE(SUBSTITUTE(UPPER({"URGENTE"})," ",""),":",": "),SUBSTITUTE(SUBSTITUTE(UPPER(S720)," ",""),":",": "))),0)),"-")</f>
        <v>-</v>
      </c>
      <c r="C720" s="46" t="str" cm="1">
        <f t="array" ref="C720">IFERROR(INDEX(#REF!,MATCH(TRUE,ISNUMBER(FIND(SUBSTITUTE(SUBSTITUTE(UPPER(#REF!)," ",""),":",": "),SUBSTITUTE(SUBSTITUTE(UPPER(S720)," ",""),":",": "))),0)),"Não encontrado")</f>
        <v>Não encontrado</v>
      </c>
      <c r="D720" s="46" t="str" cm="1">
        <f t="array" ref="D720">IFERROR(INDEX(#REF!,MATCH(TRUE,ISNUMBER(FIND(SUBSTITUTE(SUBSTITUTE(UPPER(#REF!)," ",""),":",": "),SUBSTITUTE(SUBSTITUTE(UPPER(S720)," ",""),":",": "))),0)),"Não encontrado")</f>
        <v>Não encontrado</v>
      </c>
      <c r="E720" s="42" t="str" cm="1">
        <f t="array" ref="E720">IFERROR(INDEX({"IMPEDITIVO"},MATCH(TRUE,ISNUMBER(FIND(SUBSTITUTE(SUBSTITUTE(UPPER({"IMPEDITIVO"})," ",""),":",": "),SUBSTITUTE(SUBSTITUTE(UPPER(S720)," ",""),":",": "))),0)),"-")</f>
        <v>-</v>
      </c>
      <c r="K720" s="49"/>
    </row>
    <row r="721" spans="1:11" x14ac:dyDescent="0.25">
      <c r="A721" s="46" t="str" cm="1">
        <f t="array" ref="A721">IFERROR(INDEX(#REF!,MATCH(TRUE,ISNUMBER(FIND(SUBSTITUTE(SUBSTITUTE(UPPER(#REF!)," ",""),":",": "),SUBSTITUTE(SUBSTITUTE(UPPER(S721)," ",""),":",": "))),0)),"Undefined")</f>
        <v>Undefined</v>
      </c>
      <c r="B721" s="42" t="str" cm="1">
        <f t="array" ref="B721">IFERROR(INDEX({"URGENTE"},MATCH(TRUE,ISNUMBER(FIND(SUBSTITUTE(SUBSTITUTE(UPPER({"URGENTE"})," ",""),":",": "),SUBSTITUTE(SUBSTITUTE(UPPER(S721)," ",""),":",": "))),0)),"-")</f>
        <v>-</v>
      </c>
      <c r="C721" s="46" t="str" cm="1">
        <f t="array" ref="C721">IFERROR(INDEX(#REF!,MATCH(TRUE,ISNUMBER(FIND(SUBSTITUTE(SUBSTITUTE(UPPER(#REF!)," ",""),":",": "),SUBSTITUTE(SUBSTITUTE(UPPER(S721)," ",""),":",": "))),0)),"Não encontrado")</f>
        <v>Não encontrado</v>
      </c>
      <c r="D721" s="46" t="str" cm="1">
        <f t="array" ref="D721">IFERROR(INDEX(#REF!,MATCH(TRUE,ISNUMBER(FIND(SUBSTITUTE(SUBSTITUTE(UPPER(#REF!)," ",""),":",": "),SUBSTITUTE(SUBSTITUTE(UPPER(S721)," ",""),":",": "))),0)),"Não encontrado")</f>
        <v>Não encontrado</v>
      </c>
      <c r="E721" s="42" t="str" cm="1">
        <f t="array" ref="E721">IFERROR(INDEX({"IMPEDITIVO"},MATCH(TRUE,ISNUMBER(FIND(SUBSTITUTE(SUBSTITUTE(UPPER({"IMPEDITIVO"})," ",""),":",": "),SUBSTITUTE(SUBSTITUTE(UPPER(S721)," ",""),":",": "))),0)),"-")</f>
        <v>-</v>
      </c>
      <c r="K721" s="49"/>
    </row>
    <row r="722" spans="1:11" x14ac:dyDescent="0.25">
      <c r="A722" s="46" t="str" cm="1">
        <f t="array" ref="A722">IFERROR(INDEX(#REF!,MATCH(TRUE,ISNUMBER(FIND(SUBSTITUTE(SUBSTITUTE(UPPER(#REF!)," ",""),":",": "),SUBSTITUTE(SUBSTITUTE(UPPER(S722)," ",""),":",": "))),0)),"Undefined")</f>
        <v>Undefined</v>
      </c>
      <c r="B722" s="42" t="str" cm="1">
        <f t="array" ref="B722">IFERROR(INDEX({"URGENTE"},MATCH(TRUE,ISNUMBER(FIND(SUBSTITUTE(SUBSTITUTE(UPPER({"URGENTE"})," ",""),":",": "),SUBSTITUTE(SUBSTITUTE(UPPER(S722)," ",""),":",": "))),0)),"-")</f>
        <v>-</v>
      </c>
      <c r="C722" s="46" t="str" cm="1">
        <f t="array" ref="C722">IFERROR(INDEX(#REF!,MATCH(TRUE,ISNUMBER(FIND(SUBSTITUTE(SUBSTITUTE(UPPER(#REF!)," ",""),":",": "),SUBSTITUTE(SUBSTITUTE(UPPER(S722)," ",""),":",": "))),0)),"Não encontrado")</f>
        <v>Não encontrado</v>
      </c>
      <c r="D722" s="46" t="str" cm="1">
        <f t="array" ref="D722">IFERROR(INDEX(#REF!,MATCH(TRUE,ISNUMBER(FIND(SUBSTITUTE(SUBSTITUTE(UPPER(#REF!)," ",""),":",": "),SUBSTITUTE(SUBSTITUTE(UPPER(S722)," ",""),":",": "))),0)),"Não encontrado")</f>
        <v>Não encontrado</v>
      </c>
      <c r="E722" s="42" t="str" cm="1">
        <f t="array" ref="E722">IFERROR(INDEX({"IMPEDITIVO"},MATCH(TRUE,ISNUMBER(FIND(SUBSTITUTE(SUBSTITUTE(UPPER({"IMPEDITIVO"})," ",""),":",": "),SUBSTITUTE(SUBSTITUTE(UPPER(S722)," ",""),":",": "))),0)),"-")</f>
        <v>-</v>
      </c>
      <c r="K722" s="49"/>
    </row>
    <row r="723" spans="1:11" x14ac:dyDescent="0.25">
      <c r="A723" s="46" t="str" cm="1">
        <f t="array" ref="A723">IFERROR(INDEX(#REF!,MATCH(TRUE,ISNUMBER(FIND(SUBSTITUTE(SUBSTITUTE(UPPER(#REF!)," ",""),":",": "),SUBSTITUTE(SUBSTITUTE(UPPER(S723)," ",""),":",": "))),0)),"Undefined")</f>
        <v>Undefined</v>
      </c>
      <c r="B723" s="42" t="str" cm="1">
        <f t="array" ref="B723">IFERROR(INDEX({"URGENTE"},MATCH(TRUE,ISNUMBER(FIND(SUBSTITUTE(SUBSTITUTE(UPPER({"URGENTE"})," ",""),":",": "),SUBSTITUTE(SUBSTITUTE(UPPER(S723)," ",""),":",": "))),0)),"-")</f>
        <v>-</v>
      </c>
      <c r="C723" s="46" t="str" cm="1">
        <f t="array" ref="C723">IFERROR(INDEX(#REF!,MATCH(TRUE,ISNUMBER(FIND(SUBSTITUTE(SUBSTITUTE(UPPER(#REF!)," ",""),":",": "),SUBSTITUTE(SUBSTITUTE(UPPER(S723)," ",""),":",": "))),0)),"Não encontrado")</f>
        <v>Não encontrado</v>
      </c>
      <c r="D723" s="46" t="str" cm="1">
        <f t="array" ref="D723">IFERROR(INDEX(#REF!,MATCH(TRUE,ISNUMBER(FIND(SUBSTITUTE(SUBSTITUTE(UPPER(#REF!)," ",""),":",": "),SUBSTITUTE(SUBSTITUTE(UPPER(S723)," ",""),":",": "))),0)),"Não encontrado")</f>
        <v>Não encontrado</v>
      </c>
      <c r="E723" s="42" t="str" cm="1">
        <f t="array" ref="E723">IFERROR(INDEX({"IMPEDITIVO"},MATCH(TRUE,ISNUMBER(FIND(SUBSTITUTE(SUBSTITUTE(UPPER({"IMPEDITIVO"})," ",""),":",": "),SUBSTITUTE(SUBSTITUTE(UPPER(S723)," ",""),":",": "))),0)),"-")</f>
        <v>-</v>
      </c>
      <c r="K723" s="49"/>
    </row>
    <row r="724" spans="1:11" x14ac:dyDescent="0.25">
      <c r="A724" s="46" t="str" cm="1">
        <f t="array" ref="A724">IFERROR(INDEX(#REF!,MATCH(TRUE,ISNUMBER(FIND(SUBSTITUTE(SUBSTITUTE(UPPER(#REF!)," ",""),":",": "),SUBSTITUTE(SUBSTITUTE(UPPER(S724)," ",""),":",": "))),0)),"Undefined")</f>
        <v>Undefined</v>
      </c>
      <c r="B724" s="42" t="str" cm="1">
        <f t="array" ref="B724">IFERROR(INDEX({"URGENTE"},MATCH(TRUE,ISNUMBER(FIND(SUBSTITUTE(SUBSTITUTE(UPPER({"URGENTE"})," ",""),":",": "),SUBSTITUTE(SUBSTITUTE(UPPER(S724)," ",""),":",": "))),0)),"-")</f>
        <v>-</v>
      </c>
      <c r="C724" s="46" t="str" cm="1">
        <f t="array" ref="C724">IFERROR(INDEX(#REF!,MATCH(TRUE,ISNUMBER(FIND(SUBSTITUTE(SUBSTITUTE(UPPER(#REF!)," ",""),":",": "),SUBSTITUTE(SUBSTITUTE(UPPER(S724)," ",""),":",": "))),0)),"Não encontrado")</f>
        <v>Não encontrado</v>
      </c>
      <c r="D724" s="46" t="str" cm="1">
        <f t="array" ref="D724">IFERROR(INDEX(#REF!,MATCH(TRUE,ISNUMBER(FIND(SUBSTITUTE(SUBSTITUTE(UPPER(#REF!)," ",""),":",": "),SUBSTITUTE(SUBSTITUTE(UPPER(S724)," ",""),":",": "))),0)),"Não encontrado")</f>
        <v>Não encontrado</v>
      </c>
      <c r="E724" s="42" t="str" cm="1">
        <f t="array" ref="E724">IFERROR(INDEX({"IMPEDITIVO"},MATCH(TRUE,ISNUMBER(FIND(SUBSTITUTE(SUBSTITUTE(UPPER({"IMPEDITIVO"})," ",""),":",": "),SUBSTITUTE(SUBSTITUTE(UPPER(S724)," ",""),":",": "))),0)),"-")</f>
        <v>-</v>
      </c>
      <c r="K724" s="49"/>
    </row>
    <row r="725" spans="1:11" x14ac:dyDescent="0.25">
      <c r="A725" s="46" t="str" cm="1">
        <f t="array" ref="A725">IFERROR(INDEX(#REF!,MATCH(TRUE,ISNUMBER(FIND(SUBSTITUTE(SUBSTITUTE(UPPER(#REF!)," ",""),":",": "),SUBSTITUTE(SUBSTITUTE(UPPER(S725)," ",""),":",": "))),0)),"Undefined")</f>
        <v>Undefined</v>
      </c>
      <c r="B725" s="42" t="str" cm="1">
        <f t="array" ref="B725">IFERROR(INDEX({"URGENTE"},MATCH(TRUE,ISNUMBER(FIND(SUBSTITUTE(SUBSTITUTE(UPPER({"URGENTE"})," ",""),":",": "),SUBSTITUTE(SUBSTITUTE(UPPER(S725)," ",""),":",": "))),0)),"-")</f>
        <v>-</v>
      </c>
      <c r="C725" s="46" t="str" cm="1">
        <f t="array" ref="C725">IFERROR(INDEX(#REF!,MATCH(TRUE,ISNUMBER(FIND(SUBSTITUTE(SUBSTITUTE(UPPER(#REF!)," ",""),":",": "),SUBSTITUTE(SUBSTITUTE(UPPER(S725)," ",""),":",": "))),0)),"Não encontrado")</f>
        <v>Não encontrado</v>
      </c>
      <c r="D725" s="46" t="str" cm="1">
        <f t="array" ref="D725">IFERROR(INDEX(#REF!,MATCH(TRUE,ISNUMBER(FIND(SUBSTITUTE(SUBSTITUTE(UPPER(#REF!)," ",""),":",": "),SUBSTITUTE(SUBSTITUTE(UPPER(S725)," ",""),":",": "))),0)),"Não encontrado")</f>
        <v>Não encontrado</v>
      </c>
      <c r="E725" s="42" t="str" cm="1">
        <f t="array" ref="E725">IFERROR(INDEX({"IMPEDITIVO"},MATCH(TRUE,ISNUMBER(FIND(SUBSTITUTE(SUBSTITUTE(UPPER({"IMPEDITIVO"})," ",""),":",": "),SUBSTITUTE(SUBSTITUTE(UPPER(S725)," ",""),":",": "))),0)),"-")</f>
        <v>-</v>
      </c>
      <c r="K725" s="49"/>
    </row>
    <row r="726" spans="1:11" x14ac:dyDescent="0.25">
      <c r="A726" s="46" t="str" cm="1">
        <f t="array" ref="A726">IFERROR(INDEX(#REF!,MATCH(TRUE,ISNUMBER(FIND(SUBSTITUTE(SUBSTITUTE(UPPER(#REF!)," ",""),":",": "),SUBSTITUTE(SUBSTITUTE(UPPER(S726)," ",""),":",": "))),0)),"Undefined")</f>
        <v>Undefined</v>
      </c>
      <c r="B726" s="42" t="str" cm="1">
        <f t="array" ref="B726">IFERROR(INDEX({"URGENTE"},MATCH(TRUE,ISNUMBER(FIND(SUBSTITUTE(SUBSTITUTE(UPPER({"URGENTE"})," ",""),":",": "),SUBSTITUTE(SUBSTITUTE(UPPER(S726)," ",""),":",": "))),0)),"-")</f>
        <v>-</v>
      </c>
      <c r="C726" s="46" t="str" cm="1">
        <f t="array" ref="C726">IFERROR(INDEX(#REF!,MATCH(TRUE,ISNUMBER(FIND(SUBSTITUTE(SUBSTITUTE(UPPER(#REF!)," ",""),":",": "),SUBSTITUTE(SUBSTITUTE(UPPER(S726)," ",""),":",": "))),0)),"Não encontrado")</f>
        <v>Não encontrado</v>
      </c>
      <c r="D726" s="46" t="str" cm="1">
        <f t="array" ref="D726">IFERROR(INDEX(#REF!,MATCH(TRUE,ISNUMBER(FIND(SUBSTITUTE(SUBSTITUTE(UPPER(#REF!)," ",""),":",": "),SUBSTITUTE(SUBSTITUTE(UPPER(S726)," ",""),":",": "))),0)),"Não encontrado")</f>
        <v>Não encontrado</v>
      </c>
      <c r="E726" s="42" t="str" cm="1">
        <f t="array" ref="E726">IFERROR(INDEX({"IMPEDITIVO"},MATCH(TRUE,ISNUMBER(FIND(SUBSTITUTE(SUBSTITUTE(UPPER({"IMPEDITIVO"})," ",""),":",": "),SUBSTITUTE(SUBSTITUTE(UPPER(S726)," ",""),":",": "))),0)),"-")</f>
        <v>-</v>
      </c>
      <c r="K726" s="49"/>
    </row>
    <row r="727" spans="1:11" x14ac:dyDescent="0.25">
      <c r="A727" s="46" t="str" cm="1">
        <f t="array" ref="A727">IFERROR(INDEX(#REF!,MATCH(TRUE,ISNUMBER(FIND(SUBSTITUTE(SUBSTITUTE(UPPER(#REF!)," ",""),":",": "),SUBSTITUTE(SUBSTITUTE(UPPER(S727)," ",""),":",": "))),0)),"Undefined")</f>
        <v>Undefined</v>
      </c>
      <c r="B727" s="42" t="str" cm="1">
        <f t="array" ref="B727">IFERROR(INDEX({"URGENTE"},MATCH(TRUE,ISNUMBER(FIND(SUBSTITUTE(SUBSTITUTE(UPPER({"URGENTE"})," ",""),":",": "),SUBSTITUTE(SUBSTITUTE(UPPER(S727)," ",""),":",": "))),0)),"-")</f>
        <v>-</v>
      </c>
      <c r="C727" s="46" t="str" cm="1">
        <f t="array" ref="C727">IFERROR(INDEX(#REF!,MATCH(TRUE,ISNUMBER(FIND(SUBSTITUTE(SUBSTITUTE(UPPER(#REF!)," ",""),":",": "),SUBSTITUTE(SUBSTITUTE(UPPER(S727)," ",""),":",": "))),0)),"Não encontrado")</f>
        <v>Não encontrado</v>
      </c>
      <c r="D727" s="46" t="str" cm="1">
        <f t="array" ref="D727">IFERROR(INDEX(#REF!,MATCH(TRUE,ISNUMBER(FIND(SUBSTITUTE(SUBSTITUTE(UPPER(#REF!)," ",""),":",": "),SUBSTITUTE(SUBSTITUTE(UPPER(S727)," ",""),":",": "))),0)),"Não encontrado")</f>
        <v>Não encontrado</v>
      </c>
      <c r="E727" s="42" t="str" cm="1">
        <f t="array" ref="E727">IFERROR(INDEX({"IMPEDITIVO"},MATCH(TRUE,ISNUMBER(FIND(SUBSTITUTE(SUBSTITUTE(UPPER({"IMPEDITIVO"})," ",""),":",": "),SUBSTITUTE(SUBSTITUTE(UPPER(S727)," ",""),":",": "))),0)),"-")</f>
        <v>-</v>
      </c>
      <c r="K727" s="49"/>
    </row>
    <row r="728" spans="1:11" x14ac:dyDescent="0.25">
      <c r="A728" s="46" t="str" cm="1">
        <f t="array" ref="A728">IFERROR(INDEX(#REF!,MATCH(TRUE,ISNUMBER(FIND(SUBSTITUTE(SUBSTITUTE(UPPER(#REF!)," ",""),":",": "),SUBSTITUTE(SUBSTITUTE(UPPER(S728)," ",""),":",": "))),0)),"Undefined")</f>
        <v>Undefined</v>
      </c>
      <c r="B728" s="42" t="str" cm="1">
        <f t="array" ref="B728">IFERROR(INDEX({"URGENTE"},MATCH(TRUE,ISNUMBER(FIND(SUBSTITUTE(SUBSTITUTE(UPPER({"URGENTE"})," ",""),":",": "),SUBSTITUTE(SUBSTITUTE(UPPER(S728)," ",""),":",": "))),0)),"-")</f>
        <v>-</v>
      </c>
      <c r="C728" s="46" t="str" cm="1">
        <f t="array" ref="C728">IFERROR(INDEX(#REF!,MATCH(TRUE,ISNUMBER(FIND(SUBSTITUTE(SUBSTITUTE(UPPER(#REF!)," ",""),":",": "),SUBSTITUTE(SUBSTITUTE(UPPER(S728)," ",""),":",": "))),0)),"Não encontrado")</f>
        <v>Não encontrado</v>
      </c>
      <c r="D728" s="46" t="str" cm="1">
        <f t="array" ref="D728">IFERROR(INDEX(#REF!,MATCH(TRUE,ISNUMBER(FIND(SUBSTITUTE(SUBSTITUTE(UPPER(#REF!)," ",""),":",": "),SUBSTITUTE(SUBSTITUTE(UPPER(S728)," ",""),":",": "))),0)),"Não encontrado")</f>
        <v>Não encontrado</v>
      </c>
      <c r="E728" s="42" t="str" cm="1">
        <f t="array" ref="E728">IFERROR(INDEX({"IMPEDITIVO"},MATCH(TRUE,ISNUMBER(FIND(SUBSTITUTE(SUBSTITUTE(UPPER({"IMPEDITIVO"})," ",""),":",": "),SUBSTITUTE(SUBSTITUTE(UPPER(S728)," ",""),":",": "))),0)),"-")</f>
        <v>-</v>
      </c>
      <c r="K728" s="49"/>
    </row>
    <row r="729" spans="1:11" x14ac:dyDescent="0.25">
      <c r="A729" s="46" t="str" cm="1">
        <f t="array" ref="A729">IFERROR(INDEX(#REF!,MATCH(TRUE,ISNUMBER(FIND(SUBSTITUTE(SUBSTITUTE(UPPER(#REF!)," ",""),":",": "),SUBSTITUTE(SUBSTITUTE(UPPER(S729)," ",""),":",": "))),0)),"Undefined")</f>
        <v>Undefined</v>
      </c>
      <c r="B729" s="42" t="str" cm="1">
        <f t="array" ref="B729">IFERROR(INDEX({"URGENTE"},MATCH(TRUE,ISNUMBER(FIND(SUBSTITUTE(SUBSTITUTE(UPPER({"URGENTE"})," ",""),":",": "),SUBSTITUTE(SUBSTITUTE(UPPER(S729)," ",""),":",": "))),0)),"-")</f>
        <v>-</v>
      </c>
      <c r="C729" s="46" t="str" cm="1">
        <f t="array" ref="C729">IFERROR(INDEX(#REF!,MATCH(TRUE,ISNUMBER(FIND(SUBSTITUTE(SUBSTITUTE(UPPER(#REF!)," ",""),":",": "),SUBSTITUTE(SUBSTITUTE(UPPER(S729)," ",""),":",": "))),0)),"Não encontrado")</f>
        <v>Não encontrado</v>
      </c>
      <c r="D729" s="46" t="str" cm="1">
        <f t="array" ref="D729">IFERROR(INDEX(#REF!,MATCH(TRUE,ISNUMBER(FIND(SUBSTITUTE(SUBSTITUTE(UPPER(#REF!)," ",""),":",": "),SUBSTITUTE(SUBSTITUTE(UPPER(S729)," ",""),":",": "))),0)),"Não encontrado")</f>
        <v>Não encontrado</v>
      </c>
      <c r="E729" s="42" t="str" cm="1">
        <f t="array" ref="E729">IFERROR(INDEX({"IMPEDITIVO"},MATCH(TRUE,ISNUMBER(FIND(SUBSTITUTE(SUBSTITUTE(UPPER({"IMPEDITIVO"})," ",""),":",": "),SUBSTITUTE(SUBSTITUTE(UPPER(S729)," ",""),":",": "))),0)),"-")</f>
        <v>-</v>
      </c>
      <c r="K729" s="49"/>
    </row>
    <row r="730" spans="1:11" x14ac:dyDescent="0.25">
      <c r="A730" s="46" t="str" cm="1">
        <f t="array" ref="A730">IFERROR(INDEX(#REF!,MATCH(TRUE,ISNUMBER(FIND(SUBSTITUTE(SUBSTITUTE(UPPER(#REF!)," ",""),":",": "),SUBSTITUTE(SUBSTITUTE(UPPER(S730)," ",""),":",": "))),0)),"Undefined")</f>
        <v>Undefined</v>
      </c>
      <c r="B730" s="42" t="str" cm="1">
        <f t="array" ref="B730">IFERROR(INDEX({"URGENTE"},MATCH(TRUE,ISNUMBER(FIND(SUBSTITUTE(SUBSTITUTE(UPPER({"URGENTE"})," ",""),":",": "),SUBSTITUTE(SUBSTITUTE(UPPER(S730)," ",""),":",": "))),0)),"-")</f>
        <v>-</v>
      </c>
      <c r="C730" s="46" t="str" cm="1">
        <f t="array" ref="C730">IFERROR(INDEX(#REF!,MATCH(TRUE,ISNUMBER(FIND(SUBSTITUTE(SUBSTITUTE(UPPER(#REF!)," ",""),":",": "),SUBSTITUTE(SUBSTITUTE(UPPER(S730)," ",""),":",": "))),0)),"Não encontrado")</f>
        <v>Não encontrado</v>
      </c>
      <c r="D730" s="46" t="str" cm="1">
        <f t="array" ref="D730">IFERROR(INDEX(#REF!,MATCH(TRUE,ISNUMBER(FIND(SUBSTITUTE(SUBSTITUTE(UPPER(#REF!)," ",""),":",": "),SUBSTITUTE(SUBSTITUTE(UPPER(S730)," ",""),":",": "))),0)),"Não encontrado")</f>
        <v>Não encontrado</v>
      </c>
      <c r="E730" s="42" t="str" cm="1">
        <f t="array" ref="E730">IFERROR(INDEX({"IMPEDITIVO"},MATCH(TRUE,ISNUMBER(FIND(SUBSTITUTE(SUBSTITUTE(UPPER({"IMPEDITIVO"})," ",""),":",": "),SUBSTITUTE(SUBSTITUTE(UPPER(S730)," ",""),":",": "))),0)),"-")</f>
        <v>-</v>
      </c>
      <c r="K730" s="49"/>
    </row>
    <row r="731" spans="1:11" x14ac:dyDescent="0.25">
      <c r="A731" s="46" t="str" cm="1">
        <f t="array" ref="A731">IFERROR(INDEX(#REF!,MATCH(TRUE,ISNUMBER(FIND(SUBSTITUTE(SUBSTITUTE(UPPER(#REF!)," ",""),":",": "),SUBSTITUTE(SUBSTITUTE(UPPER(S731)," ",""),":",": "))),0)),"Undefined")</f>
        <v>Undefined</v>
      </c>
      <c r="B731" s="42" t="str" cm="1">
        <f t="array" ref="B731">IFERROR(INDEX({"URGENTE"},MATCH(TRUE,ISNUMBER(FIND(SUBSTITUTE(SUBSTITUTE(UPPER({"URGENTE"})," ",""),":",": "),SUBSTITUTE(SUBSTITUTE(UPPER(S731)," ",""),":",": "))),0)),"-")</f>
        <v>-</v>
      </c>
      <c r="C731" s="46" t="str" cm="1">
        <f t="array" ref="C731">IFERROR(INDEX(#REF!,MATCH(TRUE,ISNUMBER(FIND(SUBSTITUTE(SUBSTITUTE(UPPER(#REF!)," ",""),":",": "),SUBSTITUTE(SUBSTITUTE(UPPER(S731)," ",""),":",": "))),0)),"Não encontrado")</f>
        <v>Não encontrado</v>
      </c>
      <c r="D731" s="46" t="str" cm="1">
        <f t="array" ref="D731">IFERROR(INDEX(#REF!,MATCH(TRUE,ISNUMBER(FIND(SUBSTITUTE(SUBSTITUTE(UPPER(#REF!)," ",""),":",": "),SUBSTITUTE(SUBSTITUTE(UPPER(S731)," ",""),":",": "))),0)),"Não encontrado")</f>
        <v>Não encontrado</v>
      </c>
      <c r="E731" s="42" t="str" cm="1">
        <f t="array" ref="E731">IFERROR(INDEX({"IMPEDITIVO"},MATCH(TRUE,ISNUMBER(FIND(SUBSTITUTE(SUBSTITUTE(UPPER({"IMPEDITIVO"})," ",""),":",": "),SUBSTITUTE(SUBSTITUTE(UPPER(S731)," ",""),":",": "))),0)),"-")</f>
        <v>-</v>
      </c>
      <c r="K731" s="49"/>
    </row>
    <row r="732" spans="1:11" x14ac:dyDescent="0.25">
      <c r="A732" s="46" t="str" cm="1">
        <f t="array" ref="A732">IFERROR(INDEX(#REF!,MATCH(TRUE,ISNUMBER(FIND(SUBSTITUTE(SUBSTITUTE(UPPER(#REF!)," ",""),":",": "),SUBSTITUTE(SUBSTITUTE(UPPER(S732)," ",""),":",": "))),0)),"Undefined")</f>
        <v>Undefined</v>
      </c>
      <c r="B732" s="42" t="str" cm="1">
        <f t="array" ref="B732">IFERROR(INDEX({"URGENTE"},MATCH(TRUE,ISNUMBER(FIND(SUBSTITUTE(SUBSTITUTE(UPPER({"URGENTE"})," ",""),":",": "),SUBSTITUTE(SUBSTITUTE(UPPER(S732)," ",""),":",": "))),0)),"-")</f>
        <v>-</v>
      </c>
      <c r="C732" s="46" t="str" cm="1">
        <f t="array" ref="C732">IFERROR(INDEX(#REF!,MATCH(TRUE,ISNUMBER(FIND(SUBSTITUTE(SUBSTITUTE(UPPER(#REF!)," ",""),":",": "),SUBSTITUTE(SUBSTITUTE(UPPER(S732)," ",""),":",": "))),0)),"Não encontrado")</f>
        <v>Não encontrado</v>
      </c>
      <c r="D732" s="46" t="str" cm="1">
        <f t="array" ref="D732">IFERROR(INDEX(#REF!,MATCH(TRUE,ISNUMBER(FIND(SUBSTITUTE(SUBSTITUTE(UPPER(#REF!)," ",""),":",": "),SUBSTITUTE(SUBSTITUTE(UPPER(S732)," ",""),":",": "))),0)),"Não encontrado")</f>
        <v>Não encontrado</v>
      </c>
      <c r="E732" s="42" t="str" cm="1">
        <f t="array" ref="E732">IFERROR(INDEX({"IMPEDITIVO"},MATCH(TRUE,ISNUMBER(FIND(SUBSTITUTE(SUBSTITUTE(UPPER({"IMPEDITIVO"})," ",""),":",": "),SUBSTITUTE(SUBSTITUTE(UPPER(S732)," ",""),":",": "))),0)),"-")</f>
        <v>-</v>
      </c>
      <c r="K732" s="49"/>
    </row>
    <row r="733" spans="1:11" x14ac:dyDescent="0.25">
      <c r="A733" s="46" t="str" cm="1">
        <f t="array" ref="A733">IFERROR(INDEX(#REF!,MATCH(TRUE,ISNUMBER(FIND(SUBSTITUTE(SUBSTITUTE(UPPER(#REF!)," ",""),":",": "),SUBSTITUTE(SUBSTITUTE(UPPER(S733)," ",""),":",": "))),0)),"Undefined")</f>
        <v>Undefined</v>
      </c>
      <c r="B733" s="42" t="str" cm="1">
        <f t="array" ref="B733">IFERROR(INDEX({"URGENTE"},MATCH(TRUE,ISNUMBER(FIND(SUBSTITUTE(SUBSTITUTE(UPPER({"URGENTE"})," ",""),":",": "),SUBSTITUTE(SUBSTITUTE(UPPER(S733)," ",""),":",": "))),0)),"-")</f>
        <v>-</v>
      </c>
      <c r="C733" s="46" t="str" cm="1">
        <f t="array" ref="C733">IFERROR(INDEX(#REF!,MATCH(TRUE,ISNUMBER(FIND(SUBSTITUTE(SUBSTITUTE(UPPER(#REF!)," ",""),":",": "),SUBSTITUTE(SUBSTITUTE(UPPER(S733)," ",""),":",": "))),0)),"Não encontrado")</f>
        <v>Não encontrado</v>
      </c>
      <c r="D733" s="46" t="str" cm="1">
        <f t="array" ref="D733">IFERROR(INDEX(#REF!,MATCH(TRUE,ISNUMBER(FIND(SUBSTITUTE(SUBSTITUTE(UPPER(#REF!)," ",""),":",": "),SUBSTITUTE(SUBSTITUTE(UPPER(S733)," ",""),":",": "))),0)),"Não encontrado")</f>
        <v>Não encontrado</v>
      </c>
      <c r="E733" s="42" t="str" cm="1">
        <f t="array" ref="E733">IFERROR(INDEX({"IMPEDITIVO"},MATCH(TRUE,ISNUMBER(FIND(SUBSTITUTE(SUBSTITUTE(UPPER({"IMPEDITIVO"})," ",""),":",": "),SUBSTITUTE(SUBSTITUTE(UPPER(S733)," ",""),":",": "))),0)),"-")</f>
        <v>-</v>
      </c>
      <c r="K733" s="49"/>
    </row>
    <row r="734" spans="1:11" x14ac:dyDescent="0.25">
      <c r="A734" s="46" t="str" cm="1">
        <f t="array" ref="A734">IFERROR(INDEX(#REF!,MATCH(TRUE,ISNUMBER(FIND(SUBSTITUTE(SUBSTITUTE(UPPER(#REF!)," ",""),":",": "),SUBSTITUTE(SUBSTITUTE(UPPER(S734)," ",""),":",": "))),0)),"Undefined")</f>
        <v>Undefined</v>
      </c>
      <c r="B734" s="42" t="str" cm="1">
        <f t="array" ref="B734">IFERROR(INDEX({"URGENTE"},MATCH(TRUE,ISNUMBER(FIND(SUBSTITUTE(SUBSTITUTE(UPPER({"URGENTE"})," ",""),":",": "),SUBSTITUTE(SUBSTITUTE(UPPER(S734)," ",""),":",": "))),0)),"-")</f>
        <v>-</v>
      </c>
      <c r="C734" s="46" t="str" cm="1">
        <f t="array" ref="C734">IFERROR(INDEX(#REF!,MATCH(TRUE,ISNUMBER(FIND(SUBSTITUTE(SUBSTITUTE(UPPER(#REF!)," ",""),":",": "),SUBSTITUTE(SUBSTITUTE(UPPER(S734)," ",""),":",": "))),0)),"Não encontrado")</f>
        <v>Não encontrado</v>
      </c>
      <c r="D734" s="46" t="str" cm="1">
        <f t="array" ref="D734">IFERROR(INDEX(#REF!,MATCH(TRUE,ISNUMBER(FIND(SUBSTITUTE(SUBSTITUTE(UPPER(#REF!)," ",""),":",": "),SUBSTITUTE(SUBSTITUTE(UPPER(S734)," ",""),":",": "))),0)),"Não encontrado")</f>
        <v>Não encontrado</v>
      </c>
      <c r="E734" s="42" t="str" cm="1">
        <f t="array" ref="E734">IFERROR(INDEX({"IMPEDITIVO"},MATCH(TRUE,ISNUMBER(FIND(SUBSTITUTE(SUBSTITUTE(UPPER({"IMPEDITIVO"})," ",""),":",": "),SUBSTITUTE(SUBSTITUTE(UPPER(S734)," ",""),":",": "))),0)),"-")</f>
        <v>-</v>
      </c>
      <c r="K734" s="49"/>
    </row>
    <row r="735" spans="1:11" x14ac:dyDescent="0.25">
      <c r="A735" s="46" t="str" cm="1">
        <f t="array" ref="A735">IFERROR(INDEX(#REF!,MATCH(TRUE,ISNUMBER(FIND(SUBSTITUTE(SUBSTITUTE(UPPER(#REF!)," ",""),":",": "),SUBSTITUTE(SUBSTITUTE(UPPER(S735)," ",""),":",": "))),0)),"Undefined")</f>
        <v>Undefined</v>
      </c>
      <c r="B735" s="42" t="str" cm="1">
        <f t="array" ref="B735">IFERROR(INDEX({"URGENTE"},MATCH(TRUE,ISNUMBER(FIND(SUBSTITUTE(SUBSTITUTE(UPPER({"URGENTE"})," ",""),":",": "),SUBSTITUTE(SUBSTITUTE(UPPER(S735)," ",""),":",": "))),0)),"-")</f>
        <v>-</v>
      </c>
      <c r="C735" s="46" t="str" cm="1">
        <f t="array" ref="C735">IFERROR(INDEX(#REF!,MATCH(TRUE,ISNUMBER(FIND(SUBSTITUTE(SUBSTITUTE(UPPER(#REF!)," ",""),":",": "),SUBSTITUTE(SUBSTITUTE(UPPER(S735)," ",""),":",": "))),0)),"Não encontrado")</f>
        <v>Não encontrado</v>
      </c>
      <c r="D735" s="46" t="str" cm="1">
        <f t="array" ref="D735">IFERROR(INDEX(#REF!,MATCH(TRUE,ISNUMBER(FIND(SUBSTITUTE(SUBSTITUTE(UPPER(#REF!)," ",""),":",": "),SUBSTITUTE(SUBSTITUTE(UPPER(S735)," ",""),":",": "))),0)),"Não encontrado")</f>
        <v>Não encontrado</v>
      </c>
      <c r="E735" s="42" t="str" cm="1">
        <f t="array" ref="E735">IFERROR(INDEX({"IMPEDITIVO"},MATCH(TRUE,ISNUMBER(FIND(SUBSTITUTE(SUBSTITUTE(UPPER({"IMPEDITIVO"})," ",""),":",": "),SUBSTITUTE(SUBSTITUTE(UPPER(S735)," ",""),":",": "))),0)),"-")</f>
        <v>-</v>
      </c>
      <c r="K735" s="49"/>
    </row>
    <row r="736" spans="1:11" x14ac:dyDescent="0.25">
      <c r="A736" s="46" t="str" cm="1">
        <f t="array" ref="A736">IFERROR(INDEX(#REF!,MATCH(TRUE,ISNUMBER(FIND(SUBSTITUTE(SUBSTITUTE(UPPER(#REF!)," ",""),":",": "),SUBSTITUTE(SUBSTITUTE(UPPER(S736)," ",""),":",": "))),0)),"Undefined")</f>
        <v>Undefined</v>
      </c>
      <c r="B736" s="42" t="str" cm="1">
        <f t="array" ref="B736">IFERROR(INDEX({"URGENTE"},MATCH(TRUE,ISNUMBER(FIND(SUBSTITUTE(SUBSTITUTE(UPPER({"URGENTE"})," ",""),":",": "),SUBSTITUTE(SUBSTITUTE(UPPER(S736)," ",""),":",": "))),0)),"-")</f>
        <v>-</v>
      </c>
      <c r="C736" s="46" t="str" cm="1">
        <f t="array" ref="C736">IFERROR(INDEX(#REF!,MATCH(TRUE,ISNUMBER(FIND(SUBSTITUTE(SUBSTITUTE(UPPER(#REF!)," ",""),":",": "),SUBSTITUTE(SUBSTITUTE(UPPER(S736)," ",""),":",": "))),0)),"Não encontrado")</f>
        <v>Não encontrado</v>
      </c>
      <c r="D736" s="46" t="str" cm="1">
        <f t="array" ref="D736">IFERROR(INDEX(#REF!,MATCH(TRUE,ISNUMBER(FIND(SUBSTITUTE(SUBSTITUTE(UPPER(#REF!)," ",""),":",": "),SUBSTITUTE(SUBSTITUTE(UPPER(S736)," ",""),":",": "))),0)),"Não encontrado")</f>
        <v>Não encontrado</v>
      </c>
      <c r="E736" s="42" t="str" cm="1">
        <f t="array" ref="E736">IFERROR(INDEX({"IMPEDITIVO"},MATCH(TRUE,ISNUMBER(FIND(SUBSTITUTE(SUBSTITUTE(UPPER({"IMPEDITIVO"})," ",""),":",": "),SUBSTITUTE(SUBSTITUTE(UPPER(S736)," ",""),":",": "))),0)),"-")</f>
        <v>-</v>
      </c>
      <c r="K736" s="49"/>
    </row>
    <row r="737" spans="1:11" x14ac:dyDescent="0.25">
      <c r="A737" s="46" t="str" cm="1">
        <f t="array" ref="A737">IFERROR(INDEX(#REF!,MATCH(TRUE,ISNUMBER(FIND(SUBSTITUTE(SUBSTITUTE(UPPER(#REF!)," ",""),":",": "),SUBSTITUTE(SUBSTITUTE(UPPER(S737)," ",""),":",": "))),0)),"Undefined")</f>
        <v>Undefined</v>
      </c>
      <c r="B737" s="42" t="str" cm="1">
        <f t="array" ref="B737">IFERROR(INDEX({"URGENTE"},MATCH(TRUE,ISNUMBER(FIND(SUBSTITUTE(SUBSTITUTE(UPPER({"URGENTE"})," ",""),":",": "),SUBSTITUTE(SUBSTITUTE(UPPER(S737)," ",""),":",": "))),0)),"-")</f>
        <v>-</v>
      </c>
      <c r="C737" s="46" t="str" cm="1">
        <f t="array" ref="C737">IFERROR(INDEX(#REF!,MATCH(TRUE,ISNUMBER(FIND(SUBSTITUTE(SUBSTITUTE(UPPER(#REF!)," ",""),":",": "),SUBSTITUTE(SUBSTITUTE(UPPER(S737)," ",""),":",": "))),0)),"Não encontrado")</f>
        <v>Não encontrado</v>
      </c>
      <c r="D737" s="46" t="str" cm="1">
        <f t="array" ref="D737">IFERROR(INDEX(#REF!,MATCH(TRUE,ISNUMBER(FIND(SUBSTITUTE(SUBSTITUTE(UPPER(#REF!)," ",""),":",": "),SUBSTITUTE(SUBSTITUTE(UPPER(S737)," ",""),":",": "))),0)),"Não encontrado")</f>
        <v>Não encontrado</v>
      </c>
      <c r="E737" s="42" t="str" cm="1">
        <f t="array" ref="E737">IFERROR(INDEX({"IMPEDITIVO"},MATCH(TRUE,ISNUMBER(FIND(SUBSTITUTE(SUBSTITUTE(UPPER({"IMPEDITIVO"})," ",""),":",": "),SUBSTITUTE(SUBSTITUTE(UPPER(S737)," ",""),":",": "))),0)),"-")</f>
        <v>-</v>
      </c>
      <c r="K737" s="49"/>
    </row>
    <row r="738" spans="1:11" x14ac:dyDescent="0.25">
      <c r="A738" s="46" t="str" cm="1">
        <f t="array" ref="A738">IFERROR(INDEX(#REF!,MATCH(TRUE,ISNUMBER(FIND(SUBSTITUTE(SUBSTITUTE(UPPER(#REF!)," ",""),":",": "),SUBSTITUTE(SUBSTITUTE(UPPER(S738)," ",""),":",": "))),0)),"Undefined")</f>
        <v>Undefined</v>
      </c>
      <c r="B738" s="42" t="str" cm="1">
        <f t="array" ref="B738">IFERROR(INDEX({"URGENTE"},MATCH(TRUE,ISNUMBER(FIND(SUBSTITUTE(SUBSTITUTE(UPPER({"URGENTE"})," ",""),":",": "),SUBSTITUTE(SUBSTITUTE(UPPER(S738)," ",""),":",": "))),0)),"-")</f>
        <v>-</v>
      </c>
      <c r="C738" s="46" t="str" cm="1">
        <f t="array" ref="C738">IFERROR(INDEX(#REF!,MATCH(TRUE,ISNUMBER(FIND(SUBSTITUTE(SUBSTITUTE(UPPER(#REF!)," ",""),":",": "),SUBSTITUTE(SUBSTITUTE(UPPER(S738)," ",""),":",": "))),0)),"Não encontrado")</f>
        <v>Não encontrado</v>
      </c>
      <c r="D738" s="46" t="str" cm="1">
        <f t="array" ref="D738">IFERROR(INDEX(#REF!,MATCH(TRUE,ISNUMBER(FIND(SUBSTITUTE(SUBSTITUTE(UPPER(#REF!)," ",""),":",": "),SUBSTITUTE(SUBSTITUTE(UPPER(S738)," ",""),":",": "))),0)),"Não encontrado")</f>
        <v>Não encontrado</v>
      </c>
      <c r="E738" s="42" t="str" cm="1">
        <f t="array" ref="E738">IFERROR(INDEX({"IMPEDITIVO"},MATCH(TRUE,ISNUMBER(FIND(SUBSTITUTE(SUBSTITUTE(UPPER({"IMPEDITIVO"})," ",""),":",": "),SUBSTITUTE(SUBSTITUTE(UPPER(S738)," ",""),":",": "))),0)),"-")</f>
        <v>-</v>
      </c>
      <c r="K738" s="49"/>
    </row>
    <row r="739" spans="1:11" x14ac:dyDescent="0.25">
      <c r="A739" s="46" t="str" cm="1">
        <f t="array" ref="A739">IFERROR(INDEX(#REF!,MATCH(TRUE,ISNUMBER(FIND(SUBSTITUTE(SUBSTITUTE(UPPER(#REF!)," ",""),":",": "),SUBSTITUTE(SUBSTITUTE(UPPER(S739)," ",""),":",": "))),0)),"Undefined")</f>
        <v>Undefined</v>
      </c>
      <c r="B739" s="42" t="str" cm="1">
        <f t="array" ref="B739">IFERROR(INDEX({"URGENTE"},MATCH(TRUE,ISNUMBER(FIND(SUBSTITUTE(SUBSTITUTE(UPPER({"URGENTE"})," ",""),":",": "),SUBSTITUTE(SUBSTITUTE(UPPER(S739)," ",""),":",": "))),0)),"-")</f>
        <v>-</v>
      </c>
      <c r="C739" s="46" t="str" cm="1">
        <f t="array" ref="C739">IFERROR(INDEX(#REF!,MATCH(TRUE,ISNUMBER(FIND(SUBSTITUTE(SUBSTITUTE(UPPER(#REF!)," ",""),":",": "),SUBSTITUTE(SUBSTITUTE(UPPER(S739)," ",""),":",": "))),0)),"Não encontrado")</f>
        <v>Não encontrado</v>
      </c>
      <c r="D739" s="46" t="str" cm="1">
        <f t="array" ref="D739">IFERROR(INDEX(#REF!,MATCH(TRUE,ISNUMBER(FIND(SUBSTITUTE(SUBSTITUTE(UPPER(#REF!)," ",""),":",": "),SUBSTITUTE(SUBSTITUTE(UPPER(S739)," ",""),":",": "))),0)),"Não encontrado")</f>
        <v>Não encontrado</v>
      </c>
      <c r="E739" s="42" t="str" cm="1">
        <f t="array" ref="E739">IFERROR(INDEX({"IMPEDITIVO"},MATCH(TRUE,ISNUMBER(FIND(SUBSTITUTE(SUBSTITUTE(UPPER({"IMPEDITIVO"})," ",""),":",": "),SUBSTITUTE(SUBSTITUTE(UPPER(S739)," ",""),":",": "))),0)),"-")</f>
        <v>-</v>
      </c>
      <c r="K739" s="49"/>
    </row>
    <row r="740" spans="1:11" x14ac:dyDescent="0.25">
      <c r="A740" s="46" t="str" cm="1">
        <f t="array" ref="A740">IFERROR(INDEX(#REF!,MATCH(TRUE,ISNUMBER(FIND(SUBSTITUTE(SUBSTITUTE(UPPER(#REF!)," ",""),":",": "),SUBSTITUTE(SUBSTITUTE(UPPER(S740)," ",""),":",": "))),0)),"Undefined")</f>
        <v>Undefined</v>
      </c>
      <c r="B740" s="42" t="str" cm="1">
        <f t="array" ref="B740">IFERROR(INDEX({"URGENTE"},MATCH(TRUE,ISNUMBER(FIND(SUBSTITUTE(SUBSTITUTE(UPPER({"URGENTE"})," ",""),":",": "),SUBSTITUTE(SUBSTITUTE(UPPER(S740)," ",""),":",": "))),0)),"-")</f>
        <v>-</v>
      </c>
      <c r="C740" s="46" t="str" cm="1">
        <f t="array" ref="C740">IFERROR(INDEX(#REF!,MATCH(TRUE,ISNUMBER(FIND(SUBSTITUTE(SUBSTITUTE(UPPER(#REF!)," ",""),":",": "),SUBSTITUTE(SUBSTITUTE(UPPER(S740)," ",""),":",": "))),0)),"Não encontrado")</f>
        <v>Não encontrado</v>
      </c>
      <c r="D740" s="46" t="str" cm="1">
        <f t="array" ref="D740">IFERROR(INDEX(#REF!,MATCH(TRUE,ISNUMBER(FIND(SUBSTITUTE(SUBSTITUTE(UPPER(#REF!)," ",""),":",": "),SUBSTITUTE(SUBSTITUTE(UPPER(S740)," ",""),":",": "))),0)),"Não encontrado")</f>
        <v>Não encontrado</v>
      </c>
      <c r="E740" s="42" t="str" cm="1">
        <f t="array" ref="E740">IFERROR(INDEX({"IMPEDITIVO"},MATCH(TRUE,ISNUMBER(FIND(SUBSTITUTE(SUBSTITUTE(UPPER({"IMPEDITIVO"})," ",""),":",": "),SUBSTITUTE(SUBSTITUTE(UPPER(S740)," ",""),":",": "))),0)),"-")</f>
        <v>-</v>
      </c>
      <c r="K740" s="49"/>
    </row>
    <row r="741" spans="1:11" x14ac:dyDescent="0.25">
      <c r="A741" s="46" t="str" cm="1">
        <f t="array" ref="A741">IFERROR(INDEX(#REF!,MATCH(TRUE,ISNUMBER(FIND(SUBSTITUTE(SUBSTITUTE(UPPER(#REF!)," ",""),":",": "),SUBSTITUTE(SUBSTITUTE(UPPER(S741)," ",""),":",": "))),0)),"Undefined")</f>
        <v>Undefined</v>
      </c>
      <c r="B741" s="42" t="str" cm="1">
        <f t="array" ref="B741">IFERROR(INDEX({"URGENTE"},MATCH(TRUE,ISNUMBER(FIND(SUBSTITUTE(SUBSTITUTE(UPPER({"URGENTE"})," ",""),":",": "),SUBSTITUTE(SUBSTITUTE(UPPER(S741)," ",""),":",": "))),0)),"-")</f>
        <v>-</v>
      </c>
      <c r="C741" s="46" t="str" cm="1">
        <f t="array" ref="C741">IFERROR(INDEX(#REF!,MATCH(TRUE,ISNUMBER(FIND(SUBSTITUTE(SUBSTITUTE(UPPER(#REF!)," ",""),":",": "),SUBSTITUTE(SUBSTITUTE(UPPER(S741)," ",""),":",": "))),0)),"Não encontrado")</f>
        <v>Não encontrado</v>
      </c>
      <c r="D741" s="46" t="str" cm="1">
        <f t="array" ref="D741">IFERROR(INDEX(#REF!,MATCH(TRUE,ISNUMBER(FIND(SUBSTITUTE(SUBSTITUTE(UPPER(#REF!)," ",""),":",": "),SUBSTITUTE(SUBSTITUTE(UPPER(S741)," ",""),":",": "))),0)),"Não encontrado")</f>
        <v>Não encontrado</v>
      </c>
      <c r="E741" s="42" t="str" cm="1">
        <f t="array" ref="E741">IFERROR(INDEX({"IMPEDITIVO"},MATCH(TRUE,ISNUMBER(FIND(SUBSTITUTE(SUBSTITUTE(UPPER({"IMPEDITIVO"})," ",""),":",": "),SUBSTITUTE(SUBSTITUTE(UPPER(S741)," ",""),":",": "))),0)),"-")</f>
        <v>-</v>
      </c>
      <c r="K741" s="49"/>
    </row>
    <row r="742" spans="1:11" x14ac:dyDescent="0.25">
      <c r="A742" s="46" t="str" cm="1">
        <f t="array" ref="A742">IFERROR(INDEX(#REF!,MATCH(TRUE,ISNUMBER(FIND(SUBSTITUTE(SUBSTITUTE(UPPER(#REF!)," ",""),":",": "),SUBSTITUTE(SUBSTITUTE(UPPER(S742)," ",""),":",": "))),0)),"Undefined")</f>
        <v>Undefined</v>
      </c>
      <c r="B742" s="42" t="str" cm="1">
        <f t="array" ref="B742">IFERROR(INDEX({"URGENTE"},MATCH(TRUE,ISNUMBER(FIND(SUBSTITUTE(SUBSTITUTE(UPPER({"URGENTE"})," ",""),":",": "),SUBSTITUTE(SUBSTITUTE(UPPER(S742)," ",""),":",": "))),0)),"-")</f>
        <v>-</v>
      </c>
      <c r="C742" s="46" t="str" cm="1">
        <f t="array" ref="C742">IFERROR(INDEX(#REF!,MATCH(TRUE,ISNUMBER(FIND(SUBSTITUTE(SUBSTITUTE(UPPER(#REF!)," ",""),":",": "),SUBSTITUTE(SUBSTITUTE(UPPER(S742)," ",""),":",": "))),0)),"Não encontrado")</f>
        <v>Não encontrado</v>
      </c>
      <c r="D742" s="46" t="str" cm="1">
        <f t="array" ref="D742">IFERROR(INDEX(#REF!,MATCH(TRUE,ISNUMBER(FIND(SUBSTITUTE(SUBSTITUTE(UPPER(#REF!)," ",""),":",": "),SUBSTITUTE(SUBSTITUTE(UPPER(S742)," ",""),":",": "))),0)),"Não encontrado")</f>
        <v>Não encontrado</v>
      </c>
      <c r="E742" s="42" t="str" cm="1">
        <f t="array" ref="E742">IFERROR(INDEX({"IMPEDITIVO"},MATCH(TRUE,ISNUMBER(FIND(SUBSTITUTE(SUBSTITUTE(UPPER({"IMPEDITIVO"})," ",""),":",": "),SUBSTITUTE(SUBSTITUTE(UPPER(S742)," ",""),":",": "))),0)),"-")</f>
        <v>-</v>
      </c>
      <c r="K742" s="49"/>
    </row>
    <row r="743" spans="1:11" x14ac:dyDescent="0.25">
      <c r="A743" s="46" t="str" cm="1">
        <f t="array" ref="A743">IFERROR(INDEX(#REF!,MATCH(TRUE,ISNUMBER(FIND(SUBSTITUTE(SUBSTITUTE(UPPER(#REF!)," ",""),":",": "),SUBSTITUTE(SUBSTITUTE(UPPER(S743)," ",""),":",": "))),0)),"Undefined")</f>
        <v>Undefined</v>
      </c>
      <c r="B743" s="42" t="str" cm="1">
        <f t="array" ref="B743">IFERROR(INDEX({"URGENTE"},MATCH(TRUE,ISNUMBER(FIND(SUBSTITUTE(SUBSTITUTE(UPPER({"URGENTE"})," ",""),":",": "),SUBSTITUTE(SUBSTITUTE(UPPER(S743)," ",""),":",": "))),0)),"-")</f>
        <v>-</v>
      </c>
      <c r="C743" s="46" t="str" cm="1">
        <f t="array" ref="C743">IFERROR(INDEX(#REF!,MATCH(TRUE,ISNUMBER(FIND(SUBSTITUTE(SUBSTITUTE(UPPER(#REF!)," ",""),":",": "),SUBSTITUTE(SUBSTITUTE(UPPER(S743)," ",""),":",": "))),0)),"Não encontrado")</f>
        <v>Não encontrado</v>
      </c>
      <c r="D743" s="46" t="str" cm="1">
        <f t="array" ref="D743">IFERROR(INDEX(#REF!,MATCH(TRUE,ISNUMBER(FIND(SUBSTITUTE(SUBSTITUTE(UPPER(#REF!)," ",""),":",": "),SUBSTITUTE(SUBSTITUTE(UPPER(S743)," ",""),":",": "))),0)),"Não encontrado")</f>
        <v>Não encontrado</v>
      </c>
      <c r="E743" s="42" t="str" cm="1">
        <f t="array" ref="E743">IFERROR(INDEX({"IMPEDITIVO"},MATCH(TRUE,ISNUMBER(FIND(SUBSTITUTE(SUBSTITUTE(UPPER({"IMPEDITIVO"})," ",""),":",": "),SUBSTITUTE(SUBSTITUTE(UPPER(S743)," ",""),":",": "))),0)),"-")</f>
        <v>-</v>
      </c>
      <c r="K743" s="49"/>
    </row>
    <row r="744" spans="1:11" x14ac:dyDescent="0.25">
      <c r="A744" s="46" t="str" cm="1">
        <f t="array" ref="A744">IFERROR(INDEX(#REF!,MATCH(TRUE,ISNUMBER(FIND(SUBSTITUTE(SUBSTITUTE(UPPER(#REF!)," ",""),":",": "),SUBSTITUTE(SUBSTITUTE(UPPER(S744)," ",""),":",": "))),0)),"Undefined")</f>
        <v>Undefined</v>
      </c>
      <c r="B744" s="42" t="str" cm="1">
        <f t="array" ref="B744">IFERROR(INDEX({"URGENTE"},MATCH(TRUE,ISNUMBER(FIND(SUBSTITUTE(SUBSTITUTE(UPPER({"URGENTE"})," ",""),":",": "),SUBSTITUTE(SUBSTITUTE(UPPER(S744)," ",""),":",": "))),0)),"-")</f>
        <v>-</v>
      </c>
      <c r="C744" s="46" t="str" cm="1">
        <f t="array" ref="C744">IFERROR(INDEX(#REF!,MATCH(TRUE,ISNUMBER(FIND(SUBSTITUTE(SUBSTITUTE(UPPER(#REF!)," ",""),":",": "),SUBSTITUTE(SUBSTITUTE(UPPER(S744)," ",""),":",": "))),0)),"Não encontrado")</f>
        <v>Não encontrado</v>
      </c>
      <c r="D744" s="46" t="str" cm="1">
        <f t="array" ref="D744">IFERROR(INDEX(#REF!,MATCH(TRUE,ISNUMBER(FIND(SUBSTITUTE(SUBSTITUTE(UPPER(#REF!)," ",""),":",": "),SUBSTITUTE(SUBSTITUTE(UPPER(S744)," ",""),":",": "))),0)),"Não encontrado")</f>
        <v>Não encontrado</v>
      </c>
      <c r="E744" s="42" t="str" cm="1">
        <f t="array" ref="E744">IFERROR(INDEX({"IMPEDITIVO"},MATCH(TRUE,ISNUMBER(FIND(SUBSTITUTE(SUBSTITUTE(UPPER({"IMPEDITIVO"})," ",""),":",": "),SUBSTITUTE(SUBSTITUTE(UPPER(S744)," ",""),":",": "))),0)),"-")</f>
        <v>-</v>
      </c>
      <c r="K744" s="49"/>
    </row>
    <row r="745" spans="1:11" x14ac:dyDescent="0.25">
      <c r="A745" s="46" t="str" cm="1">
        <f t="array" ref="A745">IFERROR(INDEX(#REF!,MATCH(TRUE,ISNUMBER(FIND(SUBSTITUTE(SUBSTITUTE(UPPER(#REF!)," ",""),":",": "),SUBSTITUTE(SUBSTITUTE(UPPER(S745)," ",""),":",": "))),0)),"Undefined")</f>
        <v>Undefined</v>
      </c>
      <c r="B745" s="42" t="str" cm="1">
        <f t="array" ref="B745">IFERROR(INDEX({"URGENTE"},MATCH(TRUE,ISNUMBER(FIND(SUBSTITUTE(SUBSTITUTE(UPPER({"URGENTE"})," ",""),":",": "),SUBSTITUTE(SUBSTITUTE(UPPER(S745)," ",""),":",": "))),0)),"-")</f>
        <v>-</v>
      </c>
      <c r="C745" s="46" t="str" cm="1">
        <f t="array" ref="C745">IFERROR(INDEX(#REF!,MATCH(TRUE,ISNUMBER(FIND(SUBSTITUTE(SUBSTITUTE(UPPER(#REF!)," ",""),":",": "),SUBSTITUTE(SUBSTITUTE(UPPER(S745)," ",""),":",": "))),0)),"Não encontrado")</f>
        <v>Não encontrado</v>
      </c>
      <c r="D745" s="46" t="str" cm="1">
        <f t="array" ref="D745">IFERROR(INDEX(#REF!,MATCH(TRUE,ISNUMBER(FIND(SUBSTITUTE(SUBSTITUTE(UPPER(#REF!)," ",""),":",": "),SUBSTITUTE(SUBSTITUTE(UPPER(S745)," ",""),":",": "))),0)),"Não encontrado")</f>
        <v>Não encontrado</v>
      </c>
      <c r="E745" s="42" t="str" cm="1">
        <f t="array" ref="E745">IFERROR(INDEX({"IMPEDITIVO"},MATCH(TRUE,ISNUMBER(FIND(SUBSTITUTE(SUBSTITUTE(UPPER({"IMPEDITIVO"})," ",""),":",": "),SUBSTITUTE(SUBSTITUTE(UPPER(S745)," ",""),":",": "))),0)),"-")</f>
        <v>-</v>
      </c>
      <c r="K745" s="49"/>
    </row>
    <row r="746" spans="1:11" x14ac:dyDescent="0.25">
      <c r="A746" s="46" t="str" cm="1">
        <f t="array" ref="A746">IFERROR(INDEX(#REF!,MATCH(TRUE,ISNUMBER(FIND(SUBSTITUTE(SUBSTITUTE(UPPER(#REF!)," ",""),":",": "),SUBSTITUTE(SUBSTITUTE(UPPER(S746)," ",""),":",": "))),0)),"Undefined")</f>
        <v>Undefined</v>
      </c>
      <c r="B746" s="42" t="str" cm="1">
        <f t="array" ref="B746">IFERROR(INDEX({"URGENTE"},MATCH(TRUE,ISNUMBER(FIND(SUBSTITUTE(SUBSTITUTE(UPPER({"URGENTE"})," ",""),":",": "),SUBSTITUTE(SUBSTITUTE(UPPER(S746)," ",""),":",": "))),0)),"-")</f>
        <v>-</v>
      </c>
      <c r="C746" s="46" t="str" cm="1">
        <f t="array" ref="C746">IFERROR(INDEX(#REF!,MATCH(TRUE,ISNUMBER(FIND(SUBSTITUTE(SUBSTITUTE(UPPER(#REF!)," ",""),":",": "),SUBSTITUTE(SUBSTITUTE(UPPER(S746)," ",""),":",": "))),0)),"Não encontrado")</f>
        <v>Não encontrado</v>
      </c>
      <c r="D746" s="46" t="str" cm="1">
        <f t="array" ref="D746">IFERROR(INDEX(#REF!,MATCH(TRUE,ISNUMBER(FIND(SUBSTITUTE(SUBSTITUTE(UPPER(#REF!)," ",""),":",": "),SUBSTITUTE(SUBSTITUTE(UPPER(S746)," ",""),":",": "))),0)),"Não encontrado")</f>
        <v>Não encontrado</v>
      </c>
      <c r="E746" s="42" t="str" cm="1">
        <f t="array" ref="E746">IFERROR(INDEX({"IMPEDITIVO"},MATCH(TRUE,ISNUMBER(FIND(SUBSTITUTE(SUBSTITUTE(UPPER({"IMPEDITIVO"})," ",""),":",": "),SUBSTITUTE(SUBSTITUTE(UPPER(S746)," ",""),":",": "))),0)),"-")</f>
        <v>-</v>
      </c>
      <c r="K746" s="49"/>
    </row>
    <row r="747" spans="1:11" x14ac:dyDescent="0.25">
      <c r="A747" s="46" t="str" cm="1">
        <f t="array" ref="A747">IFERROR(INDEX(#REF!,MATCH(TRUE,ISNUMBER(FIND(SUBSTITUTE(SUBSTITUTE(UPPER(#REF!)," ",""),":",": "),SUBSTITUTE(SUBSTITUTE(UPPER(S747)," ",""),":",": "))),0)),"Undefined")</f>
        <v>Undefined</v>
      </c>
      <c r="B747" s="42" t="str" cm="1">
        <f t="array" ref="B747">IFERROR(INDEX({"URGENTE"},MATCH(TRUE,ISNUMBER(FIND(SUBSTITUTE(SUBSTITUTE(UPPER({"URGENTE"})," ",""),":",": "),SUBSTITUTE(SUBSTITUTE(UPPER(S747)," ",""),":",": "))),0)),"-")</f>
        <v>-</v>
      </c>
      <c r="C747" s="46" t="str" cm="1">
        <f t="array" ref="C747">IFERROR(INDEX(#REF!,MATCH(TRUE,ISNUMBER(FIND(SUBSTITUTE(SUBSTITUTE(UPPER(#REF!)," ",""),":",": "),SUBSTITUTE(SUBSTITUTE(UPPER(S747)," ",""),":",": "))),0)),"Não encontrado")</f>
        <v>Não encontrado</v>
      </c>
      <c r="D747" s="46" t="str" cm="1">
        <f t="array" ref="D747">IFERROR(INDEX(#REF!,MATCH(TRUE,ISNUMBER(FIND(SUBSTITUTE(SUBSTITUTE(UPPER(#REF!)," ",""),":",": "),SUBSTITUTE(SUBSTITUTE(UPPER(S747)," ",""),":",": "))),0)),"Não encontrado")</f>
        <v>Não encontrado</v>
      </c>
      <c r="E747" s="42" t="str" cm="1">
        <f t="array" ref="E747">IFERROR(INDEX({"IMPEDITIVO"},MATCH(TRUE,ISNUMBER(FIND(SUBSTITUTE(SUBSTITUTE(UPPER({"IMPEDITIVO"})," ",""),":",": "),SUBSTITUTE(SUBSTITUTE(UPPER(S747)," ",""),":",": "))),0)),"-")</f>
        <v>-</v>
      </c>
      <c r="K747" s="49"/>
    </row>
    <row r="748" spans="1:11" x14ac:dyDescent="0.25">
      <c r="A748" s="46" t="str" cm="1">
        <f t="array" ref="A748">IFERROR(INDEX(#REF!,MATCH(TRUE,ISNUMBER(FIND(SUBSTITUTE(SUBSTITUTE(UPPER(#REF!)," ",""),":",": "),SUBSTITUTE(SUBSTITUTE(UPPER(S748)," ",""),":",": "))),0)),"Undefined")</f>
        <v>Undefined</v>
      </c>
      <c r="B748" s="42" t="str" cm="1">
        <f t="array" ref="B748">IFERROR(INDEX({"URGENTE"},MATCH(TRUE,ISNUMBER(FIND(SUBSTITUTE(SUBSTITUTE(UPPER({"URGENTE"})," ",""),":",": "),SUBSTITUTE(SUBSTITUTE(UPPER(S748)," ",""),":",": "))),0)),"-")</f>
        <v>-</v>
      </c>
      <c r="C748" s="46" t="str" cm="1">
        <f t="array" ref="C748">IFERROR(INDEX(#REF!,MATCH(TRUE,ISNUMBER(FIND(SUBSTITUTE(SUBSTITUTE(UPPER(#REF!)," ",""),":",": "),SUBSTITUTE(SUBSTITUTE(UPPER(S748)," ",""),":",": "))),0)),"Não encontrado")</f>
        <v>Não encontrado</v>
      </c>
      <c r="D748" s="46" t="str" cm="1">
        <f t="array" ref="D748">IFERROR(INDEX(#REF!,MATCH(TRUE,ISNUMBER(FIND(SUBSTITUTE(SUBSTITUTE(UPPER(#REF!)," ",""),":",": "),SUBSTITUTE(SUBSTITUTE(UPPER(S748)," ",""),":",": "))),0)),"Não encontrado")</f>
        <v>Não encontrado</v>
      </c>
      <c r="E748" s="42" t="str" cm="1">
        <f t="array" ref="E748">IFERROR(INDEX({"IMPEDITIVO"},MATCH(TRUE,ISNUMBER(FIND(SUBSTITUTE(SUBSTITUTE(UPPER({"IMPEDITIVO"})," ",""),":",": "),SUBSTITUTE(SUBSTITUTE(UPPER(S748)," ",""),":",": "))),0)),"-")</f>
        <v>-</v>
      </c>
      <c r="K748" s="49"/>
    </row>
    <row r="749" spans="1:11" x14ac:dyDescent="0.25">
      <c r="A749" s="46" t="str" cm="1">
        <f t="array" ref="A749">IFERROR(INDEX(#REF!,MATCH(TRUE,ISNUMBER(FIND(SUBSTITUTE(SUBSTITUTE(UPPER(#REF!)," ",""),":",": "),SUBSTITUTE(SUBSTITUTE(UPPER(S749)," ",""),":",": "))),0)),"Undefined")</f>
        <v>Undefined</v>
      </c>
      <c r="B749" s="42" t="str" cm="1">
        <f t="array" ref="B749">IFERROR(INDEX({"URGENTE"},MATCH(TRUE,ISNUMBER(FIND(SUBSTITUTE(SUBSTITUTE(UPPER({"URGENTE"})," ",""),":",": "),SUBSTITUTE(SUBSTITUTE(UPPER(S749)," ",""),":",": "))),0)),"-")</f>
        <v>-</v>
      </c>
      <c r="C749" s="46" t="str" cm="1">
        <f t="array" ref="C749">IFERROR(INDEX(#REF!,MATCH(TRUE,ISNUMBER(FIND(SUBSTITUTE(SUBSTITUTE(UPPER(#REF!)," ",""),":",": "),SUBSTITUTE(SUBSTITUTE(UPPER(S749)," ",""),":",": "))),0)),"Não encontrado")</f>
        <v>Não encontrado</v>
      </c>
      <c r="D749" s="46" t="str" cm="1">
        <f t="array" ref="D749">IFERROR(INDEX(#REF!,MATCH(TRUE,ISNUMBER(FIND(SUBSTITUTE(SUBSTITUTE(UPPER(#REF!)," ",""),":",": "),SUBSTITUTE(SUBSTITUTE(UPPER(S749)," ",""),":",": "))),0)),"Não encontrado")</f>
        <v>Não encontrado</v>
      </c>
      <c r="E749" s="42" t="str" cm="1">
        <f t="array" ref="E749">IFERROR(INDEX({"IMPEDITIVO"},MATCH(TRUE,ISNUMBER(FIND(SUBSTITUTE(SUBSTITUTE(UPPER({"IMPEDITIVO"})," ",""),":",": "),SUBSTITUTE(SUBSTITUTE(UPPER(S749)," ",""),":",": "))),0)),"-")</f>
        <v>-</v>
      </c>
      <c r="K749" s="49"/>
    </row>
    <row r="750" spans="1:11" x14ac:dyDescent="0.25">
      <c r="A750" s="46" t="str" cm="1">
        <f t="array" ref="A750">IFERROR(INDEX(#REF!,MATCH(TRUE,ISNUMBER(FIND(SUBSTITUTE(SUBSTITUTE(UPPER(#REF!)," ",""),":",": "),SUBSTITUTE(SUBSTITUTE(UPPER(S750)," ",""),":",": "))),0)),"Undefined")</f>
        <v>Undefined</v>
      </c>
      <c r="B750" s="42" t="str" cm="1">
        <f t="array" ref="B750">IFERROR(INDEX({"URGENTE"},MATCH(TRUE,ISNUMBER(FIND(SUBSTITUTE(SUBSTITUTE(UPPER({"URGENTE"})," ",""),":",": "),SUBSTITUTE(SUBSTITUTE(UPPER(S750)," ",""),":",": "))),0)),"-")</f>
        <v>-</v>
      </c>
      <c r="C750" s="46" t="str" cm="1">
        <f t="array" ref="C750">IFERROR(INDEX(#REF!,MATCH(TRUE,ISNUMBER(FIND(SUBSTITUTE(SUBSTITUTE(UPPER(#REF!)," ",""),":",": "),SUBSTITUTE(SUBSTITUTE(UPPER(S750)," ",""),":",": "))),0)),"Não encontrado")</f>
        <v>Não encontrado</v>
      </c>
      <c r="D750" s="46" t="str" cm="1">
        <f t="array" ref="D750">IFERROR(INDEX(#REF!,MATCH(TRUE,ISNUMBER(FIND(SUBSTITUTE(SUBSTITUTE(UPPER(#REF!)," ",""),":",": "),SUBSTITUTE(SUBSTITUTE(UPPER(S750)," ",""),":",": "))),0)),"Não encontrado")</f>
        <v>Não encontrado</v>
      </c>
      <c r="E750" s="42" t="str" cm="1">
        <f t="array" ref="E750">IFERROR(INDEX({"IMPEDITIVO"},MATCH(TRUE,ISNUMBER(FIND(SUBSTITUTE(SUBSTITUTE(UPPER({"IMPEDITIVO"})," ",""),":",": "),SUBSTITUTE(SUBSTITUTE(UPPER(S750)," ",""),":",": "))),0)),"-")</f>
        <v>-</v>
      </c>
      <c r="K750" s="49"/>
    </row>
    <row r="751" spans="1:11" x14ac:dyDescent="0.25">
      <c r="A751" s="46" t="str" cm="1">
        <f t="array" ref="A751">IFERROR(INDEX(#REF!,MATCH(TRUE,ISNUMBER(FIND(SUBSTITUTE(SUBSTITUTE(UPPER(#REF!)," ",""),":",": "),SUBSTITUTE(SUBSTITUTE(UPPER(S751)," ",""),":",": "))),0)),"Undefined")</f>
        <v>Undefined</v>
      </c>
      <c r="B751" s="42" t="str" cm="1">
        <f t="array" ref="B751">IFERROR(INDEX({"URGENTE"},MATCH(TRUE,ISNUMBER(FIND(SUBSTITUTE(SUBSTITUTE(UPPER({"URGENTE"})," ",""),":",": "),SUBSTITUTE(SUBSTITUTE(UPPER(S751)," ",""),":",": "))),0)),"-")</f>
        <v>-</v>
      </c>
      <c r="C751" s="46" t="str" cm="1">
        <f t="array" ref="C751">IFERROR(INDEX(#REF!,MATCH(TRUE,ISNUMBER(FIND(SUBSTITUTE(SUBSTITUTE(UPPER(#REF!)," ",""),":",": "),SUBSTITUTE(SUBSTITUTE(UPPER(S751)," ",""),":",": "))),0)),"Não encontrado")</f>
        <v>Não encontrado</v>
      </c>
      <c r="D751" s="46" t="str" cm="1">
        <f t="array" ref="D751">IFERROR(INDEX(#REF!,MATCH(TRUE,ISNUMBER(FIND(SUBSTITUTE(SUBSTITUTE(UPPER(#REF!)," ",""),":",": "),SUBSTITUTE(SUBSTITUTE(UPPER(S751)," ",""),":",": "))),0)),"Não encontrado")</f>
        <v>Não encontrado</v>
      </c>
      <c r="E751" s="42" t="str" cm="1">
        <f t="array" ref="E751">IFERROR(INDEX({"IMPEDITIVO"},MATCH(TRUE,ISNUMBER(FIND(SUBSTITUTE(SUBSTITUTE(UPPER({"IMPEDITIVO"})," ",""),":",": "),SUBSTITUTE(SUBSTITUTE(UPPER(S751)," ",""),":",": "))),0)),"-")</f>
        <v>-</v>
      </c>
      <c r="K751" s="49"/>
    </row>
    <row r="752" spans="1:11" x14ac:dyDescent="0.25">
      <c r="A752" s="46" t="str" cm="1">
        <f t="array" ref="A752">IFERROR(INDEX(#REF!,MATCH(TRUE,ISNUMBER(FIND(SUBSTITUTE(SUBSTITUTE(UPPER(#REF!)," ",""),":",": "),SUBSTITUTE(SUBSTITUTE(UPPER(S752)," ",""),":",": "))),0)),"Undefined")</f>
        <v>Undefined</v>
      </c>
      <c r="B752" s="42" t="str" cm="1">
        <f t="array" ref="B752">IFERROR(INDEX({"URGENTE"},MATCH(TRUE,ISNUMBER(FIND(SUBSTITUTE(SUBSTITUTE(UPPER({"URGENTE"})," ",""),":",": "),SUBSTITUTE(SUBSTITUTE(UPPER(S752)," ",""),":",": "))),0)),"-")</f>
        <v>-</v>
      </c>
      <c r="C752" s="46" t="str" cm="1">
        <f t="array" ref="C752">IFERROR(INDEX(#REF!,MATCH(TRUE,ISNUMBER(FIND(SUBSTITUTE(SUBSTITUTE(UPPER(#REF!)," ",""),":",": "),SUBSTITUTE(SUBSTITUTE(UPPER(S752)," ",""),":",": "))),0)),"Não encontrado")</f>
        <v>Não encontrado</v>
      </c>
      <c r="D752" s="46" t="str" cm="1">
        <f t="array" ref="D752">IFERROR(INDEX(#REF!,MATCH(TRUE,ISNUMBER(FIND(SUBSTITUTE(SUBSTITUTE(UPPER(#REF!)," ",""),":",": "),SUBSTITUTE(SUBSTITUTE(UPPER(S752)," ",""),":",": "))),0)),"Não encontrado")</f>
        <v>Não encontrado</v>
      </c>
      <c r="E752" s="42" t="str" cm="1">
        <f t="array" ref="E752">IFERROR(INDEX({"IMPEDITIVO"},MATCH(TRUE,ISNUMBER(FIND(SUBSTITUTE(SUBSTITUTE(UPPER({"IMPEDITIVO"})," ",""),":",": "),SUBSTITUTE(SUBSTITUTE(UPPER(S752)," ",""),":",": "))),0)),"-")</f>
        <v>-</v>
      </c>
      <c r="K752" s="49"/>
    </row>
    <row r="753" spans="1:11" x14ac:dyDescent="0.25">
      <c r="A753" s="46" t="str" cm="1">
        <f t="array" ref="A753">IFERROR(INDEX(#REF!,MATCH(TRUE,ISNUMBER(FIND(SUBSTITUTE(SUBSTITUTE(UPPER(#REF!)," ",""),":",": "),SUBSTITUTE(SUBSTITUTE(UPPER(S753)," ",""),":",": "))),0)),"Undefined")</f>
        <v>Undefined</v>
      </c>
      <c r="B753" s="42" t="str" cm="1">
        <f t="array" ref="B753">IFERROR(INDEX({"URGENTE"},MATCH(TRUE,ISNUMBER(FIND(SUBSTITUTE(SUBSTITUTE(UPPER({"URGENTE"})," ",""),":",": "),SUBSTITUTE(SUBSTITUTE(UPPER(S753)," ",""),":",": "))),0)),"-")</f>
        <v>-</v>
      </c>
      <c r="C753" s="46" t="str" cm="1">
        <f t="array" ref="C753">IFERROR(INDEX(#REF!,MATCH(TRUE,ISNUMBER(FIND(SUBSTITUTE(SUBSTITUTE(UPPER(#REF!)," ",""),":",": "),SUBSTITUTE(SUBSTITUTE(UPPER(S753)," ",""),":",": "))),0)),"Não encontrado")</f>
        <v>Não encontrado</v>
      </c>
      <c r="D753" s="46" t="str" cm="1">
        <f t="array" ref="D753">IFERROR(INDEX(#REF!,MATCH(TRUE,ISNUMBER(FIND(SUBSTITUTE(SUBSTITUTE(UPPER(#REF!)," ",""),":",": "),SUBSTITUTE(SUBSTITUTE(UPPER(S753)," ",""),":",": "))),0)),"Não encontrado")</f>
        <v>Não encontrado</v>
      </c>
      <c r="E753" s="42" t="str" cm="1">
        <f t="array" ref="E753">IFERROR(INDEX({"IMPEDITIVO"},MATCH(TRUE,ISNUMBER(FIND(SUBSTITUTE(SUBSTITUTE(UPPER({"IMPEDITIVO"})," ",""),":",": "),SUBSTITUTE(SUBSTITUTE(UPPER(S753)," ",""),":",": "))),0)),"-")</f>
        <v>-</v>
      </c>
      <c r="K753" s="49"/>
    </row>
    <row r="754" spans="1:11" x14ac:dyDescent="0.25">
      <c r="A754" s="46" t="str" cm="1">
        <f t="array" ref="A754">IFERROR(INDEX(#REF!,MATCH(TRUE,ISNUMBER(FIND(SUBSTITUTE(SUBSTITUTE(UPPER(#REF!)," ",""),":",": "),SUBSTITUTE(SUBSTITUTE(UPPER(S754)," ",""),":",": "))),0)),"Undefined")</f>
        <v>Undefined</v>
      </c>
      <c r="B754" s="42" t="str" cm="1">
        <f t="array" ref="B754">IFERROR(INDEX({"URGENTE"},MATCH(TRUE,ISNUMBER(FIND(SUBSTITUTE(SUBSTITUTE(UPPER({"URGENTE"})," ",""),":",": "),SUBSTITUTE(SUBSTITUTE(UPPER(S754)," ",""),":",": "))),0)),"-")</f>
        <v>-</v>
      </c>
      <c r="C754" s="46" t="str" cm="1">
        <f t="array" ref="C754">IFERROR(INDEX(#REF!,MATCH(TRUE,ISNUMBER(FIND(SUBSTITUTE(SUBSTITUTE(UPPER(#REF!)," ",""),":",": "),SUBSTITUTE(SUBSTITUTE(UPPER(S754)," ",""),":",": "))),0)),"Não encontrado")</f>
        <v>Não encontrado</v>
      </c>
      <c r="D754" s="46" t="str" cm="1">
        <f t="array" ref="D754">IFERROR(INDEX(#REF!,MATCH(TRUE,ISNUMBER(FIND(SUBSTITUTE(SUBSTITUTE(UPPER(#REF!)," ",""),":",": "),SUBSTITUTE(SUBSTITUTE(UPPER(S754)," ",""),":",": "))),0)),"Não encontrado")</f>
        <v>Não encontrado</v>
      </c>
      <c r="E754" s="42" t="str" cm="1">
        <f t="array" ref="E754">IFERROR(INDEX({"IMPEDITIVO"},MATCH(TRUE,ISNUMBER(FIND(SUBSTITUTE(SUBSTITUTE(UPPER({"IMPEDITIVO"})," ",""),":",": "),SUBSTITUTE(SUBSTITUTE(UPPER(S754)," ",""),":",": "))),0)),"-")</f>
        <v>-</v>
      </c>
      <c r="K754" s="49"/>
    </row>
    <row r="755" spans="1:11" x14ac:dyDescent="0.25">
      <c r="A755" s="46" t="str" cm="1">
        <f t="array" ref="A755">IFERROR(INDEX(#REF!,MATCH(TRUE,ISNUMBER(FIND(SUBSTITUTE(SUBSTITUTE(UPPER(#REF!)," ",""),":",": "),SUBSTITUTE(SUBSTITUTE(UPPER(S755)," ",""),":",": "))),0)),"Undefined")</f>
        <v>Undefined</v>
      </c>
      <c r="B755" s="42" t="str" cm="1">
        <f t="array" ref="B755">IFERROR(INDEX({"URGENTE"},MATCH(TRUE,ISNUMBER(FIND(SUBSTITUTE(SUBSTITUTE(UPPER({"URGENTE"})," ",""),":",": "),SUBSTITUTE(SUBSTITUTE(UPPER(S755)," ",""),":",": "))),0)),"-")</f>
        <v>-</v>
      </c>
      <c r="C755" s="46" t="str" cm="1">
        <f t="array" ref="C755">IFERROR(INDEX(#REF!,MATCH(TRUE,ISNUMBER(FIND(SUBSTITUTE(SUBSTITUTE(UPPER(#REF!)," ",""),":",": "),SUBSTITUTE(SUBSTITUTE(UPPER(S755)," ",""),":",": "))),0)),"Não encontrado")</f>
        <v>Não encontrado</v>
      </c>
      <c r="D755" s="46" t="str" cm="1">
        <f t="array" ref="D755">IFERROR(INDEX(#REF!,MATCH(TRUE,ISNUMBER(FIND(SUBSTITUTE(SUBSTITUTE(UPPER(#REF!)," ",""),":",": "),SUBSTITUTE(SUBSTITUTE(UPPER(S755)," ",""),":",": "))),0)),"Não encontrado")</f>
        <v>Não encontrado</v>
      </c>
      <c r="E755" s="42" t="str" cm="1">
        <f t="array" ref="E755">IFERROR(INDEX({"IMPEDITIVO"},MATCH(TRUE,ISNUMBER(FIND(SUBSTITUTE(SUBSTITUTE(UPPER({"IMPEDITIVO"})," ",""),":",": "),SUBSTITUTE(SUBSTITUTE(UPPER(S755)," ",""),":",": "))),0)),"-")</f>
        <v>-</v>
      </c>
      <c r="K755" s="49"/>
    </row>
    <row r="756" spans="1:11" x14ac:dyDescent="0.25">
      <c r="A756" s="46" t="str" cm="1">
        <f t="array" ref="A756">IFERROR(INDEX(#REF!,MATCH(TRUE,ISNUMBER(FIND(SUBSTITUTE(SUBSTITUTE(UPPER(#REF!)," ",""),":",": "),SUBSTITUTE(SUBSTITUTE(UPPER(S756)," ",""),":",": "))),0)),"Undefined")</f>
        <v>Undefined</v>
      </c>
      <c r="B756" s="42" t="str" cm="1">
        <f t="array" ref="B756">IFERROR(INDEX({"URGENTE"},MATCH(TRUE,ISNUMBER(FIND(SUBSTITUTE(SUBSTITUTE(UPPER({"URGENTE"})," ",""),":",": "),SUBSTITUTE(SUBSTITUTE(UPPER(S756)," ",""),":",": "))),0)),"-")</f>
        <v>-</v>
      </c>
      <c r="C756" s="46" t="str" cm="1">
        <f t="array" ref="C756">IFERROR(INDEX(#REF!,MATCH(TRUE,ISNUMBER(FIND(SUBSTITUTE(SUBSTITUTE(UPPER(#REF!)," ",""),":",": "),SUBSTITUTE(SUBSTITUTE(UPPER(S756)," ",""),":",": "))),0)),"Não encontrado")</f>
        <v>Não encontrado</v>
      </c>
      <c r="D756" s="46" t="str" cm="1">
        <f t="array" ref="D756">IFERROR(INDEX(#REF!,MATCH(TRUE,ISNUMBER(FIND(SUBSTITUTE(SUBSTITUTE(UPPER(#REF!)," ",""),":",": "),SUBSTITUTE(SUBSTITUTE(UPPER(S756)," ",""),":",": "))),0)),"Não encontrado")</f>
        <v>Não encontrado</v>
      </c>
      <c r="E756" s="42" t="str" cm="1">
        <f t="array" ref="E756">IFERROR(INDEX({"IMPEDITIVO"},MATCH(TRUE,ISNUMBER(FIND(SUBSTITUTE(SUBSTITUTE(UPPER({"IMPEDITIVO"})," ",""),":",": "),SUBSTITUTE(SUBSTITUTE(UPPER(S756)," ",""),":",": "))),0)),"-")</f>
        <v>-</v>
      </c>
      <c r="K756" s="49"/>
    </row>
    <row r="757" spans="1:11" x14ac:dyDescent="0.25">
      <c r="A757" s="46" t="str" cm="1">
        <f t="array" ref="A757">IFERROR(INDEX(#REF!,MATCH(TRUE,ISNUMBER(FIND(SUBSTITUTE(SUBSTITUTE(UPPER(#REF!)," ",""),":",": "),SUBSTITUTE(SUBSTITUTE(UPPER(S757)," ",""),":",": "))),0)),"Undefined")</f>
        <v>Undefined</v>
      </c>
      <c r="B757" s="42" t="str" cm="1">
        <f t="array" ref="B757">IFERROR(INDEX({"URGENTE"},MATCH(TRUE,ISNUMBER(FIND(SUBSTITUTE(SUBSTITUTE(UPPER({"URGENTE"})," ",""),":",": "),SUBSTITUTE(SUBSTITUTE(UPPER(S757)," ",""),":",": "))),0)),"-")</f>
        <v>-</v>
      </c>
      <c r="C757" s="46" t="str" cm="1">
        <f t="array" ref="C757">IFERROR(INDEX(#REF!,MATCH(TRUE,ISNUMBER(FIND(SUBSTITUTE(SUBSTITUTE(UPPER(#REF!)," ",""),":",": "),SUBSTITUTE(SUBSTITUTE(UPPER(S757)," ",""),":",": "))),0)),"Não encontrado")</f>
        <v>Não encontrado</v>
      </c>
      <c r="D757" s="46" t="str" cm="1">
        <f t="array" ref="D757">IFERROR(INDEX(#REF!,MATCH(TRUE,ISNUMBER(FIND(SUBSTITUTE(SUBSTITUTE(UPPER(#REF!)," ",""),":",": "),SUBSTITUTE(SUBSTITUTE(UPPER(S757)," ",""),":",": "))),0)),"Não encontrado")</f>
        <v>Não encontrado</v>
      </c>
      <c r="E757" s="42" t="str" cm="1">
        <f t="array" ref="E757">IFERROR(INDEX({"IMPEDITIVO"},MATCH(TRUE,ISNUMBER(FIND(SUBSTITUTE(SUBSTITUTE(UPPER({"IMPEDITIVO"})," ",""),":",": "),SUBSTITUTE(SUBSTITUTE(UPPER(S757)," ",""),":",": "))),0)),"-")</f>
        <v>-</v>
      </c>
      <c r="K757" s="49"/>
    </row>
    <row r="758" spans="1:11" x14ac:dyDescent="0.25">
      <c r="A758" s="46" t="str" cm="1">
        <f t="array" ref="A758">IFERROR(INDEX(#REF!,MATCH(TRUE,ISNUMBER(FIND(SUBSTITUTE(SUBSTITUTE(UPPER(#REF!)," ",""),":",": "),SUBSTITUTE(SUBSTITUTE(UPPER(S758)," ",""),":",": "))),0)),"Undefined")</f>
        <v>Undefined</v>
      </c>
      <c r="B758" s="42" t="str" cm="1">
        <f t="array" ref="B758">IFERROR(INDEX({"URGENTE"},MATCH(TRUE,ISNUMBER(FIND(SUBSTITUTE(SUBSTITUTE(UPPER({"URGENTE"})," ",""),":",": "),SUBSTITUTE(SUBSTITUTE(UPPER(S758)," ",""),":",": "))),0)),"-")</f>
        <v>-</v>
      </c>
      <c r="C758" s="46" t="str" cm="1">
        <f t="array" ref="C758">IFERROR(INDEX(#REF!,MATCH(TRUE,ISNUMBER(FIND(SUBSTITUTE(SUBSTITUTE(UPPER(#REF!)," ",""),":",": "),SUBSTITUTE(SUBSTITUTE(UPPER(S758)," ",""),":",": "))),0)),"Não encontrado")</f>
        <v>Não encontrado</v>
      </c>
      <c r="D758" s="46" t="str" cm="1">
        <f t="array" ref="D758">IFERROR(INDEX(#REF!,MATCH(TRUE,ISNUMBER(FIND(SUBSTITUTE(SUBSTITUTE(UPPER(#REF!)," ",""),":",": "),SUBSTITUTE(SUBSTITUTE(UPPER(S758)," ",""),":",": "))),0)),"Não encontrado")</f>
        <v>Não encontrado</v>
      </c>
      <c r="E758" s="42" t="str" cm="1">
        <f t="array" ref="E758">IFERROR(INDEX({"IMPEDITIVO"},MATCH(TRUE,ISNUMBER(FIND(SUBSTITUTE(SUBSTITUTE(UPPER({"IMPEDITIVO"})," ",""),":",": "),SUBSTITUTE(SUBSTITUTE(UPPER(S758)," ",""),":",": "))),0)),"-")</f>
        <v>-</v>
      </c>
      <c r="K758" s="49"/>
    </row>
    <row r="759" spans="1:11" x14ac:dyDescent="0.25">
      <c r="A759" s="46" t="str" cm="1">
        <f t="array" ref="A759">IFERROR(INDEX(#REF!,MATCH(TRUE,ISNUMBER(FIND(SUBSTITUTE(SUBSTITUTE(UPPER(#REF!)," ",""),":",": "),SUBSTITUTE(SUBSTITUTE(UPPER(S759)," ",""),":",": "))),0)),"Undefined")</f>
        <v>Undefined</v>
      </c>
      <c r="B759" s="42" t="str" cm="1">
        <f t="array" ref="B759">IFERROR(INDEX({"URGENTE"},MATCH(TRUE,ISNUMBER(FIND(SUBSTITUTE(SUBSTITUTE(UPPER({"URGENTE"})," ",""),":",": "),SUBSTITUTE(SUBSTITUTE(UPPER(S759)," ",""),":",": "))),0)),"-")</f>
        <v>-</v>
      </c>
      <c r="C759" s="46" t="str" cm="1">
        <f t="array" ref="C759">IFERROR(INDEX(#REF!,MATCH(TRUE,ISNUMBER(FIND(SUBSTITUTE(SUBSTITUTE(UPPER(#REF!)," ",""),":",": "),SUBSTITUTE(SUBSTITUTE(UPPER(S759)," ",""),":",": "))),0)),"Não encontrado")</f>
        <v>Não encontrado</v>
      </c>
      <c r="D759" s="46" t="str" cm="1">
        <f t="array" ref="D759">IFERROR(INDEX(#REF!,MATCH(TRUE,ISNUMBER(FIND(SUBSTITUTE(SUBSTITUTE(UPPER(#REF!)," ",""),":",": "),SUBSTITUTE(SUBSTITUTE(UPPER(S759)," ",""),":",": "))),0)),"Não encontrado")</f>
        <v>Não encontrado</v>
      </c>
      <c r="E759" s="42" t="str" cm="1">
        <f t="array" ref="E759">IFERROR(INDEX({"IMPEDITIVO"},MATCH(TRUE,ISNUMBER(FIND(SUBSTITUTE(SUBSTITUTE(UPPER({"IMPEDITIVO"})," ",""),":",": "),SUBSTITUTE(SUBSTITUTE(UPPER(S759)," ",""),":",": "))),0)),"-")</f>
        <v>-</v>
      </c>
      <c r="K759" s="49"/>
    </row>
    <row r="760" spans="1:11" x14ac:dyDescent="0.25">
      <c r="A760" s="46" t="str" cm="1">
        <f t="array" ref="A760">IFERROR(INDEX(#REF!,MATCH(TRUE,ISNUMBER(FIND(SUBSTITUTE(SUBSTITUTE(UPPER(#REF!)," ",""),":",": "),SUBSTITUTE(SUBSTITUTE(UPPER(S760)," ",""),":",": "))),0)),"Undefined")</f>
        <v>Undefined</v>
      </c>
      <c r="B760" s="42" t="str" cm="1">
        <f t="array" ref="B760">IFERROR(INDEX({"URGENTE"},MATCH(TRUE,ISNUMBER(FIND(SUBSTITUTE(SUBSTITUTE(UPPER({"URGENTE"})," ",""),":",": "),SUBSTITUTE(SUBSTITUTE(UPPER(S760)," ",""),":",": "))),0)),"-")</f>
        <v>-</v>
      </c>
      <c r="C760" s="46" t="str" cm="1">
        <f t="array" ref="C760">IFERROR(INDEX(#REF!,MATCH(TRUE,ISNUMBER(FIND(SUBSTITUTE(SUBSTITUTE(UPPER(#REF!)," ",""),":",": "),SUBSTITUTE(SUBSTITUTE(UPPER(S760)," ",""),":",": "))),0)),"Não encontrado")</f>
        <v>Não encontrado</v>
      </c>
      <c r="D760" s="46" t="str" cm="1">
        <f t="array" ref="D760">IFERROR(INDEX(#REF!,MATCH(TRUE,ISNUMBER(FIND(SUBSTITUTE(SUBSTITUTE(UPPER(#REF!)," ",""),":",": "),SUBSTITUTE(SUBSTITUTE(UPPER(S760)," ",""),":",": "))),0)),"Não encontrado")</f>
        <v>Não encontrado</v>
      </c>
      <c r="E760" s="42" t="str" cm="1">
        <f t="array" ref="E760">IFERROR(INDEX({"IMPEDITIVO"},MATCH(TRUE,ISNUMBER(FIND(SUBSTITUTE(SUBSTITUTE(UPPER({"IMPEDITIVO"})," ",""),":",": "),SUBSTITUTE(SUBSTITUTE(UPPER(S760)," ",""),":",": "))),0)),"-")</f>
        <v>-</v>
      </c>
      <c r="K760" s="49"/>
    </row>
    <row r="761" spans="1:11" x14ac:dyDescent="0.25">
      <c r="A761" s="46" t="str" cm="1">
        <f t="array" ref="A761">IFERROR(INDEX(#REF!,MATCH(TRUE,ISNUMBER(FIND(SUBSTITUTE(SUBSTITUTE(UPPER(#REF!)," ",""),":",": "),SUBSTITUTE(SUBSTITUTE(UPPER(S761)," ",""),":",": "))),0)),"Undefined")</f>
        <v>Undefined</v>
      </c>
      <c r="B761" s="42" t="str" cm="1">
        <f t="array" ref="B761">IFERROR(INDEX({"URGENTE"},MATCH(TRUE,ISNUMBER(FIND(SUBSTITUTE(SUBSTITUTE(UPPER({"URGENTE"})," ",""),":",": "),SUBSTITUTE(SUBSTITUTE(UPPER(S761)," ",""),":",": "))),0)),"-")</f>
        <v>-</v>
      </c>
      <c r="C761" s="46" t="str" cm="1">
        <f t="array" ref="C761">IFERROR(INDEX(#REF!,MATCH(TRUE,ISNUMBER(FIND(SUBSTITUTE(SUBSTITUTE(UPPER(#REF!)," ",""),":",": "),SUBSTITUTE(SUBSTITUTE(UPPER(S761)," ",""),":",": "))),0)),"Não encontrado")</f>
        <v>Não encontrado</v>
      </c>
      <c r="D761" s="46" t="str" cm="1">
        <f t="array" ref="D761">IFERROR(INDEX(#REF!,MATCH(TRUE,ISNUMBER(FIND(SUBSTITUTE(SUBSTITUTE(UPPER(#REF!)," ",""),":",": "),SUBSTITUTE(SUBSTITUTE(UPPER(S761)," ",""),":",": "))),0)),"Não encontrado")</f>
        <v>Não encontrado</v>
      </c>
      <c r="E761" s="42" t="str" cm="1">
        <f t="array" ref="E761">IFERROR(INDEX({"IMPEDITIVO"},MATCH(TRUE,ISNUMBER(FIND(SUBSTITUTE(SUBSTITUTE(UPPER({"IMPEDITIVO"})," ",""),":",": "),SUBSTITUTE(SUBSTITUTE(UPPER(S761)," ",""),":",": "))),0)),"-")</f>
        <v>-</v>
      </c>
      <c r="K761" s="49"/>
    </row>
    <row r="762" spans="1:11" x14ac:dyDescent="0.25">
      <c r="A762" s="46" t="str" cm="1">
        <f t="array" ref="A762">IFERROR(INDEX(#REF!,MATCH(TRUE,ISNUMBER(FIND(SUBSTITUTE(SUBSTITUTE(UPPER(#REF!)," ",""),":",": "),SUBSTITUTE(SUBSTITUTE(UPPER(S762)," ",""),":",": "))),0)),"Undefined")</f>
        <v>Undefined</v>
      </c>
      <c r="B762" s="42" t="str" cm="1">
        <f t="array" ref="B762">IFERROR(INDEX({"URGENTE"},MATCH(TRUE,ISNUMBER(FIND(SUBSTITUTE(SUBSTITUTE(UPPER({"URGENTE"})," ",""),":",": "),SUBSTITUTE(SUBSTITUTE(UPPER(S762)," ",""),":",": "))),0)),"-")</f>
        <v>-</v>
      </c>
      <c r="C762" s="46" t="str" cm="1">
        <f t="array" ref="C762">IFERROR(INDEX(#REF!,MATCH(TRUE,ISNUMBER(FIND(SUBSTITUTE(SUBSTITUTE(UPPER(#REF!)," ",""),":",": "),SUBSTITUTE(SUBSTITUTE(UPPER(S762)," ",""),":",": "))),0)),"Não encontrado")</f>
        <v>Não encontrado</v>
      </c>
      <c r="D762" s="46" t="str" cm="1">
        <f t="array" ref="D762">IFERROR(INDEX(#REF!,MATCH(TRUE,ISNUMBER(FIND(SUBSTITUTE(SUBSTITUTE(UPPER(#REF!)," ",""),":",": "),SUBSTITUTE(SUBSTITUTE(UPPER(S762)," ",""),":",": "))),0)),"Não encontrado")</f>
        <v>Não encontrado</v>
      </c>
      <c r="E762" s="42" t="str" cm="1">
        <f t="array" ref="E762">IFERROR(INDEX({"IMPEDITIVO"},MATCH(TRUE,ISNUMBER(FIND(SUBSTITUTE(SUBSTITUTE(UPPER({"IMPEDITIVO"})," ",""),":",": "),SUBSTITUTE(SUBSTITUTE(UPPER(S762)," ",""),":",": "))),0)),"-")</f>
        <v>-</v>
      </c>
      <c r="K762" s="49"/>
    </row>
    <row r="763" spans="1:11" x14ac:dyDescent="0.25">
      <c r="A763" s="46" t="str" cm="1">
        <f t="array" ref="A763">IFERROR(INDEX(#REF!,MATCH(TRUE,ISNUMBER(FIND(SUBSTITUTE(SUBSTITUTE(UPPER(#REF!)," ",""),":",": "),SUBSTITUTE(SUBSTITUTE(UPPER(S763)," ",""),":",": "))),0)),"Undefined")</f>
        <v>Undefined</v>
      </c>
      <c r="B763" s="42" t="str" cm="1">
        <f t="array" ref="B763">IFERROR(INDEX({"URGENTE"},MATCH(TRUE,ISNUMBER(FIND(SUBSTITUTE(SUBSTITUTE(UPPER({"URGENTE"})," ",""),":",": "),SUBSTITUTE(SUBSTITUTE(UPPER(S763)," ",""),":",": "))),0)),"-")</f>
        <v>-</v>
      </c>
      <c r="C763" s="46" t="str" cm="1">
        <f t="array" ref="C763">IFERROR(INDEX(#REF!,MATCH(TRUE,ISNUMBER(FIND(SUBSTITUTE(SUBSTITUTE(UPPER(#REF!)," ",""),":",": "),SUBSTITUTE(SUBSTITUTE(UPPER(S763)," ",""),":",": "))),0)),"Não encontrado")</f>
        <v>Não encontrado</v>
      </c>
      <c r="D763" s="46" t="str" cm="1">
        <f t="array" ref="D763">IFERROR(INDEX(#REF!,MATCH(TRUE,ISNUMBER(FIND(SUBSTITUTE(SUBSTITUTE(UPPER(#REF!)," ",""),":",": "),SUBSTITUTE(SUBSTITUTE(UPPER(S763)," ",""),":",": "))),0)),"Não encontrado")</f>
        <v>Não encontrado</v>
      </c>
      <c r="E763" s="42" t="str" cm="1">
        <f t="array" ref="E763">IFERROR(INDEX({"IMPEDITIVO"},MATCH(TRUE,ISNUMBER(FIND(SUBSTITUTE(SUBSTITUTE(UPPER({"IMPEDITIVO"})," ",""),":",": "),SUBSTITUTE(SUBSTITUTE(UPPER(S763)," ",""),":",": "))),0)),"-")</f>
        <v>-</v>
      </c>
      <c r="K763" s="49"/>
    </row>
    <row r="764" spans="1:11" x14ac:dyDescent="0.25">
      <c r="A764" s="46" t="str" cm="1">
        <f t="array" ref="A764">IFERROR(INDEX(#REF!,MATCH(TRUE,ISNUMBER(FIND(SUBSTITUTE(SUBSTITUTE(UPPER(#REF!)," ",""),":",": "),SUBSTITUTE(SUBSTITUTE(UPPER(S764)," ",""),":",": "))),0)),"Undefined")</f>
        <v>Undefined</v>
      </c>
      <c r="B764" s="42" t="str" cm="1">
        <f t="array" ref="B764">IFERROR(INDEX({"URGENTE"},MATCH(TRUE,ISNUMBER(FIND(SUBSTITUTE(SUBSTITUTE(UPPER({"URGENTE"})," ",""),":",": "),SUBSTITUTE(SUBSTITUTE(UPPER(S764)," ",""),":",": "))),0)),"-")</f>
        <v>-</v>
      </c>
      <c r="C764" s="46" t="str" cm="1">
        <f t="array" ref="C764">IFERROR(INDEX(#REF!,MATCH(TRUE,ISNUMBER(FIND(SUBSTITUTE(SUBSTITUTE(UPPER(#REF!)," ",""),":",": "),SUBSTITUTE(SUBSTITUTE(UPPER(S764)," ",""),":",": "))),0)),"Não encontrado")</f>
        <v>Não encontrado</v>
      </c>
      <c r="D764" s="46" t="str" cm="1">
        <f t="array" ref="D764">IFERROR(INDEX(#REF!,MATCH(TRUE,ISNUMBER(FIND(SUBSTITUTE(SUBSTITUTE(UPPER(#REF!)," ",""),":",": "),SUBSTITUTE(SUBSTITUTE(UPPER(S764)," ",""),":",": "))),0)),"Não encontrado")</f>
        <v>Não encontrado</v>
      </c>
      <c r="E764" s="42" t="str" cm="1">
        <f t="array" ref="E764">IFERROR(INDEX({"IMPEDITIVO"},MATCH(TRUE,ISNUMBER(FIND(SUBSTITUTE(SUBSTITUTE(UPPER({"IMPEDITIVO"})," ",""),":",": "),SUBSTITUTE(SUBSTITUTE(UPPER(S764)," ",""),":",": "))),0)),"-")</f>
        <v>-</v>
      </c>
      <c r="K764" s="49"/>
    </row>
    <row r="765" spans="1:11" x14ac:dyDescent="0.25">
      <c r="A765" s="46" t="str" cm="1">
        <f t="array" ref="A765">IFERROR(INDEX(#REF!,MATCH(TRUE,ISNUMBER(FIND(SUBSTITUTE(SUBSTITUTE(UPPER(#REF!)," ",""),":",": "),SUBSTITUTE(SUBSTITUTE(UPPER(S765)," ",""),":",": "))),0)),"Undefined")</f>
        <v>Undefined</v>
      </c>
      <c r="B765" s="42" t="str" cm="1">
        <f t="array" ref="B765">IFERROR(INDEX({"URGENTE"},MATCH(TRUE,ISNUMBER(FIND(SUBSTITUTE(SUBSTITUTE(UPPER({"URGENTE"})," ",""),":",": "),SUBSTITUTE(SUBSTITUTE(UPPER(S765)," ",""),":",": "))),0)),"-")</f>
        <v>-</v>
      </c>
      <c r="C765" s="46" t="str" cm="1">
        <f t="array" ref="C765">IFERROR(INDEX(#REF!,MATCH(TRUE,ISNUMBER(FIND(SUBSTITUTE(SUBSTITUTE(UPPER(#REF!)," ",""),":",": "),SUBSTITUTE(SUBSTITUTE(UPPER(S765)," ",""),":",": "))),0)),"Não encontrado")</f>
        <v>Não encontrado</v>
      </c>
      <c r="D765" s="46" t="str" cm="1">
        <f t="array" ref="D765">IFERROR(INDEX(#REF!,MATCH(TRUE,ISNUMBER(FIND(SUBSTITUTE(SUBSTITUTE(UPPER(#REF!)," ",""),":",": "),SUBSTITUTE(SUBSTITUTE(UPPER(S765)," ",""),":",": "))),0)),"Não encontrado")</f>
        <v>Não encontrado</v>
      </c>
      <c r="E765" s="42" t="str" cm="1">
        <f t="array" ref="E765">IFERROR(INDEX({"IMPEDITIVO"},MATCH(TRUE,ISNUMBER(FIND(SUBSTITUTE(SUBSTITUTE(UPPER({"IMPEDITIVO"})," ",""),":",": "),SUBSTITUTE(SUBSTITUTE(UPPER(S765)," ",""),":",": "))),0)),"-")</f>
        <v>-</v>
      </c>
      <c r="K765" s="49"/>
    </row>
    <row r="766" spans="1:11" x14ac:dyDescent="0.25">
      <c r="A766" s="46" t="str" cm="1">
        <f t="array" ref="A766">IFERROR(INDEX(#REF!,MATCH(TRUE,ISNUMBER(FIND(SUBSTITUTE(SUBSTITUTE(UPPER(#REF!)," ",""),":",": "),SUBSTITUTE(SUBSTITUTE(UPPER(S766)," ",""),":",": "))),0)),"Undefined")</f>
        <v>Undefined</v>
      </c>
      <c r="B766" s="42" t="str" cm="1">
        <f t="array" ref="B766">IFERROR(INDEX({"URGENTE"},MATCH(TRUE,ISNUMBER(FIND(SUBSTITUTE(SUBSTITUTE(UPPER({"URGENTE"})," ",""),":",": "),SUBSTITUTE(SUBSTITUTE(UPPER(S766)," ",""),":",": "))),0)),"-")</f>
        <v>-</v>
      </c>
      <c r="C766" s="46" t="str" cm="1">
        <f t="array" ref="C766">IFERROR(INDEX(#REF!,MATCH(TRUE,ISNUMBER(FIND(SUBSTITUTE(SUBSTITUTE(UPPER(#REF!)," ",""),":",": "),SUBSTITUTE(SUBSTITUTE(UPPER(S766)," ",""),":",": "))),0)),"Não encontrado")</f>
        <v>Não encontrado</v>
      </c>
      <c r="D766" s="46" t="str" cm="1">
        <f t="array" ref="D766">IFERROR(INDEX(#REF!,MATCH(TRUE,ISNUMBER(FIND(SUBSTITUTE(SUBSTITUTE(UPPER(#REF!)," ",""),":",": "),SUBSTITUTE(SUBSTITUTE(UPPER(S766)," ",""),":",": "))),0)),"Não encontrado")</f>
        <v>Não encontrado</v>
      </c>
      <c r="E766" s="42" t="str" cm="1">
        <f t="array" ref="E766">IFERROR(INDEX({"IMPEDITIVO"},MATCH(TRUE,ISNUMBER(FIND(SUBSTITUTE(SUBSTITUTE(UPPER({"IMPEDITIVO"})," ",""),":",": "),SUBSTITUTE(SUBSTITUTE(UPPER(S766)," ",""),":",": "))),0)),"-")</f>
        <v>-</v>
      </c>
      <c r="K766" s="49"/>
    </row>
    <row r="767" spans="1:11" x14ac:dyDescent="0.25">
      <c r="A767" s="46" t="str" cm="1">
        <f t="array" ref="A767">IFERROR(INDEX(#REF!,MATCH(TRUE,ISNUMBER(FIND(SUBSTITUTE(SUBSTITUTE(UPPER(#REF!)," ",""),":",": "),SUBSTITUTE(SUBSTITUTE(UPPER(S767)," ",""),":",": "))),0)),"Undefined")</f>
        <v>Undefined</v>
      </c>
      <c r="B767" s="42" t="str" cm="1">
        <f t="array" ref="B767">IFERROR(INDEX({"URGENTE"},MATCH(TRUE,ISNUMBER(FIND(SUBSTITUTE(SUBSTITUTE(UPPER({"URGENTE"})," ",""),":",": "),SUBSTITUTE(SUBSTITUTE(UPPER(S767)," ",""),":",": "))),0)),"-")</f>
        <v>-</v>
      </c>
      <c r="C767" s="46" t="str" cm="1">
        <f t="array" ref="C767">IFERROR(INDEX(#REF!,MATCH(TRUE,ISNUMBER(FIND(SUBSTITUTE(SUBSTITUTE(UPPER(#REF!)," ",""),":",": "),SUBSTITUTE(SUBSTITUTE(UPPER(S767)," ",""),":",": "))),0)),"Não encontrado")</f>
        <v>Não encontrado</v>
      </c>
      <c r="D767" s="46" t="str" cm="1">
        <f t="array" ref="D767">IFERROR(INDEX(#REF!,MATCH(TRUE,ISNUMBER(FIND(SUBSTITUTE(SUBSTITUTE(UPPER(#REF!)," ",""),":",": "),SUBSTITUTE(SUBSTITUTE(UPPER(S767)," ",""),":",": "))),0)),"Não encontrado")</f>
        <v>Não encontrado</v>
      </c>
      <c r="E767" s="42" t="str" cm="1">
        <f t="array" ref="E767">IFERROR(INDEX({"IMPEDITIVO"},MATCH(TRUE,ISNUMBER(FIND(SUBSTITUTE(SUBSTITUTE(UPPER({"IMPEDITIVO"})," ",""),":",": "),SUBSTITUTE(SUBSTITUTE(UPPER(S767)," ",""),":",": "))),0)),"-")</f>
        <v>-</v>
      </c>
      <c r="K767" s="49"/>
    </row>
    <row r="768" spans="1:11" x14ac:dyDescent="0.25">
      <c r="A768" s="46" t="str" cm="1">
        <f t="array" ref="A768">IFERROR(INDEX(#REF!,MATCH(TRUE,ISNUMBER(FIND(SUBSTITUTE(SUBSTITUTE(UPPER(#REF!)," ",""),":",": "),SUBSTITUTE(SUBSTITUTE(UPPER(S768)," ",""),":",": "))),0)),"Undefined")</f>
        <v>Undefined</v>
      </c>
      <c r="B768" s="42" t="str" cm="1">
        <f t="array" ref="B768">IFERROR(INDEX({"URGENTE"},MATCH(TRUE,ISNUMBER(FIND(SUBSTITUTE(SUBSTITUTE(UPPER({"URGENTE"})," ",""),":",": "),SUBSTITUTE(SUBSTITUTE(UPPER(S768)," ",""),":",": "))),0)),"-")</f>
        <v>-</v>
      </c>
      <c r="C768" s="46" t="str" cm="1">
        <f t="array" ref="C768">IFERROR(INDEX(#REF!,MATCH(TRUE,ISNUMBER(FIND(SUBSTITUTE(SUBSTITUTE(UPPER(#REF!)," ",""),":",": "),SUBSTITUTE(SUBSTITUTE(UPPER(S768)," ",""),":",": "))),0)),"Não encontrado")</f>
        <v>Não encontrado</v>
      </c>
      <c r="D768" s="46" t="str" cm="1">
        <f t="array" ref="D768">IFERROR(INDEX(#REF!,MATCH(TRUE,ISNUMBER(FIND(SUBSTITUTE(SUBSTITUTE(UPPER(#REF!)," ",""),":",": "),SUBSTITUTE(SUBSTITUTE(UPPER(S768)," ",""),":",": "))),0)),"Não encontrado")</f>
        <v>Não encontrado</v>
      </c>
      <c r="E768" s="42" t="str" cm="1">
        <f t="array" ref="E768">IFERROR(INDEX({"IMPEDITIVO"},MATCH(TRUE,ISNUMBER(FIND(SUBSTITUTE(SUBSTITUTE(UPPER({"IMPEDITIVO"})," ",""),":",": "),SUBSTITUTE(SUBSTITUTE(UPPER(S768)," ",""),":",": "))),0)),"-")</f>
        <v>-</v>
      </c>
      <c r="K768" s="49"/>
    </row>
    <row r="769" spans="1:11" x14ac:dyDescent="0.25">
      <c r="A769" s="46" t="str" cm="1">
        <f t="array" ref="A769">IFERROR(INDEX(#REF!,MATCH(TRUE,ISNUMBER(FIND(SUBSTITUTE(SUBSTITUTE(UPPER(#REF!)," ",""),":",": "),SUBSTITUTE(SUBSTITUTE(UPPER(S769)," ",""),":",": "))),0)),"Undefined")</f>
        <v>Undefined</v>
      </c>
      <c r="B769" s="42" t="str" cm="1">
        <f t="array" ref="B769">IFERROR(INDEX({"URGENTE"},MATCH(TRUE,ISNUMBER(FIND(SUBSTITUTE(SUBSTITUTE(UPPER({"URGENTE"})," ",""),":",": "),SUBSTITUTE(SUBSTITUTE(UPPER(S769)," ",""),":",": "))),0)),"-")</f>
        <v>-</v>
      </c>
      <c r="C769" s="46" t="str" cm="1">
        <f t="array" ref="C769">IFERROR(INDEX(#REF!,MATCH(TRUE,ISNUMBER(FIND(SUBSTITUTE(SUBSTITUTE(UPPER(#REF!)," ",""),":",": "),SUBSTITUTE(SUBSTITUTE(UPPER(S769)," ",""),":",": "))),0)),"Não encontrado")</f>
        <v>Não encontrado</v>
      </c>
      <c r="D769" s="46" t="str" cm="1">
        <f t="array" ref="D769">IFERROR(INDEX(#REF!,MATCH(TRUE,ISNUMBER(FIND(SUBSTITUTE(SUBSTITUTE(UPPER(#REF!)," ",""),":",": "),SUBSTITUTE(SUBSTITUTE(UPPER(S769)," ",""),":",": "))),0)),"Não encontrado")</f>
        <v>Não encontrado</v>
      </c>
      <c r="E769" s="42" t="str" cm="1">
        <f t="array" ref="E769">IFERROR(INDEX({"IMPEDITIVO"},MATCH(TRUE,ISNUMBER(FIND(SUBSTITUTE(SUBSTITUTE(UPPER({"IMPEDITIVO"})," ",""),":",": "),SUBSTITUTE(SUBSTITUTE(UPPER(S769)," ",""),":",": "))),0)),"-")</f>
        <v>-</v>
      </c>
      <c r="K769" s="49"/>
    </row>
    <row r="770" spans="1:11" x14ac:dyDescent="0.25">
      <c r="A770" s="46" t="str" cm="1">
        <f t="array" ref="A770">IFERROR(INDEX(#REF!,MATCH(TRUE,ISNUMBER(FIND(SUBSTITUTE(SUBSTITUTE(UPPER(#REF!)," ",""),":",": "),SUBSTITUTE(SUBSTITUTE(UPPER(S770)," ",""),":",": "))),0)),"Undefined")</f>
        <v>Undefined</v>
      </c>
      <c r="B770" s="42" t="str" cm="1">
        <f t="array" ref="B770">IFERROR(INDEX({"URGENTE"},MATCH(TRUE,ISNUMBER(FIND(SUBSTITUTE(SUBSTITUTE(UPPER({"URGENTE"})," ",""),":",": "),SUBSTITUTE(SUBSTITUTE(UPPER(S770)," ",""),":",": "))),0)),"-")</f>
        <v>-</v>
      </c>
      <c r="C770" s="46" t="str" cm="1">
        <f t="array" ref="C770">IFERROR(INDEX(#REF!,MATCH(TRUE,ISNUMBER(FIND(SUBSTITUTE(SUBSTITUTE(UPPER(#REF!)," ",""),":",": "),SUBSTITUTE(SUBSTITUTE(UPPER(S770)," ",""),":",": "))),0)),"Não encontrado")</f>
        <v>Não encontrado</v>
      </c>
      <c r="D770" s="46" t="str" cm="1">
        <f t="array" ref="D770">IFERROR(INDEX(#REF!,MATCH(TRUE,ISNUMBER(FIND(SUBSTITUTE(SUBSTITUTE(UPPER(#REF!)," ",""),":",": "),SUBSTITUTE(SUBSTITUTE(UPPER(S770)," ",""),":",": "))),0)),"Não encontrado")</f>
        <v>Não encontrado</v>
      </c>
      <c r="E770" s="42" t="str" cm="1">
        <f t="array" ref="E770">IFERROR(INDEX({"IMPEDITIVO"},MATCH(TRUE,ISNUMBER(FIND(SUBSTITUTE(SUBSTITUTE(UPPER({"IMPEDITIVO"})," ",""),":",": "),SUBSTITUTE(SUBSTITUTE(UPPER(S770)," ",""),":",": "))),0)),"-")</f>
        <v>-</v>
      </c>
      <c r="K770" s="49"/>
    </row>
    <row r="771" spans="1:11" x14ac:dyDescent="0.25">
      <c r="A771" s="46" t="str" cm="1">
        <f t="array" ref="A771">IFERROR(INDEX(#REF!,MATCH(TRUE,ISNUMBER(FIND(SUBSTITUTE(SUBSTITUTE(UPPER(#REF!)," ",""),":",": "),SUBSTITUTE(SUBSTITUTE(UPPER(S771)," ",""),":",": "))),0)),"Undefined")</f>
        <v>Undefined</v>
      </c>
      <c r="B771" s="42" t="str" cm="1">
        <f t="array" ref="B771">IFERROR(INDEX({"URGENTE"},MATCH(TRUE,ISNUMBER(FIND(SUBSTITUTE(SUBSTITUTE(UPPER({"URGENTE"})," ",""),":",": "),SUBSTITUTE(SUBSTITUTE(UPPER(S771)," ",""),":",": "))),0)),"-")</f>
        <v>-</v>
      </c>
      <c r="C771" s="46" t="str" cm="1">
        <f t="array" ref="C771">IFERROR(INDEX(#REF!,MATCH(TRUE,ISNUMBER(FIND(SUBSTITUTE(SUBSTITUTE(UPPER(#REF!)," ",""),":",": "),SUBSTITUTE(SUBSTITUTE(UPPER(S771)," ",""),":",": "))),0)),"Não encontrado")</f>
        <v>Não encontrado</v>
      </c>
      <c r="D771" s="46" t="str" cm="1">
        <f t="array" ref="D771">IFERROR(INDEX(#REF!,MATCH(TRUE,ISNUMBER(FIND(SUBSTITUTE(SUBSTITUTE(UPPER(#REF!)," ",""),":",": "),SUBSTITUTE(SUBSTITUTE(UPPER(S771)," ",""),":",": "))),0)),"Não encontrado")</f>
        <v>Não encontrado</v>
      </c>
      <c r="E771" s="42" t="str" cm="1">
        <f t="array" ref="E771">IFERROR(INDEX({"IMPEDITIVO"},MATCH(TRUE,ISNUMBER(FIND(SUBSTITUTE(SUBSTITUTE(UPPER({"IMPEDITIVO"})," ",""),":",": "),SUBSTITUTE(SUBSTITUTE(UPPER(S771)," ",""),":",": "))),0)),"-")</f>
        <v>-</v>
      </c>
      <c r="K771" s="49"/>
    </row>
    <row r="772" spans="1:11" x14ac:dyDescent="0.25">
      <c r="A772" s="46" t="str" cm="1">
        <f t="array" ref="A772">IFERROR(INDEX(#REF!,MATCH(TRUE,ISNUMBER(FIND(SUBSTITUTE(SUBSTITUTE(UPPER(#REF!)," ",""),":",": "),SUBSTITUTE(SUBSTITUTE(UPPER(S772)," ",""),":",": "))),0)),"Undefined")</f>
        <v>Undefined</v>
      </c>
      <c r="B772" s="42" t="str" cm="1">
        <f t="array" ref="B772">IFERROR(INDEX({"URGENTE"},MATCH(TRUE,ISNUMBER(FIND(SUBSTITUTE(SUBSTITUTE(UPPER({"URGENTE"})," ",""),":",": "),SUBSTITUTE(SUBSTITUTE(UPPER(S772)," ",""),":",": "))),0)),"-")</f>
        <v>-</v>
      </c>
      <c r="C772" s="46" t="str" cm="1">
        <f t="array" ref="C772">IFERROR(INDEX(#REF!,MATCH(TRUE,ISNUMBER(FIND(SUBSTITUTE(SUBSTITUTE(UPPER(#REF!)," ",""),":",": "),SUBSTITUTE(SUBSTITUTE(UPPER(S772)," ",""),":",": "))),0)),"Não encontrado")</f>
        <v>Não encontrado</v>
      </c>
      <c r="D772" s="46" t="str" cm="1">
        <f t="array" ref="D772">IFERROR(INDEX(#REF!,MATCH(TRUE,ISNUMBER(FIND(SUBSTITUTE(SUBSTITUTE(UPPER(#REF!)," ",""),":",": "),SUBSTITUTE(SUBSTITUTE(UPPER(S772)," ",""),":",": "))),0)),"Não encontrado")</f>
        <v>Não encontrado</v>
      </c>
      <c r="E772" s="42" t="str" cm="1">
        <f t="array" ref="E772">IFERROR(INDEX({"IMPEDITIVO"},MATCH(TRUE,ISNUMBER(FIND(SUBSTITUTE(SUBSTITUTE(UPPER({"IMPEDITIVO"})," ",""),":",": "),SUBSTITUTE(SUBSTITUTE(UPPER(S772)," ",""),":",": "))),0)),"-")</f>
        <v>-</v>
      </c>
      <c r="K772" s="49"/>
    </row>
    <row r="773" spans="1:11" x14ac:dyDescent="0.25">
      <c r="A773" s="46" t="str" cm="1">
        <f t="array" ref="A773">IFERROR(INDEX(#REF!,MATCH(TRUE,ISNUMBER(FIND(SUBSTITUTE(SUBSTITUTE(UPPER(#REF!)," ",""),":",": "),SUBSTITUTE(SUBSTITUTE(UPPER(S773)," ",""),":",": "))),0)),"Undefined")</f>
        <v>Undefined</v>
      </c>
      <c r="B773" s="42" t="str" cm="1">
        <f t="array" ref="B773">IFERROR(INDEX({"URGENTE"},MATCH(TRUE,ISNUMBER(FIND(SUBSTITUTE(SUBSTITUTE(UPPER({"URGENTE"})," ",""),":",": "),SUBSTITUTE(SUBSTITUTE(UPPER(S773)," ",""),":",": "))),0)),"-")</f>
        <v>-</v>
      </c>
      <c r="C773" s="46" t="str" cm="1">
        <f t="array" ref="C773">IFERROR(INDEX(#REF!,MATCH(TRUE,ISNUMBER(FIND(SUBSTITUTE(SUBSTITUTE(UPPER(#REF!)," ",""),":",": "),SUBSTITUTE(SUBSTITUTE(UPPER(S773)," ",""),":",": "))),0)),"Não encontrado")</f>
        <v>Não encontrado</v>
      </c>
      <c r="D773" s="46" t="str" cm="1">
        <f t="array" ref="D773">IFERROR(INDEX(#REF!,MATCH(TRUE,ISNUMBER(FIND(SUBSTITUTE(SUBSTITUTE(UPPER(#REF!)," ",""),":",": "),SUBSTITUTE(SUBSTITUTE(UPPER(S773)," ",""),":",": "))),0)),"Não encontrado")</f>
        <v>Não encontrado</v>
      </c>
      <c r="E773" s="42" t="str" cm="1">
        <f t="array" ref="E773">IFERROR(INDEX({"IMPEDITIVO"},MATCH(TRUE,ISNUMBER(FIND(SUBSTITUTE(SUBSTITUTE(UPPER({"IMPEDITIVO"})," ",""),":",": "),SUBSTITUTE(SUBSTITUTE(UPPER(S773)," ",""),":",": "))),0)),"-")</f>
        <v>-</v>
      </c>
      <c r="K773" s="49"/>
    </row>
    <row r="774" spans="1:11" x14ac:dyDescent="0.25">
      <c r="A774" s="46" t="str" cm="1">
        <f t="array" ref="A774">IFERROR(INDEX(#REF!,MATCH(TRUE,ISNUMBER(FIND(SUBSTITUTE(SUBSTITUTE(UPPER(#REF!)," ",""),":",": "),SUBSTITUTE(SUBSTITUTE(UPPER(S774)," ",""),":",": "))),0)),"Undefined")</f>
        <v>Undefined</v>
      </c>
      <c r="B774" s="42" t="str" cm="1">
        <f t="array" ref="B774">IFERROR(INDEX({"URGENTE"},MATCH(TRUE,ISNUMBER(FIND(SUBSTITUTE(SUBSTITUTE(UPPER({"URGENTE"})," ",""),":",": "),SUBSTITUTE(SUBSTITUTE(UPPER(S774)," ",""),":",": "))),0)),"-")</f>
        <v>-</v>
      </c>
      <c r="C774" s="46" t="str" cm="1">
        <f t="array" ref="C774">IFERROR(INDEX(#REF!,MATCH(TRUE,ISNUMBER(FIND(SUBSTITUTE(SUBSTITUTE(UPPER(#REF!)," ",""),":",": "),SUBSTITUTE(SUBSTITUTE(UPPER(S774)," ",""),":",": "))),0)),"Não encontrado")</f>
        <v>Não encontrado</v>
      </c>
      <c r="D774" s="46" t="str" cm="1">
        <f t="array" ref="D774">IFERROR(INDEX(#REF!,MATCH(TRUE,ISNUMBER(FIND(SUBSTITUTE(SUBSTITUTE(UPPER(#REF!)," ",""),":",": "),SUBSTITUTE(SUBSTITUTE(UPPER(S774)," ",""),":",": "))),0)),"Não encontrado")</f>
        <v>Não encontrado</v>
      </c>
      <c r="E774" s="42" t="str" cm="1">
        <f t="array" ref="E774">IFERROR(INDEX({"IMPEDITIVO"},MATCH(TRUE,ISNUMBER(FIND(SUBSTITUTE(SUBSTITUTE(UPPER({"IMPEDITIVO"})," ",""),":",": "),SUBSTITUTE(SUBSTITUTE(UPPER(S774)," ",""),":",": "))),0)),"-")</f>
        <v>-</v>
      </c>
      <c r="K774" s="49"/>
    </row>
    <row r="775" spans="1:11" x14ac:dyDescent="0.25">
      <c r="A775" s="46" t="str" cm="1">
        <f t="array" ref="A775">IFERROR(INDEX(#REF!,MATCH(TRUE,ISNUMBER(FIND(SUBSTITUTE(SUBSTITUTE(UPPER(#REF!)," ",""),":",": "),SUBSTITUTE(SUBSTITUTE(UPPER(S775)," ",""),":",": "))),0)),"Undefined")</f>
        <v>Undefined</v>
      </c>
      <c r="B775" s="42" t="str" cm="1">
        <f t="array" ref="B775">IFERROR(INDEX({"URGENTE"},MATCH(TRUE,ISNUMBER(FIND(SUBSTITUTE(SUBSTITUTE(UPPER({"URGENTE"})," ",""),":",": "),SUBSTITUTE(SUBSTITUTE(UPPER(S775)," ",""),":",": "))),0)),"-")</f>
        <v>-</v>
      </c>
      <c r="C775" s="46" t="str" cm="1">
        <f t="array" ref="C775">IFERROR(INDEX(#REF!,MATCH(TRUE,ISNUMBER(FIND(SUBSTITUTE(SUBSTITUTE(UPPER(#REF!)," ",""),":",": "),SUBSTITUTE(SUBSTITUTE(UPPER(S775)," ",""),":",": "))),0)),"Não encontrado")</f>
        <v>Não encontrado</v>
      </c>
      <c r="D775" s="46" t="str" cm="1">
        <f t="array" ref="D775">IFERROR(INDEX(#REF!,MATCH(TRUE,ISNUMBER(FIND(SUBSTITUTE(SUBSTITUTE(UPPER(#REF!)," ",""),":",": "),SUBSTITUTE(SUBSTITUTE(UPPER(S775)," ",""),":",": "))),0)),"Não encontrado")</f>
        <v>Não encontrado</v>
      </c>
      <c r="E775" s="42" t="str" cm="1">
        <f t="array" ref="E775">IFERROR(INDEX({"IMPEDITIVO"},MATCH(TRUE,ISNUMBER(FIND(SUBSTITUTE(SUBSTITUTE(UPPER({"IMPEDITIVO"})," ",""),":",": "),SUBSTITUTE(SUBSTITUTE(UPPER(S775)," ",""),":",": "))),0)),"-")</f>
        <v>-</v>
      </c>
      <c r="K775" s="49"/>
    </row>
    <row r="776" spans="1:11" x14ac:dyDescent="0.25">
      <c r="A776" s="46" t="str" cm="1">
        <f t="array" ref="A776">IFERROR(INDEX(#REF!,MATCH(TRUE,ISNUMBER(FIND(SUBSTITUTE(SUBSTITUTE(UPPER(#REF!)," ",""),":",": "),SUBSTITUTE(SUBSTITUTE(UPPER(S776)," ",""),":",": "))),0)),"Undefined")</f>
        <v>Undefined</v>
      </c>
      <c r="B776" s="42" t="str" cm="1">
        <f t="array" ref="B776">IFERROR(INDEX({"URGENTE"},MATCH(TRUE,ISNUMBER(FIND(SUBSTITUTE(SUBSTITUTE(UPPER({"URGENTE"})," ",""),":",": "),SUBSTITUTE(SUBSTITUTE(UPPER(S776)," ",""),":",": "))),0)),"-")</f>
        <v>-</v>
      </c>
      <c r="C776" s="46" t="str" cm="1">
        <f t="array" ref="C776">IFERROR(INDEX(#REF!,MATCH(TRUE,ISNUMBER(FIND(SUBSTITUTE(SUBSTITUTE(UPPER(#REF!)," ",""),":",": "),SUBSTITUTE(SUBSTITUTE(UPPER(S776)," ",""),":",": "))),0)),"Não encontrado")</f>
        <v>Não encontrado</v>
      </c>
      <c r="D776" s="46" t="str" cm="1">
        <f t="array" ref="D776">IFERROR(INDEX(#REF!,MATCH(TRUE,ISNUMBER(FIND(SUBSTITUTE(SUBSTITUTE(UPPER(#REF!)," ",""),":",": "),SUBSTITUTE(SUBSTITUTE(UPPER(S776)," ",""),":",": "))),0)),"Não encontrado")</f>
        <v>Não encontrado</v>
      </c>
      <c r="E776" s="42" t="str" cm="1">
        <f t="array" ref="E776">IFERROR(INDEX({"IMPEDITIVO"},MATCH(TRUE,ISNUMBER(FIND(SUBSTITUTE(SUBSTITUTE(UPPER({"IMPEDITIVO"})," ",""),":",": "),SUBSTITUTE(SUBSTITUTE(UPPER(S776)," ",""),":",": "))),0)),"-")</f>
        <v>-</v>
      </c>
      <c r="K776" s="49"/>
    </row>
    <row r="777" spans="1:11" x14ac:dyDescent="0.25">
      <c r="A777" s="46" t="str" cm="1">
        <f t="array" ref="A777">IFERROR(INDEX(#REF!,MATCH(TRUE,ISNUMBER(FIND(SUBSTITUTE(SUBSTITUTE(UPPER(#REF!)," ",""),":",": "),SUBSTITUTE(SUBSTITUTE(UPPER(S777)," ",""),":",": "))),0)),"Undefined")</f>
        <v>Undefined</v>
      </c>
      <c r="B777" s="42" t="str" cm="1">
        <f t="array" ref="B777">IFERROR(INDEX({"URGENTE"},MATCH(TRUE,ISNUMBER(FIND(SUBSTITUTE(SUBSTITUTE(UPPER({"URGENTE"})," ",""),":",": "),SUBSTITUTE(SUBSTITUTE(UPPER(S777)," ",""),":",": "))),0)),"-")</f>
        <v>-</v>
      </c>
      <c r="C777" s="46" t="str" cm="1">
        <f t="array" ref="C777">IFERROR(INDEX(#REF!,MATCH(TRUE,ISNUMBER(FIND(SUBSTITUTE(SUBSTITUTE(UPPER(#REF!)," ",""),":",": "),SUBSTITUTE(SUBSTITUTE(UPPER(S777)," ",""),":",": "))),0)),"Não encontrado")</f>
        <v>Não encontrado</v>
      </c>
      <c r="D777" s="46" t="str" cm="1">
        <f t="array" ref="D777">IFERROR(INDEX(#REF!,MATCH(TRUE,ISNUMBER(FIND(SUBSTITUTE(SUBSTITUTE(UPPER(#REF!)," ",""),":",": "),SUBSTITUTE(SUBSTITUTE(UPPER(S777)," ",""),":",": "))),0)),"Não encontrado")</f>
        <v>Não encontrado</v>
      </c>
      <c r="E777" s="42" t="str" cm="1">
        <f t="array" ref="E777">IFERROR(INDEX({"IMPEDITIVO"},MATCH(TRUE,ISNUMBER(FIND(SUBSTITUTE(SUBSTITUTE(UPPER({"IMPEDITIVO"})," ",""),":",": "),SUBSTITUTE(SUBSTITUTE(UPPER(S777)," ",""),":",": "))),0)),"-")</f>
        <v>-</v>
      </c>
      <c r="K777" s="49"/>
    </row>
    <row r="778" spans="1:11" x14ac:dyDescent="0.25">
      <c r="A778" s="46" t="str" cm="1">
        <f t="array" ref="A778">IFERROR(INDEX(#REF!,MATCH(TRUE,ISNUMBER(FIND(SUBSTITUTE(SUBSTITUTE(UPPER(#REF!)," ",""),":",": "),SUBSTITUTE(SUBSTITUTE(UPPER(S778)," ",""),":",": "))),0)),"Undefined")</f>
        <v>Undefined</v>
      </c>
      <c r="B778" s="42" t="str" cm="1">
        <f t="array" ref="B778">IFERROR(INDEX({"URGENTE"},MATCH(TRUE,ISNUMBER(FIND(SUBSTITUTE(SUBSTITUTE(UPPER({"URGENTE"})," ",""),":",": "),SUBSTITUTE(SUBSTITUTE(UPPER(S778)," ",""),":",": "))),0)),"-")</f>
        <v>-</v>
      </c>
      <c r="C778" s="46" t="str" cm="1">
        <f t="array" ref="C778">IFERROR(INDEX(#REF!,MATCH(TRUE,ISNUMBER(FIND(SUBSTITUTE(SUBSTITUTE(UPPER(#REF!)," ",""),":",": "),SUBSTITUTE(SUBSTITUTE(UPPER(S778)," ",""),":",": "))),0)),"Não encontrado")</f>
        <v>Não encontrado</v>
      </c>
      <c r="D778" s="46" t="str" cm="1">
        <f t="array" ref="D778">IFERROR(INDEX(#REF!,MATCH(TRUE,ISNUMBER(FIND(SUBSTITUTE(SUBSTITUTE(UPPER(#REF!)," ",""),":",": "),SUBSTITUTE(SUBSTITUTE(UPPER(S778)," ",""),":",": "))),0)),"Não encontrado")</f>
        <v>Não encontrado</v>
      </c>
      <c r="E778" s="42" t="str" cm="1">
        <f t="array" ref="E778">IFERROR(INDEX({"IMPEDITIVO"},MATCH(TRUE,ISNUMBER(FIND(SUBSTITUTE(SUBSTITUTE(UPPER({"IMPEDITIVO"})," ",""),":",": "),SUBSTITUTE(SUBSTITUTE(UPPER(S778)," ",""),":",": "))),0)),"-")</f>
        <v>-</v>
      </c>
      <c r="K778" s="49"/>
    </row>
    <row r="779" spans="1:11" x14ac:dyDescent="0.25">
      <c r="A779" s="46" t="str" cm="1">
        <f t="array" ref="A779">IFERROR(INDEX(#REF!,MATCH(TRUE,ISNUMBER(FIND(SUBSTITUTE(SUBSTITUTE(UPPER(#REF!)," ",""),":",": "),SUBSTITUTE(SUBSTITUTE(UPPER(S779)," ",""),":",": "))),0)),"Undefined")</f>
        <v>Undefined</v>
      </c>
      <c r="B779" s="42" t="str" cm="1">
        <f t="array" ref="B779">IFERROR(INDEX({"URGENTE"},MATCH(TRUE,ISNUMBER(FIND(SUBSTITUTE(SUBSTITUTE(UPPER({"URGENTE"})," ",""),":",": "),SUBSTITUTE(SUBSTITUTE(UPPER(S779)," ",""),":",": "))),0)),"-")</f>
        <v>-</v>
      </c>
      <c r="C779" s="46" t="str" cm="1">
        <f t="array" ref="C779">IFERROR(INDEX(#REF!,MATCH(TRUE,ISNUMBER(FIND(SUBSTITUTE(SUBSTITUTE(UPPER(#REF!)," ",""),":",": "),SUBSTITUTE(SUBSTITUTE(UPPER(S779)," ",""),":",": "))),0)),"Não encontrado")</f>
        <v>Não encontrado</v>
      </c>
      <c r="D779" s="46" t="str" cm="1">
        <f t="array" ref="D779">IFERROR(INDEX(#REF!,MATCH(TRUE,ISNUMBER(FIND(SUBSTITUTE(SUBSTITUTE(UPPER(#REF!)," ",""),":",": "),SUBSTITUTE(SUBSTITUTE(UPPER(S779)," ",""),":",": "))),0)),"Não encontrado")</f>
        <v>Não encontrado</v>
      </c>
      <c r="E779" s="42" t="str" cm="1">
        <f t="array" ref="E779">IFERROR(INDEX({"IMPEDITIVO"},MATCH(TRUE,ISNUMBER(FIND(SUBSTITUTE(SUBSTITUTE(UPPER({"IMPEDITIVO"})," ",""),":",": "),SUBSTITUTE(SUBSTITUTE(UPPER(S779)," ",""),":",": "))),0)),"-")</f>
        <v>-</v>
      </c>
      <c r="K779" s="49"/>
    </row>
    <row r="780" spans="1:11" x14ac:dyDescent="0.25">
      <c r="A780" s="46" t="str" cm="1">
        <f t="array" ref="A780">IFERROR(INDEX(#REF!,MATCH(TRUE,ISNUMBER(FIND(SUBSTITUTE(SUBSTITUTE(UPPER(#REF!)," ",""),":",": "),SUBSTITUTE(SUBSTITUTE(UPPER(S780)," ",""),":",": "))),0)),"Undefined")</f>
        <v>Undefined</v>
      </c>
      <c r="B780" s="42" t="str" cm="1">
        <f t="array" ref="B780">IFERROR(INDEX({"URGENTE"},MATCH(TRUE,ISNUMBER(FIND(SUBSTITUTE(SUBSTITUTE(UPPER({"URGENTE"})," ",""),":",": "),SUBSTITUTE(SUBSTITUTE(UPPER(S780)," ",""),":",": "))),0)),"-")</f>
        <v>-</v>
      </c>
      <c r="C780" s="46" t="str" cm="1">
        <f t="array" ref="C780">IFERROR(INDEX(#REF!,MATCH(TRUE,ISNUMBER(FIND(SUBSTITUTE(SUBSTITUTE(UPPER(#REF!)," ",""),":",": "),SUBSTITUTE(SUBSTITUTE(UPPER(S780)," ",""),":",": "))),0)),"Não encontrado")</f>
        <v>Não encontrado</v>
      </c>
      <c r="D780" s="46" t="str" cm="1">
        <f t="array" ref="D780">IFERROR(INDEX(#REF!,MATCH(TRUE,ISNUMBER(FIND(SUBSTITUTE(SUBSTITUTE(UPPER(#REF!)," ",""),":",": "),SUBSTITUTE(SUBSTITUTE(UPPER(S780)," ",""),":",": "))),0)),"Não encontrado")</f>
        <v>Não encontrado</v>
      </c>
      <c r="E780" s="42" t="str" cm="1">
        <f t="array" ref="E780">IFERROR(INDEX({"IMPEDITIVO"},MATCH(TRUE,ISNUMBER(FIND(SUBSTITUTE(SUBSTITUTE(UPPER({"IMPEDITIVO"})," ",""),":",": "),SUBSTITUTE(SUBSTITUTE(UPPER(S780)," ",""),":",": "))),0)),"-")</f>
        <v>-</v>
      </c>
      <c r="K780" s="49"/>
    </row>
    <row r="781" spans="1:11" x14ac:dyDescent="0.25">
      <c r="A781" s="46" t="str" cm="1">
        <f t="array" ref="A781">IFERROR(INDEX(#REF!,MATCH(TRUE,ISNUMBER(FIND(SUBSTITUTE(SUBSTITUTE(UPPER(#REF!)," ",""),":",": "),SUBSTITUTE(SUBSTITUTE(UPPER(S781)," ",""),":",": "))),0)),"Undefined")</f>
        <v>Undefined</v>
      </c>
      <c r="B781" s="42" t="str" cm="1">
        <f t="array" ref="B781">IFERROR(INDEX({"URGENTE"},MATCH(TRUE,ISNUMBER(FIND(SUBSTITUTE(SUBSTITUTE(UPPER({"URGENTE"})," ",""),":",": "),SUBSTITUTE(SUBSTITUTE(UPPER(S781)," ",""),":",": "))),0)),"-")</f>
        <v>-</v>
      </c>
      <c r="C781" s="46" t="str" cm="1">
        <f t="array" ref="C781">IFERROR(INDEX(#REF!,MATCH(TRUE,ISNUMBER(FIND(SUBSTITUTE(SUBSTITUTE(UPPER(#REF!)," ",""),":",": "),SUBSTITUTE(SUBSTITUTE(UPPER(S781)," ",""),":",": "))),0)),"Não encontrado")</f>
        <v>Não encontrado</v>
      </c>
      <c r="D781" s="46" t="str" cm="1">
        <f t="array" ref="D781">IFERROR(INDEX(#REF!,MATCH(TRUE,ISNUMBER(FIND(SUBSTITUTE(SUBSTITUTE(UPPER(#REF!)," ",""),":",": "),SUBSTITUTE(SUBSTITUTE(UPPER(S781)," ",""),":",": "))),0)),"Não encontrado")</f>
        <v>Não encontrado</v>
      </c>
      <c r="E781" s="42" t="str" cm="1">
        <f t="array" ref="E781">IFERROR(INDEX({"IMPEDITIVO"},MATCH(TRUE,ISNUMBER(FIND(SUBSTITUTE(SUBSTITUTE(UPPER({"IMPEDITIVO"})," ",""),":",": "),SUBSTITUTE(SUBSTITUTE(UPPER(S781)," ",""),":",": "))),0)),"-")</f>
        <v>-</v>
      </c>
      <c r="K781" s="49"/>
    </row>
    <row r="782" spans="1:11" x14ac:dyDescent="0.25">
      <c r="A782" s="46" t="str" cm="1">
        <f t="array" ref="A782">IFERROR(INDEX(#REF!,MATCH(TRUE,ISNUMBER(FIND(SUBSTITUTE(SUBSTITUTE(UPPER(#REF!)," ",""),":",": "),SUBSTITUTE(SUBSTITUTE(UPPER(S782)," ",""),":",": "))),0)),"Undefined")</f>
        <v>Undefined</v>
      </c>
      <c r="B782" s="42" t="str" cm="1">
        <f t="array" ref="B782">IFERROR(INDEX({"URGENTE"},MATCH(TRUE,ISNUMBER(FIND(SUBSTITUTE(SUBSTITUTE(UPPER({"URGENTE"})," ",""),":",": "),SUBSTITUTE(SUBSTITUTE(UPPER(S782)," ",""),":",": "))),0)),"-")</f>
        <v>-</v>
      </c>
      <c r="C782" s="46" t="str" cm="1">
        <f t="array" ref="C782">IFERROR(INDEX(#REF!,MATCH(TRUE,ISNUMBER(FIND(SUBSTITUTE(SUBSTITUTE(UPPER(#REF!)," ",""),":",": "),SUBSTITUTE(SUBSTITUTE(UPPER(S782)," ",""),":",": "))),0)),"Não encontrado")</f>
        <v>Não encontrado</v>
      </c>
      <c r="D782" s="46" t="str" cm="1">
        <f t="array" ref="D782">IFERROR(INDEX(#REF!,MATCH(TRUE,ISNUMBER(FIND(SUBSTITUTE(SUBSTITUTE(UPPER(#REF!)," ",""),":",": "),SUBSTITUTE(SUBSTITUTE(UPPER(S782)," ",""),":",": "))),0)),"Não encontrado")</f>
        <v>Não encontrado</v>
      </c>
      <c r="E782" s="42" t="str" cm="1">
        <f t="array" ref="E782">IFERROR(INDEX({"IMPEDITIVO"},MATCH(TRUE,ISNUMBER(FIND(SUBSTITUTE(SUBSTITUTE(UPPER({"IMPEDITIVO"})," ",""),":",": "),SUBSTITUTE(SUBSTITUTE(UPPER(S782)," ",""),":",": "))),0)),"-")</f>
        <v>-</v>
      </c>
      <c r="K782" s="49"/>
    </row>
    <row r="783" spans="1:11" x14ac:dyDescent="0.25">
      <c r="A783" s="46" t="str" cm="1">
        <f t="array" ref="A783">IFERROR(INDEX(#REF!,MATCH(TRUE,ISNUMBER(FIND(SUBSTITUTE(SUBSTITUTE(UPPER(#REF!)," ",""),":",": "),SUBSTITUTE(SUBSTITUTE(UPPER(S783)," ",""),":",": "))),0)),"Undefined")</f>
        <v>Undefined</v>
      </c>
      <c r="B783" s="42" t="str" cm="1">
        <f t="array" ref="B783">IFERROR(INDEX({"URGENTE"},MATCH(TRUE,ISNUMBER(FIND(SUBSTITUTE(SUBSTITUTE(UPPER({"URGENTE"})," ",""),":",": "),SUBSTITUTE(SUBSTITUTE(UPPER(S783)," ",""),":",": "))),0)),"-")</f>
        <v>-</v>
      </c>
      <c r="C783" s="46" t="str" cm="1">
        <f t="array" ref="C783">IFERROR(INDEX(#REF!,MATCH(TRUE,ISNUMBER(FIND(SUBSTITUTE(SUBSTITUTE(UPPER(#REF!)," ",""),":",": "),SUBSTITUTE(SUBSTITUTE(UPPER(S783)," ",""),":",": "))),0)),"Não encontrado")</f>
        <v>Não encontrado</v>
      </c>
      <c r="D783" s="46" t="str" cm="1">
        <f t="array" ref="D783">IFERROR(INDEX(#REF!,MATCH(TRUE,ISNUMBER(FIND(SUBSTITUTE(SUBSTITUTE(UPPER(#REF!)," ",""),":",": "),SUBSTITUTE(SUBSTITUTE(UPPER(S783)," ",""),":",": "))),0)),"Não encontrado")</f>
        <v>Não encontrado</v>
      </c>
      <c r="E783" s="42" t="str" cm="1">
        <f t="array" ref="E783">IFERROR(INDEX({"IMPEDITIVO"},MATCH(TRUE,ISNUMBER(FIND(SUBSTITUTE(SUBSTITUTE(UPPER({"IMPEDITIVO"})," ",""),":",": "),SUBSTITUTE(SUBSTITUTE(UPPER(S783)," ",""),":",": "))),0)),"-")</f>
        <v>-</v>
      </c>
      <c r="K783" s="49"/>
    </row>
    <row r="784" spans="1:11" x14ac:dyDescent="0.25">
      <c r="A784" s="46" t="str" cm="1">
        <f t="array" ref="A784">IFERROR(INDEX(#REF!,MATCH(TRUE,ISNUMBER(FIND(SUBSTITUTE(SUBSTITUTE(UPPER(#REF!)," ",""),":",": "),SUBSTITUTE(SUBSTITUTE(UPPER(S784)," ",""),":",": "))),0)),"Undefined")</f>
        <v>Undefined</v>
      </c>
      <c r="B784" s="42" t="str" cm="1">
        <f t="array" ref="B784">IFERROR(INDEX({"URGENTE"},MATCH(TRUE,ISNUMBER(FIND(SUBSTITUTE(SUBSTITUTE(UPPER({"URGENTE"})," ",""),":",": "),SUBSTITUTE(SUBSTITUTE(UPPER(S784)," ",""),":",": "))),0)),"-")</f>
        <v>-</v>
      </c>
      <c r="C784" s="46" t="str" cm="1">
        <f t="array" ref="C784">IFERROR(INDEX(#REF!,MATCH(TRUE,ISNUMBER(FIND(SUBSTITUTE(SUBSTITUTE(UPPER(#REF!)," ",""),":",": "),SUBSTITUTE(SUBSTITUTE(UPPER(S784)," ",""),":",": "))),0)),"Não encontrado")</f>
        <v>Não encontrado</v>
      </c>
      <c r="D784" s="46" t="str" cm="1">
        <f t="array" ref="D784">IFERROR(INDEX(#REF!,MATCH(TRUE,ISNUMBER(FIND(SUBSTITUTE(SUBSTITUTE(UPPER(#REF!)," ",""),":",": "),SUBSTITUTE(SUBSTITUTE(UPPER(S784)," ",""),":",": "))),0)),"Não encontrado")</f>
        <v>Não encontrado</v>
      </c>
      <c r="E784" s="42" t="str" cm="1">
        <f t="array" ref="E784">IFERROR(INDEX({"IMPEDITIVO"},MATCH(TRUE,ISNUMBER(FIND(SUBSTITUTE(SUBSTITUTE(UPPER({"IMPEDITIVO"})," ",""),":",": "),SUBSTITUTE(SUBSTITUTE(UPPER(S784)," ",""),":",": "))),0)),"-")</f>
        <v>-</v>
      </c>
      <c r="K784" s="49"/>
    </row>
    <row r="785" spans="1:11" x14ac:dyDescent="0.25">
      <c r="A785" s="46" t="str" cm="1">
        <f t="array" ref="A785">IFERROR(INDEX(#REF!,MATCH(TRUE,ISNUMBER(FIND(SUBSTITUTE(SUBSTITUTE(UPPER(#REF!)," ",""),":",": "),SUBSTITUTE(SUBSTITUTE(UPPER(S785)," ",""),":",": "))),0)),"Undefined")</f>
        <v>Undefined</v>
      </c>
      <c r="B785" s="42" t="str" cm="1">
        <f t="array" ref="B785">IFERROR(INDEX({"URGENTE"},MATCH(TRUE,ISNUMBER(FIND(SUBSTITUTE(SUBSTITUTE(UPPER({"URGENTE"})," ",""),":",": "),SUBSTITUTE(SUBSTITUTE(UPPER(S785)," ",""),":",": "))),0)),"-")</f>
        <v>-</v>
      </c>
      <c r="C785" s="46" t="str" cm="1">
        <f t="array" ref="C785">IFERROR(INDEX(#REF!,MATCH(TRUE,ISNUMBER(FIND(SUBSTITUTE(SUBSTITUTE(UPPER(#REF!)," ",""),":",": "),SUBSTITUTE(SUBSTITUTE(UPPER(S785)," ",""),":",": "))),0)),"Não encontrado")</f>
        <v>Não encontrado</v>
      </c>
      <c r="D785" s="46" t="str" cm="1">
        <f t="array" ref="D785">IFERROR(INDEX(#REF!,MATCH(TRUE,ISNUMBER(FIND(SUBSTITUTE(SUBSTITUTE(UPPER(#REF!)," ",""),":",": "),SUBSTITUTE(SUBSTITUTE(UPPER(S785)," ",""),":",": "))),0)),"Não encontrado")</f>
        <v>Não encontrado</v>
      </c>
      <c r="E785" s="42" t="str" cm="1">
        <f t="array" ref="E785">IFERROR(INDEX({"IMPEDITIVO"},MATCH(TRUE,ISNUMBER(FIND(SUBSTITUTE(SUBSTITUTE(UPPER({"IMPEDITIVO"})," ",""),":",": "),SUBSTITUTE(SUBSTITUTE(UPPER(S785)," ",""),":",": "))),0)),"-")</f>
        <v>-</v>
      </c>
      <c r="K785" s="49"/>
    </row>
    <row r="786" spans="1:11" x14ac:dyDescent="0.25">
      <c r="A786" s="46" t="str" cm="1">
        <f t="array" ref="A786">IFERROR(INDEX(#REF!,MATCH(TRUE,ISNUMBER(FIND(SUBSTITUTE(SUBSTITUTE(UPPER(#REF!)," ",""),":",": "),SUBSTITUTE(SUBSTITUTE(UPPER(S786)," ",""),":",": "))),0)),"Undefined")</f>
        <v>Undefined</v>
      </c>
      <c r="B786" s="42" t="str" cm="1">
        <f t="array" ref="B786">IFERROR(INDEX({"URGENTE"},MATCH(TRUE,ISNUMBER(FIND(SUBSTITUTE(SUBSTITUTE(UPPER({"URGENTE"})," ",""),":",": "),SUBSTITUTE(SUBSTITUTE(UPPER(S786)," ",""),":",": "))),0)),"-")</f>
        <v>-</v>
      </c>
      <c r="C786" s="46" t="str" cm="1">
        <f t="array" ref="C786">IFERROR(INDEX(#REF!,MATCH(TRUE,ISNUMBER(FIND(SUBSTITUTE(SUBSTITUTE(UPPER(#REF!)," ",""),":",": "),SUBSTITUTE(SUBSTITUTE(UPPER(S786)," ",""),":",": "))),0)),"Não encontrado")</f>
        <v>Não encontrado</v>
      </c>
      <c r="D786" s="46" t="str" cm="1">
        <f t="array" ref="D786">IFERROR(INDEX(#REF!,MATCH(TRUE,ISNUMBER(FIND(SUBSTITUTE(SUBSTITUTE(UPPER(#REF!)," ",""),":",": "),SUBSTITUTE(SUBSTITUTE(UPPER(S786)," ",""),":",": "))),0)),"Não encontrado")</f>
        <v>Não encontrado</v>
      </c>
      <c r="E786" s="42" t="str" cm="1">
        <f t="array" ref="E786">IFERROR(INDEX({"IMPEDITIVO"},MATCH(TRUE,ISNUMBER(FIND(SUBSTITUTE(SUBSTITUTE(UPPER({"IMPEDITIVO"})," ",""),":",": "),SUBSTITUTE(SUBSTITUTE(UPPER(S786)," ",""),":",": "))),0)),"-")</f>
        <v>-</v>
      </c>
      <c r="K786" s="49"/>
    </row>
    <row r="787" spans="1:11" x14ac:dyDescent="0.25">
      <c r="A787" s="46" t="str" cm="1">
        <f t="array" ref="A787">IFERROR(INDEX(#REF!,MATCH(TRUE,ISNUMBER(FIND(SUBSTITUTE(SUBSTITUTE(UPPER(#REF!)," ",""),":",": "),SUBSTITUTE(SUBSTITUTE(UPPER(S787)," ",""),":",": "))),0)),"Undefined")</f>
        <v>Undefined</v>
      </c>
      <c r="B787" s="42" t="str" cm="1">
        <f t="array" ref="B787">IFERROR(INDEX({"URGENTE"},MATCH(TRUE,ISNUMBER(FIND(SUBSTITUTE(SUBSTITUTE(UPPER({"URGENTE"})," ",""),":",": "),SUBSTITUTE(SUBSTITUTE(UPPER(S787)," ",""),":",": "))),0)),"-")</f>
        <v>-</v>
      </c>
      <c r="C787" s="46" t="str" cm="1">
        <f t="array" ref="C787">IFERROR(INDEX(#REF!,MATCH(TRUE,ISNUMBER(FIND(SUBSTITUTE(SUBSTITUTE(UPPER(#REF!)," ",""),":",": "),SUBSTITUTE(SUBSTITUTE(UPPER(S787)," ",""),":",": "))),0)),"Não encontrado")</f>
        <v>Não encontrado</v>
      </c>
      <c r="D787" s="46" t="str" cm="1">
        <f t="array" ref="D787">IFERROR(INDEX(#REF!,MATCH(TRUE,ISNUMBER(FIND(SUBSTITUTE(SUBSTITUTE(UPPER(#REF!)," ",""),":",": "),SUBSTITUTE(SUBSTITUTE(UPPER(S787)," ",""),":",": "))),0)),"Não encontrado")</f>
        <v>Não encontrado</v>
      </c>
      <c r="E787" s="42" t="str" cm="1">
        <f t="array" ref="E787">IFERROR(INDEX({"IMPEDITIVO"},MATCH(TRUE,ISNUMBER(FIND(SUBSTITUTE(SUBSTITUTE(UPPER({"IMPEDITIVO"})," ",""),":",": "),SUBSTITUTE(SUBSTITUTE(UPPER(S787)," ",""),":",": "))),0)),"-")</f>
        <v>-</v>
      </c>
      <c r="K787" s="49"/>
    </row>
    <row r="788" spans="1:11" x14ac:dyDescent="0.25">
      <c r="A788" s="46" t="str" cm="1">
        <f t="array" ref="A788">IFERROR(INDEX(#REF!,MATCH(TRUE,ISNUMBER(FIND(SUBSTITUTE(SUBSTITUTE(UPPER(#REF!)," ",""),":",": "),SUBSTITUTE(SUBSTITUTE(UPPER(S788)," ",""),":",": "))),0)),"Undefined")</f>
        <v>Undefined</v>
      </c>
      <c r="B788" s="42" t="str" cm="1">
        <f t="array" ref="B788">IFERROR(INDEX({"URGENTE"},MATCH(TRUE,ISNUMBER(FIND(SUBSTITUTE(SUBSTITUTE(UPPER({"URGENTE"})," ",""),":",": "),SUBSTITUTE(SUBSTITUTE(UPPER(S788)," ",""),":",": "))),0)),"-")</f>
        <v>-</v>
      </c>
      <c r="C788" s="46" t="str" cm="1">
        <f t="array" ref="C788">IFERROR(INDEX(#REF!,MATCH(TRUE,ISNUMBER(FIND(SUBSTITUTE(SUBSTITUTE(UPPER(#REF!)," ",""),":",": "),SUBSTITUTE(SUBSTITUTE(UPPER(S788)," ",""),":",": "))),0)),"Não encontrado")</f>
        <v>Não encontrado</v>
      </c>
      <c r="D788" s="46" t="str" cm="1">
        <f t="array" ref="D788">IFERROR(INDEX(#REF!,MATCH(TRUE,ISNUMBER(FIND(SUBSTITUTE(SUBSTITUTE(UPPER(#REF!)," ",""),":",": "),SUBSTITUTE(SUBSTITUTE(UPPER(S788)," ",""),":",": "))),0)),"Não encontrado")</f>
        <v>Não encontrado</v>
      </c>
      <c r="E788" s="42" t="str" cm="1">
        <f t="array" ref="E788">IFERROR(INDEX({"IMPEDITIVO"},MATCH(TRUE,ISNUMBER(FIND(SUBSTITUTE(SUBSTITUTE(UPPER({"IMPEDITIVO"})," ",""),":",": "),SUBSTITUTE(SUBSTITUTE(UPPER(S788)," ",""),":",": "))),0)),"-")</f>
        <v>-</v>
      </c>
      <c r="K788" s="49"/>
    </row>
    <row r="789" spans="1:11" x14ac:dyDescent="0.25">
      <c r="A789" s="46" t="str" cm="1">
        <f t="array" ref="A789">IFERROR(INDEX(#REF!,MATCH(TRUE,ISNUMBER(FIND(SUBSTITUTE(SUBSTITUTE(UPPER(#REF!)," ",""),":",": "),SUBSTITUTE(SUBSTITUTE(UPPER(S789)," ",""),":",": "))),0)),"Undefined")</f>
        <v>Undefined</v>
      </c>
      <c r="B789" s="42" t="str" cm="1">
        <f t="array" ref="B789">IFERROR(INDEX({"URGENTE"},MATCH(TRUE,ISNUMBER(FIND(SUBSTITUTE(SUBSTITUTE(UPPER({"URGENTE"})," ",""),":",": "),SUBSTITUTE(SUBSTITUTE(UPPER(S789)," ",""),":",": "))),0)),"-")</f>
        <v>-</v>
      </c>
      <c r="C789" s="46" t="str" cm="1">
        <f t="array" ref="C789">IFERROR(INDEX(#REF!,MATCH(TRUE,ISNUMBER(FIND(SUBSTITUTE(SUBSTITUTE(UPPER(#REF!)," ",""),":",": "),SUBSTITUTE(SUBSTITUTE(UPPER(S789)," ",""),":",": "))),0)),"Não encontrado")</f>
        <v>Não encontrado</v>
      </c>
      <c r="D789" s="46" t="str" cm="1">
        <f t="array" ref="D789">IFERROR(INDEX(#REF!,MATCH(TRUE,ISNUMBER(FIND(SUBSTITUTE(SUBSTITUTE(UPPER(#REF!)," ",""),":",": "),SUBSTITUTE(SUBSTITUTE(UPPER(S789)," ",""),":",": "))),0)),"Não encontrado")</f>
        <v>Não encontrado</v>
      </c>
      <c r="E789" s="42" t="str" cm="1">
        <f t="array" ref="E789">IFERROR(INDEX({"IMPEDITIVO"},MATCH(TRUE,ISNUMBER(FIND(SUBSTITUTE(SUBSTITUTE(UPPER({"IMPEDITIVO"})," ",""),":",": "),SUBSTITUTE(SUBSTITUTE(UPPER(S789)," ",""),":",": "))),0)),"-")</f>
        <v>-</v>
      </c>
      <c r="K789" s="49"/>
    </row>
    <row r="790" spans="1:11" x14ac:dyDescent="0.25">
      <c r="A790" s="46" t="str" cm="1">
        <f t="array" ref="A790">IFERROR(INDEX(#REF!,MATCH(TRUE,ISNUMBER(FIND(SUBSTITUTE(SUBSTITUTE(UPPER(#REF!)," ",""),":",": "),SUBSTITUTE(SUBSTITUTE(UPPER(S790)," ",""),":",": "))),0)),"Undefined")</f>
        <v>Undefined</v>
      </c>
      <c r="B790" s="42" t="str" cm="1">
        <f t="array" ref="B790">IFERROR(INDEX({"URGENTE"},MATCH(TRUE,ISNUMBER(FIND(SUBSTITUTE(SUBSTITUTE(UPPER({"URGENTE"})," ",""),":",": "),SUBSTITUTE(SUBSTITUTE(UPPER(S790)," ",""),":",": "))),0)),"-")</f>
        <v>-</v>
      </c>
      <c r="C790" s="46" t="str" cm="1">
        <f t="array" ref="C790">IFERROR(INDEX(#REF!,MATCH(TRUE,ISNUMBER(FIND(SUBSTITUTE(SUBSTITUTE(UPPER(#REF!)," ",""),":",": "),SUBSTITUTE(SUBSTITUTE(UPPER(S790)," ",""),":",": "))),0)),"Não encontrado")</f>
        <v>Não encontrado</v>
      </c>
      <c r="D790" s="46" t="str" cm="1">
        <f t="array" ref="D790">IFERROR(INDEX(#REF!,MATCH(TRUE,ISNUMBER(FIND(SUBSTITUTE(SUBSTITUTE(UPPER(#REF!)," ",""),":",": "),SUBSTITUTE(SUBSTITUTE(UPPER(S790)," ",""),":",": "))),0)),"Não encontrado")</f>
        <v>Não encontrado</v>
      </c>
      <c r="E790" s="42" t="str" cm="1">
        <f t="array" ref="E790">IFERROR(INDEX({"IMPEDITIVO"},MATCH(TRUE,ISNUMBER(FIND(SUBSTITUTE(SUBSTITUTE(UPPER({"IMPEDITIVO"})," ",""),":",": "),SUBSTITUTE(SUBSTITUTE(UPPER(S790)," ",""),":",": "))),0)),"-")</f>
        <v>-</v>
      </c>
      <c r="K790" s="49"/>
    </row>
    <row r="791" spans="1:11" x14ac:dyDescent="0.25">
      <c r="A791" s="46" t="str" cm="1">
        <f t="array" ref="A791">IFERROR(INDEX(#REF!,MATCH(TRUE,ISNUMBER(FIND(SUBSTITUTE(SUBSTITUTE(UPPER(#REF!)," ",""),":",": "),SUBSTITUTE(SUBSTITUTE(UPPER(S791)," ",""),":",": "))),0)),"Undefined")</f>
        <v>Undefined</v>
      </c>
      <c r="B791" s="42" t="str" cm="1">
        <f t="array" ref="B791">IFERROR(INDEX({"URGENTE"},MATCH(TRUE,ISNUMBER(FIND(SUBSTITUTE(SUBSTITUTE(UPPER({"URGENTE"})," ",""),":",": "),SUBSTITUTE(SUBSTITUTE(UPPER(S791)," ",""),":",": "))),0)),"-")</f>
        <v>-</v>
      </c>
      <c r="C791" s="46" t="str" cm="1">
        <f t="array" ref="C791">IFERROR(INDEX(#REF!,MATCH(TRUE,ISNUMBER(FIND(SUBSTITUTE(SUBSTITUTE(UPPER(#REF!)," ",""),":",": "),SUBSTITUTE(SUBSTITUTE(UPPER(S791)," ",""),":",": "))),0)),"Não encontrado")</f>
        <v>Não encontrado</v>
      </c>
      <c r="D791" s="46" t="str" cm="1">
        <f t="array" ref="D791">IFERROR(INDEX(#REF!,MATCH(TRUE,ISNUMBER(FIND(SUBSTITUTE(SUBSTITUTE(UPPER(#REF!)," ",""),":",": "),SUBSTITUTE(SUBSTITUTE(UPPER(S791)," ",""),":",": "))),0)),"Não encontrado")</f>
        <v>Não encontrado</v>
      </c>
      <c r="E791" s="42" t="str" cm="1">
        <f t="array" ref="E791">IFERROR(INDEX({"IMPEDITIVO"},MATCH(TRUE,ISNUMBER(FIND(SUBSTITUTE(SUBSTITUTE(UPPER({"IMPEDITIVO"})," ",""),":",": "),SUBSTITUTE(SUBSTITUTE(UPPER(S791)," ",""),":",": "))),0)),"-")</f>
        <v>-</v>
      </c>
      <c r="K791" s="49"/>
    </row>
    <row r="792" spans="1:11" x14ac:dyDescent="0.25">
      <c r="A792" s="46" t="str" cm="1">
        <f t="array" ref="A792">IFERROR(INDEX(#REF!,MATCH(TRUE,ISNUMBER(FIND(SUBSTITUTE(SUBSTITUTE(UPPER(#REF!)," ",""),":",": "),SUBSTITUTE(SUBSTITUTE(UPPER(S792)," ",""),":",": "))),0)),"Undefined")</f>
        <v>Undefined</v>
      </c>
      <c r="B792" s="42" t="str" cm="1">
        <f t="array" ref="B792">IFERROR(INDEX({"URGENTE"},MATCH(TRUE,ISNUMBER(FIND(SUBSTITUTE(SUBSTITUTE(UPPER({"URGENTE"})," ",""),":",": "),SUBSTITUTE(SUBSTITUTE(UPPER(S792)," ",""),":",": "))),0)),"-")</f>
        <v>-</v>
      </c>
      <c r="C792" s="46" t="str" cm="1">
        <f t="array" ref="C792">IFERROR(INDEX(#REF!,MATCH(TRUE,ISNUMBER(FIND(SUBSTITUTE(SUBSTITUTE(UPPER(#REF!)," ",""),":",": "),SUBSTITUTE(SUBSTITUTE(UPPER(S792)," ",""),":",": "))),0)),"Não encontrado")</f>
        <v>Não encontrado</v>
      </c>
      <c r="D792" s="46" t="str" cm="1">
        <f t="array" ref="D792">IFERROR(INDEX(#REF!,MATCH(TRUE,ISNUMBER(FIND(SUBSTITUTE(SUBSTITUTE(UPPER(#REF!)," ",""),":",": "),SUBSTITUTE(SUBSTITUTE(UPPER(S792)," ",""),":",": "))),0)),"Não encontrado")</f>
        <v>Não encontrado</v>
      </c>
      <c r="E792" s="42" t="str" cm="1">
        <f t="array" ref="E792">IFERROR(INDEX({"IMPEDITIVO"},MATCH(TRUE,ISNUMBER(FIND(SUBSTITUTE(SUBSTITUTE(UPPER({"IMPEDITIVO"})," ",""),":",": "),SUBSTITUTE(SUBSTITUTE(UPPER(S792)," ",""),":",": "))),0)),"-")</f>
        <v>-</v>
      </c>
      <c r="K792" s="49"/>
    </row>
    <row r="793" spans="1:11" x14ac:dyDescent="0.25">
      <c r="A793" s="46" t="str" cm="1">
        <f t="array" ref="A793">IFERROR(INDEX(#REF!,MATCH(TRUE,ISNUMBER(FIND(SUBSTITUTE(SUBSTITUTE(UPPER(#REF!)," ",""),":",": "),SUBSTITUTE(SUBSTITUTE(UPPER(S793)," ",""),":",": "))),0)),"Undefined")</f>
        <v>Undefined</v>
      </c>
      <c r="B793" s="42" t="str" cm="1">
        <f t="array" ref="B793">IFERROR(INDEX({"URGENTE"},MATCH(TRUE,ISNUMBER(FIND(SUBSTITUTE(SUBSTITUTE(UPPER({"URGENTE"})," ",""),":",": "),SUBSTITUTE(SUBSTITUTE(UPPER(S793)," ",""),":",": "))),0)),"-")</f>
        <v>-</v>
      </c>
      <c r="C793" s="46" t="str" cm="1">
        <f t="array" ref="C793">IFERROR(INDEX(#REF!,MATCH(TRUE,ISNUMBER(FIND(SUBSTITUTE(SUBSTITUTE(UPPER(#REF!)," ",""),":",": "),SUBSTITUTE(SUBSTITUTE(UPPER(S793)," ",""),":",": "))),0)),"Não encontrado")</f>
        <v>Não encontrado</v>
      </c>
      <c r="D793" s="46" t="str" cm="1">
        <f t="array" ref="D793">IFERROR(INDEX(#REF!,MATCH(TRUE,ISNUMBER(FIND(SUBSTITUTE(SUBSTITUTE(UPPER(#REF!)," ",""),":",": "),SUBSTITUTE(SUBSTITUTE(UPPER(S793)," ",""),":",": "))),0)),"Não encontrado")</f>
        <v>Não encontrado</v>
      </c>
      <c r="E793" s="42" t="str" cm="1">
        <f t="array" ref="E793">IFERROR(INDEX({"IMPEDITIVO"},MATCH(TRUE,ISNUMBER(FIND(SUBSTITUTE(SUBSTITUTE(UPPER({"IMPEDITIVO"})," ",""),":",": "),SUBSTITUTE(SUBSTITUTE(UPPER(S793)," ",""),":",": "))),0)),"-")</f>
        <v>-</v>
      </c>
      <c r="K793" s="49"/>
    </row>
    <row r="794" spans="1:11" x14ac:dyDescent="0.25">
      <c r="A794" s="46" t="str" cm="1">
        <f t="array" ref="A794">IFERROR(INDEX(#REF!,MATCH(TRUE,ISNUMBER(FIND(SUBSTITUTE(SUBSTITUTE(UPPER(#REF!)," ",""),":",": "),SUBSTITUTE(SUBSTITUTE(UPPER(S794)," ",""),":",": "))),0)),"Undefined")</f>
        <v>Undefined</v>
      </c>
      <c r="B794" s="42" t="str" cm="1">
        <f t="array" ref="B794">IFERROR(INDEX({"URGENTE"},MATCH(TRUE,ISNUMBER(FIND(SUBSTITUTE(SUBSTITUTE(UPPER({"URGENTE"})," ",""),":",": "),SUBSTITUTE(SUBSTITUTE(UPPER(S794)," ",""),":",": "))),0)),"-")</f>
        <v>-</v>
      </c>
      <c r="C794" s="46" t="str" cm="1">
        <f t="array" ref="C794">IFERROR(INDEX(#REF!,MATCH(TRUE,ISNUMBER(FIND(SUBSTITUTE(SUBSTITUTE(UPPER(#REF!)," ",""),":",": "),SUBSTITUTE(SUBSTITUTE(UPPER(S794)," ",""),":",": "))),0)),"Não encontrado")</f>
        <v>Não encontrado</v>
      </c>
      <c r="D794" s="46" t="str" cm="1">
        <f t="array" ref="D794">IFERROR(INDEX(#REF!,MATCH(TRUE,ISNUMBER(FIND(SUBSTITUTE(SUBSTITUTE(UPPER(#REF!)," ",""),":",": "),SUBSTITUTE(SUBSTITUTE(UPPER(S794)," ",""),":",": "))),0)),"Não encontrado")</f>
        <v>Não encontrado</v>
      </c>
      <c r="E794" s="42" t="str" cm="1">
        <f t="array" ref="E794">IFERROR(INDEX({"IMPEDITIVO"},MATCH(TRUE,ISNUMBER(FIND(SUBSTITUTE(SUBSTITUTE(UPPER({"IMPEDITIVO"})," ",""),":",": "),SUBSTITUTE(SUBSTITUTE(UPPER(S794)," ",""),":",": "))),0)),"-")</f>
        <v>-</v>
      </c>
      <c r="K794" s="49"/>
    </row>
    <row r="795" spans="1:11" x14ac:dyDescent="0.25">
      <c r="A795" s="46" t="str" cm="1">
        <f t="array" ref="A795">IFERROR(INDEX(#REF!,MATCH(TRUE,ISNUMBER(FIND(SUBSTITUTE(SUBSTITUTE(UPPER(#REF!)," ",""),":",": "),SUBSTITUTE(SUBSTITUTE(UPPER(S795)," ",""),":",": "))),0)),"Undefined")</f>
        <v>Undefined</v>
      </c>
      <c r="B795" s="42" t="str" cm="1">
        <f t="array" ref="B795">IFERROR(INDEX({"URGENTE"},MATCH(TRUE,ISNUMBER(FIND(SUBSTITUTE(SUBSTITUTE(UPPER({"URGENTE"})," ",""),":",": "),SUBSTITUTE(SUBSTITUTE(UPPER(S795)," ",""),":",": "))),0)),"-")</f>
        <v>-</v>
      </c>
      <c r="C795" s="46" t="str" cm="1">
        <f t="array" ref="C795">IFERROR(INDEX(#REF!,MATCH(TRUE,ISNUMBER(FIND(SUBSTITUTE(SUBSTITUTE(UPPER(#REF!)," ",""),":",": "),SUBSTITUTE(SUBSTITUTE(UPPER(S795)," ",""),":",": "))),0)),"Não encontrado")</f>
        <v>Não encontrado</v>
      </c>
      <c r="D795" s="46" t="str" cm="1">
        <f t="array" ref="D795">IFERROR(INDEX(#REF!,MATCH(TRUE,ISNUMBER(FIND(SUBSTITUTE(SUBSTITUTE(UPPER(#REF!)," ",""),":",": "),SUBSTITUTE(SUBSTITUTE(UPPER(S795)," ",""),":",": "))),0)),"Não encontrado")</f>
        <v>Não encontrado</v>
      </c>
      <c r="E795" s="42" t="str" cm="1">
        <f t="array" ref="E795">IFERROR(INDEX({"IMPEDITIVO"},MATCH(TRUE,ISNUMBER(FIND(SUBSTITUTE(SUBSTITUTE(UPPER({"IMPEDITIVO"})," ",""),":",": "),SUBSTITUTE(SUBSTITUTE(UPPER(S795)," ",""),":",": "))),0)),"-")</f>
        <v>-</v>
      </c>
      <c r="K795" s="49"/>
    </row>
    <row r="796" spans="1:11" x14ac:dyDescent="0.25">
      <c r="A796" s="46" t="str" cm="1">
        <f t="array" ref="A796">IFERROR(INDEX(#REF!,MATCH(TRUE,ISNUMBER(FIND(SUBSTITUTE(SUBSTITUTE(UPPER(#REF!)," ",""),":",": "),SUBSTITUTE(SUBSTITUTE(UPPER(S796)," ",""),":",": "))),0)),"Undefined")</f>
        <v>Undefined</v>
      </c>
      <c r="B796" s="42" t="str" cm="1">
        <f t="array" ref="B796">IFERROR(INDEX({"URGENTE"},MATCH(TRUE,ISNUMBER(FIND(SUBSTITUTE(SUBSTITUTE(UPPER({"URGENTE"})," ",""),":",": "),SUBSTITUTE(SUBSTITUTE(UPPER(S796)," ",""),":",": "))),0)),"-")</f>
        <v>-</v>
      </c>
      <c r="C796" s="46" t="str" cm="1">
        <f t="array" ref="C796">IFERROR(INDEX(#REF!,MATCH(TRUE,ISNUMBER(FIND(SUBSTITUTE(SUBSTITUTE(UPPER(#REF!)," ",""),":",": "),SUBSTITUTE(SUBSTITUTE(UPPER(S796)," ",""),":",": "))),0)),"Não encontrado")</f>
        <v>Não encontrado</v>
      </c>
      <c r="D796" s="46" t="str" cm="1">
        <f t="array" ref="D796">IFERROR(INDEX(#REF!,MATCH(TRUE,ISNUMBER(FIND(SUBSTITUTE(SUBSTITUTE(UPPER(#REF!)," ",""),":",": "),SUBSTITUTE(SUBSTITUTE(UPPER(S796)," ",""),":",": "))),0)),"Não encontrado")</f>
        <v>Não encontrado</v>
      </c>
      <c r="E796" s="42" t="str" cm="1">
        <f t="array" ref="E796">IFERROR(INDEX({"IMPEDITIVO"},MATCH(TRUE,ISNUMBER(FIND(SUBSTITUTE(SUBSTITUTE(UPPER({"IMPEDITIVO"})," ",""),":",": "),SUBSTITUTE(SUBSTITUTE(UPPER(S796)," ",""),":",": "))),0)),"-")</f>
        <v>-</v>
      </c>
      <c r="K796" s="49"/>
    </row>
    <row r="797" spans="1:11" x14ac:dyDescent="0.25">
      <c r="A797" s="46" t="str" cm="1">
        <f t="array" ref="A797">IFERROR(INDEX(#REF!,MATCH(TRUE,ISNUMBER(FIND(SUBSTITUTE(SUBSTITUTE(UPPER(#REF!)," ",""),":",": "),SUBSTITUTE(SUBSTITUTE(UPPER(S797)," ",""),":",": "))),0)),"Undefined")</f>
        <v>Undefined</v>
      </c>
      <c r="B797" s="42" t="str" cm="1">
        <f t="array" ref="B797">IFERROR(INDEX({"URGENTE"},MATCH(TRUE,ISNUMBER(FIND(SUBSTITUTE(SUBSTITUTE(UPPER({"URGENTE"})," ",""),":",": "),SUBSTITUTE(SUBSTITUTE(UPPER(S797)," ",""),":",": "))),0)),"-")</f>
        <v>-</v>
      </c>
      <c r="C797" s="46" t="str" cm="1">
        <f t="array" ref="C797">IFERROR(INDEX(#REF!,MATCH(TRUE,ISNUMBER(FIND(SUBSTITUTE(SUBSTITUTE(UPPER(#REF!)," ",""),":",": "),SUBSTITUTE(SUBSTITUTE(UPPER(S797)," ",""),":",": "))),0)),"Não encontrado")</f>
        <v>Não encontrado</v>
      </c>
      <c r="D797" s="46" t="str" cm="1">
        <f t="array" ref="D797">IFERROR(INDEX(#REF!,MATCH(TRUE,ISNUMBER(FIND(SUBSTITUTE(SUBSTITUTE(UPPER(#REF!)," ",""),":",": "),SUBSTITUTE(SUBSTITUTE(UPPER(S797)," ",""),":",": "))),0)),"Não encontrado")</f>
        <v>Não encontrado</v>
      </c>
      <c r="E797" s="42" t="str" cm="1">
        <f t="array" ref="E797">IFERROR(INDEX({"IMPEDITIVO"},MATCH(TRUE,ISNUMBER(FIND(SUBSTITUTE(SUBSTITUTE(UPPER({"IMPEDITIVO"})," ",""),":",": "),SUBSTITUTE(SUBSTITUTE(UPPER(S797)," ",""),":",": "))),0)),"-")</f>
        <v>-</v>
      </c>
      <c r="K797" s="49"/>
    </row>
    <row r="798" spans="1:11" x14ac:dyDescent="0.25">
      <c r="A798" s="46" t="str" cm="1">
        <f t="array" ref="A798">IFERROR(INDEX(#REF!,MATCH(TRUE,ISNUMBER(FIND(SUBSTITUTE(SUBSTITUTE(UPPER(#REF!)," ",""),":",": "),SUBSTITUTE(SUBSTITUTE(UPPER(S798)," ",""),":",": "))),0)),"Undefined")</f>
        <v>Undefined</v>
      </c>
      <c r="B798" s="42" t="str" cm="1">
        <f t="array" ref="B798">IFERROR(INDEX({"URGENTE"},MATCH(TRUE,ISNUMBER(FIND(SUBSTITUTE(SUBSTITUTE(UPPER({"URGENTE"})," ",""),":",": "),SUBSTITUTE(SUBSTITUTE(UPPER(S798)," ",""),":",": "))),0)),"-")</f>
        <v>-</v>
      </c>
      <c r="C798" s="46" t="str" cm="1">
        <f t="array" ref="C798">IFERROR(INDEX(#REF!,MATCH(TRUE,ISNUMBER(FIND(SUBSTITUTE(SUBSTITUTE(UPPER(#REF!)," ",""),":",": "),SUBSTITUTE(SUBSTITUTE(UPPER(S798)," ",""),":",": "))),0)),"Não encontrado")</f>
        <v>Não encontrado</v>
      </c>
      <c r="D798" s="46" t="str" cm="1">
        <f t="array" ref="D798">IFERROR(INDEX(#REF!,MATCH(TRUE,ISNUMBER(FIND(SUBSTITUTE(SUBSTITUTE(UPPER(#REF!)," ",""),":",": "),SUBSTITUTE(SUBSTITUTE(UPPER(S798)," ",""),":",": "))),0)),"Não encontrado")</f>
        <v>Não encontrado</v>
      </c>
      <c r="E798" s="42" t="str" cm="1">
        <f t="array" ref="E798">IFERROR(INDEX({"IMPEDITIVO"},MATCH(TRUE,ISNUMBER(FIND(SUBSTITUTE(SUBSTITUTE(UPPER({"IMPEDITIVO"})," ",""),":",": "),SUBSTITUTE(SUBSTITUTE(UPPER(S798)," ",""),":",": "))),0)),"-")</f>
        <v>-</v>
      </c>
      <c r="K798" s="49"/>
    </row>
    <row r="799" spans="1:11" x14ac:dyDescent="0.25">
      <c r="A799" s="46" t="str" cm="1">
        <f t="array" ref="A799">IFERROR(INDEX(#REF!,MATCH(TRUE,ISNUMBER(FIND(SUBSTITUTE(SUBSTITUTE(UPPER(#REF!)," ",""),":",": "),SUBSTITUTE(SUBSTITUTE(UPPER(S799)," ",""),":",": "))),0)),"Undefined")</f>
        <v>Undefined</v>
      </c>
      <c r="B799" s="42" t="str" cm="1">
        <f t="array" ref="B799">IFERROR(INDEX({"URGENTE"},MATCH(TRUE,ISNUMBER(FIND(SUBSTITUTE(SUBSTITUTE(UPPER({"URGENTE"})," ",""),":",": "),SUBSTITUTE(SUBSTITUTE(UPPER(S799)," ",""),":",": "))),0)),"-")</f>
        <v>-</v>
      </c>
      <c r="C799" s="46" t="str" cm="1">
        <f t="array" ref="C799">IFERROR(INDEX(#REF!,MATCH(TRUE,ISNUMBER(FIND(SUBSTITUTE(SUBSTITUTE(UPPER(#REF!)," ",""),":",": "),SUBSTITUTE(SUBSTITUTE(UPPER(S799)," ",""),":",": "))),0)),"Não encontrado")</f>
        <v>Não encontrado</v>
      </c>
      <c r="D799" s="46" t="str" cm="1">
        <f t="array" ref="D799">IFERROR(INDEX(#REF!,MATCH(TRUE,ISNUMBER(FIND(SUBSTITUTE(SUBSTITUTE(UPPER(#REF!)," ",""),":",": "),SUBSTITUTE(SUBSTITUTE(UPPER(S799)," ",""),":",": "))),0)),"Não encontrado")</f>
        <v>Não encontrado</v>
      </c>
      <c r="E799" s="42" t="str" cm="1">
        <f t="array" ref="E799">IFERROR(INDEX({"IMPEDITIVO"},MATCH(TRUE,ISNUMBER(FIND(SUBSTITUTE(SUBSTITUTE(UPPER({"IMPEDITIVO"})," ",""),":",": "),SUBSTITUTE(SUBSTITUTE(UPPER(S799)," ",""),":",": "))),0)),"-")</f>
        <v>-</v>
      </c>
      <c r="K799" s="49"/>
    </row>
    <row r="800" spans="1:11" x14ac:dyDescent="0.25">
      <c r="A800" s="46" t="str" cm="1">
        <f t="array" ref="A800">IFERROR(INDEX(#REF!,MATCH(TRUE,ISNUMBER(FIND(SUBSTITUTE(SUBSTITUTE(UPPER(#REF!)," ",""),":",": "),SUBSTITUTE(SUBSTITUTE(UPPER(S800)," ",""),":",": "))),0)),"Undefined")</f>
        <v>Undefined</v>
      </c>
      <c r="B800" s="42" t="str" cm="1">
        <f t="array" ref="B800">IFERROR(INDEX({"URGENTE"},MATCH(TRUE,ISNUMBER(FIND(SUBSTITUTE(SUBSTITUTE(UPPER({"URGENTE"})," ",""),":",": "),SUBSTITUTE(SUBSTITUTE(UPPER(S800)," ",""),":",": "))),0)),"-")</f>
        <v>-</v>
      </c>
      <c r="C800" s="46" t="str" cm="1">
        <f t="array" ref="C800">IFERROR(INDEX(#REF!,MATCH(TRUE,ISNUMBER(FIND(SUBSTITUTE(SUBSTITUTE(UPPER(#REF!)," ",""),":",": "),SUBSTITUTE(SUBSTITUTE(UPPER(S800)," ",""),":",": "))),0)),"Não encontrado")</f>
        <v>Não encontrado</v>
      </c>
      <c r="D800" s="46" t="str" cm="1">
        <f t="array" ref="D800">IFERROR(INDEX(#REF!,MATCH(TRUE,ISNUMBER(FIND(SUBSTITUTE(SUBSTITUTE(UPPER(#REF!)," ",""),":",": "),SUBSTITUTE(SUBSTITUTE(UPPER(S800)," ",""),":",": "))),0)),"Não encontrado")</f>
        <v>Não encontrado</v>
      </c>
      <c r="E800" s="42" t="str" cm="1">
        <f t="array" ref="E800">IFERROR(INDEX({"IMPEDITIVO"},MATCH(TRUE,ISNUMBER(FIND(SUBSTITUTE(SUBSTITUTE(UPPER({"IMPEDITIVO"})," ",""),":",": "),SUBSTITUTE(SUBSTITUTE(UPPER(S800)," ",""),":",": "))),0)),"-")</f>
        <v>-</v>
      </c>
      <c r="K800" s="49"/>
    </row>
    <row r="801" spans="1:11" x14ac:dyDescent="0.25">
      <c r="A801" s="46" t="str" cm="1">
        <f t="array" ref="A801">IFERROR(INDEX(#REF!,MATCH(TRUE,ISNUMBER(FIND(SUBSTITUTE(SUBSTITUTE(UPPER(#REF!)," ",""),":",": "),SUBSTITUTE(SUBSTITUTE(UPPER(S801)," ",""),":",": "))),0)),"Undefined")</f>
        <v>Undefined</v>
      </c>
      <c r="B801" s="42" t="str" cm="1">
        <f t="array" ref="B801">IFERROR(INDEX({"URGENTE"},MATCH(TRUE,ISNUMBER(FIND(SUBSTITUTE(SUBSTITUTE(UPPER({"URGENTE"})," ",""),":",": "),SUBSTITUTE(SUBSTITUTE(UPPER(S801)," ",""),":",": "))),0)),"-")</f>
        <v>-</v>
      </c>
      <c r="C801" s="46" t="str" cm="1">
        <f t="array" ref="C801">IFERROR(INDEX(#REF!,MATCH(TRUE,ISNUMBER(FIND(SUBSTITUTE(SUBSTITUTE(UPPER(#REF!)," ",""),":",": "),SUBSTITUTE(SUBSTITUTE(UPPER(S801)," ",""),":",": "))),0)),"Não encontrado")</f>
        <v>Não encontrado</v>
      </c>
      <c r="D801" s="46" t="str" cm="1">
        <f t="array" ref="D801">IFERROR(INDEX(#REF!,MATCH(TRUE,ISNUMBER(FIND(SUBSTITUTE(SUBSTITUTE(UPPER(#REF!)," ",""),":",": "),SUBSTITUTE(SUBSTITUTE(UPPER(S801)," ",""),":",": "))),0)),"Não encontrado")</f>
        <v>Não encontrado</v>
      </c>
      <c r="E801" s="42" t="str" cm="1">
        <f t="array" ref="E801">IFERROR(INDEX({"IMPEDITIVO"},MATCH(TRUE,ISNUMBER(FIND(SUBSTITUTE(SUBSTITUTE(UPPER({"IMPEDITIVO"})," ",""),":",": "),SUBSTITUTE(SUBSTITUTE(UPPER(S801)," ",""),":",": "))),0)),"-")</f>
        <v>-</v>
      </c>
      <c r="K801" s="49"/>
    </row>
    <row r="802" spans="1:11" x14ac:dyDescent="0.25">
      <c r="A802" s="46" t="str" cm="1">
        <f t="array" ref="A802">IFERROR(INDEX(#REF!,MATCH(TRUE,ISNUMBER(FIND(SUBSTITUTE(SUBSTITUTE(UPPER(#REF!)," ",""),":",": "),SUBSTITUTE(SUBSTITUTE(UPPER(S802)," ",""),":",": "))),0)),"Undefined")</f>
        <v>Undefined</v>
      </c>
      <c r="B802" s="42" t="str" cm="1">
        <f t="array" ref="B802">IFERROR(INDEX({"URGENTE"},MATCH(TRUE,ISNUMBER(FIND(SUBSTITUTE(SUBSTITUTE(UPPER({"URGENTE"})," ",""),":",": "),SUBSTITUTE(SUBSTITUTE(UPPER(S802)," ",""),":",": "))),0)),"-")</f>
        <v>-</v>
      </c>
      <c r="C802" s="46" t="str" cm="1">
        <f t="array" ref="C802">IFERROR(INDEX(#REF!,MATCH(TRUE,ISNUMBER(FIND(SUBSTITUTE(SUBSTITUTE(UPPER(#REF!)," ",""),":",": "),SUBSTITUTE(SUBSTITUTE(UPPER(S802)," ",""),":",": "))),0)),"Não encontrado")</f>
        <v>Não encontrado</v>
      </c>
      <c r="D802" s="46" t="str" cm="1">
        <f t="array" ref="D802">IFERROR(INDEX(#REF!,MATCH(TRUE,ISNUMBER(FIND(SUBSTITUTE(SUBSTITUTE(UPPER(#REF!)," ",""),":",": "),SUBSTITUTE(SUBSTITUTE(UPPER(S802)," ",""),":",": "))),0)),"Não encontrado")</f>
        <v>Não encontrado</v>
      </c>
      <c r="E802" s="42" t="str" cm="1">
        <f t="array" ref="E802">IFERROR(INDEX({"IMPEDITIVO"},MATCH(TRUE,ISNUMBER(FIND(SUBSTITUTE(SUBSTITUTE(UPPER({"IMPEDITIVO"})," ",""),":",": "),SUBSTITUTE(SUBSTITUTE(UPPER(S802)," ",""),":",": "))),0)),"-")</f>
        <v>-</v>
      </c>
      <c r="K802" s="49"/>
    </row>
    <row r="803" spans="1:11" x14ac:dyDescent="0.25">
      <c r="A803" s="46" t="str" cm="1">
        <f t="array" ref="A803">IFERROR(INDEX(#REF!,MATCH(TRUE,ISNUMBER(FIND(SUBSTITUTE(SUBSTITUTE(UPPER(#REF!)," ",""),":",": "),SUBSTITUTE(SUBSTITUTE(UPPER(S803)," ",""),":",": "))),0)),"Undefined")</f>
        <v>Undefined</v>
      </c>
      <c r="B803" s="42" t="str" cm="1">
        <f t="array" ref="B803">IFERROR(INDEX({"URGENTE"},MATCH(TRUE,ISNUMBER(FIND(SUBSTITUTE(SUBSTITUTE(UPPER({"URGENTE"})," ",""),":",": "),SUBSTITUTE(SUBSTITUTE(UPPER(S803)," ",""),":",": "))),0)),"-")</f>
        <v>-</v>
      </c>
      <c r="C803" s="46" t="str" cm="1">
        <f t="array" ref="C803">IFERROR(INDEX(#REF!,MATCH(TRUE,ISNUMBER(FIND(SUBSTITUTE(SUBSTITUTE(UPPER(#REF!)," ",""),":",": "),SUBSTITUTE(SUBSTITUTE(UPPER(S803)," ",""),":",": "))),0)),"Não encontrado")</f>
        <v>Não encontrado</v>
      </c>
      <c r="D803" s="46" t="str" cm="1">
        <f t="array" ref="D803">IFERROR(INDEX(#REF!,MATCH(TRUE,ISNUMBER(FIND(SUBSTITUTE(SUBSTITUTE(UPPER(#REF!)," ",""),":",": "),SUBSTITUTE(SUBSTITUTE(UPPER(S803)," ",""),":",": "))),0)),"Não encontrado")</f>
        <v>Não encontrado</v>
      </c>
      <c r="E803" s="42" t="str" cm="1">
        <f t="array" ref="E803">IFERROR(INDEX({"IMPEDITIVO"},MATCH(TRUE,ISNUMBER(FIND(SUBSTITUTE(SUBSTITUTE(UPPER({"IMPEDITIVO"})," ",""),":",": "),SUBSTITUTE(SUBSTITUTE(UPPER(S803)," ",""),":",": "))),0)),"-")</f>
        <v>-</v>
      </c>
      <c r="K803" s="49"/>
    </row>
    <row r="804" spans="1:11" x14ac:dyDescent="0.25">
      <c r="A804" s="46" t="str" cm="1">
        <f t="array" ref="A804">IFERROR(INDEX(#REF!,MATCH(TRUE,ISNUMBER(FIND(SUBSTITUTE(SUBSTITUTE(UPPER(#REF!)," ",""),":",": "),SUBSTITUTE(SUBSTITUTE(UPPER(S804)," ",""),":",": "))),0)),"Undefined")</f>
        <v>Undefined</v>
      </c>
      <c r="B804" s="42" t="str" cm="1">
        <f t="array" ref="B804">IFERROR(INDEX({"URGENTE"},MATCH(TRUE,ISNUMBER(FIND(SUBSTITUTE(SUBSTITUTE(UPPER({"URGENTE"})," ",""),":",": "),SUBSTITUTE(SUBSTITUTE(UPPER(S804)," ",""),":",": "))),0)),"-")</f>
        <v>-</v>
      </c>
      <c r="C804" s="46" t="str" cm="1">
        <f t="array" ref="C804">IFERROR(INDEX(#REF!,MATCH(TRUE,ISNUMBER(FIND(SUBSTITUTE(SUBSTITUTE(UPPER(#REF!)," ",""),":",": "),SUBSTITUTE(SUBSTITUTE(UPPER(S804)," ",""),":",": "))),0)),"Não encontrado")</f>
        <v>Não encontrado</v>
      </c>
      <c r="D804" s="46" t="str" cm="1">
        <f t="array" ref="D804">IFERROR(INDEX(#REF!,MATCH(TRUE,ISNUMBER(FIND(SUBSTITUTE(SUBSTITUTE(UPPER(#REF!)," ",""),":",": "),SUBSTITUTE(SUBSTITUTE(UPPER(S804)," ",""),":",": "))),0)),"Não encontrado")</f>
        <v>Não encontrado</v>
      </c>
      <c r="E804" s="42" t="str" cm="1">
        <f t="array" ref="E804">IFERROR(INDEX({"IMPEDITIVO"},MATCH(TRUE,ISNUMBER(FIND(SUBSTITUTE(SUBSTITUTE(UPPER({"IMPEDITIVO"})," ",""),":",": "),SUBSTITUTE(SUBSTITUTE(UPPER(S804)," ",""),":",": "))),0)),"-")</f>
        <v>-</v>
      </c>
      <c r="K804" s="49"/>
    </row>
    <row r="805" spans="1:11" x14ac:dyDescent="0.25">
      <c r="A805" s="46" t="str" cm="1">
        <f t="array" ref="A805">IFERROR(INDEX(#REF!,MATCH(TRUE,ISNUMBER(FIND(SUBSTITUTE(SUBSTITUTE(UPPER(#REF!)," ",""),":",": "),SUBSTITUTE(SUBSTITUTE(UPPER(S805)," ",""),":",": "))),0)),"Undefined")</f>
        <v>Undefined</v>
      </c>
      <c r="B805" s="42" t="str" cm="1">
        <f t="array" ref="B805">IFERROR(INDEX({"URGENTE"},MATCH(TRUE,ISNUMBER(FIND(SUBSTITUTE(SUBSTITUTE(UPPER({"URGENTE"})," ",""),":",": "),SUBSTITUTE(SUBSTITUTE(UPPER(S805)," ",""),":",": "))),0)),"-")</f>
        <v>-</v>
      </c>
      <c r="C805" s="46" t="str" cm="1">
        <f t="array" ref="C805">IFERROR(INDEX(#REF!,MATCH(TRUE,ISNUMBER(FIND(SUBSTITUTE(SUBSTITUTE(UPPER(#REF!)," ",""),":",": "),SUBSTITUTE(SUBSTITUTE(UPPER(S805)," ",""),":",": "))),0)),"Não encontrado")</f>
        <v>Não encontrado</v>
      </c>
      <c r="D805" s="46" t="str" cm="1">
        <f t="array" ref="D805">IFERROR(INDEX(#REF!,MATCH(TRUE,ISNUMBER(FIND(SUBSTITUTE(SUBSTITUTE(UPPER(#REF!)," ",""),":",": "),SUBSTITUTE(SUBSTITUTE(UPPER(S805)," ",""),":",": "))),0)),"Não encontrado")</f>
        <v>Não encontrado</v>
      </c>
      <c r="E805" s="42" t="str" cm="1">
        <f t="array" ref="E805">IFERROR(INDEX({"IMPEDITIVO"},MATCH(TRUE,ISNUMBER(FIND(SUBSTITUTE(SUBSTITUTE(UPPER({"IMPEDITIVO"})," ",""),":",": "),SUBSTITUTE(SUBSTITUTE(UPPER(S805)," ",""),":",": "))),0)),"-")</f>
        <v>-</v>
      </c>
      <c r="K805" s="49"/>
    </row>
    <row r="806" spans="1:11" x14ac:dyDescent="0.25">
      <c r="A806" s="46" t="str" cm="1">
        <f t="array" ref="A806">IFERROR(INDEX(#REF!,MATCH(TRUE,ISNUMBER(FIND(SUBSTITUTE(SUBSTITUTE(UPPER(#REF!)," ",""),":",": "),SUBSTITUTE(SUBSTITUTE(UPPER(S806)," ",""),":",": "))),0)),"Undefined")</f>
        <v>Undefined</v>
      </c>
      <c r="B806" s="42" t="str" cm="1">
        <f t="array" ref="B806">IFERROR(INDEX({"URGENTE"},MATCH(TRUE,ISNUMBER(FIND(SUBSTITUTE(SUBSTITUTE(UPPER({"URGENTE"})," ",""),":",": "),SUBSTITUTE(SUBSTITUTE(UPPER(S806)," ",""),":",": "))),0)),"-")</f>
        <v>-</v>
      </c>
      <c r="C806" s="46" t="str" cm="1">
        <f t="array" ref="C806">IFERROR(INDEX(#REF!,MATCH(TRUE,ISNUMBER(FIND(SUBSTITUTE(SUBSTITUTE(UPPER(#REF!)," ",""),":",": "),SUBSTITUTE(SUBSTITUTE(UPPER(S806)," ",""),":",": "))),0)),"Não encontrado")</f>
        <v>Não encontrado</v>
      </c>
      <c r="D806" s="46" t="str" cm="1">
        <f t="array" ref="D806">IFERROR(INDEX(#REF!,MATCH(TRUE,ISNUMBER(FIND(SUBSTITUTE(SUBSTITUTE(UPPER(#REF!)," ",""),":",": "),SUBSTITUTE(SUBSTITUTE(UPPER(S806)," ",""),":",": "))),0)),"Não encontrado")</f>
        <v>Não encontrado</v>
      </c>
      <c r="E806" s="42" t="str" cm="1">
        <f t="array" ref="E806">IFERROR(INDEX({"IMPEDITIVO"},MATCH(TRUE,ISNUMBER(FIND(SUBSTITUTE(SUBSTITUTE(UPPER({"IMPEDITIVO"})," ",""),":",": "),SUBSTITUTE(SUBSTITUTE(UPPER(S806)," ",""),":",": "))),0)),"-")</f>
        <v>-</v>
      </c>
      <c r="K806" s="49"/>
    </row>
    <row r="807" spans="1:11" x14ac:dyDescent="0.25">
      <c r="A807" s="46" t="str" cm="1">
        <f t="array" ref="A807">IFERROR(INDEX(#REF!,MATCH(TRUE,ISNUMBER(FIND(SUBSTITUTE(SUBSTITUTE(UPPER(#REF!)," ",""),":",": "),SUBSTITUTE(SUBSTITUTE(UPPER(S807)," ",""),":",": "))),0)),"Undefined")</f>
        <v>Undefined</v>
      </c>
      <c r="B807" s="42" t="str" cm="1">
        <f t="array" ref="B807">IFERROR(INDEX({"URGENTE"},MATCH(TRUE,ISNUMBER(FIND(SUBSTITUTE(SUBSTITUTE(UPPER({"URGENTE"})," ",""),":",": "),SUBSTITUTE(SUBSTITUTE(UPPER(S807)," ",""),":",": "))),0)),"-")</f>
        <v>-</v>
      </c>
      <c r="C807" s="46" t="str" cm="1">
        <f t="array" ref="C807">IFERROR(INDEX(#REF!,MATCH(TRUE,ISNUMBER(FIND(SUBSTITUTE(SUBSTITUTE(UPPER(#REF!)," ",""),":",": "),SUBSTITUTE(SUBSTITUTE(UPPER(S807)," ",""),":",": "))),0)),"Não encontrado")</f>
        <v>Não encontrado</v>
      </c>
      <c r="D807" s="46" t="str" cm="1">
        <f t="array" ref="D807">IFERROR(INDEX(#REF!,MATCH(TRUE,ISNUMBER(FIND(SUBSTITUTE(SUBSTITUTE(UPPER(#REF!)," ",""),":",": "),SUBSTITUTE(SUBSTITUTE(UPPER(S807)," ",""),":",": "))),0)),"Não encontrado")</f>
        <v>Não encontrado</v>
      </c>
      <c r="E807" s="42" t="str" cm="1">
        <f t="array" ref="E807">IFERROR(INDEX({"IMPEDITIVO"},MATCH(TRUE,ISNUMBER(FIND(SUBSTITUTE(SUBSTITUTE(UPPER({"IMPEDITIVO"})," ",""),":",": "),SUBSTITUTE(SUBSTITUTE(UPPER(S807)," ",""),":",": "))),0)),"-")</f>
        <v>-</v>
      </c>
      <c r="K807" s="49"/>
    </row>
    <row r="808" spans="1:11" x14ac:dyDescent="0.25">
      <c r="A808" s="46" t="str" cm="1">
        <f t="array" ref="A808">IFERROR(INDEX(#REF!,MATCH(TRUE,ISNUMBER(FIND(SUBSTITUTE(SUBSTITUTE(UPPER(#REF!)," ",""),":",": "),SUBSTITUTE(SUBSTITUTE(UPPER(S808)," ",""),":",": "))),0)),"Undefined")</f>
        <v>Undefined</v>
      </c>
      <c r="B808" s="42" t="str" cm="1">
        <f t="array" ref="B808">IFERROR(INDEX({"URGENTE"},MATCH(TRUE,ISNUMBER(FIND(SUBSTITUTE(SUBSTITUTE(UPPER({"URGENTE"})," ",""),":",": "),SUBSTITUTE(SUBSTITUTE(UPPER(S808)," ",""),":",": "))),0)),"-")</f>
        <v>-</v>
      </c>
      <c r="C808" s="46" t="str" cm="1">
        <f t="array" ref="C808">IFERROR(INDEX(#REF!,MATCH(TRUE,ISNUMBER(FIND(SUBSTITUTE(SUBSTITUTE(UPPER(#REF!)," ",""),":",": "),SUBSTITUTE(SUBSTITUTE(UPPER(S808)," ",""),":",": "))),0)),"Não encontrado")</f>
        <v>Não encontrado</v>
      </c>
      <c r="D808" s="46" t="str" cm="1">
        <f t="array" ref="D808">IFERROR(INDEX(#REF!,MATCH(TRUE,ISNUMBER(FIND(SUBSTITUTE(SUBSTITUTE(UPPER(#REF!)," ",""),":",": "),SUBSTITUTE(SUBSTITUTE(UPPER(S808)," ",""),":",": "))),0)),"Não encontrado")</f>
        <v>Não encontrado</v>
      </c>
      <c r="E808" s="42" t="str" cm="1">
        <f t="array" ref="E808">IFERROR(INDEX({"IMPEDITIVO"},MATCH(TRUE,ISNUMBER(FIND(SUBSTITUTE(SUBSTITUTE(UPPER({"IMPEDITIVO"})," ",""),":",": "),SUBSTITUTE(SUBSTITUTE(UPPER(S808)," ",""),":",": "))),0)),"-")</f>
        <v>-</v>
      </c>
      <c r="K808" s="49"/>
    </row>
    <row r="809" spans="1:11" x14ac:dyDescent="0.25">
      <c r="A809" s="46" t="str" cm="1">
        <f t="array" ref="A809">IFERROR(INDEX(#REF!,MATCH(TRUE,ISNUMBER(FIND(SUBSTITUTE(SUBSTITUTE(UPPER(#REF!)," ",""),":",": "),SUBSTITUTE(SUBSTITUTE(UPPER(S809)," ",""),":",": "))),0)),"Undefined")</f>
        <v>Undefined</v>
      </c>
      <c r="B809" s="42" t="str" cm="1">
        <f t="array" ref="B809">IFERROR(INDEX({"URGENTE"},MATCH(TRUE,ISNUMBER(FIND(SUBSTITUTE(SUBSTITUTE(UPPER({"URGENTE"})," ",""),":",": "),SUBSTITUTE(SUBSTITUTE(UPPER(S809)," ",""),":",": "))),0)),"-")</f>
        <v>-</v>
      </c>
      <c r="C809" s="46" t="str" cm="1">
        <f t="array" ref="C809">IFERROR(INDEX(#REF!,MATCH(TRUE,ISNUMBER(FIND(SUBSTITUTE(SUBSTITUTE(UPPER(#REF!)," ",""),":",": "),SUBSTITUTE(SUBSTITUTE(UPPER(S809)," ",""),":",": "))),0)),"Não encontrado")</f>
        <v>Não encontrado</v>
      </c>
      <c r="D809" s="46" t="str" cm="1">
        <f t="array" ref="D809">IFERROR(INDEX(#REF!,MATCH(TRUE,ISNUMBER(FIND(SUBSTITUTE(SUBSTITUTE(UPPER(#REF!)," ",""),":",": "),SUBSTITUTE(SUBSTITUTE(UPPER(S809)," ",""),":",": "))),0)),"Não encontrado")</f>
        <v>Não encontrado</v>
      </c>
      <c r="E809" s="42" t="str" cm="1">
        <f t="array" ref="E809">IFERROR(INDEX({"IMPEDITIVO"},MATCH(TRUE,ISNUMBER(FIND(SUBSTITUTE(SUBSTITUTE(UPPER({"IMPEDITIVO"})," ",""),":",": "),SUBSTITUTE(SUBSTITUTE(UPPER(S809)," ",""),":",": "))),0)),"-")</f>
        <v>-</v>
      </c>
      <c r="K809" s="49"/>
    </row>
    <row r="810" spans="1:11" x14ac:dyDescent="0.25">
      <c r="A810" s="46" t="str" cm="1">
        <f t="array" ref="A810">IFERROR(INDEX(#REF!,MATCH(TRUE,ISNUMBER(FIND(SUBSTITUTE(SUBSTITUTE(UPPER(#REF!)," ",""),":",": "),SUBSTITUTE(SUBSTITUTE(UPPER(S810)," ",""),":",": "))),0)),"Undefined")</f>
        <v>Undefined</v>
      </c>
      <c r="B810" s="42" t="str" cm="1">
        <f t="array" ref="B810">IFERROR(INDEX({"URGENTE"},MATCH(TRUE,ISNUMBER(FIND(SUBSTITUTE(SUBSTITUTE(UPPER({"URGENTE"})," ",""),":",": "),SUBSTITUTE(SUBSTITUTE(UPPER(S810)," ",""),":",": "))),0)),"-")</f>
        <v>-</v>
      </c>
      <c r="C810" s="46" t="str" cm="1">
        <f t="array" ref="C810">IFERROR(INDEX(#REF!,MATCH(TRUE,ISNUMBER(FIND(SUBSTITUTE(SUBSTITUTE(UPPER(#REF!)," ",""),":",": "),SUBSTITUTE(SUBSTITUTE(UPPER(S810)," ",""),":",": "))),0)),"Não encontrado")</f>
        <v>Não encontrado</v>
      </c>
      <c r="D810" s="46" t="str" cm="1">
        <f t="array" ref="D810">IFERROR(INDEX(#REF!,MATCH(TRUE,ISNUMBER(FIND(SUBSTITUTE(SUBSTITUTE(UPPER(#REF!)," ",""),":",": "),SUBSTITUTE(SUBSTITUTE(UPPER(S810)," ",""),":",": "))),0)),"Não encontrado")</f>
        <v>Não encontrado</v>
      </c>
      <c r="E810" s="42" t="str" cm="1">
        <f t="array" ref="E810">IFERROR(INDEX({"IMPEDITIVO"},MATCH(TRUE,ISNUMBER(FIND(SUBSTITUTE(SUBSTITUTE(UPPER({"IMPEDITIVO"})," ",""),":",": "),SUBSTITUTE(SUBSTITUTE(UPPER(S810)," ",""),":",": "))),0)),"-")</f>
        <v>-</v>
      </c>
      <c r="K810" s="49"/>
    </row>
    <row r="811" spans="1:11" x14ac:dyDescent="0.25">
      <c r="A811" s="46" t="str" cm="1">
        <f t="array" ref="A811">IFERROR(INDEX(#REF!,MATCH(TRUE,ISNUMBER(FIND(SUBSTITUTE(SUBSTITUTE(UPPER(#REF!)," ",""),":",": "),SUBSTITUTE(SUBSTITUTE(UPPER(S811)," ",""),":",": "))),0)),"Undefined")</f>
        <v>Undefined</v>
      </c>
      <c r="B811" s="42" t="str" cm="1">
        <f t="array" ref="B811">IFERROR(INDEX({"URGENTE"},MATCH(TRUE,ISNUMBER(FIND(SUBSTITUTE(SUBSTITUTE(UPPER({"URGENTE"})," ",""),":",": "),SUBSTITUTE(SUBSTITUTE(UPPER(S811)," ",""),":",": "))),0)),"-")</f>
        <v>-</v>
      </c>
      <c r="C811" s="46" t="str" cm="1">
        <f t="array" ref="C811">IFERROR(INDEX(#REF!,MATCH(TRUE,ISNUMBER(FIND(SUBSTITUTE(SUBSTITUTE(UPPER(#REF!)," ",""),":",": "),SUBSTITUTE(SUBSTITUTE(UPPER(S811)," ",""),":",": "))),0)),"Não encontrado")</f>
        <v>Não encontrado</v>
      </c>
      <c r="D811" s="46" t="str" cm="1">
        <f t="array" ref="D811">IFERROR(INDEX(#REF!,MATCH(TRUE,ISNUMBER(FIND(SUBSTITUTE(SUBSTITUTE(UPPER(#REF!)," ",""),":",": "),SUBSTITUTE(SUBSTITUTE(UPPER(S811)," ",""),":",": "))),0)),"Não encontrado")</f>
        <v>Não encontrado</v>
      </c>
      <c r="E811" s="42" t="str" cm="1">
        <f t="array" ref="E811">IFERROR(INDEX({"IMPEDITIVO"},MATCH(TRUE,ISNUMBER(FIND(SUBSTITUTE(SUBSTITUTE(UPPER({"IMPEDITIVO"})," ",""),":",": "),SUBSTITUTE(SUBSTITUTE(UPPER(S811)," ",""),":",": "))),0)),"-")</f>
        <v>-</v>
      </c>
      <c r="K811" s="49"/>
    </row>
    <row r="812" spans="1:11" x14ac:dyDescent="0.25">
      <c r="A812" s="46" t="str" cm="1">
        <f t="array" ref="A812">IFERROR(INDEX(#REF!,MATCH(TRUE,ISNUMBER(FIND(SUBSTITUTE(SUBSTITUTE(UPPER(#REF!)," ",""),":",": "),SUBSTITUTE(SUBSTITUTE(UPPER(S812)," ",""),":",": "))),0)),"Undefined")</f>
        <v>Undefined</v>
      </c>
      <c r="B812" s="42" t="str" cm="1">
        <f t="array" ref="B812">IFERROR(INDEX({"URGENTE"},MATCH(TRUE,ISNUMBER(FIND(SUBSTITUTE(SUBSTITUTE(UPPER({"URGENTE"})," ",""),":",": "),SUBSTITUTE(SUBSTITUTE(UPPER(S812)," ",""),":",": "))),0)),"-")</f>
        <v>-</v>
      </c>
      <c r="C812" s="46" t="str" cm="1">
        <f t="array" ref="C812">IFERROR(INDEX(#REF!,MATCH(TRUE,ISNUMBER(FIND(SUBSTITUTE(SUBSTITUTE(UPPER(#REF!)," ",""),":",": "),SUBSTITUTE(SUBSTITUTE(UPPER(S812)," ",""),":",": "))),0)),"Não encontrado")</f>
        <v>Não encontrado</v>
      </c>
      <c r="D812" s="46" t="str" cm="1">
        <f t="array" ref="D812">IFERROR(INDEX(#REF!,MATCH(TRUE,ISNUMBER(FIND(SUBSTITUTE(SUBSTITUTE(UPPER(#REF!)," ",""),":",": "),SUBSTITUTE(SUBSTITUTE(UPPER(S812)," ",""),":",": "))),0)),"Não encontrado")</f>
        <v>Não encontrado</v>
      </c>
      <c r="E812" s="42" t="str" cm="1">
        <f t="array" ref="E812">IFERROR(INDEX({"IMPEDITIVO"},MATCH(TRUE,ISNUMBER(FIND(SUBSTITUTE(SUBSTITUTE(UPPER({"IMPEDITIVO"})," ",""),":",": "),SUBSTITUTE(SUBSTITUTE(UPPER(S812)," ",""),":",": "))),0)),"-")</f>
        <v>-</v>
      </c>
      <c r="K812" s="49"/>
    </row>
    <row r="813" spans="1:11" x14ac:dyDescent="0.25">
      <c r="A813" s="46" t="str" cm="1">
        <f t="array" ref="A813">IFERROR(INDEX(#REF!,MATCH(TRUE,ISNUMBER(FIND(SUBSTITUTE(SUBSTITUTE(UPPER(#REF!)," ",""),":",": "),SUBSTITUTE(SUBSTITUTE(UPPER(S813)," ",""),":",": "))),0)),"Undefined")</f>
        <v>Undefined</v>
      </c>
      <c r="B813" s="42" t="str" cm="1">
        <f t="array" ref="B813">IFERROR(INDEX({"URGENTE"},MATCH(TRUE,ISNUMBER(FIND(SUBSTITUTE(SUBSTITUTE(UPPER({"URGENTE"})," ",""),":",": "),SUBSTITUTE(SUBSTITUTE(UPPER(S813)," ",""),":",": "))),0)),"-")</f>
        <v>-</v>
      </c>
      <c r="C813" s="46" t="str" cm="1">
        <f t="array" ref="C813">IFERROR(INDEX(#REF!,MATCH(TRUE,ISNUMBER(FIND(SUBSTITUTE(SUBSTITUTE(UPPER(#REF!)," ",""),":",": "),SUBSTITUTE(SUBSTITUTE(UPPER(S813)," ",""),":",": "))),0)),"Não encontrado")</f>
        <v>Não encontrado</v>
      </c>
      <c r="D813" s="46" t="str" cm="1">
        <f t="array" ref="D813">IFERROR(INDEX(#REF!,MATCH(TRUE,ISNUMBER(FIND(SUBSTITUTE(SUBSTITUTE(UPPER(#REF!)," ",""),":",": "),SUBSTITUTE(SUBSTITUTE(UPPER(S813)," ",""),":",": "))),0)),"Não encontrado")</f>
        <v>Não encontrado</v>
      </c>
      <c r="E813" s="42" t="str" cm="1">
        <f t="array" ref="E813">IFERROR(INDEX({"IMPEDITIVO"},MATCH(TRUE,ISNUMBER(FIND(SUBSTITUTE(SUBSTITUTE(UPPER({"IMPEDITIVO"})," ",""),":",": "),SUBSTITUTE(SUBSTITUTE(UPPER(S813)," ",""),":",": "))),0)),"-")</f>
        <v>-</v>
      </c>
      <c r="K813" s="49"/>
    </row>
    <row r="814" spans="1:11" x14ac:dyDescent="0.25">
      <c r="A814" s="46" t="str" cm="1">
        <f t="array" ref="A814">IFERROR(INDEX(#REF!,MATCH(TRUE,ISNUMBER(FIND(SUBSTITUTE(SUBSTITUTE(UPPER(#REF!)," ",""),":",": "),SUBSTITUTE(SUBSTITUTE(UPPER(S814)," ",""),":",": "))),0)),"Undefined")</f>
        <v>Undefined</v>
      </c>
      <c r="B814" s="42" t="str" cm="1">
        <f t="array" ref="B814">IFERROR(INDEX({"URGENTE"},MATCH(TRUE,ISNUMBER(FIND(SUBSTITUTE(SUBSTITUTE(UPPER({"URGENTE"})," ",""),":",": "),SUBSTITUTE(SUBSTITUTE(UPPER(S814)," ",""),":",": "))),0)),"-")</f>
        <v>-</v>
      </c>
      <c r="C814" s="46" t="str" cm="1">
        <f t="array" ref="C814">IFERROR(INDEX(#REF!,MATCH(TRUE,ISNUMBER(FIND(SUBSTITUTE(SUBSTITUTE(UPPER(#REF!)," ",""),":",": "),SUBSTITUTE(SUBSTITUTE(UPPER(S814)," ",""),":",": "))),0)),"Não encontrado")</f>
        <v>Não encontrado</v>
      </c>
      <c r="D814" s="46" t="str" cm="1">
        <f t="array" ref="D814">IFERROR(INDEX(#REF!,MATCH(TRUE,ISNUMBER(FIND(SUBSTITUTE(SUBSTITUTE(UPPER(#REF!)," ",""),":",": "),SUBSTITUTE(SUBSTITUTE(UPPER(S814)," ",""),":",": "))),0)),"Não encontrado")</f>
        <v>Não encontrado</v>
      </c>
      <c r="E814" s="42" t="str" cm="1">
        <f t="array" ref="E814">IFERROR(INDEX({"IMPEDITIVO"},MATCH(TRUE,ISNUMBER(FIND(SUBSTITUTE(SUBSTITUTE(UPPER({"IMPEDITIVO"})," ",""),":",": "),SUBSTITUTE(SUBSTITUTE(UPPER(S814)," ",""),":",": "))),0)),"-")</f>
        <v>-</v>
      </c>
      <c r="K814" s="49"/>
    </row>
    <row r="815" spans="1:11" x14ac:dyDescent="0.25">
      <c r="A815" s="46" t="str" cm="1">
        <f t="array" ref="A815">IFERROR(INDEX(#REF!,MATCH(TRUE,ISNUMBER(FIND(SUBSTITUTE(SUBSTITUTE(UPPER(#REF!)," ",""),":",": "),SUBSTITUTE(SUBSTITUTE(UPPER(S815)," ",""),":",": "))),0)),"Undefined")</f>
        <v>Undefined</v>
      </c>
      <c r="B815" s="42" t="str" cm="1">
        <f t="array" ref="B815">IFERROR(INDEX({"URGENTE"},MATCH(TRUE,ISNUMBER(FIND(SUBSTITUTE(SUBSTITUTE(UPPER({"URGENTE"})," ",""),":",": "),SUBSTITUTE(SUBSTITUTE(UPPER(S815)," ",""),":",": "))),0)),"-")</f>
        <v>-</v>
      </c>
      <c r="C815" s="46" t="str" cm="1">
        <f t="array" ref="C815">IFERROR(INDEX(#REF!,MATCH(TRUE,ISNUMBER(FIND(SUBSTITUTE(SUBSTITUTE(UPPER(#REF!)," ",""),":",": "),SUBSTITUTE(SUBSTITUTE(UPPER(S815)," ",""),":",": "))),0)),"Não encontrado")</f>
        <v>Não encontrado</v>
      </c>
      <c r="D815" s="46" t="str" cm="1">
        <f t="array" ref="D815">IFERROR(INDEX(#REF!,MATCH(TRUE,ISNUMBER(FIND(SUBSTITUTE(SUBSTITUTE(UPPER(#REF!)," ",""),":",": "),SUBSTITUTE(SUBSTITUTE(UPPER(S815)," ",""),":",": "))),0)),"Não encontrado")</f>
        <v>Não encontrado</v>
      </c>
      <c r="E815" s="42" t="str" cm="1">
        <f t="array" ref="E815">IFERROR(INDEX({"IMPEDITIVO"},MATCH(TRUE,ISNUMBER(FIND(SUBSTITUTE(SUBSTITUTE(UPPER({"IMPEDITIVO"})," ",""),":",": "),SUBSTITUTE(SUBSTITUTE(UPPER(S815)," ",""),":",": "))),0)),"-")</f>
        <v>-</v>
      </c>
      <c r="K815" s="49"/>
    </row>
    <row r="816" spans="1:11" x14ac:dyDescent="0.25">
      <c r="A816" s="46" t="str" cm="1">
        <f t="array" ref="A816">IFERROR(INDEX(#REF!,MATCH(TRUE,ISNUMBER(FIND(SUBSTITUTE(SUBSTITUTE(UPPER(#REF!)," ",""),":",": "),SUBSTITUTE(SUBSTITUTE(UPPER(S816)," ",""),":",": "))),0)),"Undefined")</f>
        <v>Undefined</v>
      </c>
      <c r="B816" s="42" t="str" cm="1">
        <f t="array" ref="B816">IFERROR(INDEX({"URGENTE"},MATCH(TRUE,ISNUMBER(FIND(SUBSTITUTE(SUBSTITUTE(UPPER({"URGENTE"})," ",""),":",": "),SUBSTITUTE(SUBSTITUTE(UPPER(S816)," ",""),":",": "))),0)),"-")</f>
        <v>-</v>
      </c>
      <c r="C816" s="46" t="str" cm="1">
        <f t="array" ref="C816">IFERROR(INDEX(#REF!,MATCH(TRUE,ISNUMBER(FIND(SUBSTITUTE(SUBSTITUTE(UPPER(#REF!)," ",""),":",": "),SUBSTITUTE(SUBSTITUTE(UPPER(S816)," ",""),":",": "))),0)),"Não encontrado")</f>
        <v>Não encontrado</v>
      </c>
      <c r="D816" s="46" t="str" cm="1">
        <f t="array" ref="D816">IFERROR(INDEX(#REF!,MATCH(TRUE,ISNUMBER(FIND(SUBSTITUTE(SUBSTITUTE(UPPER(#REF!)," ",""),":",": "),SUBSTITUTE(SUBSTITUTE(UPPER(S816)," ",""),":",": "))),0)),"Não encontrado")</f>
        <v>Não encontrado</v>
      </c>
      <c r="E816" s="42" t="str" cm="1">
        <f t="array" ref="E816">IFERROR(INDEX({"IMPEDITIVO"},MATCH(TRUE,ISNUMBER(FIND(SUBSTITUTE(SUBSTITUTE(UPPER({"IMPEDITIVO"})," ",""),":",": "),SUBSTITUTE(SUBSTITUTE(UPPER(S816)," ",""),":",": "))),0)),"-")</f>
        <v>-</v>
      </c>
      <c r="K816" s="49"/>
    </row>
    <row r="817" spans="1:11" x14ac:dyDescent="0.25">
      <c r="A817" s="46" t="str" cm="1">
        <f t="array" ref="A817">IFERROR(INDEX(#REF!,MATCH(TRUE,ISNUMBER(FIND(SUBSTITUTE(SUBSTITUTE(UPPER(#REF!)," ",""),":",": "),SUBSTITUTE(SUBSTITUTE(UPPER(S817)," ",""),":",": "))),0)),"Undefined")</f>
        <v>Undefined</v>
      </c>
      <c r="B817" s="42" t="str" cm="1">
        <f t="array" ref="B817">IFERROR(INDEX({"URGENTE"},MATCH(TRUE,ISNUMBER(FIND(SUBSTITUTE(SUBSTITUTE(UPPER({"URGENTE"})," ",""),":",": "),SUBSTITUTE(SUBSTITUTE(UPPER(S817)," ",""),":",": "))),0)),"-")</f>
        <v>-</v>
      </c>
      <c r="C817" s="46" t="str" cm="1">
        <f t="array" ref="C817">IFERROR(INDEX(#REF!,MATCH(TRUE,ISNUMBER(FIND(SUBSTITUTE(SUBSTITUTE(UPPER(#REF!)," ",""),":",": "),SUBSTITUTE(SUBSTITUTE(UPPER(S817)," ",""),":",": "))),0)),"Não encontrado")</f>
        <v>Não encontrado</v>
      </c>
      <c r="D817" s="46" t="str" cm="1">
        <f t="array" ref="D817">IFERROR(INDEX(#REF!,MATCH(TRUE,ISNUMBER(FIND(SUBSTITUTE(SUBSTITUTE(UPPER(#REF!)," ",""),":",": "),SUBSTITUTE(SUBSTITUTE(UPPER(S817)," ",""),":",": "))),0)),"Não encontrado")</f>
        <v>Não encontrado</v>
      </c>
      <c r="E817" s="42" t="str" cm="1">
        <f t="array" ref="E817">IFERROR(INDEX({"IMPEDITIVO"},MATCH(TRUE,ISNUMBER(FIND(SUBSTITUTE(SUBSTITUTE(UPPER({"IMPEDITIVO"})," ",""),":",": "),SUBSTITUTE(SUBSTITUTE(UPPER(S817)," ",""),":",": "))),0)),"-")</f>
        <v>-</v>
      </c>
      <c r="K817" s="49"/>
    </row>
    <row r="818" spans="1:11" x14ac:dyDescent="0.25">
      <c r="A818" s="46" t="str" cm="1">
        <f t="array" ref="A818">IFERROR(INDEX(#REF!,MATCH(TRUE,ISNUMBER(FIND(SUBSTITUTE(SUBSTITUTE(UPPER(#REF!)," ",""),":",": "),SUBSTITUTE(SUBSTITUTE(UPPER(S818)," ",""),":",": "))),0)),"Undefined")</f>
        <v>Undefined</v>
      </c>
      <c r="B818" s="42" t="str" cm="1">
        <f t="array" ref="B818">IFERROR(INDEX({"URGENTE"},MATCH(TRUE,ISNUMBER(FIND(SUBSTITUTE(SUBSTITUTE(UPPER({"URGENTE"})," ",""),":",": "),SUBSTITUTE(SUBSTITUTE(UPPER(S818)," ",""),":",": "))),0)),"-")</f>
        <v>-</v>
      </c>
      <c r="C818" s="46" t="str" cm="1">
        <f t="array" ref="C818">IFERROR(INDEX(#REF!,MATCH(TRUE,ISNUMBER(FIND(SUBSTITUTE(SUBSTITUTE(UPPER(#REF!)," ",""),":",": "),SUBSTITUTE(SUBSTITUTE(UPPER(S818)," ",""),":",": "))),0)),"Não encontrado")</f>
        <v>Não encontrado</v>
      </c>
      <c r="D818" s="46" t="str" cm="1">
        <f t="array" ref="D818">IFERROR(INDEX(#REF!,MATCH(TRUE,ISNUMBER(FIND(SUBSTITUTE(SUBSTITUTE(UPPER(#REF!)," ",""),":",": "),SUBSTITUTE(SUBSTITUTE(UPPER(S818)," ",""),":",": "))),0)),"Não encontrado")</f>
        <v>Não encontrado</v>
      </c>
      <c r="E818" s="42" t="str" cm="1">
        <f t="array" ref="E818">IFERROR(INDEX({"IMPEDITIVO"},MATCH(TRUE,ISNUMBER(FIND(SUBSTITUTE(SUBSTITUTE(UPPER({"IMPEDITIVO"})," ",""),":",": "),SUBSTITUTE(SUBSTITUTE(UPPER(S818)," ",""),":",": "))),0)),"-")</f>
        <v>-</v>
      </c>
      <c r="K818" s="49"/>
    </row>
    <row r="819" spans="1:11" x14ac:dyDescent="0.25">
      <c r="A819" s="46" t="str" cm="1">
        <f t="array" ref="A819">IFERROR(INDEX(#REF!,MATCH(TRUE,ISNUMBER(FIND(SUBSTITUTE(SUBSTITUTE(UPPER(#REF!)," ",""),":",": "),SUBSTITUTE(SUBSTITUTE(UPPER(S819)," ",""),":",": "))),0)),"Undefined")</f>
        <v>Undefined</v>
      </c>
      <c r="B819" s="42" t="str" cm="1">
        <f t="array" ref="B819">IFERROR(INDEX({"URGENTE"},MATCH(TRUE,ISNUMBER(FIND(SUBSTITUTE(SUBSTITUTE(UPPER({"URGENTE"})," ",""),":",": "),SUBSTITUTE(SUBSTITUTE(UPPER(S819)," ",""),":",": "))),0)),"-")</f>
        <v>-</v>
      </c>
      <c r="C819" s="46" t="str" cm="1">
        <f t="array" ref="C819">IFERROR(INDEX(#REF!,MATCH(TRUE,ISNUMBER(FIND(SUBSTITUTE(SUBSTITUTE(UPPER(#REF!)," ",""),":",": "),SUBSTITUTE(SUBSTITUTE(UPPER(S819)," ",""),":",": "))),0)),"Não encontrado")</f>
        <v>Não encontrado</v>
      </c>
      <c r="D819" s="46" t="str" cm="1">
        <f t="array" ref="D819">IFERROR(INDEX(#REF!,MATCH(TRUE,ISNUMBER(FIND(SUBSTITUTE(SUBSTITUTE(UPPER(#REF!)," ",""),":",": "),SUBSTITUTE(SUBSTITUTE(UPPER(S819)," ",""),":",": "))),0)),"Não encontrado")</f>
        <v>Não encontrado</v>
      </c>
      <c r="E819" s="42" t="str" cm="1">
        <f t="array" ref="E819">IFERROR(INDEX({"IMPEDITIVO"},MATCH(TRUE,ISNUMBER(FIND(SUBSTITUTE(SUBSTITUTE(UPPER({"IMPEDITIVO"})," ",""),":",": "),SUBSTITUTE(SUBSTITUTE(UPPER(S819)," ",""),":",": "))),0)),"-")</f>
        <v>-</v>
      </c>
      <c r="K819" s="49"/>
    </row>
    <row r="820" spans="1:11" x14ac:dyDescent="0.25">
      <c r="A820" s="46" t="str" cm="1">
        <f t="array" ref="A820">IFERROR(INDEX(#REF!,MATCH(TRUE,ISNUMBER(FIND(SUBSTITUTE(SUBSTITUTE(UPPER(#REF!)," ",""),":",": "),SUBSTITUTE(SUBSTITUTE(UPPER(S820)," ",""),":",": "))),0)),"Undefined")</f>
        <v>Undefined</v>
      </c>
      <c r="B820" s="42" t="str" cm="1">
        <f t="array" ref="B820">IFERROR(INDEX({"URGENTE"},MATCH(TRUE,ISNUMBER(FIND(SUBSTITUTE(SUBSTITUTE(UPPER({"URGENTE"})," ",""),":",": "),SUBSTITUTE(SUBSTITUTE(UPPER(S820)," ",""),":",": "))),0)),"-")</f>
        <v>-</v>
      </c>
      <c r="C820" s="46" t="str" cm="1">
        <f t="array" ref="C820">IFERROR(INDEX(#REF!,MATCH(TRUE,ISNUMBER(FIND(SUBSTITUTE(SUBSTITUTE(UPPER(#REF!)," ",""),":",": "),SUBSTITUTE(SUBSTITUTE(UPPER(S820)," ",""),":",": "))),0)),"Não encontrado")</f>
        <v>Não encontrado</v>
      </c>
      <c r="D820" s="46" t="str" cm="1">
        <f t="array" ref="D820">IFERROR(INDEX(#REF!,MATCH(TRUE,ISNUMBER(FIND(SUBSTITUTE(SUBSTITUTE(UPPER(#REF!)," ",""),":",": "),SUBSTITUTE(SUBSTITUTE(UPPER(S820)," ",""),":",": "))),0)),"Não encontrado")</f>
        <v>Não encontrado</v>
      </c>
      <c r="E820" s="42" t="str" cm="1">
        <f t="array" ref="E820">IFERROR(INDEX({"IMPEDITIVO"},MATCH(TRUE,ISNUMBER(FIND(SUBSTITUTE(SUBSTITUTE(UPPER({"IMPEDITIVO"})," ",""),":",": "),SUBSTITUTE(SUBSTITUTE(UPPER(S820)," ",""),":",": "))),0)),"-")</f>
        <v>-</v>
      </c>
      <c r="K820" s="49"/>
    </row>
    <row r="821" spans="1:11" x14ac:dyDescent="0.25">
      <c r="A821" s="46" t="str" cm="1">
        <f t="array" ref="A821">IFERROR(INDEX(#REF!,MATCH(TRUE,ISNUMBER(FIND(SUBSTITUTE(SUBSTITUTE(UPPER(#REF!)," ",""),":",": "),SUBSTITUTE(SUBSTITUTE(UPPER(S821)," ",""),":",": "))),0)),"Undefined")</f>
        <v>Undefined</v>
      </c>
      <c r="B821" s="42" t="str" cm="1">
        <f t="array" ref="B821">IFERROR(INDEX({"URGENTE"},MATCH(TRUE,ISNUMBER(FIND(SUBSTITUTE(SUBSTITUTE(UPPER({"URGENTE"})," ",""),":",": "),SUBSTITUTE(SUBSTITUTE(UPPER(S821)," ",""),":",": "))),0)),"-")</f>
        <v>-</v>
      </c>
      <c r="C821" s="46" t="str" cm="1">
        <f t="array" ref="C821">IFERROR(INDEX(#REF!,MATCH(TRUE,ISNUMBER(FIND(SUBSTITUTE(SUBSTITUTE(UPPER(#REF!)," ",""),":",": "),SUBSTITUTE(SUBSTITUTE(UPPER(S821)," ",""),":",": "))),0)),"Não encontrado")</f>
        <v>Não encontrado</v>
      </c>
      <c r="D821" s="46" t="str" cm="1">
        <f t="array" ref="D821">IFERROR(INDEX(#REF!,MATCH(TRUE,ISNUMBER(FIND(SUBSTITUTE(SUBSTITUTE(UPPER(#REF!)," ",""),":",": "),SUBSTITUTE(SUBSTITUTE(UPPER(S821)," ",""),":",": "))),0)),"Não encontrado")</f>
        <v>Não encontrado</v>
      </c>
      <c r="E821" s="42" t="str" cm="1">
        <f t="array" ref="E821">IFERROR(INDEX({"IMPEDITIVO"},MATCH(TRUE,ISNUMBER(FIND(SUBSTITUTE(SUBSTITUTE(UPPER({"IMPEDITIVO"})," ",""),":",": "),SUBSTITUTE(SUBSTITUTE(UPPER(S821)," ",""),":",": "))),0)),"-")</f>
        <v>-</v>
      </c>
      <c r="K821" s="49"/>
    </row>
    <row r="822" spans="1:11" x14ac:dyDescent="0.25">
      <c r="A822" s="46" t="str" cm="1">
        <f t="array" ref="A822">IFERROR(INDEX(#REF!,MATCH(TRUE,ISNUMBER(FIND(SUBSTITUTE(SUBSTITUTE(UPPER(#REF!)," ",""),":",": "),SUBSTITUTE(SUBSTITUTE(UPPER(S822)," ",""),":",": "))),0)),"Undefined")</f>
        <v>Undefined</v>
      </c>
      <c r="B822" s="42" t="str" cm="1">
        <f t="array" ref="B822">IFERROR(INDEX({"URGENTE"},MATCH(TRUE,ISNUMBER(FIND(SUBSTITUTE(SUBSTITUTE(UPPER({"URGENTE"})," ",""),":",": "),SUBSTITUTE(SUBSTITUTE(UPPER(S822)," ",""),":",": "))),0)),"-")</f>
        <v>-</v>
      </c>
      <c r="C822" s="46" t="str" cm="1">
        <f t="array" ref="C822">IFERROR(INDEX(#REF!,MATCH(TRUE,ISNUMBER(FIND(SUBSTITUTE(SUBSTITUTE(UPPER(#REF!)," ",""),":",": "),SUBSTITUTE(SUBSTITUTE(UPPER(S822)," ",""),":",": "))),0)),"Não encontrado")</f>
        <v>Não encontrado</v>
      </c>
      <c r="D822" s="46" t="str" cm="1">
        <f t="array" ref="D822">IFERROR(INDEX(#REF!,MATCH(TRUE,ISNUMBER(FIND(SUBSTITUTE(SUBSTITUTE(UPPER(#REF!)," ",""),":",": "),SUBSTITUTE(SUBSTITUTE(UPPER(S822)," ",""),":",": "))),0)),"Não encontrado")</f>
        <v>Não encontrado</v>
      </c>
      <c r="E822" s="42" t="str" cm="1">
        <f t="array" ref="E822">IFERROR(INDEX({"IMPEDITIVO"},MATCH(TRUE,ISNUMBER(FIND(SUBSTITUTE(SUBSTITUTE(UPPER({"IMPEDITIVO"})," ",""),":",": "),SUBSTITUTE(SUBSTITUTE(UPPER(S822)," ",""),":",": "))),0)),"-")</f>
        <v>-</v>
      </c>
      <c r="K822" s="49"/>
    </row>
    <row r="823" spans="1:11" x14ac:dyDescent="0.25">
      <c r="A823" s="46" t="str" cm="1">
        <f t="array" ref="A823">IFERROR(INDEX(#REF!,MATCH(TRUE,ISNUMBER(FIND(SUBSTITUTE(SUBSTITUTE(UPPER(#REF!)," ",""),":",": "),SUBSTITUTE(SUBSTITUTE(UPPER(S823)," ",""),":",": "))),0)),"Undefined")</f>
        <v>Undefined</v>
      </c>
      <c r="B823" s="42" t="str" cm="1">
        <f t="array" ref="B823">IFERROR(INDEX({"URGENTE"},MATCH(TRUE,ISNUMBER(FIND(SUBSTITUTE(SUBSTITUTE(UPPER({"URGENTE"})," ",""),":",": "),SUBSTITUTE(SUBSTITUTE(UPPER(S823)," ",""),":",": "))),0)),"-")</f>
        <v>-</v>
      </c>
      <c r="C823" s="46" t="str" cm="1">
        <f t="array" ref="C823">IFERROR(INDEX(#REF!,MATCH(TRUE,ISNUMBER(FIND(SUBSTITUTE(SUBSTITUTE(UPPER(#REF!)," ",""),":",": "),SUBSTITUTE(SUBSTITUTE(UPPER(S823)," ",""),":",": "))),0)),"Não encontrado")</f>
        <v>Não encontrado</v>
      </c>
      <c r="D823" s="46" t="str" cm="1">
        <f t="array" ref="D823">IFERROR(INDEX(#REF!,MATCH(TRUE,ISNUMBER(FIND(SUBSTITUTE(SUBSTITUTE(UPPER(#REF!)," ",""),":",": "),SUBSTITUTE(SUBSTITUTE(UPPER(S823)," ",""),":",": "))),0)),"Não encontrado")</f>
        <v>Não encontrado</v>
      </c>
      <c r="E823" s="42" t="str" cm="1">
        <f t="array" ref="E823">IFERROR(INDEX({"IMPEDITIVO"},MATCH(TRUE,ISNUMBER(FIND(SUBSTITUTE(SUBSTITUTE(UPPER({"IMPEDITIVO"})," ",""),":",": "),SUBSTITUTE(SUBSTITUTE(UPPER(S823)," ",""),":",": "))),0)),"-")</f>
        <v>-</v>
      </c>
      <c r="K823" s="49"/>
    </row>
    <row r="824" spans="1:11" x14ac:dyDescent="0.25">
      <c r="A824" s="46" t="str" cm="1">
        <f t="array" ref="A824">IFERROR(INDEX(#REF!,MATCH(TRUE,ISNUMBER(FIND(SUBSTITUTE(SUBSTITUTE(UPPER(#REF!)," ",""),":",": "),SUBSTITUTE(SUBSTITUTE(UPPER(S824)," ",""),":",": "))),0)),"Undefined")</f>
        <v>Undefined</v>
      </c>
      <c r="B824" s="42" t="str" cm="1">
        <f t="array" ref="B824">IFERROR(INDEX({"URGENTE"},MATCH(TRUE,ISNUMBER(FIND(SUBSTITUTE(SUBSTITUTE(UPPER({"URGENTE"})," ",""),":",": "),SUBSTITUTE(SUBSTITUTE(UPPER(S824)," ",""),":",": "))),0)),"-")</f>
        <v>-</v>
      </c>
      <c r="C824" s="46" t="str" cm="1">
        <f t="array" ref="C824">IFERROR(INDEX(#REF!,MATCH(TRUE,ISNUMBER(FIND(SUBSTITUTE(SUBSTITUTE(UPPER(#REF!)," ",""),":",": "),SUBSTITUTE(SUBSTITUTE(UPPER(S824)," ",""),":",": "))),0)),"Não encontrado")</f>
        <v>Não encontrado</v>
      </c>
      <c r="D824" s="46" t="str" cm="1">
        <f t="array" ref="D824">IFERROR(INDEX(#REF!,MATCH(TRUE,ISNUMBER(FIND(SUBSTITUTE(SUBSTITUTE(UPPER(#REF!)," ",""),":",": "),SUBSTITUTE(SUBSTITUTE(UPPER(S824)," ",""),":",": "))),0)),"Não encontrado")</f>
        <v>Não encontrado</v>
      </c>
      <c r="E824" s="42" t="str" cm="1">
        <f t="array" ref="E824">IFERROR(INDEX({"IMPEDITIVO"},MATCH(TRUE,ISNUMBER(FIND(SUBSTITUTE(SUBSTITUTE(UPPER({"IMPEDITIVO"})," ",""),":",": "),SUBSTITUTE(SUBSTITUTE(UPPER(S824)," ",""),":",": "))),0)),"-")</f>
        <v>-</v>
      </c>
      <c r="K824" s="49"/>
    </row>
    <row r="825" spans="1:11" x14ac:dyDescent="0.25">
      <c r="A825" s="46" t="str" cm="1">
        <f t="array" ref="A825">IFERROR(INDEX(#REF!,MATCH(TRUE,ISNUMBER(FIND(SUBSTITUTE(SUBSTITUTE(UPPER(#REF!)," ",""),":",": "),SUBSTITUTE(SUBSTITUTE(UPPER(S825)," ",""),":",": "))),0)),"Undefined")</f>
        <v>Undefined</v>
      </c>
      <c r="B825" s="42" t="str" cm="1">
        <f t="array" ref="B825">IFERROR(INDEX({"URGENTE"},MATCH(TRUE,ISNUMBER(FIND(SUBSTITUTE(SUBSTITUTE(UPPER({"URGENTE"})," ",""),":",": "),SUBSTITUTE(SUBSTITUTE(UPPER(S825)," ",""),":",": "))),0)),"-")</f>
        <v>-</v>
      </c>
      <c r="C825" s="46" t="str" cm="1">
        <f t="array" ref="C825">IFERROR(INDEX(#REF!,MATCH(TRUE,ISNUMBER(FIND(SUBSTITUTE(SUBSTITUTE(UPPER(#REF!)," ",""),":",": "),SUBSTITUTE(SUBSTITUTE(UPPER(S825)," ",""),":",": "))),0)),"Não encontrado")</f>
        <v>Não encontrado</v>
      </c>
      <c r="D825" s="46" t="str" cm="1">
        <f t="array" ref="D825">IFERROR(INDEX(#REF!,MATCH(TRUE,ISNUMBER(FIND(SUBSTITUTE(SUBSTITUTE(UPPER(#REF!)," ",""),":",": "),SUBSTITUTE(SUBSTITUTE(UPPER(S825)," ",""),":",": "))),0)),"Não encontrado")</f>
        <v>Não encontrado</v>
      </c>
      <c r="E825" s="42" t="str" cm="1">
        <f t="array" ref="E825">IFERROR(INDEX({"IMPEDITIVO"},MATCH(TRUE,ISNUMBER(FIND(SUBSTITUTE(SUBSTITUTE(UPPER({"IMPEDITIVO"})," ",""),":",": "),SUBSTITUTE(SUBSTITUTE(UPPER(S825)," ",""),":",": "))),0)),"-")</f>
        <v>-</v>
      </c>
      <c r="K825" s="49"/>
    </row>
    <row r="826" spans="1:11" x14ac:dyDescent="0.25">
      <c r="A826" s="46" t="str" cm="1">
        <f t="array" ref="A826">IFERROR(INDEX(#REF!,MATCH(TRUE,ISNUMBER(FIND(SUBSTITUTE(SUBSTITUTE(UPPER(#REF!)," ",""),":",": "),SUBSTITUTE(SUBSTITUTE(UPPER(S826)," ",""),":",": "))),0)),"Undefined")</f>
        <v>Undefined</v>
      </c>
      <c r="B826" s="42" t="str" cm="1">
        <f t="array" ref="B826">IFERROR(INDEX({"URGENTE"},MATCH(TRUE,ISNUMBER(FIND(SUBSTITUTE(SUBSTITUTE(UPPER({"URGENTE"})," ",""),":",": "),SUBSTITUTE(SUBSTITUTE(UPPER(S826)," ",""),":",": "))),0)),"-")</f>
        <v>-</v>
      </c>
      <c r="C826" s="46" t="str" cm="1">
        <f t="array" ref="C826">IFERROR(INDEX(#REF!,MATCH(TRUE,ISNUMBER(FIND(SUBSTITUTE(SUBSTITUTE(UPPER(#REF!)," ",""),":",": "),SUBSTITUTE(SUBSTITUTE(UPPER(S826)," ",""),":",": "))),0)),"Não encontrado")</f>
        <v>Não encontrado</v>
      </c>
      <c r="D826" s="46" t="str" cm="1">
        <f t="array" ref="D826">IFERROR(INDEX(#REF!,MATCH(TRUE,ISNUMBER(FIND(SUBSTITUTE(SUBSTITUTE(UPPER(#REF!)," ",""),":",": "),SUBSTITUTE(SUBSTITUTE(UPPER(S826)," ",""),":",": "))),0)),"Não encontrado")</f>
        <v>Não encontrado</v>
      </c>
      <c r="E826" s="42" t="str" cm="1">
        <f t="array" ref="E826">IFERROR(INDEX({"IMPEDITIVO"},MATCH(TRUE,ISNUMBER(FIND(SUBSTITUTE(SUBSTITUTE(UPPER({"IMPEDITIVO"})," ",""),":",": "),SUBSTITUTE(SUBSTITUTE(UPPER(S826)," ",""),":",": "))),0)),"-")</f>
        <v>-</v>
      </c>
      <c r="K826" s="49"/>
    </row>
    <row r="827" spans="1:11" x14ac:dyDescent="0.25">
      <c r="A827" s="46" t="str" cm="1">
        <f t="array" ref="A827">IFERROR(INDEX(#REF!,MATCH(TRUE,ISNUMBER(FIND(SUBSTITUTE(SUBSTITUTE(UPPER(#REF!)," ",""),":",": "),SUBSTITUTE(SUBSTITUTE(UPPER(S827)," ",""),":",": "))),0)),"Undefined")</f>
        <v>Undefined</v>
      </c>
      <c r="B827" s="42" t="str" cm="1">
        <f t="array" ref="B827">IFERROR(INDEX({"URGENTE"},MATCH(TRUE,ISNUMBER(FIND(SUBSTITUTE(SUBSTITUTE(UPPER({"URGENTE"})," ",""),":",": "),SUBSTITUTE(SUBSTITUTE(UPPER(S827)," ",""),":",": "))),0)),"-")</f>
        <v>-</v>
      </c>
      <c r="C827" s="46" t="str" cm="1">
        <f t="array" ref="C827">IFERROR(INDEX(#REF!,MATCH(TRUE,ISNUMBER(FIND(SUBSTITUTE(SUBSTITUTE(UPPER(#REF!)," ",""),":",": "),SUBSTITUTE(SUBSTITUTE(UPPER(S827)," ",""),":",": "))),0)),"Não encontrado")</f>
        <v>Não encontrado</v>
      </c>
      <c r="D827" s="46" t="str" cm="1">
        <f t="array" ref="D827">IFERROR(INDEX(#REF!,MATCH(TRUE,ISNUMBER(FIND(SUBSTITUTE(SUBSTITUTE(UPPER(#REF!)," ",""),":",": "),SUBSTITUTE(SUBSTITUTE(UPPER(S827)," ",""),":",": "))),0)),"Não encontrado")</f>
        <v>Não encontrado</v>
      </c>
      <c r="E827" s="42" t="str" cm="1">
        <f t="array" ref="E827">IFERROR(INDEX({"IMPEDITIVO"},MATCH(TRUE,ISNUMBER(FIND(SUBSTITUTE(SUBSTITUTE(UPPER({"IMPEDITIVO"})," ",""),":",": "),SUBSTITUTE(SUBSTITUTE(UPPER(S827)," ",""),":",": "))),0)),"-")</f>
        <v>-</v>
      </c>
      <c r="K827" s="49"/>
    </row>
    <row r="828" spans="1:11" x14ac:dyDescent="0.25">
      <c r="A828" s="46" t="str" cm="1">
        <f t="array" ref="A828">IFERROR(INDEX(#REF!,MATCH(TRUE,ISNUMBER(FIND(SUBSTITUTE(SUBSTITUTE(UPPER(#REF!)," ",""),":",": "),SUBSTITUTE(SUBSTITUTE(UPPER(S828)," ",""),":",": "))),0)),"Undefined")</f>
        <v>Undefined</v>
      </c>
      <c r="B828" s="42" t="str" cm="1">
        <f t="array" ref="B828">IFERROR(INDEX({"URGENTE"},MATCH(TRUE,ISNUMBER(FIND(SUBSTITUTE(SUBSTITUTE(UPPER({"URGENTE"})," ",""),":",": "),SUBSTITUTE(SUBSTITUTE(UPPER(S828)," ",""),":",": "))),0)),"-")</f>
        <v>-</v>
      </c>
      <c r="C828" s="46" t="str" cm="1">
        <f t="array" ref="C828">IFERROR(INDEX(#REF!,MATCH(TRUE,ISNUMBER(FIND(SUBSTITUTE(SUBSTITUTE(UPPER(#REF!)," ",""),":",": "),SUBSTITUTE(SUBSTITUTE(UPPER(S828)," ",""),":",": "))),0)),"Não encontrado")</f>
        <v>Não encontrado</v>
      </c>
      <c r="D828" s="46" t="str" cm="1">
        <f t="array" ref="D828">IFERROR(INDEX(#REF!,MATCH(TRUE,ISNUMBER(FIND(SUBSTITUTE(SUBSTITUTE(UPPER(#REF!)," ",""),":",": "),SUBSTITUTE(SUBSTITUTE(UPPER(S828)," ",""),":",": "))),0)),"Não encontrado")</f>
        <v>Não encontrado</v>
      </c>
      <c r="E828" s="42" t="str" cm="1">
        <f t="array" ref="E828">IFERROR(INDEX({"IMPEDITIVO"},MATCH(TRUE,ISNUMBER(FIND(SUBSTITUTE(SUBSTITUTE(UPPER({"IMPEDITIVO"})," ",""),":",": "),SUBSTITUTE(SUBSTITUTE(UPPER(S828)," ",""),":",": "))),0)),"-")</f>
        <v>-</v>
      </c>
      <c r="K828" s="49"/>
    </row>
    <row r="829" spans="1:11" x14ac:dyDescent="0.25">
      <c r="A829" s="46" t="str" cm="1">
        <f t="array" ref="A829">IFERROR(INDEX(#REF!,MATCH(TRUE,ISNUMBER(FIND(SUBSTITUTE(SUBSTITUTE(UPPER(#REF!)," ",""),":",": "),SUBSTITUTE(SUBSTITUTE(UPPER(S829)," ",""),":",": "))),0)),"Undefined")</f>
        <v>Undefined</v>
      </c>
      <c r="B829" s="42" t="str" cm="1">
        <f t="array" ref="B829">IFERROR(INDEX({"URGENTE"},MATCH(TRUE,ISNUMBER(FIND(SUBSTITUTE(SUBSTITUTE(UPPER({"URGENTE"})," ",""),":",": "),SUBSTITUTE(SUBSTITUTE(UPPER(S829)," ",""),":",": "))),0)),"-")</f>
        <v>-</v>
      </c>
      <c r="C829" s="46" t="str" cm="1">
        <f t="array" ref="C829">IFERROR(INDEX(#REF!,MATCH(TRUE,ISNUMBER(FIND(SUBSTITUTE(SUBSTITUTE(UPPER(#REF!)," ",""),":",": "),SUBSTITUTE(SUBSTITUTE(UPPER(S829)," ",""),":",": "))),0)),"Não encontrado")</f>
        <v>Não encontrado</v>
      </c>
      <c r="D829" s="46" t="str" cm="1">
        <f t="array" ref="D829">IFERROR(INDEX(#REF!,MATCH(TRUE,ISNUMBER(FIND(SUBSTITUTE(SUBSTITUTE(UPPER(#REF!)," ",""),":",": "),SUBSTITUTE(SUBSTITUTE(UPPER(S829)," ",""),":",": "))),0)),"Não encontrado")</f>
        <v>Não encontrado</v>
      </c>
      <c r="E829" s="42" t="str" cm="1">
        <f t="array" ref="E829">IFERROR(INDEX({"IMPEDITIVO"},MATCH(TRUE,ISNUMBER(FIND(SUBSTITUTE(SUBSTITUTE(UPPER({"IMPEDITIVO"})," ",""),":",": "),SUBSTITUTE(SUBSTITUTE(UPPER(S829)," ",""),":",": "))),0)),"-")</f>
        <v>-</v>
      </c>
      <c r="K829" s="49"/>
    </row>
    <row r="830" spans="1:11" x14ac:dyDescent="0.25">
      <c r="A830" s="46" t="str" cm="1">
        <f t="array" ref="A830">IFERROR(INDEX(#REF!,MATCH(TRUE,ISNUMBER(FIND(SUBSTITUTE(SUBSTITUTE(UPPER(#REF!)," ",""),":",": "),SUBSTITUTE(SUBSTITUTE(UPPER(S830)," ",""),":",": "))),0)),"Undefined")</f>
        <v>Undefined</v>
      </c>
      <c r="B830" s="42" t="str" cm="1">
        <f t="array" ref="B830">IFERROR(INDEX({"URGENTE"},MATCH(TRUE,ISNUMBER(FIND(SUBSTITUTE(SUBSTITUTE(UPPER({"URGENTE"})," ",""),":",": "),SUBSTITUTE(SUBSTITUTE(UPPER(S830)," ",""),":",": "))),0)),"-")</f>
        <v>-</v>
      </c>
      <c r="C830" s="46" t="str" cm="1">
        <f t="array" ref="C830">IFERROR(INDEX(#REF!,MATCH(TRUE,ISNUMBER(FIND(SUBSTITUTE(SUBSTITUTE(UPPER(#REF!)," ",""),":",": "),SUBSTITUTE(SUBSTITUTE(UPPER(S830)," ",""),":",": "))),0)),"Não encontrado")</f>
        <v>Não encontrado</v>
      </c>
      <c r="D830" s="46" t="str" cm="1">
        <f t="array" ref="D830">IFERROR(INDEX(#REF!,MATCH(TRUE,ISNUMBER(FIND(SUBSTITUTE(SUBSTITUTE(UPPER(#REF!)," ",""),":",": "),SUBSTITUTE(SUBSTITUTE(UPPER(S830)," ",""),":",": "))),0)),"Não encontrado")</f>
        <v>Não encontrado</v>
      </c>
      <c r="E830" s="42" t="str" cm="1">
        <f t="array" ref="E830">IFERROR(INDEX({"IMPEDITIVO"},MATCH(TRUE,ISNUMBER(FIND(SUBSTITUTE(SUBSTITUTE(UPPER({"IMPEDITIVO"})," ",""),":",": "),SUBSTITUTE(SUBSTITUTE(UPPER(S830)," ",""),":",": "))),0)),"-")</f>
        <v>-</v>
      </c>
      <c r="K830" s="49"/>
    </row>
    <row r="831" spans="1:11" x14ac:dyDescent="0.25">
      <c r="A831" s="46" t="str" cm="1">
        <f t="array" ref="A831">IFERROR(INDEX(#REF!,MATCH(TRUE,ISNUMBER(FIND(SUBSTITUTE(SUBSTITUTE(UPPER(#REF!)," ",""),":",": "),SUBSTITUTE(SUBSTITUTE(UPPER(S831)," ",""),":",": "))),0)),"Undefined")</f>
        <v>Undefined</v>
      </c>
      <c r="B831" s="42" t="str" cm="1">
        <f t="array" ref="B831">IFERROR(INDEX({"URGENTE"},MATCH(TRUE,ISNUMBER(FIND(SUBSTITUTE(SUBSTITUTE(UPPER({"URGENTE"})," ",""),":",": "),SUBSTITUTE(SUBSTITUTE(UPPER(S831)," ",""),":",": "))),0)),"-")</f>
        <v>-</v>
      </c>
      <c r="C831" s="46" t="str" cm="1">
        <f t="array" ref="C831">IFERROR(INDEX(#REF!,MATCH(TRUE,ISNUMBER(FIND(SUBSTITUTE(SUBSTITUTE(UPPER(#REF!)," ",""),":",": "),SUBSTITUTE(SUBSTITUTE(UPPER(S831)," ",""),":",": "))),0)),"Não encontrado")</f>
        <v>Não encontrado</v>
      </c>
      <c r="D831" s="46" t="str" cm="1">
        <f t="array" ref="D831">IFERROR(INDEX(#REF!,MATCH(TRUE,ISNUMBER(FIND(SUBSTITUTE(SUBSTITUTE(UPPER(#REF!)," ",""),":",": "),SUBSTITUTE(SUBSTITUTE(UPPER(S831)," ",""),":",": "))),0)),"Não encontrado")</f>
        <v>Não encontrado</v>
      </c>
      <c r="E831" s="42" t="str" cm="1">
        <f t="array" ref="E831">IFERROR(INDEX({"IMPEDITIVO"},MATCH(TRUE,ISNUMBER(FIND(SUBSTITUTE(SUBSTITUTE(UPPER({"IMPEDITIVO"})," ",""),":",": "),SUBSTITUTE(SUBSTITUTE(UPPER(S831)," ",""),":",": "))),0)),"-")</f>
        <v>-</v>
      </c>
      <c r="K831" s="49"/>
    </row>
    <row r="832" spans="1:11" x14ac:dyDescent="0.25">
      <c r="A832" s="46" t="str" cm="1">
        <f t="array" ref="A832">IFERROR(INDEX(#REF!,MATCH(TRUE,ISNUMBER(FIND(SUBSTITUTE(SUBSTITUTE(UPPER(#REF!)," ",""),":",": "),SUBSTITUTE(SUBSTITUTE(UPPER(S832)," ",""),":",": "))),0)),"Undefined")</f>
        <v>Undefined</v>
      </c>
      <c r="B832" s="42" t="str" cm="1">
        <f t="array" ref="B832">IFERROR(INDEX({"URGENTE"},MATCH(TRUE,ISNUMBER(FIND(SUBSTITUTE(SUBSTITUTE(UPPER({"URGENTE"})," ",""),":",": "),SUBSTITUTE(SUBSTITUTE(UPPER(S832)," ",""),":",": "))),0)),"-")</f>
        <v>-</v>
      </c>
      <c r="C832" s="46" t="str" cm="1">
        <f t="array" ref="C832">IFERROR(INDEX(#REF!,MATCH(TRUE,ISNUMBER(FIND(SUBSTITUTE(SUBSTITUTE(UPPER(#REF!)," ",""),":",": "),SUBSTITUTE(SUBSTITUTE(UPPER(S832)," ",""),":",": "))),0)),"Não encontrado")</f>
        <v>Não encontrado</v>
      </c>
      <c r="D832" s="46" t="str" cm="1">
        <f t="array" ref="D832">IFERROR(INDEX(#REF!,MATCH(TRUE,ISNUMBER(FIND(SUBSTITUTE(SUBSTITUTE(UPPER(#REF!)," ",""),":",": "),SUBSTITUTE(SUBSTITUTE(UPPER(S832)," ",""),":",": "))),0)),"Não encontrado")</f>
        <v>Não encontrado</v>
      </c>
      <c r="E832" s="42" t="str" cm="1">
        <f t="array" ref="E832">IFERROR(INDEX({"IMPEDITIVO"},MATCH(TRUE,ISNUMBER(FIND(SUBSTITUTE(SUBSTITUTE(UPPER({"IMPEDITIVO"})," ",""),":",": "),SUBSTITUTE(SUBSTITUTE(UPPER(S832)," ",""),":",": "))),0)),"-")</f>
        <v>-</v>
      </c>
      <c r="K832" s="49"/>
    </row>
    <row r="833" spans="1:11" x14ac:dyDescent="0.25">
      <c r="A833" s="46" t="str" cm="1">
        <f t="array" ref="A833">IFERROR(INDEX(#REF!,MATCH(TRUE,ISNUMBER(FIND(SUBSTITUTE(SUBSTITUTE(UPPER(#REF!)," ",""),":",": "),SUBSTITUTE(SUBSTITUTE(UPPER(S833)," ",""),":",": "))),0)),"Undefined")</f>
        <v>Undefined</v>
      </c>
      <c r="B833" s="42" t="str" cm="1">
        <f t="array" ref="B833">IFERROR(INDEX({"URGENTE"},MATCH(TRUE,ISNUMBER(FIND(SUBSTITUTE(SUBSTITUTE(UPPER({"URGENTE"})," ",""),":",": "),SUBSTITUTE(SUBSTITUTE(UPPER(S833)," ",""),":",": "))),0)),"-")</f>
        <v>-</v>
      </c>
      <c r="C833" s="46" t="str" cm="1">
        <f t="array" ref="C833">IFERROR(INDEX(#REF!,MATCH(TRUE,ISNUMBER(FIND(SUBSTITUTE(SUBSTITUTE(UPPER(#REF!)," ",""),":",": "),SUBSTITUTE(SUBSTITUTE(UPPER(S833)," ",""),":",": "))),0)),"Não encontrado")</f>
        <v>Não encontrado</v>
      </c>
      <c r="D833" s="46" t="str" cm="1">
        <f t="array" ref="D833">IFERROR(INDEX(#REF!,MATCH(TRUE,ISNUMBER(FIND(SUBSTITUTE(SUBSTITUTE(UPPER(#REF!)," ",""),":",": "),SUBSTITUTE(SUBSTITUTE(UPPER(S833)," ",""),":",": "))),0)),"Não encontrado")</f>
        <v>Não encontrado</v>
      </c>
      <c r="E833" s="42" t="str" cm="1">
        <f t="array" ref="E833">IFERROR(INDEX({"IMPEDITIVO"},MATCH(TRUE,ISNUMBER(FIND(SUBSTITUTE(SUBSTITUTE(UPPER({"IMPEDITIVO"})," ",""),":",": "),SUBSTITUTE(SUBSTITUTE(UPPER(S833)," ",""),":",": "))),0)),"-")</f>
        <v>-</v>
      </c>
      <c r="K833" s="49"/>
    </row>
    <row r="834" spans="1:11" x14ac:dyDescent="0.25">
      <c r="A834" s="46" t="str" cm="1">
        <f t="array" ref="A834">IFERROR(INDEX(#REF!,MATCH(TRUE,ISNUMBER(FIND(SUBSTITUTE(SUBSTITUTE(UPPER(#REF!)," ",""),":",": "),SUBSTITUTE(SUBSTITUTE(UPPER(S834)," ",""),":",": "))),0)),"Undefined")</f>
        <v>Undefined</v>
      </c>
      <c r="B834" s="42" t="str" cm="1">
        <f t="array" ref="B834">IFERROR(INDEX({"URGENTE"},MATCH(TRUE,ISNUMBER(FIND(SUBSTITUTE(SUBSTITUTE(UPPER({"URGENTE"})," ",""),":",": "),SUBSTITUTE(SUBSTITUTE(UPPER(S834)," ",""),":",": "))),0)),"-")</f>
        <v>-</v>
      </c>
      <c r="C834" s="46" t="str" cm="1">
        <f t="array" ref="C834">IFERROR(INDEX(#REF!,MATCH(TRUE,ISNUMBER(FIND(SUBSTITUTE(SUBSTITUTE(UPPER(#REF!)," ",""),":",": "),SUBSTITUTE(SUBSTITUTE(UPPER(S834)," ",""),":",": "))),0)),"Não encontrado")</f>
        <v>Não encontrado</v>
      </c>
      <c r="D834" s="46" t="str" cm="1">
        <f t="array" ref="D834">IFERROR(INDEX(#REF!,MATCH(TRUE,ISNUMBER(FIND(SUBSTITUTE(SUBSTITUTE(UPPER(#REF!)," ",""),":",": "),SUBSTITUTE(SUBSTITUTE(UPPER(S834)," ",""),":",": "))),0)),"Não encontrado")</f>
        <v>Não encontrado</v>
      </c>
      <c r="E834" s="42" t="str" cm="1">
        <f t="array" ref="E834">IFERROR(INDEX({"IMPEDITIVO"},MATCH(TRUE,ISNUMBER(FIND(SUBSTITUTE(SUBSTITUTE(UPPER({"IMPEDITIVO"})," ",""),":",": "),SUBSTITUTE(SUBSTITUTE(UPPER(S834)," ",""),":",": "))),0)),"-")</f>
        <v>-</v>
      </c>
      <c r="K834" s="49"/>
    </row>
    <row r="835" spans="1:11" x14ac:dyDescent="0.25">
      <c r="A835" s="46" t="str" cm="1">
        <f t="array" ref="A835">IFERROR(INDEX(#REF!,MATCH(TRUE,ISNUMBER(FIND(SUBSTITUTE(SUBSTITUTE(UPPER(#REF!)," ",""),":",": "),SUBSTITUTE(SUBSTITUTE(UPPER(S835)," ",""),":",": "))),0)),"Undefined")</f>
        <v>Undefined</v>
      </c>
      <c r="B835" s="42" t="str" cm="1">
        <f t="array" ref="B835">IFERROR(INDEX({"URGENTE"},MATCH(TRUE,ISNUMBER(FIND(SUBSTITUTE(SUBSTITUTE(UPPER({"URGENTE"})," ",""),":",": "),SUBSTITUTE(SUBSTITUTE(UPPER(S835)," ",""),":",": "))),0)),"-")</f>
        <v>-</v>
      </c>
      <c r="C835" s="46" t="str" cm="1">
        <f t="array" ref="C835">IFERROR(INDEX(#REF!,MATCH(TRUE,ISNUMBER(FIND(SUBSTITUTE(SUBSTITUTE(UPPER(#REF!)," ",""),":",": "),SUBSTITUTE(SUBSTITUTE(UPPER(S835)," ",""),":",": "))),0)),"Não encontrado")</f>
        <v>Não encontrado</v>
      </c>
      <c r="D835" s="46" t="str" cm="1">
        <f t="array" ref="D835">IFERROR(INDEX(#REF!,MATCH(TRUE,ISNUMBER(FIND(SUBSTITUTE(SUBSTITUTE(UPPER(#REF!)," ",""),":",": "),SUBSTITUTE(SUBSTITUTE(UPPER(S835)," ",""),":",": "))),0)),"Não encontrado")</f>
        <v>Não encontrado</v>
      </c>
      <c r="E835" s="42" t="str" cm="1">
        <f t="array" ref="E835">IFERROR(INDEX({"IMPEDITIVO"},MATCH(TRUE,ISNUMBER(FIND(SUBSTITUTE(SUBSTITUTE(UPPER({"IMPEDITIVO"})," ",""),":",": "),SUBSTITUTE(SUBSTITUTE(UPPER(S835)," ",""),":",": "))),0)),"-")</f>
        <v>-</v>
      </c>
      <c r="K835" s="49"/>
    </row>
    <row r="836" spans="1:11" x14ac:dyDescent="0.25">
      <c r="A836" s="46" t="str" cm="1">
        <f t="array" ref="A836">IFERROR(INDEX(#REF!,MATCH(TRUE,ISNUMBER(FIND(SUBSTITUTE(SUBSTITUTE(UPPER(#REF!)," ",""),":",": "),SUBSTITUTE(SUBSTITUTE(UPPER(S836)," ",""),":",": "))),0)),"Undefined")</f>
        <v>Undefined</v>
      </c>
      <c r="B836" s="42" t="str" cm="1">
        <f t="array" ref="B836">IFERROR(INDEX({"URGENTE"},MATCH(TRUE,ISNUMBER(FIND(SUBSTITUTE(SUBSTITUTE(UPPER({"URGENTE"})," ",""),":",": "),SUBSTITUTE(SUBSTITUTE(UPPER(S836)," ",""),":",": "))),0)),"-")</f>
        <v>-</v>
      </c>
      <c r="C836" s="46" t="str" cm="1">
        <f t="array" ref="C836">IFERROR(INDEX(#REF!,MATCH(TRUE,ISNUMBER(FIND(SUBSTITUTE(SUBSTITUTE(UPPER(#REF!)," ",""),":",": "),SUBSTITUTE(SUBSTITUTE(UPPER(S836)," ",""),":",": "))),0)),"Não encontrado")</f>
        <v>Não encontrado</v>
      </c>
      <c r="D836" s="46" t="str" cm="1">
        <f t="array" ref="D836">IFERROR(INDEX(#REF!,MATCH(TRUE,ISNUMBER(FIND(SUBSTITUTE(SUBSTITUTE(UPPER(#REF!)," ",""),":",": "),SUBSTITUTE(SUBSTITUTE(UPPER(S836)," ",""),":",": "))),0)),"Não encontrado")</f>
        <v>Não encontrado</v>
      </c>
      <c r="E836" s="42" t="str" cm="1">
        <f t="array" ref="E836">IFERROR(INDEX({"IMPEDITIVO"},MATCH(TRUE,ISNUMBER(FIND(SUBSTITUTE(SUBSTITUTE(UPPER({"IMPEDITIVO"})," ",""),":",": "),SUBSTITUTE(SUBSTITUTE(UPPER(S836)," ",""),":",": "))),0)),"-")</f>
        <v>-</v>
      </c>
      <c r="K836" s="49"/>
    </row>
    <row r="837" spans="1:11" x14ac:dyDescent="0.25">
      <c r="A837" s="46" t="str" cm="1">
        <f t="array" ref="A837">IFERROR(INDEX(#REF!,MATCH(TRUE,ISNUMBER(FIND(SUBSTITUTE(SUBSTITUTE(UPPER(#REF!)," ",""),":",": "),SUBSTITUTE(SUBSTITUTE(UPPER(S837)," ",""),":",": "))),0)),"Undefined")</f>
        <v>Undefined</v>
      </c>
      <c r="B837" s="42" t="str" cm="1">
        <f t="array" ref="B837">IFERROR(INDEX({"URGENTE"},MATCH(TRUE,ISNUMBER(FIND(SUBSTITUTE(SUBSTITUTE(UPPER({"URGENTE"})," ",""),":",": "),SUBSTITUTE(SUBSTITUTE(UPPER(S837)," ",""),":",": "))),0)),"-")</f>
        <v>-</v>
      </c>
      <c r="C837" s="46" t="str" cm="1">
        <f t="array" ref="C837">IFERROR(INDEX(#REF!,MATCH(TRUE,ISNUMBER(FIND(SUBSTITUTE(SUBSTITUTE(UPPER(#REF!)," ",""),":",": "),SUBSTITUTE(SUBSTITUTE(UPPER(S837)," ",""),":",": "))),0)),"Não encontrado")</f>
        <v>Não encontrado</v>
      </c>
      <c r="D837" s="46" t="str" cm="1">
        <f t="array" ref="D837">IFERROR(INDEX(#REF!,MATCH(TRUE,ISNUMBER(FIND(SUBSTITUTE(SUBSTITUTE(UPPER(#REF!)," ",""),":",": "),SUBSTITUTE(SUBSTITUTE(UPPER(S837)," ",""),":",": "))),0)),"Não encontrado")</f>
        <v>Não encontrado</v>
      </c>
      <c r="E837" s="42" t="str" cm="1">
        <f t="array" ref="E837">IFERROR(INDEX({"IMPEDITIVO"},MATCH(TRUE,ISNUMBER(FIND(SUBSTITUTE(SUBSTITUTE(UPPER({"IMPEDITIVO"})," ",""),":",": "),SUBSTITUTE(SUBSTITUTE(UPPER(S837)," ",""),":",": "))),0)),"-")</f>
        <v>-</v>
      </c>
      <c r="K837" s="49"/>
    </row>
    <row r="838" spans="1:11" x14ac:dyDescent="0.25">
      <c r="A838" s="46" t="str" cm="1">
        <f t="array" ref="A838">IFERROR(INDEX(#REF!,MATCH(TRUE,ISNUMBER(FIND(SUBSTITUTE(SUBSTITUTE(UPPER(#REF!)," ",""),":",": "),SUBSTITUTE(SUBSTITUTE(UPPER(S838)," ",""),":",": "))),0)),"Undefined")</f>
        <v>Undefined</v>
      </c>
      <c r="B838" s="42" t="str" cm="1">
        <f t="array" ref="B838">IFERROR(INDEX({"URGENTE"},MATCH(TRUE,ISNUMBER(FIND(SUBSTITUTE(SUBSTITUTE(UPPER({"URGENTE"})," ",""),":",": "),SUBSTITUTE(SUBSTITUTE(UPPER(S838)," ",""),":",": "))),0)),"-")</f>
        <v>-</v>
      </c>
      <c r="C838" s="46" t="str" cm="1">
        <f t="array" ref="C838">IFERROR(INDEX(#REF!,MATCH(TRUE,ISNUMBER(FIND(SUBSTITUTE(SUBSTITUTE(UPPER(#REF!)," ",""),":",": "),SUBSTITUTE(SUBSTITUTE(UPPER(S838)," ",""),":",": "))),0)),"Não encontrado")</f>
        <v>Não encontrado</v>
      </c>
      <c r="D838" s="46" t="str" cm="1">
        <f t="array" ref="D838">IFERROR(INDEX(#REF!,MATCH(TRUE,ISNUMBER(FIND(SUBSTITUTE(SUBSTITUTE(UPPER(#REF!)," ",""),":",": "),SUBSTITUTE(SUBSTITUTE(UPPER(S838)," ",""),":",": "))),0)),"Não encontrado")</f>
        <v>Não encontrado</v>
      </c>
      <c r="E838" s="42" t="str" cm="1">
        <f t="array" ref="E838">IFERROR(INDEX({"IMPEDITIVO"},MATCH(TRUE,ISNUMBER(FIND(SUBSTITUTE(SUBSTITUTE(UPPER({"IMPEDITIVO"})," ",""),":",": "),SUBSTITUTE(SUBSTITUTE(UPPER(S838)," ",""),":",": "))),0)),"-")</f>
        <v>-</v>
      </c>
      <c r="K838" s="49"/>
    </row>
    <row r="839" spans="1:11" x14ac:dyDescent="0.25">
      <c r="A839" s="46" t="str" cm="1">
        <f t="array" ref="A839">IFERROR(INDEX(#REF!,MATCH(TRUE,ISNUMBER(FIND(SUBSTITUTE(SUBSTITUTE(UPPER(#REF!)," ",""),":",": "),SUBSTITUTE(SUBSTITUTE(UPPER(S839)," ",""),":",": "))),0)),"Undefined")</f>
        <v>Undefined</v>
      </c>
      <c r="B839" s="42" t="str" cm="1">
        <f t="array" ref="B839">IFERROR(INDEX({"URGENTE"},MATCH(TRUE,ISNUMBER(FIND(SUBSTITUTE(SUBSTITUTE(UPPER({"URGENTE"})," ",""),":",": "),SUBSTITUTE(SUBSTITUTE(UPPER(S839)," ",""),":",": "))),0)),"-")</f>
        <v>-</v>
      </c>
      <c r="C839" s="46" t="str" cm="1">
        <f t="array" ref="C839">IFERROR(INDEX(#REF!,MATCH(TRUE,ISNUMBER(FIND(SUBSTITUTE(SUBSTITUTE(UPPER(#REF!)," ",""),":",": "),SUBSTITUTE(SUBSTITUTE(UPPER(S839)," ",""),":",": "))),0)),"Não encontrado")</f>
        <v>Não encontrado</v>
      </c>
      <c r="D839" s="46" t="str" cm="1">
        <f t="array" ref="D839">IFERROR(INDEX(#REF!,MATCH(TRUE,ISNUMBER(FIND(SUBSTITUTE(SUBSTITUTE(UPPER(#REF!)," ",""),":",": "),SUBSTITUTE(SUBSTITUTE(UPPER(S839)," ",""),":",": "))),0)),"Não encontrado")</f>
        <v>Não encontrado</v>
      </c>
      <c r="E839" s="42" t="str" cm="1">
        <f t="array" ref="E839">IFERROR(INDEX({"IMPEDITIVO"},MATCH(TRUE,ISNUMBER(FIND(SUBSTITUTE(SUBSTITUTE(UPPER({"IMPEDITIVO"})," ",""),":",": "),SUBSTITUTE(SUBSTITUTE(UPPER(S839)," ",""),":",": "))),0)),"-")</f>
        <v>-</v>
      </c>
      <c r="K839" s="49"/>
    </row>
    <row r="840" spans="1:11" x14ac:dyDescent="0.25">
      <c r="A840" s="46" t="str" cm="1">
        <f t="array" ref="A840">IFERROR(INDEX(#REF!,MATCH(TRUE,ISNUMBER(FIND(SUBSTITUTE(SUBSTITUTE(UPPER(#REF!)," ",""),":",": "),SUBSTITUTE(SUBSTITUTE(UPPER(S840)," ",""),":",": "))),0)),"Undefined")</f>
        <v>Undefined</v>
      </c>
      <c r="B840" s="42" t="str" cm="1">
        <f t="array" ref="B840">IFERROR(INDEX({"URGENTE"},MATCH(TRUE,ISNUMBER(FIND(SUBSTITUTE(SUBSTITUTE(UPPER({"URGENTE"})," ",""),":",": "),SUBSTITUTE(SUBSTITUTE(UPPER(S840)," ",""),":",": "))),0)),"-")</f>
        <v>-</v>
      </c>
      <c r="C840" s="46" t="str" cm="1">
        <f t="array" ref="C840">IFERROR(INDEX(#REF!,MATCH(TRUE,ISNUMBER(FIND(SUBSTITUTE(SUBSTITUTE(UPPER(#REF!)," ",""),":",": "),SUBSTITUTE(SUBSTITUTE(UPPER(S840)," ",""),":",": "))),0)),"Não encontrado")</f>
        <v>Não encontrado</v>
      </c>
      <c r="D840" s="46" t="str" cm="1">
        <f t="array" ref="D840">IFERROR(INDEX(#REF!,MATCH(TRUE,ISNUMBER(FIND(SUBSTITUTE(SUBSTITUTE(UPPER(#REF!)," ",""),":",": "),SUBSTITUTE(SUBSTITUTE(UPPER(S840)," ",""),":",": "))),0)),"Não encontrado")</f>
        <v>Não encontrado</v>
      </c>
      <c r="E840" s="42" t="str" cm="1">
        <f t="array" ref="E840">IFERROR(INDEX({"IMPEDITIVO"},MATCH(TRUE,ISNUMBER(FIND(SUBSTITUTE(SUBSTITUTE(UPPER({"IMPEDITIVO"})," ",""),":",": "),SUBSTITUTE(SUBSTITUTE(UPPER(S840)," ",""),":",": "))),0)),"-")</f>
        <v>-</v>
      </c>
      <c r="K840" s="49"/>
    </row>
    <row r="841" spans="1:11" x14ac:dyDescent="0.25">
      <c r="A841" s="46" t="str" cm="1">
        <f t="array" ref="A841">IFERROR(INDEX(#REF!,MATCH(TRUE,ISNUMBER(FIND(SUBSTITUTE(SUBSTITUTE(UPPER(#REF!)," ",""),":",": "),SUBSTITUTE(SUBSTITUTE(UPPER(S841)," ",""),":",": "))),0)),"Undefined")</f>
        <v>Undefined</v>
      </c>
      <c r="B841" s="42" t="str" cm="1">
        <f t="array" ref="B841">IFERROR(INDEX({"URGENTE"},MATCH(TRUE,ISNUMBER(FIND(SUBSTITUTE(SUBSTITUTE(UPPER({"URGENTE"})," ",""),":",": "),SUBSTITUTE(SUBSTITUTE(UPPER(S841)," ",""),":",": "))),0)),"-")</f>
        <v>-</v>
      </c>
      <c r="C841" s="46" t="str" cm="1">
        <f t="array" ref="C841">IFERROR(INDEX(#REF!,MATCH(TRUE,ISNUMBER(FIND(SUBSTITUTE(SUBSTITUTE(UPPER(#REF!)," ",""),":",": "),SUBSTITUTE(SUBSTITUTE(UPPER(S841)," ",""),":",": "))),0)),"Não encontrado")</f>
        <v>Não encontrado</v>
      </c>
      <c r="D841" s="46" t="str" cm="1">
        <f t="array" ref="D841">IFERROR(INDEX(#REF!,MATCH(TRUE,ISNUMBER(FIND(SUBSTITUTE(SUBSTITUTE(UPPER(#REF!)," ",""),":",": "),SUBSTITUTE(SUBSTITUTE(UPPER(S841)," ",""),":",": "))),0)),"Não encontrado")</f>
        <v>Não encontrado</v>
      </c>
      <c r="E841" s="42" t="str" cm="1">
        <f t="array" ref="E841">IFERROR(INDEX({"IMPEDITIVO"},MATCH(TRUE,ISNUMBER(FIND(SUBSTITUTE(SUBSTITUTE(UPPER({"IMPEDITIVO"})," ",""),":",": "),SUBSTITUTE(SUBSTITUTE(UPPER(S841)," ",""),":",": "))),0)),"-")</f>
        <v>-</v>
      </c>
      <c r="K841" s="49"/>
    </row>
    <row r="842" spans="1:11" x14ac:dyDescent="0.25">
      <c r="A842" s="46" t="str" cm="1">
        <f t="array" ref="A842">IFERROR(INDEX(#REF!,MATCH(TRUE,ISNUMBER(FIND(SUBSTITUTE(SUBSTITUTE(UPPER(#REF!)," ",""),":",": "),SUBSTITUTE(SUBSTITUTE(UPPER(S842)," ",""),":",": "))),0)),"Undefined")</f>
        <v>Undefined</v>
      </c>
      <c r="B842" s="42" t="str" cm="1">
        <f t="array" ref="B842">IFERROR(INDEX({"URGENTE"},MATCH(TRUE,ISNUMBER(FIND(SUBSTITUTE(SUBSTITUTE(UPPER({"URGENTE"})," ",""),":",": "),SUBSTITUTE(SUBSTITUTE(UPPER(S842)," ",""),":",": "))),0)),"-")</f>
        <v>-</v>
      </c>
      <c r="C842" s="46" t="str" cm="1">
        <f t="array" ref="C842">IFERROR(INDEX(#REF!,MATCH(TRUE,ISNUMBER(FIND(SUBSTITUTE(SUBSTITUTE(UPPER(#REF!)," ",""),":",": "),SUBSTITUTE(SUBSTITUTE(UPPER(S842)," ",""),":",": "))),0)),"Não encontrado")</f>
        <v>Não encontrado</v>
      </c>
      <c r="D842" s="46" t="str" cm="1">
        <f t="array" ref="D842">IFERROR(INDEX(#REF!,MATCH(TRUE,ISNUMBER(FIND(SUBSTITUTE(SUBSTITUTE(UPPER(#REF!)," ",""),":",": "),SUBSTITUTE(SUBSTITUTE(UPPER(S842)," ",""),":",": "))),0)),"Não encontrado")</f>
        <v>Não encontrado</v>
      </c>
      <c r="E842" s="42" t="str" cm="1">
        <f t="array" ref="E842">IFERROR(INDEX({"IMPEDITIVO"},MATCH(TRUE,ISNUMBER(FIND(SUBSTITUTE(SUBSTITUTE(UPPER({"IMPEDITIVO"})," ",""),":",": "),SUBSTITUTE(SUBSTITUTE(UPPER(S842)," ",""),":",": "))),0)),"-")</f>
        <v>-</v>
      </c>
      <c r="K842" s="49"/>
    </row>
    <row r="843" spans="1:11" x14ac:dyDescent="0.25">
      <c r="A843" s="46" t="str" cm="1">
        <f t="array" ref="A843">IFERROR(INDEX(#REF!,MATCH(TRUE,ISNUMBER(FIND(SUBSTITUTE(SUBSTITUTE(UPPER(#REF!)," ",""),":",": "),SUBSTITUTE(SUBSTITUTE(UPPER(S843)," ",""),":",": "))),0)),"Undefined")</f>
        <v>Undefined</v>
      </c>
      <c r="B843" s="42" t="str" cm="1">
        <f t="array" ref="B843">IFERROR(INDEX({"URGENTE"},MATCH(TRUE,ISNUMBER(FIND(SUBSTITUTE(SUBSTITUTE(UPPER({"URGENTE"})," ",""),":",": "),SUBSTITUTE(SUBSTITUTE(UPPER(S843)," ",""),":",": "))),0)),"-")</f>
        <v>-</v>
      </c>
      <c r="C843" s="46" t="str" cm="1">
        <f t="array" ref="C843">IFERROR(INDEX(#REF!,MATCH(TRUE,ISNUMBER(FIND(SUBSTITUTE(SUBSTITUTE(UPPER(#REF!)," ",""),":",": "),SUBSTITUTE(SUBSTITUTE(UPPER(S843)," ",""),":",": "))),0)),"Não encontrado")</f>
        <v>Não encontrado</v>
      </c>
      <c r="D843" s="46" t="str" cm="1">
        <f t="array" ref="D843">IFERROR(INDEX(#REF!,MATCH(TRUE,ISNUMBER(FIND(SUBSTITUTE(SUBSTITUTE(UPPER(#REF!)," ",""),":",": "),SUBSTITUTE(SUBSTITUTE(UPPER(S843)," ",""),":",": "))),0)),"Não encontrado")</f>
        <v>Não encontrado</v>
      </c>
      <c r="E843" s="42" t="str" cm="1">
        <f t="array" ref="E843">IFERROR(INDEX({"IMPEDITIVO"},MATCH(TRUE,ISNUMBER(FIND(SUBSTITUTE(SUBSTITUTE(UPPER({"IMPEDITIVO"})," ",""),":",": "),SUBSTITUTE(SUBSTITUTE(UPPER(S843)," ",""),":",": "))),0)),"-")</f>
        <v>-</v>
      </c>
      <c r="K843" s="49"/>
    </row>
    <row r="844" spans="1:11" x14ac:dyDescent="0.25">
      <c r="A844" s="46" t="str" cm="1">
        <f t="array" ref="A844">IFERROR(INDEX(#REF!,MATCH(TRUE,ISNUMBER(FIND(SUBSTITUTE(SUBSTITUTE(UPPER(#REF!)," ",""),":",": "),SUBSTITUTE(SUBSTITUTE(UPPER(S844)," ",""),":",": "))),0)),"Undefined")</f>
        <v>Undefined</v>
      </c>
      <c r="B844" s="42" t="str" cm="1">
        <f t="array" ref="B844">IFERROR(INDEX({"URGENTE"},MATCH(TRUE,ISNUMBER(FIND(SUBSTITUTE(SUBSTITUTE(UPPER({"URGENTE"})," ",""),":",": "),SUBSTITUTE(SUBSTITUTE(UPPER(S844)," ",""),":",": "))),0)),"-")</f>
        <v>-</v>
      </c>
      <c r="C844" s="46" t="str" cm="1">
        <f t="array" ref="C844">IFERROR(INDEX(#REF!,MATCH(TRUE,ISNUMBER(FIND(SUBSTITUTE(SUBSTITUTE(UPPER(#REF!)," ",""),":",": "),SUBSTITUTE(SUBSTITUTE(UPPER(S844)," ",""),":",": "))),0)),"Não encontrado")</f>
        <v>Não encontrado</v>
      </c>
      <c r="D844" s="46" t="str" cm="1">
        <f t="array" ref="D844">IFERROR(INDEX(#REF!,MATCH(TRUE,ISNUMBER(FIND(SUBSTITUTE(SUBSTITUTE(UPPER(#REF!)," ",""),":",": "),SUBSTITUTE(SUBSTITUTE(UPPER(S844)," ",""),":",": "))),0)),"Não encontrado")</f>
        <v>Não encontrado</v>
      </c>
      <c r="E844" s="42" t="str" cm="1">
        <f t="array" ref="E844">IFERROR(INDEX({"IMPEDITIVO"},MATCH(TRUE,ISNUMBER(FIND(SUBSTITUTE(SUBSTITUTE(UPPER({"IMPEDITIVO"})," ",""),":",": "),SUBSTITUTE(SUBSTITUTE(UPPER(S844)," ",""),":",": "))),0)),"-")</f>
        <v>-</v>
      </c>
      <c r="K844" s="49"/>
    </row>
    <row r="845" spans="1:11" x14ac:dyDescent="0.25">
      <c r="A845" s="46" t="str" cm="1">
        <f t="array" ref="A845">IFERROR(INDEX(#REF!,MATCH(TRUE,ISNUMBER(FIND(SUBSTITUTE(SUBSTITUTE(UPPER(#REF!)," ",""),":",": "),SUBSTITUTE(SUBSTITUTE(UPPER(S845)," ",""),":",": "))),0)),"Undefined")</f>
        <v>Undefined</v>
      </c>
      <c r="B845" s="42" t="str" cm="1">
        <f t="array" ref="B845">IFERROR(INDEX({"URGENTE"},MATCH(TRUE,ISNUMBER(FIND(SUBSTITUTE(SUBSTITUTE(UPPER({"URGENTE"})," ",""),":",": "),SUBSTITUTE(SUBSTITUTE(UPPER(S845)," ",""),":",": "))),0)),"-")</f>
        <v>-</v>
      </c>
      <c r="C845" s="46" t="str" cm="1">
        <f t="array" ref="C845">IFERROR(INDEX(#REF!,MATCH(TRUE,ISNUMBER(FIND(SUBSTITUTE(SUBSTITUTE(UPPER(#REF!)," ",""),":",": "),SUBSTITUTE(SUBSTITUTE(UPPER(S845)," ",""),":",": "))),0)),"Não encontrado")</f>
        <v>Não encontrado</v>
      </c>
      <c r="D845" s="46" t="str" cm="1">
        <f t="array" ref="D845">IFERROR(INDEX(#REF!,MATCH(TRUE,ISNUMBER(FIND(SUBSTITUTE(SUBSTITUTE(UPPER(#REF!)," ",""),":",": "),SUBSTITUTE(SUBSTITUTE(UPPER(S845)," ",""),":",": "))),0)),"Não encontrado")</f>
        <v>Não encontrado</v>
      </c>
      <c r="E845" s="42" t="str" cm="1">
        <f t="array" ref="E845">IFERROR(INDEX({"IMPEDITIVO"},MATCH(TRUE,ISNUMBER(FIND(SUBSTITUTE(SUBSTITUTE(UPPER({"IMPEDITIVO"})," ",""),":",": "),SUBSTITUTE(SUBSTITUTE(UPPER(S845)," ",""),":",": "))),0)),"-")</f>
        <v>-</v>
      </c>
      <c r="K845" s="49"/>
    </row>
    <row r="846" spans="1:11" x14ac:dyDescent="0.25">
      <c r="A846" s="46" t="str" cm="1">
        <f t="array" ref="A846">IFERROR(INDEX(#REF!,MATCH(TRUE,ISNUMBER(FIND(SUBSTITUTE(SUBSTITUTE(UPPER(#REF!)," ",""),":",": "),SUBSTITUTE(SUBSTITUTE(UPPER(S846)," ",""),":",": "))),0)),"Undefined")</f>
        <v>Undefined</v>
      </c>
      <c r="B846" s="42" t="str" cm="1">
        <f t="array" ref="B846">IFERROR(INDEX({"URGENTE"},MATCH(TRUE,ISNUMBER(FIND(SUBSTITUTE(SUBSTITUTE(UPPER({"URGENTE"})," ",""),":",": "),SUBSTITUTE(SUBSTITUTE(UPPER(S846)," ",""),":",": "))),0)),"-")</f>
        <v>-</v>
      </c>
      <c r="C846" s="46" t="str" cm="1">
        <f t="array" ref="C846">IFERROR(INDEX(#REF!,MATCH(TRUE,ISNUMBER(FIND(SUBSTITUTE(SUBSTITUTE(UPPER(#REF!)," ",""),":",": "),SUBSTITUTE(SUBSTITUTE(UPPER(S846)," ",""),":",": "))),0)),"Não encontrado")</f>
        <v>Não encontrado</v>
      </c>
      <c r="D846" s="46" t="str" cm="1">
        <f t="array" ref="D846">IFERROR(INDEX(#REF!,MATCH(TRUE,ISNUMBER(FIND(SUBSTITUTE(SUBSTITUTE(UPPER(#REF!)," ",""),":",": "),SUBSTITUTE(SUBSTITUTE(UPPER(S846)," ",""),":",": "))),0)),"Não encontrado")</f>
        <v>Não encontrado</v>
      </c>
      <c r="E846" s="42" t="str" cm="1">
        <f t="array" ref="E846">IFERROR(INDEX({"IMPEDITIVO"},MATCH(TRUE,ISNUMBER(FIND(SUBSTITUTE(SUBSTITUTE(UPPER({"IMPEDITIVO"})," ",""),":",": "),SUBSTITUTE(SUBSTITUTE(UPPER(S846)," ",""),":",": "))),0)),"-")</f>
        <v>-</v>
      </c>
      <c r="K846" s="49"/>
    </row>
    <row r="847" spans="1:11" x14ac:dyDescent="0.25">
      <c r="A847" s="46" t="str" cm="1">
        <f t="array" ref="A847">IFERROR(INDEX(#REF!,MATCH(TRUE,ISNUMBER(FIND(SUBSTITUTE(SUBSTITUTE(UPPER(#REF!)," ",""),":",": "),SUBSTITUTE(SUBSTITUTE(UPPER(S847)," ",""),":",": "))),0)),"Undefined")</f>
        <v>Undefined</v>
      </c>
      <c r="B847" s="42" t="str" cm="1">
        <f t="array" ref="B847">IFERROR(INDEX({"URGENTE"},MATCH(TRUE,ISNUMBER(FIND(SUBSTITUTE(SUBSTITUTE(UPPER({"URGENTE"})," ",""),":",": "),SUBSTITUTE(SUBSTITUTE(UPPER(S847)," ",""),":",": "))),0)),"-")</f>
        <v>-</v>
      </c>
      <c r="C847" s="46" t="str" cm="1">
        <f t="array" ref="C847">IFERROR(INDEX(#REF!,MATCH(TRUE,ISNUMBER(FIND(SUBSTITUTE(SUBSTITUTE(UPPER(#REF!)," ",""),":",": "),SUBSTITUTE(SUBSTITUTE(UPPER(S847)," ",""),":",": "))),0)),"Não encontrado")</f>
        <v>Não encontrado</v>
      </c>
      <c r="D847" s="46" t="str" cm="1">
        <f t="array" ref="D847">IFERROR(INDEX(#REF!,MATCH(TRUE,ISNUMBER(FIND(SUBSTITUTE(SUBSTITUTE(UPPER(#REF!)," ",""),":",": "),SUBSTITUTE(SUBSTITUTE(UPPER(S847)," ",""),":",": "))),0)),"Não encontrado")</f>
        <v>Não encontrado</v>
      </c>
      <c r="E847" s="42" t="str" cm="1">
        <f t="array" ref="E847">IFERROR(INDEX({"IMPEDITIVO"},MATCH(TRUE,ISNUMBER(FIND(SUBSTITUTE(SUBSTITUTE(UPPER({"IMPEDITIVO"})," ",""),":",": "),SUBSTITUTE(SUBSTITUTE(UPPER(S847)," ",""),":",": "))),0)),"-")</f>
        <v>-</v>
      </c>
      <c r="K847" s="49"/>
    </row>
    <row r="848" spans="1:11" x14ac:dyDescent="0.25">
      <c r="A848" s="46" t="str" cm="1">
        <f t="array" ref="A848">IFERROR(INDEX(#REF!,MATCH(TRUE,ISNUMBER(FIND(SUBSTITUTE(SUBSTITUTE(UPPER(#REF!)," ",""),":",": "),SUBSTITUTE(SUBSTITUTE(UPPER(S848)," ",""),":",": "))),0)),"Undefined")</f>
        <v>Undefined</v>
      </c>
      <c r="B848" s="42" t="str" cm="1">
        <f t="array" ref="B848">IFERROR(INDEX({"URGENTE"},MATCH(TRUE,ISNUMBER(FIND(SUBSTITUTE(SUBSTITUTE(UPPER({"URGENTE"})," ",""),":",": "),SUBSTITUTE(SUBSTITUTE(UPPER(S848)," ",""),":",": "))),0)),"-")</f>
        <v>-</v>
      </c>
      <c r="C848" s="46" t="str" cm="1">
        <f t="array" ref="C848">IFERROR(INDEX(#REF!,MATCH(TRUE,ISNUMBER(FIND(SUBSTITUTE(SUBSTITUTE(UPPER(#REF!)," ",""),":",": "),SUBSTITUTE(SUBSTITUTE(UPPER(S848)," ",""),":",": "))),0)),"Não encontrado")</f>
        <v>Não encontrado</v>
      </c>
      <c r="D848" s="46" t="str" cm="1">
        <f t="array" ref="D848">IFERROR(INDEX(#REF!,MATCH(TRUE,ISNUMBER(FIND(SUBSTITUTE(SUBSTITUTE(UPPER(#REF!)," ",""),":",": "),SUBSTITUTE(SUBSTITUTE(UPPER(S848)," ",""),":",": "))),0)),"Não encontrado")</f>
        <v>Não encontrado</v>
      </c>
      <c r="E848" s="42" t="str" cm="1">
        <f t="array" ref="E848">IFERROR(INDEX({"IMPEDITIVO"},MATCH(TRUE,ISNUMBER(FIND(SUBSTITUTE(SUBSTITUTE(UPPER({"IMPEDITIVO"})," ",""),":",": "),SUBSTITUTE(SUBSTITUTE(UPPER(S848)," ",""),":",": "))),0)),"-")</f>
        <v>-</v>
      </c>
      <c r="K848" s="49"/>
    </row>
    <row r="849" spans="1:11" x14ac:dyDescent="0.25">
      <c r="A849" s="46" t="str" cm="1">
        <f t="array" ref="A849">IFERROR(INDEX(#REF!,MATCH(TRUE,ISNUMBER(FIND(SUBSTITUTE(SUBSTITUTE(UPPER(#REF!)," ",""),":",": "),SUBSTITUTE(SUBSTITUTE(UPPER(S849)," ",""),":",": "))),0)),"Undefined")</f>
        <v>Undefined</v>
      </c>
      <c r="B849" s="42" t="str" cm="1">
        <f t="array" ref="B849">IFERROR(INDEX({"URGENTE"},MATCH(TRUE,ISNUMBER(FIND(SUBSTITUTE(SUBSTITUTE(UPPER({"URGENTE"})," ",""),":",": "),SUBSTITUTE(SUBSTITUTE(UPPER(S849)," ",""),":",": "))),0)),"-")</f>
        <v>-</v>
      </c>
      <c r="C849" s="46" t="str" cm="1">
        <f t="array" ref="C849">IFERROR(INDEX(#REF!,MATCH(TRUE,ISNUMBER(FIND(SUBSTITUTE(SUBSTITUTE(UPPER(#REF!)," ",""),":",": "),SUBSTITUTE(SUBSTITUTE(UPPER(S849)," ",""),":",": "))),0)),"Não encontrado")</f>
        <v>Não encontrado</v>
      </c>
      <c r="D849" s="46" t="str" cm="1">
        <f t="array" ref="D849">IFERROR(INDEX(#REF!,MATCH(TRUE,ISNUMBER(FIND(SUBSTITUTE(SUBSTITUTE(UPPER(#REF!)," ",""),":",": "),SUBSTITUTE(SUBSTITUTE(UPPER(S849)," ",""),":",": "))),0)),"Não encontrado")</f>
        <v>Não encontrado</v>
      </c>
      <c r="E849" s="42" t="str" cm="1">
        <f t="array" ref="E849">IFERROR(INDEX({"IMPEDITIVO"},MATCH(TRUE,ISNUMBER(FIND(SUBSTITUTE(SUBSTITUTE(UPPER({"IMPEDITIVO"})," ",""),":",": "),SUBSTITUTE(SUBSTITUTE(UPPER(S849)," ",""),":",": "))),0)),"-")</f>
        <v>-</v>
      </c>
      <c r="K849" s="49"/>
    </row>
    <row r="850" spans="1:11" x14ac:dyDescent="0.25">
      <c r="A850" s="46" t="str" cm="1">
        <f t="array" ref="A850">IFERROR(INDEX(#REF!,MATCH(TRUE,ISNUMBER(FIND(SUBSTITUTE(SUBSTITUTE(UPPER(#REF!)," ",""),":",": "),SUBSTITUTE(SUBSTITUTE(UPPER(S850)," ",""),":",": "))),0)),"Undefined")</f>
        <v>Undefined</v>
      </c>
      <c r="B850" s="42" t="str" cm="1">
        <f t="array" ref="B850">IFERROR(INDEX({"URGENTE"},MATCH(TRUE,ISNUMBER(FIND(SUBSTITUTE(SUBSTITUTE(UPPER({"URGENTE"})," ",""),":",": "),SUBSTITUTE(SUBSTITUTE(UPPER(S850)," ",""),":",": "))),0)),"-")</f>
        <v>-</v>
      </c>
      <c r="C850" s="46" t="str" cm="1">
        <f t="array" ref="C850">IFERROR(INDEX(#REF!,MATCH(TRUE,ISNUMBER(FIND(SUBSTITUTE(SUBSTITUTE(UPPER(#REF!)," ",""),":",": "),SUBSTITUTE(SUBSTITUTE(UPPER(S850)," ",""),":",": "))),0)),"Não encontrado")</f>
        <v>Não encontrado</v>
      </c>
      <c r="D850" s="46" t="str" cm="1">
        <f t="array" ref="D850">IFERROR(INDEX(#REF!,MATCH(TRUE,ISNUMBER(FIND(SUBSTITUTE(SUBSTITUTE(UPPER(#REF!)," ",""),":",": "),SUBSTITUTE(SUBSTITUTE(UPPER(S850)," ",""),":",": "))),0)),"Não encontrado")</f>
        <v>Não encontrado</v>
      </c>
      <c r="E850" s="42" t="str" cm="1">
        <f t="array" ref="E850">IFERROR(INDEX({"IMPEDITIVO"},MATCH(TRUE,ISNUMBER(FIND(SUBSTITUTE(SUBSTITUTE(UPPER({"IMPEDITIVO"})," ",""),":",": "),SUBSTITUTE(SUBSTITUTE(UPPER(S850)," ",""),":",": "))),0)),"-")</f>
        <v>-</v>
      </c>
      <c r="K850" s="49"/>
    </row>
    <row r="851" spans="1:11" x14ac:dyDescent="0.25">
      <c r="A851" s="46" t="str" cm="1">
        <f t="array" ref="A851">IFERROR(INDEX(#REF!,MATCH(TRUE,ISNUMBER(FIND(SUBSTITUTE(SUBSTITUTE(UPPER(#REF!)," ",""),":",": "),SUBSTITUTE(SUBSTITUTE(UPPER(S851)," ",""),":",": "))),0)),"Undefined")</f>
        <v>Undefined</v>
      </c>
      <c r="B851" s="42" t="str" cm="1">
        <f t="array" ref="B851">IFERROR(INDEX({"URGENTE"},MATCH(TRUE,ISNUMBER(FIND(SUBSTITUTE(SUBSTITUTE(UPPER({"URGENTE"})," ",""),":",": "),SUBSTITUTE(SUBSTITUTE(UPPER(S851)," ",""),":",": "))),0)),"-")</f>
        <v>-</v>
      </c>
      <c r="C851" s="46" t="str" cm="1">
        <f t="array" ref="C851">IFERROR(INDEX(#REF!,MATCH(TRUE,ISNUMBER(FIND(SUBSTITUTE(SUBSTITUTE(UPPER(#REF!)," ",""),":",": "),SUBSTITUTE(SUBSTITUTE(UPPER(S851)," ",""),":",": "))),0)),"Não encontrado")</f>
        <v>Não encontrado</v>
      </c>
      <c r="D851" s="46" t="str" cm="1">
        <f t="array" ref="D851">IFERROR(INDEX(#REF!,MATCH(TRUE,ISNUMBER(FIND(SUBSTITUTE(SUBSTITUTE(UPPER(#REF!)," ",""),":",": "),SUBSTITUTE(SUBSTITUTE(UPPER(S851)," ",""),":",": "))),0)),"Não encontrado")</f>
        <v>Não encontrado</v>
      </c>
      <c r="E851" s="42" t="str" cm="1">
        <f t="array" ref="E851">IFERROR(INDEX({"IMPEDITIVO"},MATCH(TRUE,ISNUMBER(FIND(SUBSTITUTE(SUBSTITUTE(UPPER({"IMPEDITIVO"})," ",""),":",": "),SUBSTITUTE(SUBSTITUTE(UPPER(S851)," ",""),":",": "))),0)),"-")</f>
        <v>-</v>
      </c>
      <c r="K851" s="49"/>
    </row>
    <row r="852" spans="1:11" x14ac:dyDescent="0.25">
      <c r="A852" s="46" t="str" cm="1">
        <f t="array" ref="A852">IFERROR(INDEX(#REF!,MATCH(TRUE,ISNUMBER(FIND(SUBSTITUTE(SUBSTITUTE(UPPER(#REF!)," ",""),":",": "),SUBSTITUTE(SUBSTITUTE(UPPER(S852)," ",""),":",": "))),0)),"Undefined")</f>
        <v>Undefined</v>
      </c>
      <c r="B852" s="42" t="str" cm="1">
        <f t="array" ref="B852">IFERROR(INDEX({"URGENTE"},MATCH(TRUE,ISNUMBER(FIND(SUBSTITUTE(SUBSTITUTE(UPPER({"URGENTE"})," ",""),":",": "),SUBSTITUTE(SUBSTITUTE(UPPER(S852)," ",""),":",": "))),0)),"-")</f>
        <v>-</v>
      </c>
      <c r="C852" s="46" t="str" cm="1">
        <f t="array" ref="C852">IFERROR(INDEX(#REF!,MATCH(TRUE,ISNUMBER(FIND(SUBSTITUTE(SUBSTITUTE(UPPER(#REF!)," ",""),":",": "),SUBSTITUTE(SUBSTITUTE(UPPER(S852)," ",""),":",": "))),0)),"Não encontrado")</f>
        <v>Não encontrado</v>
      </c>
      <c r="D852" s="46" t="str" cm="1">
        <f t="array" ref="D852">IFERROR(INDEX(#REF!,MATCH(TRUE,ISNUMBER(FIND(SUBSTITUTE(SUBSTITUTE(UPPER(#REF!)," ",""),":",": "),SUBSTITUTE(SUBSTITUTE(UPPER(S852)," ",""),":",": "))),0)),"Não encontrado")</f>
        <v>Não encontrado</v>
      </c>
      <c r="E852" s="42" t="str" cm="1">
        <f t="array" ref="E852">IFERROR(INDEX({"IMPEDITIVO"},MATCH(TRUE,ISNUMBER(FIND(SUBSTITUTE(SUBSTITUTE(UPPER({"IMPEDITIVO"})," ",""),":",": "),SUBSTITUTE(SUBSTITUTE(UPPER(S852)," ",""),":",": "))),0)),"-")</f>
        <v>-</v>
      </c>
      <c r="K852" s="49"/>
    </row>
    <row r="853" spans="1:11" x14ac:dyDescent="0.25">
      <c r="A853" s="46" t="str" cm="1">
        <f t="array" ref="A853">IFERROR(INDEX(#REF!,MATCH(TRUE,ISNUMBER(FIND(SUBSTITUTE(SUBSTITUTE(UPPER(#REF!)," ",""),":",": "),SUBSTITUTE(SUBSTITUTE(UPPER(S853)," ",""),":",": "))),0)),"Undefined")</f>
        <v>Undefined</v>
      </c>
      <c r="B853" s="42" t="str" cm="1">
        <f t="array" ref="B853">IFERROR(INDEX({"URGENTE"},MATCH(TRUE,ISNUMBER(FIND(SUBSTITUTE(SUBSTITUTE(UPPER({"URGENTE"})," ",""),":",": "),SUBSTITUTE(SUBSTITUTE(UPPER(S853)," ",""),":",": "))),0)),"-")</f>
        <v>-</v>
      </c>
      <c r="C853" s="46" t="str" cm="1">
        <f t="array" ref="C853">IFERROR(INDEX(#REF!,MATCH(TRUE,ISNUMBER(FIND(SUBSTITUTE(SUBSTITUTE(UPPER(#REF!)," ",""),":",": "),SUBSTITUTE(SUBSTITUTE(UPPER(S853)," ",""),":",": "))),0)),"Não encontrado")</f>
        <v>Não encontrado</v>
      </c>
      <c r="D853" s="46" t="str" cm="1">
        <f t="array" ref="D853">IFERROR(INDEX(#REF!,MATCH(TRUE,ISNUMBER(FIND(SUBSTITUTE(SUBSTITUTE(UPPER(#REF!)," ",""),":",": "),SUBSTITUTE(SUBSTITUTE(UPPER(S853)," ",""),":",": "))),0)),"Não encontrado")</f>
        <v>Não encontrado</v>
      </c>
      <c r="E853" s="42" t="str" cm="1">
        <f t="array" ref="E853">IFERROR(INDEX({"IMPEDITIVO"},MATCH(TRUE,ISNUMBER(FIND(SUBSTITUTE(SUBSTITUTE(UPPER({"IMPEDITIVO"})," ",""),":",": "),SUBSTITUTE(SUBSTITUTE(UPPER(S853)," ",""),":",": "))),0)),"-")</f>
        <v>-</v>
      </c>
      <c r="K853" s="49"/>
    </row>
    <row r="854" spans="1:11" x14ac:dyDescent="0.25">
      <c r="A854" s="46" t="str" cm="1">
        <f t="array" ref="A854">IFERROR(INDEX(#REF!,MATCH(TRUE,ISNUMBER(FIND(SUBSTITUTE(SUBSTITUTE(UPPER(#REF!)," ",""),":",": "),SUBSTITUTE(SUBSTITUTE(UPPER(S854)," ",""),":",": "))),0)),"Undefined")</f>
        <v>Undefined</v>
      </c>
      <c r="B854" s="42" t="str" cm="1">
        <f t="array" ref="B854">IFERROR(INDEX({"URGENTE"},MATCH(TRUE,ISNUMBER(FIND(SUBSTITUTE(SUBSTITUTE(UPPER({"URGENTE"})," ",""),":",": "),SUBSTITUTE(SUBSTITUTE(UPPER(S854)," ",""),":",": "))),0)),"-")</f>
        <v>-</v>
      </c>
      <c r="C854" s="46" t="str" cm="1">
        <f t="array" ref="C854">IFERROR(INDEX(#REF!,MATCH(TRUE,ISNUMBER(FIND(SUBSTITUTE(SUBSTITUTE(UPPER(#REF!)," ",""),":",": "),SUBSTITUTE(SUBSTITUTE(UPPER(S854)," ",""),":",": "))),0)),"Não encontrado")</f>
        <v>Não encontrado</v>
      </c>
      <c r="D854" s="46" t="str" cm="1">
        <f t="array" ref="D854">IFERROR(INDEX(#REF!,MATCH(TRUE,ISNUMBER(FIND(SUBSTITUTE(SUBSTITUTE(UPPER(#REF!)," ",""),":",": "),SUBSTITUTE(SUBSTITUTE(UPPER(S854)," ",""),":",": "))),0)),"Não encontrado")</f>
        <v>Não encontrado</v>
      </c>
      <c r="E854" s="42" t="str" cm="1">
        <f t="array" ref="E854">IFERROR(INDEX({"IMPEDITIVO"},MATCH(TRUE,ISNUMBER(FIND(SUBSTITUTE(SUBSTITUTE(UPPER({"IMPEDITIVO"})," ",""),":",": "),SUBSTITUTE(SUBSTITUTE(UPPER(S854)," ",""),":",": "))),0)),"-")</f>
        <v>-</v>
      </c>
      <c r="K854" s="49"/>
    </row>
    <row r="855" spans="1:11" x14ac:dyDescent="0.25">
      <c r="A855" s="46" t="str" cm="1">
        <f t="array" ref="A855">IFERROR(INDEX(#REF!,MATCH(TRUE,ISNUMBER(FIND(SUBSTITUTE(SUBSTITUTE(UPPER(#REF!)," ",""),":",": "),SUBSTITUTE(SUBSTITUTE(UPPER(S855)," ",""),":",": "))),0)),"Undefined")</f>
        <v>Undefined</v>
      </c>
      <c r="B855" s="42" t="str" cm="1">
        <f t="array" ref="B855">IFERROR(INDEX({"URGENTE"},MATCH(TRUE,ISNUMBER(FIND(SUBSTITUTE(SUBSTITUTE(UPPER({"URGENTE"})," ",""),":",": "),SUBSTITUTE(SUBSTITUTE(UPPER(S855)," ",""),":",": "))),0)),"-")</f>
        <v>-</v>
      </c>
      <c r="C855" s="46" t="str" cm="1">
        <f t="array" ref="C855">IFERROR(INDEX(#REF!,MATCH(TRUE,ISNUMBER(FIND(SUBSTITUTE(SUBSTITUTE(UPPER(#REF!)," ",""),":",": "),SUBSTITUTE(SUBSTITUTE(UPPER(S855)," ",""),":",": "))),0)),"Não encontrado")</f>
        <v>Não encontrado</v>
      </c>
      <c r="D855" s="46" t="str" cm="1">
        <f t="array" ref="D855">IFERROR(INDEX(#REF!,MATCH(TRUE,ISNUMBER(FIND(SUBSTITUTE(SUBSTITUTE(UPPER(#REF!)," ",""),":",": "),SUBSTITUTE(SUBSTITUTE(UPPER(S855)," ",""),":",": "))),0)),"Não encontrado")</f>
        <v>Não encontrado</v>
      </c>
      <c r="E855" s="42" t="str" cm="1">
        <f t="array" ref="E855">IFERROR(INDEX({"IMPEDITIVO"},MATCH(TRUE,ISNUMBER(FIND(SUBSTITUTE(SUBSTITUTE(UPPER({"IMPEDITIVO"})," ",""),":",": "),SUBSTITUTE(SUBSTITUTE(UPPER(S855)," ",""),":",": "))),0)),"-")</f>
        <v>-</v>
      </c>
      <c r="K855" s="49"/>
    </row>
    <row r="856" spans="1:11" x14ac:dyDescent="0.25">
      <c r="A856" s="46" t="str" cm="1">
        <f t="array" ref="A856">IFERROR(INDEX(#REF!,MATCH(TRUE,ISNUMBER(FIND(SUBSTITUTE(SUBSTITUTE(UPPER(#REF!)," ",""),":",": "),SUBSTITUTE(SUBSTITUTE(UPPER(S856)," ",""),":",": "))),0)),"Undefined")</f>
        <v>Undefined</v>
      </c>
      <c r="B856" s="42" t="str" cm="1">
        <f t="array" ref="B856">IFERROR(INDEX({"URGENTE"},MATCH(TRUE,ISNUMBER(FIND(SUBSTITUTE(SUBSTITUTE(UPPER({"URGENTE"})," ",""),":",": "),SUBSTITUTE(SUBSTITUTE(UPPER(S856)," ",""),":",": "))),0)),"-")</f>
        <v>-</v>
      </c>
      <c r="C856" s="46" t="str" cm="1">
        <f t="array" ref="C856">IFERROR(INDEX(#REF!,MATCH(TRUE,ISNUMBER(FIND(SUBSTITUTE(SUBSTITUTE(UPPER(#REF!)," ",""),":",": "),SUBSTITUTE(SUBSTITUTE(UPPER(S856)," ",""),":",": "))),0)),"Não encontrado")</f>
        <v>Não encontrado</v>
      </c>
      <c r="D856" s="46" t="str" cm="1">
        <f t="array" ref="D856">IFERROR(INDEX(#REF!,MATCH(TRUE,ISNUMBER(FIND(SUBSTITUTE(SUBSTITUTE(UPPER(#REF!)," ",""),":",": "),SUBSTITUTE(SUBSTITUTE(UPPER(S856)," ",""),":",": "))),0)),"Não encontrado")</f>
        <v>Não encontrado</v>
      </c>
      <c r="E856" s="42" t="str" cm="1">
        <f t="array" ref="E856">IFERROR(INDEX({"IMPEDITIVO"},MATCH(TRUE,ISNUMBER(FIND(SUBSTITUTE(SUBSTITUTE(UPPER({"IMPEDITIVO"})," ",""),":",": "),SUBSTITUTE(SUBSTITUTE(UPPER(S856)," ",""),":",": "))),0)),"-")</f>
        <v>-</v>
      </c>
      <c r="K856" s="49"/>
    </row>
    <row r="857" spans="1:11" x14ac:dyDescent="0.25">
      <c r="A857" s="46" t="str" cm="1">
        <f t="array" ref="A857">IFERROR(INDEX(#REF!,MATCH(TRUE,ISNUMBER(FIND(SUBSTITUTE(SUBSTITUTE(UPPER(#REF!)," ",""),":",": "),SUBSTITUTE(SUBSTITUTE(UPPER(S857)," ",""),":",": "))),0)),"Undefined")</f>
        <v>Undefined</v>
      </c>
      <c r="B857" s="42" t="str" cm="1">
        <f t="array" ref="B857">IFERROR(INDEX({"URGENTE"},MATCH(TRUE,ISNUMBER(FIND(SUBSTITUTE(SUBSTITUTE(UPPER({"URGENTE"})," ",""),":",": "),SUBSTITUTE(SUBSTITUTE(UPPER(S857)," ",""),":",": "))),0)),"-")</f>
        <v>-</v>
      </c>
      <c r="C857" s="46" t="str" cm="1">
        <f t="array" ref="C857">IFERROR(INDEX(#REF!,MATCH(TRUE,ISNUMBER(FIND(SUBSTITUTE(SUBSTITUTE(UPPER(#REF!)," ",""),":",": "),SUBSTITUTE(SUBSTITUTE(UPPER(S857)," ",""),":",": "))),0)),"Não encontrado")</f>
        <v>Não encontrado</v>
      </c>
      <c r="D857" s="46" t="str" cm="1">
        <f t="array" ref="D857">IFERROR(INDEX(#REF!,MATCH(TRUE,ISNUMBER(FIND(SUBSTITUTE(SUBSTITUTE(UPPER(#REF!)," ",""),":",": "),SUBSTITUTE(SUBSTITUTE(UPPER(S857)," ",""),":",": "))),0)),"Não encontrado")</f>
        <v>Não encontrado</v>
      </c>
      <c r="E857" s="42" t="str" cm="1">
        <f t="array" ref="E857">IFERROR(INDEX({"IMPEDITIVO"},MATCH(TRUE,ISNUMBER(FIND(SUBSTITUTE(SUBSTITUTE(UPPER({"IMPEDITIVO"})," ",""),":",": "),SUBSTITUTE(SUBSTITUTE(UPPER(S857)," ",""),":",": "))),0)),"-")</f>
        <v>-</v>
      </c>
      <c r="K857" s="49"/>
    </row>
    <row r="858" spans="1:11" x14ac:dyDescent="0.25">
      <c r="A858" s="46" t="str" cm="1">
        <f t="array" ref="A858">IFERROR(INDEX(#REF!,MATCH(TRUE,ISNUMBER(FIND(SUBSTITUTE(SUBSTITUTE(UPPER(#REF!)," ",""),":",": "),SUBSTITUTE(SUBSTITUTE(UPPER(S858)," ",""),":",": "))),0)),"Undefined")</f>
        <v>Undefined</v>
      </c>
      <c r="B858" s="42" t="str" cm="1">
        <f t="array" ref="B858">IFERROR(INDEX({"URGENTE"},MATCH(TRUE,ISNUMBER(FIND(SUBSTITUTE(SUBSTITUTE(UPPER({"URGENTE"})," ",""),":",": "),SUBSTITUTE(SUBSTITUTE(UPPER(S858)," ",""),":",": "))),0)),"-")</f>
        <v>-</v>
      </c>
      <c r="C858" s="46" t="str" cm="1">
        <f t="array" ref="C858">IFERROR(INDEX(#REF!,MATCH(TRUE,ISNUMBER(FIND(SUBSTITUTE(SUBSTITUTE(UPPER(#REF!)," ",""),":",": "),SUBSTITUTE(SUBSTITUTE(UPPER(S858)," ",""),":",": "))),0)),"Não encontrado")</f>
        <v>Não encontrado</v>
      </c>
      <c r="D858" s="46" t="str" cm="1">
        <f t="array" ref="D858">IFERROR(INDEX(#REF!,MATCH(TRUE,ISNUMBER(FIND(SUBSTITUTE(SUBSTITUTE(UPPER(#REF!)," ",""),":",": "),SUBSTITUTE(SUBSTITUTE(UPPER(S858)," ",""),":",": "))),0)),"Não encontrado")</f>
        <v>Não encontrado</v>
      </c>
      <c r="E858" s="42" t="str" cm="1">
        <f t="array" ref="E858">IFERROR(INDEX({"IMPEDITIVO"},MATCH(TRUE,ISNUMBER(FIND(SUBSTITUTE(SUBSTITUTE(UPPER({"IMPEDITIVO"})," ",""),":",": "),SUBSTITUTE(SUBSTITUTE(UPPER(S858)," ",""),":",": "))),0)),"-")</f>
        <v>-</v>
      </c>
      <c r="K858" s="49"/>
    </row>
    <row r="859" spans="1:11" x14ac:dyDescent="0.25">
      <c r="A859" s="46" t="str" cm="1">
        <f t="array" ref="A859">IFERROR(INDEX(#REF!,MATCH(TRUE,ISNUMBER(FIND(SUBSTITUTE(SUBSTITUTE(UPPER(#REF!)," ",""),":",": "),SUBSTITUTE(SUBSTITUTE(UPPER(S859)," ",""),":",": "))),0)),"Undefined")</f>
        <v>Undefined</v>
      </c>
      <c r="B859" s="42" t="str" cm="1">
        <f t="array" ref="B859">IFERROR(INDEX({"URGENTE"},MATCH(TRUE,ISNUMBER(FIND(SUBSTITUTE(SUBSTITUTE(UPPER({"URGENTE"})," ",""),":",": "),SUBSTITUTE(SUBSTITUTE(UPPER(S859)," ",""),":",": "))),0)),"-")</f>
        <v>-</v>
      </c>
      <c r="C859" s="46" t="str" cm="1">
        <f t="array" ref="C859">IFERROR(INDEX(#REF!,MATCH(TRUE,ISNUMBER(FIND(SUBSTITUTE(SUBSTITUTE(UPPER(#REF!)," ",""),":",": "),SUBSTITUTE(SUBSTITUTE(UPPER(S859)," ",""),":",": "))),0)),"Não encontrado")</f>
        <v>Não encontrado</v>
      </c>
      <c r="D859" s="46" t="str" cm="1">
        <f t="array" ref="D859">IFERROR(INDEX(#REF!,MATCH(TRUE,ISNUMBER(FIND(SUBSTITUTE(SUBSTITUTE(UPPER(#REF!)," ",""),":",": "),SUBSTITUTE(SUBSTITUTE(UPPER(S859)," ",""),":",": "))),0)),"Não encontrado")</f>
        <v>Não encontrado</v>
      </c>
      <c r="E859" s="42" t="str" cm="1">
        <f t="array" ref="E859">IFERROR(INDEX({"IMPEDITIVO"},MATCH(TRUE,ISNUMBER(FIND(SUBSTITUTE(SUBSTITUTE(UPPER({"IMPEDITIVO"})," ",""),":",": "),SUBSTITUTE(SUBSTITUTE(UPPER(S859)," ",""),":",": "))),0)),"-")</f>
        <v>-</v>
      </c>
      <c r="K859" s="49"/>
    </row>
    <row r="860" spans="1:11" x14ac:dyDescent="0.25">
      <c r="A860" s="46" t="str" cm="1">
        <f t="array" ref="A860">IFERROR(INDEX(#REF!,MATCH(TRUE,ISNUMBER(FIND(SUBSTITUTE(SUBSTITUTE(UPPER(#REF!)," ",""),":",": "),SUBSTITUTE(SUBSTITUTE(UPPER(S860)," ",""),":",": "))),0)),"Undefined")</f>
        <v>Undefined</v>
      </c>
      <c r="B860" s="42" t="str" cm="1">
        <f t="array" ref="B860">IFERROR(INDEX({"URGENTE"},MATCH(TRUE,ISNUMBER(FIND(SUBSTITUTE(SUBSTITUTE(UPPER({"URGENTE"})," ",""),":",": "),SUBSTITUTE(SUBSTITUTE(UPPER(S860)," ",""),":",": "))),0)),"-")</f>
        <v>-</v>
      </c>
      <c r="C860" s="46" t="str" cm="1">
        <f t="array" ref="C860">IFERROR(INDEX(#REF!,MATCH(TRUE,ISNUMBER(FIND(SUBSTITUTE(SUBSTITUTE(UPPER(#REF!)," ",""),":",": "),SUBSTITUTE(SUBSTITUTE(UPPER(S860)," ",""),":",": "))),0)),"Não encontrado")</f>
        <v>Não encontrado</v>
      </c>
      <c r="D860" s="46" t="str" cm="1">
        <f t="array" ref="D860">IFERROR(INDEX(#REF!,MATCH(TRUE,ISNUMBER(FIND(SUBSTITUTE(SUBSTITUTE(UPPER(#REF!)," ",""),":",": "),SUBSTITUTE(SUBSTITUTE(UPPER(S860)," ",""),":",": "))),0)),"Não encontrado")</f>
        <v>Não encontrado</v>
      </c>
      <c r="E860" s="42" t="str" cm="1">
        <f t="array" ref="E860">IFERROR(INDEX({"IMPEDITIVO"},MATCH(TRUE,ISNUMBER(FIND(SUBSTITUTE(SUBSTITUTE(UPPER({"IMPEDITIVO"})," ",""),":",": "),SUBSTITUTE(SUBSTITUTE(UPPER(S860)," ",""),":",": "))),0)),"-")</f>
        <v>-</v>
      </c>
      <c r="K860" s="49"/>
    </row>
    <row r="861" spans="1:11" x14ac:dyDescent="0.25">
      <c r="A861" s="46" t="str" cm="1">
        <f t="array" ref="A861">IFERROR(INDEX(#REF!,MATCH(TRUE,ISNUMBER(FIND(SUBSTITUTE(SUBSTITUTE(UPPER(#REF!)," ",""),":",": "),SUBSTITUTE(SUBSTITUTE(UPPER(S861)," ",""),":",": "))),0)),"Undefined")</f>
        <v>Undefined</v>
      </c>
      <c r="B861" s="42" t="str" cm="1">
        <f t="array" ref="B861">IFERROR(INDEX({"URGENTE"},MATCH(TRUE,ISNUMBER(FIND(SUBSTITUTE(SUBSTITUTE(UPPER({"URGENTE"})," ",""),":",": "),SUBSTITUTE(SUBSTITUTE(UPPER(S861)," ",""),":",": "))),0)),"-")</f>
        <v>-</v>
      </c>
      <c r="C861" s="46" t="str" cm="1">
        <f t="array" ref="C861">IFERROR(INDEX(#REF!,MATCH(TRUE,ISNUMBER(FIND(SUBSTITUTE(SUBSTITUTE(UPPER(#REF!)," ",""),":",": "),SUBSTITUTE(SUBSTITUTE(UPPER(S861)," ",""),":",": "))),0)),"Não encontrado")</f>
        <v>Não encontrado</v>
      </c>
      <c r="D861" s="46" t="str" cm="1">
        <f t="array" ref="D861">IFERROR(INDEX(#REF!,MATCH(TRUE,ISNUMBER(FIND(SUBSTITUTE(SUBSTITUTE(UPPER(#REF!)," ",""),":",": "),SUBSTITUTE(SUBSTITUTE(UPPER(S861)," ",""),":",": "))),0)),"Não encontrado")</f>
        <v>Não encontrado</v>
      </c>
      <c r="E861" s="42" t="str" cm="1">
        <f t="array" ref="E861">IFERROR(INDEX({"IMPEDITIVO"},MATCH(TRUE,ISNUMBER(FIND(SUBSTITUTE(SUBSTITUTE(UPPER({"IMPEDITIVO"})," ",""),":",": "),SUBSTITUTE(SUBSTITUTE(UPPER(S861)," ",""),":",": "))),0)),"-")</f>
        <v>-</v>
      </c>
      <c r="K861" s="49"/>
    </row>
    <row r="862" spans="1:11" x14ac:dyDescent="0.25">
      <c r="A862" s="46" t="str" cm="1">
        <f t="array" ref="A862">IFERROR(INDEX(#REF!,MATCH(TRUE,ISNUMBER(FIND(SUBSTITUTE(SUBSTITUTE(UPPER(#REF!)," ",""),":",": "),SUBSTITUTE(SUBSTITUTE(UPPER(S862)," ",""),":",": "))),0)),"Undefined")</f>
        <v>Undefined</v>
      </c>
      <c r="B862" s="42" t="str" cm="1">
        <f t="array" ref="B862">IFERROR(INDEX({"URGENTE"},MATCH(TRUE,ISNUMBER(FIND(SUBSTITUTE(SUBSTITUTE(UPPER({"URGENTE"})," ",""),":",": "),SUBSTITUTE(SUBSTITUTE(UPPER(S862)," ",""),":",": "))),0)),"-")</f>
        <v>-</v>
      </c>
      <c r="C862" s="46" t="str" cm="1">
        <f t="array" ref="C862">IFERROR(INDEX(#REF!,MATCH(TRUE,ISNUMBER(FIND(SUBSTITUTE(SUBSTITUTE(UPPER(#REF!)," ",""),":",": "),SUBSTITUTE(SUBSTITUTE(UPPER(S862)," ",""),":",": "))),0)),"Não encontrado")</f>
        <v>Não encontrado</v>
      </c>
      <c r="D862" s="46" t="str" cm="1">
        <f t="array" ref="D862">IFERROR(INDEX(#REF!,MATCH(TRUE,ISNUMBER(FIND(SUBSTITUTE(SUBSTITUTE(UPPER(#REF!)," ",""),":",": "),SUBSTITUTE(SUBSTITUTE(UPPER(S862)," ",""),":",": "))),0)),"Não encontrado")</f>
        <v>Não encontrado</v>
      </c>
      <c r="E862" s="42" t="str" cm="1">
        <f t="array" ref="E862">IFERROR(INDEX({"IMPEDITIVO"},MATCH(TRUE,ISNUMBER(FIND(SUBSTITUTE(SUBSTITUTE(UPPER({"IMPEDITIVO"})," ",""),":",": "),SUBSTITUTE(SUBSTITUTE(UPPER(S862)," ",""),":",": "))),0)),"-")</f>
        <v>-</v>
      </c>
      <c r="K862" s="49"/>
    </row>
    <row r="863" spans="1:11" x14ac:dyDescent="0.25">
      <c r="A863" s="46" t="str" cm="1">
        <f t="array" ref="A863">IFERROR(INDEX(#REF!,MATCH(TRUE,ISNUMBER(FIND(SUBSTITUTE(SUBSTITUTE(UPPER(#REF!)," ",""),":",": "),SUBSTITUTE(SUBSTITUTE(UPPER(S863)," ",""),":",": "))),0)),"Undefined")</f>
        <v>Undefined</v>
      </c>
      <c r="B863" s="42" t="str" cm="1">
        <f t="array" ref="B863">IFERROR(INDEX({"URGENTE"},MATCH(TRUE,ISNUMBER(FIND(SUBSTITUTE(SUBSTITUTE(UPPER({"URGENTE"})," ",""),":",": "),SUBSTITUTE(SUBSTITUTE(UPPER(S863)," ",""),":",": "))),0)),"-")</f>
        <v>-</v>
      </c>
      <c r="C863" s="46" t="str" cm="1">
        <f t="array" ref="C863">IFERROR(INDEX(#REF!,MATCH(TRUE,ISNUMBER(FIND(SUBSTITUTE(SUBSTITUTE(UPPER(#REF!)," ",""),":",": "),SUBSTITUTE(SUBSTITUTE(UPPER(S863)," ",""),":",": "))),0)),"Não encontrado")</f>
        <v>Não encontrado</v>
      </c>
      <c r="D863" s="46" t="str" cm="1">
        <f t="array" ref="D863">IFERROR(INDEX(#REF!,MATCH(TRUE,ISNUMBER(FIND(SUBSTITUTE(SUBSTITUTE(UPPER(#REF!)," ",""),":",": "),SUBSTITUTE(SUBSTITUTE(UPPER(S863)," ",""),":",": "))),0)),"Não encontrado")</f>
        <v>Não encontrado</v>
      </c>
      <c r="E863" s="42" t="str" cm="1">
        <f t="array" ref="E863">IFERROR(INDEX({"IMPEDITIVO"},MATCH(TRUE,ISNUMBER(FIND(SUBSTITUTE(SUBSTITUTE(UPPER({"IMPEDITIVO"})," ",""),":",": "),SUBSTITUTE(SUBSTITUTE(UPPER(S863)," ",""),":",": "))),0)),"-")</f>
        <v>-</v>
      </c>
      <c r="K863" s="49"/>
    </row>
    <row r="864" spans="1:11" x14ac:dyDescent="0.25">
      <c r="A864" s="46" t="str" cm="1">
        <f t="array" ref="A864">IFERROR(INDEX(#REF!,MATCH(TRUE,ISNUMBER(FIND(SUBSTITUTE(SUBSTITUTE(UPPER(#REF!)," ",""),":",": "),SUBSTITUTE(SUBSTITUTE(UPPER(S864)," ",""),":",": "))),0)),"Undefined")</f>
        <v>Undefined</v>
      </c>
      <c r="B864" s="42" t="str" cm="1">
        <f t="array" ref="B864">IFERROR(INDEX({"URGENTE"},MATCH(TRUE,ISNUMBER(FIND(SUBSTITUTE(SUBSTITUTE(UPPER({"URGENTE"})," ",""),":",": "),SUBSTITUTE(SUBSTITUTE(UPPER(S864)," ",""),":",": "))),0)),"-")</f>
        <v>-</v>
      </c>
      <c r="C864" s="46" t="str" cm="1">
        <f t="array" ref="C864">IFERROR(INDEX(#REF!,MATCH(TRUE,ISNUMBER(FIND(SUBSTITUTE(SUBSTITUTE(UPPER(#REF!)," ",""),":",": "),SUBSTITUTE(SUBSTITUTE(UPPER(S864)," ",""),":",": "))),0)),"Não encontrado")</f>
        <v>Não encontrado</v>
      </c>
      <c r="D864" s="46" t="str" cm="1">
        <f t="array" ref="D864">IFERROR(INDEX(#REF!,MATCH(TRUE,ISNUMBER(FIND(SUBSTITUTE(SUBSTITUTE(UPPER(#REF!)," ",""),":",": "),SUBSTITUTE(SUBSTITUTE(UPPER(S864)," ",""),":",": "))),0)),"Não encontrado")</f>
        <v>Não encontrado</v>
      </c>
      <c r="E864" s="42" t="str" cm="1">
        <f t="array" ref="E864">IFERROR(INDEX({"IMPEDITIVO"},MATCH(TRUE,ISNUMBER(FIND(SUBSTITUTE(SUBSTITUTE(UPPER({"IMPEDITIVO"})," ",""),":",": "),SUBSTITUTE(SUBSTITUTE(UPPER(S864)," ",""),":",": "))),0)),"-")</f>
        <v>-</v>
      </c>
      <c r="K864" s="49"/>
    </row>
    <row r="865" spans="1:11" x14ac:dyDescent="0.25">
      <c r="A865" s="46" t="str" cm="1">
        <f t="array" ref="A865">IFERROR(INDEX(#REF!,MATCH(TRUE,ISNUMBER(FIND(SUBSTITUTE(SUBSTITUTE(UPPER(#REF!)," ",""),":",": "),SUBSTITUTE(SUBSTITUTE(UPPER(S865)," ",""),":",": "))),0)),"Undefined")</f>
        <v>Undefined</v>
      </c>
      <c r="B865" s="42" t="str" cm="1">
        <f t="array" ref="B865">IFERROR(INDEX({"URGENTE"},MATCH(TRUE,ISNUMBER(FIND(SUBSTITUTE(SUBSTITUTE(UPPER({"URGENTE"})," ",""),":",": "),SUBSTITUTE(SUBSTITUTE(UPPER(S865)," ",""),":",": "))),0)),"-")</f>
        <v>-</v>
      </c>
      <c r="C865" s="46" t="str" cm="1">
        <f t="array" ref="C865">IFERROR(INDEX(#REF!,MATCH(TRUE,ISNUMBER(FIND(SUBSTITUTE(SUBSTITUTE(UPPER(#REF!)," ",""),":",": "),SUBSTITUTE(SUBSTITUTE(UPPER(S865)," ",""),":",": "))),0)),"Não encontrado")</f>
        <v>Não encontrado</v>
      </c>
      <c r="D865" s="46" t="str" cm="1">
        <f t="array" ref="D865">IFERROR(INDEX(#REF!,MATCH(TRUE,ISNUMBER(FIND(SUBSTITUTE(SUBSTITUTE(UPPER(#REF!)," ",""),":",": "),SUBSTITUTE(SUBSTITUTE(UPPER(S865)," ",""),":",": "))),0)),"Não encontrado")</f>
        <v>Não encontrado</v>
      </c>
      <c r="E865" s="42" t="str" cm="1">
        <f t="array" ref="E865">IFERROR(INDEX({"IMPEDITIVO"},MATCH(TRUE,ISNUMBER(FIND(SUBSTITUTE(SUBSTITUTE(UPPER({"IMPEDITIVO"})," ",""),":",": "),SUBSTITUTE(SUBSTITUTE(UPPER(S865)," ",""),":",": "))),0)),"-")</f>
        <v>-</v>
      </c>
      <c r="K865" s="49"/>
    </row>
    <row r="866" spans="1:11" x14ac:dyDescent="0.25">
      <c r="A866" s="46" t="str" cm="1">
        <f t="array" ref="A866">IFERROR(INDEX(#REF!,MATCH(TRUE,ISNUMBER(FIND(SUBSTITUTE(SUBSTITUTE(UPPER(#REF!)," ",""),":",": "),SUBSTITUTE(SUBSTITUTE(UPPER(S866)," ",""),":",": "))),0)),"Undefined")</f>
        <v>Undefined</v>
      </c>
      <c r="B866" s="42" t="str" cm="1">
        <f t="array" ref="B866">IFERROR(INDEX({"URGENTE"},MATCH(TRUE,ISNUMBER(FIND(SUBSTITUTE(SUBSTITUTE(UPPER({"URGENTE"})," ",""),":",": "),SUBSTITUTE(SUBSTITUTE(UPPER(S866)," ",""),":",": "))),0)),"-")</f>
        <v>-</v>
      </c>
      <c r="C866" s="46" t="str" cm="1">
        <f t="array" ref="C866">IFERROR(INDEX(#REF!,MATCH(TRUE,ISNUMBER(FIND(SUBSTITUTE(SUBSTITUTE(UPPER(#REF!)," ",""),":",": "),SUBSTITUTE(SUBSTITUTE(UPPER(S866)," ",""),":",": "))),0)),"Não encontrado")</f>
        <v>Não encontrado</v>
      </c>
      <c r="D866" s="46" t="str" cm="1">
        <f t="array" ref="D866">IFERROR(INDEX(#REF!,MATCH(TRUE,ISNUMBER(FIND(SUBSTITUTE(SUBSTITUTE(UPPER(#REF!)," ",""),":",": "),SUBSTITUTE(SUBSTITUTE(UPPER(S866)," ",""),":",": "))),0)),"Não encontrado")</f>
        <v>Não encontrado</v>
      </c>
      <c r="E866" s="42" t="str" cm="1">
        <f t="array" ref="E866">IFERROR(INDEX({"IMPEDITIVO"},MATCH(TRUE,ISNUMBER(FIND(SUBSTITUTE(SUBSTITUTE(UPPER({"IMPEDITIVO"})," ",""),":",": "),SUBSTITUTE(SUBSTITUTE(UPPER(S866)," ",""),":",": "))),0)),"-")</f>
        <v>-</v>
      </c>
      <c r="K866" s="49"/>
    </row>
    <row r="867" spans="1:11" x14ac:dyDescent="0.25">
      <c r="A867" s="46" t="str" cm="1">
        <f t="array" ref="A867">IFERROR(INDEX(#REF!,MATCH(TRUE,ISNUMBER(FIND(SUBSTITUTE(SUBSTITUTE(UPPER(#REF!)," ",""),":",": "),SUBSTITUTE(SUBSTITUTE(UPPER(S867)," ",""),":",": "))),0)),"Undefined")</f>
        <v>Undefined</v>
      </c>
      <c r="B867" s="42" t="str" cm="1">
        <f t="array" ref="B867">IFERROR(INDEX({"URGENTE"},MATCH(TRUE,ISNUMBER(FIND(SUBSTITUTE(SUBSTITUTE(UPPER({"URGENTE"})," ",""),":",": "),SUBSTITUTE(SUBSTITUTE(UPPER(S867)," ",""),":",": "))),0)),"-")</f>
        <v>-</v>
      </c>
      <c r="C867" s="46" t="str" cm="1">
        <f t="array" ref="C867">IFERROR(INDEX(#REF!,MATCH(TRUE,ISNUMBER(FIND(SUBSTITUTE(SUBSTITUTE(UPPER(#REF!)," ",""),":",": "),SUBSTITUTE(SUBSTITUTE(UPPER(S867)," ",""),":",": "))),0)),"Não encontrado")</f>
        <v>Não encontrado</v>
      </c>
      <c r="D867" s="46" t="str" cm="1">
        <f t="array" ref="D867">IFERROR(INDEX(#REF!,MATCH(TRUE,ISNUMBER(FIND(SUBSTITUTE(SUBSTITUTE(UPPER(#REF!)," ",""),":",": "),SUBSTITUTE(SUBSTITUTE(UPPER(S867)," ",""),":",": "))),0)),"Não encontrado")</f>
        <v>Não encontrado</v>
      </c>
      <c r="E867" s="42" t="str" cm="1">
        <f t="array" ref="E867">IFERROR(INDEX({"IMPEDITIVO"},MATCH(TRUE,ISNUMBER(FIND(SUBSTITUTE(SUBSTITUTE(UPPER({"IMPEDITIVO"})," ",""),":",": "),SUBSTITUTE(SUBSTITUTE(UPPER(S867)," ",""),":",": "))),0)),"-")</f>
        <v>-</v>
      </c>
      <c r="K867" s="49"/>
    </row>
    <row r="868" spans="1:11" x14ac:dyDescent="0.25">
      <c r="A868" s="46" t="str" cm="1">
        <f t="array" ref="A868">IFERROR(INDEX(#REF!,MATCH(TRUE,ISNUMBER(FIND(SUBSTITUTE(SUBSTITUTE(UPPER(#REF!)," ",""),":",": "),SUBSTITUTE(SUBSTITUTE(UPPER(S868)," ",""),":",": "))),0)),"Undefined")</f>
        <v>Undefined</v>
      </c>
      <c r="B868" s="42" t="str" cm="1">
        <f t="array" ref="B868">IFERROR(INDEX({"URGENTE"},MATCH(TRUE,ISNUMBER(FIND(SUBSTITUTE(SUBSTITUTE(UPPER({"URGENTE"})," ",""),":",": "),SUBSTITUTE(SUBSTITUTE(UPPER(S868)," ",""),":",": "))),0)),"-")</f>
        <v>-</v>
      </c>
      <c r="C868" s="46" t="str" cm="1">
        <f t="array" ref="C868">IFERROR(INDEX(#REF!,MATCH(TRUE,ISNUMBER(FIND(SUBSTITUTE(SUBSTITUTE(UPPER(#REF!)," ",""),":",": "),SUBSTITUTE(SUBSTITUTE(UPPER(S868)," ",""),":",": "))),0)),"Não encontrado")</f>
        <v>Não encontrado</v>
      </c>
      <c r="D868" s="46" t="str" cm="1">
        <f t="array" ref="D868">IFERROR(INDEX(#REF!,MATCH(TRUE,ISNUMBER(FIND(SUBSTITUTE(SUBSTITUTE(UPPER(#REF!)," ",""),":",": "),SUBSTITUTE(SUBSTITUTE(UPPER(S868)," ",""),":",": "))),0)),"Não encontrado")</f>
        <v>Não encontrado</v>
      </c>
      <c r="E868" s="42" t="str" cm="1">
        <f t="array" ref="E868">IFERROR(INDEX({"IMPEDITIVO"},MATCH(TRUE,ISNUMBER(FIND(SUBSTITUTE(SUBSTITUTE(UPPER({"IMPEDITIVO"})," ",""),":",": "),SUBSTITUTE(SUBSTITUTE(UPPER(S868)," ",""),":",": "))),0)),"-")</f>
        <v>-</v>
      </c>
      <c r="K868" s="49"/>
    </row>
    <row r="869" spans="1:11" x14ac:dyDescent="0.25">
      <c r="A869" s="46" t="str" cm="1">
        <f t="array" ref="A869">IFERROR(INDEX(#REF!,MATCH(TRUE,ISNUMBER(FIND(SUBSTITUTE(SUBSTITUTE(UPPER(#REF!)," ",""),":",": "),SUBSTITUTE(SUBSTITUTE(UPPER(S869)," ",""),":",": "))),0)),"Undefined")</f>
        <v>Undefined</v>
      </c>
      <c r="B869" s="42" t="str" cm="1">
        <f t="array" ref="B869">IFERROR(INDEX({"URGENTE"},MATCH(TRUE,ISNUMBER(FIND(SUBSTITUTE(SUBSTITUTE(UPPER({"URGENTE"})," ",""),":",": "),SUBSTITUTE(SUBSTITUTE(UPPER(S869)," ",""),":",": "))),0)),"-")</f>
        <v>-</v>
      </c>
      <c r="C869" s="46" t="str" cm="1">
        <f t="array" ref="C869">IFERROR(INDEX(#REF!,MATCH(TRUE,ISNUMBER(FIND(SUBSTITUTE(SUBSTITUTE(UPPER(#REF!)," ",""),":",": "),SUBSTITUTE(SUBSTITUTE(UPPER(S869)," ",""),":",": "))),0)),"Não encontrado")</f>
        <v>Não encontrado</v>
      </c>
      <c r="D869" s="46" t="str" cm="1">
        <f t="array" ref="D869">IFERROR(INDEX(#REF!,MATCH(TRUE,ISNUMBER(FIND(SUBSTITUTE(SUBSTITUTE(UPPER(#REF!)," ",""),":",": "),SUBSTITUTE(SUBSTITUTE(UPPER(S869)," ",""),":",": "))),0)),"Não encontrado")</f>
        <v>Não encontrado</v>
      </c>
      <c r="E869" s="42" t="str" cm="1">
        <f t="array" ref="E869">IFERROR(INDEX({"IMPEDITIVO"},MATCH(TRUE,ISNUMBER(FIND(SUBSTITUTE(SUBSTITUTE(UPPER({"IMPEDITIVO"})," ",""),":",": "),SUBSTITUTE(SUBSTITUTE(UPPER(S869)," ",""),":",": "))),0)),"-")</f>
        <v>-</v>
      </c>
      <c r="K869" s="49"/>
    </row>
    <row r="870" spans="1:11" x14ac:dyDescent="0.25">
      <c r="A870" s="46" t="str" cm="1">
        <f t="array" ref="A870">IFERROR(INDEX(#REF!,MATCH(TRUE,ISNUMBER(FIND(SUBSTITUTE(SUBSTITUTE(UPPER(#REF!)," ",""),":",": "),SUBSTITUTE(SUBSTITUTE(UPPER(S870)," ",""),":",": "))),0)),"Undefined")</f>
        <v>Undefined</v>
      </c>
      <c r="B870" s="42" t="str" cm="1">
        <f t="array" ref="B870">IFERROR(INDEX({"URGENTE"},MATCH(TRUE,ISNUMBER(FIND(SUBSTITUTE(SUBSTITUTE(UPPER({"URGENTE"})," ",""),":",": "),SUBSTITUTE(SUBSTITUTE(UPPER(S870)," ",""),":",": "))),0)),"-")</f>
        <v>-</v>
      </c>
      <c r="C870" s="46" t="str" cm="1">
        <f t="array" ref="C870">IFERROR(INDEX(#REF!,MATCH(TRUE,ISNUMBER(FIND(SUBSTITUTE(SUBSTITUTE(UPPER(#REF!)," ",""),":",": "),SUBSTITUTE(SUBSTITUTE(UPPER(S870)," ",""),":",": "))),0)),"Não encontrado")</f>
        <v>Não encontrado</v>
      </c>
      <c r="D870" s="46" t="str" cm="1">
        <f t="array" ref="D870">IFERROR(INDEX(#REF!,MATCH(TRUE,ISNUMBER(FIND(SUBSTITUTE(SUBSTITUTE(UPPER(#REF!)," ",""),":",": "),SUBSTITUTE(SUBSTITUTE(UPPER(S870)," ",""),":",": "))),0)),"Não encontrado")</f>
        <v>Não encontrado</v>
      </c>
      <c r="E870" s="42" t="str" cm="1">
        <f t="array" ref="E870">IFERROR(INDEX({"IMPEDITIVO"},MATCH(TRUE,ISNUMBER(FIND(SUBSTITUTE(SUBSTITUTE(UPPER({"IMPEDITIVO"})," ",""),":",": "),SUBSTITUTE(SUBSTITUTE(UPPER(S870)," ",""),":",": "))),0)),"-")</f>
        <v>-</v>
      </c>
      <c r="K870" s="49"/>
    </row>
    <row r="871" spans="1:11" x14ac:dyDescent="0.25">
      <c r="A871" s="46" t="str" cm="1">
        <f t="array" ref="A871">IFERROR(INDEX(#REF!,MATCH(TRUE,ISNUMBER(FIND(SUBSTITUTE(SUBSTITUTE(UPPER(#REF!)," ",""),":",": "),SUBSTITUTE(SUBSTITUTE(UPPER(S871)," ",""),":",": "))),0)),"Undefined")</f>
        <v>Undefined</v>
      </c>
      <c r="B871" s="42" t="str" cm="1">
        <f t="array" ref="B871">IFERROR(INDEX({"URGENTE"},MATCH(TRUE,ISNUMBER(FIND(SUBSTITUTE(SUBSTITUTE(UPPER({"URGENTE"})," ",""),":",": "),SUBSTITUTE(SUBSTITUTE(UPPER(S871)," ",""),":",": "))),0)),"-")</f>
        <v>-</v>
      </c>
      <c r="C871" s="46" t="str" cm="1">
        <f t="array" ref="C871">IFERROR(INDEX(#REF!,MATCH(TRUE,ISNUMBER(FIND(SUBSTITUTE(SUBSTITUTE(UPPER(#REF!)," ",""),":",": "),SUBSTITUTE(SUBSTITUTE(UPPER(S871)," ",""),":",": "))),0)),"Não encontrado")</f>
        <v>Não encontrado</v>
      </c>
      <c r="D871" s="46" t="str" cm="1">
        <f t="array" ref="D871">IFERROR(INDEX(#REF!,MATCH(TRUE,ISNUMBER(FIND(SUBSTITUTE(SUBSTITUTE(UPPER(#REF!)," ",""),":",": "),SUBSTITUTE(SUBSTITUTE(UPPER(S871)," ",""),":",": "))),0)),"Não encontrado")</f>
        <v>Não encontrado</v>
      </c>
      <c r="E871" s="42" t="str" cm="1">
        <f t="array" ref="E871">IFERROR(INDEX({"IMPEDITIVO"},MATCH(TRUE,ISNUMBER(FIND(SUBSTITUTE(SUBSTITUTE(UPPER({"IMPEDITIVO"})," ",""),":",": "),SUBSTITUTE(SUBSTITUTE(UPPER(S871)," ",""),":",": "))),0)),"-")</f>
        <v>-</v>
      </c>
      <c r="K871" s="49"/>
    </row>
    <row r="872" spans="1:11" x14ac:dyDescent="0.25">
      <c r="A872" s="46" t="str" cm="1">
        <f t="array" ref="A872">IFERROR(INDEX(#REF!,MATCH(TRUE,ISNUMBER(FIND(SUBSTITUTE(SUBSTITUTE(UPPER(#REF!)," ",""),":",": "),SUBSTITUTE(SUBSTITUTE(UPPER(S872)," ",""),":",": "))),0)),"Undefined")</f>
        <v>Undefined</v>
      </c>
      <c r="B872" s="42" t="str" cm="1">
        <f t="array" ref="B872">IFERROR(INDEX({"URGENTE"},MATCH(TRUE,ISNUMBER(FIND(SUBSTITUTE(SUBSTITUTE(UPPER({"URGENTE"})," ",""),":",": "),SUBSTITUTE(SUBSTITUTE(UPPER(S872)," ",""),":",": "))),0)),"-")</f>
        <v>-</v>
      </c>
      <c r="C872" s="46" t="str" cm="1">
        <f t="array" ref="C872">IFERROR(INDEX(#REF!,MATCH(TRUE,ISNUMBER(FIND(SUBSTITUTE(SUBSTITUTE(UPPER(#REF!)," ",""),":",": "),SUBSTITUTE(SUBSTITUTE(UPPER(S872)," ",""),":",": "))),0)),"Não encontrado")</f>
        <v>Não encontrado</v>
      </c>
      <c r="D872" s="46" t="str" cm="1">
        <f t="array" ref="D872">IFERROR(INDEX(#REF!,MATCH(TRUE,ISNUMBER(FIND(SUBSTITUTE(SUBSTITUTE(UPPER(#REF!)," ",""),":",": "),SUBSTITUTE(SUBSTITUTE(UPPER(S872)," ",""),":",": "))),0)),"Não encontrado")</f>
        <v>Não encontrado</v>
      </c>
      <c r="E872" s="42" t="str" cm="1">
        <f t="array" ref="E872">IFERROR(INDEX({"IMPEDITIVO"},MATCH(TRUE,ISNUMBER(FIND(SUBSTITUTE(SUBSTITUTE(UPPER({"IMPEDITIVO"})," ",""),":",": "),SUBSTITUTE(SUBSTITUTE(UPPER(S872)," ",""),":",": "))),0)),"-")</f>
        <v>-</v>
      </c>
      <c r="K872" s="49"/>
    </row>
    <row r="873" spans="1:11" x14ac:dyDescent="0.25">
      <c r="A873" s="46" t="str" cm="1">
        <f t="array" ref="A873">IFERROR(INDEX(#REF!,MATCH(TRUE,ISNUMBER(FIND(SUBSTITUTE(SUBSTITUTE(UPPER(#REF!)," ",""),":",": "),SUBSTITUTE(SUBSTITUTE(UPPER(S873)," ",""),":",": "))),0)),"Undefined")</f>
        <v>Undefined</v>
      </c>
      <c r="B873" s="42" t="str" cm="1">
        <f t="array" ref="B873">IFERROR(INDEX({"URGENTE"},MATCH(TRUE,ISNUMBER(FIND(SUBSTITUTE(SUBSTITUTE(UPPER({"URGENTE"})," ",""),":",": "),SUBSTITUTE(SUBSTITUTE(UPPER(S873)," ",""),":",": "))),0)),"-")</f>
        <v>-</v>
      </c>
      <c r="C873" s="46" t="str" cm="1">
        <f t="array" ref="C873">IFERROR(INDEX(#REF!,MATCH(TRUE,ISNUMBER(FIND(SUBSTITUTE(SUBSTITUTE(UPPER(#REF!)," ",""),":",": "),SUBSTITUTE(SUBSTITUTE(UPPER(S873)," ",""),":",": "))),0)),"Não encontrado")</f>
        <v>Não encontrado</v>
      </c>
      <c r="D873" s="46" t="str" cm="1">
        <f t="array" ref="D873">IFERROR(INDEX(#REF!,MATCH(TRUE,ISNUMBER(FIND(SUBSTITUTE(SUBSTITUTE(UPPER(#REF!)," ",""),":",": "),SUBSTITUTE(SUBSTITUTE(UPPER(S873)," ",""),":",": "))),0)),"Não encontrado")</f>
        <v>Não encontrado</v>
      </c>
      <c r="E873" s="42" t="str" cm="1">
        <f t="array" ref="E873">IFERROR(INDEX({"IMPEDITIVO"},MATCH(TRUE,ISNUMBER(FIND(SUBSTITUTE(SUBSTITUTE(UPPER({"IMPEDITIVO"})," ",""),":",": "),SUBSTITUTE(SUBSTITUTE(UPPER(S873)," ",""),":",": "))),0)),"-")</f>
        <v>-</v>
      </c>
      <c r="K873" s="49"/>
    </row>
    <row r="874" spans="1:11" x14ac:dyDescent="0.25">
      <c r="A874" s="46" t="str" cm="1">
        <f t="array" ref="A874">IFERROR(INDEX(#REF!,MATCH(TRUE,ISNUMBER(FIND(SUBSTITUTE(SUBSTITUTE(UPPER(#REF!)," ",""),":",": "),SUBSTITUTE(SUBSTITUTE(UPPER(S874)," ",""),":",": "))),0)),"Undefined")</f>
        <v>Undefined</v>
      </c>
      <c r="B874" s="42" t="str" cm="1">
        <f t="array" ref="B874">IFERROR(INDEX({"URGENTE"},MATCH(TRUE,ISNUMBER(FIND(SUBSTITUTE(SUBSTITUTE(UPPER({"URGENTE"})," ",""),":",": "),SUBSTITUTE(SUBSTITUTE(UPPER(S874)," ",""),":",": "))),0)),"-")</f>
        <v>-</v>
      </c>
      <c r="C874" s="46" t="str" cm="1">
        <f t="array" ref="C874">IFERROR(INDEX(#REF!,MATCH(TRUE,ISNUMBER(FIND(SUBSTITUTE(SUBSTITUTE(UPPER(#REF!)," ",""),":",": "),SUBSTITUTE(SUBSTITUTE(UPPER(S874)," ",""),":",": "))),0)),"Não encontrado")</f>
        <v>Não encontrado</v>
      </c>
      <c r="D874" s="46" t="str" cm="1">
        <f t="array" ref="D874">IFERROR(INDEX(#REF!,MATCH(TRUE,ISNUMBER(FIND(SUBSTITUTE(SUBSTITUTE(UPPER(#REF!)," ",""),":",": "),SUBSTITUTE(SUBSTITUTE(UPPER(S874)," ",""),":",": "))),0)),"Não encontrado")</f>
        <v>Não encontrado</v>
      </c>
      <c r="E874" s="42" t="str" cm="1">
        <f t="array" ref="E874">IFERROR(INDEX({"IMPEDITIVO"},MATCH(TRUE,ISNUMBER(FIND(SUBSTITUTE(SUBSTITUTE(UPPER({"IMPEDITIVO"})," ",""),":",": "),SUBSTITUTE(SUBSTITUTE(UPPER(S874)," ",""),":",": "))),0)),"-")</f>
        <v>-</v>
      </c>
      <c r="K874" s="49"/>
    </row>
    <row r="875" spans="1:11" x14ac:dyDescent="0.25">
      <c r="A875" s="46" t="str" cm="1">
        <f t="array" ref="A875">IFERROR(INDEX(#REF!,MATCH(TRUE,ISNUMBER(FIND(SUBSTITUTE(SUBSTITUTE(UPPER(#REF!)," ",""),":",": "),SUBSTITUTE(SUBSTITUTE(UPPER(S875)," ",""),":",": "))),0)),"Undefined")</f>
        <v>Undefined</v>
      </c>
      <c r="B875" s="42" t="str" cm="1">
        <f t="array" ref="B875">IFERROR(INDEX({"URGENTE"},MATCH(TRUE,ISNUMBER(FIND(SUBSTITUTE(SUBSTITUTE(UPPER({"URGENTE"})," ",""),":",": "),SUBSTITUTE(SUBSTITUTE(UPPER(S875)," ",""),":",": "))),0)),"-")</f>
        <v>-</v>
      </c>
      <c r="C875" s="46" t="str" cm="1">
        <f t="array" ref="C875">IFERROR(INDEX(#REF!,MATCH(TRUE,ISNUMBER(FIND(SUBSTITUTE(SUBSTITUTE(UPPER(#REF!)," ",""),":",": "),SUBSTITUTE(SUBSTITUTE(UPPER(S875)," ",""),":",": "))),0)),"Não encontrado")</f>
        <v>Não encontrado</v>
      </c>
      <c r="D875" s="46" t="str" cm="1">
        <f t="array" ref="D875">IFERROR(INDEX(#REF!,MATCH(TRUE,ISNUMBER(FIND(SUBSTITUTE(SUBSTITUTE(UPPER(#REF!)," ",""),":",": "),SUBSTITUTE(SUBSTITUTE(UPPER(S875)," ",""),":",": "))),0)),"Não encontrado")</f>
        <v>Não encontrado</v>
      </c>
      <c r="E875" s="42" t="str" cm="1">
        <f t="array" ref="E875">IFERROR(INDEX({"IMPEDITIVO"},MATCH(TRUE,ISNUMBER(FIND(SUBSTITUTE(SUBSTITUTE(UPPER({"IMPEDITIVO"})," ",""),":",": "),SUBSTITUTE(SUBSTITUTE(UPPER(S875)," ",""),":",": "))),0)),"-")</f>
        <v>-</v>
      </c>
      <c r="K875" s="49"/>
    </row>
    <row r="876" spans="1:11" x14ac:dyDescent="0.25">
      <c r="A876" s="46" t="str" cm="1">
        <f t="array" ref="A876">IFERROR(INDEX(#REF!,MATCH(TRUE,ISNUMBER(FIND(SUBSTITUTE(SUBSTITUTE(UPPER(#REF!)," ",""),":",": "),SUBSTITUTE(SUBSTITUTE(UPPER(S876)," ",""),":",": "))),0)),"Undefined")</f>
        <v>Undefined</v>
      </c>
      <c r="B876" s="42" t="str" cm="1">
        <f t="array" ref="B876">IFERROR(INDEX({"URGENTE"},MATCH(TRUE,ISNUMBER(FIND(SUBSTITUTE(SUBSTITUTE(UPPER({"URGENTE"})," ",""),":",": "),SUBSTITUTE(SUBSTITUTE(UPPER(S876)," ",""),":",": "))),0)),"-")</f>
        <v>-</v>
      </c>
      <c r="C876" s="46" t="str" cm="1">
        <f t="array" ref="C876">IFERROR(INDEX(#REF!,MATCH(TRUE,ISNUMBER(FIND(SUBSTITUTE(SUBSTITUTE(UPPER(#REF!)," ",""),":",": "),SUBSTITUTE(SUBSTITUTE(UPPER(S876)," ",""),":",": "))),0)),"Não encontrado")</f>
        <v>Não encontrado</v>
      </c>
      <c r="D876" s="46" t="str" cm="1">
        <f t="array" ref="D876">IFERROR(INDEX(#REF!,MATCH(TRUE,ISNUMBER(FIND(SUBSTITUTE(SUBSTITUTE(UPPER(#REF!)," ",""),":",": "),SUBSTITUTE(SUBSTITUTE(UPPER(S876)," ",""),":",": "))),0)),"Não encontrado")</f>
        <v>Não encontrado</v>
      </c>
      <c r="E876" s="42" t="str" cm="1">
        <f t="array" ref="E876">IFERROR(INDEX({"IMPEDITIVO"},MATCH(TRUE,ISNUMBER(FIND(SUBSTITUTE(SUBSTITUTE(UPPER({"IMPEDITIVO"})," ",""),":",": "),SUBSTITUTE(SUBSTITUTE(UPPER(S876)," ",""),":",": "))),0)),"-")</f>
        <v>-</v>
      </c>
      <c r="K876" s="49"/>
    </row>
    <row r="877" spans="1:11" x14ac:dyDescent="0.25">
      <c r="A877" s="46" t="str" cm="1">
        <f t="array" ref="A877">IFERROR(INDEX(#REF!,MATCH(TRUE,ISNUMBER(FIND(SUBSTITUTE(SUBSTITUTE(UPPER(#REF!)," ",""),":",": "),SUBSTITUTE(SUBSTITUTE(UPPER(S877)," ",""),":",": "))),0)),"Undefined")</f>
        <v>Undefined</v>
      </c>
      <c r="B877" s="42" t="str" cm="1">
        <f t="array" ref="B877">IFERROR(INDEX({"URGENTE"},MATCH(TRUE,ISNUMBER(FIND(SUBSTITUTE(SUBSTITUTE(UPPER({"URGENTE"})," ",""),":",": "),SUBSTITUTE(SUBSTITUTE(UPPER(S877)," ",""),":",": "))),0)),"-")</f>
        <v>-</v>
      </c>
      <c r="C877" s="46" t="str" cm="1">
        <f t="array" ref="C877">IFERROR(INDEX(#REF!,MATCH(TRUE,ISNUMBER(FIND(SUBSTITUTE(SUBSTITUTE(UPPER(#REF!)," ",""),":",": "),SUBSTITUTE(SUBSTITUTE(UPPER(S877)," ",""),":",": "))),0)),"Não encontrado")</f>
        <v>Não encontrado</v>
      </c>
      <c r="D877" s="46" t="str" cm="1">
        <f t="array" ref="D877">IFERROR(INDEX(#REF!,MATCH(TRUE,ISNUMBER(FIND(SUBSTITUTE(SUBSTITUTE(UPPER(#REF!)," ",""),":",": "),SUBSTITUTE(SUBSTITUTE(UPPER(S877)," ",""),":",": "))),0)),"Não encontrado")</f>
        <v>Não encontrado</v>
      </c>
      <c r="E877" s="42" t="str" cm="1">
        <f t="array" ref="E877">IFERROR(INDEX({"IMPEDITIVO"},MATCH(TRUE,ISNUMBER(FIND(SUBSTITUTE(SUBSTITUTE(UPPER({"IMPEDITIVO"})," ",""),":",": "),SUBSTITUTE(SUBSTITUTE(UPPER(S877)," ",""),":",": "))),0)),"-")</f>
        <v>-</v>
      </c>
      <c r="K877" s="49"/>
    </row>
    <row r="878" spans="1:11" x14ac:dyDescent="0.25">
      <c r="A878" s="46" t="str" cm="1">
        <f t="array" ref="A878">IFERROR(INDEX(#REF!,MATCH(TRUE,ISNUMBER(FIND(SUBSTITUTE(SUBSTITUTE(UPPER(#REF!)," ",""),":",": "),SUBSTITUTE(SUBSTITUTE(UPPER(S878)," ",""),":",": "))),0)),"Undefined")</f>
        <v>Undefined</v>
      </c>
      <c r="B878" s="42" t="str" cm="1">
        <f t="array" ref="B878">IFERROR(INDEX({"URGENTE"},MATCH(TRUE,ISNUMBER(FIND(SUBSTITUTE(SUBSTITUTE(UPPER({"URGENTE"})," ",""),":",": "),SUBSTITUTE(SUBSTITUTE(UPPER(S878)," ",""),":",": "))),0)),"-")</f>
        <v>-</v>
      </c>
      <c r="C878" s="46" t="str" cm="1">
        <f t="array" ref="C878">IFERROR(INDEX(#REF!,MATCH(TRUE,ISNUMBER(FIND(SUBSTITUTE(SUBSTITUTE(UPPER(#REF!)," ",""),":",": "),SUBSTITUTE(SUBSTITUTE(UPPER(S878)," ",""),":",": "))),0)),"Não encontrado")</f>
        <v>Não encontrado</v>
      </c>
      <c r="D878" s="46" t="str" cm="1">
        <f t="array" ref="D878">IFERROR(INDEX(#REF!,MATCH(TRUE,ISNUMBER(FIND(SUBSTITUTE(SUBSTITUTE(UPPER(#REF!)," ",""),":",": "),SUBSTITUTE(SUBSTITUTE(UPPER(S878)," ",""),":",": "))),0)),"Não encontrado")</f>
        <v>Não encontrado</v>
      </c>
      <c r="E878" s="42" t="str" cm="1">
        <f t="array" ref="E878">IFERROR(INDEX({"IMPEDITIVO"},MATCH(TRUE,ISNUMBER(FIND(SUBSTITUTE(SUBSTITUTE(UPPER({"IMPEDITIVO"})," ",""),":",": "),SUBSTITUTE(SUBSTITUTE(UPPER(S878)," ",""),":",": "))),0)),"-")</f>
        <v>-</v>
      </c>
      <c r="K878" s="49"/>
    </row>
    <row r="879" spans="1:11" x14ac:dyDescent="0.25">
      <c r="A879" s="46" t="str" cm="1">
        <f t="array" ref="A879">IFERROR(INDEX(#REF!,MATCH(TRUE,ISNUMBER(FIND(SUBSTITUTE(SUBSTITUTE(UPPER(#REF!)," ",""),":",": "),SUBSTITUTE(SUBSTITUTE(UPPER(S879)," ",""),":",": "))),0)),"Undefined")</f>
        <v>Undefined</v>
      </c>
      <c r="B879" s="42" t="str" cm="1">
        <f t="array" ref="B879">IFERROR(INDEX({"URGENTE"},MATCH(TRUE,ISNUMBER(FIND(SUBSTITUTE(SUBSTITUTE(UPPER({"URGENTE"})," ",""),":",": "),SUBSTITUTE(SUBSTITUTE(UPPER(S879)," ",""),":",": "))),0)),"-")</f>
        <v>-</v>
      </c>
      <c r="C879" s="46" t="str" cm="1">
        <f t="array" ref="C879">IFERROR(INDEX(#REF!,MATCH(TRUE,ISNUMBER(FIND(SUBSTITUTE(SUBSTITUTE(UPPER(#REF!)," ",""),":",": "),SUBSTITUTE(SUBSTITUTE(UPPER(S879)," ",""),":",": "))),0)),"Não encontrado")</f>
        <v>Não encontrado</v>
      </c>
      <c r="D879" s="46" t="str" cm="1">
        <f t="array" ref="D879">IFERROR(INDEX(#REF!,MATCH(TRUE,ISNUMBER(FIND(SUBSTITUTE(SUBSTITUTE(UPPER(#REF!)," ",""),":",": "),SUBSTITUTE(SUBSTITUTE(UPPER(S879)," ",""),":",": "))),0)),"Não encontrado")</f>
        <v>Não encontrado</v>
      </c>
      <c r="E879" s="42" t="str" cm="1">
        <f t="array" ref="E879">IFERROR(INDEX({"IMPEDITIVO"},MATCH(TRUE,ISNUMBER(FIND(SUBSTITUTE(SUBSTITUTE(UPPER({"IMPEDITIVO"})," ",""),":",": "),SUBSTITUTE(SUBSTITUTE(UPPER(S879)," ",""),":",": "))),0)),"-")</f>
        <v>-</v>
      </c>
      <c r="K879" s="49"/>
    </row>
    <row r="880" spans="1:11" x14ac:dyDescent="0.25">
      <c r="A880" s="46" t="str" cm="1">
        <f t="array" ref="A880">IFERROR(INDEX(#REF!,MATCH(TRUE,ISNUMBER(FIND(SUBSTITUTE(SUBSTITUTE(UPPER(#REF!)," ",""),":",": "),SUBSTITUTE(SUBSTITUTE(UPPER(S880)," ",""),":",": "))),0)),"Undefined")</f>
        <v>Undefined</v>
      </c>
      <c r="B880" s="42" t="str" cm="1">
        <f t="array" ref="B880">IFERROR(INDEX({"URGENTE"},MATCH(TRUE,ISNUMBER(FIND(SUBSTITUTE(SUBSTITUTE(UPPER({"URGENTE"})," ",""),":",": "),SUBSTITUTE(SUBSTITUTE(UPPER(S880)," ",""),":",": "))),0)),"-")</f>
        <v>-</v>
      </c>
      <c r="C880" s="46" t="str" cm="1">
        <f t="array" ref="C880">IFERROR(INDEX(#REF!,MATCH(TRUE,ISNUMBER(FIND(SUBSTITUTE(SUBSTITUTE(UPPER(#REF!)," ",""),":",": "),SUBSTITUTE(SUBSTITUTE(UPPER(S880)," ",""),":",": "))),0)),"Não encontrado")</f>
        <v>Não encontrado</v>
      </c>
      <c r="D880" s="46" t="str" cm="1">
        <f t="array" ref="D880">IFERROR(INDEX(#REF!,MATCH(TRUE,ISNUMBER(FIND(SUBSTITUTE(SUBSTITUTE(UPPER(#REF!)," ",""),":",": "),SUBSTITUTE(SUBSTITUTE(UPPER(S880)," ",""),":",": "))),0)),"Não encontrado")</f>
        <v>Não encontrado</v>
      </c>
      <c r="E880" s="42" t="str" cm="1">
        <f t="array" ref="E880">IFERROR(INDEX({"IMPEDITIVO"},MATCH(TRUE,ISNUMBER(FIND(SUBSTITUTE(SUBSTITUTE(UPPER({"IMPEDITIVO"})," ",""),":",": "),SUBSTITUTE(SUBSTITUTE(UPPER(S880)," ",""),":",": "))),0)),"-")</f>
        <v>-</v>
      </c>
      <c r="K880" s="49"/>
    </row>
    <row r="881" spans="1:11" x14ac:dyDescent="0.25">
      <c r="A881" s="46" t="str" cm="1">
        <f t="array" ref="A881">IFERROR(INDEX(#REF!,MATCH(TRUE,ISNUMBER(FIND(SUBSTITUTE(SUBSTITUTE(UPPER(#REF!)," ",""),":",": "),SUBSTITUTE(SUBSTITUTE(UPPER(S881)," ",""),":",": "))),0)),"Undefined")</f>
        <v>Undefined</v>
      </c>
      <c r="B881" s="42" t="str" cm="1">
        <f t="array" ref="B881">IFERROR(INDEX({"URGENTE"},MATCH(TRUE,ISNUMBER(FIND(SUBSTITUTE(SUBSTITUTE(UPPER({"URGENTE"})," ",""),":",": "),SUBSTITUTE(SUBSTITUTE(UPPER(S881)," ",""),":",": "))),0)),"-")</f>
        <v>-</v>
      </c>
      <c r="C881" s="46" t="str" cm="1">
        <f t="array" ref="C881">IFERROR(INDEX(#REF!,MATCH(TRUE,ISNUMBER(FIND(SUBSTITUTE(SUBSTITUTE(UPPER(#REF!)," ",""),":",": "),SUBSTITUTE(SUBSTITUTE(UPPER(S881)," ",""),":",": "))),0)),"Não encontrado")</f>
        <v>Não encontrado</v>
      </c>
      <c r="D881" s="46" t="str" cm="1">
        <f t="array" ref="D881">IFERROR(INDEX(#REF!,MATCH(TRUE,ISNUMBER(FIND(SUBSTITUTE(SUBSTITUTE(UPPER(#REF!)," ",""),":",": "),SUBSTITUTE(SUBSTITUTE(UPPER(S881)," ",""),":",": "))),0)),"Não encontrado")</f>
        <v>Não encontrado</v>
      </c>
      <c r="E881" s="42" t="str" cm="1">
        <f t="array" ref="E881">IFERROR(INDEX({"IMPEDITIVO"},MATCH(TRUE,ISNUMBER(FIND(SUBSTITUTE(SUBSTITUTE(UPPER({"IMPEDITIVO"})," ",""),":",": "),SUBSTITUTE(SUBSTITUTE(UPPER(S881)," ",""),":",": "))),0)),"-")</f>
        <v>-</v>
      </c>
      <c r="K881" s="49"/>
    </row>
    <row r="882" spans="1:11" x14ac:dyDescent="0.25">
      <c r="A882" s="46" t="str" cm="1">
        <f t="array" ref="A882">IFERROR(INDEX(#REF!,MATCH(TRUE,ISNUMBER(FIND(SUBSTITUTE(SUBSTITUTE(UPPER(#REF!)," ",""),":",": "),SUBSTITUTE(SUBSTITUTE(UPPER(S882)," ",""),":",": "))),0)),"Undefined")</f>
        <v>Undefined</v>
      </c>
      <c r="B882" s="42" t="str" cm="1">
        <f t="array" ref="B882">IFERROR(INDEX({"URGENTE"},MATCH(TRUE,ISNUMBER(FIND(SUBSTITUTE(SUBSTITUTE(UPPER({"URGENTE"})," ",""),":",": "),SUBSTITUTE(SUBSTITUTE(UPPER(S882)," ",""),":",": "))),0)),"-")</f>
        <v>-</v>
      </c>
      <c r="C882" s="46" t="str" cm="1">
        <f t="array" ref="C882">IFERROR(INDEX(#REF!,MATCH(TRUE,ISNUMBER(FIND(SUBSTITUTE(SUBSTITUTE(UPPER(#REF!)," ",""),":",": "),SUBSTITUTE(SUBSTITUTE(UPPER(S882)," ",""),":",": "))),0)),"Não encontrado")</f>
        <v>Não encontrado</v>
      </c>
      <c r="D882" s="46" t="str" cm="1">
        <f t="array" ref="D882">IFERROR(INDEX(#REF!,MATCH(TRUE,ISNUMBER(FIND(SUBSTITUTE(SUBSTITUTE(UPPER(#REF!)," ",""),":",": "),SUBSTITUTE(SUBSTITUTE(UPPER(S882)," ",""),":",": "))),0)),"Não encontrado")</f>
        <v>Não encontrado</v>
      </c>
      <c r="E882" s="42" t="str" cm="1">
        <f t="array" ref="E882">IFERROR(INDEX({"IMPEDITIVO"},MATCH(TRUE,ISNUMBER(FIND(SUBSTITUTE(SUBSTITUTE(UPPER({"IMPEDITIVO"})," ",""),":",": "),SUBSTITUTE(SUBSTITUTE(UPPER(S882)," ",""),":",": "))),0)),"-")</f>
        <v>-</v>
      </c>
      <c r="K882" s="49"/>
    </row>
    <row r="883" spans="1:11" x14ac:dyDescent="0.25">
      <c r="A883" s="46" t="str" cm="1">
        <f t="array" ref="A883">IFERROR(INDEX(#REF!,MATCH(TRUE,ISNUMBER(FIND(SUBSTITUTE(SUBSTITUTE(UPPER(#REF!)," ",""),":",": "),SUBSTITUTE(SUBSTITUTE(UPPER(S883)," ",""),":",": "))),0)),"Undefined")</f>
        <v>Undefined</v>
      </c>
      <c r="B883" s="42" t="str" cm="1">
        <f t="array" ref="B883">IFERROR(INDEX({"URGENTE"},MATCH(TRUE,ISNUMBER(FIND(SUBSTITUTE(SUBSTITUTE(UPPER({"URGENTE"})," ",""),":",": "),SUBSTITUTE(SUBSTITUTE(UPPER(S883)," ",""),":",": "))),0)),"-")</f>
        <v>-</v>
      </c>
      <c r="C883" s="46" t="str" cm="1">
        <f t="array" ref="C883">IFERROR(INDEX(#REF!,MATCH(TRUE,ISNUMBER(FIND(SUBSTITUTE(SUBSTITUTE(UPPER(#REF!)," ",""),":",": "),SUBSTITUTE(SUBSTITUTE(UPPER(S883)," ",""),":",": "))),0)),"Não encontrado")</f>
        <v>Não encontrado</v>
      </c>
      <c r="D883" s="46" t="str" cm="1">
        <f t="array" ref="D883">IFERROR(INDEX(#REF!,MATCH(TRUE,ISNUMBER(FIND(SUBSTITUTE(SUBSTITUTE(UPPER(#REF!)," ",""),":",": "),SUBSTITUTE(SUBSTITUTE(UPPER(S883)," ",""),":",": "))),0)),"Não encontrado")</f>
        <v>Não encontrado</v>
      </c>
      <c r="E883" s="42" t="str" cm="1">
        <f t="array" ref="E883">IFERROR(INDEX({"IMPEDITIVO"},MATCH(TRUE,ISNUMBER(FIND(SUBSTITUTE(SUBSTITUTE(UPPER({"IMPEDITIVO"})," ",""),":",": "),SUBSTITUTE(SUBSTITUTE(UPPER(S883)," ",""),":",": "))),0)),"-")</f>
        <v>-</v>
      </c>
      <c r="K883" s="49"/>
    </row>
    <row r="884" spans="1:11" x14ac:dyDescent="0.25">
      <c r="A884" s="46" t="str" cm="1">
        <f t="array" ref="A884">IFERROR(INDEX(#REF!,MATCH(TRUE,ISNUMBER(FIND(SUBSTITUTE(SUBSTITUTE(UPPER(#REF!)," ",""),":",": "),SUBSTITUTE(SUBSTITUTE(UPPER(S884)," ",""),":",": "))),0)),"Undefined")</f>
        <v>Undefined</v>
      </c>
      <c r="B884" s="42" t="str" cm="1">
        <f t="array" ref="B884">IFERROR(INDEX({"URGENTE"},MATCH(TRUE,ISNUMBER(FIND(SUBSTITUTE(SUBSTITUTE(UPPER({"URGENTE"})," ",""),":",": "),SUBSTITUTE(SUBSTITUTE(UPPER(S884)," ",""),":",": "))),0)),"-")</f>
        <v>-</v>
      </c>
      <c r="C884" s="46" t="str" cm="1">
        <f t="array" ref="C884">IFERROR(INDEX(#REF!,MATCH(TRUE,ISNUMBER(FIND(SUBSTITUTE(SUBSTITUTE(UPPER(#REF!)," ",""),":",": "),SUBSTITUTE(SUBSTITUTE(UPPER(S884)," ",""),":",": "))),0)),"Não encontrado")</f>
        <v>Não encontrado</v>
      </c>
      <c r="D884" s="46" t="str" cm="1">
        <f t="array" ref="D884">IFERROR(INDEX(#REF!,MATCH(TRUE,ISNUMBER(FIND(SUBSTITUTE(SUBSTITUTE(UPPER(#REF!)," ",""),":",": "),SUBSTITUTE(SUBSTITUTE(UPPER(S884)," ",""),":",": "))),0)),"Não encontrado")</f>
        <v>Não encontrado</v>
      </c>
      <c r="E884" s="42" t="str" cm="1">
        <f t="array" ref="E884">IFERROR(INDEX({"IMPEDITIVO"},MATCH(TRUE,ISNUMBER(FIND(SUBSTITUTE(SUBSTITUTE(UPPER({"IMPEDITIVO"})," ",""),":",": "),SUBSTITUTE(SUBSTITUTE(UPPER(S884)," ",""),":",": "))),0)),"-")</f>
        <v>-</v>
      </c>
      <c r="K884" s="49"/>
    </row>
    <row r="885" spans="1:11" x14ac:dyDescent="0.25">
      <c r="A885" s="46" t="str" cm="1">
        <f t="array" ref="A885">IFERROR(INDEX(#REF!,MATCH(TRUE,ISNUMBER(FIND(SUBSTITUTE(SUBSTITUTE(UPPER(#REF!)," ",""),":",": "),SUBSTITUTE(SUBSTITUTE(UPPER(S885)," ",""),":",": "))),0)),"Undefined")</f>
        <v>Undefined</v>
      </c>
      <c r="B885" s="42" t="str" cm="1">
        <f t="array" ref="B885">IFERROR(INDEX({"URGENTE"},MATCH(TRUE,ISNUMBER(FIND(SUBSTITUTE(SUBSTITUTE(UPPER({"URGENTE"})," ",""),":",": "),SUBSTITUTE(SUBSTITUTE(UPPER(S885)," ",""),":",": "))),0)),"-")</f>
        <v>-</v>
      </c>
      <c r="C885" s="46" t="str" cm="1">
        <f t="array" ref="C885">IFERROR(INDEX(#REF!,MATCH(TRUE,ISNUMBER(FIND(SUBSTITUTE(SUBSTITUTE(UPPER(#REF!)," ",""),":",": "),SUBSTITUTE(SUBSTITUTE(UPPER(S885)," ",""),":",": "))),0)),"Não encontrado")</f>
        <v>Não encontrado</v>
      </c>
      <c r="D885" s="46" t="str" cm="1">
        <f t="array" ref="D885">IFERROR(INDEX(#REF!,MATCH(TRUE,ISNUMBER(FIND(SUBSTITUTE(SUBSTITUTE(UPPER(#REF!)," ",""),":",": "),SUBSTITUTE(SUBSTITUTE(UPPER(S885)," ",""),":",": "))),0)),"Não encontrado")</f>
        <v>Não encontrado</v>
      </c>
      <c r="E885" s="42" t="str" cm="1">
        <f t="array" ref="E885">IFERROR(INDEX({"IMPEDITIVO"},MATCH(TRUE,ISNUMBER(FIND(SUBSTITUTE(SUBSTITUTE(UPPER({"IMPEDITIVO"})," ",""),":",": "),SUBSTITUTE(SUBSTITUTE(UPPER(S885)," ",""),":",": "))),0)),"-")</f>
        <v>-</v>
      </c>
      <c r="K885" s="49"/>
    </row>
    <row r="886" spans="1:11" x14ac:dyDescent="0.25">
      <c r="A886" s="46" t="str" cm="1">
        <f t="array" ref="A886">IFERROR(INDEX(#REF!,MATCH(TRUE,ISNUMBER(FIND(SUBSTITUTE(SUBSTITUTE(UPPER(#REF!)," ",""),":",": "),SUBSTITUTE(SUBSTITUTE(UPPER(S886)," ",""),":",": "))),0)),"Undefined")</f>
        <v>Undefined</v>
      </c>
      <c r="B886" s="42" t="str" cm="1">
        <f t="array" ref="B886">IFERROR(INDEX({"URGENTE"},MATCH(TRUE,ISNUMBER(FIND(SUBSTITUTE(SUBSTITUTE(UPPER({"URGENTE"})," ",""),":",": "),SUBSTITUTE(SUBSTITUTE(UPPER(S886)," ",""),":",": "))),0)),"-")</f>
        <v>-</v>
      </c>
      <c r="C886" s="46" t="str" cm="1">
        <f t="array" ref="C886">IFERROR(INDEX(#REF!,MATCH(TRUE,ISNUMBER(FIND(SUBSTITUTE(SUBSTITUTE(UPPER(#REF!)," ",""),":",": "),SUBSTITUTE(SUBSTITUTE(UPPER(S886)," ",""),":",": "))),0)),"Não encontrado")</f>
        <v>Não encontrado</v>
      </c>
      <c r="D886" s="46" t="str" cm="1">
        <f t="array" ref="D886">IFERROR(INDEX(#REF!,MATCH(TRUE,ISNUMBER(FIND(SUBSTITUTE(SUBSTITUTE(UPPER(#REF!)," ",""),":",": "),SUBSTITUTE(SUBSTITUTE(UPPER(S886)," ",""),":",": "))),0)),"Não encontrado")</f>
        <v>Não encontrado</v>
      </c>
      <c r="E886" s="42" t="str" cm="1">
        <f t="array" ref="E886">IFERROR(INDEX({"IMPEDITIVO"},MATCH(TRUE,ISNUMBER(FIND(SUBSTITUTE(SUBSTITUTE(UPPER({"IMPEDITIVO"})," ",""),":",": "),SUBSTITUTE(SUBSTITUTE(UPPER(S886)," ",""),":",": "))),0)),"-")</f>
        <v>-</v>
      </c>
      <c r="K886" s="49"/>
    </row>
    <row r="887" spans="1:11" x14ac:dyDescent="0.25">
      <c r="A887" s="46" t="str" cm="1">
        <f t="array" ref="A887">IFERROR(INDEX(#REF!,MATCH(TRUE,ISNUMBER(FIND(SUBSTITUTE(SUBSTITUTE(UPPER(#REF!)," ",""),":",": "),SUBSTITUTE(SUBSTITUTE(UPPER(S887)," ",""),":",": "))),0)),"Undefined")</f>
        <v>Undefined</v>
      </c>
      <c r="B887" s="42" t="str" cm="1">
        <f t="array" ref="B887">IFERROR(INDEX({"URGENTE"},MATCH(TRUE,ISNUMBER(FIND(SUBSTITUTE(SUBSTITUTE(UPPER({"URGENTE"})," ",""),":",": "),SUBSTITUTE(SUBSTITUTE(UPPER(S887)," ",""),":",": "))),0)),"-")</f>
        <v>-</v>
      </c>
      <c r="C887" s="46" t="str" cm="1">
        <f t="array" ref="C887">IFERROR(INDEX(#REF!,MATCH(TRUE,ISNUMBER(FIND(SUBSTITUTE(SUBSTITUTE(UPPER(#REF!)," ",""),":",": "),SUBSTITUTE(SUBSTITUTE(UPPER(S887)," ",""),":",": "))),0)),"Não encontrado")</f>
        <v>Não encontrado</v>
      </c>
      <c r="D887" s="46" t="str" cm="1">
        <f t="array" ref="D887">IFERROR(INDEX(#REF!,MATCH(TRUE,ISNUMBER(FIND(SUBSTITUTE(SUBSTITUTE(UPPER(#REF!)," ",""),":",": "),SUBSTITUTE(SUBSTITUTE(UPPER(S887)," ",""),":",": "))),0)),"Não encontrado")</f>
        <v>Não encontrado</v>
      </c>
      <c r="E887" s="42" t="str" cm="1">
        <f t="array" ref="E887">IFERROR(INDEX({"IMPEDITIVO"},MATCH(TRUE,ISNUMBER(FIND(SUBSTITUTE(SUBSTITUTE(UPPER({"IMPEDITIVO"})," ",""),":",": "),SUBSTITUTE(SUBSTITUTE(UPPER(S887)," ",""),":",": "))),0)),"-")</f>
        <v>-</v>
      </c>
      <c r="K887" s="49"/>
    </row>
    <row r="888" spans="1:11" x14ac:dyDescent="0.25">
      <c r="A888" s="46" t="str" cm="1">
        <f t="array" ref="A888">IFERROR(INDEX(#REF!,MATCH(TRUE,ISNUMBER(FIND(SUBSTITUTE(SUBSTITUTE(UPPER(#REF!)," ",""),":",": "),SUBSTITUTE(SUBSTITUTE(UPPER(S888)," ",""),":",": "))),0)),"Undefined")</f>
        <v>Undefined</v>
      </c>
      <c r="B888" s="42" t="str" cm="1">
        <f t="array" ref="B888">IFERROR(INDEX({"URGENTE"},MATCH(TRUE,ISNUMBER(FIND(SUBSTITUTE(SUBSTITUTE(UPPER({"URGENTE"})," ",""),":",": "),SUBSTITUTE(SUBSTITUTE(UPPER(S888)," ",""),":",": "))),0)),"-")</f>
        <v>-</v>
      </c>
      <c r="C888" s="46" t="str" cm="1">
        <f t="array" ref="C888">IFERROR(INDEX(#REF!,MATCH(TRUE,ISNUMBER(FIND(SUBSTITUTE(SUBSTITUTE(UPPER(#REF!)," ",""),":",": "),SUBSTITUTE(SUBSTITUTE(UPPER(S888)," ",""),":",": "))),0)),"Não encontrado")</f>
        <v>Não encontrado</v>
      </c>
      <c r="D888" s="46" t="str" cm="1">
        <f t="array" ref="D888">IFERROR(INDEX(#REF!,MATCH(TRUE,ISNUMBER(FIND(SUBSTITUTE(SUBSTITUTE(UPPER(#REF!)," ",""),":",": "),SUBSTITUTE(SUBSTITUTE(UPPER(S888)," ",""),":",": "))),0)),"Não encontrado")</f>
        <v>Não encontrado</v>
      </c>
      <c r="E888" s="42" t="str" cm="1">
        <f t="array" ref="E888">IFERROR(INDEX({"IMPEDITIVO"},MATCH(TRUE,ISNUMBER(FIND(SUBSTITUTE(SUBSTITUTE(UPPER({"IMPEDITIVO"})," ",""),":",": "),SUBSTITUTE(SUBSTITUTE(UPPER(S888)," ",""),":",": "))),0)),"-")</f>
        <v>-</v>
      </c>
      <c r="K888" s="49"/>
    </row>
    <row r="889" spans="1:11" x14ac:dyDescent="0.25">
      <c r="A889" s="46" t="str" cm="1">
        <f t="array" ref="A889">IFERROR(INDEX(#REF!,MATCH(TRUE,ISNUMBER(FIND(SUBSTITUTE(SUBSTITUTE(UPPER(#REF!)," ",""),":",": "),SUBSTITUTE(SUBSTITUTE(UPPER(S889)," ",""),":",": "))),0)),"Undefined")</f>
        <v>Undefined</v>
      </c>
      <c r="B889" s="42" t="str" cm="1">
        <f t="array" ref="B889">IFERROR(INDEX({"URGENTE"},MATCH(TRUE,ISNUMBER(FIND(SUBSTITUTE(SUBSTITUTE(UPPER({"URGENTE"})," ",""),":",": "),SUBSTITUTE(SUBSTITUTE(UPPER(S889)," ",""),":",": "))),0)),"-")</f>
        <v>-</v>
      </c>
      <c r="C889" s="46" t="str" cm="1">
        <f t="array" ref="C889">IFERROR(INDEX(#REF!,MATCH(TRUE,ISNUMBER(FIND(SUBSTITUTE(SUBSTITUTE(UPPER(#REF!)," ",""),":",": "),SUBSTITUTE(SUBSTITUTE(UPPER(S889)," ",""),":",": "))),0)),"Não encontrado")</f>
        <v>Não encontrado</v>
      </c>
      <c r="D889" s="46" t="str" cm="1">
        <f t="array" ref="D889">IFERROR(INDEX(#REF!,MATCH(TRUE,ISNUMBER(FIND(SUBSTITUTE(SUBSTITUTE(UPPER(#REF!)," ",""),":",": "),SUBSTITUTE(SUBSTITUTE(UPPER(S889)," ",""),":",": "))),0)),"Não encontrado")</f>
        <v>Não encontrado</v>
      </c>
      <c r="E889" s="42" t="str" cm="1">
        <f t="array" ref="E889">IFERROR(INDEX({"IMPEDITIVO"},MATCH(TRUE,ISNUMBER(FIND(SUBSTITUTE(SUBSTITUTE(UPPER({"IMPEDITIVO"})," ",""),":",": "),SUBSTITUTE(SUBSTITUTE(UPPER(S889)," ",""),":",": "))),0)),"-")</f>
        <v>-</v>
      </c>
      <c r="K889" s="49"/>
    </row>
    <row r="890" spans="1:11" x14ac:dyDescent="0.25">
      <c r="A890" s="46" t="str" cm="1">
        <f t="array" ref="A890">IFERROR(INDEX(#REF!,MATCH(TRUE,ISNUMBER(FIND(SUBSTITUTE(SUBSTITUTE(UPPER(#REF!)," ",""),":",": "),SUBSTITUTE(SUBSTITUTE(UPPER(S890)," ",""),":",": "))),0)),"Undefined")</f>
        <v>Undefined</v>
      </c>
      <c r="B890" s="42" t="str" cm="1">
        <f t="array" ref="B890">IFERROR(INDEX({"URGENTE"},MATCH(TRUE,ISNUMBER(FIND(SUBSTITUTE(SUBSTITUTE(UPPER({"URGENTE"})," ",""),":",": "),SUBSTITUTE(SUBSTITUTE(UPPER(S890)," ",""),":",": "))),0)),"-")</f>
        <v>-</v>
      </c>
      <c r="C890" s="46" t="str" cm="1">
        <f t="array" ref="C890">IFERROR(INDEX(#REF!,MATCH(TRUE,ISNUMBER(FIND(SUBSTITUTE(SUBSTITUTE(UPPER(#REF!)," ",""),":",": "),SUBSTITUTE(SUBSTITUTE(UPPER(S890)," ",""),":",": "))),0)),"Não encontrado")</f>
        <v>Não encontrado</v>
      </c>
      <c r="D890" s="46" t="str" cm="1">
        <f t="array" ref="D890">IFERROR(INDEX(#REF!,MATCH(TRUE,ISNUMBER(FIND(SUBSTITUTE(SUBSTITUTE(UPPER(#REF!)," ",""),":",": "),SUBSTITUTE(SUBSTITUTE(UPPER(S890)," ",""),":",": "))),0)),"Não encontrado")</f>
        <v>Não encontrado</v>
      </c>
      <c r="E890" s="42" t="str" cm="1">
        <f t="array" ref="E890">IFERROR(INDEX({"IMPEDITIVO"},MATCH(TRUE,ISNUMBER(FIND(SUBSTITUTE(SUBSTITUTE(UPPER({"IMPEDITIVO"})," ",""),":",": "),SUBSTITUTE(SUBSTITUTE(UPPER(S890)," ",""),":",": "))),0)),"-")</f>
        <v>-</v>
      </c>
      <c r="K890" s="49"/>
    </row>
    <row r="891" spans="1:11" x14ac:dyDescent="0.25">
      <c r="A891" s="46" t="str" cm="1">
        <f t="array" ref="A891">IFERROR(INDEX(#REF!,MATCH(TRUE,ISNUMBER(FIND(SUBSTITUTE(SUBSTITUTE(UPPER(#REF!)," ",""),":",": "),SUBSTITUTE(SUBSTITUTE(UPPER(S891)," ",""),":",": "))),0)),"Undefined")</f>
        <v>Undefined</v>
      </c>
      <c r="B891" s="42" t="str" cm="1">
        <f t="array" ref="B891">IFERROR(INDEX({"URGENTE"},MATCH(TRUE,ISNUMBER(FIND(SUBSTITUTE(SUBSTITUTE(UPPER({"URGENTE"})," ",""),":",": "),SUBSTITUTE(SUBSTITUTE(UPPER(S891)," ",""),":",": "))),0)),"-")</f>
        <v>-</v>
      </c>
      <c r="C891" s="46" t="str" cm="1">
        <f t="array" ref="C891">IFERROR(INDEX(#REF!,MATCH(TRUE,ISNUMBER(FIND(SUBSTITUTE(SUBSTITUTE(UPPER(#REF!)," ",""),":",": "),SUBSTITUTE(SUBSTITUTE(UPPER(S891)," ",""),":",": "))),0)),"Não encontrado")</f>
        <v>Não encontrado</v>
      </c>
      <c r="D891" s="46" t="str" cm="1">
        <f t="array" ref="D891">IFERROR(INDEX(#REF!,MATCH(TRUE,ISNUMBER(FIND(SUBSTITUTE(SUBSTITUTE(UPPER(#REF!)," ",""),":",": "),SUBSTITUTE(SUBSTITUTE(UPPER(S891)," ",""),":",": "))),0)),"Não encontrado")</f>
        <v>Não encontrado</v>
      </c>
      <c r="E891" s="42" t="str" cm="1">
        <f t="array" ref="E891">IFERROR(INDEX({"IMPEDITIVO"},MATCH(TRUE,ISNUMBER(FIND(SUBSTITUTE(SUBSTITUTE(UPPER({"IMPEDITIVO"})," ",""),":",": "),SUBSTITUTE(SUBSTITUTE(UPPER(S891)," ",""),":",": "))),0)),"-")</f>
        <v>-</v>
      </c>
      <c r="K891" s="49"/>
    </row>
    <row r="892" spans="1:11" x14ac:dyDescent="0.25">
      <c r="A892" s="46" t="str" cm="1">
        <f t="array" ref="A892">IFERROR(INDEX(#REF!,MATCH(TRUE,ISNUMBER(FIND(SUBSTITUTE(SUBSTITUTE(UPPER(#REF!)," ",""),":",": "),SUBSTITUTE(SUBSTITUTE(UPPER(S892)," ",""),":",": "))),0)),"Undefined")</f>
        <v>Undefined</v>
      </c>
      <c r="B892" s="42" t="str" cm="1">
        <f t="array" ref="B892">IFERROR(INDEX({"URGENTE"},MATCH(TRUE,ISNUMBER(FIND(SUBSTITUTE(SUBSTITUTE(UPPER({"URGENTE"})," ",""),":",": "),SUBSTITUTE(SUBSTITUTE(UPPER(S892)," ",""),":",": "))),0)),"-")</f>
        <v>-</v>
      </c>
      <c r="C892" s="46" t="str" cm="1">
        <f t="array" ref="C892">IFERROR(INDEX(#REF!,MATCH(TRUE,ISNUMBER(FIND(SUBSTITUTE(SUBSTITUTE(UPPER(#REF!)," ",""),":",": "),SUBSTITUTE(SUBSTITUTE(UPPER(S892)," ",""),":",": "))),0)),"Não encontrado")</f>
        <v>Não encontrado</v>
      </c>
      <c r="D892" s="46" t="str" cm="1">
        <f t="array" ref="D892">IFERROR(INDEX(#REF!,MATCH(TRUE,ISNUMBER(FIND(SUBSTITUTE(SUBSTITUTE(UPPER(#REF!)," ",""),":",": "),SUBSTITUTE(SUBSTITUTE(UPPER(S892)," ",""),":",": "))),0)),"Não encontrado")</f>
        <v>Não encontrado</v>
      </c>
      <c r="E892" s="42" t="str" cm="1">
        <f t="array" ref="E892">IFERROR(INDEX({"IMPEDITIVO"},MATCH(TRUE,ISNUMBER(FIND(SUBSTITUTE(SUBSTITUTE(UPPER({"IMPEDITIVO"})," ",""),":",": "),SUBSTITUTE(SUBSTITUTE(UPPER(S892)," ",""),":",": "))),0)),"-")</f>
        <v>-</v>
      </c>
      <c r="K892" s="49"/>
    </row>
    <row r="893" spans="1:11" x14ac:dyDescent="0.25">
      <c r="A893" s="46" t="str" cm="1">
        <f t="array" ref="A893">IFERROR(INDEX(#REF!,MATCH(TRUE,ISNUMBER(FIND(SUBSTITUTE(SUBSTITUTE(UPPER(#REF!)," ",""),":",": "),SUBSTITUTE(SUBSTITUTE(UPPER(S893)," ",""),":",": "))),0)),"Undefined")</f>
        <v>Undefined</v>
      </c>
      <c r="B893" s="42" t="str" cm="1">
        <f t="array" ref="B893">IFERROR(INDEX({"URGENTE"},MATCH(TRUE,ISNUMBER(FIND(SUBSTITUTE(SUBSTITUTE(UPPER({"URGENTE"})," ",""),":",": "),SUBSTITUTE(SUBSTITUTE(UPPER(S893)," ",""),":",": "))),0)),"-")</f>
        <v>-</v>
      </c>
      <c r="C893" s="46" t="str" cm="1">
        <f t="array" ref="C893">IFERROR(INDEX(#REF!,MATCH(TRUE,ISNUMBER(FIND(SUBSTITUTE(SUBSTITUTE(UPPER(#REF!)," ",""),":",": "),SUBSTITUTE(SUBSTITUTE(UPPER(S893)," ",""),":",": "))),0)),"Não encontrado")</f>
        <v>Não encontrado</v>
      </c>
      <c r="D893" s="46" t="str" cm="1">
        <f t="array" ref="D893">IFERROR(INDEX(#REF!,MATCH(TRUE,ISNUMBER(FIND(SUBSTITUTE(SUBSTITUTE(UPPER(#REF!)," ",""),":",": "),SUBSTITUTE(SUBSTITUTE(UPPER(S893)," ",""),":",": "))),0)),"Não encontrado")</f>
        <v>Não encontrado</v>
      </c>
      <c r="E893" s="42" t="str" cm="1">
        <f t="array" ref="E893">IFERROR(INDEX({"IMPEDITIVO"},MATCH(TRUE,ISNUMBER(FIND(SUBSTITUTE(SUBSTITUTE(UPPER({"IMPEDITIVO"})," ",""),":",": "),SUBSTITUTE(SUBSTITUTE(UPPER(S893)," ",""),":",": "))),0)),"-")</f>
        <v>-</v>
      </c>
      <c r="K893" s="49"/>
    </row>
    <row r="894" spans="1:11" x14ac:dyDescent="0.25">
      <c r="A894" s="46" t="str" cm="1">
        <f t="array" ref="A894">IFERROR(INDEX(#REF!,MATCH(TRUE,ISNUMBER(FIND(SUBSTITUTE(SUBSTITUTE(UPPER(#REF!)," ",""),":",": "),SUBSTITUTE(SUBSTITUTE(UPPER(S894)," ",""),":",": "))),0)),"Undefined")</f>
        <v>Undefined</v>
      </c>
      <c r="B894" s="42" t="str" cm="1">
        <f t="array" ref="B894">IFERROR(INDEX({"URGENTE"},MATCH(TRUE,ISNUMBER(FIND(SUBSTITUTE(SUBSTITUTE(UPPER({"URGENTE"})," ",""),":",": "),SUBSTITUTE(SUBSTITUTE(UPPER(S894)," ",""),":",": "))),0)),"-")</f>
        <v>-</v>
      </c>
      <c r="C894" s="46" t="str" cm="1">
        <f t="array" ref="C894">IFERROR(INDEX(#REF!,MATCH(TRUE,ISNUMBER(FIND(SUBSTITUTE(SUBSTITUTE(UPPER(#REF!)," ",""),":",": "),SUBSTITUTE(SUBSTITUTE(UPPER(S894)," ",""),":",": "))),0)),"Não encontrado")</f>
        <v>Não encontrado</v>
      </c>
      <c r="D894" s="46" t="str" cm="1">
        <f t="array" ref="D894">IFERROR(INDEX(#REF!,MATCH(TRUE,ISNUMBER(FIND(SUBSTITUTE(SUBSTITUTE(UPPER(#REF!)," ",""),":",": "),SUBSTITUTE(SUBSTITUTE(UPPER(S894)," ",""),":",": "))),0)),"Não encontrado")</f>
        <v>Não encontrado</v>
      </c>
      <c r="E894" s="42" t="str" cm="1">
        <f t="array" ref="E894">IFERROR(INDEX({"IMPEDITIVO"},MATCH(TRUE,ISNUMBER(FIND(SUBSTITUTE(SUBSTITUTE(UPPER({"IMPEDITIVO"})," ",""),":",": "),SUBSTITUTE(SUBSTITUTE(UPPER(S894)," ",""),":",": "))),0)),"-")</f>
        <v>-</v>
      </c>
      <c r="K894" s="49"/>
    </row>
    <row r="895" spans="1:11" x14ac:dyDescent="0.25">
      <c r="A895" s="46" t="str" cm="1">
        <f t="array" ref="A895">IFERROR(INDEX(#REF!,MATCH(TRUE,ISNUMBER(FIND(SUBSTITUTE(SUBSTITUTE(UPPER(#REF!)," ",""),":",": "),SUBSTITUTE(SUBSTITUTE(UPPER(S895)," ",""),":",": "))),0)),"Undefined")</f>
        <v>Undefined</v>
      </c>
      <c r="B895" s="42" t="str" cm="1">
        <f t="array" ref="B895">IFERROR(INDEX({"URGENTE"},MATCH(TRUE,ISNUMBER(FIND(SUBSTITUTE(SUBSTITUTE(UPPER({"URGENTE"})," ",""),":",": "),SUBSTITUTE(SUBSTITUTE(UPPER(S895)," ",""),":",": "))),0)),"-")</f>
        <v>-</v>
      </c>
      <c r="C895" s="46" t="str" cm="1">
        <f t="array" ref="C895">IFERROR(INDEX(#REF!,MATCH(TRUE,ISNUMBER(FIND(SUBSTITUTE(SUBSTITUTE(UPPER(#REF!)," ",""),":",": "),SUBSTITUTE(SUBSTITUTE(UPPER(S895)," ",""),":",": "))),0)),"Não encontrado")</f>
        <v>Não encontrado</v>
      </c>
      <c r="D895" s="46" t="str" cm="1">
        <f t="array" ref="D895">IFERROR(INDEX(#REF!,MATCH(TRUE,ISNUMBER(FIND(SUBSTITUTE(SUBSTITUTE(UPPER(#REF!)," ",""),":",": "),SUBSTITUTE(SUBSTITUTE(UPPER(S895)," ",""),":",": "))),0)),"Não encontrado")</f>
        <v>Não encontrado</v>
      </c>
      <c r="E895" s="42" t="str" cm="1">
        <f t="array" ref="E895">IFERROR(INDEX({"IMPEDITIVO"},MATCH(TRUE,ISNUMBER(FIND(SUBSTITUTE(SUBSTITUTE(UPPER({"IMPEDITIVO"})," ",""),":",": "),SUBSTITUTE(SUBSTITUTE(UPPER(S895)," ",""),":",": "))),0)),"-")</f>
        <v>-</v>
      </c>
      <c r="K895" s="49"/>
    </row>
    <row r="896" spans="1:11" x14ac:dyDescent="0.25">
      <c r="A896" s="46" t="str" cm="1">
        <f t="array" ref="A896">IFERROR(INDEX(#REF!,MATCH(TRUE,ISNUMBER(FIND(SUBSTITUTE(SUBSTITUTE(UPPER(#REF!)," ",""),":",": "),SUBSTITUTE(SUBSTITUTE(UPPER(S896)," ",""),":",": "))),0)),"Undefined")</f>
        <v>Undefined</v>
      </c>
      <c r="B896" s="42" t="str" cm="1">
        <f t="array" ref="B896">IFERROR(INDEX({"URGENTE"},MATCH(TRUE,ISNUMBER(FIND(SUBSTITUTE(SUBSTITUTE(UPPER({"URGENTE"})," ",""),":",": "),SUBSTITUTE(SUBSTITUTE(UPPER(S896)," ",""),":",": "))),0)),"-")</f>
        <v>-</v>
      </c>
      <c r="C896" s="46" t="str" cm="1">
        <f t="array" ref="C896">IFERROR(INDEX(#REF!,MATCH(TRUE,ISNUMBER(FIND(SUBSTITUTE(SUBSTITUTE(UPPER(#REF!)," ",""),":",": "),SUBSTITUTE(SUBSTITUTE(UPPER(S896)," ",""),":",": "))),0)),"Não encontrado")</f>
        <v>Não encontrado</v>
      </c>
      <c r="D896" s="46" t="str" cm="1">
        <f t="array" ref="D896">IFERROR(INDEX(#REF!,MATCH(TRUE,ISNUMBER(FIND(SUBSTITUTE(SUBSTITUTE(UPPER(#REF!)," ",""),":",": "),SUBSTITUTE(SUBSTITUTE(UPPER(S896)," ",""),":",": "))),0)),"Não encontrado")</f>
        <v>Não encontrado</v>
      </c>
      <c r="E896" s="42" t="str" cm="1">
        <f t="array" ref="E896">IFERROR(INDEX({"IMPEDITIVO"},MATCH(TRUE,ISNUMBER(FIND(SUBSTITUTE(SUBSTITUTE(UPPER({"IMPEDITIVO"})," ",""),":",": "),SUBSTITUTE(SUBSTITUTE(UPPER(S896)," ",""),":",": "))),0)),"-")</f>
        <v>-</v>
      </c>
      <c r="K896" s="49"/>
    </row>
    <row r="897" spans="1:11" x14ac:dyDescent="0.25">
      <c r="A897" s="46" t="str" cm="1">
        <f t="array" ref="A897">IFERROR(INDEX(#REF!,MATCH(TRUE,ISNUMBER(FIND(SUBSTITUTE(SUBSTITUTE(UPPER(#REF!)," ",""),":",": "),SUBSTITUTE(SUBSTITUTE(UPPER(S897)," ",""),":",": "))),0)),"Undefined")</f>
        <v>Undefined</v>
      </c>
      <c r="B897" s="42" t="str" cm="1">
        <f t="array" ref="B897">IFERROR(INDEX({"URGENTE"},MATCH(TRUE,ISNUMBER(FIND(SUBSTITUTE(SUBSTITUTE(UPPER({"URGENTE"})," ",""),":",": "),SUBSTITUTE(SUBSTITUTE(UPPER(S897)," ",""),":",": "))),0)),"-")</f>
        <v>-</v>
      </c>
      <c r="C897" s="46" t="str" cm="1">
        <f t="array" ref="C897">IFERROR(INDEX(#REF!,MATCH(TRUE,ISNUMBER(FIND(SUBSTITUTE(SUBSTITUTE(UPPER(#REF!)," ",""),":",": "),SUBSTITUTE(SUBSTITUTE(UPPER(S897)," ",""),":",": "))),0)),"Não encontrado")</f>
        <v>Não encontrado</v>
      </c>
      <c r="D897" s="46" t="str" cm="1">
        <f t="array" ref="D897">IFERROR(INDEX(#REF!,MATCH(TRUE,ISNUMBER(FIND(SUBSTITUTE(SUBSTITUTE(UPPER(#REF!)," ",""),":",": "),SUBSTITUTE(SUBSTITUTE(UPPER(S897)," ",""),":",": "))),0)),"Não encontrado")</f>
        <v>Não encontrado</v>
      </c>
      <c r="E897" s="42" t="str" cm="1">
        <f t="array" ref="E897">IFERROR(INDEX({"IMPEDITIVO"},MATCH(TRUE,ISNUMBER(FIND(SUBSTITUTE(SUBSTITUTE(UPPER({"IMPEDITIVO"})," ",""),":",": "),SUBSTITUTE(SUBSTITUTE(UPPER(S897)," ",""),":",": "))),0)),"-")</f>
        <v>-</v>
      </c>
      <c r="K897" s="49"/>
    </row>
    <row r="898" spans="1:11" x14ac:dyDescent="0.25">
      <c r="A898" s="46" t="str" cm="1">
        <f t="array" ref="A898">IFERROR(INDEX(#REF!,MATCH(TRUE,ISNUMBER(FIND(SUBSTITUTE(SUBSTITUTE(UPPER(#REF!)," ",""),":",": "),SUBSTITUTE(SUBSTITUTE(UPPER(S898)," ",""),":",": "))),0)),"Undefined")</f>
        <v>Undefined</v>
      </c>
      <c r="B898" s="42" t="str" cm="1">
        <f t="array" ref="B898">IFERROR(INDEX({"URGENTE"},MATCH(TRUE,ISNUMBER(FIND(SUBSTITUTE(SUBSTITUTE(UPPER({"URGENTE"})," ",""),":",": "),SUBSTITUTE(SUBSTITUTE(UPPER(S898)," ",""),":",": "))),0)),"-")</f>
        <v>-</v>
      </c>
      <c r="C898" s="46" t="str" cm="1">
        <f t="array" ref="C898">IFERROR(INDEX(#REF!,MATCH(TRUE,ISNUMBER(FIND(SUBSTITUTE(SUBSTITUTE(UPPER(#REF!)," ",""),":",": "),SUBSTITUTE(SUBSTITUTE(UPPER(S898)," ",""),":",": "))),0)),"Não encontrado")</f>
        <v>Não encontrado</v>
      </c>
      <c r="D898" s="46" t="str" cm="1">
        <f t="array" ref="D898">IFERROR(INDEX(#REF!,MATCH(TRUE,ISNUMBER(FIND(SUBSTITUTE(SUBSTITUTE(UPPER(#REF!)," ",""),":",": "),SUBSTITUTE(SUBSTITUTE(UPPER(S898)," ",""),":",": "))),0)),"Não encontrado")</f>
        <v>Não encontrado</v>
      </c>
      <c r="E898" s="42" t="str" cm="1">
        <f t="array" ref="E898">IFERROR(INDEX({"IMPEDITIVO"},MATCH(TRUE,ISNUMBER(FIND(SUBSTITUTE(SUBSTITUTE(UPPER({"IMPEDITIVO"})," ",""),":",": "),SUBSTITUTE(SUBSTITUTE(UPPER(S898)," ",""),":",": "))),0)),"-")</f>
        <v>-</v>
      </c>
      <c r="K898" s="49"/>
    </row>
    <row r="899" spans="1:11" x14ac:dyDescent="0.25">
      <c r="A899" s="46" t="str" cm="1">
        <f t="array" ref="A899">IFERROR(INDEX(#REF!,MATCH(TRUE,ISNUMBER(FIND(SUBSTITUTE(SUBSTITUTE(UPPER(#REF!)," ",""),":",": "),SUBSTITUTE(SUBSTITUTE(UPPER(S899)," ",""),":",": "))),0)),"Undefined")</f>
        <v>Undefined</v>
      </c>
      <c r="B899" s="42" t="str" cm="1">
        <f t="array" ref="B899">IFERROR(INDEX({"URGENTE"},MATCH(TRUE,ISNUMBER(FIND(SUBSTITUTE(SUBSTITUTE(UPPER({"URGENTE"})," ",""),":",": "),SUBSTITUTE(SUBSTITUTE(UPPER(S899)," ",""),":",": "))),0)),"-")</f>
        <v>-</v>
      </c>
      <c r="C899" s="46" t="str" cm="1">
        <f t="array" ref="C899">IFERROR(INDEX(#REF!,MATCH(TRUE,ISNUMBER(FIND(SUBSTITUTE(SUBSTITUTE(UPPER(#REF!)," ",""),":",": "),SUBSTITUTE(SUBSTITUTE(UPPER(S899)," ",""),":",": "))),0)),"Não encontrado")</f>
        <v>Não encontrado</v>
      </c>
      <c r="D899" s="46" t="str" cm="1">
        <f t="array" ref="D899">IFERROR(INDEX(#REF!,MATCH(TRUE,ISNUMBER(FIND(SUBSTITUTE(SUBSTITUTE(UPPER(#REF!)," ",""),":",": "),SUBSTITUTE(SUBSTITUTE(UPPER(S899)," ",""),":",": "))),0)),"Não encontrado")</f>
        <v>Não encontrado</v>
      </c>
      <c r="E899" s="42" t="str" cm="1">
        <f t="array" ref="E899">IFERROR(INDEX({"IMPEDITIVO"},MATCH(TRUE,ISNUMBER(FIND(SUBSTITUTE(SUBSTITUTE(UPPER({"IMPEDITIVO"})," ",""),":",": "),SUBSTITUTE(SUBSTITUTE(UPPER(S899)," ",""),":",": "))),0)),"-")</f>
        <v>-</v>
      </c>
      <c r="K899" s="49"/>
    </row>
    <row r="900" spans="1:11" x14ac:dyDescent="0.25">
      <c r="A900" s="46" t="str" cm="1">
        <f t="array" ref="A900">IFERROR(INDEX(#REF!,MATCH(TRUE,ISNUMBER(FIND(SUBSTITUTE(SUBSTITUTE(UPPER(#REF!)," ",""),":",": "),SUBSTITUTE(SUBSTITUTE(UPPER(S900)," ",""),":",": "))),0)),"Undefined")</f>
        <v>Undefined</v>
      </c>
      <c r="B900" s="42" t="str" cm="1">
        <f t="array" ref="B900">IFERROR(INDEX({"URGENTE"},MATCH(TRUE,ISNUMBER(FIND(SUBSTITUTE(SUBSTITUTE(UPPER({"URGENTE"})," ",""),":",": "),SUBSTITUTE(SUBSTITUTE(UPPER(S900)," ",""),":",": "))),0)),"-")</f>
        <v>-</v>
      </c>
      <c r="C900" s="46" t="str" cm="1">
        <f t="array" ref="C900">IFERROR(INDEX(#REF!,MATCH(TRUE,ISNUMBER(FIND(SUBSTITUTE(SUBSTITUTE(UPPER(#REF!)," ",""),":",": "),SUBSTITUTE(SUBSTITUTE(UPPER(S900)," ",""),":",": "))),0)),"Não encontrado")</f>
        <v>Não encontrado</v>
      </c>
      <c r="D900" s="46" t="str" cm="1">
        <f t="array" ref="D900">IFERROR(INDEX(#REF!,MATCH(TRUE,ISNUMBER(FIND(SUBSTITUTE(SUBSTITUTE(UPPER(#REF!)," ",""),":",": "),SUBSTITUTE(SUBSTITUTE(UPPER(S900)," ",""),":",": "))),0)),"Não encontrado")</f>
        <v>Não encontrado</v>
      </c>
      <c r="E900" s="42" t="str" cm="1">
        <f t="array" ref="E900">IFERROR(INDEX({"IMPEDITIVO"},MATCH(TRUE,ISNUMBER(FIND(SUBSTITUTE(SUBSTITUTE(UPPER({"IMPEDITIVO"})," ",""),":",": "),SUBSTITUTE(SUBSTITUTE(UPPER(S900)," ",""),":",": "))),0)),"-")</f>
        <v>-</v>
      </c>
      <c r="K900" s="49"/>
    </row>
    <row r="901" spans="1:11" x14ac:dyDescent="0.25">
      <c r="A901" s="46" t="str" cm="1">
        <f t="array" ref="A901">IFERROR(INDEX(#REF!,MATCH(TRUE,ISNUMBER(FIND(SUBSTITUTE(SUBSTITUTE(UPPER(#REF!)," ",""),":",": "),SUBSTITUTE(SUBSTITUTE(UPPER(S901)," ",""),":",": "))),0)),"Undefined")</f>
        <v>Undefined</v>
      </c>
      <c r="B901" s="42" t="str" cm="1">
        <f t="array" ref="B901">IFERROR(INDEX({"URGENTE"},MATCH(TRUE,ISNUMBER(FIND(SUBSTITUTE(SUBSTITUTE(UPPER({"URGENTE"})," ",""),":",": "),SUBSTITUTE(SUBSTITUTE(UPPER(S901)," ",""),":",": "))),0)),"-")</f>
        <v>-</v>
      </c>
      <c r="C901" s="46" t="str" cm="1">
        <f t="array" ref="C901">IFERROR(INDEX(#REF!,MATCH(TRUE,ISNUMBER(FIND(SUBSTITUTE(SUBSTITUTE(UPPER(#REF!)," ",""),":",": "),SUBSTITUTE(SUBSTITUTE(UPPER(S901)," ",""),":",": "))),0)),"Não encontrado")</f>
        <v>Não encontrado</v>
      </c>
      <c r="D901" s="46" t="str" cm="1">
        <f t="array" ref="D901">IFERROR(INDEX(#REF!,MATCH(TRUE,ISNUMBER(FIND(SUBSTITUTE(SUBSTITUTE(UPPER(#REF!)," ",""),":",": "),SUBSTITUTE(SUBSTITUTE(UPPER(S901)," ",""),":",": "))),0)),"Não encontrado")</f>
        <v>Não encontrado</v>
      </c>
      <c r="E901" s="42" t="str" cm="1">
        <f t="array" ref="E901">IFERROR(INDEX({"IMPEDITIVO"},MATCH(TRUE,ISNUMBER(FIND(SUBSTITUTE(SUBSTITUTE(UPPER({"IMPEDITIVO"})," ",""),":",": "),SUBSTITUTE(SUBSTITUTE(UPPER(S901)," ",""),":",": "))),0)),"-")</f>
        <v>-</v>
      </c>
      <c r="K901" s="49"/>
    </row>
    <row r="902" spans="1:11" x14ac:dyDescent="0.25">
      <c r="A902" s="46" t="str" cm="1">
        <f t="array" ref="A902">IFERROR(INDEX(#REF!,MATCH(TRUE,ISNUMBER(FIND(SUBSTITUTE(SUBSTITUTE(UPPER(#REF!)," ",""),":",": "),SUBSTITUTE(SUBSTITUTE(UPPER(S902)," ",""),":",": "))),0)),"Undefined")</f>
        <v>Undefined</v>
      </c>
      <c r="B902" s="42" t="str" cm="1">
        <f t="array" ref="B902">IFERROR(INDEX({"URGENTE"},MATCH(TRUE,ISNUMBER(FIND(SUBSTITUTE(SUBSTITUTE(UPPER({"URGENTE"})," ",""),":",": "),SUBSTITUTE(SUBSTITUTE(UPPER(S902)," ",""),":",": "))),0)),"-")</f>
        <v>-</v>
      </c>
      <c r="C902" s="46" t="str" cm="1">
        <f t="array" ref="C902">IFERROR(INDEX(#REF!,MATCH(TRUE,ISNUMBER(FIND(SUBSTITUTE(SUBSTITUTE(UPPER(#REF!)," ",""),":",": "),SUBSTITUTE(SUBSTITUTE(UPPER(S902)," ",""),":",": "))),0)),"Não encontrado")</f>
        <v>Não encontrado</v>
      </c>
      <c r="D902" s="46" t="str" cm="1">
        <f t="array" ref="D902">IFERROR(INDEX(#REF!,MATCH(TRUE,ISNUMBER(FIND(SUBSTITUTE(SUBSTITUTE(UPPER(#REF!)," ",""),":",": "),SUBSTITUTE(SUBSTITUTE(UPPER(S902)," ",""),":",": "))),0)),"Não encontrado")</f>
        <v>Não encontrado</v>
      </c>
      <c r="E902" s="42" t="str" cm="1">
        <f t="array" ref="E902">IFERROR(INDEX({"IMPEDITIVO"},MATCH(TRUE,ISNUMBER(FIND(SUBSTITUTE(SUBSTITUTE(UPPER({"IMPEDITIVO"})," ",""),":",": "),SUBSTITUTE(SUBSTITUTE(UPPER(S902)," ",""),":",": "))),0)),"-")</f>
        <v>-</v>
      </c>
      <c r="K902" s="49"/>
    </row>
    <row r="903" spans="1:11" x14ac:dyDescent="0.25">
      <c r="A903" s="46" t="str" cm="1">
        <f t="array" ref="A903">IFERROR(INDEX(#REF!,MATCH(TRUE,ISNUMBER(FIND(SUBSTITUTE(SUBSTITUTE(UPPER(#REF!)," ",""),":",": "),SUBSTITUTE(SUBSTITUTE(UPPER(S903)," ",""),":",": "))),0)),"Undefined")</f>
        <v>Undefined</v>
      </c>
      <c r="B903" s="42" t="str" cm="1">
        <f t="array" ref="B903">IFERROR(INDEX({"URGENTE"},MATCH(TRUE,ISNUMBER(FIND(SUBSTITUTE(SUBSTITUTE(UPPER({"URGENTE"})," ",""),":",": "),SUBSTITUTE(SUBSTITUTE(UPPER(S903)," ",""),":",": "))),0)),"-")</f>
        <v>-</v>
      </c>
      <c r="C903" s="46" t="str" cm="1">
        <f t="array" ref="C903">IFERROR(INDEX(#REF!,MATCH(TRUE,ISNUMBER(FIND(SUBSTITUTE(SUBSTITUTE(UPPER(#REF!)," ",""),":",": "),SUBSTITUTE(SUBSTITUTE(UPPER(S903)," ",""),":",": "))),0)),"Não encontrado")</f>
        <v>Não encontrado</v>
      </c>
      <c r="D903" s="46" t="str" cm="1">
        <f t="array" ref="D903">IFERROR(INDEX(#REF!,MATCH(TRUE,ISNUMBER(FIND(SUBSTITUTE(SUBSTITUTE(UPPER(#REF!)," ",""),":",": "),SUBSTITUTE(SUBSTITUTE(UPPER(S903)," ",""),":",": "))),0)),"Não encontrado")</f>
        <v>Não encontrado</v>
      </c>
      <c r="E903" s="42" t="str" cm="1">
        <f t="array" ref="E903">IFERROR(INDEX({"IMPEDITIVO"},MATCH(TRUE,ISNUMBER(FIND(SUBSTITUTE(SUBSTITUTE(UPPER({"IMPEDITIVO"})," ",""),":",": "),SUBSTITUTE(SUBSTITUTE(UPPER(S903)," ",""),":",": "))),0)),"-")</f>
        <v>-</v>
      </c>
      <c r="K903" s="49"/>
    </row>
    <row r="904" spans="1:11" x14ac:dyDescent="0.25">
      <c r="A904" s="46" t="str" cm="1">
        <f t="array" ref="A904">IFERROR(INDEX(#REF!,MATCH(TRUE,ISNUMBER(FIND(SUBSTITUTE(SUBSTITUTE(UPPER(#REF!)," ",""),":",": "),SUBSTITUTE(SUBSTITUTE(UPPER(S904)," ",""),":",": "))),0)),"Undefined")</f>
        <v>Undefined</v>
      </c>
      <c r="B904" s="42" t="str" cm="1">
        <f t="array" ref="B904">IFERROR(INDEX({"URGENTE"},MATCH(TRUE,ISNUMBER(FIND(SUBSTITUTE(SUBSTITUTE(UPPER({"URGENTE"})," ",""),":",": "),SUBSTITUTE(SUBSTITUTE(UPPER(S904)," ",""),":",": "))),0)),"-")</f>
        <v>-</v>
      </c>
      <c r="C904" s="46" t="str" cm="1">
        <f t="array" ref="C904">IFERROR(INDEX(#REF!,MATCH(TRUE,ISNUMBER(FIND(SUBSTITUTE(SUBSTITUTE(UPPER(#REF!)," ",""),":",": "),SUBSTITUTE(SUBSTITUTE(UPPER(S904)," ",""),":",": "))),0)),"Não encontrado")</f>
        <v>Não encontrado</v>
      </c>
      <c r="D904" s="46" t="str" cm="1">
        <f t="array" ref="D904">IFERROR(INDEX(#REF!,MATCH(TRUE,ISNUMBER(FIND(SUBSTITUTE(SUBSTITUTE(UPPER(#REF!)," ",""),":",": "),SUBSTITUTE(SUBSTITUTE(UPPER(S904)," ",""),":",": "))),0)),"Não encontrado")</f>
        <v>Não encontrado</v>
      </c>
      <c r="E904" s="42" t="str" cm="1">
        <f t="array" ref="E904">IFERROR(INDEX({"IMPEDITIVO"},MATCH(TRUE,ISNUMBER(FIND(SUBSTITUTE(SUBSTITUTE(UPPER({"IMPEDITIVO"})," ",""),":",": "),SUBSTITUTE(SUBSTITUTE(UPPER(S904)," ",""),":",": "))),0)),"-")</f>
        <v>-</v>
      </c>
      <c r="K904" s="49"/>
    </row>
    <row r="905" spans="1:11" x14ac:dyDescent="0.25">
      <c r="A905" s="46" t="str" cm="1">
        <f t="array" ref="A905">IFERROR(INDEX(#REF!,MATCH(TRUE,ISNUMBER(FIND(SUBSTITUTE(SUBSTITUTE(UPPER(#REF!)," ",""),":",": "),SUBSTITUTE(SUBSTITUTE(UPPER(S905)," ",""),":",": "))),0)),"Undefined")</f>
        <v>Undefined</v>
      </c>
      <c r="B905" s="42" t="str" cm="1">
        <f t="array" ref="B905">IFERROR(INDEX({"URGENTE"},MATCH(TRUE,ISNUMBER(FIND(SUBSTITUTE(SUBSTITUTE(UPPER({"URGENTE"})," ",""),":",": "),SUBSTITUTE(SUBSTITUTE(UPPER(S905)," ",""),":",": "))),0)),"-")</f>
        <v>-</v>
      </c>
      <c r="C905" s="46" t="str" cm="1">
        <f t="array" ref="C905">IFERROR(INDEX(#REF!,MATCH(TRUE,ISNUMBER(FIND(SUBSTITUTE(SUBSTITUTE(UPPER(#REF!)," ",""),":",": "),SUBSTITUTE(SUBSTITUTE(UPPER(S905)," ",""),":",": "))),0)),"Não encontrado")</f>
        <v>Não encontrado</v>
      </c>
      <c r="D905" s="46" t="str" cm="1">
        <f t="array" ref="D905">IFERROR(INDEX(#REF!,MATCH(TRUE,ISNUMBER(FIND(SUBSTITUTE(SUBSTITUTE(UPPER(#REF!)," ",""),":",": "),SUBSTITUTE(SUBSTITUTE(UPPER(S905)," ",""),":",": "))),0)),"Não encontrado")</f>
        <v>Não encontrado</v>
      </c>
      <c r="E905" s="42" t="str" cm="1">
        <f t="array" ref="E905">IFERROR(INDEX({"IMPEDITIVO"},MATCH(TRUE,ISNUMBER(FIND(SUBSTITUTE(SUBSTITUTE(UPPER({"IMPEDITIVO"})," ",""),":",": "),SUBSTITUTE(SUBSTITUTE(UPPER(S905)," ",""),":",": "))),0)),"-")</f>
        <v>-</v>
      </c>
      <c r="K905" s="49"/>
    </row>
    <row r="906" spans="1:11" x14ac:dyDescent="0.25">
      <c r="A906" s="46" t="str" cm="1">
        <f t="array" ref="A906">IFERROR(INDEX(#REF!,MATCH(TRUE,ISNUMBER(FIND(SUBSTITUTE(SUBSTITUTE(UPPER(#REF!)," ",""),":",": "),SUBSTITUTE(SUBSTITUTE(UPPER(S906)," ",""),":",": "))),0)),"Undefined")</f>
        <v>Undefined</v>
      </c>
      <c r="B906" s="42" t="str" cm="1">
        <f t="array" ref="B906">IFERROR(INDEX({"URGENTE"},MATCH(TRUE,ISNUMBER(FIND(SUBSTITUTE(SUBSTITUTE(UPPER({"URGENTE"})," ",""),":",": "),SUBSTITUTE(SUBSTITUTE(UPPER(S906)," ",""),":",": "))),0)),"-")</f>
        <v>-</v>
      </c>
      <c r="C906" s="46" t="str" cm="1">
        <f t="array" ref="C906">IFERROR(INDEX(#REF!,MATCH(TRUE,ISNUMBER(FIND(SUBSTITUTE(SUBSTITUTE(UPPER(#REF!)," ",""),":",": "),SUBSTITUTE(SUBSTITUTE(UPPER(S906)," ",""),":",": "))),0)),"Não encontrado")</f>
        <v>Não encontrado</v>
      </c>
      <c r="D906" s="46" t="str" cm="1">
        <f t="array" ref="D906">IFERROR(INDEX(#REF!,MATCH(TRUE,ISNUMBER(FIND(SUBSTITUTE(SUBSTITUTE(UPPER(#REF!)," ",""),":",": "),SUBSTITUTE(SUBSTITUTE(UPPER(S906)," ",""),":",": "))),0)),"Não encontrado")</f>
        <v>Não encontrado</v>
      </c>
      <c r="E906" s="42" t="str" cm="1">
        <f t="array" ref="E906">IFERROR(INDEX({"IMPEDITIVO"},MATCH(TRUE,ISNUMBER(FIND(SUBSTITUTE(SUBSTITUTE(UPPER({"IMPEDITIVO"})," ",""),":",": "),SUBSTITUTE(SUBSTITUTE(UPPER(S906)," ",""),":",": "))),0)),"-")</f>
        <v>-</v>
      </c>
      <c r="K906" s="49"/>
    </row>
    <row r="907" spans="1:11" x14ac:dyDescent="0.25">
      <c r="A907" s="46" t="str" cm="1">
        <f t="array" ref="A907">IFERROR(INDEX(#REF!,MATCH(TRUE,ISNUMBER(FIND(SUBSTITUTE(SUBSTITUTE(UPPER(#REF!)," ",""),":",": "),SUBSTITUTE(SUBSTITUTE(UPPER(S907)," ",""),":",": "))),0)),"Undefined")</f>
        <v>Undefined</v>
      </c>
      <c r="B907" s="42" t="str" cm="1">
        <f t="array" ref="B907">IFERROR(INDEX({"URGENTE"},MATCH(TRUE,ISNUMBER(FIND(SUBSTITUTE(SUBSTITUTE(UPPER({"URGENTE"})," ",""),":",": "),SUBSTITUTE(SUBSTITUTE(UPPER(S907)," ",""),":",": "))),0)),"-")</f>
        <v>-</v>
      </c>
      <c r="C907" s="46" t="str" cm="1">
        <f t="array" ref="C907">IFERROR(INDEX(#REF!,MATCH(TRUE,ISNUMBER(FIND(SUBSTITUTE(SUBSTITUTE(UPPER(#REF!)," ",""),":",": "),SUBSTITUTE(SUBSTITUTE(UPPER(S907)," ",""),":",": "))),0)),"Não encontrado")</f>
        <v>Não encontrado</v>
      </c>
      <c r="D907" s="46" t="str" cm="1">
        <f t="array" ref="D907">IFERROR(INDEX(#REF!,MATCH(TRUE,ISNUMBER(FIND(SUBSTITUTE(SUBSTITUTE(UPPER(#REF!)," ",""),":",": "),SUBSTITUTE(SUBSTITUTE(UPPER(S907)," ",""),":",": "))),0)),"Não encontrado")</f>
        <v>Não encontrado</v>
      </c>
      <c r="E907" s="42" t="str" cm="1">
        <f t="array" ref="E907">IFERROR(INDEX({"IMPEDITIVO"},MATCH(TRUE,ISNUMBER(FIND(SUBSTITUTE(SUBSTITUTE(UPPER({"IMPEDITIVO"})," ",""),":",": "),SUBSTITUTE(SUBSTITUTE(UPPER(S907)," ",""),":",": "))),0)),"-")</f>
        <v>-</v>
      </c>
      <c r="K907" s="49"/>
    </row>
    <row r="908" spans="1:11" x14ac:dyDescent="0.25">
      <c r="A908" s="46" t="str" cm="1">
        <f t="array" ref="A908">IFERROR(INDEX(#REF!,MATCH(TRUE,ISNUMBER(FIND(SUBSTITUTE(SUBSTITUTE(UPPER(#REF!)," ",""),":",": "),SUBSTITUTE(SUBSTITUTE(UPPER(S908)," ",""),":",": "))),0)),"Undefined")</f>
        <v>Undefined</v>
      </c>
      <c r="B908" s="42" t="str" cm="1">
        <f t="array" ref="B908">IFERROR(INDEX({"URGENTE"},MATCH(TRUE,ISNUMBER(FIND(SUBSTITUTE(SUBSTITUTE(UPPER({"URGENTE"})," ",""),":",": "),SUBSTITUTE(SUBSTITUTE(UPPER(S908)," ",""),":",": "))),0)),"-")</f>
        <v>-</v>
      </c>
      <c r="C908" s="46" t="str" cm="1">
        <f t="array" ref="C908">IFERROR(INDEX(#REF!,MATCH(TRUE,ISNUMBER(FIND(SUBSTITUTE(SUBSTITUTE(UPPER(#REF!)," ",""),":",": "),SUBSTITUTE(SUBSTITUTE(UPPER(S908)," ",""),":",": "))),0)),"Não encontrado")</f>
        <v>Não encontrado</v>
      </c>
      <c r="D908" s="46" t="str" cm="1">
        <f t="array" ref="D908">IFERROR(INDEX(#REF!,MATCH(TRUE,ISNUMBER(FIND(SUBSTITUTE(SUBSTITUTE(UPPER(#REF!)," ",""),":",": "),SUBSTITUTE(SUBSTITUTE(UPPER(S908)," ",""),":",": "))),0)),"Não encontrado")</f>
        <v>Não encontrado</v>
      </c>
      <c r="E908" s="42" t="str" cm="1">
        <f t="array" ref="E908">IFERROR(INDEX({"IMPEDITIVO"},MATCH(TRUE,ISNUMBER(FIND(SUBSTITUTE(SUBSTITUTE(UPPER({"IMPEDITIVO"})," ",""),":",": "),SUBSTITUTE(SUBSTITUTE(UPPER(S908)," ",""),":",": "))),0)),"-")</f>
        <v>-</v>
      </c>
      <c r="K908" s="49"/>
    </row>
    <row r="909" spans="1:11" x14ac:dyDescent="0.25">
      <c r="A909" s="46" t="str" cm="1">
        <f t="array" ref="A909">IFERROR(INDEX(#REF!,MATCH(TRUE,ISNUMBER(FIND(SUBSTITUTE(SUBSTITUTE(UPPER(#REF!)," ",""),":",": "),SUBSTITUTE(SUBSTITUTE(UPPER(S909)," ",""),":",": "))),0)),"Undefined")</f>
        <v>Undefined</v>
      </c>
      <c r="B909" s="42" t="str" cm="1">
        <f t="array" ref="B909">IFERROR(INDEX({"URGENTE"},MATCH(TRUE,ISNUMBER(FIND(SUBSTITUTE(SUBSTITUTE(UPPER({"URGENTE"})," ",""),":",": "),SUBSTITUTE(SUBSTITUTE(UPPER(S909)," ",""),":",": "))),0)),"-")</f>
        <v>-</v>
      </c>
      <c r="C909" s="46" t="str" cm="1">
        <f t="array" ref="C909">IFERROR(INDEX(#REF!,MATCH(TRUE,ISNUMBER(FIND(SUBSTITUTE(SUBSTITUTE(UPPER(#REF!)," ",""),":",": "),SUBSTITUTE(SUBSTITUTE(UPPER(S909)," ",""),":",": "))),0)),"Não encontrado")</f>
        <v>Não encontrado</v>
      </c>
      <c r="D909" s="46" t="str" cm="1">
        <f t="array" ref="D909">IFERROR(INDEX(#REF!,MATCH(TRUE,ISNUMBER(FIND(SUBSTITUTE(SUBSTITUTE(UPPER(#REF!)," ",""),":",": "),SUBSTITUTE(SUBSTITUTE(UPPER(S909)," ",""),":",": "))),0)),"Não encontrado")</f>
        <v>Não encontrado</v>
      </c>
      <c r="E909" s="42" t="str" cm="1">
        <f t="array" ref="E909">IFERROR(INDEX({"IMPEDITIVO"},MATCH(TRUE,ISNUMBER(FIND(SUBSTITUTE(SUBSTITUTE(UPPER({"IMPEDITIVO"})," ",""),":",": "),SUBSTITUTE(SUBSTITUTE(UPPER(S909)," ",""),":",": "))),0)),"-")</f>
        <v>-</v>
      </c>
      <c r="K909" s="49"/>
    </row>
    <row r="910" spans="1:11" x14ac:dyDescent="0.25">
      <c r="A910" s="46" t="str" cm="1">
        <f t="array" ref="A910">IFERROR(INDEX(#REF!,MATCH(TRUE,ISNUMBER(FIND(SUBSTITUTE(SUBSTITUTE(UPPER(#REF!)," ",""),":",": "),SUBSTITUTE(SUBSTITUTE(UPPER(S910)," ",""),":",": "))),0)),"Undefined")</f>
        <v>Undefined</v>
      </c>
      <c r="B910" s="42" t="str" cm="1">
        <f t="array" ref="B910">IFERROR(INDEX({"URGENTE"},MATCH(TRUE,ISNUMBER(FIND(SUBSTITUTE(SUBSTITUTE(UPPER({"URGENTE"})," ",""),":",": "),SUBSTITUTE(SUBSTITUTE(UPPER(S910)," ",""),":",": "))),0)),"-")</f>
        <v>-</v>
      </c>
      <c r="C910" s="46" t="str" cm="1">
        <f t="array" ref="C910">IFERROR(INDEX(#REF!,MATCH(TRUE,ISNUMBER(FIND(SUBSTITUTE(SUBSTITUTE(UPPER(#REF!)," ",""),":",": "),SUBSTITUTE(SUBSTITUTE(UPPER(S910)," ",""),":",": "))),0)),"Não encontrado")</f>
        <v>Não encontrado</v>
      </c>
      <c r="D910" s="46" t="str" cm="1">
        <f t="array" ref="D910">IFERROR(INDEX(#REF!,MATCH(TRUE,ISNUMBER(FIND(SUBSTITUTE(SUBSTITUTE(UPPER(#REF!)," ",""),":",": "),SUBSTITUTE(SUBSTITUTE(UPPER(S910)," ",""),":",": "))),0)),"Não encontrado")</f>
        <v>Não encontrado</v>
      </c>
      <c r="E910" s="42" t="str" cm="1">
        <f t="array" ref="E910">IFERROR(INDEX({"IMPEDITIVO"},MATCH(TRUE,ISNUMBER(FIND(SUBSTITUTE(SUBSTITUTE(UPPER({"IMPEDITIVO"})," ",""),":",": "),SUBSTITUTE(SUBSTITUTE(UPPER(S910)," ",""),":",": "))),0)),"-")</f>
        <v>-</v>
      </c>
      <c r="K910" s="49"/>
    </row>
    <row r="911" spans="1:11" x14ac:dyDescent="0.25">
      <c r="A911" s="46" t="str" cm="1">
        <f t="array" ref="A911">IFERROR(INDEX(#REF!,MATCH(TRUE,ISNUMBER(FIND(SUBSTITUTE(SUBSTITUTE(UPPER(#REF!)," ",""),":",": "),SUBSTITUTE(SUBSTITUTE(UPPER(S911)," ",""),":",": "))),0)),"Undefined")</f>
        <v>Undefined</v>
      </c>
      <c r="B911" s="42" t="str" cm="1">
        <f t="array" ref="B911">IFERROR(INDEX({"URGENTE"},MATCH(TRUE,ISNUMBER(FIND(SUBSTITUTE(SUBSTITUTE(UPPER({"URGENTE"})," ",""),":",": "),SUBSTITUTE(SUBSTITUTE(UPPER(S911)," ",""),":",": "))),0)),"-")</f>
        <v>-</v>
      </c>
      <c r="C911" s="46" t="str" cm="1">
        <f t="array" ref="C911">IFERROR(INDEX(#REF!,MATCH(TRUE,ISNUMBER(FIND(SUBSTITUTE(SUBSTITUTE(UPPER(#REF!)," ",""),":",": "),SUBSTITUTE(SUBSTITUTE(UPPER(S911)," ",""),":",": "))),0)),"Não encontrado")</f>
        <v>Não encontrado</v>
      </c>
      <c r="D911" s="46" t="str" cm="1">
        <f t="array" ref="D911">IFERROR(INDEX(#REF!,MATCH(TRUE,ISNUMBER(FIND(SUBSTITUTE(SUBSTITUTE(UPPER(#REF!)," ",""),":",": "),SUBSTITUTE(SUBSTITUTE(UPPER(S911)," ",""),":",": "))),0)),"Não encontrado")</f>
        <v>Não encontrado</v>
      </c>
      <c r="E911" s="42" t="str" cm="1">
        <f t="array" ref="E911">IFERROR(INDEX({"IMPEDITIVO"},MATCH(TRUE,ISNUMBER(FIND(SUBSTITUTE(SUBSTITUTE(UPPER({"IMPEDITIVO"})," ",""),":",": "),SUBSTITUTE(SUBSTITUTE(UPPER(S911)," ",""),":",": "))),0)),"-")</f>
        <v>-</v>
      </c>
      <c r="K911" s="49"/>
    </row>
    <row r="912" spans="1:11" x14ac:dyDescent="0.25">
      <c r="A912" s="46" t="str" cm="1">
        <f t="array" ref="A912">IFERROR(INDEX(#REF!,MATCH(TRUE,ISNUMBER(FIND(SUBSTITUTE(SUBSTITUTE(UPPER(#REF!)," ",""),":",": "),SUBSTITUTE(SUBSTITUTE(UPPER(S912)," ",""),":",": "))),0)),"Undefined")</f>
        <v>Undefined</v>
      </c>
      <c r="B912" s="42" t="str" cm="1">
        <f t="array" ref="B912">IFERROR(INDEX({"URGENTE"},MATCH(TRUE,ISNUMBER(FIND(SUBSTITUTE(SUBSTITUTE(UPPER({"URGENTE"})," ",""),":",": "),SUBSTITUTE(SUBSTITUTE(UPPER(S912)," ",""),":",": "))),0)),"-")</f>
        <v>-</v>
      </c>
      <c r="C912" s="46" t="str" cm="1">
        <f t="array" ref="C912">IFERROR(INDEX(#REF!,MATCH(TRUE,ISNUMBER(FIND(SUBSTITUTE(SUBSTITUTE(UPPER(#REF!)," ",""),":",": "),SUBSTITUTE(SUBSTITUTE(UPPER(S912)," ",""),":",": "))),0)),"Não encontrado")</f>
        <v>Não encontrado</v>
      </c>
      <c r="D912" s="46" t="str" cm="1">
        <f t="array" ref="D912">IFERROR(INDEX(#REF!,MATCH(TRUE,ISNUMBER(FIND(SUBSTITUTE(SUBSTITUTE(UPPER(#REF!)," ",""),":",": "),SUBSTITUTE(SUBSTITUTE(UPPER(S912)," ",""),":",": "))),0)),"Não encontrado")</f>
        <v>Não encontrado</v>
      </c>
      <c r="E912" s="42" t="str" cm="1">
        <f t="array" ref="E912">IFERROR(INDEX({"IMPEDITIVO"},MATCH(TRUE,ISNUMBER(FIND(SUBSTITUTE(SUBSTITUTE(UPPER({"IMPEDITIVO"})," ",""),":",": "),SUBSTITUTE(SUBSTITUTE(UPPER(S912)," ",""),":",": "))),0)),"-")</f>
        <v>-</v>
      </c>
      <c r="K912" s="49"/>
    </row>
    <row r="913" spans="1:11" x14ac:dyDescent="0.25">
      <c r="A913" s="46" t="str" cm="1">
        <f t="array" ref="A913">IFERROR(INDEX(#REF!,MATCH(TRUE,ISNUMBER(FIND(SUBSTITUTE(SUBSTITUTE(UPPER(#REF!)," ",""),":",": "),SUBSTITUTE(SUBSTITUTE(UPPER(S913)," ",""),":",": "))),0)),"Undefined")</f>
        <v>Undefined</v>
      </c>
      <c r="B913" s="42" t="str" cm="1">
        <f t="array" ref="B913">IFERROR(INDEX({"URGENTE"},MATCH(TRUE,ISNUMBER(FIND(SUBSTITUTE(SUBSTITUTE(UPPER({"URGENTE"})," ",""),":",": "),SUBSTITUTE(SUBSTITUTE(UPPER(S913)," ",""),":",": "))),0)),"-")</f>
        <v>-</v>
      </c>
      <c r="C913" s="46" t="str" cm="1">
        <f t="array" ref="C913">IFERROR(INDEX(#REF!,MATCH(TRUE,ISNUMBER(FIND(SUBSTITUTE(SUBSTITUTE(UPPER(#REF!)," ",""),":",": "),SUBSTITUTE(SUBSTITUTE(UPPER(S913)," ",""),":",": "))),0)),"Não encontrado")</f>
        <v>Não encontrado</v>
      </c>
      <c r="D913" s="46" t="str" cm="1">
        <f t="array" ref="D913">IFERROR(INDEX(#REF!,MATCH(TRUE,ISNUMBER(FIND(SUBSTITUTE(SUBSTITUTE(UPPER(#REF!)," ",""),":",": "),SUBSTITUTE(SUBSTITUTE(UPPER(S913)," ",""),":",": "))),0)),"Não encontrado")</f>
        <v>Não encontrado</v>
      </c>
      <c r="E913" s="42" t="str" cm="1">
        <f t="array" ref="E913">IFERROR(INDEX({"IMPEDITIVO"},MATCH(TRUE,ISNUMBER(FIND(SUBSTITUTE(SUBSTITUTE(UPPER({"IMPEDITIVO"})," ",""),":",": "),SUBSTITUTE(SUBSTITUTE(UPPER(S913)," ",""),":",": "))),0)),"-")</f>
        <v>-</v>
      </c>
      <c r="K913" s="49"/>
    </row>
    <row r="914" spans="1:11" x14ac:dyDescent="0.25">
      <c r="A914" s="46" t="str" cm="1">
        <f t="array" ref="A914">IFERROR(INDEX(#REF!,MATCH(TRUE,ISNUMBER(FIND(SUBSTITUTE(SUBSTITUTE(UPPER(#REF!)," ",""),":",": "),SUBSTITUTE(SUBSTITUTE(UPPER(S914)," ",""),":",": "))),0)),"Undefined")</f>
        <v>Undefined</v>
      </c>
      <c r="B914" s="42" t="str" cm="1">
        <f t="array" ref="B914">IFERROR(INDEX({"URGENTE"},MATCH(TRUE,ISNUMBER(FIND(SUBSTITUTE(SUBSTITUTE(UPPER({"URGENTE"})," ",""),":",": "),SUBSTITUTE(SUBSTITUTE(UPPER(S914)," ",""),":",": "))),0)),"-")</f>
        <v>-</v>
      </c>
      <c r="C914" s="46" t="str" cm="1">
        <f t="array" ref="C914">IFERROR(INDEX(#REF!,MATCH(TRUE,ISNUMBER(FIND(SUBSTITUTE(SUBSTITUTE(UPPER(#REF!)," ",""),":",": "),SUBSTITUTE(SUBSTITUTE(UPPER(S914)," ",""),":",": "))),0)),"Não encontrado")</f>
        <v>Não encontrado</v>
      </c>
      <c r="D914" s="46" t="str" cm="1">
        <f t="array" ref="D914">IFERROR(INDEX(#REF!,MATCH(TRUE,ISNUMBER(FIND(SUBSTITUTE(SUBSTITUTE(UPPER(#REF!)," ",""),":",": "),SUBSTITUTE(SUBSTITUTE(UPPER(S914)," ",""),":",": "))),0)),"Não encontrado")</f>
        <v>Não encontrado</v>
      </c>
      <c r="E914" s="42" t="str" cm="1">
        <f t="array" ref="E914">IFERROR(INDEX({"IMPEDITIVO"},MATCH(TRUE,ISNUMBER(FIND(SUBSTITUTE(SUBSTITUTE(UPPER({"IMPEDITIVO"})," ",""),":",": "),SUBSTITUTE(SUBSTITUTE(UPPER(S914)," ",""),":",": "))),0)),"-")</f>
        <v>-</v>
      </c>
      <c r="K914" s="49"/>
    </row>
    <row r="915" spans="1:11" x14ac:dyDescent="0.25">
      <c r="A915" s="46" t="str" cm="1">
        <f t="array" ref="A915">IFERROR(INDEX(#REF!,MATCH(TRUE,ISNUMBER(FIND(SUBSTITUTE(SUBSTITUTE(UPPER(#REF!)," ",""),":",": "),SUBSTITUTE(SUBSTITUTE(UPPER(S915)," ",""),":",": "))),0)),"Undefined")</f>
        <v>Undefined</v>
      </c>
      <c r="B915" s="42" t="str" cm="1">
        <f t="array" ref="B915">IFERROR(INDEX({"URGENTE"},MATCH(TRUE,ISNUMBER(FIND(SUBSTITUTE(SUBSTITUTE(UPPER({"URGENTE"})," ",""),":",": "),SUBSTITUTE(SUBSTITUTE(UPPER(S915)," ",""),":",": "))),0)),"-")</f>
        <v>-</v>
      </c>
      <c r="C915" s="46" t="str" cm="1">
        <f t="array" ref="C915">IFERROR(INDEX(#REF!,MATCH(TRUE,ISNUMBER(FIND(SUBSTITUTE(SUBSTITUTE(UPPER(#REF!)," ",""),":",": "),SUBSTITUTE(SUBSTITUTE(UPPER(S915)," ",""),":",": "))),0)),"Não encontrado")</f>
        <v>Não encontrado</v>
      </c>
      <c r="D915" s="46" t="str" cm="1">
        <f t="array" ref="D915">IFERROR(INDEX(#REF!,MATCH(TRUE,ISNUMBER(FIND(SUBSTITUTE(SUBSTITUTE(UPPER(#REF!)," ",""),":",": "),SUBSTITUTE(SUBSTITUTE(UPPER(S915)," ",""),":",": "))),0)),"Não encontrado")</f>
        <v>Não encontrado</v>
      </c>
      <c r="E915" s="42" t="str" cm="1">
        <f t="array" ref="E915">IFERROR(INDEX({"IMPEDITIVO"},MATCH(TRUE,ISNUMBER(FIND(SUBSTITUTE(SUBSTITUTE(UPPER({"IMPEDITIVO"})," ",""),":",": "),SUBSTITUTE(SUBSTITUTE(UPPER(S915)," ",""),":",": "))),0)),"-")</f>
        <v>-</v>
      </c>
      <c r="K915" s="49"/>
    </row>
    <row r="916" spans="1:11" x14ac:dyDescent="0.25">
      <c r="A916" s="46" t="str" cm="1">
        <f t="array" ref="A916">IFERROR(INDEX(#REF!,MATCH(TRUE,ISNUMBER(FIND(SUBSTITUTE(SUBSTITUTE(UPPER(#REF!)," ",""),":",": "),SUBSTITUTE(SUBSTITUTE(UPPER(S916)," ",""),":",": "))),0)),"Undefined")</f>
        <v>Undefined</v>
      </c>
      <c r="B916" s="42" t="str" cm="1">
        <f t="array" ref="B916">IFERROR(INDEX({"URGENTE"},MATCH(TRUE,ISNUMBER(FIND(SUBSTITUTE(SUBSTITUTE(UPPER({"URGENTE"})," ",""),":",": "),SUBSTITUTE(SUBSTITUTE(UPPER(S916)," ",""),":",": "))),0)),"-")</f>
        <v>-</v>
      </c>
      <c r="C916" s="46" t="str" cm="1">
        <f t="array" ref="C916">IFERROR(INDEX(#REF!,MATCH(TRUE,ISNUMBER(FIND(SUBSTITUTE(SUBSTITUTE(UPPER(#REF!)," ",""),":",": "),SUBSTITUTE(SUBSTITUTE(UPPER(S916)," ",""),":",": "))),0)),"Não encontrado")</f>
        <v>Não encontrado</v>
      </c>
      <c r="D916" s="46" t="str" cm="1">
        <f t="array" ref="D916">IFERROR(INDEX(#REF!,MATCH(TRUE,ISNUMBER(FIND(SUBSTITUTE(SUBSTITUTE(UPPER(#REF!)," ",""),":",": "),SUBSTITUTE(SUBSTITUTE(UPPER(S916)," ",""),":",": "))),0)),"Não encontrado")</f>
        <v>Não encontrado</v>
      </c>
      <c r="E916" s="42" t="str" cm="1">
        <f t="array" ref="E916">IFERROR(INDEX({"IMPEDITIVO"},MATCH(TRUE,ISNUMBER(FIND(SUBSTITUTE(SUBSTITUTE(UPPER({"IMPEDITIVO"})," ",""),":",": "),SUBSTITUTE(SUBSTITUTE(UPPER(S916)," ",""),":",": "))),0)),"-")</f>
        <v>-</v>
      </c>
      <c r="K916" s="49"/>
    </row>
    <row r="917" spans="1:11" x14ac:dyDescent="0.25">
      <c r="A917" s="46" t="str" cm="1">
        <f t="array" ref="A917">IFERROR(INDEX(#REF!,MATCH(TRUE,ISNUMBER(FIND(SUBSTITUTE(SUBSTITUTE(UPPER(#REF!)," ",""),":",": "),SUBSTITUTE(SUBSTITUTE(UPPER(S917)," ",""),":",": "))),0)),"Undefined")</f>
        <v>Undefined</v>
      </c>
      <c r="B917" s="42" t="str" cm="1">
        <f t="array" ref="B917">IFERROR(INDEX({"URGENTE"},MATCH(TRUE,ISNUMBER(FIND(SUBSTITUTE(SUBSTITUTE(UPPER({"URGENTE"})," ",""),":",": "),SUBSTITUTE(SUBSTITUTE(UPPER(S917)," ",""),":",": "))),0)),"-")</f>
        <v>-</v>
      </c>
      <c r="C917" s="46" t="str" cm="1">
        <f t="array" ref="C917">IFERROR(INDEX(#REF!,MATCH(TRUE,ISNUMBER(FIND(SUBSTITUTE(SUBSTITUTE(UPPER(#REF!)," ",""),":",": "),SUBSTITUTE(SUBSTITUTE(UPPER(S917)," ",""),":",": "))),0)),"Não encontrado")</f>
        <v>Não encontrado</v>
      </c>
      <c r="D917" s="46" t="str" cm="1">
        <f t="array" ref="D917">IFERROR(INDEX(#REF!,MATCH(TRUE,ISNUMBER(FIND(SUBSTITUTE(SUBSTITUTE(UPPER(#REF!)," ",""),":",": "),SUBSTITUTE(SUBSTITUTE(UPPER(S917)," ",""),":",": "))),0)),"Não encontrado")</f>
        <v>Não encontrado</v>
      </c>
      <c r="E917" s="42" t="str" cm="1">
        <f t="array" ref="E917">IFERROR(INDEX({"IMPEDITIVO"},MATCH(TRUE,ISNUMBER(FIND(SUBSTITUTE(SUBSTITUTE(UPPER({"IMPEDITIVO"})," ",""),":",": "),SUBSTITUTE(SUBSTITUTE(UPPER(S917)," ",""),":",": "))),0)),"-")</f>
        <v>-</v>
      </c>
      <c r="K917" s="49"/>
    </row>
    <row r="918" spans="1:11" x14ac:dyDescent="0.25">
      <c r="A918" s="46" t="str" cm="1">
        <f t="array" ref="A918">IFERROR(INDEX(#REF!,MATCH(TRUE,ISNUMBER(FIND(SUBSTITUTE(SUBSTITUTE(UPPER(#REF!)," ",""),":",": "),SUBSTITUTE(SUBSTITUTE(UPPER(S918)," ",""),":",": "))),0)),"Undefined")</f>
        <v>Undefined</v>
      </c>
      <c r="B918" s="42" t="str" cm="1">
        <f t="array" ref="B918">IFERROR(INDEX({"URGENTE"},MATCH(TRUE,ISNUMBER(FIND(SUBSTITUTE(SUBSTITUTE(UPPER({"URGENTE"})," ",""),":",": "),SUBSTITUTE(SUBSTITUTE(UPPER(S918)," ",""),":",": "))),0)),"-")</f>
        <v>-</v>
      </c>
      <c r="C918" s="46" t="str" cm="1">
        <f t="array" ref="C918">IFERROR(INDEX(#REF!,MATCH(TRUE,ISNUMBER(FIND(SUBSTITUTE(SUBSTITUTE(UPPER(#REF!)," ",""),":",": "),SUBSTITUTE(SUBSTITUTE(UPPER(S918)," ",""),":",": "))),0)),"Não encontrado")</f>
        <v>Não encontrado</v>
      </c>
      <c r="D918" s="46" t="str" cm="1">
        <f t="array" ref="D918">IFERROR(INDEX(#REF!,MATCH(TRUE,ISNUMBER(FIND(SUBSTITUTE(SUBSTITUTE(UPPER(#REF!)," ",""),":",": "),SUBSTITUTE(SUBSTITUTE(UPPER(S918)," ",""),":",": "))),0)),"Não encontrado")</f>
        <v>Não encontrado</v>
      </c>
      <c r="E918" s="42" t="str" cm="1">
        <f t="array" ref="E918">IFERROR(INDEX({"IMPEDITIVO"},MATCH(TRUE,ISNUMBER(FIND(SUBSTITUTE(SUBSTITUTE(UPPER({"IMPEDITIVO"})," ",""),":",": "),SUBSTITUTE(SUBSTITUTE(UPPER(S918)," ",""),":",": "))),0)),"-")</f>
        <v>-</v>
      </c>
      <c r="K918" s="49"/>
    </row>
    <row r="919" spans="1:11" x14ac:dyDescent="0.25">
      <c r="A919" s="46" t="str" cm="1">
        <f t="array" ref="A919">IFERROR(INDEX(#REF!,MATCH(TRUE,ISNUMBER(FIND(SUBSTITUTE(SUBSTITUTE(UPPER(#REF!)," ",""),":",": "),SUBSTITUTE(SUBSTITUTE(UPPER(S919)," ",""),":",": "))),0)),"Undefined")</f>
        <v>Undefined</v>
      </c>
      <c r="B919" s="42" t="str" cm="1">
        <f t="array" ref="B919">IFERROR(INDEX({"URGENTE"},MATCH(TRUE,ISNUMBER(FIND(SUBSTITUTE(SUBSTITUTE(UPPER({"URGENTE"})," ",""),":",": "),SUBSTITUTE(SUBSTITUTE(UPPER(S919)," ",""),":",": "))),0)),"-")</f>
        <v>-</v>
      </c>
      <c r="C919" s="46" t="str" cm="1">
        <f t="array" ref="C919">IFERROR(INDEX(#REF!,MATCH(TRUE,ISNUMBER(FIND(SUBSTITUTE(SUBSTITUTE(UPPER(#REF!)," ",""),":",": "),SUBSTITUTE(SUBSTITUTE(UPPER(S919)," ",""),":",": "))),0)),"Não encontrado")</f>
        <v>Não encontrado</v>
      </c>
      <c r="D919" s="46" t="str" cm="1">
        <f t="array" ref="D919">IFERROR(INDEX(#REF!,MATCH(TRUE,ISNUMBER(FIND(SUBSTITUTE(SUBSTITUTE(UPPER(#REF!)," ",""),":",": "),SUBSTITUTE(SUBSTITUTE(UPPER(S919)," ",""),":",": "))),0)),"Não encontrado")</f>
        <v>Não encontrado</v>
      </c>
      <c r="E919" s="42" t="str" cm="1">
        <f t="array" ref="E919">IFERROR(INDEX({"IMPEDITIVO"},MATCH(TRUE,ISNUMBER(FIND(SUBSTITUTE(SUBSTITUTE(UPPER({"IMPEDITIVO"})," ",""),":",": "),SUBSTITUTE(SUBSTITUTE(UPPER(S919)," ",""),":",": "))),0)),"-")</f>
        <v>-</v>
      </c>
      <c r="K919" s="49"/>
    </row>
    <row r="920" spans="1:11" x14ac:dyDescent="0.25">
      <c r="A920" s="46" t="str" cm="1">
        <f t="array" ref="A920">IFERROR(INDEX(#REF!,MATCH(TRUE,ISNUMBER(FIND(SUBSTITUTE(SUBSTITUTE(UPPER(#REF!)," ",""),":",": "),SUBSTITUTE(SUBSTITUTE(UPPER(S920)," ",""),":",": "))),0)),"Undefined")</f>
        <v>Undefined</v>
      </c>
      <c r="B920" s="42" t="str" cm="1">
        <f t="array" ref="B920">IFERROR(INDEX({"URGENTE"},MATCH(TRUE,ISNUMBER(FIND(SUBSTITUTE(SUBSTITUTE(UPPER({"URGENTE"})," ",""),":",": "),SUBSTITUTE(SUBSTITUTE(UPPER(S920)," ",""),":",": "))),0)),"-")</f>
        <v>-</v>
      </c>
      <c r="C920" s="46" t="str" cm="1">
        <f t="array" ref="C920">IFERROR(INDEX(#REF!,MATCH(TRUE,ISNUMBER(FIND(SUBSTITUTE(SUBSTITUTE(UPPER(#REF!)," ",""),":",": "),SUBSTITUTE(SUBSTITUTE(UPPER(S920)," ",""),":",": "))),0)),"Não encontrado")</f>
        <v>Não encontrado</v>
      </c>
      <c r="D920" s="46" t="str" cm="1">
        <f t="array" ref="D920">IFERROR(INDEX(#REF!,MATCH(TRUE,ISNUMBER(FIND(SUBSTITUTE(SUBSTITUTE(UPPER(#REF!)," ",""),":",": "),SUBSTITUTE(SUBSTITUTE(UPPER(S920)," ",""),":",": "))),0)),"Não encontrado")</f>
        <v>Não encontrado</v>
      </c>
      <c r="E920" s="42" t="str" cm="1">
        <f t="array" ref="E920">IFERROR(INDEX({"IMPEDITIVO"},MATCH(TRUE,ISNUMBER(FIND(SUBSTITUTE(SUBSTITUTE(UPPER({"IMPEDITIVO"})," ",""),":",": "),SUBSTITUTE(SUBSTITUTE(UPPER(S920)," ",""),":",": "))),0)),"-")</f>
        <v>-</v>
      </c>
      <c r="K920" s="49"/>
    </row>
    <row r="921" spans="1:11" x14ac:dyDescent="0.25">
      <c r="A921" s="46" t="str" cm="1">
        <f t="array" ref="A921">IFERROR(INDEX(#REF!,MATCH(TRUE,ISNUMBER(FIND(SUBSTITUTE(SUBSTITUTE(UPPER(#REF!)," ",""),":",": "),SUBSTITUTE(SUBSTITUTE(UPPER(S921)," ",""),":",": "))),0)),"Undefined")</f>
        <v>Undefined</v>
      </c>
      <c r="B921" s="42" t="str" cm="1">
        <f t="array" ref="B921">IFERROR(INDEX({"URGENTE"},MATCH(TRUE,ISNUMBER(FIND(SUBSTITUTE(SUBSTITUTE(UPPER({"URGENTE"})," ",""),":",": "),SUBSTITUTE(SUBSTITUTE(UPPER(S921)," ",""),":",": "))),0)),"-")</f>
        <v>-</v>
      </c>
      <c r="C921" s="46" t="str" cm="1">
        <f t="array" ref="C921">IFERROR(INDEX(#REF!,MATCH(TRUE,ISNUMBER(FIND(SUBSTITUTE(SUBSTITUTE(UPPER(#REF!)," ",""),":",": "),SUBSTITUTE(SUBSTITUTE(UPPER(S921)," ",""),":",": "))),0)),"Não encontrado")</f>
        <v>Não encontrado</v>
      </c>
      <c r="D921" s="46" t="str" cm="1">
        <f t="array" ref="D921">IFERROR(INDEX(#REF!,MATCH(TRUE,ISNUMBER(FIND(SUBSTITUTE(SUBSTITUTE(UPPER(#REF!)," ",""),":",": "),SUBSTITUTE(SUBSTITUTE(UPPER(S921)," ",""),":",": "))),0)),"Não encontrado")</f>
        <v>Não encontrado</v>
      </c>
      <c r="E921" s="42" t="str" cm="1">
        <f t="array" ref="E921">IFERROR(INDEX({"IMPEDITIVO"},MATCH(TRUE,ISNUMBER(FIND(SUBSTITUTE(SUBSTITUTE(UPPER({"IMPEDITIVO"})," ",""),":",": "),SUBSTITUTE(SUBSTITUTE(UPPER(S921)," ",""),":",": "))),0)),"-")</f>
        <v>-</v>
      </c>
      <c r="K921" s="49"/>
    </row>
    <row r="922" spans="1:11" x14ac:dyDescent="0.25">
      <c r="A922" s="46" t="str" cm="1">
        <f t="array" ref="A922">IFERROR(INDEX(#REF!,MATCH(TRUE,ISNUMBER(FIND(SUBSTITUTE(SUBSTITUTE(UPPER(#REF!)," ",""),":",": "),SUBSTITUTE(SUBSTITUTE(UPPER(S922)," ",""),":",": "))),0)),"Undefined")</f>
        <v>Undefined</v>
      </c>
      <c r="B922" s="42" t="str" cm="1">
        <f t="array" ref="B922">IFERROR(INDEX({"URGENTE"},MATCH(TRUE,ISNUMBER(FIND(SUBSTITUTE(SUBSTITUTE(UPPER({"URGENTE"})," ",""),":",": "),SUBSTITUTE(SUBSTITUTE(UPPER(S922)," ",""),":",": "))),0)),"-")</f>
        <v>-</v>
      </c>
      <c r="C922" s="46" t="str" cm="1">
        <f t="array" ref="C922">IFERROR(INDEX(#REF!,MATCH(TRUE,ISNUMBER(FIND(SUBSTITUTE(SUBSTITUTE(UPPER(#REF!)," ",""),":",": "),SUBSTITUTE(SUBSTITUTE(UPPER(S922)," ",""),":",": "))),0)),"Não encontrado")</f>
        <v>Não encontrado</v>
      </c>
      <c r="D922" s="46" t="str" cm="1">
        <f t="array" ref="D922">IFERROR(INDEX(#REF!,MATCH(TRUE,ISNUMBER(FIND(SUBSTITUTE(SUBSTITUTE(UPPER(#REF!)," ",""),":",": "),SUBSTITUTE(SUBSTITUTE(UPPER(S922)," ",""),":",": "))),0)),"Não encontrado")</f>
        <v>Não encontrado</v>
      </c>
      <c r="E922" s="42" t="str" cm="1">
        <f t="array" ref="E922">IFERROR(INDEX({"IMPEDITIVO"},MATCH(TRUE,ISNUMBER(FIND(SUBSTITUTE(SUBSTITUTE(UPPER({"IMPEDITIVO"})," ",""),":",": "),SUBSTITUTE(SUBSTITUTE(UPPER(S922)," ",""),":",": "))),0)),"-")</f>
        <v>-</v>
      </c>
      <c r="K922" s="49"/>
    </row>
    <row r="923" spans="1:11" x14ac:dyDescent="0.25">
      <c r="A923" s="46" t="str" cm="1">
        <f t="array" ref="A923">IFERROR(INDEX(#REF!,MATCH(TRUE,ISNUMBER(FIND(SUBSTITUTE(SUBSTITUTE(UPPER(#REF!)," ",""),":",": "),SUBSTITUTE(SUBSTITUTE(UPPER(S923)," ",""),":",": "))),0)),"Undefined")</f>
        <v>Undefined</v>
      </c>
      <c r="B923" s="42" t="str" cm="1">
        <f t="array" ref="B923">IFERROR(INDEX({"URGENTE"},MATCH(TRUE,ISNUMBER(FIND(SUBSTITUTE(SUBSTITUTE(UPPER({"URGENTE"})," ",""),":",": "),SUBSTITUTE(SUBSTITUTE(UPPER(S923)," ",""),":",": "))),0)),"-")</f>
        <v>-</v>
      </c>
      <c r="C923" s="46" t="str" cm="1">
        <f t="array" ref="C923">IFERROR(INDEX(#REF!,MATCH(TRUE,ISNUMBER(FIND(SUBSTITUTE(SUBSTITUTE(UPPER(#REF!)," ",""),":",": "),SUBSTITUTE(SUBSTITUTE(UPPER(S923)," ",""),":",": "))),0)),"Não encontrado")</f>
        <v>Não encontrado</v>
      </c>
      <c r="D923" s="46" t="str" cm="1">
        <f t="array" ref="D923">IFERROR(INDEX(#REF!,MATCH(TRUE,ISNUMBER(FIND(SUBSTITUTE(SUBSTITUTE(UPPER(#REF!)," ",""),":",": "),SUBSTITUTE(SUBSTITUTE(UPPER(S923)," ",""),":",": "))),0)),"Não encontrado")</f>
        <v>Não encontrado</v>
      </c>
      <c r="E923" s="42" t="str" cm="1">
        <f t="array" ref="E923">IFERROR(INDEX({"IMPEDITIVO"},MATCH(TRUE,ISNUMBER(FIND(SUBSTITUTE(SUBSTITUTE(UPPER({"IMPEDITIVO"})," ",""),":",": "),SUBSTITUTE(SUBSTITUTE(UPPER(S923)," ",""),":",": "))),0)),"-")</f>
        <v>-</v>
      </c>
      <c r="K923" s="49"/>
    </row>
    <row r="924" spans="1:11" x14ac:dyDescent="0.25">
      <c r="A924" s="46" t="str" cm="1">
        <f t="array" ref="A924">IFERROR(INDEX(#REF!,MATCH(TRUE,ISNUMBER(FIND(SUBSTITUTE(SUBSTITUTE(UPPER(#REF!)," ",""),":",": "),SUBSTITUTE(SUBSTITUTE(UPPER(S924)," ",""),":",": "))),0)),"Undefined")</f>
        <v>Undefined</v>
      </c>
      <c r="B924" s="42" t="str" cm="1">
        <f t="array" ref="B924">IFERROR(INDEX({"URGENTE"},MATCH(TRUE,ISNUMBER(FIND(SUBSTITUTE(SUBSTITUTE(UPPER({"URGENTE"})," ",""),":",": "),SUBSTITUTE(SUBSTITUTE(UPPER(S924)," ",""),":",": "))),0)),"-")</f>
        <v>-</v>
      </c>
      <c r="C924" s="46" t="str" cm="1">
        <f t="array" ref="C924">IFERROR(INDEX(#REF!,MATCH(TRUE,ISNUMBER(FIND(SUBSTITUTE(SUBSTITUTE(UPPER(#REF!)," ",""),":",": "),SUBSTITUTE(SUBSTITUTE(UPPER(S924)," ",""),":",": "))),0)),"Não encontrado")</f>
        <v>Não encontrado</v>
      </c>
      <c r="D924" s="46" t="str" cm="1">
        <f t="array" ref="D924">IFERROR(INDEX(#REF!,MATCH(TRUE,ISNUMBER(FIND(SUBSTITUTE(SUBSTITUTE(UPPER(#REF!)," ",""),":",": "),SUBSTITUTE(SUBSTITUTE(UPPER(S924)," ",""),":",": "))),0)),"Não encontrado")</f>
        <v>Não encontrado</v>
      </c>
      <c r="E924" s="42" t="str" cm="1">
        <f t="array" ref="E924">IFERROR(INDEX({"IMPEDITIVO"},MATCH(TRUE,ISNUMBER(FIND(SUBSTITUTE(SUBSTITUTE(UPPER({"IMPEDITIVO"})," ",""),":",": "),SUBSTITUTE(SUBSTITUTE(UPPER(S924)," ",""),":",": "))),0)),"-")</f>
        <v>-</v>
      </c>
      <c r="K924" s="49"/>
    </row>
    <row r="925" spans="1:11" x14ac:dyDescent="0.25">
      <c r="A925" s="46" t="str" cm="1">
        <f t="array" ref="A925">IFERROR(INDEX(#REF!,MATCH(TRUE,ISNUMBER(FIND(SUBSTITUTE(SUBSTITUTE(UPPER(#REF!)," ",""),":",": "),SUBSTITUTE(SUBSTITUTE(UPPER(S925)," ",""),":",": "))),0)),"Undefined")</f>
        <v>Undefined</v>
      </c>
      <c r="B925" s="42" t="str" cm="1">
        <f t="array" ref="B925">IFERROR(INDEX({"URGENTE"},MATCH(TRUE,ISNUMBER(FIND(SUBSTITUTE(SUBSTITUTE(UPPER({"URGENTE"})," ",""),":",": "),SUBSTITUTE(SUBSTITUTE(UPPER(S925)," ",""),":",": "))),0)),"-")</f>
        <v>-</v>
      </c>
      <c r="C925" s="46" t="str" cm="1">
        <f t="array" ref="C925">IFERROR(INDEX(#REF!,MATCH(TRUE,ISNUMBER(FIND(SUBSTITUTE(SUBSTITUTE(UPPER(#REF!)," ",""),":",": "),SUBSTITUTE(SUBSTITUTE(UPPER(S925)," ",""),":",": "))),0)),"Não encontrado")</f>
        <v>Não encontrado</v>
      </c>
      <c r="D925" s="46" t="str" cm="1">
        <f t="array" ref="D925">IFERROR(INDEX(#REF!,MATCH(TRUE,ISNUMBER(FIND(SUBSTITUTE(SUBSTITUTE(UPPER(#REF!)," ",""),":",": "),SUBSTITUTE(SUBSTITUTE(UPPER(S925)," ",""),":",": "))),0)),"Não encontrado")</f>
        <v>Não encontrado</v>
      </c>
      <c r="E925" s="42" t="str" cm="1">
        <f t="array" ref="E925">IFERROR(INDEX({"IMPEDITIVO"},MATCH(TRUE,ISNUMBER(FIND(SUBSTITUTE(SUBSTITUTE(UPPER({"IMPEDITIVO"})," ",""),":",": "),SUBSTITUTE(SUBSTITUTE(UPPER(S925)," ",""),":",": "))),0)),"-")</f>
        <v>-</v>
      </c>
      <c r="K925" s="49"/>
    </row>
    <row r="926" spans="1:11" x14ac:dyDescent="0.25">
      <c r="A926" s="46" t="str" cm="1">
        <f t="array" ref="A926">IFERROR(INDEX(#REF!,MATCH(TRUE,ISNUMBER(FIND(SUBSTITUTE(SUBSTITUTE(UPPER(#REF!)," ",""),":",": "),SUBSTITUTE(SUBSTITUTE(UPPER(S926)," ",""),":",": "))),0)),"Undefined")</f>
        <v>Undefined</v>
      </c>
      <c r="B926" s="42" t="str" cm="1">
        <f t="array" ref="B926">IFERROR(INDEX({"URGENTE"},MATCH(TRUE,ISNUMBER(FIND(SUBSTITUTE(SUBSTITUTE(UPPER({"URGENTE"})," ",""),":",": "),SUBSTITUTE(SUBSTITUTE(UPPER(S926)," ",""),":",": "))),0)),"-")</f>
        <v>-</v>
      </c>
      <c r="C926" s="46" t="str" cm="1">
        <f t="array" ref="C926">IFERROR(INDEX(#REF!,MATCH(TRUE,ISNUMBER(FIND(SUBSTITUTE(SUBSTITUTE(UPPER(#REF!)," ",""),":",": "),SUBSTITUTE(SUBSTITUTE(UPPER(S926)," ",""),":",": "))),0)),"Não encontrado")</f>
        <v>Não encontrado</v>
      </c>
      <c r="D926" s="46" t="str" cm="1">
        <f t="array" ref="D926">IFERROR(INDEX(#REF!,MATCH(TRUE,ISNUMBER(FIND(SUBSTITUTE(SUBSTITUTE(UPPER(#REF!)," ",""),":",": "),SUBSTITUTE(SUBSTITUTE(UPPER(S926)," ",""),":",": "))),0)),"Não encontrado")</f>
        <v>Não encontrado</v>
      </c>
      <c r="E926" s="42" t="str" cm="1">
        <f t="array" ref="E926">IFERROR(INDEX({"IMPEDITIVO"},MATCH(TRUE,ISNUMBER(FIND(SUBSTITUTE(SUBSTITUTE(UPPER({"IMPEDITIVO"})," ",""),":",": "),SUBSTITUTE(SUBSTITUTE(UPPER(S926)," ",""),":",": "))),0)),"-")</f>
        <v>-</v>
      </c>
      <c r="K926" s="49"/>
    </row>
    <row r="927" spans="1:11" x14ac:dyDescent="0.25">
      <c r="A927" s="46" t="str" cm="1">
        <f t="array" ref="A927">IFERROR(INDEX(#REF!,MATCH(TRUE,ISNUMBER(FIND(SUBSTITUTE(SUBSTITUTE(UPPER(#REF!)," ",""),":",": "),SUBSTITUTE(SUBSTITUTE(UPPER(S927)," ",""),":",": "))),0)),"Undefined")</f>
        <v>Undefined</v>
      </c>
      <c r="B927" s="42" t="str" cm="1">
        <f t="array" ref="B927">IFERROR(INDEX({"URGENTE"},MATCH(TRUE,ISNUMBER(FIND(SUBSTITUTE(SUBSTITUTE(UPPER({"URGENTE"})," ",""),":",": "),SUBSTITUTE(SUBSTITUTE(UPPER(S927)," ",""),":",": "))),0)),"-")</f>
        <v>-</v>
      </c>
      <c r="C927" s="46" t="str" cm="1">
        <f t="array" ref="C927">IFERROR(INDEX(#REF!,MATCH(TRUE,ISNUMBER(FIND(SUBSTITUTE(SUBSTITUTE(UPPER(#REF!)," ",""),":",": "),SUBSTITUTE(SUBSTITUTE(UPPER(S927)," ",""),":",": "))),0)),"Não encontrado")</f>
        <v>Não encontrado</v>
      </c>
      <c r="D927" s="46" t="str" cm="1">
        <f t="array" ref="D927">IFERROR(INDEX(#REF!,MATCH(TRUE,ISNUMBER(FIND(SUBSTITUTE(SUBSTITUTE(UPPER(#REF!)," ",""),":",": "),SUBSTITUTE(SUBSTITUTE(UPPER(S927)," ",""),":",": "))),0)),"Não encontrado")</f>
        <v>Não encontrado</v>
      </c>
      <c r="E927" s="42" t="str" cm="1">
        <f t="array" ref="E927">IFERROR(INDEX({"IMPEDITIVO"},MATCH(TRUE,ISNUMBER(FIND(SUBSTITUTE(SUBSTITUTE(UPPER({"IMPEDITIVO"})," ",""),":",": "),SUBSTITUTE(SUBSTITUTE(UPPER(S927)," ",""),":",": "))),0)),"-")</f>
        <v>-</v>
      </c>
      <c r="K927" s="49"/>
    </row>
    <row r="928" spans="1:11" x14ac:dyDescent="0.25">
      <c r="A928" s="46" t="str" cm="1">
        <f t="array" ref="A928">IFERROR(INDEX(#REF!,MATCH(TRUE,ISNUMBER(FIND(SUBSTITUTE(SUBSTITUTE(UPPER(#REF!)," ",""),":",": "),SUBSTITUTE(SUBSTITUTE(UPPER(S928)," ",""),":",": "))),0)),"Undefined")</f>
        <v>Undefined</v>
      </c>
      <c r="B928" s="42" t="str" cm="1">
        <f t="array" ref="B928">IFERROR(INDEX({"URGENTE"},MATCH(TRUE,ISNUMBER(FIND(SUBSTITUTE(SUBSTITUTE(UPPER({"URGENTE"})," ",""),":",": "),SUBSTITUTE(SUBSTITUTE(UPPER(S928)," ",""),":",": "))),0)),"-")</f>
        <v>-</v>
      </c>
      <c r="C928" s="46" t="str" cm="1">
        <f t="array" ref="C928">IFERROR(INDEX(#REF!,MATCH(TRUE,ISNUMBER(FIND(SUBSTITUTE(SUBSTITUTE(UPPER(#REF!)," ",""),":",": "),SUBSTITUTE(SUBSTITUTE(UPPER(S928)," ",""),":",": "))),0)),"Não encontrado")</f>
        <v>Não encontrado</v>
      </c>
      <c r="D928" s="46" t="str" cm="1">
        <f t="array" ref="D928">IFERROR(INDEX(#REF!,MATCH(TRUE,ISNUMBER(FIND(SUBSTITUTE(SUBSTITUTE(UPPER(#REF!)," ",""),":",": "),SUBSTITUTE(SUBSTITUTE(UPPER(S928)," ",""),":",": "))),0)),"Não encontrado")</f>
        <v>Não encontrado</v>
      </c>
      <c r="E928" s="42" t="str" cm="1">
        <f t="array" ref="E928">IFERROR(INDEX({"IMPEDITIVO"},MATCH(TRUE,ISNUMBER(FIND(SUBSTITUTE(SUBSTITUTE(UPPER({"IMPEDITIVO"})," ",""),":",": "),SUBSTITUTE(SUBSTITUTE(UPPER(S928)," ",""),":",": "))),0)),"-")</f>
        <v>-</v>
      </c>
      <c r="K928" s="49"/>
    </row>
    <row r="929" spans="1:11" x14ac:dyDescent="0.25">
      <c r="A929" s="46" t="str" cm="1">
        <f t="array" ref="A929">IFERROR(INDEX(#REF!,MATCH(TRUE,ISNUMBER(FIND(SUBSTITUTE(SUBSTITUTE(UPPER(#REF!)," ",""),":",": "),SUBSTITUTE(SUBSTITUTE(UPPER(S929)," ",""),":",": "))),0)),"Undefined")</f>
        <v>Undefined</v>
      </c>
      <c r="B929" s="42" t="str" cm="1">
        <f t="array" ref="B929">IFERROR(INDEX({"URGENTE"},MATCH(TRUE,ISNUMBER(FIND(SUBSTITUTE(SUBSTITUTE(UPPER({"URGENTE"})," ",""),":",": "),SUBSTITUTE(SUBSTITUTE(UPPER(S929)," ",""),":",": "))),0)),"-")</f>
        <v>-</v>
      </c>
      <c r="C929" s="46" t="str" cm="1">
        <f t="array" ref="C929">IFERROR(INDEX(#REF!,MATCH(TRUE,ISNUMBER(FIND(SUBSTITUTE(SUBSTITUTE(UPPER(#REF!)," ",""),":",": "),SUBSTITUTE(SUBSTITUTE(UPPER(S929)," ",""),":",": "))),0)),"Não encontrado")</f>
        <v>Não encontrado</v>
      </c>
      <c r="D929" s="46" t="str" cm="1">
        <f t="array" ref="D929">IFERROR(INDEX(#REF!,MATCH(TRUE,ISNUMBER(FIND(SUBSTITUTE(SUBSTITUTE(UPPER(#REF!)," ",""),":",": "),SUBSTITUTE(SUBSTITUTE(UPPER(S929)," ",""),":",": "))),0)),"Não encontrado")</f>
        <v>Não encontrado</v>
      </c>
      <c r="E929" s="42" t="str" cm="1">
        <f t="array" ref="E929">IFERROR(INDEX({"IMPEDITIVO"},MATCH(TRUE,ISNUMBER(FIND(SUBSTITUTE(SUBSTITUTE(UPPER({"IMPEDITIVO"})," ",""),":",": "),SUBSTITUTE(SUBSTITUTE(UPPER(S929)," ",""),":",": "))),0)),"-")</f>
        <v>-</v>
      </c>
      <c r="K929" s="49"/>
    </row>
    <row r="930" spans="1:11" x14ac:dyDescent="0.25">
      <c r="A930" s="46" t="str" cm="1">
        <f t="array" ref="A930">IFERROR(INDEX(#REF!,MATCH(TRUE,ISNUMBER(FIND(SUBSTITUTE(SUBSTITUTE(UPPER(#REF!)," ",""),":",": "),SUBSTITUTE(SUBSTITUTE(UPPER(S930)," ",""),":",": "))),0)),"Undefined")</f>
        <v>Undefined</v>
      </c>
      <c r="B930" s="42" t="str" cm="1">
        <f t="array" ref="B930">IFERROR(INDEX({"URGENTE"},MATCH(TRUE,ISNUMBER(FIND(SUBSTITUTE(SUBSTITUTE(UPPER({"URGENTE"})," ",""),":",": "),SUBSTITUTE(SUBSTITUTE(UPPER(S930)," ",""),":",": "))),0)),"-")</f>
        <v>-</v>
      </c>
      <c r="C930" s="46" t="str" cm="1">
        <f t="array" ref="C930">IFERROR(INDEX(#REF!,MATCH(TRUE,ISNUMBER(FIND(SUBSTITUTE(SUBSTITUTE(UPPER(#REF!)," ",""),":",": "),SUBSTITUTE(SUBSTITUTE(UPPER(S930)," ",""),":",": "))),0)),"Não encontrado")</f>
        <v>Não encontrado</v>
      </c>
      <c r="D930" s="46" t="str" cm="1">
        <f t="array" ref="D930">IFERROR(INDEX(#REF!,MATCH(TRUE,ISNUMBER(FIND(SUBSTITUTE(SUBSTITUTE(UPPER(#REF!)," ",""),":",": "),SUBSTITUTE(SUBSTITUTE(UPPER(S930)," ",""),":",": "))),0)),"Não encontrado")</f>
        <v>Não encontrado</v>
      </c>
      <c r="E930" s="42" t="str" cm="1">
        <f t="array" ref="E930">IFERROR(INDEX({"IMPEDITIVO"},MATCH(TRUE,ISNUMBER(FIND(SUBSTITUTE(SUBSTITUTE(UPPER({"IMPEDITIVO"})," ",""),":",": "),SUBSTITUTE(SUBSTITUTE(UPPER(S930)," ",""),":",": "))),0)),"-")</f>
        <v>-</v>
      </c>
      <c r="K930" s="49"/>
    </row>
    <row r="931" spans="1:11" x14ac:dyDescent="0.25">
      <c r="A931" s="46" t="str" cm="1">
        <f t="array" ref="A931">IFERROR(INDEX(#REF!,MATCH(TRUE,ISNUMBER(FIND(SUBSTITUTE(SUBSTITUTE(UPPER(#REF!)," ",""),":",": "),SUBSTITUTE(SUBSTITUTE(UPPER(S931)," ",""),":",": "))),0)),"Undefined")</f>
        <v>Undefined</v>
      </c>
      <c r="B931" s="42" t="str" cm="1">
        <f t="array" ref="B931">IFERROR(INDEX({"URGENTE"},MATCH(TRUE,ISNUMBER(FIND(SUBSTITUTE(SUBSTITUTE(UPPER({"URGENTE"})," ",""),":",": "),SUBSTITUTE(SUBSTITUTE(UPPER(S931)," ",""),":",": "))),0)),"-")</f>
        <v>-</v>
      </c>
      <c r="C931" s="46" t="str" cm="1">
        <f t="array" ref="C931">IFERROR(INDEX(#REF!,MATCH(TRUE,ISNUMBER(FIND(SUBSTITUTE(SUBSTITUTE(UPPER(#REF!)," ",""),":",": "),SUBSTITUTE(SUBSTITUTE(UPPER(S931)," ",""),":",": "))),0)),"Não encontrado")</f>
        <v>Não encontrado</v>
      </c>
      <c r="D931" s="46" t="str" cm="1">
        <f t="array" ref="D931">IFERROR(INDEX(#REF!,MATCH(TRUE,ISNUMBER(FIND(SUBSTITUTE(SUBSTITUTE(UPPER(#REF!)," ",""),":",": "),SUBSTITUTE(SUBSTITUTE(UPPER(S931)," ",""),":",": "))),0)),"Não encontrado")</f>
        <v>Não encontrado</v>
      </c>
      <c r="E931" s="42" t="str" cm="1">
        <f t="array" ref="E931">IFERROR(INDEX({"IMPEDITIVO"},MATCH(TRUE,ISNUMBER(FIND(SUBSTITUTE(SUBSTITUTE(UPPER({"IMPEDITIVO"})," ",""),":",": "),SUBSTITUTE(SUBSTITUTE(UPPER(S931)," ",""),":",": "))),0)),"-")</f>
        <v>-</v>
      </c>
      <c r="K931" s="49"/>
    </row>
    <row r="932" spans="1:11" x14ac:dyDescent="0.25">
      <c r="A932" s="46" t="str" cm="1">
        <f t="array" ref="A932">IFERROR(INDEX(#REF!,MATCH(TRUE,ISNUMBER(FIND(SUBSTITUTE(SUBSTITUTE(UPPER(#REF!)," ",""),":",": "),SUBSTITUTE(SUBSTITUTE(UPPER(S932)," ",""),":",": "))),0)),"Undefined")</f>
        <v>Undefined</v>
      </c>
      <c r="B932" s="42" t="str" cm="1">
        <f t="array" ref="B932">IFERROR(INDEX({"URGENTE"},MATCH(TRUE,ISNUMBER(FIND(SUBSTITUTE(SUBSTITUTE(UPPER({"URGENTE"})," ",""),":",": "),SUBSTITUTE(SUBSTITUTE(UPPER(S932)," ",""),":",": "))),0)),"-")</f>
        <v>-</v>
      </c>
      <c r="C932" s="46" t="str" cm="1">
        <f t="array" ref="C932">IFERROR(INDEX(#REF!,MATCH(TRUE,ISNUMBER(FIND(SUBSTITUTE(SUBSTITUTE(UPPER(#REF!)," ",""),":",": "),SUBSTITUTE(SUBSTITUTE(UPPER(S932)," ",""),":",": "))),0)),"Não encontrado")</f>
        <v>Não encontrado</v>
      </c>
      <c r="D932" s="46" t="str" cm="1">
        <f t="array" ref="D932">IFERROR(INDEX(#REF!,MATCH(TRUE,ISNUMBER(FIND(SUBSTITUTE(SUBSTITUTE(UPPER(#REF!)," ",""),":",": "),SUBSTITUTE(SUBSTITUTE(UPPER(S932)," ",""),":",": "))),0)),"Não encontrado")</f>
        <v>Não encontrado</v>
      </c>
      <c r="E932" s="42" t="str" cm="1">
        <f t="array" ref="E932">IFERROR(INDEX({"IMPEDITIVO"},MATCH(TRUE,ISNUMBER(FIND(SUBSTITUTE(SUBSTITUTE(UPPER({"IMPEDITIVO"})," ",""),":",": "),SUBSTITUTE(SUBSTITUTE(UPPER(S932)," ",""),":",": "))),0)),"-")</f>
        <v>-</v>
      </c>
      <c r="K932" s="49"/>
    </row>
    <row r="933" spans="1:11" x14ac:dyDescent="0.25">
      <c r="A933" s="46" t="str" cm="1">
        <f t="array" ref="A933">IFERROR(INDEX(#REF!,MATCH(TRUE,ISNUMBER(FIND(SUBSTITUTE(SUBSTITUTE(UPPER(#REF!)," ",""),":",": "),SUBSTITUTE(SUBSTITUTE(UPPER(S933)," ",""),":",": "))),0)),"Undefined")</f>
        <v>Undefined</v>
      </c>
      <c r="B933" s="42" t="str" cm="1">
        <f t="array" ref="B933">IFERROR(INDEX({"URGENTE"},MATCH(TRUE,ISNUMBER(FIND(SUBSTITUTE(SUBSTITUTE(UPPER({"URGENTE"})," ",""),":",": "),SUBSTITUTE(SUBSTITUTE(UPPER(S933)," ",""),":",": "))),0)),"-")</f>
        <v>-</v>
      </c>
      <c r="C933" s="46" t="str" cm="1">
        <f t="array" ref="C933">IFERROR(INDEX(#REF!,MATCH(TRUE,ISNUMBER(FIND(SUBSTITUTE(SUBSTITUTE(UPPER(#REF!)," ",""),":",": "),SUBSTITUTE(SUBSTITUTE(UPPER(S933)," ",""),":",": "))),0)),"Não encontrado")</f>
        <v>Não encontrado</v>
      </c>
      <c r="D933" s="46" t="str" cm="1">
        <f t="array" ref="D933">IFERROR(INDEX(#REF!,MATCH(TRUE,ISNUMBER(FIND(SUBSTITUTE(SUBSTITUTE(UPPER(#REF!)," ",""),":",": "),SUBSTITUTE(SUBSTITUTE(UPPER(S933)," ",""),":",": "))),0)),"Não encontrado")</f>
        <v>Não encontrado</v>
      </c>
      <c r="E933" s="42" t="str" cm="1">
        <f t="array" ref="E933">IFERROR(INDEX({"IMPEDITIVO"},MATCH(TRUE,ISNUMBER(FIND(SUBSTITUTE(SUBSTITUTE(UPPER({"IMPEDITIVO"})," ",""),":",": "),SUBSTITUTE(SUBSTITUTE(UPPER(S933)," ",""),":",": "))),0)),"-")</f>
        <v>-</v>
      </c>
      <c r="K933" s="49"/>
    </row>
    <row r="934" spans="1:11" x14ac:dyDescent="0.25">
      <c r="A934" s="46" t="str" cm="1">
        <f t="array" ref="A934">IFERROR(INDEX(#REF!,MATCH(TRUE,ISNUMBER(FIND(SUBSTITUTE(SUBSTITUTE(UPPER(#REF!)," ",""),":",": "),SUBSTITUTE(SUBSTITUTE(UPPER(S934)," ",""),":",": "))),0)),"Undefined")</f>
        <v>Undefined</v>
      </c>
      <c r="B934" s="42" t="str" cm="1">
        <f t="array" ref="B934">IFERROR(INDEX({"URGENTE"},MATCH(TRUE,ISNUMBER(FIND(SUBSTITUTE(SUBSTITUTE(UPPER({"URGENTE"})," ",""),":",": "),SUBSTITUTE(SUBSTITUTE(UPPER(S934)," ",""),":",": "))),0)),"-")</f>
        <v>-</v>
      </c>
      <c r="C934" s="46" t="str" cm="1">
        <f t="array" ref="C934">IFERROR(INDEX(#REF!,MATCH(TRUE,ISNUMBER(FIND(SUBSTITUTE(SUBSTITUTE(UPPER(#REF!)," ",""),":",": "),SUBSTITUTE(SUBSTITUTE(UPPER(S934)," ",""),":",": "))),0)),"Não encontrado")</f>
        <v>Não encontrado</v>
      </c>
      <c r="D934" s="46" t="str" cm="1">
        <f t="array" ref="D934">IFERROR(INDEX(#REF!,MATCH(TRUE,ISNUMBER(FIND(SUBSTITUTE(SUBSTITUTE(UPPER(#REF!)," ",""),":",": "),SUBSTITUTE(SUBSTITUTE(UPPER(S934)," ",""),":",": "))),0)),"Não encontrado")</f>
        <v>Não encontrado</v>
      </c>
      <c r="E934" s="42" t="str" cm="1">
        <f t="array" ref="E934">IFERROR(INDEX({"IMPEDITIVO"},MATCH(TRUE,ISNUMBER(FIND(SUBSTITUTE(SUBSTITUTE(UPPER({"IMPEDITIVO"})," ",""),":",": "),SUBSTITUTE(SUBSTITUTE(UPPER(S934)," ",""),":",": "))),0)),"-")</f>
        <v>-</v>
      </c>
      <c r="K934" s="49"/>
    </row>
    <row r="935" spans="1:11" x14ac:dyDescent="0.25">
      <c r="A935" s="46" t="str" cm="1">
        <f t="array" ref="A935">IFERROR(INDEX(#REF!,MATCH(TRUE,ISNUMBER(FIND(SUBSTITUTE(SUBSTITUTE(UPPER(#REF!)," ",""),":",": "),SUBSTITUTE(SUBSTITUTE(UPPER(S935)," ",""),":",": "))),0)),"Undefined")</f>
        <v>Undefined</v>
      </c>
      <c r="B935" s="42" t="str" cm="1">
        <f t="array" ref="B935">IFERROR(INDEX({"URGENTE"},MATCH(TRUE,ISNUMBER(FIND(SUBSTITUTE(SUBSTITUTE(UPPER({"URGENTE"})," ",""),":",": "),SUBSTITUTE(SUBSTITUTE(UPPER(S935)," ",""),":",": "))),0)),"-")</f>
        <v>-</v>
      </c>
      <c r="C935" s="46" t="str" cm="1">
        <f t="array" ref="C935">IFERROR(INDEX(#REF!,MATCH(TRUE,ISNUMBER(FIND(SUBSTITUTE(SUBSTITUTE(UPPER(#REF!)," ",""),":",": "),SUBSTITUTE(SUBSTITUTE(UPPER(S935)," ",""),":",": "))),0)),"Não encontrado")</f>
        <v>Não encontrado</v>
      </c>
      <c r="D935" s="46" t="str" cm="1">
        <f t="array" ref="D935">IFERROR(INDEX(#REF!,MATCH(TRUE,ISNUMBER(FIND(SUBSTITUTE(SUBSTITUTE(UPPER(#REF!)," ",""),":",": "),SUBSTITUTE(SUBSTITUTE(UPPER(S935)," ",""),":",": "))),0)),"Não encontrado")</f>
        <v>Não encontrado</v>
      </c>
      <c r="E935" s="42" t="str" cm="1">
        <f t="array" ref="E935">IFERROR(INDEX({"IMPEDITIVO"},MATCH(TRUE,ISNUMBER(FIND(SUBSTITUTE(SUBSTITUTE(UPPER({"IMPEDITIVO"})," ",""),":",": "),SUBSTITUTE(SUBSTITUTE(UPPER(S935)," ",""),":",": "))),0)),"-")</f>
        <v>-</v>
      </c>
      <c r="K935" s="49"/>
    </row>
    <row r="936" spans="1:11" x14ac:dyDescent="0.25">
      <c r="A936" s="46" t="str" cm="1">
        <f t="array" ref="A936">IFERROR(INDEX(#REF!,MATCH(TRUE,ISNUMBER(FIND(SUBSTITUTE(SUBSTITUTE(UPPER(#REF!)," ",""),":",": "),SUBSTITUTE(SUBSTITUTE(UPPER(S936)," ",""),":",": "))),0)),"Undefined")</f>
        <v>Undefined</v>
      </c>
      <c r="B936" s="42" t="str" cm="1">
        <f t="array" ref="B936">IFERROR(INDEX({"URGENTE"},MATCH(TRUE,ISNUMBER(FIND(SUBSTITUTE(SUBSTITUTE(UPPER({"URGENTE"})," ",""),":",": "),SUBSTITUTE(SUBSTITUTE(UPPER(S936)," ",""),":",": "))),0)),"-")</f>
        <v>-</v>
      </c>
      <c r="C936" s="46" t="str" cm="1">
        <f t="array" ref="C936">IFERROR(INDEX(#REF!,MATCH(TRUE,ISNUMBER(FIND(SUBSTITUTE(SUBSTITUTE(UPPER(#REF!)," ",""),":",": "),SUBSTITUTE(SUBSTITUTE(UPPER(S936)," ",""),":",": "))),0)),"Não encontrado")</f>
        <v>Não encontrado</v>
      </c>
      <c r="D936" s="46" t="str" cm="1">
        <f t="array" ref="D936">IFERROR(INDEX(#REF!,MATCH(TRUE,ISNUMBER(FIND(SUBSTITUTE(SUBSTITUTE(UPPER(#REF!)," ",""),":",": "),SUBSTITUTE(SUBSTITUTE(UPPER(S936)," ",""),":",": "))),0)),"Não encontrado")</f>
        <v>Não encontrado</v>
      </c>
      <c r="E936" s="42" t="str" cm="1">
        <f t="array" ref="E936">IFERROR(INDEX({"IMPEDITIVO"},MATCH(TRUE,ISNUMBER(FIND(SUBSTITUTE(SUBSTITUTE(UPPER({"IMPEDITIVO"})," ",""),":",": "),SUBSTITUTE(SUBSTITUTE(UPPER(S936)," ",""),":",": "))),0)),"-")</f>
        <v>-</v>
      </c>
      <c r="K936" s="49"/>
    </row>
    <row r="937" spans="1:11" x14ac:dyDescent="0.25">
      <c r="A937" s="46" t="str" cm="1">
        <f t="array" ref="A937">IFERROR(INDEX(#REF!,MATCH(TRUE,ISNUMBER(FIND(SUBSTITUTE(SUBSTITUTE(UPPER(#REF!)," ",""),":",": "),SUBSTITUTE(SUBSTITUTE(UPPER(S937)," ",""),":",": "))),0)),"Undefined")</f>
        <v>Undefined</v>
      </c>
      <c r="B937" s="42" t="str" cm="1">
        <f t="array" ref="B937">IFERROR(INDEX({"URGENTE"},MATCH(TRUE,ISNUMBER(FIND(SUBSTITUTE(SUBSTITUTE(UPPER({"URGENTE"})," ",""),":",": "),SUBSTITUTE(SUBSTITUTE(UPPER(S937)," ",""),":",": "))),0)),"-")</f>
        <v>-</v>
      </c>
      <c r="C937" s="46" t="str" cm="1">
        <f t="array" ref="C937">IFERROR(INDEX(#REF!,MATCH(TRUE,ISNUMBER(FIND(SUBSTITUTE(SUBSTITUTE(UPPER(#REF!)," ",""),":",": "),SUBSTITUTE(SUBSTITUTE(UPPER(S937)," ",""),":",": "))),0)),"Não encontrado")</f>
        <v>Não encontrado</v>
      </c>
      <c r="D937" s="46" t="str" cm="1">
        <f t="array" ref="D937">IFERROR(INDEX(#REF!,MATCH(TRUE,ISNUMBER(FIND(SUBSTITUTE(SUBSTITUTE(UPPER(#REF!)," ",""),":",": "),SUBSTITUTE(SUBSTITUTE(UPPER(S937)," ",""),":",": "))),0)),"Não encontrado")</f>
        <v>Não encontrado</v>
      </c>
      <c r="E937" s="42" t="str" cm="1">
        <f t="array" ref="E937">IFERROR(INDEX({"IMPEDITIVO"},MATCH(TRUE,ISNUMBER(FIND(SUBSTITUTE(SUBSTITUTE(UPPER({"IMPEDITIVO"})," ",""),":",": "),SUBSTITUTE(SUBSTITUTE(UPPER(S937)," ",""),":",": "))),0)),"-")</f>
        <v>-</v>
      </c>
      <c r="K937" s="49"/>
    </row>
    <row r="938" spans="1:11" x14ac:dyDescent="0.25">
      <c r="A938" s="46" t="str" cm="1">
        <f t="array" ref="A938">IFERROR(INDEX(#REF!,MATCH(TRUE,ISNUMBER(FIND(SUBSTITUTE(SUBSTITUTE(UPPER(#REF!)," ",""),":",": "),SUBSTITUTE(SUBSTITUTE(UPPER(S938)," ",""),":",": "))),0)),"Undefined")</f>
        <v>Undefined</v>
      </c>
      <c r="B938" s="42" t="str" cm="1">
        <f t="array" ref="B938">IFERROR(INDEX({"URGENTE"},MATCH(TRUE,ISNUMBER(FIND(SUBSTITUTE(SUBSTITUTE(UPPER({"URGENTE"})," ",""),":",": "),SUBSTITUTE(SUBSTITUTE(UPPER(S938)," ",""),":",": "))),0)),"-")</f>
        <v>-</v>
      </c>
      <c r="C938" s="46" t="str" cm="1">
        <f t="array" ref="C938">IFERROR(INDEX(#REF!,MATCH(TRUE,ISNUMBER(FIND(SUBSTITUTE(SUBSTITUTE(UPPER(#REF!)," ",""),":",": "),SUBSTITUTE(SUBSTITUTE(UPPER(S938)," ",""),":",": "))),0)),"Não encontrado")</f>
        <v>Não encontrado</v>
      </c>
      <c r="D938" s="46" t="str" cm="1">
        <f t="array" ref="D938">IFERROR(INDEX(#REF!,MATCH(TRUE,ISNUMBER(FIND(SUBSTITUTE(SUBSTITUTE(UPPER(#REF!)," ",""),":",": "),SUBSTITUTE(SUBSTITUTE(UPPER(S938)," ",""),":",": "))),0)),"Não encontrado")</f>
        <v>Não encontrado</v>
      </c>
      <c r="E938" s="42" t="str" cm="1">
        <f t="array" ref="E938">IFERROR(INDEX({"IMPEDITIVO"},MATCH(TRUE,ISNUMBER(FIND(SUBSTITUTE(SUBSTITUTE(UPPER({"IMPEDITIVO"})," ",""),":",": "),SUBSTITUTE(SUBSTITUTE(UPPER(S938)," ",""),":",": "))),0)),"-")</f>
        <v>-</v>
      </c>
      <c r="K938" s="49"/>
    </row>
    <row r="939" spans="1:11" x14ac:dyDescent="0.25">
      <c r="A939" s="46" t="str" cm="1">
        <f t="array" ref="A939">IFERROR(INDEX(#REF!,MATCH(TRUE,ISNUMBER(FIND(SUBSTITUTE(SUBSTITUTE(UPPER(#REF!)," ",""),":",": "),SUBSTITUTE(SUBSTITUTE(UPPER(S939)," ",""),":",": "))),0)),"Undefined")</f>
        <v>Undefined</v>
      </c>
      <c r="B939" s="42" t="str" cm="1">
        <f t="array" ref="B939">IFERROR(INDEX({"URGENTE"},MATCH(TRUE,ISNUMBER(FIND(SUBSTITUTE(SUBSTITUTE(UPPER({"URGENTE"})," ",""),":",": "),SUBSTITUTE(SUBSTITUTE(UPPER(S939)," ",""),":",": "))),0)),"-")</f>
        <v>-</v>
      </c>
      <c r="C939" s="46" t="str" cm="1">
        <f t="array" ref="C939">IFERROR(INDEX(#REF!,MATCH(TRUE,ISNUMBER(FIND(SUBSTITUTE(SUBSTITUTE(UPPER(#REF!)," ",""),":",": "),SUBSTITUTE(SUBSTITUTE(UPPER(S939)," ",""),":",": "))),0)),"Não encontrado")</f>
        <v>Não encontrado</v>
      </c>
      <c r="D939" s="46" t="str" cm="1">
        <f t="array" ref="D939">IFERROR(INDEX(#REF!,MATCH(TRUE,ISNUMBER(FIND(SUBSTITUTE(SUBSTITUTE(UPPER(#REF!)," ",""),":",": "),SUBSTITUTE(SUBSTITUTE(UPPER(S939)," ",""),":",": "))),0)),"Não encontrado")</f>
        <v>Não encontrado</v>
      </c>
      <c r="E939" s="42" t="str" cm="1">
        <f t="array" ref="E939">IFERROR(INDEX({"IMPEDITIVO"},MATCH(TRUE,ISNUMBER(FIND(SUBSTITUTE(SUBSTITUTE(UPPER({"IMPEDITIVO"})," ",""),":",": "),SUBSTITUTE(SUBSTITUTE(UPPER(S939)," ",""),":",": "))),0)),"-")</f>
        <v>-</v>
      </c>
      <c r="K939" s="49"/>
    </row>
    <row r="940" spans="1:11" x14ac:dyDescent="0.25">
      <c r="A940" s="46" t="str" cm="1">
        <f t="array" ref="A940">IFERROR(INDEX(#REF!,MATCH(TRUE,ISNUMBER(FIND(SUBSTITUTE(SUBSTITUTE(UPPER(#REF!)," ",""),":",": "),SUBSTITUTE(SUBSTITUTE(UPPER(S940)," ",""),":",": "))),0)),"Undefined")</f>
        <v>Undefined</v>
      </c>
      <c r="B940" s="42" t="str" cm="1">
        <f t="array" ref="B940">IFERROR(INDEX({"URGENTE"},MATCH(TRUE,ISNUMBER(FIND(SUBSTITUTE(SUBSTITUTE(UPPER({"URGENTE"})," ",""),":",": "),SUBSTITUTE(SUBSTITUTE(UPPER(S940)," ",""),":",": "))),0)),"-")</f>
        <v>-</v>
      </c>
      <c r="C940" s="46" t="str" cm="1">
        <f t="array" ref="C940">IFERROR(INDEX(#REF!,MATCH(TRUE,ISNUMBER(FIND(SUBSTITUTE(SUBSTITUTE(UPPER(#REF!)," ",""),":",": "),SUBSTITUTE(SUBSTITUTE(UPPER(S940)," ",""),":",": "))),0)),"Não encontrado")</f>
        <v>Não encontrado</v>
      </c>
      <c r="D940" s="46" t="str" cm="1">
        <f t="array" ref="D940">IFERROR(INDEX(#REF!,MATCH(TRUE,ISNUMBER(FIND(SUBSTITUTE(SUBSTITUTE(UPPER(#REF!)," ",""),":",": "),SUBSTITUTE(SUBSTITUTE(UPPER(S940)," ",""),":",": "))),0)),"Não encontrado")</f>
        <v>Não encontrado</v>
      </c>
      <c r="E940" s="42" t="str" cm="1">
        <f t="array" ref="E940">IFERROR(INDEX({"IMPEDITIVO"},MATCH(TRUE,ISNUMBER(FIND(SUBSTITUTE(SUBSTITUTE(UPPER({"IMPEDITIVO"})," ",""),":",": "),SUBSTITUTE(SUBSTITUTE(UPPER(S940)," ",""),":",": "))),0)),"-")</f>
        <v>-</v>
      </c>
      <c r="K940" s="49"/>
    </row>
    <row r="941" spans="1:11" x14ac:dyDescent="0.25">
      <c r="A941" s="46" t="str" cm="1">
        <f t="array" ref="A941">IFERROR(INDEX(#REF!,MATCH(TRUE,ISNUMBER(FIND(SUBSTITUTE(SUBSTITUTE(UPPER(#REF!)," ",""),":",": "),SUBSTITUTE(SUBSTITUTE(UPPER(S941)," ",""),":",": "))),0)),"Undefined")</f>
        <v>Undefined</v>
      </c>
      <c r="B941" s="42" t="str" cm="1">
        <f t="array" ref="B941">IFERROR(INDEX({"URGENTE"},MATCH(TRUE,ISNUMBER(FIND(SUBSTITUTE(SUBSTITUTE(UPPER({"URGENTE"})," ",""),":",": "),SUBSTITUTE(SUBSTITUTE(UPPER(S941)," ",""),":",": "))),0)),"-")</f>
        <v>-</v>
      </c>
      <c r="C941" s="46" t="str" cm="1">
        <f t="array" ref="C941">IFERROR(INDEX(#REF!,MATCH(TRUE,ISNUMBER(FIND(SUBSTITUTE(SUBSTITUTE(UPPER(#REF!)," ",""),":",": "),SUBSTITUTE(SUBSTITUTE(UPPER(S941)," ",""),":",": "))),0)),"Não encontrado")</f>
        <v>Não encontrado</v>
      </c>
      <c r="D941" s="46" t="str" cm="1">
        <f t="array" ref="D941">IFERROR(INDEX(#REF!,MATCH(TRUE,ISNUMBER(FIND(SUBSTITUTE(SUBSTITUTE(UPPER(#REF!)," ",""),":",": "),SUBSTITUTE(SUBSTITUTE(UPPER(S941)," ",""),":",": "))),0)),"Não encontrado")</f>
        <v>Não encontrado</v>
      </c>
      <c r="E941" s="42" t="str" cm="1">
        <f t="array" ref="E941">IFERROR(INDEX({"IMPEDITIVO"},MATCH(TRUE,ISNUMBER(FIND(SUBSTITUTE(SUBSTITUTE(UPPER({"IMPEDITIVO"})," ",""),":",": "),SUBSTITUTE(SUBSTITUTE(UPPER(S941)," ",""),":",": "))),0)),"-")</f>
        <v>-</v>
      </c>
      <c r="K941" s="49"/>
    </row>
    <row r="942" spans="1:11" x14ac:dyDescent="0.25">
      <c r="A942" s="46" t="str" cm="1">
        <f t="array" ref="A942">IFERROR(INDEX(#REF!,MATCH(TRUE,ISNUMBER(FIND(SUBSTITUTE(SUBSTITUTE(UPPER(#REF!)," ",""),":",": "),SUBSTITUTE(SUBSTITUTE(UPPER(S942)," ",""),":",": "))),0)),"Undefined")</f>
        <v>Undefined</v>
      </c>
      <c r="B942" s="42" t="str" cm="1">
        <f t="array" ref="B942">IFERROR(INDEX({"URGENTE"},MATCH(TRUE,ISNUMBER(FIND(SUBSTITUTE(SUBSTITUTE(UPPER({"URGENTE"})," ",""),":",": "),SUBSTITUTE(SUBSTITUTE(UPPER(S942)," ",""),":",": "))),0)),"-")</f>
        <v>-</v>
      </c>
      <c r="C942" s="46" t="str" cm="1">
        <f t="array" ref="C942">IFERROR(INDEX(#REF!,MATCH(TRUE,ISNUMBER(FIND(SUBSTITUTE(SUBSTITUTE(UPPER(#REF!)," ",""),":",": "),SUBSTITUTE(SUBSTITUTE(UPPER(S942)," ",""),":",": "))),0)),"Não encontrado")</f>
        <v>Não encontrado</v>
      </c>
      <c r="D942" s="46" t="str" cm="1">
        <f t="array" ref="D942">IFERROR(INDEX(#REF!,MATCH(TRUE,ISNUMBER(FIND(SUBSTITUTE(SUBSTITUTE(UPPER(#REF!)," ",""),":",": "),SUBSTITUTE(SUBSTITUTE(UPPER(S942)," ",""),":",": "))),0)),"Não encontrado")</f>
        <v>Não encontrado</v>
      </c>
      <c r="E942" s="42" t="str" cm="1">
        <f t="array" ref="E942">IFERROR(INDEX({"IMPEDITIVO"},MATCH(TRUE,ISNUMBER(FIND(SUBSTITUTE(SUBSTITUTE(UPPER({"IMPEDITIVO"})," ",""),":",": "),SUBSTITUTE(SUBSTITUTE(UPPER(S942)," ",""),":",": "))),0)),"-")</f>
        <v>-</v>
      </c>
      <c r="K942" s="49"/>
    </row>
    <row r="943" spans="1:11" x14ac:dyDescent="0.25">
      <c r="A943" s="46" t="str" cm="1">
        <f t="array" ref="A943">IFERROR(INDEX(#REF!,MATCH(TRUE,ISNUMBER(FIND(SUBSTITUTE(SUBSTITUTE(UPPER(#REF!)," ",""),":",": "),SUBSTITUTE(SUBSTITUTE(UPPER(S943)," ",""),":",": "))),0)),"Undefined")</f>
        <v>Undefined</v>
      </c>
      <c r="B943" s="42" t="str" cm="1">
        <f t="array" ref="B943">IFERROR(INDEX({"URGENTE"},MATCH(TRUE,ISNUMBER(FIND(SUBSTITUTE(SUBSTITUTE(UPPER({"URGENTE"})," ",""),":",": "),SUBSTITUTE(SUBSTITUTE(UPPER(S943)," ",""),":",": "))),0)),"-")</f>
        <v>-</v>
      </c>
      <c r="C943" s="46" t="str" cm="1">
        <f t="array" ref="C943">IFERROR(INDEX(#REF!,MATCH(TRUE,ISNUMBER(FIND(SUBSTITUTE(SUBSTITUTE(UPPER(#REF!)," ",""),":",": "),SUBSTITUTE(SUBSTITUTE(UPPER(S943)," ",""),":",": "))),0)),"Não encontrado")</f>
        <v>Não encontrado</v>
      </c>
      <c r="D943" s="46" t="str" cm="1">
        <f t="array" ref="D943">IFERROR(INDEX(#REF!,MATCH(TRUE,ISNUMBER(FIND(SUBSTITUTE(SUBSTITUTE(UPPER(#REF!)," ",""),":",": "),SUBSTITUTE(SUBSTITUTE(UPPER(S943)," ",""),":",": "))),0)),"Não encontrado")</f>
        <v>Não encontrado</v>
      </c>
      <c r="E943" s="42" t="str" cm="1">
        <f t="array" ref="E943">IFERROR(INDEX({"IMPEDITIVO"},MATCH(TRUE,ISNUMBER(FIND(SUBSTITUTE(SUBSTITUTE(UPPER({"IMPEDITIVO"})," ",""),":",": "),SUBSTITUTE(SUBSTITUTE(UPPER(S943)," ",""),":",": "))),0)),"-")</f>
        <v>-</v>
      </c>
      <c r="K943" s="49"/>
    </row>
    <row r="944" spans="1:11" x14ac:dyDescent="0.25">
      <c r="A944" s="46" t="str" cm="1">
        <f t="array" ref="A944">IFERROR(INDEX(#REF!,MATCH(TRUE,ISNUMBER(FIND(SUBSTITUTE(SUBSTITUTE(UPPER(#REF!)," ",""),":",": "),SUBSTITUTE(SUBSTITUTE(UPPER(S944)," ",""),":",": "))),0)),"Undefined")</f>
        <v>Undefined</v>
      </c>
      <c r="B944" s="42" t="str" cm="1">
        <f t="array" ref="B944">IFERROR(INDEX({"URGENTE"},MATCH(TRUE,ISNUMBER(FIND(SUBSTITUTE(SUBSTITUTE(UPPER({"URGENTE"})," ",""),":",": "),SUBSTITUTE(SUBSTITUTE(UPPER(S944)," ",""),":",": "))),0)),"-")</f>
        <v>-</v>
      </c>
      <c r="C944" s="46" t="str" cm="1">
        <f t="array" ref="C944">IFERROR(INDEX(#REF!,MATCH(TRUE,ISNUMBER(FIND(SUBSTITUTE(SUBSTITUTE(UPPER(#REF!)," ",""),":",": "),SUBSTITUTE(SUBSTITUTE(UPPER(S944)," ",""),":",": "))),0)),"Não encontrado")</f>
        <v>Não encontrado</v>
      </c>
      <c r="D944" s="46" t="str" cm="1">
        <f t="array" ref="D944">IFERROR(INDEX(#REF!,MATCH(TRUE,ISNUMBER(FIND(SUBSTITUTE(SUBSTITUTE(UPPER(#REF!)," ",""),":",": "),SUBSTITUTE(SUBSTITUTE(UPPER(S944)," ",""),":",": "))),0)),"Não encontrado")</f>
        <v>Não encontrado</v>
      </c>
      <c r="E944" s="42" t="str" cm="1">
        <f t="array" ref="E944">IFERROR(INDEX({"IMPEDITIVO"},MATCH(TRUE,ISNUMBER(FIND(SUBSTITUTE(SUBSTITUTE(UPPER({"IMPEDITIVO"})," ",""),":",": "),SUBSTITUTE(SUBSTITUTE(UPPER(S944)," ",""),":",": "))),0)),"-")</f>
        <v>-</v>
      </c>
      <c r="K944" s="49"/>
    </row>
    <row r="945" spans="1:11" x14ac:dyDescent="0.25">
      <c r="A945" s="46" t="str" cm="1">
        <f t="array" ref="A945">IFERROR(INDEX(#REF!,MATCH(TRUE,ISNUMBER(FIND(SUBSTITUTE(SUBSTITUTE(UPPER(#REF!)," ",""),":",": "),SUBSTITUTE(SUBSTITUTE(UPPER(S945)," ",""),":",": "))),0)),"Undefined")</f>
        <v>Undefined</v>
      </c>
      <c r="B945" s="42" t="str" cm="1">
        <f t="array" ref="B945">IFERROR(INDEX({"URGENTE"},MATCH(TRUE,ISNUMBER(FIND(SUBSTITUTE(SUBSTITUTE(UPPER({"URGENTE"})," ",""),":",": "),SUBSTITUTE(SUBSTITUTE(UPPER(S945)," ",""),":",": "))),0)),"-")</f>
        <v>-</v>
      </c>
      <c r="C945" s="46" t="str" cm="1">
        <f t="array" ref="C945">IFERROR(INDEX(#REF!,MATCH(TRUE,ISNUMBER(FIND(SUBSTITUTE(SUBSTITUTE(UPPER(#REF!)," ",""),":",": "),SUBSTITUTE(SUBSTITUTE(UPPER(S945)," ",""),":",": "))),0)),"Não encontrado")</f>
        <v>Não encontrado</v>
      </c>
      <c r="D945" s="46" t="str" cm="1">
        <f t="array" ref="D945">IFERROR(INDEX(#REF!,MATCH(TRUE,ISNUMBER(FIND(SUBSTITUTE(SUBSTITUTE(UPPER(#REF!)," ",""),":",": "),SUBSTITUTE(SUBSTITUTE(UPPER(S945)," ",""),":",": "))),0)),"Não encontrado")</f>
        <v>Não encontrado</v>
      </c>
      <c r="E945" s="42" t="str" cm="1">
        <f t="array" ref="E945">IFERROR(INDEX({"IMPEDITIVO"},MATCH(TRUE,ISNUMBER(FIND(SUBSTITUTE(SUBSTITUTE(UPPER({"IMPEDITIVO"})," ",""),":",": "),SUBSTITUTE(SUBSTITUTE(UPPER(S945)," ",""),":",": "))),0)),"-")</f>
        <v>-</v>
      </c>
      <c r="K945" s="49"/>
    </row>
    <row r="946" spans="1:11" x14ac:dyDescent="0.25">
      <c r="A946" s="46" t="str" cm="1">
        <f t="array" ref="A946">IFERROR(INDEX(#REF!,MATCH(TRUE,ISNUMBER(FIND(SUBSTITUTE(SUBSTITUTE(UPPER(#REF!)," ",""),":",": "),SUBSTITUTE(SUBSTITUTE(UPPER(S946)," ",""),":",": "))),0)),"Undefined")</f>
        <v>Undefined</v>
      </c>
      <c r="B946" s="42" t="str" cm="1">
        <f t="array" ref="B946">IFERROR(INDEX({"URGENTE"},MATCH(TRUE,ISNUMBER(FIND(SUBSTITUTE(SUBSTITUTE(UPPER({"URGENTE"})," ",""),":",": "),SUBSTITUTE(SUBSTITUTE(UPPER(S946)," ",""),":",": "))),0)),"-")</f>
        <v>-</v>
      </c>
      <c r="C946" s="46" t="str" cm="1">
        <f t="array" ref="C946">IFERROR(INDEX(#REF!,MATCH(TRUE,ISNUMBER(FIND(SUBSTITUTE(SUBSTITUTE(UPPER(#REF!)," ",""),":",": "),SUBSTITUTE(SUBSTITUTE(UPPER(S946)," ",""),":",": "))),0)),"Não encontrado")</f>
        <v>Não encontrado</v>
      </c>
      <c r="D946" s="46" t="str" cm="1">
        <f t="array" ref="D946">IFERROR(INDEX(#REF!,MATCH(TRUE,ISNUMBER(FIND(SUBSTITUTE(SUBSTITUTE(UPPER(#REF!)," ",""),":",": "),SUBSTITUTE(SUBSTITUTE(UPPER(S946)," ",""),":",": "))),0)),"Não encontrado")</f>
        <v>Não encontrado</v>
      </c>
      <c r="E946" s="42" t="str" cm="1">
        <f t="array" ref="E946">IFERROR(INDEX({"IMPEDITIVO"},MATCH(TRUE,ISNUMBER(FIND(SUBSTITUTE(SUBSTITUTE(UPPER({"IMPEDITIVO"})," ",""),":",": "),SUBSTITUTE(SUBSTITUTE(UPPER(S946)," ",""),":",": "))),0)),"-")</f>
        <v>-</v>
      </c>
      <c r="K946" s="49"/>
    </row>
    <row r="947" spans="1:11" x14ac:dyDescent="0.25">
      <c r="A947" s="46" t="str" cm="1">
        <f t="array" ref="A947">IFERROR(INDEX(#REF!,MATCH(TRUE,ISNUMBER(FIND(SUBSTITUTE(SUBSTITUTE(UPPER(#REF!)," ",""),":",": "),SUBSTITUTE(SUBSTITUTE(UPPER(S947)," ",""),":",": "))),0)),"Undefined")</f>
        <v>Undefined</v>
      </c>
      <c r="B947" s="42" t="str" cm="1">
        <f t="array" ref="B947">IFERROR(INDEX({"URGENTE"},MATCH(TRUE,ISNUMBER(FIND(SUBSTITUTE(SUBSTITUTE(UPPER({"URGENTE"})," ",""),":",": "),SUBSTITUTE(SUBSTITUTE(UPPER(S947)," ",""),":",": "))),0)),"-")</f>
        <v>-</v>
      </c>
      <c r="C947" s="46" t="str" cm="1">
        <f t="array" ref="C947">IFERROR(INDEX(#REF!,MATCH(TRUE,ISNUMBER(FIND(SUBSTITUTE(SUBSTITUTE(UPPER(#REF!)," ",""),":",": "),SUBSTITUTE(SUBSTITUTE(UPPER(S947)," ",""),":",": "))),0)),"Não encontrado")</f>
        <v>Não encontrado</v>
      </c>
      <c r="D947" s="46" t="str" cm="1">
        <f t="array" ref="D947">IFERROR(INDEX(#REF!,MATCH(TRUE,ISNUMBER(FIND(SUBSTITUTE(SUBSTITUTE(UPPER(#REF!)," ",""),":",": "),SUBSTITUTE(SUBSTITUTE(UPPER(S947)," ",""),":",": "))),0)),"Não encontrado")</f>
        <v>Não encontrado</v>
      </c>
      <c r="E947" s="42" t="str" cm="1">
        <f t="array" ref="E947">IFERROR(INDEX({"IMPEDITIVO"},MATCH(TRUE,ISNUMBER(FIND(SUBSTITUTE(SUBSTITUTE(UPPER({"IMPEDITIVO"})," ",""),":",": "),SUBSTITUTE(SUBSTITUTE(UPPER(S947)," ",""),":",": "))),0)),"-")</f>
        <v>-</v>
      </c>
      <c r="K947" s="49"/>
    </row>
    <row r="948" spans="1:11" x14ac:dyDescent="0.25">
      <c r="A948" s="46" t="str" cm="1">
        <f t="array" ref="A948">IFERROR(INDEX(#REF!,MATCH(TRUE,ISNUMBER(FIND(SUBSTITUTE(SUBSTITUTE(UPPER(#REF!)," ",""),":",": "),SUBSTITUTE(SUBSTITUTE(UPPER(S948)," ",""),":",": "))),0)),"Undefined")</f>
        <v>Undefined</v>
      </c>
      <c r="B948" s="42" t="str" cm="1">
        <f t="array" ref="B948">IFERROR(INDEX({"URGENTE"},MATCH(TRUE,ISNUMBER(FIND(SUBSTITUTE(SUBSTITUTE(UPPER({"URGENTE"})," ",""),":",": "),SUBSTITUTE(SUBSTITUTE(UPPER(S948)," ",""),":",": "))),0)),"-")</f>
        <v>-</v>
      </c>
      <c r="C948" s="46" t="str" cm="1">
        <f t="array" ref="C948">IFERROR(INDEX(#REF!,MATCH(TRUE,ISNUMBER(FIND(SUBSTITUTE(SUBSTITUTE(UPPER(#REF!)," ",""),":",": "),SUBSTITUTE(SUBSTITUTE(UPPER(S948)," ",""),":",": "))),0)),"Não encontrado")</f>
        <v>Não encontrado</v>
      </c>
      <c r="D948" s="46" t="str" cm="1">
        <f t="array" ref="D948">IFERROR(INDEX(#REF!,MATCH(TRUE,ISNUMBER(FIND(SUBSTITUTE(SUBSTITUTE(UPPER(#REF!)," ",""),":",": "),SUBSTITUTE(SUBSTITUTE(UPPER(S948)," ",""),":",": "))),0)),"Não encontrado")</f>
        <v>Não encontrado</v>
      </c>
      <c r="E948" s="42" t="str" cm="1">
        <f t="array" ref="E948">IFERROR(INDEX({"IMPEDITIVO"},MATCH(TRUE,ISNUMBER(FIND(SUBSTITUTE(SUBSTITUTE(UPPER({"IMPEDITIVO"})," ",""),":",": "),SUBSTITUTE(SUBSTITUTE(UPPER(S948)," ",""),":",": "))),0)),"-")</f>
        <v>-</v>
      </c>
      <c r="K948" s="49"/>
    </row>
    <row r="949" spans="1:11" x14ac:dyDescent="0.25">
      <c r="A949" s="46" t="str" cm="1">
        <f t="array" ref="A949">IFERROR(INDEX(#REF!,MATCH(TRUE,ISNUMBER(FIND(SUBSTITUTE(SUBSTITUTE(UPPER(#REF!)," ",""),":",": "),SUBSTITUTE(SUBSTITUTE(UPPER(S949)," ",""),":",": "))),0)),"Undefined")</f>
        <v>Undefined</v>
      </c>
      <c r="B949" s="42" t="str" cm="1">
        <f t="array" ref="B949">IFERROR(INDEX({"URGENTE"},MATCH(TRUE,ISNUMBER(FIND(SUBSTITUTE(SUBSTITUTE(UPPER({"URGENTE"})," ",""),":",": "),SUBSTITUTE(SUBSTITUTE(UPPER(S949)," ",""),":",": "))),0)),"-")</f>
        <v>-</v>
      </c>
      <c r="C949" s="46" t="str" cm="1">
        <f t="array" ref="C949">IFERROR(INDEX(#REF!,MATCH(TRUE,ISNUMBER(FIND(SUBSTITUTE(SUBSTITUTE(UPPER(#REF!)," ",""),":",": "),SUBSTITUTE(SUBSTITUTE(UPPER(S949)," ",""),":",": "))),0)),"Não encontrado")</f>
        <v>Não encontrado</v>
      </c>
      <c r="D949" s="46" t="str" cm="1">
        <f t="array" ref="D949">IFERROR(INDEX(#REF!,MATCH(TRUE,ISNUMBER(FIND(SUBSTITUTE(SUBSTITUTE(UPPER(#REF!)," ",""),":",": "),SUBSTITUTE(SUBSTITUTE(UPPER(S949)," ",""),":",": "))),0)),"Não encontrado")</f>
        <v>Não encontrado</v>
      </c>
      <c r="E949" s="42" t="str" cm="1">
        <f t="array" ref="E949">IFERROR(INDEX({"IMPEDITIVO"},MATCH(TRUE,ISNUMBER(FIND(SUBSTITUTE(SUBSTITUTE(UPPER({"IMPEDITIVO"})," ",""),":",": "),SUBSTITUTE(SUBSTITUTE(UPPER(S949)," ",""),":",": "))),0)),"-")</f>
        <v>-</v>
      </c>
      <c r="K949" s="49"/>
    </row>
    <row r="950" spans="1:11" x14ac:dyDescent="0.25">
      <c r="A950" s="46" t="str" cm="1">
        <f t="array" ref="A950">IFERROR(INDEX(#REF!,MATCH(TRUE,ISNUMBER(FIND(SUBSTITUTE(SUBSTITUTE(UPPER(#REF!)," ",""),":",": "),SUBSTITUTE(SUBSTITUTE(UPPER(S950)," ",""),":",": "))),0)),"Undefined")</f>
        <v>Undefined</v>
      </c>
      <c r="B950" s="42" t="str" cm="1">
        <f t="array" ref="B950">IFERROR(INDEX({"URGENTE"},MATCH(TRUE,ISNUMBER(FIND(SUBSTITUTE(SUBSTITUTE(UPPER({"URGENTE"})," ",""),":",": "),SUBSTITUTE(SUBSTITUTE(UPPER(S950)," ",""),":",": "))),0)),"-")</f>
        <v>-</v>
      </c>
      <c r="C950" s="46" t="str" cm="1">
        <f t="array" ref="C950">IFERROR(INDEX(#REF!,MATCH(TRUE,ISNUMBER(FIND(SUBSTITUTE(SUBSTITUTE(UPPER(#REF!)," ",""),":",": "),SUBSTITUTE(SUBSTITUTE(UPPER(S950)," ",""),":",": "))),0)),"Não encontrado")</f>
        <v>Não encontrado</v>
      </c>
      <c r="D950" s="46" t="str" cm="1">
        <f t="array" ref="D950">IFERROR(INDEX(#REF!,MATCH(TRUE,ISNUMBER(FIND(SUBSTITUTE(SUBSTITUTE(UPPER(#REF!)," ",""),":",": "),SUBSTITUTE(SUBSTITUTE(UPPER(S950)," ",""),":",": "))),0)),"Não encontrado")</f>
        <v>Não encontrado</v>
      </c>
      <c r="E950" s="42" t="str" cm="1">
        <f t="array" ref="E950">IFERROR(INDEX({"IMPEDITIVO"},MATCH(TRUE,ISNUMBER(FIND(SUBSTITUTE(SUBSTITUTE(UPPER({"IMPEDITIVO"})," ",""),":",": "),SUBSTITUTE(SUBSTITUTE(UPPER(S950)," ",""),":",": "))),0)),"-")</f>
        <v>-</v>
      </c>
      <c r="K950" s="49"/>
    </row>
    <row r="951" spans="1:11" x14ac:dyDescent="0.25">
      <c r="A951" s="46" t="str" cm="1">
        <f t="array" ref="A951">IFERROR(INDEX(#REF!,MATCH(TRUE,ISNUMBER(FIND(SUBSTITUTE(SUBSTITUTE(UPPER(#REF!)," ",""),":",": "),SUBSTITUTE(SUBSTITUTE(UPPER(S951)," ",""),":",": "))),0)),"Undefined")</f>
        <v>Undefined</v>
      </c>
      <c r="B951" s="42" t="str" cm="1">
        <f t="array" ref="B951">IFERROR(INDEX({"URGENTE"},MATCH(TRUE,ISNUMBER(FIND(SUBSTITUTE(SUBSTITUTE(UPPER({"URGENTE"})," ",""),":",": "),SUBSTITUTE(SUBSTITUTE(UPPER(S951)," ",""),":",": "))),0)),"-")</f>
        <v>-</v>
      </c>
      <c r="C951" s="46" t="str" cm="1">
        <f t="array" ref="C951">IFERROR(INDEX(#REF!,MATCH(TRUE,ISNUMBER(FIND(SUBSTITUTE(SUBSTITUTE(UPPER(#REF!)," ",""),":",": "),SUBSTITUTE(SUBSTITUTE(UPPER(S951)," ",""),":",": "))),0)),"Não encontrado")</f>
        <v>Não encontrado</v>
      </c>
      <c r="D951" s="46" t="str" cm="1">
        <f t="array" ref="D951">IFERROR(INDEX(#REF!,MATCH(TRUE,ISNUMBER(FIND(SUBSTITUTE(SUBSTITUTE(UPPER(#REF!)," ",""),":",": "),SUBSTITUTE(SUBSTITUTE(UPPER(S951)," ",""),":",": "))),0)),"Não encontrado")</f>
        <v>Não encontrado</v>
      </c>
      <c r="E951" s="42" t="str" cm="1">
        <f t="array" ref="E951">IFERROR(INDEX({"IMPEDITIVO"},MATCH(TRUE,ISNUMBER(FIND(SUBSTITUTE(SUBSTITUTE(UPPER({"IMPEDITIVO"})," ",""),":",": "),SUBSTITUTE(SUBSTITUTE(UPPER(S951)," ",""),":",": "))),0)),"-")</f>
        <v>-</v>
      </c>
      <c r="K951" s="49"/>
    </row>
    <row r="952" spans="1:11" x14ac:dyDescent="0.25">
      <c r="A952" s="46" t="str" cm="1">
        <f t="array" ref="A952">IFERROR(INDEX(#REF!,MATCH(TRUE,ISNUMBER(FIND(SUBSTITUTE(SUBSTITUTE(UPPER(#REF!)," ",""),":",": "),SUBSTITUTE(SUBSTITUTE(UPPER(S952)," ",""),":",": "))),0)),"Undefined")</f>
        <v>Undefined</v>
      </c>
      <c r="B952" s="42" t="str" cm="1">
        <f t="array" ref="B952">IFERROR(INDEX({"URGENTE"},MATCH(TRUE,ISNUMBER(FIND(SUBSTITUTE(SUBSTITUTE(UPPER({"URGENTE"})," ",""),":",": "),SUBSTITUTE(SUBSTITUTE(UPPER(S952)," ",""),":",": "))),0)),"-")</f>
        <v>-</v>
      </c>
      <c r="C952" s="46" t="str" cm="1">
        <f t="array" ref="C952">IFERROR(INDEX(#REF!,MATCH(TRUE,ISNUMBER(FIND(SUBSTITUTE(SUBSTITUTE(UPPER(#REF!)," ",""),":",": "),SUBSTITUTE(SUBSTITUTE(UPPER(S952)," ",""),":",": "))),0)),"Não encontrado")</f>
        <v>Não encontrado</v>
      </c>
      <c r="D952" s="46" t="str" cm="1">
        <f t="array" ref="D952">IFERROR(INDEX(#REF!,MATCH(TRUE,ISNUMBER(FIND(SUBSTITUTE(SUBSTITUTE(UPPER(#REF!)," ",""),":",": "),SUBSTITUTE(SUBSTITUTE(UPPER(S952)," ",""),":",": "))),0)),"Não encontrado")</f>
        <v>Não encontrado</v>
      </c>
      <c r="E952" s="42" t="str" cm="1">
        <f t="array" ref="E952">IFERROR(INDEX({"IMPEDITIVO"},MATCH(TRUE,ISNUMBER(FIND(SUBSTITUTE(SUBSTITUTE(UPPER({"IMPEDITIVO"})," ",""),":",": "),SUBSTITUTE(SUBSTITUTE(UPPER(S952)," ",""),":",": "))),0)),"-")</f>
        <v>-</v>
      </c>
      <c r="K952" s="49"/>
    </row>
    <row r="953" spans="1:11" x14ac:dyDescent="0.25">
      <c r="A953" s="46" t="str" cm="1">
        <f t="array" ref="A953">IFERROR(INDEX(#REF!,MATCH(TRUE,ISNUMBER(FIND(SUBSTITUTE(SUBSTITUTE(UPPER(#REF!)," ",""),":",": "),SUBSTITUTE(SUBSTITUTE(UPPER(S953)," ",""),":",": "))),0)),"Undefined")</f>
        <v>Undefined</v>
      </c>
      <c r="B953" s="42" t="str" cm="1">
        <f t="array" ref="B953">IFERROR(INDEX({"URGENTE"},MATCH(TRUE,ISNUMBER(FIND(SUBSTITUTE(SUBSTITUTE(UPPER({"URGENTE"})," ",""),":",": "),SUBSTITUTE(SUBSTITUTE(UPPER(S953)," ",""),":",": "))),0)),"-")</f>
        <v>-</v>
      </c>
      <c r="C953" s="46" t="str" cm="1">
        <f t="array" ref="C953">IFERROR(INDEX(#REF!,MATCH(TRUE,ISNUMBER(FIND(SUBSTITUTE(SUBSTITUTE(UPPER(#REF!)," ",""),":",": "),SUBSTITUTE(SUBSTITUTE(UPPER(S953)," ",""),":",": "))),0)),"Não encontrado")</f>
        <v>Não encontrado</v>
      </c>
      <c r="D953" s="46" t="str" cm="1">
        <f t="array" ref="D953">IFERROR(INDEX(#REF!,MATCH(TRUE,ISNUMBER(FIND(SUBSTITUTE(SUBSTITUTE(UPPER(#REF!)," ",""),":",": "),SUBSTITUTE(SUBSTITUTE(UPPER(S953)," ",""),":",": "))),0)),"Não encontrado")</f>
        <v>Não encontrado</v>
      </c>
      <c r="E953" s="42" t="str" cm="1">
        <f t="array" ref="E953">IFERROR(INDEX({"IMPEDITIVO"},MATCH(TRUE,ISNUMBER(FIND(SUBSTITUTE(SUBSTITUTE(UPPER({"IMPEDITIVO"})," ",""),":",": "),SUBSTITUTE(SUBSTITUTE(UPPER(S953)," ",""),":",": "))),0)),"-")</f>
        <v>-</v>
      </c>
      <c r="K953" s="49"/>
    </row>
    <row r="954" spans="1:11" x14ac:dyDescent="0.25">
      <c r="A954" s="46" t="str" cm="1">
        <f t="array" ref="A954">IFERROR(INDEX(#REF!,MATCH(TRUE,ISNUMBER(FIND(SUBSTITUTE(SUBSTITUTE(UPPER(#REF!)," ",""),":",": "),SUBSTITUTE(SUBSTITUTE(UPPER(S954)," ",""),":",": "))),0)),"Undefined")</f>
        <v>Undefined</v>
      </c>
      <c r="B954" s="42" t="str" cm="1">
        <f t="array" ref="B954">IFERROR(INDEX({"URGENTE"},MATCH(TRUE,ISNUMBER(FIND(SUBSTITUTE(SUBSTITUTE(UPPER({"URGENTE"})," ",""),":",": "),SUBSTITUTE(SUBSTITUTE(UPPER(S954)," ",""),":",": "))),0)),"-")</f>
        <v>-</v>
      </c>
      <c r="C954" s="46" t="str" cm="1">
        <f t="array" ref="C954">IFERROR(INDEX(#REF!,MATCH(TRUE,ISNUMBER(FIND(SUBSTITUTE(SUBSTITUTE(UPPER(#REF!)," ",""),":",": "),SUBSTITUTE(SUBSTITUTE(UPPER(S954)," ",""),":",": "))),0)),"Não encontrado")</f>
        <v>Não encontrado</v>
      </c>
      <c r="D954" s="46" t="str" cm="1">
        <f t="array" ref="D954">IFERROR(INDEX(#REF!,MATCH(TRUE,ISNUMBER(FIND(SUBSTITUTE(SUBSTITUTE(UPPER(#REF!)," ",""),":",": "),SUBSTITUTE(SUBSTITUTE(UPPER(S954)," ",""),":",": "))),0)),"Não encontrado")</f>
        <v>Não encontrado</v>
      </c>
      <c r="E954" s="42" t="str" cm="1">
        <f t="array" ref="E954">IFERROR(INDEX({"IMPEDITIVO"},MATCH(TRUE,ISNUMBER(FIND(SUBSTITUTE(SUBSTITUTE(UPPER({"IMPEDITIVO"})," ",""),":",": "),SUBSTITUTE(SUBSTITUTE(UPPER(S954)," ",""),":",": "))),0)),"-")</f>
        <v>-</v>
      </c>
      <c r="K954" s="49"/>
    </row>
    <row r="955" spans="1:11" x14ac:dyDescent="0.25">
      <c r="A955" s="46" t="str" cm="1">
        <f t="array" ref="A955">IFERROR(INDEX(#REF!,MATCH(TRUE,ISNUMBER(FIND(SUBSTITUTE(SUBSTITUTE(UPPER(#REF!)," ",""),":",": "),SUBSTITUTE(SUBSTITUTE(UPPER(S955)," ",""),":",": "))),0)),"Undefined")</f>
        <v>Undefined</v>
      </c>
      <c r="B955" s="42" t="str" cm="1">
        <f t="array" ref="B955">IFERROR(INDEX({"URGENTE"},MATCH(TRUE,ISNUMBER(FIND(SUBSTITUTE(SUBSTITUTE(UPPER({"URGENTE"})," ",""),":",": "),SUBSTITUTE(SUBSTITUTE(UPPER(S955)," ",""),":",": "))),0)),"-")</f>
        <v>-</v>
      </c>
      <c r="C955" s="46" t="str" cm="1">
        <f t="array" ref="C955">IFERROR(INDEX(#REF!,MATCH(TRUE,ISNUMBER(FIND(SUBSTITUTE(SUBSTITUTE(UPPER(#REF!)," ",""),":",": "),SUBSTITUTE(SUBSTITUTE(UPPER(S955)," ",""),":",": "))),0)),"Não encontrado")</f>
        <v>Não encontrado</v>
      </c>
      <c r="D955" s="46" t="str" cm="1">
        <f t="array" ref="D955">IFERROR(INDEX(#REF!,MATCH(TRUE,ISNUMBER(FIND(SUBSTITUTE(SUBSTITUTE(UPPER(#REF!)," ",""),":",": "),SUBSTITUTE(SUBSTITUTE(UPPER(S955)," ",""),":",": "))),0)),"Não encontrado")</f>
        <v>Não encontrado</v>
      </c>
      <c r="E955" s="42" t="str" cm="1">
        <f t="array" ref="E955">IFERROR(INDEX({"IMPEDITIVO"},MATCH(TRUE,ISNUMBER(FIND(SUBSTITUTE(SUBSTITUTE(UPPER({"IMPEDITIVO"})," ",""),":",": "),SUBSTITUTE(SUBSTITUTE(UPPER(S955)," ",""),":",": "))),0)),"-")</f>
        <v>-</v>
      </c>
      <c r="K955" s="49"/>
    </row>
    <row r="956" spans="1:11" x14ac:dyDescent="0.25">
      <c r="A956" s="46" t="str" cm="1">
        <f t="array" ref="A956">IFERROR(INDEX(#REF!,MATCH(TRUE,ISNUMBER(FIND(SUBSTITUTE(SUBSTITUTE(UPPER(#REF!)," ",""),":",": "),SUBSTITUTE(SUBSTITUTE(UPPER(S956)," ",""),":",": "))),0)),"Undefined")</f>
        <v>Undefined</v>
      </c>
      <c r="B956" s="42" t="str" cm="1">
        <f t="array" ref="B956">IFERROR(INDEX({"URGENTE"},MATCH(TRUE,ISNUMBER(FIND(SUBSTITUTE(SUBSTITUTE(UPPER({"URGENTE"})," ",""),":",": "),SUBSTITUTE(SUBSTITUTE(UPPER(S956)," ",""),":",": "))),0)),"-")</f>
        <v>-</v>
      </c>
      <c r="C956" s="46" t="str" cm="1">
        <f t="array" ref="C956">IFERROR(INDEX(#REF!,MATCH(TRUE,ISNUMBER(FIND(SUBSTITUTE(SUBSTITUTE(UPPER(#REF!)," ",""),":",": "),SUBSTITUTE(SUBSTITUTE(UPPER(S956)," ",""),":",": "))),0)),"Não encontrado")</f>
        <v>Não encontrado</v>
      </c>
      <c r="D956" s="46" t="str" cm="1">
        <f t="array" ref="D956">IFERROR(INDEX(#REF!,MATCH(TRUE,ISNUMBER(FIND(SUBSTITUTE(SUBSTITUTE(UPPER(#REF!)," ",""),":",": "),SUBSTITUTE(SUBSTITUTE(UPPER(S956)," ",""),":",": "))),0)),"Não encontrado")</f>
        <v>Não encontrado</v>
      </c>
      <c r="E956" s="42" t="str" cm="1">
        <f t="array" ref="E956">IFERROR(INDEX({"IMPEDITIVO"},MATCH(TRUE,ISNUMBER(FIND(SUBSTITUTE(SUBSTITUTE(UPPER({"IMPEDITIVO"})," ",""),":",": "),SUBSTITUTE(SUBSTITUTE(UPPER(S956)," ",""),":",": "))),0)),"-")</f>
        <v>-</v>
      </c>
      <c r="K956" s="49"/>
    </row>
    <row r="957" spans="1:11" x14ac:dyDescent="0.25">
      <c r="A957" s="46" t="str" cm="1">
        <f t="array" ref="A957">IFERROR(INDEX(#REF!,MATCH(TRUE,ISNUMBER(FIND(SUBSTITUTE(SUBSTITUTE(UPPER(#REF!)," ",""),":",": "),SUBSTITUTE(SUBSTITUTE(UPPER(S957)," ",""),":",": "))),0)),"Undefined")</f>
        <v>Undefined</v>
      </c>
      <c r="B957" s="42" t="str" cm="1">
        <f t="array" ref="B957">IFERROR(INDEX({"URGENTE"},MATCH(TRUE,ISNUMBER(FIND(SUBSTITUTE(SUBSTITUTE(UPPER({"URGENTE"})," ",""),":",": "),SUBSTITUTE(SUBSTITUTE(UPPER(S957)," ",""),":",": "))),0)),"-")</f>
        <v>-</v>
      </c>
      <c r="C957" s="46" t="str" cm="1">
        <f t="array" ref="C957">IFERROR(INDEX(#REF!,MATCH(TRUE,ISNUMBER(FIND(SUBSTITUTE(SUBSTITUTE(UPPER(#REF!)," ",""),":",": "),SUBSTITUTE(SUBSTITUTE(UPPER(S957)," ",""),":",": "))),0)),"Não encontrado")</f>
        <v>Não encontrado</v>
      </c>
      <c r="D957" s="46" t="str" cm="1">
        <f t="array" ref="D957">IFERROR(INDEX(#REF!,MATCH(TRUE,ISNUMBER(FIND(SUBSTITUTE(SUBSTITUTE(UPPER(#REF!)," ",""),":",": "),SUBSTITUTE(SUBSTITUTE(UPPER(S957)," ",""),":",": "))),0)),"Não encontrado")</f>
        <v>Não encontrado</v>
      </c>
      <c r="E957" s="42" t="str" cm="1">
        <f t="array" ref="E957">IFERROR(INDEX({"IMPEDITIVO"},MATCH(TRUE,ISNUMBER(FIND(SUBSTITUTE(SUBSTITUTE(UPPER({"IMPEDITIVO"})," ",""),":",": "),SUBSTITUTE(SUBSTITUTE(UPPER(S957)," ",""),":",": "))),0)),"-")</f>
        <v>-</v>
      </c>
      <c r="K957" s="49"/>
    </row>
    <row r="958" spans="1:11" x14ac:dyDescent="0.25">
      <c r="A958" s="46" t="str" cm="1">
        <f t="array" ref="A958">IFERROR(INDEX(#REF!,MATCH(TRUE,ISNUMBER(FIND(SUBSTITUTE(SUBSTITUTE(UPPER(#REF!)," ",""),":",": "),SUBSTITUTE(SUBSTITUTE(UPPER(S958)," ",""),":",": "))),0)),"Undefined")</f>
        <v>Undefined</v>
      </c>
      <c r="B958" s="42" t="str" cm="1">
        <f t="array" ref="B958">IFERROR(INDEX({"URGENTE"},MATCH(TRUE,ISNUMBER(FIND(SUBSTITUTE(SUBSTITUTE(UPPER({"URGENTE"})," ",""),":",": "),SUBSTITUTE(SUBSTITUTE(UPPER(S958)," ",""),":",": "))),0)),"-")</f>
        <v>-</v>
      </c>
      <c r="C958" s="46" t="str" cm="1">
        <f t="array" ref="C958">IFERROR(INDEX(#REF!,MATCH(TRUE,ISNUMBER(FIND(SUBSTITUTE(SUBSTITUTE(UPPER(#REF!)," ",""),":",": "),SUBSTITUTE(SUBSTITUTE(UPPER(S958)," ",""),":",": "))),0)),"Não encontrado")</f>
        <v>Não encontrado</v>
      </c>
      <c r="D958" s="46" t="str" cm="1">
        <f t="array" ref="D958">IFERROR(INDEX(#REF!,MATCH(TRUE,ISNUMBER(FIND(SUBSTITUTE(SUBSTITUTE(UPPER(#REF!)," ",""),":",": "),SUBSTITUTE(SUBSTITUTE(UPPER(S958)," ",""),":",": "))),0)),"Não encontrado")</f>
        <v>Não encontrado</v>
      </c>
      <c r="E958" s="42" t="str" cm="1">
        <f t="array" ref="E958">IFERROR(INDEX({"IMPEDITIVO"},MATCH(TRUE,ISNUMBER(FIND(SUBSTITUTE(SUBSTITUTE(UPPER({"IMPEDITIVO"})," ",""),":",": "),SUBSTITUTE(SUBSTITUTE(UPPER(S958)," ",""),":",": "))),0)),"-")</f>
        <v>-</v>
      </c>
      <c r="K958" s="49"/>
    </row>
    <row r="959" spans="1:11" x14ac:dyDescent="0.25">
      <c r="A959" s="46" t="str" cm="1">
        <f t="array" ref="A959">IFERROR(INDEX(#REF!,MATCH(TRUE,ISNUMBER(FIND(SUBSTITUTE(SUBSTITUTE(UPPER(#REF!)," ",""),":",": "),SUBSTITUTE(SUBSTITUTE(UPPER(S959)," ",""),":",": "))),0)),"Undefined")</f>
        <v>Undefined</v>
      </c>
      <c r="B959" s="42" t="str" cm="1">
        <f t="array" ref="B959">IFERROR(INDEX({"URGENTE"},MATCH(TRUE,ISNUMBER(FIND(SUBSTITUTE(SUBSTITUTE(UPPER({"URGENTE"})," ",""),":",": "),SUBSTITUTE(SUBSTITUTE(UPPER(S959)," ",""),":",": "))),0)),"-")</f>
        <v>-</v>
      </c>
      <c r="C959" s="46" t="str" cm="1">
        <f t="array" ref="C959">IFERROR(INDEX(#REF!,MATCH(TRUE,ISNUMBER(FIND(SUBSTITUTE(SUBSTITUTE(UPPER(#REF!)," ",""),":",": "),SUBSTITUTE(SUBSTITUTE(UPPER(S959)," ",""),":",": "))),0)),"Não encontrado")</f>
        <v>Não encontrado</v>
      </c>
      <c r="D959" s="46" t="str" cm="1">
        <f t="array" ref="D959">IFERROR(INDEX(#REF!,MATCH(TRUE,ISNUMBER(FIND(SUBSTITUTE(SUBSTITUTE(UPPER(#REF!)," ",""),":",": "),SUBSTITUTE(SUBSTITUTE(UPPER(S959)," ",""),":",": "))),0)),"Não encontrado")</f>
        <v>Não encontrado</v>
      </c>
      <c r="E959" s="42" t="str" cm="1">
        <f t="array" ref="E959">IFERROR(INDEX({"IMPEDITIVO"},MATCH(TRUE,ISNUMBER(FIND(SUBSTITUTE(SUBSTITUTE(UPPER({"IMPEDITIVO"})," ",""),":",": "),SUBSTITUTE(SUBSTITUTE(UPPER(S959)," ",""),":",": "))),0)),"-")</f>
        <v>-</v>
      </c>
      <c r="K959" s="49"/>
    </row>
    <row r="960" spans="1:11" x14ac:dyDescent="0.25">
      <c r="A960" s="46" t="str" cm="1">
        <f t="array" ref="A960">IFERROR(INDEX(#REF!,MATCH(TRUE,ISNUMBER(FIND(SUBSTITUTE(SUBSTITUTE(UPPER(#REF!)," ",""),":",": "),SUBSTITUTE(SUBSTITUTE(UPPER(S960)," ",""),":",": "))),0)),"Undefined")</f>
        <v>Undefined</v>
      </c>
      <c r="B960" s="42" t="str" cm="1">
        <f t="array" ref="B960">IFERROR(INDEX({"URGENTE"},MATCH(TRUE,ISNUMBER(FIND(SUBSTITUTE(SUBSTITUTE(UPPER({"URGENTE"})," ",""),":",": "),SUBSTITUTE(SUBSTITUTE(UPPER(S960)," ",""),":",": "))),0)),"-")</f>
        <v>-</v>
      </c>
      <c r="C960" s="46" t="str" cm="1">
        <f t="array" ref="C960">IFERROR(INDEX(#REF!,MATCH(TRUE,ISNUMBER(FIND(SUBSTITUTE(SUBSTITUTE(UPPER(#REF!)," ",""),":",": "),SUBSTITUTE(SUBSTITUTE(UPPER(S960)," ",""),":",": "))),0)),"Não encontrado")</f>
        <v>Não encontrado</v>
      </c>
      <c r="D960" s="46" t="str" cm="1">
        <f t="array" ref="D960">IFERROR(INDEX(#REF!,MATCH(TRUE,ISNUMBER(FIND(SUBSTITUTE(SUBSTITUTE(UPPER(#REF!)," ",""),":",": "),SUBSTITUTE(SUBSTITUTE(UPPER(S960)," ",""),":",": "))),0)),"Não encontrado")</f>
        <v>Não encontrado</v>
      </c>
      <c r="E960" s="42" t="str" cm="1">
        <f t="array" ref="E960">IFERROR(INDEX({"IMPEDITIVO"},MATCH(TRUE,ISNUMBER(FIND(SUBSTITUTE(SUBSTITUTE(UPPER({"IMPEDITIVO"})," ",""),":",": "),SUBSTITUTE(SUBSTITUTE(UPPER(S960)," ",""),":",": "))),0)),"-")</f>
        <v>-</v>
      </c>
      <c r="K960" s="49"/>
    </row>
    <row r="961" spans="1:11" x14ac:dyDescent="0.25">
      <c r="A961" s="46" t="str" cm="1">
        <f t="array" ref="A961">IFERROR(INDEX(#REF!,MATCH(TRUE,ISNUMBER(FIND(SUBSTITUTE(SUBSTITUTE(UPPER(#REF!)," ",""),":",": "),SUBSTITUTE(SUBSTITUTE(UPPER(S961)," ",""),":",": "))),0)),"Undefined")</f>
        <v>Undefined</v>
      </c>
      <c r="B961" s="42" t="str" cm="1">
        <f t="array" ref="B961">IFERROR(INDEX({"URGENTE"},MATCH(TRUE,ISNUMBER(FIND(SUBSTITUTE(SUBSTITUTE(UPPER({"URGENTE"})," ",""),":",": "),SUBSTITUTE(SUBSTITUTE(UPPER(S961)," ",""),":",": "))),0)),"-")</f>
        <v>-</v>
      </c>
      <c r="C961" s="46" t="str" cm="1">
        <f t="array" ref="C961">IFERROR(INDEX(#REF!,MATCH(TRUE,ISNUMBER(FIND(SUBSTITUTE(SUBSTITUTE(UPPER(#REF!)," ",""),":",": "),SUBSTITUTE(SUBSTITUTE(UPPER(S961)," ",""),":",": "))),0)),"Não encontrado")</f>
        <v>Não encontrado</v>
      </c>
      <c r="D961" s="46" t="str" cm="1">
        <f t="array" ref="D961">IFERROR(INDEX(#REF!,MATCH(TRUE,ISNUMBER(FIND(SUBSTITUTE(SUBSTITUTE(UPPER(#REF!)," ",""),":",": "),SUBSTITUTE(SUBSTITUTE(UPPER(S961)," ",""),":",": "))),0)),"Não encontrado")</f>
        <v>Não encontrado</v>
      </c>
      <c r="E961" s="42" t="str" cm="1">
        <f t="array" ref="E961">IFERROR(INDEX({"IMPEDITIVO"},MATCH(TRUE,ISNUMBER(FIND(SUBSTITUTE(SUBSTITUTE(UPPER({"IMPEDITIVO"})," ",""),":",": "),SUBSTITUTE(SUBSTITUTE(UPPER(S961)," ",""),":",": "))),0)),"-")</f>
        <v>-</v>
      </c>
      <c r="K961" s="49"/>
    </row>
    <row r="962" spans="1:11" x14ac:dyDescent="0.25">
      <c r="A962" s="46" t="str" cm="1">
        <f t="array" ref="A962">IFERROR(INDEX(#REF!,MATCH(TRUE,ISNUMBER(FIND(SUBSTITUTE(SUBSTITUTE(UPPER(#REF!)," ",""),":",": "),SUBSTITUTE(SUBSTITUTE(UPPER(S962)," ",""),":",": "))),0)),"Undefined")</f>
        <v>Undefined</v>
      </c>
      <c r="B962" s="42" t="str" cm="1">
        <f t="array" ref="B962">IFERROR(INDEX({"URGENTE"},MATCH(TRUE,ISNUMBER(FIND(SUBSTITUTE(SUBSTITUTE(UPPER({"URGENTE"})," ",""),":",": "),SUBSTITUTE(SUBSTITUTE(UPPER(S962)," ",""),":",": "))),0)),"-")</f>
        <v>-</v>
      </c>
      <c r="C962" s="46" t="str" cm="1">
        <f t="array" ref="C962">IFERROR(INDEX(#REF!,MATCH(TRUE,ISNUMBER(FIND(SUBSTITUTE(SUBSTITUTE(UPPER(#REF!)," ",""),":",": "),SUBSTITUTE(SUBSTITUTE(UPPER(S962)," ",""),":",": "))),0)),"Não encontrado")</f>
        <v>Não encontrado</v>
      </c>
      <c r="D962" s="46" t="str" cm="1">
        <f t="array" ref="D962">IFERROR(INDEX(#REF!,MATCH(TRUE,ISNUMBER(FIND(SUBSTITUTE(SUBSTITUTE(UPPER(#REF!)," ",""),":",": "),SUBSTITUTE(SUBSTITUTE(UPPER(S962)," ",""),":",": "))),0)),"Não encontrado")</f>
        <v>Não encontrado</v>
      </c>
      <c r="E962" s="42" t="str" cm="1">
        <f t="array" ref="E962">IFERROR(INDEX({"IMPEDITIVO"},MATCH(TRUE,ISNUMBER(FIND(SUBSTITUTE(SUBSTITUTE(UPPER({"IMPEDITIVO"})," ",""),":",": "),SUBSTITUTE(SUBSTITUTE(UPPER(S962)," ",""),":",": "))),0)),"-")</f>
        <v>-</v>
      </c>
      <c r="K962" s="49"/>
    </row>
    <row r="963" spans="1:11" x14ac:dyDescent="0.25">
      <c r="A963" s="46" t="str" cm="1">
        <f t="array" ref="A963">IFERROR(INDEX(#REF!,MATCH(TRUE,ISNUMBER(FIND(SUBSTITUTE(SUBSTITUTE(UPPER(#REF!)," ",""),":",": "),SUBSTITUTE(SUBSTITUTE(UPPER(S963)," ",""),":",": "))),0)),"Undefined")</f>
        <v>Undefined</v>
      </c>
      <c r="B963" s="42" t="str" cm="1">
        <f t="array" ref="B963">IFERROR(INDEX({"URGENTE"},MATCH(TRUE,ISNUMBER(FIND(SUBSTITUTE(SUBSTITUTE(UPPER({"URGENTE"})," ",""),":",": "),SUBSTITUTE(SUBSTITUTE(UPPER(S963)," ",""),":",": "))),0)),"-")</f>
        <v>-</v>
      </c>
      <c r="C963" s="46" t="str" cm="1">
        <f t="array" ref="C963">IFERROR(INDEX(#REF!,MATCH(TRUE,ISNUMBER(FIND(SUBSTITUTE(SUBSTITUTE(UPPER(#REF!)," ",""),":",": "),SUBSTITUTE(SUBSTITUTE(UPPER(S963)," ",""),":",": "))),0)),"Não encontrado")</f>
        <v>Não encontrado</v>
      </c>
      <c r="D963" s="46" t="str" cm="1">
        <f t="array" ref="D963">IFERROR(INDEX(#REF!,MATCH(TRUE,ISNUMBER(FIND(SUBSTITUTE(SUBSTITUTE(UPPER(#REF!)," ",""),":",": "),SUBSTITUTE(SUBSTITUTE(UPPER(S963)," ",""),":",": "))),0)),"Não encontrado")</f>
        <v>Não encontrado</v>
      </c>
      <c r="E963" s="42" t="str" cm="1">
        <f t="array" ref="E963">IFERROR(INDEX({"IMPEDITIVO"},MATCH(TRUE,ISNUMBER(FIND(SUBSTITUTE(SUBSTITUTE(UPPER({"IMPEDITIVO"})," ",""),":",": "),SUBSTITUTE(SUBSTITUTE(UPPER(S963)," ",""),":",": "))),0)),"-")</f>
        <v>-</v>
      </c>
      <c r="K963" s="49"/>
    </row>
    <row r="964" spans="1:11" x14ac:dyDescent="0.25">
      <c r="A964" s="46" t="str" cm="1">
        <f t="array" ref="A964">IFERROR(INDEX(#REF!,MATCH(TRUE,ISNUMBER(FIND(SUBSTITUTE(SUBSTITUTE(UPPER(#REF!)," ",""),":",": "),SUBSTITUTE(SUBSTITUTE(UPPER(S964)," ",""),":",": "))),0)),"Undefined")</f>
        <v>Undefined</v>
      </c>
      <c r="B964" s="42" t="str" cm="1">
        <f t="array" ref="B964">IFERROR(INDEX({"URGENTE"},MATCH(TRUE,ISNUMBER(FIND(SUBSTITUTE(SUBSTITUTE(UPPER({"URGENTE"})," ",""),":",": "),SUBSTITUTE(SUBSTITUTE(UPPER(S964)," ",""),":",": "))),0)),"-")</f>
        <v>-</v>
      </c>
      <c r="C964" s="46" t="str" cm="1">
        <f t="array" ref="C964">IFERROR(INDEX(#REF!,MATCH(TRUE,ISNUMBER(FIND(SUBSTITUTE(SUBSTITUTE(UPPER(#REF!)," ",""),":",": "),SUBSTITUTE(SUBSTITUTE(UPPER(S964)," ",""),":",": "))),0)),"Não encontrado")</f>
        <v>Não encontrado</v>
      </c>
      <c r="D964" s="46" t="str" cm="1">
        <f t="array" ref="D964">IFERROR(INDEX(#REF!,MATCH(TRUE,ISNUMBER(FIND(SUBSTITUTE(SUBSTITUTE(UPPER(#REF!)," ",""),":",": "),SUBSTITUTE(SUBSTITUTE(UPPER(S964)," ",""),":",": "))),0)),"Não encontrado")</f>
        <v>Não encontrado</v>
      </c>
      <c r="E964" s="42" t="str" cm="1">
        <f t="array" ref="E964">IFERROR(INDEX({"IMPEDITIVO"},MATCH(TRUE,ISNUMBER(FIND(SUBSTITUTE(SUBSTITUTE(UPPER({"IMPEDITIVO"})," ",""),":",": "),SUBSTITUTE(SUBSTITUTE(UPPER(S964)," ",""),":",": "))),0)),"-")</f>
        <v>-</v>
      </c>
      <c r="K964" s="49"/>
    </row>
    <row r="965" spans="1:11" x14ac:dyDescent="0.25">
      <c r="A965" s="46" t="str" cm="1">
        <f t="array" ref="A965">IFERROR(INDEX(#REF!,MATCH(TRUE,ISNUMBER(FIND(SUBSTITUTE(SUBSTITUTE(UPPER(#REF!)," ",""),":",": "),SUBSTITUTE(SUBSTITUTE(UPPER(S965)," ",""),":",": "))),0)),"Undefined")</f>
        <v>Undefined</v>
      </c>
      <c r="B965" s="42" t="str" cm="1">
        <f t="array" ref="B965">IFERROR(INDEX({"URGENTE"},MATCH(TRUE,ISNUMBER(FIND(SUBSTITUTE(SUBSTITUTE(UPPER({"URGENTE"})," ",""),":",": "),SUBSTITUTE(SUBSTITUTE(UPPER(S965)," ",""),":",": "))),0)),"-")</f>
        <v>-</v>
      </c>
      <c r="C965" s="46" t="str" cm="1">
        <f t="array" ref="C965">IFERROR(INDEX(#REF!,MATCH(TRUE,ISNUMBER(FIND(SUBSTITUTE(SUBSTITUTE(UPPER(#REF!)," ",""),":",": "),SUBSTITUTE(SUBSTITUTE(UPPER(S965)," ",""),":",": "))),0)),"Não encontrado")</f>
        <v>Não encontrado</v>
      </c>
      <c r="D965" s="46" t="str" cm="1">
        <f t="array" ref="D965">IFERROR(INDEX(#REF!,MATCH(TRUE,ISNUMBER(FIND(SUBSTITUTE(SUBSTITUTE(UPPER(#REF!)," ",""),":",": "),SUBSTITUTE(SUBSTITUTE(UPPER(S965)," ",""),":",": "))),0)),"Não encontrado")</f>
        <v>Não encontrado</v>
      </c>
      <c r="E965" s="42" t="str" cm="1">
        <f t="array" ref="E965">IFERROR(INDEX({"IMPEDITIVO"},MATCH(TRUE,ISNUMBER(FIND(SUBSTITUTE(SUBSTITUTE(UPPER({"IMPEDITIVO"})," ",""),":",": "),SUBSTITUTE(SUBSTITUTE(UPPER(S965)," ",""),":",": "))),0)),"-")</f>
        <v>-</v>
      </c>
      <c r="K965" s="49"/>
    </row>
    <row r="966" spans="1:11" x14ac:dyDescent="0.25">
      <c r="A966" s="46" t="str" cm="1">
        <f t="array" ref="A966">IFERROR(INDEX(#REF!,MATCH(TRUE,ISNUMBER(FIND(SUBSTITUTE(SUBSTITUTE(UPPER(#REF!)," ",""),":",": "),SUBSTITUTE(SUBSTITUTE(UPPER(S966)," ",""),":",": "))),0)),"Undefined")</f>
        <v>Undefined</v>
      </c>
      <c r="B966" s="42" t="str" cm="1">
        <f t="array" ref="B966">IFERROR(INDEX({"URGENTE"},MATCH(TRUE,ISNUMBER(FIND(SUBSTITUTE(SUBSTITUTE(UPPER({"URGENTE"})," ",""),":",": "),SUBSTITUTE(SUBSTITUTE(UPPER(S966)," ",""),":",": "))),0)),"-")</f>
        <v>-</v>
      </c>
      <c r="C966" s="46" t="str" cm="1">
        <f t="array" ref="C966">IFERROR(INDEX(#REF!,MATCH(TRUE,ISNUMBER(FIND(SUBSTITUTE(SUBSTITUTE(UPPER(#REF!)," ",""),":",": "),SUBSTITUTE(SUBSTITUTE(UPPER(S966)," ",""),":",": "))),0)),"Não encontrado")</f>
        <v>Não encontrado</v>
      </c>
      <c r="D966" s="46" t="str" cm="1">
        <f t="array" ref="D966">IFERROR(INDEX(#REF!,MATCH(TRUE,ISNUMBER(FIND(SUBSTITUTE(SUBSTITUTE(UPPER(#REF!)," ",""),":",": "),SUBSTITUTE(SUBSTITUTE(UPPER(S966)," ",""),":",": "))),0)),"Não encontrado")</f>
        <v>Não encontrado</v>
      </c>
      <c r="E966" s="42" t="str" cm="1">
        <f t="array" ref="E966">IFERROR(INDEX({"IMPEDITIVO"},MATCH(TRUE,ISNUMBER(FIND(SUBSTITUTE(SUBSTITUTE(UPPER({"IMPEDITIVO"})," ",""),":",": "),SUBSTITUTE(SUBSTITUTE(UPPER(S966)," ",""),":",": "))),0)),"-")</f>
        <v>-</v>
      </c>
      <c r="K966" s="49"/>
    </row>
    <row r="967" spans="1:11" x14ac:dyDescent="0.25">
      <c r="A967" s="46" t="str" cm="1">
        <f t="array" ref="A967">IFERROR(INDEX(#REF!,MATCH(TRUE,ISNUMBER(FIND(SUBSTITUTE(SUBSTITUTE(UPPER(#REF!)," ",""),":",": "),SUBSTITUTE(SUBSTITUTE(UPPER(S967)," ",""),":",": "))),0)),"Undefined")</f>
        <v>Undefined</v>
      </c>
      <c r="B967" s="42" t="str" cm="1">
        <f t="array" ref="B967">IFERROR(INDEX({"URGENTE"},MATCH(TRUE,ISNUMBER(FIND(SUBSTITUTE(SUBSTITUTE(UPPER({"URGENTE"})," ",""),":",": "),SUBSTITUTE(SUBSTITUTE(UPPER(S967)," ",""),":",": "))),0)),"-")</f>
        <v>-</v>
      </c>
      <c r="C967" s="46" t="str" cm="1">
        <f t="array" ref="C967">IFERROR(INDEX(#REF!,MATCH(TRUE,ISNUMBER(FIND(SUBSTITUTE(SUBSTITUTE(UPPER(#REF!)," ",""),":",": "),SUBSTITUTE(SUBSTITUTE(UPPER(S967)," ",""),":",": "))),0)),"Não encontrado")</f>
        <v>Não encontrado</v>
      </c>
      <c r="D967" s="46" t="str" cm="1">
        <f t="array" ref="D967">IFERROR(INDEX(#REF!,MATCH(TRUE,ISNUMBER(FIND(SUBSTITUTE(SUBSTITUTE(UPPER(#REF!)," ",""),":",": "),SUBSTITUTE(SUBSTITUTE(UPPER(S967)," ",""),":",": "))),0)),"Não encontrado")</f>
        <v>Não encontrado</v>
      </c>
      <c r="E967" s="42" t="str" cm="1">
        <f t="array" ref="E967">IFERROR(INDEX({"IMPEDITIVO"},MATCH(TRUE,ISNUMBER(FIND(SUBSTITUTE(SUBSTITUTE(UPPER({"IMPEDITIVO"})," ",""),":",": "),SUBSTITUTE(SUBSTITUTE(UPPER(S967)," ",""),":",": "))),0)),"-")</f>
        <v>-</v>
      </c>
      <c r="K967" s="49"/>
    </row>
    <row r="968" spans="1:11" x14ac:dyDescent="0.25">
      <c r="A968" s="46" t="str" cm="1">
        <f t="array" ref="A968">IFERROR(INDEX(#REF!,MATCH(TRUE,ISNUMBER(FIND(SUBSTITUTE(SUBSTITUTE(UPPER(#REF!)," ",""),":",": "),SUBSTITUTE(SUBSTITUTE(UPPER(S968)," ",""),":",": "))),0)),"Undefined")</f>
        <v>Undefined</v>
      </c>
      <c r="B968" s="42" t="str" cm="1">
        <f t="array" ref="B968">IFERROR(INDEX({"URGENTE"},MATCH(TRUE,ISNUMBER(FIND(SUBSTITUTE(SUBSTITUTE(UPPER({"URGENTE"})," ",""),":",": "),SUBSTITUTE(SUBSTITUTE(UPPER(S968)," ",""),":",": "))),0)),"-")</f>
        <v>-</v>
      </c>
      <c r="C968" s="46" t="str" cm="1">
        <f t="array" ref="C968">IFERROR(INDEX(#REF!,MATCH(TRUE,ISNUMBER(FIND(SUBSTITUTE(SUBSTITUTE(UPPER(#REF!)," ",""),":",": "),SUBSTITUTE(SUBSTITUTE(UPPER(S968)," ",""),":",": "))),0)),"Não encontrado")</f>
        <v>Não encontrado</v>
      </c>
      <c r="D968" s="46" t="str" cm="1">
        <f t="array" ref="D968">IFERROR(INDEX(#REF!,MATCH(TRUE,ISNUMBER(FIND(SUBSTITUTE(SUBSTITUTE(UPPER(#REF!)," ",""),":",": "),SUBSTITUTE(SUBSTITUTE(UPPER(S968)," ",""),":",": "))),0)),"Não encontrado")</f>
        <v>Não encontrado</v>
      </c>
      <c r="E968" s="42" t="str" cm="1">
        <f t="array" ref="E968">IFERROR(INDEX({"IMPEDITIVO"},MATCH(TRUE,ISNUMBER(FIND(SUBSTITUTE(SUBSTITUTE(UPPER({"IMPEDITIVO"})," ",""),":",": "),SUBSTITUTE(SUBSTITUTE(UPPER(S968)," ",""),":",": "))),0)),"-")</f>
        <v>-</v>
      </c>
      <c r="K968" s="49"/>
    </row>
    <row r="969" spans="1:11" x14ac:dyDescent="0.25">
      <c r="A969" s="46" t="str" cm="1">
        <f t="array" ref="A969">IFERROR(INDEX(#REF!,MATCH(TRUE,ISNUMBER(FIND(SUBSTITUTE(SUBSTITUTE(UPPER(#REF!)," ",""),":",": "),SUBSTITUTE(SUBSTITUTE(UPPER(S969)," ",""),":",": "))),0)),"Undefined")</f>
        <v>Undefined</v>
      </c>
      <c r="B969" s="42" t="str" cm="1">
        <f t="array" ref="B969">IFERROR(INDEX({"URGENTE"},MATCH(TRUE,ISNUMBER(FIND(SUBSTITUTE(SUBSTITUTE(UPPER({"URGENTE"})," ",""),":",": "),SUBSTITUTE(SUBSTITUTE(UPPER(S969)," ",""),":",": "))),0)),"-")</f>
        <v>-</v>
      </c>
      <c r="C969" s="46" t="str" cm="1">
        <f t="array" ref="C969">IFERROR(INDEX(#REF!,MATCH(TRUE,ISNUMBER(FIND(SUBSTITUTE(SUBSTITUTE(UPPER(#REF!)," ",""),":",": "),SUBSTITUTE(SUBSTITUTE(UPPER(S969)," ",""),":",": "))),0)),"Não encontrado")</f>
        <v>Não encontrado</v>
      </c>
      <c r="D969" s="46" t="str" cm="1">
        <f t="array" ref="D969">IFERROR(INDEX(#REF!,MATCH(TRUE,ISNUMBER(FIND(SUBSTITUTE(SUBSTITUTE(UPPER(#REF!)," ",""),":",": "),SUBSTITUTE(SUBSTITUTE(UPPER(S969)," ",""),":",": "))),0)),"Não encontrado")</f>
        <v>Não encontrado</v>
      </c>
      <c r="E969" s="42" t="str" cm="1">
        <f t="array" ref="E969">IFERROR(INDEX({"IMPEDITIVO"},MATCH(TRUE,ISNUMBER(FIND(SUBSTITUTE(SUBSTITUTE(UPPER({"IMPEDITIVO"})," ",""),":",": "),SUBSTITUTE(SUBSTITUTE(UPPER(S969)," ",""),":",": "))),0)),"-")</f>
        <v>-</v>
      </c>
      <c r="K969" s="49"/>
    </row>
    <row r="970" spans="1:11" x14ac:dyDescent="0.25">
      <c r="A970" s="46" t="str" cm="1">
        <f t="array" ref="A970">IFERROR(INDEX(#REF!,MATCH(TRUE,ISNUMBER(FIND(SUBSTITUTE(SUBSTITUTE(UPPER(#REF!)," ",""),":",": "),SUBSTITUTE(SUBSTITUTE(UPPER(S970)," ",""),":",": "))),0)),"Undefined")</f>
        <v>Undefined</v>
      </c>
      <c r="B970" s="42" t="str" cm="1">
        <f t="array" ref="B970">IFERROR(INDEX({"URGENTE"},MATCH(TRUE,ISNUMBER(FIND(SUBSTITUTE(SUBSTITUTE(UPPER({"URGENTE"})," ",""),":",": "),SUBSTITUTE(SUBSTITUTE(UPPER(S970)," ",""),":",": "))),0)),"-")</f>
        <v>-</v>
      </c>
      <c r="C970" s="46" t="str" cm="1">
        <f t="array" ref="C970">IFERROR(INDEX(#REF!,MATCH(TRUE,ISNUMBER(FIND(SUBSTITUTE(SUBSTITUTE(UPPER(#REF!)," ",""),":",": "),SUBSTITUTE(SUBSTITUTE(UPPER(S970)," ",""),":",": "))),0)),"Não encontrado")</f>
        <v>Não encontrado</v>
      </c>
      <c r="D970" s="46" t="str" cm="1">
        <f t="array" ref="D970">IFERROR(INDEX(#REF!,MATCH(TRUE,ISNUMBER(FIND(SUBSTITUTE(SUBSTITUTE(UPPER(#REF!)," ",""),":",": "),SUBSTITUTE(SUBSTITUTE(UPPER(S970)," ",""),":",": "))),0)),"Não encontrado")</f>
        <v>Não encontrado</v>
      </c>
      <c r="E970" s="42" t="str" cm="1">
        <f t="array" ref="E970">IFERROR(INDEX({"IMPEDITIVO"},MATCH(TRUE,ISNUMBER(FIND(SUBSTITUTE(SUBSTITUTE(UPPER({"IMPEDITIVO"})," ",""),":",": "),SUBSTITUTE(SUBSTITUTE(UPPER(S970)," ",""),":",": "))),0)),"-")</f>
        <v>-</v>
      </c>
      <c r="K970" s="49"/>
    </row>
    <row r="971" spans="1:11" x14ac:dyDescent="0.25">
      <c r="A971" s="46" t="str" cm="1">
        <f t="array" ref="A971">IFERROR(INDEX(#REF!,MATCH(TRUE,ISNUMBER(FIND(SUBSTITUTE(SUBSTITUTE(UPPER(#REF!)," ",""),":",": "),SUBSTITUTE(SUBSTITUTE(UPPER(S971)," ",""),":",": "))),0)),"Undefined")</f>
        <v>Undefined</v>
      </c>
      <c r="B971" s="42" t="str" cm="1">
        <f t="array" ref="B971">IFERROR(INDEX({"URGENTE"},MATCH(TRUE,ISNUMBER(FIND(SUBSTITUTE(SUBSTITUTE(UPPER({"URGENTE"})," ",""),":",": "),SUBSTITUTE(SUBSTITUTE(UPPER(S971)," ",""),":",": "))),0)),"-")</f>
        <v>-</v>
      </c>
      <c r="C971" s="46" t="str" cm="1">
        <f t="array" ref="C971">IFERROR(INDEX(#REF!,MATCH(TRUE,ISNUMBER(FIND(SUBSTITUTE(SUBSTITUTE(UPPER(#REF!)," ",""),":",": "),SUBSTITUTE(SUBSTITUTE(UPPER(S971)," ",""),":",": "))),0)),"Não encontrado")</f>
        <v>Não encontrado</v>
      </c>
      <c r="D971" s="46" t="str" cm="1">
        <f t="array" ref="D971">IFERROR(INDEX(#REF!,MATCH(TRUE,ISNUMBER(FIND(SUBSTITUTE(SUBSTITUTE(UPPER(#REF!)," ",""),":",": "),SUBSTITUTE(SUBSTITUTE(UPPER(S971)," ",""),":",": "))),0)),"Não encontrado")</f>
        <v>Não encontrado</v>
      </c>
      <c r="E971" s="42" t="str" cm="1">
        <f t="array" ref="E971">IFERROR(INDEX({"IMPEDITIVO"},MATCH(TRUE,ISNUMBER(FIND(SUBSTITUTE(SUBSTITUTE(UPPER({"IMPEDITIVO"})," ",""),":",": "),SUBSTITUTE(SUBSTITUTE(UPPER(S971)," ",""),":",": "))),0)),"-")</f>
        <v>-</v>
      </c>
      <c r="K971" s="49"/>
    </row>
    <row r="972" spans="1:11" x14ac:dyDescent="0.25">
      <c r="A972" s="46" t="str" cm="1">
        <f t="array" ref="A972">IFERROR(INDEX(#REF!,MATCH(TRUE,ISNUMBER(FIND(SUBSTITUTE(SUBSTITUTE(UPPER(#REF!)," ",""),":",": "),SUBSTITUTE(SUBSTITUTE(UPPER(S972)," ",""),":",": "))),0)),"Undefined")</f>
        <v>Undefined</v>
      </c>
      <c r="B972" s="42" t="str" cm="1">
        <f t="array" ref="B972">IFERROR(INDEX({"URGENTE"},MATCH(TRUE,ISNUMBER(FIND(SUBSTITUTE(SUBSTITUTE(UPPER({"URGENTE"})," ",""),":",": "),SUBSTITUTE(SUBSTITUTE(UPPER(S972)," ",""),":",": "))),0)),"-")</f>
        <v>-</v>
      </c>
      <c r="C972" s="46" t="str" cm="1">
        <f t="array" ref="C972">IFERROR(INDEX(#REF!,MATCH(TRUE,ISNUMBER(FIND(SUBSTITUTE(SUBSTITUTE(UPPER(#REF!)," ",""),":",": "),SUBSTITUTE(SUBSTITUTE(UPPER(S972)," ",""),":",": "))),0)),"Não encontrado")</f>
        <v>Não encontrado</v>
      </c>
      <c r="D972" s="46" t="str" cm="1">
        <f t="array" ref="D972">IFERROR(INDEX(#REF!,MATCH(TRUE,ISNUMBER(FIND(SUBSTITUTE(SUBSTITUTE(UPPER(#REF!)," ",""),":",": "),SUBSTITUTE(SUBSTITUTE(UPPER(S972)," ",""),":",": "))),0)),"Não encontrado")</f>
        <v>Não encontrado</v>
      </c>
      <c r="E972" s="42" t="str" cm="1">
        <f t="array" ref="E972">IFERROR(INDEX({"IMPEDITIVO"},MATCH(TRUE,ISNUMBER(FIND(SUBSTITUTE(SUBSTITUTE(UPPER({"IMPEDITIVO"})," ",""),":",": "),SUBSTITUTE(SUBSTITUTE(UPPER(S972)," ",""),":",": "))),0)),"-")</f>
        <v>-</v>
      </c>
      <c r="K972" s="49"/>
    </row>
    <row r="973" spans="1:11" x14ac:dyDescent="0.25">
      <c r="A973" s="46" t="str" cm="1">
        <f t="array" ref="A973">IFERROR(INDEX(#REF!,MATCH(TRUE,ISNUMBER(FIND(SUBSTITUTE(SUBSTITUTE(UPPER(#REF!)," ",""),":",": "),SUBSTITUTE(SUBSTITUTE(UPPER(S973)," ",""),":",": "))),0)),"Undefined")</f>
        <v>Undefined</v>
      </c>
      <c r="B973" s="42" t="str" cm="1">
        <f t="array" ref="B973">IFERROR(INDEX({"URGENTE"},MATCH(TRUE,ISNUMBER(FIND(SUBSTITUTE(SUBSTITUTE(UPPER({"URGENTE"})," ",""),":",": "),SUBSTITUTE(SUBSTITUTE(UPPER(S973)," ",""),":",": "))),0)),"-")</f>
        <v>-</v>
      </c>
      <c r="C973" s="46" t="str" cm="1">
        <f t="array" ref="C973">IFERROR(INDEX(#REF!,MATCH(TRUE,ISNUMBER(FIND(SUBSTITUTE(SUBSTITUTE(UPPER(#REF!)," ",""),":",": "),SUBSTITUTE(SUBSTITUTE(UPPER(S973)," ",""),":",": "))),0)),"Não encontrado")</f>
        <v>Não encontrado</v>
      </c>
      <c r="D973" s="46" t="str" cm="1">
        <f t="array" ref="D973">IFERROR(INDEX(#REF!,MATCH(TRUE,ISNUMBER(FIND(SUBSTITUTE(SUBSTITUTE(UPPER(#REF!)," ",""),":",": "),SUBSTITUTE(SUBSTITUTE(UPPER(S973)," ",""),":",": "))),0)),"Não encontrado")</f>
        <v>Não encontrado</v>
      </c>
      <c r="E973" s="42" t="str" cm="1">
        <f t="array" ref="E973">IFERROR(INDEX({"IMPEDITIVO"},MATCH(TRUE,ISNUMBER(FIND(SUBSTITUTE(SUBSTITUTE(UPPER({"IMPEDITIVO"})," ",""),":",": "),SUBSTITUTE(SUBSTITUTE(UPPER(S973)," ",""),":",": "))),0)),"-")</f>
        <v>-</v>
      </c>
      <c r="K973" s="49"/>
    </row>
    <row r="974" spans="1:11" x14ac:dyDescent="0.25">
      <c r="A974" s="46" t="str" cm="1">
        <f t="array" ref="A974">IFERROR(INDEX(#REF!,MATCH(TRUE,ISNUMBER(FIND(SUBSTITUTE(SUBSTITUTE(UPPER(#REF!)," ",""),":",": "),SUBSTITUTE(SUBSTITUTE(UPPER(S974)," ",""),":",": "))),0)),"Undefined")</f>
        <v>Undefined</v>
      </c>
      <c r="B974" s="42" t="str" cm="1">
        <f t="array" ref="B974">IFERROR(INDEX({"URGENTE"},MATCH(TRUE,ISNUMBER(FIND(SUBSTITUTE(SUBSTITUTE(UPPER({"URGENTE"})," ",""),":",": "),SUBSTITUTE(SUBSTITUTE(UPPER(S974)," ",""),":",": "))),0)),"-")</f>
        <v>-</v>
      </c>
      <c r="C974" s="46" t="str" cm="1">
        <f t="array" ref="C974">IFERROR(INDEX(#REF!,MATCH(TRUE,ISNUMBER(FIND(SUBSTITUTE(SUBSTITUTE(UPPER(#REF!)," ",""),":",": "),SUBSTITUTE(SUBSTITUTE(UPPER(S974)," ",""),":",": "))),0)),"Não encontrado")</f>
        <v>Não encontrado</v>
      </c>
      <c r="D974" s="46" t="str" cm="1">
        <f t="array" ref="D974">IFERROR(INDEX(#REF!,MATCH(TRUE,ISNUMBER(FIND(SUBSTITUTE(SUBSTITUTE(UPPER(#REF!)," ",""),":",": "),SUBSTITUTE(SUBSTITUTE(UPPER(S974)," ",""),":",": "))),0)),"Não encontrado")</f>
        <v>Não encontrado</v>
      </c>
      <c r="E974" s="42" t="str" cm="1">
        <f t="array" ref="E974">IFERROR(INDEX({"IMPEDITIVO"},MATCH(TRUE,ISNUMBER(FIND(SUBSTITUTE(SUBSTITUTE(UPPER({"IMPEDITIVO"})," ",""),":",": "),SUBSTITUTE(SUBSTITUTE(UPPER(S974)," ",""),":",": "))),0)),"-")</f>
        <v>-</v>
      </c>
      <c r="K974" s="49"/>
    </row>
    <row r="975" spans="1:11" x14ac:dyDescent="0.25">
      <c r="A975" s="46" t="str" cm="1">
        <f t="array" ref="A975">IFERROR(INDEX(#REF!,MATCH(TRUE,ISNUMBER(FIND(SUBSTITUTE(SUBSTITUTE(UPPER(#REF!)," ",""),":",": "),SUBSTITUTE(SUBSTITUTE(UPPER(S975)," ",""),":",": "))),0)),"Undefined")</f>
        <v>Undefined</v>
      </c>
      <c r="B975" s="42" t="str" cm="1">
        <f t="array" ref="B975">IFERROR(INDEX({"URGENTE"},MATCH(TRUE,ISNUMBER(FIND(SUBSTITUTE(SUBSTITUTE(UPPER({"URGENTE"})," ",""),":",": "),SUBSTITUTE(SUBSTITUTE(UPPER(S975)," ",""),":",": "))),0)),"-")</f>
        <v>-</v>
      </c>
      <c r="C975" s="46" t="str" cm="1">
        <f t="array" ref="C975">IFERROR(INDEX(#REF!,MATCH(TRUE,ISNUMBER(FIND(SUBSTITUTE(SUBSTITUTE(UPPER(#REF!)," ",""),":",": "),SUBSTITUTE(SUBSTITUTE(UPPER(S975)," ",""),":",": "))),0)),"Não encontrado")</f>
        <v>Não encontrado</v>
      </c>
      <c r="D975" s="46" t="str" cm="1">
        <f t="array" ref="D975">IFERROR(INDEX(#REF!,MATCH(TRUE,ISNUMBER(FIND(SUBSTITUTE(SUBSTITUTE(UPPER(#REF!)," ",""),":",": "),SUBSTITUTE(SUBSTITUTE(UPPER(S975)," ",""),":",": "))),0)),"Não encontrado")</f>
        <v>Não encontrado</v>
      </c>
      <c r="E975" s="42" t="str" cm="1">
        <f t="array" ref="E975">IFERROR(INDEX({"IMPEDITIVO"},MATCH(TRUE,ISNUMBER(FIND(SUBSTITUTE(SUBSTITUTE(UPPER({"IMPEDITIVO"})," ",""),":",": "),SUBSTITUTE(SUBSTITUTE(UPPER(S975)," ",""),":",": "))),0)),"-")</f>
        <v>-</v>
      </c>
      <c r="K975" s="49"/>
    </row>
    <row r="976" spans="1:11" x14ac:dyDescent="0.25">
      <c r="A976" s="46" t="str" cm="1">
        <f t="array" ref="A976">IFERROR(INDEX(#REF!,MATCH(TRUE,ISNUMBER(FIND(SUBSTITUTE(SUBSTITUTE(UPPER(#REF!)," ",""),":",": "),SUBSTITUTE(SUBSTITUTE(UPPER(S976)," ",""),":",": "))),0)),"Undefined")</f>
        <v>Undefined</v>
      </c>
      <c r="B976" s="42" t="str" cm="1">
        <f t="array" ref="B976">IFERROR(INDEX({"URGENTE"},MATCH(TRUE,ISNUMBER(FIND(SUBSTITUTE(SUBSTITUTE(UPPER({"URGENTE"})," ",""),":",": "),SUBSTITUTE(SUBSTITUTE(UPPER(S976)," ",""),":",": "))),0)),"-")</f>
        <v>-</v>
      </c>
      <c r="C976" s="46" t="str" cm="1">
        <f t="array" ref="C976">IFERROR(INDEX(#REF!,MATCH(TRUE,ISNUMBER(FIND(SUBSTITUTE(SUBSTITUTE(UPPER(#REF!)," ",""),":",": "),SUBSTITUTE(SUBSTITUTE(UPPER(S976)," ",""),":",": "))),0)),"Não encontrado")</f>
        <v>Não encontrado</v>
      </c>
      <c r="D976" s="46" t="str" cm="1">
        <f t="array" ref="D976">IFERROR(INDEX(#REF!,MATCH(TRUE,ISNUMBER(FIND(SUBSTITUTE(SUBSTITUTE(UPPER(#REF!)," ",""),":",": "),SUBSTITUTE(SUBSTITUTE(UPPER(S976)," ",""),":",": "))),0)),"Não encontrado")</f>
        <v>Não encontrado</v>
      </c>
      <c r="E976" s="42" t="str" cm="1">
        <f t="array" ref="E976">IFERROR(INDEX({"IMPEDITIVO"},MATCH(TRUE,ISNUMBER(FIND(SUBSTITUTE(SUBSTITUTE(UPPER({"IMPEDITIVO"})," ",""),":",": "),SUBSTITUTE(SUBSTITUTE(UPPER(S976)," ",""),":",": "))),0)),"-")</f>
        <v>-</v>
      </c>
      <c r="K976" s="49"/>
    </row>
    <row r="977" spans="1:11" x14ac:dyDescent="0.25">
      <c r="A977" s="46" t="str" cm="1">
        <f t="array" ref="A977">IFERROR(INDEX(#REF!,MATCH(TRUE,ISNUMBER(FIND(SUBSTITUTE(SUBSTITUTE(UPPER(#REF!)," ",""),":",": "),SUBSTITUTE(SUBSTITUTE(UPPER(S977)," ",""),":",": "))),0)),"Undefined")</f>
        <v>Undefined</v>
      </c>
      <c r="B977" s="42" t="str" cm="1">
        <f t="array" ref="B977">IFERROR(INDEX({"URGENTE"},MATCH(TRUE,ISNUMBER(FIND(SUBSTITUTE(SUBSTITUTE(UPPER({"URGENTE"})," ",""),":",": "),SUBSTITUTE(SUBSTITUTE(UPPER(S977)," ",""),":",": "))),0)),"-")</f>
        <v>-</v>
      </c>
      <c r="C977" s="46" t="str" cm="1">
        <f t="array" ref="C977">IFERROR(INDEX(#REF!,MATCH(TRUE,ISNUMBER(FIND(SUBSTITUTE(SUBSTITUTE(UPPER(#REF!)," ",""),":",": "),SUBSTITUTE(SUBSTITUTE(UPPER(S977)," ",""),":",": "))),0)),"Não encontrado")</f>
        <v>Não encontrado</v>
      </c>
      <c r="D977" s="46" t="str" cm="1">
        <f t="array" ref="D977">IFERROR(INDEX(#REF!,MATCH(TRUE,ISNUMBER(FIND(SUBSTITUTE(SUBSTITUTE(UPPER(#REF!)," ",""),":",": "),SUBSTITUTE(SUBSTITUTE(UPPER(S977)," ",""),":",": "))),0)),"Não encontrado")</f>
        <v>Não encontrado</v>
      </c>
      <c r="E977" s="42" t="str" cm="1">
        <f t="array" ref="E977">IFERROR(INDEX({"IMPEDITIVO"},MATCH(TRUE,ISNUMBER(FIND(SUBSTITUTE(SUBSTITUTE(UPPER({"IMPEDITIVO"})," ",""),":",": "),SUBSTITUTE(SUBSTITUTE(UPPER(S977)," ",""),":",": "))),0)),"-")</f>
        <v>-</v>
      </c>
      <c r="K977" s="49"/>
    </row>
    <row r="978" spans="1:11" x14ac:dyDescent="0.25">
      <c r="A978" s="46" t="str" cm="1">
        <f t="array" ref="A978">IFERROR(INDEX(#REF!,MATCH(TRUE,ISNUMBER(FIND(SUBSTITUTE(SUBSTITUTE(UPPER(#REF!)," ",""),":",": "),SUBSTITUTE(SUBSTITUTE(UPPER(S978)," ",""),":",": "))),0)),"Undefined")</f>
        <v>Undefined</v>
      </c>
      <c r="B978" s="42" t="str" cm="1">
        <f t="array" ref="B978">IFERROR(INDEX({"URGENTE"},MATCH(TRUE,ISNUMBER(FIND(SUBSTITUTE(SUBSTITUTE(UPPER({"URGENTE"})," ",""),":",": "),SUBSTITUTE(SUBSTITUTE(UPPER(S978)," ",""),":",": "))),0)),"-")</f>
        <v>-</v>
      </c>
      <c r="C978" s="46" t="str" cm="1">
        <f t="array" ref="C978">IFERROR(INDEX(#REF!,MATCH(TRUE,ISNUMBER(FIND(SUBSTITUTE(SUBSTITUTE(UPPER(#REF!)," ",""),":",": "),SUBSTITUTE(SUBSTITUTE(UPPER(S978)," ",""),":",": "))),0)),"Não encontrado")</f>
        <v>Não encontrado</v>
      </c>
      <c r="D978" s="46" t="str" cm="1">
        <f t="array" ref="D978">IFERROR(INDEX(#REF!,MATCH(TRUE,ISNUMBER(FIND(SUBSTITUTE(SUBSTITUTE(UPPER(#REF!)," ",""),":",": "),SUBSTITUTE(SUBSTITUTE(UPPER(S978)," ",""),":",": "))),0)),"Não encontrado")</f>
        <v>Não encontrado</v>
      </c>
      <c r="E978" s="42" t="str" cm="1">
        <f t="array" ref="E978">IFERROR(INDEX({"IMPEDITIVO"},MATCH(TRUE,ISNUMBER(FIND(SUBSTITUTE(SUBSTITUTE(UPPER({"IMPEDITIVO"})," ",""),":",": "),SUBSTITUTE(SUBSTITUTE(UPPER(S978)," ",""),":",": "))),0)),"-")</f>
        <v>-</v>
      </c>
      <c r="K978" s="49"/>
    </row>
    <row r="979" spans="1:11" x14ac:dyDescent="0.25">
      <c r="A979" s="46" t="str" cm="1">
        <f t="array" ref="A979">IFERROR(INDEX(#REF!,MATCH(TRUE,ISNUMBER(FIND(SUBSTITUTE(SUBSTITUTE(UPPER(#REF!)," ",""),":",": "),SUBSTITUTE(SUBSTITUTE(UPPER(S979)," ",""),":",": "))),0)),"Undefined")</f>
        <v>Undefined</v>
      </c>
      <c r="B979" s="42" t="str" cm="1">
        <f t="array" ref="B979">IFERROR(INDEX({"URGENTE"},MATCH(TRUE,ISNUMBER(FIND(SUBSTITUTE(SUBSTITUTE(UPPER({"URGENTE"})," ",""),":",": "),SUBSTITUTE(SUBSTITUTE(UPPER(S979)," ",""),":",": "))),0)),"-")</f>
        <v>-</v>
      </c>
      <c r="C979" s="46" t="str" cm="1">
        <f t="array" ref="C979">IFERROR(INDEX(#REF!,MATCH(TRUE,ISNUMBER(FIND(SUBSTITUTE(SUBSTITUTE(UPPER(#REF!)," ",""),":",": "),SUBSTITUTE(SUBSTITUTE(UPPER(S979)," ",""),":",": "))),0)),"Não encontrado")</f>
        <v>Não encontrado</v>
      </c>
      <c r="D979" s="46" t="str" cm="1">
        <f t="array" ref="D979">IFERROR(INDEX(#REF!,MATCH(TRUE,ISNUMBER(FIND(SUBSTITUTE(SUBSTITUTE(UPPER(#REF!)," ",""),":",": "),SUBSTITUTE(SUBSTITUTE(UPPER(S979)," ",""),":",": "))),0)),"Não encontrado")</f>
        <v>Não encontrado</v>
      </c>
      <c r="E979" s="42" t="str" cm="1">
        <f t="array" ref="E979">IFERROR(INDEX({"IMPEDITIVO"},MATCH(TRUE,ISNUMBER(FIND(SUBSTITUTE(SUBSTITUTE(UPPER({"IMPEDITIVO"})," ",""),":",": "),SUBSTITUTE(SUBSTITUTE(UPPER(S979)," ",""),":",": "))),0)),"-")</f>
        <v>-</v>
      </c>
      <c r="K979" s="49"/>
    </row>
    <row r="980" spans="1:11" x14ac:dyDescent="0.25">
      <c r="A980" s="46" t="str" cm="1">
        <f t="array" ref="A980">IFERROR(INDEX(#REF!,MATCH(TRUE,ISNUMBER(FIND(SUBSTITUTE(SUBSTITUTE(UPPER(#REF!)," ",""),":",": "),SUBSTITUTE(SUBSTITUTE(UPPER(S980)," ",""),":",": "))),0)),"Undefined")</f>
        <v>Undefined</v>
      </c>
      <c r="B980" s="42" t="str" cm="1">
        <f t="array" ref="B980">IFERROR(INDEX({"URGENTE"},MATCH(TRUE,ISNUMBER(FIND(SUBSTITUTE(SUBSTITUTE(UPPER({"URGENTE"})," ",""),":",": "),SUBSTITUTE(SUBSTITUTE(UPPER(S980)," ",""),":",": "))),0)),"-")</f>
        <v>-</v>
      </c>
      <c r="C980" s="46" t="str" cm="1">
        <f t="array" ref="C980">IFERROR(INDEX(#REF!,MATCH(TRUE,ISNUMBER(FIND(SUBSTITUTE(SUBSTITUTE(UPPER(#REF!)," ",""),":",": "),SUBSTITUTE(SUBSTITUTE(UPPER(S980)," ",""),":",": "))),0)),"Não encontrado")</f>
        <v>Não encontrado</v>
      </c>
      <c r="D980" s="46" t="str" cm="1">
        <f t="array" ref="D980">IFERROR(INDEX(#REF!,MATCH(TRUE,ISNUMBER(FIND(SUBSTITUTE(SUBSTITUTE(UPPER(#REF!)," ",""),":",": "),SUBSTITUTE(SUBSTITUTE(UPPER(S980)," ",""),":",": "))),0)),"Não encontrado")</f>
        <v>Não encontrado</v>
      </c>
      <c r="E980" s="42" t="str" cm="1">
        <f t="array" ref="E980">IFERROR(INDEX({"IMPEDITIVO"},MATCH(TRUE,ISNUMBER(FIND(SUBSTITUTE(SUBSTITUTE(UPPER({"IMPEDITIVO"})," ",""),":",": "),SUBSTITUTE(SUBSTITUTE(UPPER(S980)," ",""),":",": "))),0)),"-")</f>
        <v>-</v>
      </c>
      <c r="K980" s="49"/>
    </row>
    <row r="981" spans="1:11" x14ac:dyDescent="0.25">
      <c r="A981" s="46" t="str" cm="1">
        <f t="array" ref="A981">IFERROR(INDEX(#REF!,MATCH(TRUE,ISNUMBER(FIND(SUBSTITUTE(SUBSTITUTE(UPPER(#REF!)," ",""),":",": "),SUBSTITUTE(SUBSTITUTE(UPPER(S981)," ",""),":",": "))),0)),"Undefined")</f>
        <v>Undefined</v>
      </c>
      <c r="B981" s="42" t="str" cm="1">
        <f t="array" ref="B981">IFERROR(INDEX({"URGENTE"},MATCH(TRUE,ISNUMBER(FIND(SUBSTITUTE(SUBSTITUTE(UPPER({"URGENTE"})," ",""),":",": "),SUBSTITUTE(SUBSTITUTE(UPPER(S981)," ",""),":",": "))),0)),"-")</f>
        <v>-</v>
      </c>
      <c r="C981" s="46" t="str" cm="1">
        <f t="array" ref="C981">IFERROR(INDEX(#REF!,MATCH(TRUE,ISNUMBER(FIND(SUBSTITUTE(SUBSTITUTE(UPPER(#REF!)," ",""),":",": "),SUBSTITUTE(SUBSTITUTE(UPPER(S981)," ",""),":",": "))),0)),"Não encontrado")</f>
        <v>Não encontrado</v>
      </c>
      <c r="D981" s="46" t="str" cm="1">
        <f t="array" ref="D981">IFERROR(INDEX(#REF!,MATCH(TRUE,ISNUMBER(FIND(SUBSTITUTE(SUBSTITUTE(UPPER(#REF!)," ",""),":",": "),SUBSTITUTE(SUBSTITUTE(UPPER(S981)," ",""),":",": "))),0)),"Não encontrado")</f>
        <v>Não encontrado</v>
      </c>
      <c r="E981" s="42" t="str" cm="1">
        <f t="array" ref="E981">IFERROR(INDEX({"IMPEDITIVO"},MATCH(TRUE,ISNUMBER(FIND(SUBSTITUTE(SUBSTITUTE(UPPER({"IMPEDITIVO"})," ",""),":",": "),SUBSTITUTE(SUBSTITUTE(UPPER(S981)," ",""),":",": "))),0)),"-")</f>
        <v>-</v>
      </c>
      <c r="K981" s="49"/>
    </row>
    <row r="982" spans="1:11" x14ac:dyDescent="0.25">
      <c r="A982" s="46" t="str" cm="1">
        <f t="array" ref="A982">IFERROR(INDEX(#REF!,MATCH(TRUE,ISNUMBER(FIND(SUBSTITUTE(SUBSTITUTE(UPPER(#REF!)," ",""),":",": "),SUBSTITUTE(SUBSTITUTE(UPPER(S982)," ",""),":",": "))),0)),"Undefined")</f>
        <v>Undefined</v>
      </c>
      <c r="B982" s="42" t="str" cm="1">
        <f t="array" ref="B982">IFERROR(INDEX({"URGENTE"},MATCH(TRUE,ISNUMBER(FIND(SUBSTITUTE(SUBSTITUTE(UPPER({"URGENTE"})," ",""),":",": "),SUBSTITUTE(SUBSTITUTE(UPPER(S982)," ",""),":",": "))),0)),"-")</f>
        <v>-</v>
      </c>
      <c r="C982" s="46" t="str" cm="1">
        <f t="array" ref="C982">IFERROR(INDEX(#REF!,MATCH(TRUE,ISNUMBER(FIND(SUBSTITUTE(SUBSTITUTE(UPPER(#REF!)," ",""),":",": "),SUBSTITUTE(SUBSTITUTE(UPPER(S982)," ",""),":",": "))),0)),"Não encontrado")</f>
        <v>Não encontrado</v>
      </c>
      <c r="D982" s="46" t="str" cm="1">
        <f t="array" ref="D982">IFERROR(INDEX(#REF!,MATCH(TRUE,ISNUMBER(FIND(SUBSTITUTE(SUBSTITUTE(UPPER(#REF!)," ",""),":",": "),SUBSTITUTE(SUBSTITUTE(UPPER(S982)," ",""),":",": "))),0)),"Não encontrado")</f>
        <v>Não encontrado</v>
      </c>
      <c r="E982" s="42" t="str" cm="1">
        <f t="array" ref="E982">IFERROR(INDEX({"IMPEDITIVO"},MATCH(TRUE,ISNUMBER(FIND(SUBSTITUTE(SUBSTITUTE(UPPER({"IMPEDITIVO"})," ",""),":",": "),SUBSTITUTE(SUBSTITUTE(UPPER(S982)," ",""),":",": "))),0)),"-")</f>
        <v>-</v>
      </c>
      <c r="K982" s="49"/>
    </row>
    <row r="983" spans="1:11" x14ac:dyDescent="0.25">
      <c r="A983" s="46" t="str" cm="1">
        <f t="array" ref="A983">IFERROR(INDEX(#REF!,MATCH(TRUE,ISNUMBER(FIND(SUBSTITUTE(SUBSTITUTE(UPPER(#REF!)," ",""),":",": "),SUBSTITUTE(SUBSTITUTE(UPPER(S983)," ",""),":",": "))),0)),"Undefined")</f>
        <v>Undefined</v>
      </c>
      <c r="B983" s="42" t="str" cm="1">
        <f t="array" ref="B983">IFERROR(INDEX({"URGENTE"},MATCH(TRUE,ISNUMBER(FIND(SUBSTITUTE(SUBSTITUTE(UPPER({"URGENTE"})," ",""),":",": "),SUBSTITUTE(SUBSTITUTE(UPPER(S983)," ",""),":",": "))),0)),"-")</f>
        <v>-</v>
      </c>
      <c r="C983" s="46" t="str" cm="1">
        <f t="array" ref="C983">IFERROR(INDEX(#REF!,MATCH(TRUE,ISNUMBER(FIND(SUBSTITUTE(SUBSTITUTE(UPPER(#REF!)," ",""),":",": "),SUBSTITUTE(SUBSTITUTE(UPPER(S983)," ",""),":",": "))),0)),"Não encontrado")</f>
        <v>Não encontrado</v>
      </c>
      <c r="D983" s="46" t="str" cm="1">
        <f t="array" ref="D983">IFERROR(INDEX(#REF!,MATCH(TRUE,ISNUMBER(FIND(SUBSTITUTE(SUBSTITUTE(UPPER(#REF!)," ",""),":",": "),SUBSTITUTE(SUBSTITUTE(UPPER(S983)," ",""),":",": "))),0)),"Não encontrado")</f>
        <v>Não encontrado</v>
      </c>
      <c r="E983" s="42" t="str" cm="1">
        <f t="array" ref="E983">IFERROR(INDEX({"IMPEDITIVO"},MATCH(TRUE,ISNUMBER(FIND(SUBSTITUTE(SUBSTITUTE(UPPER({"IMPEDITIVO"})," ",""),":",": "),SUBSTITUTE(SUBSTITUTE(UPPER(S983)," ",""),":",": "))),0)),"-")</f>
        <v>-</v>
      </c>
      <c r="K983" s="49"/>
    </row>
    <row r="984" spans="1:11" x14ac:dyDescent="0.25">
      <c r="A984" s="46" t="str" cm="1">
        <f t="array" ref="A984">IFERROR(INDEX(#REF!,MATCH(TRUE,ISNUMBER(FIND(SUBSTITUTE(SUBSTITUTE(UPPER(#REF!)," ",""),":",": "),SUBSTITUTE(SUBSTITUTE(UPPER(S984)," ",""),":",": "))),0)),"Undefined")</f>
        <v>Undefined</v>
      </c>
      <c r="B984" s="42" t="str" cm="1">
        <f t="array" ref="B984">IFERROR(INDEX({"URGENTE"},MATCH(TRUE,ISNUMBER(FIND(SUBSTITUTE(SUBSTITUTE(UPPER({"URGENTE"})," ",""),":",": "),SUBSTITUTE(SUBSTITUTE(UPPER(S984)," ",""),":",": "))),0)),"-")</f>
        <v>-</v>
      </c>
      <c r="C984" s="46" t="str" cm="1">
        <f t="array" ref="C984">IFERROR(INDEX(#REF!,MATCH(TRUE,ISNUMBER(FIND(SUBSTITUTE(SUBSTITUTE(UPPER(#REF!)," ",""),":",": "),SUBSTITUTE(SUBSTITUTE(UPPER(S984)," ",""),":",": "))),0)),"Não encontrado")</f>
        <v>Não encontrado</v>
      </c>
      <c r="D984" s="46" t="str" cm="1">
        <f t="array" ref="D984">IFERROR(INDEX(#REF!,MATCH(TRUE,ISNUMBER(FIND(SUBSTITUTE(SUBSTITUTE(UPPER(#REF!)," ",""),":",": "),SUBSTITUTE(SUBSTITUTE(UPPER(S984)," ",""),":",": "))),0)),"Não encontrado")</f>
        <v>Não encontrado</v>
      </c>
      <c r="E984" s="42" t="str" cm="1">
        <f t="array" ref="E984">IFERROR(INDEX({"IMPEDITIVO"},MATCH(TRUE,ISNUMBER(FIND(SUBSTITUTE(SUBSTITUTE(UPPER({"IMPEDITIVO"})," ",""),":",": "),SUBSTITUTE(SUBSTITUTE(UPPER(S984)," ",""),":",": "))),0)),"-")</f>
        <v>-</v>
      </c>
      <c r="K984" s="49"/>
    </row>
    <row r="985" spans="1:11" x14ac:dyDescent="0.25">
      <c r="A985" s="46" t="str" cm="1">
        <f t="array" ref="A985">IFERROR(INDEX(#REF!,MATCH(TRUE,ISNUMBER(FIND(SUBSTITUTE(SUBSTITUTE(UPPER(#REF!)," ",""),":",": "),SUBSTITUTE(SUBSTITUTE(UPPER(S985)," ",""),":",": "))),0)),"Undefined")</f>
        <v>Undefined</v>
      </c>
      <c r="B985" s="42" t="str" cm="1">
        <f t="array" ref="B985">IFERROR(INDEX({"URGENTE"},MATCH(TRUE,ISNUMBER(FIND(SUBSTITUTE(SUBSTITUTE(UPPER({"URGENTE"})," ",""),":",": "),SUBSTITUTE(SUBSTITUTE(UPPER(S985)," ",""),":",": "))),0)),"-")</f>
        <v>-</v>
      </c>
      <c r="C985" s="46" t="str" cm="1">
        <f t="array" ref="C985">IFERROR(INDEX(#REF!,MATCH(TRUE,ISNUMBER(FIND(SUBSTITUTE(SUBSTITUTE(UPPER(#REF!)," ",""),":",": "),SUBSTITUTE(SUBSTITUTE(UPPER(S985)," ",""),":",": "))),0)),"Não encontrado")</f>
        <v>Não encontrado</v>
      </c>
      <c r="D985" s="46" t="str" cm="1">
        <f t="array" ref="D985">IFERROR(INDEX(#REF!,MATCH(TRUE,ISNUMBER(FIND(SUBSTITUTE(SUBSTITUTE(UPPER(#REF!)," ",""),":",": "),SUBSTITUTE(SUBSTITUTE(UPPER(S985)," ",""),":",": "))),0)),"Não encontrado")</f>
        <v>Não encontrado</v>
      </c>
      <c r="E985" s="42" t="str" cm="1">
        <f t="array" ref="E985">IFERROR(INDEX({"IMPEDITIVO"},MATCH(TRUE,ISNUMBER(FIND(SUBSTITUTE(SUBSTITUTE(UPPER({"IMPEDITIVO"})," ",""),":",": "),SUBSTITUTE(SUBSTITUTE(UPPER(S985)," ",""),":",": "))),0)),"-")</f>
        <v>-</v>
      </c>
      <c r="K985" s="49"/>
    </row>
    <row r="986" spans="1:11" x14ac:dyDescent="0.25">
      <c r="A986" s="46" t="str" cm="1">
        <f t="array" ref="A986">IFERROR(INDEX(#REF!,MATCH(TRUE,ISNUMBER(FIND(SUBSTITUTE(SUBSTITUTE(UPPER(#REF!)," ",""),":",": "),SUBSTITUTE(SUBSTITUTE(UPPER(S986)," ",""),":",": "))),0)),"Undefined")</f>
        <v>Undefined</v>
      </c>
      <c r="B986" s="42" t="str" cm="1">
        <f t="array" ref="B986">IFERROR(INDEX({"URGENTE"},MATCH(TRUE,ISNUMBER(FIND(SUBSTITUTE(SUBSTITUTE(UPPER({"URGENTE"})," ",""),":",": "),SUBSTITUTE(SUBSTITUTE(UPPER(S986)," ",""),":",": "))),0)),"-")</f>
        <v>-</v>
      </c>
      <c r="C986" s="46" t="str" cm="1">
        <f t="array" ref="C986">IFERROR(INDEX(#REF!,MATCH(TRUE,ISNUMBER(FIND(SUBSTITUTE(SUBSTITUTE(UPPER(#REF!)," ",""),":",": "),SUBSTITUTE(SUBSTITUTE(UPPER(S986)," ",""),":",": "))),0)),"Não encontrado")</f>
        <v>Não encontrado</v>
      </c>
      <c r="D986" s="46" t="str" cm="1">
        <f t="array" ref="D986">IFERROR(INDEX(#REF!,MATCH(TRUE,ISNUMBER(FIND(SUBSTITUTE(SUBSTITUTE(UPPER(#REF!)," ",""),":",": "),SUBSTITUTE(SUBSTITUTE(UPPER(S986)," ",""),":",": "))),0)),"Não encontrado")</f>
        <v>Não encontrado</v>
      </c>
      <c r="E986" s="42" t="str" cm="1">
        <f t="array" ref="E986">IFERROR(INDEX({"IMPEDITIVO"},MATCH(TRUE,ISNUMBER(FIND(SUBSTITUTE(SUBSTITUTE(UPPER({"IMPEDITIVO"})," ",""),":",": "),SUBSTITUTE(SUBSTITUTE(UPPER(S986)," ",""),":",": "))),0)),"-")</f>
        <v>-</v>
      </c>
      <c r="K986" s="49"/>
    </row>
    <row r="987" spans="1:11" x14ac:dyDescent="0.25">
      <c r="A987" s="46" t="str" cm="1">
        <f t="array" ref="A987">IFERROR(INDEX(#REF!,MATCH(TRUE,ISNUMBER(FIND(SUBSTITUTE(SUBSTITUTE(UPPER(#REF!)," ",""),":",": "),SUBSTITUTE(SUBSTITUTE(UPPER(S987)," ",""),":",": "))),0)),"Undefined")</f>
        <v>Undefined</v>
      </c>
      <c r="B987" s="42" t="str" cm="1">
        <f t="array" ref="B987">IFERROR(INDEX({"URGENTE"},MATCH(TRUE,ISNUMBER(FIND(SUBSTITUTE(SUBSTITUTE(UPPER({"URGENTE"})," ",""),":",": "),SUBSTITUTE(SUBSTITUTE(UPPER(S987)," ",""),":",": "))),0)),"-")</f>
        <v>-</v>
      </c>
      <c r="C987" s="46" t="str" cm="1">
        <f t="array" ref="C987">IFERROR(INDEX(#REF!,MATCH(TRUE,ISNUMBER(FIND(SUBSTITUTE(SUBSTITUTE(UPPER(#REF!)," ",""),":",": "),SUBSTITUTE(SUBSTITUTE(UPPER(S987)," ",""),":",": "))),0)),"Não encontrado")</f>
        <v>Não encontrado</v>
      </c>
      <c r="D987" s="46" t="str" cm="1">
        <f t="array" ref="D987">IFERROR(INDEX(#REF!,MATCH(TRUE,ISNUMBER(FIND(SUBSTITUTE(SUBSTITUTE(UPPER(#REF!)," ",""),":",": "),SUBSTITUTE(SUBSTITUTE(UPPER(S987)," ",""),":",": "))),0)),"Não encontrado")</f>
        <v>Não encontrado</v>
      </c>
      <c r="E987" s="42" t="str" cm="1">
        <f t="array" ref="E987">IFERROR(INDEX({"IMPEDITIVO"},MATCH(TRUE,ISNUMBER(FIND(SUBSTITUTE(SUBSTITUTE(UPPER({"IMPEDITIVO"})," ",""),":",": "),SUBSTITUTE(SUBSTITUTE(UPPER(S987)," ",""),":",": "))),0)),"-")</f>
        <v>-</v>
      </c>
      <c r="K987" s="49"/>
    </row>
    <row r="988" spans="1:11" x14ac:dyDescent="0.25">
      <c r="A988" s="46" t="str" cm="1">
        <f t="array" ref="A988">IFERROR(INDEX(#REF!,MATCH(TRUE,ISNUMBER(FIND(SUBSTITUTE(SUBSTITUTE(UPPER(#REF!)," ",""),":",": "),SUBSTITUTE(SUBSTITUTE(UPPER(S988)," ",""),":",": "))),0)),"Undefined")</f>
        <v>Undefined</v>
      </c>
      <c r="B988" s="42" t="str" cm="1">
        <f t="array" ref="B988">IFERROR(INDEX({"URGENTE"},MATCH(TRUE,ISNUMBER(FIND(SUBSTITUTE(SUBSTITUTE(UPPER({"URGENTE"})," ",""),":",": "),SUBSTITUTE(SUBSTITUTE(UPPER(S988)," ",""),":",": "))),0)),"-")</f>
        <v>-</v>
      </c>
      <c r="C988" s="46" t="str" cm="1">
        <f t="array" ref="C988">IFERROR(INDEX(#REF!,MATCH(TRUE,ISNUMBER(FIND(SUBSTITUTE(SUBSTITUTE(UPPER(#REF!)," ",""),":",": "),SUBSTITUTE(SUBSTITUTE(UPPER(S988)," ",""),":",": "))),0)),"Não encontrado")</f>
        <v>Não encontrado</v>
      </c>
      <c r="D988" s="46" t="str" cm="1">
        <f t="array" ref="D988">IFERROR(INDEX(#REF!,MATCH(TRUE,ISNUMBER(FIND(SUBSTITUTE(SUBSTITUTE(UPPER(#REF!)," ",""),":",": "),SUBSTITUTE(SUBSTITUTE(UPPER(S988)," ",""),":",": "))),0)),"Não encontrado")</f>
        <v>Não encontrado</v>
      </c>
      <c r="E988" s="42" t="str" cm="1">
        <f t="array" ref="E988">IFERROR(INDEX({"IMPEDITIVO"},MATCH(TRUE,ISNUMBER(FIND(SUBSTITUTE(SUBSTITUTE(UPPER({"IMPEDITIVO"})," ",""),":",": "),SUBSTITUTE(SUBSTITUTE(UPPER(S988)," ",""),":",": "))),0)),"-")</f>
        <v>-</v>
      </c>
      <c r="K988" s="49"/>
    </row>
    <row r="989" spans="1:11" x14ac:dyDescent="0.25">
      <c r="A989" s="46" t="str" cm="1">
        <f t="array" ref="A989">IFERROR(INDEX(#REF!,MATCH(TRUE,ISNUMBER(FIND(SUBSTITUTE(SUBSTITUTE(UPPER(#REF!)," ",""),":",": "),SUBSTITUTE(SUBSTITUTE(UPPER(S989)," ",""),":",": "))),0)),"Undefined")</f>
        <v>Undefined</v>
      </c>
      <c r="B989" s="42" t="str" cm="1">
        <f t="array" ref="B989">IFERROR(INDEX({"URGENTE"},MATCH(TRUE,ISNUMBER(FIND(SUBSTITUTE(SUBSTITUTE(UPPER({"URGENTE"})," ",""),":",": "),SUBSTITUTE(SUBSTITUTE(UPPER(S989)," ",""),":",": "))),0)),"-")</f>
        <v>-</v>
      </c>
      <c r="C989" s="46" t="str" cm="1">
        <f t="array" ref="C989">IFERROR(INDEX(#REF!,MATCH(TRUE,ISNUMBER(FIND(SUBSTITUTE(SUBSTITUTE(UPPER(#REF!)," ",""),":",": "),SUBSTITUTE(SUBSTITUTE(UPPER(S989)," ",""),":",": "))),0)),"Não encontrado")</f>
        <v>Não encontrado</v>
      </c>
      <c r="D989" s="46" t="str" cm="1">
        <f t="array" ref="D989">IFERROR(INDEX(#REF!,MATCH(TRUE,ISNUMBER(FIND(SUBSTITUTE(SUBSTITUTE(UPPER(#REF!)," ",""),":",": "),SUBSTITUTE(SUBSTITUTE(UPPER(S989)," ",""),":",": "))),0)),"Não encontrado")</f>
        <v>Não encontrado</v>
      </c>
      <c r="E989" s="42" t="str" cm="1">
        <f t="array" ref="E989">IFERROR(INDEX({"IMPEDITIVO"},MATCH(TRUE,ISNUMBER(FIND(SUBSTITUTE(SUBSTITUTE(UPPER({"IMPEDITIVO"})," ",""),":",": "),SUBSTITUTE(SUBSTITUTE(UPPER(S989)," ",""),":",": "))),0)),"-")</f>
        <v>-</v>
      </c>
      <c r="K989" s="49"/>
    </row>
    <row r="990" spans="1:11" x14ac:dyDescent="0.25">
      <c r="A990" s="46" t="str" cm="1">
        <f t="array" ref="A990">IFERROR(INDEX(#REF!,MATCH(TRUE,ISNUMBER(FIND(SUBSTITUTE(SUBSTITUTE(UPPER(#REF!)," ",""),":",": "),SUBSTITUTE(SUBSTITUTE(UPPER(S990)," ",""),":",": "))),0)),"Undefined")</f>
        <v>Undefined</v>
      </c>
      <c r="B990" s="42" t="str" cm="1">
        <f t="array" ref="B990">IFERROR(INDEX({"URGENTE"},MATCH(TRUE,ISNUMBER(FIND(SUBSTITUTE(SUBSTITUTE(UPPER({"URGENTE"})," ",""),":",": "),SUBSTITUTE(SUBSTITUTE(UPPER(S990)," ",""),":",": "))),0)),"-")</f>
        <v>-</v>
      </c>
      <c r="C990" s="46" t="str" cm="1">
        <f t="array" ref="C990">IFERROR(INDEX(#REF!,MATCH(TRUE,ISNUMBER(FIND(SUBSTITUTE(SUBSTITUTE(UPPER(#REF!)," ",""),":",": "),SUBSTITUTE(SUBSTITUTE(UPPER(S990)," ",""),":",": "))),0)),"Não encontrado")</f>
        <v>Não encontrado</v>
      </c>
      <c r="D990" s="46" t="str" cm="1">
        <f t="array" ref="D990">IFERROR(INDEX(#REF!,MATCH(TRUE,ISNUMBER(FIND(SUBSTITUTE(SUBSTITUTE(UPPER(#REF!)," ",""),":",": "),SUBSTITUTE(SUBSTITUTE(UPPER(S990)," ",""),":",": "))),0)),"Não encontrado")</f>
        <v>Não encontrado</v>
      </c>
      <c r="E990" s="42" t="str" cm="1">
        <f t="array" ref="E990">IFERROR(INDEX({"IMPEDITIVO"},MATCH(TRUE,ISNUMBER(FIND(SUBSTITUTE(SUBSTITUTE(UPPER({"IMPEDITIVO"})," ",""),":",": "),SUBSTITUTE(SUBSTITUTE(UPPER(S990)," ",""),":",": "))),0)),"-")</f>
        <v>-</v>
      </c>
      <c r="K990" s="49"/>
    </row>
    <row r="991" spans="1:11" x14ac:dyDescent="0.25">
      <c r="A991" s="46" t="str" cm="1">
        <f t="array" ref="A991">IFERROR(INDEX(#REF!,MATCH(TRUE,ISNUMBER(FIND(SUBSTITUTE(SUBSTITUTE(UPPER(#REF!)," ",""),":",": "),SUBSTITUTE(SUBSTITUTE(UPPER(S991)," ",""),":",": "))),0)),"Undefined")</f>
        <v>Undefined</v>
      </c>
      <c r="B991" s="42" t="str" cm="1">
        <f t="array" ref="B991">IFERROR(INDEX({"URGENTE"},MATCH(TRUE,ISNUMBER(FIND(SUBSTITUTE(SUBSTITUTE(UPPER({"URGENTE"})," ",""),":",": "),SUBSTITUTE(SUBSTITUTE(UPPER(S991)," ",""),":",": "))),0)),"-")</f>
        <v>-</v>
      </c>
      <c r="C991" s="46" t="str" cm="1">
        <f t="array" ref="C991">IFERROR(INDEX(#REF!,MATCH(TRUE,ISNUMBER(FIND(SUBSTITUTE(SUBSTITUTE(UPPER(#REF!)," ",""),":",": "),SUBSTITUTE(SUBSTITUTE(UPPER(S991)," ",""),":",": "))),0)),"Não encontrado")</f>
        <v>Não encontrado</v>
      </c>
      <c r="D991" s="46" t="str" cm="1">
        <f t="array" ref="D991">IFERROR(INDEX(#REF!,MATCH(TRUE,ISNUMBER(FIND(SUBSTITUTE(SUBSTITUTE(UPPER(#REF!)," ",""),":",": "),SUBSTITUTE(SUBSTITUTE(UPPER(S991)," ",""),":",": "))),0)),"Não encontrado")</f>
        <v>Não encontrado</v>
      </c>
      <c r="E991" s="42" t="str" cm="1">
        <f t="array" ref="E991">IFERROR(INDEX({"IMPEDITIVO"},MATCH(TRUE,ISNUMBER(FIND(SUBSTITUTE(SUBSTITUTE(UPPER({"IMPEDITIVO"})," ",""),":",": "),SUBSTITUTE(SUBSTITUTE(UPPER(S991)," ",""),":",": "))),0)),"-")</f>
        <v>-</v>
      </c>
      <c r="K991" s="49"/>
    </row>
    <row r="992" spans="1:11" x14ac:dyDescent="0.25">
      <c r="A992" s="46" t="str" cm="1">
        <f t="array" ref="A992">IFERROR(INDEX(#REF!,MATCH(TRUE,ISNUMBER(FIND(SUBSTITUTE(SUBSTITUTE(UPPER(#REF!)," ",""),":",": "),SUBSTITUTE(SUBSTITUTE(UPPER(S992)," ",""),":",": "))),0)),"Undefined")</f>
        <v>Undefined</v>
      </c>
      <c r="B992" s="42" t="str" cm="1">
        <f t="array" ref="B992">IFERROR(INDEX({"URGENTE"},MATCH(TRUE,ISNUMBER(FIND(SUBSTITUTE(SUBSTITUTE(UPPER({"URGENTE"})," ",""),":",": "),SUBSTITUTE(SUBSTITUTE(UPPER(S992)," ",""),":",": "))),0)),"-")</f>
        <v>-</v>
      </c>
      <c r="C992" s="46" t="str" cm="1">
        <f t="array" ref="C992">IFERROR(INDEX(#REF!,MATCH(TRUE,ISNUMBER(FIND(SUBSTITUTE(SUBSTITUTE(UPPER(#REF!)," ",""),":",": "),SUBSTITUTE(SUBSTITUTE(UPPER(S992)," ",""),":",": "))),0)),"Não encontrado")</f>
        <v>Não encontrado</v>
      </c>
      <c r="D992" s="46" t="str" cm="1">
        <f t="array" ref="D992">IFERROR(INDEX(#REF!,MATCH(TRUE,ISNUMBER(FIND(SUBSTITUTE(SUBSTITUTE(UPPER(#REF!)," ",""),":",": "),SUBSTITUTE(SUBSTITUTE(UPPER(S992)," ",""),":",": "))),0)),"Não encontrado")</f>
        <v>Não encontrado</v>
      </c>
      <c r="E992" s="42" t="str" cm="1">
        <f t="array" ref="E992">IFERROR(INDEX({"IMPEDITIVO"},MATCH(TRUE,ISNUMBER(FIND(SUBSTITUTE(SUBSTITUTE(UPPER({"IMPEDITIVO"})," ",""),":",": "),SUBSTITUTE(SUBSTITUTE(UPPER(S992)," ",""),":",": "))),0)),"-")</f>
        <v>-</v>
      </c>
      <c r="K992" s="49"/>
    </row>
    <row r="993" spans="1:11" x14ac:dyDescent="0.25">
      <c r="A993" s="46" t="str" cm="1">
        <f t="array" ref="A993">IFERROR(INDEX(#REF!,MATCH(TRUE,ISNUMBER(FIND(SUBSTITUTE(SUBSTITUTE(UPPER(#REF!)," ",""),":",": "),SUBSTITUTE(SUBSTITUTE(UPPER(S993)," ",""),":",": "))),0)),"Undefined")</f>
        <v>Undefined</v>
      </c>
      <c r="B993" s="42" t="str" cm="1">
        <f t="array" ref="B993">IFERROR(INDEX({"URGENTE"},MATCH(TRUE,ISNUMBER(FIND(SUBSTITUTE(SUBSTITUTE(UPPER({"URGENTE"})," ",""),":",": "),SUBSTITUTE(SUBSTITUTE(UPPER(S993)," ",""),":",": "))),0)),"-")</f>
        <v>-</v>
      </c>
      <c r="C993" s="46" t="str" cm="1">
        <f t="array" ref="C993">IFERROR(INDEX(#REF!,MATCH(TRUE,ISNUMBER(FIND(SUBSTITUTE(SUBSTITUTE(UPPER(#REF!)," ",""),":",": "),SUBSTITUTE(SUBSTITUTE(UPPER(S993)," ",""),":",": "))),0)),"Não encontrado")</f>
        <v>Não encontrado</v>
      </c>
      <c r="D993" s="46" t="str" cm="1">
        <f t="array" ref="D993">IFERROR(INDEX(#REF!,MATCH(TRUE,ISNUMBER(FIND(SUBSTITUTE(SUBSTITUTE(UPPER(#REF!)," ",""),":",": "),SUBSTITUTE(SUBSTITUTE(UPPER(S993)," ",""),":",": "))),0)),"Não encontrado")</f>
        <v>Não encontrado</v>
      </c>
      <c r="E993" s="42" t="str" cm="1">
        <f t="array" ref="E993">IFERROR(INDEX({"IMPEDITIVO"},MATCH(TRUE,ISNUMBER(FIND(SUBSTITUTE(SUBSTITUTE(UPPER({"IMPEDITIVO"})," ",""),":",": "),SUBSTITUTE(SUBSTITUTE(UPPER(S993)," ",""),":",": "))),0)),"-")</f>
        <v>-</v>
      </c>
      <c r="K993" s="49"/>
    </row>
    <row r="994" spans="1:11" x14ac:dyDescent="0.25">
      <c r="A994" s="46" t="str" cm="1">
        <f t="array" ref="A994">IFERROR(INDEX(#REF!,MATCH(TRUE,ISNUMBER(FIND(SUBSTITUTE(SUBSTITUTE(UPPER(#REF!)," ",""),":",": "),SUBSTITUTE(SUBSTITUTE(UPPER(S994)," ",""),":",": "))),0)),"Undefined")</f>
        <v>Undefined</v>
      </c>
      <c r="B994" s="42" t="str" cm="1">
        <f t="array" ref="B994">IFERROR(INDEX({"URGENTE"},MATCH(TRUE,ISNUMBER(FIND(SUBSTITUTE(SUBSTITUTE(UPPER({"URGENTE"})," ",""),":",": "),SUBSTITUTE(SUBSTITUTE(UPPER(S994)," ",""),":",": "))),0)),"-")</f>
        <v>-</v>
      </c>
      <c r="C994" s="46" t="str" cm="1">
        <f t="array" ref="C994">IFERROR(INDEX(#REF!,MATCH(TRUE,ISNUMBER(FIND(SUBSTITUTE(SUBSTITUTE(UPPER(#REF!)," ",""),":",": "),SUBSTITUTE(SUBSTITUTE(UPPER(S994)," ",""),":",": "))),0)),"Não encontrado")</f>
        <v>Não encontrado</v>
      </c>
      <c r="D994" s="46" t="str" cm="1">
        <f t="array" ref="D994">IFERROR(INDEX(#REF!,MATCH(TRUE,ISNUMBER(FIND(SUBSTITUTE(SUBSTITUTE(UPPER(#REF!)," ",""),":",": "),SUBSTITUTE(SUBSTITUTE(UPPER(S994)," ",""),":",": "))),0)),"Não encontrado")</f>
        <v>Não encontrado</v>
      </c>
      <c r="E994" s="42" t="str" cm="1">
        <f t="array" ref="E994">IFERROR(INDEX({"IMPEDITIVO"},MATCH(TRUE,ISNUMBER(FIND(SUBSTITUTE(SUBSTITUTE(UPPER({"IMPEDITIVO"})," ",""),":",": "),SUBSTITUTE(SUBSTITUTE(UPPER(S994)," ",""),":",": "))),0)),"-")</f>
        <v>-</v>
      </c>
      <c r="K994" s="49"/>
    </row>
    <row r="995" spans="1:11" x14ac:dyDescent="0.25">
      <c r="A995" s="46" t="str" cm="1">
        <f t="array" ref="A995">IFERROR(INDEX(#REF!,MATCH(TRUE,ISNUMBER(FIND(SUBSTITUTE(SUBSTITUTE(UPPER(#REF!)," ",""),":",": "),SUBSTITUTE(SUBSTITUTE(UPPER(S995)," ",""),":",": "))),0)),"Undefined")</f>
        <v>Undefined</v>
      </c>
      <c r="B995" s="42" t="str" cm="1">
        <f t="array" ref="B995">IFERROR(INDEX({"URGENTE"},MATCH(TRUE,ISNUMBER(FIND(SUBSTITUTE(SUBSTITUTE(UPPER({"URGENTE"})," ",""),":",": "),SUBSTITUTE(SUBSTITUTE(UPPER(S995)," ",""),":",": "))),0)),"-")</f>
        <v>-</v>
      </c>
      <c r="C995" s="46" t="str" cm="1">
        <f t="array" ref="C995">IFERROR(INDEX(#REF!,MATCH(TRUE,ISNUMBER(FIND(SUBSTITUTE(SUBSTITUTE(UPPER(#REF!)," ",""),":",": "),SUBSTITUTE(SUBSTITUTE(UPPER(S995)," ",""),":",": "))),0)),"Não encontrado")</f>
        <v>Não encontrado</v>
      </c>
      <c r="D995" s="46" t="str" cm="1">
        <f t="array" ref="D995">IFERROR(INDEX(#REF!,MATCH(TRUE,ISNUMBER(FIND(SUBSTITUTE(SUBSTITUTE(UPPER(#REF!)," ",""),":",": "),SUBSTITUTE(SUBSTITUTE(UPPER(S995)," ",""),":",": "))),0)),"Não encontrado")</f>
        <v>Não encontrado</v>
      </c>
      <c r="E995" s="42" t="str" cm="1">
        <f t="array" ref="E995">IFERROR(INDEX({"IMPEDITIVO"},MATCH(TRUE,ISNUMBER(FIND(SUBSTITUTE(SUBSTITUTE(UPPER({"IMPEDITIVO"})," ",""),":",": "),SUBSTITUTE(SUBSTITUTE(UPPER(S995)," ",""),":",": "))),0)),"-")</f>
        <v>-</v>
      </c>
      <c r="K995" s="49"/>
    </row>
    <row r="996" spans="1:11" x14ac:dyDescent="0.25">
      <c r="A996" s="46" t="str" cm="1">
        <f t="array" ref="A996">IFERROR(INDEX(#REF!,MATCH(TRUE,ISNUMBER(FIND(SUBSTITUTE(SUBSTITUTE(UPPER(#REF!)," ",""),":",": "),SUBSTITUTE(SUBSTITUTE(UPPER(S996)," ",""),":",": "))),0)),"Undefined")</f>
        <v>Undefined</v>
      </c>
      <c r="B996" s="42" t="str" cm="1">
        <f t="array" ref="B996">IFERROR(INDEX({"URGENTE"},MATCH(TRUE,ISNUMBER(FIND(SUBSTITUTE(SUBSTITUTE(UPPER({"URGENTE"})," ",""),":",": "),SUBSTITUTE(SUBSTITUTE(UPPER(S996)," ",""),":",": "))),0)),"-")</f>
        <v>-</v>
      </c>
      <c r="C996" s="46" t="str" cm="1">
        <f t="array" ref="C996">IFERROR(INDEX(#REF!,MATCH(TRUE,ISNUMBER(FIND(SUBSTITUTE(SUBSTITUTE(UPPER(#REF!)," ",""),":",": "),SUBSTITUTE(SUBSTITUTE(UPPER(S996)," ",""),":",": "))),0)),"Não encontrado")</f>
        <v>Não encontrado</v>
      </c>
      <c r="D996" s="46" t="str" cm="1">
        <f t="array" ref="D996">IFERROR(INDEX(#REF!,MATCH(TRUE,ISNUMBER(FIND(SUBSTITUTE(SUBSTITUTE(UPPER(#REF!)," ",""),":",": "),SUBSTITUTE(SUBSTITUTE(UPPER(S996)," ",""),":",": "))),0)),"Não encontrado")</f>
        <v>Não encontrado</v>
      </c>
      <c r="E996" s="42" t="str" cm="1">
        <f t="array" ref="E996">IFERROR(INDEX({"IMPEDITIVO"},MATCH(TRUE,ISNUMBER(FIND(SUBSTITUTE(SUBSTITUTE(UPPER({"IMPEDITIVO"})," ",""),":",": "),SUBSTITUTE(SUBSTITUTE(UPPER(S996)," ",""),":",": "))),0)),"-")</f>
        <v>-</v>
      </c>
      <c r="K996" s="49"/>
    </row>
    <row r="997" spans="1:11" x14ac:dyDescent="0.25">
      <c r="A997" s="46" t="str" cm="1">
        <f t="array" ref="A997">IFERROR(INDEX(#REF!,MATCH(TRUE,ISNUMBER(FIND(SUBSTITUTE(SUBSTITUTE(UPPER(#REF!)," ",""),":",": "),SUBSTITUTE(SUBSTITUTE(UPPER(S997)," ",""),":",": "))),0)),"Undefined")</f>
        <v>Undefined</v>
      </c>
      <c r="B997" s="42" t="str" cm="1">
        <f t="array" ref="B997">IFERROR(INDEX({"URGENTE"},MATCH(TRUE,ISNUMBER(FIND(SUBSTITUTE(SUBSTITUTE(UPPER({"URGENTE"})," ",""),":",": "),SUBSTITUTE(SUBSTITUTE(UPPER(S997)," ",""),":",": "))),0)),"-")</f>
        <v>-</v>
      </c>
      <c r="C997" s="46" t="str" cm="1">
        <f t="array" ref="C997">IFERROR(INDEX(#REF!,MATCH(TRUE,ISNUMBER(FIND(SUBSTITUTE(SUBSTITUTE(UPPER(#REF!)," ",""),":",": "),SUBSTITUTE(SUBSTITUTE(UPPER(S997)," ",""),":",": "))),0)),"Não encontrado")</f>
        <v>Não encontrado</v>
      </c>
      <c r="D997" s="46" t="str" cm="1">
        <f t="array" ref="D997">IFERROR(INDEX(#REF!,MATCH(TRUE,ISNUMBER(FIND(SUBSTITUTE(SUBSTITUTE(UPPER(#REF!)," ",""),":",": "),SUBSTITUTE(SUBSTITUTE(UPPER(S997)," ",""),":",": "))),0)),"Não encontrado")</f>
        <v>Não encontrado</v>
      </c>
      <c r="E997" s="42" t="str" cm="1">
        <f t="array" ref="E997">IFERROR(INDEX({"IMPEDITIVO"},MATCH(TRUE,ISNUMBER(FIND(SUBSTITUTE(SUBSTITUTE(UPPER({"IMPEDITIVO"})," ",""),":",": "),SUBSTITUTE(SUBSTITUTE(UPPER(S997)," ",""),":",": "))),0)),"-")</f>
        <v>-</v>
      </c>
      <c r="K997" s="49"/>
    </row>
    <row r="998" spans="1:11" x14ac:dyDescent="0.25">
      <c r="A998" s="46" t="str" cm="1">
        <f t="array" ref="A998">IFERROR(INDEX(#REF!,MATCH(TRUE,ISNUMBER(FIND(SUBSTITUTE(SUBSTITUTE(UPPER(#REF!)," ",""),":",": "),SUBSTITUTE(SUBSTITUTE(UPPER(S998)," ",""),":",": "))),0)),"Undefined")</f>
        <v>Undefined</v>
      </c>
      <c r="B998" s="42" t="str" cm="1">
        <f t="array" ref="B998">IFERROR(INDEX({"URGENTE"},MATCH(TRUE,ISNUMBER(FIND(SUBSTITUTE(SUBSTITUTE(UPPER({"URGENTE"})," ",""),":",": "),SUBSTITUTE(SUBSTITUTE(UPPER(S998)," ",""),":",": "))),0)),"-")</f>
        <v>-</v>
      </c>
      <c r="C998" s="46" t="str" cm="1">
        <f t="array" ref="C998">IFERROR(INDEX(#REF!,MATCH(TRUE,ISNUMBER(FIND(SUBSTITUTE(SUBSTITUTE(UPPER(#REF!)," ",""),":",": "),SUBSTITUTE(SUBSTITUTE(UPPER(S998)," ",""),":",": "))),0)),"Não encontrado")</f>
        <v>Não encontrado</v>
      </c>
      <c r="D998" s="46" t="str" cm="1">
        <f t="array" ref="D998">IFERROR(INDEX(#REF!,MATCH(TRUE,ISNUMBER(FIND(SUBSTITUTE(SUBSTITUTE(UPPER(#REF!)," ",""),":",": "),SUBSTITUTE(SUBSTITUTE(UPPER(S998)," ",""),":",": "))),0)),"Não encontrado")</f>
        <v>Não encontrado</v>
      </c>
      <c r="E998" s="42" t="str" cm="1">
        <f t="array" ref="E998">IFERROR(INDEX({"IMPEDITIVO"},MATCH(TRUE,ISNUMBER(FIND(SUBSTITUTE(SUBSTITUTE(UPPER({"IMPEDITIVO"})," ",""),":",": "),SUBSTITUTE(SUBSTITUTE(UPPER(S998)," ",""),":",": "))),0)),"-")</f>
        <v>-</v>
      </c>
      <c r="K998" s="49"/>
    </row>
    <row r="999" spans="1:11" x14ac:dyDescent="0.25">
      <c r="A999" s="46" t="str" cm="1">
        <f t="array" ref="A999">IFERROR(INDEX(#REF!,MATCH(TRUE,ISNUMBER(FIND(SUBSTITUTE(SUBSTITUTE(UPPER(#REF!)," ",""),":",": "),SUBSTITUTE(SUBSTITUTE(UPPER(S999)," ",""),":",": "))),0)),"Undefined")</f>
        <v>Undefined</v>
      </c>
      <c r="B999" s="42" t="str" cm="1">
        <f t="array" ref="B999">IFERROR(INDEX({"URGENTE"},MATCH(TRUE,ISNUMBER(FIND(SUBSTITUTE(SUBSTITUTE(UPPER({"URGENTE"})," ",""),":",": "),SUBSTITUTE(SUBSTITUTE(UPPER(S999)," ",""),":",": "))),0)),"-")</f>
        <v>-</v>
      </c>
      <c r="C999" s="46" t="str" cm="1">
        <f t="array" ref="C999">IFERROR(INDEX(#REF!,MATCH(TRUE,ISNUMBER(FIND(SUBSTITUTE(SUBSTITUTE(UPPER(#REF!)," ",""),":",": "),SUBSTITUTE(SUBSTITUTE(UPPER(S999)," ",""),":",": "))),0)),"Não encontrado")</f>
        <v>Não encontrado</v>
      </c>
      <c r="D999" s="46" t="str" cm="1">
        <f t="array" ref="D999">IFERROR(INDEX(#REF!,MATCH(TRUE,ISNUMBER(FIND(SUBSTITUTE(SUBSTITUTE(UPPER(#REF!)," ",""),":",": "),SUBSTITUTE(SUBSTITUTE(UPPER(S999)," ",""),":",": "))),0)),"Não encontrado")</f>
        <v>Não encontrado</v>
      </c>
      <c r="E999" s="42" t="str" cm="1">
        <f t="array" ref="E999">IFERROR(INDEX({"IMPEDITIVO"},MATCH(TRUE,ISNUMBER(FIND(SUBSTITUTE(SUBSTITUTE(UPPER({"IMPEDITIVO"})," ",""),":",": "),SUBSTITUTE(SUBSTITUTE(UPPER(S999)," ",""),":",": "))),0)),"-")</f>
        <v>-</v>
      </c>
      <c r="K999" s="49"/>
    </row>
    <row r="1000" spans="1:11" x14ac:dyDescent="0.25">
      <c r="A1000" s="46" t="str" cm="1">
        <f t="array" ref="A1000">IFERROR(INDEX(#REF!,MATCH(TRUE,ISNUMBER(FIND(SUBSTITUTE(SUBSTITUTE(UPPER(#REF!)," ",""),":",": "),SUBSTITUTE(SUBSTITUTE(UPPER(S1000)," ",""),":",": "))),0)),"Undefined")</f>
        <v>Undefined</v>
      </c>
      <c r="B1000" s="42" t="str" cm="1">
        <f t="array" ref="B1000">IFERROR(INDEX({"URGENTE"},MATCH(TRUE,ISNUMBER(FIND(SUBSTITUTE(SUBSTITUTE(UPPER({"URGENTE"})," ",""),":",": "),SUBSTITUTE(SUBSTITUTE(UPPER(S1000)," ",""),":",": "))),0)),"-")</f>
        <v>-</v>
      </c>
      <c r="C1000" s="46" t="str" cm="1">
        <f t="array" ref="C1000">IFERROR(INDEX(#REF!,MATCH(TRUE,ISNUMBER(FIND(SUBSTITUTE(SUBSTITUTE(UPPER(#REF!)," ",""),":",": "),SUBSTITUTE(SUBSTITUTE(UPPER(S1000)," ",""),":",": "))),0)),"Não encontrado")</f>
        <v>Não encontrado</v>
      </c>
      <c r="D1000" s="46" t="str" cm="1">
        <f t="array" ref="D1000">IFERROR(INDEX(#REF!,MATCH(TRUE,ISNUMBER(FIND(SUBSTITUTE(SUBSTITUTE(UPPER(#REF!)," ",""),":",": "),SUBSTITUTE(SUBSTITUTE(UPPER(S1000)," ",""),":",": "))),0)),"Não encontrado")</f>
        <v>Não encontrado</v>
      </c>
      <c r="E1000" s="42" t="str" cm="1">
        <f t="array" ref="E1000">IFERROR(INDEX({"IMPEDITIVO"},MATCH(TRUE,ISNUMBER(FIND(SUBSTITUTE(SUBSTITUTE(UPPER({"IMPEDITIVO"})," ",""),":",": "),SUBSTITUTE(SUBSTITUTE(UPPER(S1000)," ",""),":",": "))),0)),"-")</f>
        <v>-</v>
      </c>
      <c r="K1000" s="49"/>
    </row>
    <row r="1001" spans="1:11" x14ac:dyDescent="0.25">
      <c r="A1001" s="46" t="str" cm="1">
        <f t="array" ref="A1001">IFERROR(INDEX(#REF!,MATCH(TRUE,ISNUMBER(FIND(SUBSTITUTE(SUBSTITUTE(UPPER(#REF!)," ",""),":",": "),SUBSTITUTE(SUBSTITUTE(UPPER(S1001)," ",""),":",": "))),0)),"Undefined")</f>
        <v>Undefined</v>
      </c>
      <c r="B1001" s="42" t="str" cm="1">
        <f t="array" ref="B1001">IFERROR(INDEX({"URGENTE"},MATCH(TRUE,ISNUMBER(FIND(SUBSTITUTE(SUBSTITUTE(UPPER({"URGENTE"})," ",""),":",": "),SUBSTITUTE(SUBSTITUTE(UPPER(S1001)," ",""),":",": "))),0)),"-")</f>
        <v>-</v>
      </c>
      <c r="C1001" s="46" t="str" cm="1">
        <f t="array" ref="C1001">IFERROR(INDEX(#REF!,MATCH(TRUE,ISNUMBER(FIND(SUBSTITUTE(SUBSTITUTE(UPPER(#REF!)," ",""),":",": "),SUBSTITUTE(SUBSTITUTE(UPPER(S1001)," ",""),":",": "))),0)),"Não encontrado")</f>
        <v>Não encontrado</v>
      </c>
      <c r="D1001" s="46" t="str" cm="1">
        <f t="array" ref="D1001">IFERROR(INDEX(#REF!,MATCH(TRUE,ISNUMBER(FIND(SUBSTITUTE(SUBSTITUTE(UPPER(#REF!)," ",""),":",": "),SUBSTITUTE(SUBSTITUTE(UPPER(S1001)," ",""),":",": "))),0)),"Não encontrado")</f>
        <v>Não encontrado</v>
      </c>
      <c r="E1001" s="42" t="str" cm="1">
        <f t="array" ref="E1001">IFERROR(INDEX({"IMPEDITIVO"},MATCH(TRUE,ISNUMBER(FIND(SUBSTITUTE(SUBSTITUTE(UPPER({"IMPEDITIVO"})," ",""),":",": "),SUBSTITUTE(SUBSTITUTE(UPPER(S1001)," ",""),":",": "))),0)),"-")</f>
        <v>-</v>
      </c>
      <c r="K1001" s="49"/>
    </row>
    <row r="1002" spans="1:11" x14ac:dyDescent="0.25">
      <c r="A1002" s="46" t="str" cm="1">
        <f t="array" ref="A1002">IFERROR(INDEX(#REF!,MATCH(TRUE,ISNUMBER(FIND(SUBSTITUTE(SUBSTITUTE(UPPER(#REF!)," ",""),":",": "),SUBSTITUTE(SUBSTITUTE(UPPER(S1002)," ",""),":",": "))),0)),"Undefined")</f>
        <v>Undefined</v>
      </c>
      <c r="B1002" s="42" t="str" cm="1">
        <f t="array" ref="B1002">IFERROR(INDEX({"URGENTE"},MATCH(TRUE,ISNUMBER(FIND(SUBSTITUTE(SUBSTITUTE(UPPER({"URGENTE"})," ",""),":",": "),SUBSTITUTE(SUBSTITUTE(UPPER(S1002)," ",""),":",": "))),0)),"-")</f>
        <v>-</v>
      </c>
      <c r="C1002" s="46" t="str" cm="1">
        <f t="array" ref="C1002">IFERROR(INDEX(#REF!,MATCH(TRUE,ISNUMBER(FIND(SUBSTITUTE(SUBSTITUTE(UPPER(#REF!)," ",""),":",": "),SUBSTITUTE(SUBSTITUTE(UPPER(S1002)," ",""),":",": "))),0)),"Não encontrado")</f>
        <v>Não encontrado</v>
      </c>
      <c r="D1002" s="46" t="str" cm="1">
        <f t="array" ref="D1002">IFERROR(INDEX(#REF!,MATCH(TRUE,ISNUMBER(FIND(SUBSTITUTE(SUBSTITUTE(UPPER(#REF!)," ",""),":",": "),SUBSTITUTE(SUBSTITUTE(UPPER(S1002)," ",""),":",": "))),0)),"Não encontrado")</f>
        <v>Não encontrado</v>
      </c>
      <c r="E1002" s="42" t="str" cm="1">
        <f t="array" ref="E1002">IFERROR(INDEX({"IMPEDITIVO"},MATCH(TRUE,ISNUMBER(FIND(SUBSTITUTE(SUBSTITUTE(UPPER({"IMPEDITIVO"})," ",""),":",": "),SUBSTITUTE(SUBSTITUTE(UPPER(S1002)," ",""),":",": "))),0)),"-")</f>
        <v>-</v>
      </c>
      <c r="K1002" s="49"/>
    </row>
    <row r="1003" spans="1:11" x14ac:dyDescent="0.25">
      <c r="A1003" s="46" t="str" cm="1">
        <f t="array" ref="A1003">IFERROR(INDEX(#REF!,MATCH(TRUE,ISNUMBER(FIND(SUBSTITUTE(SUBSTITUTE(UPPER(#REF!)," ",""),":",": "),SUBSTITUTE(SUBSTITUTE(UPPER(S1003)," ",""),":",": "))),0)),"Undefined")</f>
        <v>Undefined</v>
      </c>
      <c r="B1003" s="42" t="str" cm="1">
        <f t="array" ref="B1003">IFERROR(INDEX({"URGENTE"},MATCH(TRUE,ISNUMBER(FIND(SUBSTITUTE(SUBSTITUTE(UPPER({"URGENTE"})," ",""),":",": "),SUBSTITUTE(SUBSTITUTE(UPPER(S1003)," ",""),":",": "))),0)),"-")</f>
        <v>-</v>
      </c>
      <c r="C1003" s="46" t="str" cm="1">
        <f t="array" ref="C1003">IFERROR(INDEX(#REF!,MATCH(TRUE,ISNUMBER(FIND(SUBSTITUTE(SUBSTITUTE(UPPER(#REF!)," ",""),":",": "),SUBSTITUTE(SUBSTITUTE(UPPER(S1003)," ",""),":",": "))),0)),"Não encontrado")</f>
        <v>Não encontrado</v>
      </c>
      <c r="D1003" s="46" t="str" cm="1">
        <f t="array" ref="D1003">IFERROR(INDEX(#REF!,MATCH(TRUE,ISNUMBER(FIND(SUBSTITUTE(SUBSTITUTE(UPPER(#REF!)," ",""),":",": "),SUBSTITUTE(SUBSTITUTE(UPPER(S1003)," ",""),":",": "))),0)),"Não encontrado")</f>
        <v>Não encontrado</v>
      </c>
      <c r="E1003" s="42" t="str" cm="1">
        <f t="array" ref="E1003">IFERROR(INDEX({"IMPEDITIVO"},MATCH(TRUE,ISNUMBER(FIND(SUBSTITUTE(SUBSTITUTE(UPPER({"IMPEDITIVO"})," ",""),":",": "),SUBSTITUTE(SUBSTITUTE(UPPER(S1003)," ",""),":",": "))),0)),"-")</f>
        <v>-</v>
      </c>
      <c r="K1003" s="49"/>
    </row>
    <row r="1004" spans="1:11" x14ac:dyDescent="0.25">
      <c r="A1004" s="46" t="str" cm="1">
        <f t="array" ref="A1004">IFERROR(INDEX(#REF!,MATCH(TRUE,ISNUMBER(FIND(SUBSTITUTE(SUBSTITUTE(UPPER(#REF!)," ",""),":",": "),SUBSTITUTE(SUBSTITUTE(UPPER(S1004)," ",""),":",": "))),0)),"Undefined")</f>
        <v>Undefined</v>
      </c>
      <c r="B1004" s="42" t="str" cm="1">
        <f t="array" ref="B1004">IFERROR(INDEX({"URGENTE"},MATCH(TRUE,ISNUMBER(FIND(SUBSTITUTE(SUBSTITUTE(UPPER({"URGENTE"})," ",""),":",": "),SUBSTITUTE(SUBSTITUTE(UPPER(S1004)," ",""),":",": "))),0)),"-")</f>
        <v>-</v>
      </c>
      <c r="C1004" s="46" t="str" cm="1">
        <f t="array" ref="C1004">IFERROR(INDEX(#REF!,MATCH(TRUE,ISNUMBER(FIND(SUBSTITUTE(SUBSTITUTE(UPPER(#REF!)," ",""),":",": "),SUBSTITUTE(SUBSTITUTE(UPPER(S1004)," ",""),":",": "))),0)),"Não encontrado")</f>
        <v>Não encontrado</v>
      </c>
      <c r="D1004" s="46" t="str" cm="1">
        <f t="array" ref="D1004">IFERROR(INDEX(#REF!,MATCH(TRUE,ISNUMBER(FIND(SUBSTITUTE(SUBSTITUTE(UPPER(#REF!)," ",""),":",": "),SUBSTITUTE(SUBSTITUTE(UPPER(S1004)," ",""),":",": "))),0)),"Não encontrado")</f>
        <v>Não encontrado</v>
      </c>
      <c r="E1004" s="42" t="str" cm="1">
        <f t="array" ref="E1004">IFERROR(INDEX({"IMPEDITIVO"},MATCH(TRUE,ISNUMBER(FIND(SUBSTITUTE(SUBSTITUTE(UPPER({"IMPEDITIVO"})," ",""),":",": "),SUBSTITUTE(SUBSTITUTE(UPPER(S1004)," ",""),":",": "))),0)),"-")</f>
        <v>-</v>
      </c>
      <c r="K1004" s="49"/>
    </row>
    <row r="1005" spans="1:11" x14ac:dyDescent="0.25">
      <c r="A1005" s="46" t="str" cm="1">
        <f t="array" ref="A1005">IFERROR(INDEX(#REF!,MATCH(TRUE,ISNUMBER(FIND(SUBSTITUTE(SUBSTITUTE(UPPER(#REF!)," ",""),":",": "),SUBSTITUTE(SUBSTITUTE(UPPER(S1005)," ",""),":",": "))),0)),"Undefined")</f>
        <v>Undefined</v>
      </c>
      <c r="B1005" s="42" t="str" cm="1">
        <f t="array" ref="B1005">IFERROR(INDEX({"URGENTE"},MATCH(TRUE,ISNUMBER(FIND(SUBSTITUTE(SUBSTITUTE(UPPER({"URGENTE"})," ",""),":",": "),SUBSTITUTE(SUBSTITUTE(UPPER(S1005)," ",""),":",": "))),0)),"-")</f>
        <v>-</v>
      </c>
      <c r="C1005" s="46" t="str" cm="1">
        <f t="array" ref="C1005">IFERROR(INDEX(#REF!,MATCH(TRUE,ISNUMBER(FIND(SUBSTITUTE(SUBSTITUTE(UPPER(#REF!)," ",""),":",": "),SUBSTITUTE(SUBSTITUTE(UPPER(S1005)," ",""),":",": "))),0)),"Não encontrado")</f>
        <v>Não encontrado</v>
      </c>
      <c r="D1005" s="46" t="str" cm="1">
        <f t="array" ref="D1005">IFERROR(INDEX(#REF!,MATCH(TRUE,ISNUMBER(FIND(SUBSTITUTE(SUBSTITUTE(UPPER(#REF!)," ",""),":",": "),SUBSTITUTE(SUBSTITUTE(UPPER(S1005)," ",""),":",": "))),0)),"Não encontrado")</f>
        <v>Não encontrado</v>
      </c>
      <c r="E1005" s="42" t="str" cm="1">
        <f t="array" ref="E1005">IFERROR(INDEX({"IMPEDITIVO"},MATCH(TRUE,ISNUMBER(FIND(SUBSTITUTE(SUBSTITUTE(UPPER({"IMPEDITIVO"})," ",""),":",": "),SUBSTITUTE(SUBSTITUTE(UPPER(S1005)," ",""),":",": "))),0)),"-")</f>
        <v>-</v>
      </c>
      <c r="K1005" s="49"/>
    </row>
    <row r="1006" spans="1:11" x14ac:dyDescent="0.25">
      <c r="A1006" s="46" t="str" cm="1">
        <f t="array" ref="A1006">IFERROR(INDEX(#REF!,MATCH(TRUE,ISNUMBER(FIND(SUBSTITUTE(SUBSTITUTE(UPPER(#REF!)," ",""),":",": "),SUBSTITUTE(SUBSTITUTE(UPPER(S1006)," ",""),":",": "))),0)),"Undefined")</f>
        <v>Undefined</v>
      </c>
      <c r="B1006" s="42" t="str" cm="1">
        <f t="array" ref="B1006">IFERROR(INDEX({"URGENTE"},MATCH(TRUE,ISNUMBER(FIND(SUBSTITUTE(SUBSTITUTE(UPPER({"URGENTE"})," ",""),":",": "),SUBSTITUTE(SUBSTITUTE(UPPER(S1006)," ",""),":",": "))),0)),"-")</f>
        <v>-</v>
      </c>
      <c r="C1006" s="46" t="str" cm="1">
        <f t="array" ref="C1006">IFERROR(INDEX(#REF!,MATCH(TRUE,ISNUMBER(FIND(SUBSTITUTE(SUBSTITUTE(UPPER(#REF!)," ",""),":",": "),SUBSTITUTE(SUBSTITUTE(UPPER(S1006)," ",""),":",": "))),0)),"Não encontrado")</f>
        <v>Não encontrado</v>
      </c>
      <c r="D1006" s="46" t="str" cm="1">
        <f t="array" ref="D1006">IFERROR(INDEX(#REF!,MATCH(TRUE,ISNUMBER(FIND(SUBSTITUTE(SUBSTITUTE(UPPER(#REF!)," ",""),":",": "),SUBSTITUTE(SUBSTITUTE(UPPER(S1006)," ",""),":",": "))),0)),"Não encontrado")</f>
        <v>Não encontrado</v>
      </c>
      <c r="E1006" s="42" t="str" cm="1">
        <f t="array" ref="E1006">IFERROR(INDEX({"IMPEDITIVO"},MATCH(TRUE,ISNUMBER(FIND(SUBSTITUTE(SUBSTITUTE(UPPER({"IMPEDITIVO"})," ",""),":",": "),SUBSTITUTE(SUBSTITUTE(UPPER(S1006)," ",""),":",": "))),0)),"-")</f>
        <v>-</v>
      </c>
      <c r="K1006" s="49"/>
    </row>
    <row r="1007" spans="1:11" x14ac:dyDescent="0.25">
      <c r="A1007" s="46" t="str" cm="1">
        <f t="array" ref="A1007">IFERROR(INDEX(#REF!,MATCH(TRUE,ISNUMBER(FIND(SUBSTITUTE(SUBSTITUTE(UPPER(#REF!)," ",""),":",": "),SUBSTITUTE(SUBSTITUTE(UPPER(S1007)," ",""),":",": "))),0)),"Undefined")</f>
        <v>Undefined</v>
      </c>
      <c r="B1007" s="42" t="str" cm="1">
        <f t="array" ref="B1007">IFERROR(INDEX({"URGENTE"},MATCH(TRUE,ISNUMBER(FIND(SUBSTITUTE(SUBSTITUTE(UPPER({"URGENTE"})," ",""),":",": "),SUBSTITUTE(SUBSTITUTE(UPPER(S1007)," ",""),":",": "))),0)),"-")</f>
        <v>-</v>
      </c>
      <c r="C1007" s="46" t="str" cm="1">
        <f t="array" ref="C1007">IFERROR(INDEX(#REF!,MATCH(TRUE,ISNUMBER(FIND(SUBSTITUTE(SUBSTITUTE(UPPER(#REF!)," ",""),":",": "),SUBSTITUTE(SUBSTITUTE(UPPER(S1007)," ",""),":",": "))),0)),"Não encontrado")</f>
        <v>Não encontrado</v>
      </c>
      <c r="D1007" s="46" t="str" cm="1">
        <f t="array" ref="D1007">IFERROR(INDEX(#REF!,MATCH(TRUE,ISNUMBER(FIND(SUBSTITUTE(SUBSTITUTE(UPPER(#REF!)," ",""),":",": "),SUBSTITUTE(SUBSTITUTE(UPPER(S1007)," ",""),":",": "))),0)),"Não encontrado")</f>
        <v>Não encontrado</v>
      </c>
      <c r="E1007" s="42" t="str" cm="1">
        <f t="array" ref="E1007">IFERROR(INDEX({"IMPEDITIVO"},MATCH(TRUE,ISNUMBER(FIND(SUBSTITUTE(SUBSTITUTE(UPPER({"IMPEDITIVO"})," ",""),":",": "),SUBSTITUTE(SUBSTITUTE(UPPER(S1007)," ",""),":",": "))),0)),"-")</f>
        <v>-</v>
      </c>
      <c r="K1007" s="49"/>
    </row>
    <row r="1008" spans="1:11" x14ac:dyDescent="0.25">
      <c r="A1008" s="46" t="str" cm="1">
        <f t="array" ref="A1008">IFERROR(INDEX(#REF!,MATCH(TRUE,ISNUMBER(FIND(SUBSTITUTE(SUBSTITUTE(UPPER(#REF!)," ",""),":",": "),SUBSTITUTE(SUBSTITUTE(UPPER(S1008)," ",""),":",": "))),0)),"Undefined")</f>
        <v>Undefined</v>
      </c>
      <c r="B1008" s="42" t="str" cm="1">
        <f t="array" ref="B1008">IFERROR(INDEX({"URGENTE"},MATCH(TRUE,ISNUMBER(FIND(SUBSTITUTE(SUBSTITUTE(UPPER({"URGENTE"})," ",""),":",": "),SUBSTITUTE(SUBSTITUTE(UPPER(S1008)," ",""),":",": "))),0)),"-")</f>
        <v>-</v>
      </c>
      <c r="C1008" s="46" t="str" cm="1">
        <f t="array" ref="C1008">IFERROR(INDEX(#REF!,MATCH(TRUE,ISNUMBER(FIND(SUBSTITUTE(SUBSTITUTE(UPPER(#REF!)," ",""),":",": "),SUBSTITUTE(SUBSTITUTE(UPPER(S1008)," ",""),":",": "))),0)),"Não encontrado")</f>
        <v>Não encontrado</v>
      </c>
      <c r="D1008" s="46" t="str" cm="1">
        <f t="array" ref="D1008">IFERROR(INDEX(#REF!,MATCH(TRUE,ISNUMBER(FIND(SUBSTITUTE(SUBSTITUTE(UPPER(#REF!)," ",""),":",": "),SUBSTITUTE(SUBSTITUTE(UPPER(S1008)," ",""),":",": "))),0)),"Não encontrado")</f>
        <v>Não encontrado</v>
      </c>
      <c r="E1008" s="42" t="str" cm="1">
        <f t="array" ref="E1008">IFERROR(INDEX({"IMPEDITIVO"},MATCH(TRUE,ISNUMBER(FIND(SUBSTITUTE(SUBSTITUTE(UPPER({"IMPEDITIVO"})," ",""),":",": "),SUBSTITUTE(SUBSTITUTE(UPPER(S1008)," ",""),":",": "))),0)),"-")</f>
        <v>-</v>
      </c>
      <c r="K1008" s="49"/>
    </row>
    <row r="1009" spans="1:11" x14ac:dyDescent="0.25">
      <c r="A1009" s="46" t="str" cm="1">
        <f t="array" ref="A1009">IFERROR(INDEX(#REF!,MATCH(TRUE,ISNUMBER(FIND(SUBSTITUTE(SUBSTITUTE(UPPER(#REF!)," ",""),":",": "),SUBSTITUTE(SUBSTITUTE(UPPER(S1009)," ",""),":",": "))),0)),"Undefined")</f>
        <v>Undefined</v>
      </c>
      <c r="B1009" s="42" t="str" cm="1">
        <f t="array" ref="B1009">IFERROR(INDEX({"URGENTE"},MATCH(TRUE,ISNUMBER(FIND(SUBSTITUTE(SUBSTITUTE(UPPER({"URGENTE"})," ",""),":",": "),SUBSTITUTE(SUBSTITUTE(UPPER(S1009)," ",""),":",": "))),0)),"-")</f>
        <v>-</v>
      </c>
      <c r="C1009" s="46" t="str" cm="1">
        <f t="array" ref="C1009">IFERROR(INDEX(#REF!,MATCH(TRUE,ISNUMBER(FIND(SUBSTITUTE(SUBSTITUTE(UPPER(#REF!)," ",""),":",": "),SUBSTITUTE(SUBSTITUTE(UPPER(S1009)," ",""),":",": "))),0)),"Não encontrado")</f>
        <v>Não encontrado</v>
      </c>
      <c r="D1009" s="46" t="str" cm="1">
        <f t="array" ref="D1009">IFERROR(INDEX(#REF!,MATCH(TRUE,ISNUMBER(FIND(SUBSTITUTE(SUBSTITUTE(UPPER(#REF!)," ",""),":",": "),SUBSTITUTE(SUBSTITUTE(UPPER(S1009)," ",""),":",": "))),0)),"Não encontrado")</f>
        <v>Não encontrado</v>
      </c>
      <c r="E1009" s="42" t="str" cm="1">
        <f t="array" ref="E1009">IFERROR(INDEX({"IMPEDITIVO"},MATCH(TRUE,ISNUMBER(FIND(SUBSTITUTE(SUBSTITUTE(UPPER({"IMPEDITIVO"})," ",""),":",": "),SUBSTITUTE(SUBSTITUTE(UPPER(S1009)," ",""),":",": "))),0)),"-")</f>
        <v>-</v>
      </c>
      <c r="K1009" s="49"/>
    </row>
    <row r="1010" spans="1:11" x14ac:dyDescent="0.25">
      <c r="A1010" s="46" t="str" cm="1">
        <f t="array" ref="A1010">IFERROR(INDEX(#REF!,MATCH(TRUE,ISNUMBER(FIND(SUBSTITUTE(SUBSTITUTE(UPPER(#REF!)," ",""),":",": "),SUBSTITUTE(SUBSTITUTE(UPPER(S1010)," ",""),":",": "))),0)),"Undefined")</f>
        <v>Undefined</v>
      </c>
      <c r="B1010" s="42" t="str" cm="1">
        <f t="array" ref="B1010">IFERROR(INDEX({"URGENTE"},MATCH(TRUE,ISNUMBER(FIND(SUBSTITUTE(SUBSTITUTE(UPPER({"URGENTE"})," ",""),":",": "),SUBSTITUTE(SUBSTITUTE(UPPER(S1010)," ",""),":",": "))),0)),"-")</f>
        <v>-</v>
      </c>
      <c r="C1010" s="46" t="str" cm="1">
        <f t="array" ref="C1010">IFERROR(INDEX(#REF!,MATCH(TRUE,ISNUMBER(FIND(SUBSTITUTE(SUBSTITUTE(UPPER(#REF!)," ",""),":",": "),SUBSTITUTE(SUBSTITUTE(UPPER(S1010)," ",""),":",": "))),0)),"Não encontrado")</f>
        <v>Não encontrado</v>
      </c>
      <c r="D1010" s="46" t="str" cm="1">
        <f t="array" ref="D1010">IFERROR(INDEX(#REF!,MATCH(TRUE,ISNUMBER(FIND(SUBSTITUTE(SUBSTITUTE(UPPER(#REF!)," ",""),":",": "),SUBSTITUTE(SUBSTITUTE(UPPER(S1010)," ",""),":",": "))),0)),"Não encontrado")</f>
        <v>Não encontrado</v>
      </c>
      <c r="E1010" s="42" t="str" cm="1">
        <f t="array" ref="E1010">IFERROR(INDEX({"IMPEDITIVO"},MATCH(TRUE,ISNUMBER(FIND(SUBSTITUTE(SUBSTITUTE(UPPER({"IMPEDITIVO"})," ",""),":",": "),SUBSTITUTE(SUBSTITUTE(UPPER(S1010)," ",""),":",": "))),0)),"-")</f>
        <v>-</v>
      </c>
      <c r="K1010" s="49"/>
    </row>
    <row r="1011" spans="1:11" x14ac:dyDescent="0.25">
      <c r="A1011" s="46" t="str" cm="1">
        <f t="array" ref="A1011">IFERROR(INDEX(#REF!,MATCH(TRUE,ISNUMBER(FIND(SUBSTITUTE(SUBSTITUTE(UPPER(#REF!)," ",""),":",": "),SUBSTITUTE(SUBSTITUTE(UPPER(S1011)," ",""),":",": "))),0)),"Undefined")</f>
        <v>Undefined</v>
      </c>
      <c r="B1011" s="42" t="str" cm="1">
        <f t="array" ref="B1011">IFERROR(INDEX({"URGENTE"},MATCH(TRUE,ISNUMBER(FIND(SUBSTITUTE(SUBSTITUTE(UPPER({"URGENTE"})," ",""),":",": "),SUBSTITUTE(SUBSTITUTE(UPPER(S1011)," ",""),":",": "))),0)),"-")</f>
        <v>-</v>
      </c>
      <c r="C1011" s="46" t="str" cm="1">
        <f t="array" ref="C1011">IFERROR(INDEX(#REF!,MATCH(TRUE,ISNUMBER(FIND(SUBSTITUTE(SUBSTITUTE(UPPER(#REF!)," ",""),":",": "),SUBSTITUTE(SUBSTITUTE(UPPER(S1011)," ",""),":",": "))),0)),"Não encontrado")</f>
        <v>Não encontrado</v>
      </c>
      <c r="D1011" s="46" t="str" cm="1">
        <f t="array" ref="D1011">IFERROR(INDEX(#REF!,MATCH(TRUE,ISNUMBER(FIND(SUBSTITUTE(SUBSTITUTE(UPPER(#REF!)," ",""),":",": "),SUBSTITUTE(SUBSTITUTE(UPPER(S1011)," ",""),":",": "))),0)),"Não encontrado")</f>
        <v>Não encontrado</v>
      </c>
      <c r="E1011" s="42" t="str" cm="1">
        <f t="array" ref="E1011">IFERROR(INDEX({"IMPEDITIVO"},MATCH(TRUE,ISNUMBER(FIND(SUBSTITUTE(SUBSTITUTE(UPPER({"IMPEDITIVO"})," ",""),":",": "),SUBSTITUTE(SUBSTITUTE(UPPER(S1011)," ",""),":",": "))),0)),"-")</f>
        <v>-</v>
      </c>
      <c r="K1011" s="49"/>
    </row>
    <row r="1012" spans="1:11" x14ac:dyDescent="0.25">
      <c r="A1012" s="46" t="str" cm="1">
        <f t="array" ref="A1012">IFERROR(INDEX(#REF!,MATCH(TRUE,ISNUMBER(FIND(SUBSTITUTE(SUBSTITUTE(UPPER(#REF!)," ",""),":",": "),SUBSTITUTE(SUBSTITUTE(UPPER(S1012)," ",""),":",": "))),0)),"Undefined")</f>
        <v>Undefined</v>
      </c>
      <c r="B1012" s="42" t="str" cm="1">
        <f t="array" ref="B1012">IFERROR(INDEX({"URGENTE"},MATCH(TRUE,ISNUMBER(FIND(SUBSTITUTE(SUBSTITUTE(UPPER({"URGENTE"})," ",""),":",": "),SUBSTITUTE(SUBSTITUTE(UPPER(S1012)," ",""),":",": "))),0)),"-")</f>
        <v>-</v>
      </c>
      <c r="C1012" s="46" t="str" cm="1">
        <f t="array" ref="C1012">IFERROR(INDEX(#REF!,MATCH(TRUE,ISNUMBER(FIND(SUBSTITUTE(SUBSTITUTE(UPPER(#REF!)," ",""),":",": "),SUBSTITUTE(SUBSTITUTE(UPPER(S1012)," ",""),":",": "))),0)),"Não encontrado")</f>
        <v>Não encontrado</v>
      </c>
      <c r="D1012" s="46" t="str" cm="1">
        <f t="array" ref="D1012">IFERROR(INDEX(#REF!,MATCH(TRUE,ISNUMBER(FIND(SUBSTITUTE(SUBSTITUTE(UPPER(#REF!)," ",""),":",": "),SUBSTITUTE(SUBSTITUTE(UPPER(S1012)," ",""),":",": "))),0)),"Não encontrado")</f>
        <v>Não encontrado</v>
      </c>
      <c r="E1012" s="42" t="str" cm="1">
        <f t="array" ref="E1012">IFERROR(INDEX({"IMPEDITIVO"},MATCH(TRUE,ISNUMBER(FIND(SUBSTITUTE(SUBSTITUTE(UPPER({"IMPEDITIVO"})," ",""),":",": "),SUBSTITUTE(SUBSTITUTE(UPPER(S1012)," ",""),":",": "))),0)),"-")</f>
        <v>-</v>
      </c>
      <c r="K1012" s="49"/>
    </row>
    <row r="1013" spans="1:11" x14ac:dyDescent="0.25">
      <c r="A1013" s="46" t="str" cm="1">
        <f t="array" ref="A1013">IFERROR(INDEX(#REF!,MATCH(TRUE,ISNUMBER(FIND(SUBSTITUTE(SUBSTITUTE(UPPER(#REF!)," ",""),":",": "),SUBSTITUTE(SUBSTITUTE(UPPER(S1013)," ",""),":",": "))),0)),"Undefined")</f>
        <v>Undefined</v>
      </c>
      <c r="B1013" s="42" t="str" cm="1">
        <f t="array" ref="B1013">IFERROR(INDEX({"URGENTE"},MATCH(TRUE,ISNUMBER(FIND(SUBSTITUTE(SUBSTITUTE(UPPER({"URGENTE"})," ",""),":",": "),SUBSTITUTE(SUBSTITUTE(UPPER(S1013)," ",""),":",": "))),0)),"-")</f>
        <v>-</v>
      </c>
      <c r="C1013" s="46" t="str" cm="1">
        <f t="array" ref="C1013">IFERROR(INDEX(#REF!,MATCH(TRUE,ISNUMBER(FIND(SUBSTITUTE(SUBSTITUTE(UPPER(#REF!)," ",""),":",": "),SUBSTITUTE(SUBSTITUTE(UPPER(S1013)," ",""),":",": "))),0)),"Não encontrado")</f>
        <v>Não encontrado</v>
      </c>
      <c r="D1013" s="46" t="str" cm="1">
        <f t="array" ref="D1013">IFERROR(INDEX(#REF!,MATCH(TRUE,ISNUMBER(FIND(SUBSTITUTE(SUBSTITUTE(UPPER(#REF!)," ",""),":",": "),SUBSTITUTE(SUBSTITUTE(UPPER(S1013)," ",""),":",": "))),0)),"Não encontrado")</f>
        <v>Não encontrado</v>
      </c>
      <c r="E1013" s="42" t="str" cm="1">
        <f t="array" ref="E1013">IFERROR(INDEX({"IMPEDITIVO"},MATCH(TRUE,ISNUMBER(FIND(SUBSTITUTE(SUBSTITUTE(UPPER({"IMPEDITIVO"})," ",""),":",": "),SUBSTITUTE(SUBSTITUTE(UPPER(S1013)," ",""),":",": "))),0)),"-")</f>
        <v>-</v>
      </c>
      <c r="K1013" s="49"/>
    </row>
    <row r="1014" spans="1:11" x14ac:dyDescent="0.25">
      <c r="A1014" s="46" t="str" cm="1">
        <f t="array" ref="A1014">IFERROR(INDEX(#REF!,MATCH(TRUE,ISNUMBER(FIND(SUBSTITUTE(SUBSTITUTE(UPPER(#REF!)," ",""),":",": "),SUBSTITUTE(SUBSTITUTE(UPPER(S1014)," ",""),":",": "))),0)),"Undefined")</f>
        <v>Undefined</v>
      </c>
      <c r="B1014" s="42" t="str" cm="1">
        <f t="array" ref="B1014">IFERROR(INDEX({"URGENTE"},MATCH(TRUE,ISNUMBER(FIND(SUBSTITUTE(SUBSTITUTE(UPPER({"URGENTE"})," ",""),":",": "),SUBSTITUTE(SUBSTITUTE(UPPER(S1014)," ",""),":",": "))),0)),"-")</f>
        <v>-</v>
      </c>
      <c r="C1014" s="46" t="str" cm="1">
        <f t="array" ref="C1014">IFERROR(INDEX(#REF!,MATCH(TRUE,ISNUMBER(FIND(SUBSTITUTE(SUBSTITUTE(UPPER(#REF!)," ",""),":",": "),SUBSTITUTE(SUBSTITUTE(UPPER(S1014)," ",""),":",": "))),0)),"Não encontrado")</f>
        <v>Não encontrado</v>
      </c>
      <c r="D1014" s="46" t="str" cm="1">
        <f t="array" ref="D1014">IFERROR(INDEX(#REF!,MATCH(TRUE,ISNUMBER(FIND(SUBSTITUTE(SUBSTITUTE(UPPER(#REF!)," ",""),":",": "),SUBSTITUTE(SUBSTITUTE(UPPER(S1014)," ",""),":",": "))),0)),"Não encontrado")</f>
        <v>Não encontrado</v>
      </c>
      <c r="E1014" s="42" t="str" cm="1">
        <f t="array" ref="E1014">IFERROR(INDEX({"IMPEDITIVO"},MATCH(TRUE,ISNUMBER(FIND(SUBSTITUTE(SUBSTITUTE(UPPER({"IMPEDITIVO"})," ",""),":",": "),SUBSTITUTE(SUBSTITUTE(UPPER(S1014)," ",""),":",": "))),0)),"-")</f>
        <v>-</v>
      </c>
      <c r="K1014" s="49"/>
    </row>
    <row r="1015" spans="1:11" x14ac:dyDescent="0.25">
      <c r="A1015" s="46" t="str" cm="1">
        <f t="array" ref="A1015">IFERROR(INDEX(#REF!,MATCH(TRUE,ISNUMBER(FIND(SUBSTITUTE(SUBSTITUTE(UPPER(#REF!)," ",""),":",": "),SUBSTITUTE(SUBSTITUTE(UPPER(S1015)," ",""),":",": "))),0)),"Undefined")</f>
        <v>Undefined</v>
      </c>
      <c r="B1015" s="42" t="str" cm="1">
        <f t="array" ref="B1015">IFERROR(INDEX({"URGENTE"},MATCH(TRUE,ISNUMBER(FIND(SUBSTITUTE(SUBSTITUTE(UPPER({"URGENTE"})," ",""),":",": "),SUBSTITUTE(SUBSTITUTE(UPPER(S1015)," ",""),":",": "))),0)),"-")</f>
        <v>-</v>
      </c>
      <c r="C1015" s="46" t="str" cm="1">
        <f t="array" ref="C1015">IFERROR(INDEX(#REF!,MATCH(TRUE,ISNUMBER(FIND(SUBSTITUTE(SUBSTITUTE(UPPER(#REF!)," ",""),":",": "),SUBSTITUTE(SUBSTITUTE(UPPER(S1015)," ",""),":",": "))),0)),"Não encontrado")</f>
        <v>Não encontrado</v>
      </c>
      <c r="D1015" s="46" t="str" cm="1">
        <f t="array" ref="D1015">IFERROR(INDEX(#REF!,MATCH(TRUE,ISNUMBER(FIND(SUBSTITUTE(SUBSTITUTE(UPPER(#REF!)," ",""),":",": "),SUBSTITUTE(SUBSTITUTE(UPPER(S1015)," ",""),":",": "))),0)),"Não encontrado")</f>
        <v>Não encontrado</v>
      </c>
      <c r="E1015" s="42" t="str" cm="1">
        <f t="array" ref="E1015">IFERROR(INDEX({"IMPEDITIVO"},MATCH(TRUE,ISNUMBER(FIND(SUBSTITUTE(SUBSTITUTE(UPPER({"IMPEDITIVO"})," ",""),":",": "),SUBSTITUTE(SUBSTITUTE(UPPER(S1015)," ",""),":",": "))),0)),"-")</f>
        <v>-</v>
      </c>
      <c r="K1015" s="49"/>
    </row>
    <row r="1016" spans="1:11" x14ac:dyDescent="0.25">
      <c r="A1016" s="46" t="str" cm="1">
        <f t="array" ref="A1016">IFERROR(INDEX(#REF!,MATCH(TRUE,ISNUMBER(FIND(SUBSTITUTE(SUBSTITUTE(UPPER(#REF!)," ",""),":",": "),SUBSTITUTE(SUBSTITUTE(UPPER(S1016)," ",""),":",": "))),0)),"Undefined")</f>
        <v>Undefined</v>
      </c>
      <c r="B1016" s="42" t="str" cm="1">
        <f t="array" ref="B1016">IFERROR(INDEX({"URGENTE"},MATCH(TRUE,ISNUMBER(FIND(SUBSTITUTE(SUBSTITUTE(UPPER({"URGENTE"})," ",""),":",": "),SUBSTITUTE(SUBSTITUTE(UPPER(S1016)," ",""),":",": "))),0)),"-")</f>
        <v>-</v>
      </c>
      <c r="C1016" s="46" t="str" cm="1">
        <f t="array" ref="C1016">IFERROR(INDEX(#REF!,MATCH(TRUE,ISNUMBER(FIND(SUBSTITUTE(SUBSTITUTE(UPPER(#REF!)," ",""),":",": "),SUBSTITUTE(SUBSTITUTE(UPPER(S1016)," ",""),":",": "))),0)),"Não encontrado")</f>
        <v>Não encontrado</v>
      </c>
      <c r="D1016" s="46" t="str" cm="1">
        <f t="array" ref="D1016">IFERROR(INDEX(#REF!,MATCH(TRUE,ISNUMBER(FIND(SUBSTITUTE(SUBSTITUTE(UPPER(#REF!)," ",""),":",": "),SUBSTITUTE(SUBSTITUTE(UPPER(S1016)," ",""),":",": "))),0)),"Não encontrado")</f>
        <v>Não encontrado</v>
      </c>
      <c r="E1016" s="42" t="str" cm="1">
        <f t="array" ref="E1016">IFERROR(INDEX({"IMPEDITIVO"},MATCH(TRUE,ISNUMBER(FIND(SUBSTITUTE(SUBSTITUTE(UPPER({"IMPEDITIVO"})," ",""),":",": "),SUBSTITUTE(SUBSTITUTE(UPPER(S1016)," ",""),":",": "))),0)),"-")</f>
        <v>-</v>
      </c>
      <c r="K1016" s="49"/>
    </row>
    <row r="1017" spans="1:11" x14ac:dyDescent="0.25">
      <c r="A1017" s="46" t="str" cm="1">
        <f t="array" ref="A1017">IFERROR(INDEX(#REF!,MATCH(TRUE,ISNUMBER(FIND(SUBSTITUTE(SUBSTITUTE(UPPER(#REF!)," ",""),":",": "),SUBSTITUTE(SUBSTITUTE(UPPER(S1017)," ",""),":",": "))),0)),"Undefined")</f>
        <v>Undefined</v>
      </c>
      <c r="B1017" s="42" t="str" cm="1">
        <f t="array" ref="B1017">IFERROR(INDEX({"URGENTE"},MATCH(TRUE,ISNUMBER(FIND(SUBSTITUTE(SUBSTITUTE(UPPER({"URGENTE"})," ",""),":",": "),SUBSTITUTE(SUBSTITUTE(UPPER(S1017)," ",""),":",": "))),0)),"-")</f>
        <v>-</v>
      </c>
      <c r="C1017" s="46" t="str" cm="1">
        <f t="array" ref="C1017">IFERROR(INDEX(#REF!,MATCH(TRUE,ISNUMBER(FIND(SUBSTITUTE(SUBSTITUTE(UPPER(#REF!)," ",""),":",": "),SUBSTITUTE(SUBSTITUTE(UPPER(S1017)," ",""),":",": "))),0)),"Não encontrado")</f>
        <v>Não encontrado</v>
      </c>
      <c r="D1017" s="46" t="str" cm="1">
        <f t="array" ref="D1017">IFERROR(INDEX(#REF!,MATCH(TRUE,ISNUMBER(FIND(SUBSTITUTE(SUBSTITUTE(UPPER(#REF!)," ",""),":",": "),SUBSTITUTE(SUBSTITUTE(UPPER(S1017)," ",""),":",": "))),0)),"Não encontrado")</f>
        <v>Não encontrado</v>
      </c>
      <c r="E1017" s="42" t="str" cm="1">
        <f t="array" ref="E1017">IFERROR(INDEX({"IMPEDITIVO"},MATCH(TRUE,ISNUMBER(FIND(SUBSTITUTE(SUBSTITUTE(UPPER({"IMPEDITIVO"})," ",""),":",": "),SUBSTITUTE(SUBSTITUTE(UPPER(S1017)," ",""),":",": "))),0)),"-")</f>
        <v>-</v>
      </c>
      <c r="K1017" s="49"/>
    </row>
    <row r="1018" spans="1:11" x14ac:dyDescent="0.25">
      <c r="A1018" s="46" t="str" cm="1">
        <f t="array" ref="A1018">IFERROR(INDEX(#REF!,MATCH(TRUE,ISNUMBER(FIND(SUBSTITUTE(SUBSTITUTE(UPPER(#REF!)," ",""),":",": "),SUBSTITUTE(SUBSTITUTE(UPPER(S1018)," ",""),":",": "))),0)),"Undefined")</f>
        <v>Undefined</v>
      </c>
      <c r="B1018" s="42" t="str" cm="1">
        <f t="array" ref="B1018">IFERROR(INDEX({"URGENTE"},MATCH(TRUE,ISNUMBER(FIND(SUBSTITUTE(SUBSTITUTE(UPPER({"URGENTE"})," ",""),":",": "),SUBSTITUTE(SUBSTITUTE(UPPER(S1018)," ",""),":",": "))),0)),"-")</f>
        <v>-</v>
      </c>
      <c r="C1018" s="46" t="str" cm="1">
        <f t="array" ref="C1018">IFERROR(INDEX(#REF!,MATCH(TRUE,ISNUMBER(FIND(SUBSTITUTE(SUBSTITUTE(UPPER(#REF!)," ",""),":",": "),SUBSTITUTE(SUBSTITUTE(UPPER(S1018)," ",""),":",": "))),0)),"Não encontrado")</f>
        <v>Não encontrado</v>
      </c>
      <c r="D1018" s="46" t="str" cm="1">
        <f t="array" ref="D1018">IFERROR(INDEX(#REF!,MATCH(TRUE,ISNUMBER(FIND(SUBSTITUTE(SUBSTITUTE(UPPER(#REF!)," ",""),":",": "),SUBSTITUTE(SUBSTITUTE(UPPER(S1018)," ",""),":",": "))),0)),"Não encontrado")</f>
        <v>Não encontrado</v>
      </c>
      <c r="E1018" s="42" t="str" cm="1">
        <f t="array" ref="E1018">IFERROR(INDEX({"IMPEDITIVO"},MATCH(TRUE,ISNUMBER(FIND(SUBSTITUTE(SUBSTITUTE(UPPER({"IMPEDITIVO"})," ",""),":",": "),SUBSTITUTE(SUBSTITUTE(UPPER(S1018)," ",""),":",": "))),0)),"-")</f>
        <v>-</v>
      </c>
      <c r="K1018" s="49"/>
    </row>
    <row r="1019" spans="1:11" x14ac:dyDescent="0.25">
      <c r="A1019" s="46" t="str" cm="1">
        <f t="array" ref="A1019">IFERROR(INDEX(#REF!,MATCH(TRUE,ISNUMBER(FIND(SUBSTITUTE(SUBSTITUTE(UPPER(#REF!)," ",""),":",": "),SUBSTITUTE(SUBSTITUTE(UPPER(S1019)," ",""),":",": "))),0)),"Undefined")</f>
        <v>Undefined</v>
      </c>
      <c r="B1019" s="42" t="str" cm="1">
        <f t="array" ref="B1019">IFERROR(INDEX({"URGENTE"},MATCH(TRUE,ISNUMBER(FIND(SUBSTITUTE(SUBSTITUTE(UPPER({"URGENTE"})," ",""),":",": "),SUBSTITUTE(SUBSTITUTE(UPPER(S1019)," ",""),":",": "))),0)),"-")</f>
        <v>-</v>
      </c>
      <c r="C1019" s="46" t="str" cm="1">
        <f t="array" ref="C1019">IFERROR(INDEX(#REF!,MATCH(TRUE,ISNUMBER(FIND(SUBSTITUTE(SUBSTITUTE(UPPER(#REF!)," ",""),":",": "),SUBSTITUTE(SUBSTITUTE(UPPER(S1019)," ",""),":",": "))),0)),"Não encontrado")</f>
        <v>Não encontrado</v>
      </c>
      <c r="D1019" s="46" t="str" cm="1">
        <f t="array" ref="D1019">IFERROR(INDEX(#REF!,MATCH(TRUE,ISNUMBER(FIND(SUBSTITUTE(SUBSTITUTE(UPPER(#REF!)," ",""),":",": "),SUBSTITUTE(SUBSTITUTE(UPPER(S1019)," ",""),":",": "))),0)),"Não encontrado")</f>
        <v>Não encontrado</v>
      </c>
      <c r="E1019" s="42" t="str" cm="1">
        <f t="array" ref="E1019">IFERROR(INDEX({"IMPEDITIVO"},MATCH(TRUE,ISNUMBER(FIND(SUBSTITUTE(SUBSTITUTE(UPPER({"IMPEDITIVO"})," ",""),":",": "),SUBSTITUTE(SUBSTITUTE(UPPER(S1019)," ",""),":",": "))),0)),"-")</f>
        <v>-</v>
      </c>
      <c r="K1019" s="49"/>
    </row>
    <row r="1020" spans="1:11" x14ac:dyDescent="0.25">
      <c r="A1020" s="46" t="str" cm="1">
        <f t="array" ref="A1020">IFERROR(INDEX(#REF!,MATCH(TRUE,ISNUMBER(FIND(SUBSTITUTE(SUBSTITUTE(UPPER(#REF!)," ",""),":",": "),SUBSTITUTE(SUBSTITUTE(UPPER(S1020)," ",""),":",": "))),0)),"Undefined")</f>
        <v>Undefined</v>
      </c>
      <c r="B1020" s="42" t="str" cm="1">
        <f t="array" ref="B1020">IFERROR(INDEX({"URGENTE"},MATCH(TRUE,ISNUMBER(FIND(SUBSTITUTE(SUBSTITUTE(UPPER({"URGENTE"})," ",""),":",": "),SUBSTITUTE(SUBSTITUTE(UPPER(S1020)," ",""),":",": "))),0)),"-")</f>
        <v>-</v>
      </c>
      <c r="C1020" s="46" t="str" cm="1">
        <f t="array" ref="C1020">IFERROR(INDEX(#REF!,MATCH(TRUE,ISNUMBER(FIND(SUBSTITUTE(SUBSTITUTE(UPPER(#REF!)," ",""),":",": "),SUBSTITUTE(SUBSTITUTE(UPPER(S1020)," ",""),":",": "))),0)),"Não encontrado")</f>
        <v>Não encontrado</v>
      </c>
      <c r="D1020" s="46" t="str" cm="1">
        <f t="array" ref="D1020">IFERROR(INDEX(#REF!,MATCH(TRUE,ISNUMBER(FIND(SUBSTITUTE(SUBSTITUTE(UPPER(#REF!)," ",""),":",": "),SUBSTITUTE(SUBSTITUTE(UPPER(S1020)," ",""),":",": "))),0)),"Não encontrado")</f>
        <v>Não encontrado</v>
      </c>
      <c r="E1020" s="42" t="str" cm="1">
        <f t="array" ref="E1020">IFERROR(INDEX({"IMPEDITIVO"},MATCH(TRUE,ISNUMBER(FIND(SUBSTITUTE(SUBSTITUTE(UPPER({"IMPEDITIVO"})," ",""),":",": "),SUBSTITUTE(SUBSTITUTE(UPPER(S1020)," ",""),":",": "))),0)),"-")</f>
        <v>-</v>
      </c>
      <c r="K1020" s="49"/>
    </row>
    <row r="1021" spans="1:11" x14ac:dyDescent="0.25">
      <c r="A1021" s="46" t="str" cm="1">
        <f t="array" ref="A1021">IFERROR(INDEX(#REF!,MATCH(TRUE,ISNUMBER(FIND(SUBSTITUTE(SUBSTITUTE(UPPER(#REF!)," ",""),":",": "),SUBSTITUTE(SUBSTITUTE(UPPER(S1021)," ",""),":",": "))),0)),"Undefined")</f>
        <v>Undefined</v>
      </c>
      <c r="B1021" s="42" t="str" cm="1">
        <f t="array" ref="B1021">IFERROR(INDEX({"URGENTE"},MATCH(TRUE,ISNUMBER(FIND(SUBSTITUTE(SUBSTITUTE(UPPER({"URGENTE"})," ",""),":",": "),SUBSTITUTE(SUBSTITUTE(UPPER(S1021)," ",""),":",": "))),0)),"-")</f>
        <v>-</v>
      </c>
      <c r="C1021" s="46" t="str" cm="1">
        <f t="array" ref="C1021">IFERROR(INDEX(#REF!,MATCH(TRUE,ISNUMBER(FIND(SUBSTITUTE(SUBSTITUTE(UPPER(#REF!)," ",""),":",": "),SUBSTITUTE(SUBSTITUTE(UPPER(S1021)," ",""),":",": "))),0)),"Não encontrado")</f>
        <v>Não encontrado</v>
      </c>
      <c r="D1021" s="46" t="str" cm="1">
        <f t="array" ref="D1021">IFERROR(INDEX(#REF!,MATCH(TRUE,ISNUMBER(FIND(SUBSTITUTE(SUBSTITUTE(UPPER(#REF!)," ",""),":",": "),SUBSTITUTE(SUBSTITUTE(UPPER(S1021)," ",""),":",": "))),0)),"Não encontrado")</f>
        <v>Não encontrado</v>
      </c>
      <c r="E1021" s="42" t="str" cm="1">
        <f t="array" ref="E1021">IFERROR(INDEX({"IMPEDITIVO"},MATCH(TRUE,ISNUMBER(FIND(SUBSTITUTE(SUBSTITUTE(UPPER({"IMPEDITIVO"})," ",""),":",": "),SUBSTITUTE(SUBSTITUTE(UPPER(S1021)," ",""),":",": "))),0)),"-")</f>
        <v>-</v>
      </c>
      <c r="K1021" s="49"/>
    </row>
    <row r="1022" spans="1:11" x14ac:dyDescent="0.25">
      <c r="A1022" s="46" t="str" cm="1">
        <f t="array" ref="A1022">IFERROR(INDEX(#REF!,MATCH(TRUE,ISNUMBER(FIND(SUBSTITUTE(SUBSTITUTE(UPPER(#REF!)," ",""),":",": "),SUBSTITUTE(SUBSTITUTE(UPPER(S1022)," ",""),":",": "))),0)),"Undefined")</f>
        <v>Undefined</v>
      </c>
      <c r="B1022" s="42" t="str" cm="1">
        <f t="array" ref="B1022">IFERROR(INDEX({"URGENTE"},MATCH(TRUE,ISNUMBER(FIND(SUBSTITUTE(SUBSTITUTE(UPPER({"URGENTE"})," ",""),":",": "),SUBSTITUTE(SUBSTITUTE(UPPER(S1022)," ",""),":",": "))),0)),"-")</f>
        <v>-</v>
      </c>
      <c r="C1022" s="46" t="str" cm="1">
        <f t="array" ref="C1022">IFERROR(INDEX(#REF!,MATCH(TRUE,ISNUMBER(FIND(SUBSTITUTE(SUBSTITUTE(UPPER(#REF!)," ",""),":",": "),SUBSTITUTE(SUBSTITUTE(UPPER(S1022)," ",""),":",": "))),0)),"Não encontrado")</f>
        <v>Não encontrado</v>
      </c>
      <c r="D1022" s="46" t="str" cm="1">
        <f t="array" ref="D1022">IFERROR(INDEX(#REF!,MATCH(TRUE,ISNUMBER(FIND(SUBSTITUTE(SUBSTITUTE(UPPER(#REF!)," ",""),":",": "),SUBSTITUTE(SUBSTITUTE(UPPER(S1022)," ",""),":",": "))),0)),"Não encontrado")</f>
        <v>Não encontrado</v>
      </c>
      <c r="E1022" s="42" t="str" cm="1">
        <f t="array" ref="E1022">IFERROR(INDEX({"IMPEDITIVO"},MATCH(TRUE,ISNUMBER(FIND(SUBSTITUTE(SUBSTITUTE(UPPER({"IMPEDITIVO"})," ",""),":",": "),SUBSTITUTE(SUBSTITUTE(UPPER(S1022)," ",""),":",": "))),0)),"-")</f>
        <v>-</v>
      </c>
      <c r="K1022" s="49"/>
    </row>
    <row r="1023" spans="1:11" x14ac:dyDescent="0.25">
      <c r="A1023" s="46" t="str" cm="1">
        <f t="array" ref="A1023">IFERROR(INDEX(#REF!,MATCH(TRUE,ISNUMBER(FIND(SUBSTITUTE(SUBSTITUTE(UPPER(#REF!)," ",""),":",": "),SUBSTITUTE(SUBSTITUTE(UPPER(S1023)," ",""),":",": "))),0)),"Undefined")</f>
        <v>Undefined</v>
      </c>
      <c r="B1023" s="42" t="str" cm="1">
        <f t="array" ref="B1023">IFERROR(INDEX({"URGENTE"},MATCH(TRUE,ISNUMBER(FIND(SUBSTITUTE(SUBSTITUTE(UPPER({"URGENTE"})," ",""),":",": "),SUBSTITUTE(SUBSTITUTE(UPPER(S1023)," ",""),":",": "))),0)),"-")</f>
        <v>-</v>
      </c>
      <c r="C1023" s="46" t="str" cm="1">
        <f t="array" ref="C1023">IFERROR(INDEX(#REF!,MATCH(TRUE,ISNUMBER(FIND(SUBSTITUTE(SUBSTITUTE(UPPER(#REF!)," ",""),":",": "),SUBSTITUTE(SUBSTITUTE(UPPER(S1023)," ",""),":",": "))),0)),"Não encontrado")</f>
        <v>Não encontrado</v>
      </c>
      <c r="D1023" s="46" t="str" cm="1">
        <f t="array" ref="D1023">IFERROR(INDEX(#REF!,MATCH(TRUE,ISNUMBER(FIND(SUBSTITUTE(SUBSTITUTE(UPPER(#REF!)," ",""),":",": "),SUBSTITUTE(SUBSTITUTE(UPPER(S1023)," ",""),":",": "))),0)),"Não encontrado")</f>
        <v>Não encontrado</v>
      </c>
      <c r="E1023" s="42" t="str" cm="1">
        <f t="array" ref="E1023">IFERROR(INDEX({"IMPEDITIVO"},MATCH(TRUE,ISNUMBER(FIND(SUBSTITUTE(SUBSTITUTE(UPPER({"IMPEDITIVO"})," ",""),":",": "),SUBSTITUTE(SUBSTITUTE(UPPER(S1023)," ",""),":",": "))),0)),"-")</f>
        <v>-</v>
      </c>
      <c r="K1023" s="49"/>
    </row>
    <row r="1024" spans="1:11" x14ac:dyDescent="0.25">
      <c r="A1024" s="46" t="str" cm="1">
        <f t="array" ref="A1024">IFERROR(INDEX(#REF!,MATCH(TRUE,ISNUMBER(FIND(SUBSTITUTE(SUBSTITUTE(UPPER(#REF!)," ",""),":",": "),SUBSTITUTE(SUBSTITUTE(UPPER(S1024)," ",""),":",": "))),0)),"Undefined")</f>
        <v>Undefined</v>
      </c>
      <c r="B1024" s="42" t="str" cm="1">
        <f t="array" ref="B1024">IFERROR(INDEX({"URGENTE"},MATCH(TRUE,ISNUMBER(FIND(SUBSTITUTE(SUBSTITUTE(UPPER({"URGENTE"})," ",""),":",": "),SUBSTITUTE(SUBSTITUTE(UPPER(S1024)," ",""),":",": "))),0)),"-")</f>
        <v>-</v>
      </c>
      <c r="C1024" s="46" t="str" cm="1">
        <f t="array" ref="C1024">IFERROR(INDEX(#REF!,MATCH(TRUE,ISNUMBER(FIND(SUBSTITUTE(SUBSTITUTE(UPPER(#REF!)," ",""),":",": "),SUBSTITUTE(SUBSTITUTE(UPPER(S1024)," ",""),":",": "))),0)),"Não encontrado")</f>
        <v>Não encontrado</v>
      </c>
      <c r="D1024" s="46" t="str" cm="1">
        <f t="array" ref="D1024">IFERROR(INDEX(#REF!,MATCH(TRUE,ISNUMBER(FIND(SUBSTITUTE(SUBSTITUTE(UPPER(#REF!)," ",""),":",": "),SUBSTITUTE(SUBSTITUTE(UPPER(S1024)," ",""),":",": "))),0)),"Não encontrado")</f>
        <v>Não encontrado</v>
      </c>
      <c r="E1024" s="42" t="str" cm="1">
        <f t="array" ref="E1024">IFERROR(INDEX({"IMPEDITIVO"},MATCH(TRUE,ISNUMBER(FIND(SUBSTITUTE(SUBSTITUTE(UPPER({"IMPEDITIVO"})," ",""),":",": "),SUBSTITUTE(SUBSTITUTE(UPPER(S1024)," ",""),":",": "))),0)),"-")</f>
        <v>-</v>
      </c>
      <c r="K1024" s="49"/>
    </row>
    <row r="1025" spans="1:11" x14ac:dyDescent="0.25">
      <c r="A1025" s="46" t="str" cm="1">
        <f t="array" ref="A1025">IFERROR(INDEX(#REF!,MATCH(TRUE,ISNUMBER(FIND(SUBSTITUTE(SUBSTITUTE(UPPER(#REF!)," ",""),":",": "),SUBSTITUTE(SUBSTITUTE(UPPER(S1025)," ",""),":",": "))),0)),"Undefined")</f>
        <v>Undefined</v>
      </c>
      <c r="B1025" s="42" t="str" cm="1">
        <f t="array" ref="B1025">IFERROR(INDEX({"URGENTE"},MATCH(TRUE,ISNUMBER(FIND(SUBSTITUTE(SUBSTITUTE(UPPER({"URGENTE"})," ",""),":",": "),SUBSTITUTE(SUBSTITUTE(UPPER(S1025)," ",""),":",": "))),0)),"-")</f>
        <v>-</v>
      </c>
      <c r="C1025" s="46" t="str" cm="1">
        <f t="array" ref="C1025">IFERROR(INDEX(#REF!,MATCH(TRUE,ISNUMBER(FIND(SUBSTITUTE(SUBSTITUTE(UPPER(#REF!)," ",""),":",": "),SUBSTITUTE(SUBSTITUTE(UPPER(S1025)," ",""),":",": "))),0)),"Não encontrado")</f>
        <v>Não encontrado</v>
      </c>
      <c r="D1025" s="46" t="str" cm="1">
        <f t="array" ref="D1025">IFERROR(INDEX(#REF!,MATCH(TRUE,ISNUMBER(FIND(SUBSTITUTE(SUBSTITUTE(UPPER(#REF!)," ",""),":",": "),SUBSTITUTE(SUBSTITUTE(UPPER(S1025)," ",""),":",": "))),0)),"Não encontrado")</f>
        <v>Não encontrado</v>
      </c>
      <c r="E1025" s="42" t="str" cm="1">
        <f t="array" ref="E1025">IFERROR(INDEX({"IMPEDITIVO"},MATCH(TRUE,ISNUMBER(FIND(SUBSTITUTE(SUBSTITUTE(UPPER({"IMPEDITIVO"})," ",""),":",": "),SUBSTITUTE(SUBSTITUTE(UPPER(S1025)," ",""),":",": "))),0)),"-")</f>
        <v>-</v>
      </c>
      <c r="K1025" s="49"/>
    </row>
    <row r="1026" spans="1:11" x14ac:dyDescent="0.25">
      <c r="A1026" s="46" t="str" cm="1">
        <f t="array" ref="A1026">IFERROR(INDEX(#REF!,MATCH(TRUE,ISNUMBER(FIND(SUBSTITUTE(SUBSTITUTE(UPPER(#REF!)," ",""),":",": "),SUBSTITUTE(SUBSTITUTE(UPPER(S1026)," ",""),":",": "))),0)),"Undefined")</f>
        <v>Undefined</v>
      </c>
      <c r="B1026" s="42" t="str" cm="1">
        <f t="array" ref="B1026">IFERROR(INDEX({"URGENTE"},MATCH(TRUE,ISNUMBER(FIND(SUBSTITUTE(SUBSTITUTE(UPPER({"URGENTE"})," ",""),":",": "),SUBSTITUTE(SUBSTITUTE(UPPER(S1026)," ",""),":",": "))),0)),"-")</f>
        <v>-</v>
      </c>
      <c r="C1026" s="46" t="str" cm="1">
        <f t="array" ref="C1026">IFERROR(INDEX(#REF!,MATCH(TRUE,ISNUMBER(FIND(SUBSTITUTE(SUBSTITUTE(UPPER(#REF!)," ",""),":",": "),SUBSTITUTE(SUBSTITUTE(UPPER(S1026)," ",""),":",": "))),0)),"Não encontrado")</f>
        <v>Não encontrado</v>
      </c>
      <c r="D1026" s="46" t="str" cm="1">
        <f t="array" ref="D1026">IFERROR(INDEX(#REF!,MATCH(TRUE,ISNUMBER(FIND(SUBSTITUTE(SUBSTITUTE(UPPER(#REF!)," ",""),":",": "),SUBSTITUTE(SUBSTITUTE(UPPER(S1026)," ",""),":",": "))),0)),"Não encontrado")</f>
        <v>Não encontrado</v>
      </c>
      <c r="E1026" s="42" t="str" cm="1">
        <f t="array" ref="E1026">IFERROR(INDEX({"IMPEDITIVO"},MATCH(TRUE,ISNUMBER(FIND(SUBSTITUTE(SUBSTITUTE(UPPER({"IMPEDITIVO"})," ",""),":",": "),SUBSTITUTE(SUBSTITUTE(UPPER(S1026)," ",""),":",": "))),0)),"-")</f>
        <v>-</v>
      </c>
      <c r="K1026" s="49"/>
    </row>
    <row r="1027" spans="1:11" x14ac:dyDescent="0.25">
      <c r="A1027" s="46" t="str" cm="1">
        <f t="array" ref="A1027">IFERROR(INDEX(#REF!,MATCH(TRUE,ISNUMBER(FIND(SUBSTITUTE(SUBSTITUTE(UPPER(#REF!)," ",""),":",": "),SUBSTITUTE(SUBSTITUTE(UPPER(S1027)," ",""),":",": "))),0)),"Undefined")</f>
        <v>Undefined</v>
      </c>
      <c r="B1027" s="42" t="str" cm="1">
        <f t="array" ref="B1027">IFERROR(INDEX({"URGENTE"},MATCH(TRUE,ISNUMBER(FIND(SUBSTITUTE(SUBSTITUTE(UPPER({"URGENTE"})," ",""),":",": "),SUBSTITUTE(SUBSTITUTE(UPPER(S1027)," ",""),":",": "))),0)),"-")</f>
        <v>-</v>
      </c>
      <c r="C1027" s="46" t="str" cm="1">
        <f t="array" ref="C1027">IFERROR(INDEX(#REF!,MATCH(TRUE,ISNUMBER(FIND(SUBSTITUTE(SUBSTITUTE(UPPER(#REF!)," ",""),":",": "),SUBSTITUTE(SUBSTITUTE(UPPER(S1027)," ",""),":",": "))),0)),"Não encontrado")</f>
        <v>Não encontrado</v>
      </c>
      <c r="D1027" s="46" t="str" cm="1">
        <f t="array" ref="D1027">IFERROR(INDEX(#REF!,MATCH(TRUE,ISNUMBER(FIND(SUBSTITUTE(SUBSTITUTE(UPPER(#REF!)," ",""),":",": "),SUBSTITUTE(SUBSTITUTE(UPPER(S1027)," ",""),":",": "))),0)),"Não encontrado")</f>
        <v>Não encontrado</v>
      </c>
      <c r="E1027" s="42" t="str" cm="1">
        <f t="array" ref="E1027">IFERROR(INDEX({"IMPEDITIVO"},MATCH(TRUE,ISNUMBER(FIND(SUBSTITUTE(SUBSTITUTE(UPPER({"IMPEDITIVO"})," ",""),":",": "),SUBSTITUTE(SUBSTITUTE(UPPER(S1027)," ",""),":",": "))),0)),"-")</f>
        <v>-</v>
      </c>
      <c r="K1027" s="49"/>
    </row>
    <row r="1028" spans="1:11" x14ac:dyDescent="0.25">
      <c r="A1028" s="46" t="str" cm="1">
        <f t="array" ref="A1028">IFERROR(INDEX(#REF!,MATCH(TRUE,ISNUMBER(FIND(SUBSTITUTE(SUBSTITUTE(UPPER(#REF!)," ",""),":",": "),SUBSTITUTE(SUBSTITUTE(UPPER(S1028)," ",""),":",": "))),0)),"Undefined")</f>
        <v>Undefined</v>
      </c>
      <c r="B1028" s="42" t="str" cm="1">
        <f t="array" ref="B1028">IFERROR(INDEX({"URGENTE"},MATCH(TRUE,ISNUMBER(FIND(SUBSTITUTE(SUBSTITUTE(UPPER({"URGENTE"})," ",""),":",": "),SUBSTITUTE(SUBSTITUTE(UPPER(S1028)," ",""),":",": "))),0)),"-")</f>
        <v>-</v>
      </c>
      <c r="C1028" s="46" t="str" cm="1">
        <f t="array" ref="C1028">IFERROR(INDEX(#REF!,MATCH(TRUE,ISNUMBER(FIND(SUBSTITUTE(SUBSTITUTE(UPPER(#REF!)," ",""),":",": "),SUBSTITUTE(SUBSTITUTE(UPPER(S1028)," ",""),":",": "))),0)),"Não encontrado")</f>
        <v>Não encontrado</v>
      </c>
      <c r="D1028" s="46" t="str" cm="1">
        <f t="array" ref="D1028">IFERROR(INDEX(#REF!,MATCH(TRUE,ISNUMBER(FIND(SUBSTITUTE(SUBSTITUTE(UPPER(#REF!)," ",""),":",": "),SUBSTITUTE(SUBSTITUTE(UPPER(S1028)," ",""),":",": "))),0)),"Não encontrado")</f>
        <v>Não encontrado</v>
      </c>
      <c r="E1028" s="42" t="str" cm="1">
        <f t="array" ref="E1028">IFERROR(INDEX({"IMPEDITIVO"},MATCH(TRUE,ISNUMBER(FIND(SUBSTITUTE(SUBSTITUTE(UPPER({"IMPEDITIVO"})," ",""),":",": "),SUBSTITUTE(SUBSTITUTE(UPPER(S1028)," ",""),":",": "))),0)),"-")</f>
        <v>-</v>
      </c>
      <c r="K1028" s="49"/>
    </row>
    <row r="1029" spans="1:11" x14ac:dyDescent="0.25">
      <c r="A1029" s="46" t="str" cm="1">
        <f t="array" ref="A1029">IFERROR(INDEX(#REF!,MATCH(TRUE,ISNUMBER(FIND(SUBSTITUTE(SUBSTITUTE(UPPER(#REF!)," ",""),":",": "),SUBSTITUTE(SUBSTITUTE(UPPER(S1029)," ",""),":",": "))),0)),"Undefined")</f>
        <v>Undefined</v>
      </c>
      <c r="B1029" s="42" t="str" cm="1">
        <f t="array" ref="B1029">IFERROR(INDEX({"URGENTE"},MATCH(TRUE,ISNUMBER(FIND(SUBSTITUTE(SUBSTITUTE(UPPER({"URGENTE"})," ",""),":",": "),SUBSTITUTE(SUBSTITUTE(UPPER(S1029)," ",""),":",": "))),0)),"-")</f>
        <v>-</v>
      </c>
      <c r="C1029" s="46" t="str" cm="1">
        <f t="array" ref="C1029">IFERROR(INDEX(#REF!,MATCH(TRUE,ISNUMBER(FIND(SUBSTITUTE(SUBSTITUTE(UPPER(#REF!)," ",""),":",": "),SUBSTITUTE(SUBSTITUTE(UPPER(S1029)," ",""),":",": "))),0)),"Não encontrado")</f>
        <v>Não encontrado</v>
      </c>
      <c r="D1029" s="46" t="str" cm="1">
        <f t="array" ref="D1029">IFERROR(INDEX(#REF!,MATCH(TRUE,ISNUMBER(FIND(SUBSTITUTE(SUBSTITUTE(UPPER(#REF!)," ",""),":",": "),SUBSTITUTE(SUBSTITUTE(UPPER(S1029)," ",""),":",": "))),0)),"Não encontrado")</f>
        <v>Não encontrado</v>
      </c>
      <c r="E1029" s="42" t="str" cm="1">
        <f t="array" ref="E1029">IFERROR(INDEX({"IMPEDITIVO"},MATCH(TRUE,ISNUMBER(FIND(SUBSTITUTE(SUBSTITUTE(UPPER({"IMPEDITIVO"})," ",""),":",": "),SUBSTITUTE(SUBSTITUTE(UPPER(S1029)," ",""),":",": "))),0)),"-")</f>
        <v>-</v>
      </c>
      <c r="K1029" s="49"/>
    </row>
    <row r="1030" spans="1:11" x14ac:dyDescent="0.25">
      <c r="A1030" s="46" t="str" cm="1">
        <f t="array" ref="A1030">IFERROR(INDEX(#REF!,MATCH(TRUE,ISNUMBER(FIND(SUBSTITUTE(SUBSTITUTE(UPPER(#REF!)," ",""),":",": "),SUBSTITUTE(SUBSTITUTE(UPPER(S1030)," ",""),":",": "))),0)),"Undefined")</f>
        <v>Undefined</v>
      </c>
      <c r="B1030" s="42" t="str" cm="1">
        <f t="array" ref="B1030">IFERROR(INDEX({"URGENTE"},MATCH(TRUE,ISNUMBER(FIND(SUBSTITUTE(SUBSTITUTE(UPPER({"URGENTE"})," ",""),":",": "),SUBSTITUTE(SUBSTITUTE(UPPER(S1030)," ",""),":",": "))),0)),"-")</f>
        <v>-</v>
      </c>
      <c r="C1030" s="46" t="str" cm="1">
        <f t="array" ref="C1030">IFERROR(INDEX(#REF!,MATCH(TRUE,ISNUMBER(FIND(SUBSTITUTE(SUBSTITUTE(UPPER(#REF!)," ",""),":",": "),SUBSTITUTE(SUBSTITUTE(UPPER(S1030)," ",""),":",": "))),0)),"Não encontrado")</f>
        <v>Não encontrado</v>
      </c>
      <c r="D1030" s="46" t="str" cm="1">
        <f t="array" ref="D1030">IFERROR(INDEX(#REF!,MATCH(TRUE,ISNUMBER(FIND(SUBSTITUTE(SUBSTITUTE(UPPER(#REF!)," ",""),":",": "),SUBSTITUTE(SUBSTITUTE(UPPER(S1030)," ",""),":",": "))),0)),"Não encontrado")</f>
        <v>Não encontrado</v>
      </c>
      <c r="E1030" s="42" t="str" cm="1">
        <f t="array" ref="E1030">IFERROR(INDEX({"IMPEDITIVO"},MATCH(TRUE,ISNUMBER(FIND(SUBSTITUTE(SUBSTITUTE(UPPER({"IMPEDITIVO"})," ",""),":",": "),SUBSTITUTE(SUBSTITUTE(UPPER(S1030)," ",""),":",": "))),0)),"-")</f>
        <v>-</v>
      </c>
      <c r="K1030" s="49"/>
    </row>
    <row r="1031" spans="1:11" x14ac:dyDescent="0.25">
      <c r="A1031" s="46" t="str" cm="1">
        <f t="array" ref="A1031">IFERROR(INDEX(#REF!,MATCH(TRUE,ISNUMBER(FIND(SUBSTITUTE(SUBSTITUTE(UPPER(#REF!)," ",""),":",": "),SUBSTITUTE(SUBSTITUTE(UPPER(S1031)," ",""),":",": "))),0)),"Undefined")</f>
        <v>Undefined</v>
      </c>
      <c r="B1031" s="42" t="str" cm="1">
        <f t="array" ref="B1031">IFERROR(INDEX({"URGENTE"},MATCH(TRUE,ISNUMBER(FIND(SUBSTITUTE(SUBSTITUTE(UPPER({"URGENTE"})," ",""),":",": "),SUBSTITUTE(SUBSTITUTE(UPPER(S1031)," ",""),":",": "))),0)),"-")</f>
        <v>-</v>
      </c>
      <c r="C1031" s="46" t="str" cm="1">
        <f t="array" ref="C1031">IFERROR(INDEX(#REF!,MATCH(TRUE,ISNUMBER(FIND(SUBSTITUTE(SUBSTITUTE(UPPER(#REF!)," ",""),":",": "),SUBSTITUTE(SUBSTITUTE(UPPER(S1031)," ",""),":",": "))),0)),"Não encontrado")</f>
        <v>Não encontrado</v>
      </c>
      <c r="D1031" s="46" t="str" cm="1">
        <f t="array" ref="D1031">IFERROR(INDEX(#REF!,MATCH(TRUE,ISNUMBER(FIND(SUBSTITUTE(SUBSTITUTE(UPPER(#REF!)," ",""),":",": "),SUBSTITUTE(SUBSTITUTE(UPPER(S1031)," ",""),":",": "))),0)),"Não encontrado")</f>
        <v>Não encontrado</v>
      </c>
      <c r="E1031" s="42" t="str" cm="1">
        <f t="array" ref="E1031">IFERROR(INDEX({"IMPEDITIVO"},MATCH(TRUE,ISNUMBER(FIND(SUBSTITUTE(SUBSTITUTE(UPPER({"IMPEDITIVO"})," ",""),":",": "),SUBSTITUTE(SUBSTITUTE(UPPER(S1031)," ",""),":",": "))),0)),"-")</f>
        <v>-</v>
      </c>
      <c r="K1031" s="49"/>
    </row>
    <row r="1032" spans="1:11" x14ac:dyDescent="0.25">
      <c r="A1032" s="46" t="str" cm="1">
        <f t="array" ref="A1032">IFERROR(INDEX(#REF!,MATCH(TRUE,ISNUMBER(FIND(SUBSTITUTE(SUBSTITUTE(UPPER(#REF!)," ",""),":",": "),SUBSTITUTE(SUBSTITUTE(UPPER(S1032)," ",""),":",": "))),0)),"Undefined")</f>
        <v>Undefined</v>
      </c>
      <c r="B1032" s="42" t="str" cm="1">
        <f t="array" ref="B1032">IFERROR(INDEX({"URGENTE"},MATCH(TRUE,ISNUMBER(FIND(SUBSTITUTE(SUBSTITUTE(UPPER({"URGENTE"})," ",""),":",": "),SUBSTITUTE(SUBSTITUTE(UPPER(S1032)," ",""),":",": "))),0)),"-")</f>
        <v>-</v>
      </c>
      <c r="C1032" s="46" t="str" cm="1">
        <f t="array" ref="C1032">IFERROR(INDEX(#REF!,MATCH(TRUE,ISNUMBER(FIND(SUBSTITUTE(SUBSTITUTE(UPPER(#REF!)," ",""),":",": "),SUBSTITUTE(SUBSTITUTE(UPPER(S1032)," ",""),":",": "))),0)),"Não encontrado")</f>
        <v>Não encontrado</v>
      </c>
      <c r="D1032" s="46" t="str" cm="1">
        <f t="array" ref="D1032">IFERROR(INDEX(#REF!,MATCH(TRUE,ISNUMBER(FIND(SUBSTITUTE(SUBSTITUTE(UPPER(#REF!)," ",""),":",": "),SUBSTITUTE(SUBSTITUTE(UPPER(S1032)," ",""),":",": "))),0)),"Não encontrado")</f>
        <v>Não encontrado</v>
      </c>
      <c r="E1032" s="42" t="str" cm="1">
        <f t="array" ref="E1032">IFERROR(INDEX({"IMPEDITIVO"},MATCH(TRUE,ISNUMBER(FIND(SUBSTITUTE(SUBSTITUTE(UPPER({"IMPEDITIVO"})," ",""),":",": "),SUBSTITUTE(SUBSTITUTE(UPPER(S1032)," ",""),":",": "))),0)),"-")</f>
        <v>-</v>
      </c>
      <c r="K1032" s="49"/>
    </row>
    <row r="1033" spans="1:11" x14ac:dyDescent="0.25">
      <c r="A1033" s="46" t="str" cm="1">
        <f t="array" ref="A1033">IFERROR(INDEX(#REF!,MATCH(TRUE,ISNUMBER(FIND(SUBSTITUTE(SUBSTITUTE(UPPER(#REF!)," ",""),":",": "),SUBSTITUTE(SUBSTITUTE(UPPER(S1033)," ",""),":",": "))),0)),"Undefined")</f>
        <v>Undefined</v>
      </c>
      <c r="B1033" s="42" t="str" cm="1">
        <f t="array" ref="B1033">IFERROR(INDEX({"URGENTE"},MATCH(TRUE,ISNUMBER(FIND(SUBSTITUTE(SUBSTITUTE(UPPER({"URGENTE"})," ",""),":",": "),SUBSTITUTE(SUBSTITUTE(UPPER(S1033)," ",""),":",": "))),0)),"-")</f>
        <v>-</v>
      </c>
      <c r="C1033" s="46" t="str" cm="1">
        <f t="array" ref="C1033">IFERROR(INDEX(#REF!,MATCH(TRUE,ISNUMBER(FIND(SUBSTITUTE(SUBSTITUTE(UPPER(#REF!)," ",""),":",": "),SUBSTITUTE(SUBSTITUTE(UPPER(S1033)," ",""),":",": "))),0)),"Não encontrado")</f>
        <v>Não encontrado</v>
      </c>
      <c r="D1033" s="46" t="str" cm="1">
        <f t="array" ref="D1033">IFERROR(INDEX(#REF!,MATCH(TRUE,ISNUMBER(FIND(SUBSTITUTE(SUBSTITUTE(UPPER(#REF!)," ",""),":",": "),SUBSTITUTE(SUBSTITUTE(UPPER(S1033)," ",""),":",": "))),0)),"Não encontrado")</f>
        <v>Não encontrado</v>
      </c>
      <c r="E1033" s="42" t="str" cm="1">
        <f t="array" ref="E1033">IFERROR(INDEX({"IMPEDITIVO"},MATCH(TRUE,ISNUMBER(FIND(SUBSTITUTE(SUBSTITUTE(UPPER({"IMPEDITIVO"})," ",""),":",": "),SUBSTITUTE(SUBSTITUTE(UPPER(S1033)," ",""),":",": "))),0)),"-")</f>
        <v>-</v>
      </c>
      <c r="K1033" s="49"/>
    </row>
    <row r="1034" spans="1:11" x14ac:dyDescent="0.25">
      <c r="A1034" s="46" t="str" cm="1">
        <f t="array" ref="A1034">IFERROR(INDEX(#REF!,MATCH(TRUE,ISNUMBER(FIND(SUBSTITUTE(SUBSTITUTE(UPPER(#REF!)," ",""),":",": "),SUBSTITUTE(SUBSTITUTE(UPPER(S1034)," ",""),":",": "))),0)),"Undefined")</f>
        <v>Undefined</v>
      </c>
      <c r="B1034" s="42" t="str" cm="1">
        <f t="array" ref="B1034">IFERROR(INDEX({"URGENTE"},MATCH(TRUE,ISNUMBER(FIND(SUBSTITUTE(SUBSTITUTE(UPPER({"URGENTE"})," ",""),":",": "),SUBSTITUTE(SUBSTITUTE(UPPER(S1034)," ",""),":",": "))),0)),"-")</f>
        <v>-</v>
      </c>
      <c r="C1034" s="46" t="str" cm="1">
        <f t="array" ref="C1034">IFERROR(INDEX(#REF!,MATCH(TRUE,ISNUMBER(FIND(SUBSTITUTE(SUBSTITUTE(UPPER(#REF!)," ",""),":",": "),SUBSTITUTE(SUBSTITUTE(UPPER(S1034)," ",""),":",": "))),0)),"Não encontrado")</f>
        <v>Não encontrado</v>
      </c>
      <c r="D1034" s="46" t="str" cm="1">
        <f t="array" ref="D1034">IFERROR(INDEX(#REF!,MATCH(TRUE,ISNUMBER(FIND(SUBSTITUTE(SUBSTITUTE(UPPER(#REF!)," ",""),":",": "),SUBSTITUTE(SUBSTITUTE(UPPER(S1034)," ",""),":",": "))),0)),"Não encontrado")</f>
        <v>Não encontrado</v>
      </c>
      <c r="E1034" s="42" t="str" cm="1">
        <f t="array" ref="E1034">IFERROR(INDEX({"IMPEDITIVO"},MATCH(TRUE,ISNUMBER(FIND(SUBSTITUTE(SUBSTITUTE(UPPER({"IMPEDITIVO"})," ",""),":",": "),SUBSTITUTE(SUBSTITUTE(UPPER(S1034)," ",""),":",": "))),0)),"-")</f>
        <v>-</v>
      </c>
      <c r="K1034" s="49"/>
    </row>
    <row r="1035" spans="1:11" x14ac:dyDescent="0.25">
      <c r="A1035" s="46" t="str" cm="1">
        <f t="array" ref="A1035">IFERROR(INDEX(#REF!,MATCH(TRUE,ISNUMBER(FIND(SUBSTITUTE(SUBSTITUTE(UPPER(#REF!)," ",""),":",": "),SUBSTITUTE(SUBSTITUTE(UPPER(S1035)," ",""),":",": "))),0)),"Undefined")</f>
        <v>Undefined</v>
      </c>
      <c r="B1035" s="42" t="str" cm="1">
        <f t="array" ref="B1035">IFERROR(INDEX({"URGENTE"},MATCH(TRUE,ISNUMBER(FIND(SUBSTITUTE(SUBSTITUTE(UPPER({"URGENTE"})," ",""),":",": "),SUBSTITUTE(SUBSTITUTE(UPPER(S1035)," ",""),":",": "))),0)),"-")</f>
        <v>-</v>
      </c>
      <c r="C1035" s="46" t="str" cm="1">
        <f t="array" ref="C1035">IFERROR(INDEX(#REF!,MATCH(TRUE,ISNUMBER(FIND(SUBSTITUTE(SUBSTITUTE(UPPER(#REF!)," ",""),":",": "),SUBSTITUTE(SUBSTITUTE(UPPER(S1035)," ",""),":",": "))),0)),"Não encontrado")</f>
        <v>Não encontrado</v>
      </c>
      <c r="D1035" s="46" t="str" cm="1">
        <f t="array" ref="D1035">IFERROR(INDEX(#REF!,MATCH(TRUE,ISNUMBER(FIND(SUBSTITUTE(SUBSTITUTE(UPPER(#REF!)," ",""),":",": "),SUBSTITUTE(SUBSTITUTE(UPPER(S1035)," ",""),":",": "))),0)),"Não encontrado")</f>
        <v>Não encontrado</v>
      </c>
      <c r="E1035" s="42" t="str" cm="1">
        <f t="array" ref="E1035">IFERROR(INDEX({"IMPEDITIVO"},MATCH(TRUE,ISNUMBER(FIND(SUBSTITUTE(SUBSTITUTE(UPPER({"IMPEDITIVO"})," ",""),":",": "),SUBSTITUTE(SUBSTITUTE(UPPER(S1035)," ",""),":",": "))),0)),"-")</f>
        <v>-</v>
      </c>
      <c r="K1035" s="49"/>
    </row>
    <row r="1036" spans="1:11" x14ac:dyDescent="0.25">
      <c r="A1036" s="46" t="str" cm="1">
        <f t="array" ref="A1036">IFERROR(INDEX(#REF!,MATCH(TRUE,ISNUMBER(FIND(SUBSTITUTE(SUBSTITUTE(UPPER(#REF!)," ",""),":",": "),SUBSTITUTE(SUBSTITUTE(UPPER(S1036)," ",""),":",": "))),0)),"Undefined")</f>
        <v>Undefined</v>
      </c>
      <c r="B1036" s="42" t="str" cm="1">
        <f t="array" ref="B1036">IFERROR(INDEX({"URGENTE"},MATCH(TRUE,ISNUMBER(FIND(SUBSTITUTE(SUBSTITUTE(UPPER({"URGENTE"})," ",""),":",": "),SUBSTITUTE(SUBSTITUTE(UPPER(S1036)," ",""),":",": "))),0)),"-")</f>
        <v>-</v>
      </c>
      <c r="C1036" s="46" t="str" cm="1">
        <f t="array" ref="C1036">IFERROR(INDEX(#REF!,MATCH(TRUE,ISNUMBER(FIND(SUBSTITUTE(SUBSTITUTE(UPPER(#REF!)," ",""),":",": "),SUBSTITUTE(SUBSTITUTE(UPPER(S1036)," ",""),":",": "))),0)),"Não encontrado")</f>
        <v>Não encontrado</v>
      </c>
      <c r="D1036" s="46" t="str" cm="1">
        <f t="array" ref="D1036">IFERROR(INDEX(#REF!,MATCH(TRUE,ISNUMBER(FIND(SUBSTITUTE(SUBSTITUTE(UPPER(#REF!)," ",""),":",": "),SUBSTITUTE(SUBSTITUTE(UPPER(S1036)," ",""),":",": "))),0)),"Não encontrado")</f>
        <v>Não encontrado</v>
      </c>
      <c r="E1036" s="42" t="str" cm="1">
        <f t="array" ref="E1036">IFERROR(INDEX({"IMPEDITIVO"},MATCH(TRUE,ISNUMBER(FIND(SUBSTITUTE(SUBSTITUTE(UPPER({"IMPEDITIVO"})," ",""),":",": "),SUBSTITUTE(SUBSTITUTE(UPPER(S1036)," ",""),":",": "))),0)),"-")</f>
        <v>-</v>
      </c>
      <c r="K1036" s="49"/>
    </row>
    <row r="1037" spans="1:11" x14ac:dyDescent="0.25">
      <c r="A1037" s="46" t="str" cm="1">
        <f t="array" ref="A1037">IFERROR(INDEX(#REF!,MATCH(TRUE,ISNUMBER(FIND(SUBSTITUTE(SUBSTITUTE(UPPER(#REF!)," ",""),":",": "),SUBSTITUTE(SUBSTITUTE(UPPER(S1037)," ",""),":",": "))),0)),"Undefined")</f>
        <v>Undefined</v>
      </c>
      <c r="B1037" s="42" t="str" cm="1">
        <f t="array" ref="B1037">IFERROR(INDEX({"URGENTE"},MATCH(TRUE,ISNUMBER(FIND(SUBSTITUTE(SUBSTITUTE(UPPER({"URGENTE"})," ",""),":",": "),SUBSTITUTE(SUBSTITUTE(UPPER(S1037)," ",""),":",": "))),0)),"-")</f>
        <v>-</v>
      </c>
      <c r="C1037" s="46" t="str" cm="1">
        <f t="array" ref="C1037">IFERROR(INDEX(#REF!,MATCH(TRUE,ISNUMBER(FIND(SUBSTITUTE(SUBSTITUTE(UPPER(#REF!)," ",""),":",": "),SUBSTITUTE(SUBSTITUTE(UPPER(S1037)," ",""),":",": "))),0)),"Não encontrado")</f>
        <v>Não encontrado</v>
      </c>
      <c r="D1037" s="46" t="str" cm="1">
        <f t="array" ref="D1037">IFERROR(INDEX(#REF!,MATCH(TRUE,ISNUMBER(FIND(SUBSTITUTE(SUBSTITUTE(UPPER(#REF!)," ",""),":",": "),SUBSTITUTE(SUBSTITUTE(UPPER(S1037)," ",""),":",": "))),0)),"Não encontrado")</f>
        <v>Não encontrado</v>
      </c>
      <c r="E1037" s="42" t="str" cm="1">
        <f t="array" ref="E1037">IFERROR(INDEX({"IMPEDITIVO"},MATCH(TRUE,ISNUMBER(FIND(SUBSTITUTE(SUBSTITUTE(UPPER({"IMPEDITIVO"})," ",""),":",": "),SUBSTITUTE(SUBSTITUTE(UPPER(S1037)," ",""),":",": "))),0)),"-")</f>
        <v>-</v>
      </c>
      <c r="K1037" s="49"/>
    </row>
    <row r="1038" spans="1:11" x14ac:dyDescent="0.25">
      <c r="A1038" s="46" t="str" cm="1">
        <f t="array" ref="A1038">IFERROR(INDEX(#REF!,MATCH(TRUE,ISNUMBER(FIND(SUBSTITUTE(SUBSTITUTE(UPPER(#REF!)," ",""),":",": "),SUBSTITUTE(SUBSTITUTE(UPPER(S1038)," ",""),":",": "))),0)),"Undefined")</f>
        <v>Undefined</v>
      </c>
      <c r="B1038" s="42" t="str" cm="1">
        <f t="array" ref="B1038">IFERROR(INDEX({"URGENTE"},MATCH(TRUE,ISNUMBER(FIND(SUBSTITUTE(SUBSTITUTE(UPPER({"URGENTE"})," ",""),":",": "),SUBSTITUTE(SUBSTITUTE(UPPER(S1038)," ",""),":",": "))),0)),"-")</f>
        <v>-</v>
      </c>
      <c r="C1038" s="46" t="str" cm="1">
        <f t="array" ref="C1038">IFERROR(INDEX(#REF!,MATCH(TRUE,ISNUMBER(FIND(SUBSTITUTE(SUBSTITUTE(UPPER(#REF!)," ",""),":",": "),SUBSTITUTE(SUBSTITUTE(UPPER(S1038)," ",""),":",": "))),0)),"Não encontrado")</f>
        <v>Não encontrado</v>
      </c>
      <c r="D1038" s="46" t="str" cm="1">
        <f t="array" ref="D1038">IFERROR(INDEX(#REF!,MATCH(TRUE,ISNUMBER(FIND(SUBSTITUTE(SUBSTITUTE(UPPER(#REF!)," ",""),":",": "),SUBSTITUTE(SUBSTITUTE(UPPER(S1038)," ",""),":",": "))),0)),"Não encontrado")</f>
        <v>Não encontrado</v>
      </c>
      <c r="E1038" s="42" t="str" cm="1">
        <f t="array" ref="E1038">IFERROR(INDEX({"IMPEDITIVO"},MATCH(TRUE,ISNUMBER(FIND(SUBSTITUTE(SUBSTITUTE(UPPER({"IMPEDITIVO"})," ",""),":",": "),SUBSTITUTE(SUBSTITUTE(UPPER(S1038)," ",""),":",": "))),0)),"-")</f>
        <v>-</v>
      </c>
      <c r="K1038" s="49"/>
    </row>
    <row r="1039" spans="1:11" x14ac:dyDescent="0.25">
      <c r="A1039" s="46" t="str" cm="1">
        <f t="array" ref="A1039">IFERROR(INDEX(#REF!,MATCH(TRUE,ISNUMBER(FIND(SUBSTITUTE(SUBSTITUTE(UPPER(#REF!)," ",""),":",": "),SUBSTITUTE(SUBSTITUTE(UPPER(S1039)," ",""),":",": "))),0)),"Undefined")</f>
        <v>Undefined</v>
      </c>
      <c r="B1039" s="42" t="str" cm="1">
        <f t="array" ref="B1039">IFERROR(INDEX({"URGENTE"},MATCH(TRUE,ISNUMBER(FIND(SUBSTITUTE(SUBSTITUTE(UPPER({"URGENTE"})," ",""),":",": "),SUBSTITUTE(SUBSTITUTE(UPPER(S1039)," ",""),":",": "))),0)),"-")</f>
        <v>-</v>
      </c>
      <c r="C1039" s="46" t="str" cm="1">
        <f t="array" ref="C1039">IFERROR(INDEX(#REF!,MATCH(TRUE,ISNUMBER(FIND(SUBSTITUTE(SUBSTITUTE(UPPER(#REF!)," ",""),":",": "),SUBSTITUTE(SUBSTITUTE(UPPER(S1039)," ",""),":",": "))),0)),"Não encontrado")</f>
        <v>Não encontrado</v>
      </c>
      <c r="D1039" s="46" t="str" cm="1">
        <f t="array" ref="D1039">IFERROR(INDEX(#REF!,MATCH(TRUE,ISNUMBER(FIND(SUBSTITUTE(SUBSTITUTE(UPPER(#REF!)," ",""),":",": "),SUBSTITUTE(SUBSTITUTE(UPPER(S1039)," ",""),":",": "))),0)),"Não encontrado")</f>
        <v>Não encontrado</v>
      </c>
      <c r="E1039" s="42" t="str" cm="1">
        <f t="array" ref="E1039">IFERROR(INDEX({"IMPEDITIVO"},MATCH(TRUE,ISNUMBER(FIND(SUBSTITUTE(SUBSTITUTE(UPPER({"IMPEDITIVO"})," ",""),":",": "),SUBSTITUTE(SUBSTITUTE(UPPER(S1039)," ",""),":",": "))),0)),"-")</f>
        <v>-</v>
      </c>
      <c r="K1039" s="49"/>
    </row>
    <row r="1040" spans="1:11" x14ac:dyDescent="0.25">
      <c r="A1040" s="46" t="str" cm="1">
        <f t="array" ref="A1040">IFERROR(INDEX(#REF!,MATCH(TRUE,ISNUMBER(FIND(SUBSTITUTE(SUBSTITUTE(UPPER(#REF!)," ",""),":",": "),SUBSTITUTE(SUBSTITUTE(UPPER(S1040)," ",""),":",": "))),0)),"Undefined")</f>
        <v>Undefined</v>
      </c>
      <c r="B1040" s="42" t="str" cm="1">
        <f t="array" ref="B1040">IFERROR(INDEX({"URGENTE"},MATCH(TRUE,ISNUMBER(FIND(SUBSTITUTE(SUBSTITUTE(UPPER({"URGENTE"})," ",""),":",": "),SUBSTITUTE(SUBSTITUTE(UPPER(S1040)," ",""),":",": "))),0)),"-")</f>
        <v>-</v>
      </c>
      <c r="C1040" s="46" t="str" cm="1">
        <f t="array" ref="C1040">IFERROR(INDEX(#REF!,MATCH(TRUE,ISNUMBER(FIND(SUBSTITUTE(SUBSTITUTE(UPPER(#REF!)," ",""),":",": "),SUBSTITUTE(SUBSTITUTE(UPPER(S1040)," ",""),":",": "))),0)),"Não encontrado")</f>
        <v>Não encontrado</v>
      </c>
      <c r="D1040" s="46" t="str" cm="1">
        <f t="array" ref="D1040">IFERROR(INDEX(#REF!,MATCH(TRUE,ISNUMBER(FIND(SUBSTITUTE(SUBSTITUTE(UPPER(#REF!)," ",""),":",": "),SUBSTITUTE(SUBSTITUTE(UPPER(S1040)," ",""),":",": "))),0)),"Não encontrado")</f>
        <v>Não encontrado</v>
      </c>
      <c r="E1040" s="42" t="str" cm="1">
        <f t="array" ref="E1040">IFERROR(INDEX({"IMPEDITIVO"},MATCH(TRUE,ISNUMBER(FIND(SUBSTITUTE(SUBSTITUTE(UPPER({"IMPEDITIVO"})," ",""),":",": "),SUBSTITUTE(SUBSTITUTE(UPPER(S1040)," ",""),":",": "))),0)),"-")</f>
        <v>-</v>
      </c>
      <c r="K1040" s="49"/>
    </row>
    <row r="1041" spans="1:11" x14ac:dyDescent="0.25">
      <c r="A1041" s="46" t="str" cm="1">
        <f t="array" ref="A1041">IFERROR(INDEX(#REF!,MATCH(TRUE,ISNUMBER(FIND(SUBSTITUTE(SUBSTITUTE(UPPER(#REF!)," ",""),":",": "),SUBSTITUTE(SUBSTITUTE(UPPER(S1041)," ",""),":",": "))),0)),"Undefined")</f>
        <v>Undefined</v>
      </c>
      <c r="B1041" s="42" t="str" cm="1">
        <f t="array" ref="B1041">IFERROR(INDEX({"URGENTE"},MATCH(TRUE,ISNUMBER(FIND(SUBSTITUTE(SUBSTITUTE(UPPER({"URGENTE"})," ",""),":",": "),SUBSTITUTE(SUBSTITUTE(UPPER(S1041)," ",""),":",": "))),0)),"-")</f>
        <v>-</v>
      </c>
      <c r="C1041" s="46" t="str" cm="1">
        <f t="array" ref="C1041">IFERROR(INDEX(#REF!,MATCH(TRUE,ISNUMBER(FIND(SUBSTITUTE(SUBSTITUTE(UPPER(#REF!)," ",""),":",": "),SUBSTITUTE(SUBSTITUTE(UPPER(S1041)," ",""),":",": "))),0)),"Não encontrado")</f>
        <v>Não encontrado</v>
      </c>
      <c r="D1041" s="46" t="str" cm="1">
        <f t="array" ref="D1041">IFERROR(INDEX(#REF!,MATCH(TRUE,ISNUMBER(FIND(SUBSTITUTE(SUBSTITUTE(UPPER(#REF!)," ",""),":",": "),SUBSTITUTE(SUBSTITUTE(UPPER(S1041)," ",""),":",": "))),0)),"Não encontrado")</f>
        <v>Não encontrado</v>
      </c>
      <c r="E1041" s="42" t="str" cm="1">
        <f t="array" ref="E1041">IFERROR(INDEX({"IMPEDITIVO"},MATCH(TRUE,ISNUMBER(FIND(SUBSTITUTE(SUBSTITUTE(UPPER({"IMPEDITIVO"})," ",""),":",": "),SUBSTITUTE(SUBSTITUTE(UPPER(S1041)," ",""),":",": "))),0)),"-")</f>
        <v>-</v>
      </c>
      <c r="K1041" s="49"/>
    </row>
    <row r="1042" spans="1:11" x14ac:dyDescent="0.25">
      <c r="A1042" s="46" t="str" cm="1">
        <f t="array" ref="A1042">IFERROR(INDEX(#REF!,MATCH(TRUE,ISNUMBER(FIND(SUBSTITUTE(SUBSTITUTE(UPPER(#REF!)," ",""),":",": "),SUBSTITUTE(SUBSTITUTE(UPPER(S1042)," ",""),":",": "))),0)),"Undefined")</f>
        <v>Undefined</v>
      </c>
      <c r="B1042" s="42" t="str" cm="1">
        <f t="array" ref="B1042">IFERROR(INDEX({"URGENTE"},MATCH(TRUE,ISNUMBER(FIND(SUBSTITUTE(SUBSTITUTE(UPPER({"URGENTE"})," ",""),":",": "),SUBSTITUTE(SUBSTITUTE(UPPER(S1042)," ",""),":",": "))),0)),"-")</f>
        <v>-</v>
      </c>
      <c r="C1042" s="46" t="str" cm="1">
        <f t="array" ref="C1042">IFERROR(INDEX(#REF!,MATCH(TRUE,ISNUMBER(FIND(SUBSTITUTE(SUBSTITUTE(UPPER(#REF!)," ",""),":",": "),SUBSTITUTE(SUBSTITUTE(UPPER(S1042)," ",""),":",": "))),0)),"Não encontrado")</f>
        <v>Não encontrado</v>
      </c>
      <c r="D1042" s="46" t="str" cm="1">
        <f t="array" ref="D1042">IFERROR(INDEX(#REF!,MATCH(TRUE,ISNUMBER(FIND(SUBSTITUTE(SUBSTITUTE(UPPER(#REF!)," ",""),":",": "),SUBSTITUTE(SUBSTITUTE(UPPER(S1042)," ",""),":",": "))),0)),"Não encontrado")</f>
        <v>Não encontrado</v>
      </c>
      <c r="E1042" s="42" t="str" cm="1">
        <f t="array" ref="E1042">IFERROR(INDEX({"IMPEDITIVO"},MATCH(TRUE,ISNUMBER(FIND(SUBSTITUTE(SUBSTITUTE(UPPER({"IMPEDITIVO"})," ",""),":",": "),SUBSTITUTE(SUBSTITUTE(UPPER(S1042)," ",""),":",": "))),0)),"-")</f>
        <v>-</v>
      </c>
      <c r="K1042" s="49"/>
    </row>
    <row r="1043" spans="1:11" x14ac:dyDescent="0.25">
      <c r="A1043" s="46" t="str" cm="1">
        <f t="array" ref="A1043">IFERROR(INDEX(#REF!,MATCH(TRUE,ISNUMBER(FIND(SUBSTITUTE(SUBSTITUTE(UPPER(#REF!)," ",""),":",": "),SUBSTITUTE(SUBSTITUTE(UPPER(S1043)," ",""),":",": "))),0)),"Undefined")</f>
        <v>Undefined</v>
      </c>
      <c r="B1043" s="42" t="str" cm="1">
        <f t="array" ref="B1043">IFERROR(INDEX({"URGENTE"},MATCH(TRUE,ISNUMBER(FIND(SUBSTITUTE(SUBSTITUTE(UPPER({"URGENTE"})," ",""),":",": "),SUBSTITUTE(SUBSTITUTE(UPPER(S1043)," ",""),":",": "))),0)),"-")</f>
        <v>-</v>
      </c>
      <c r="C1043" s="46" t="str" cm="1">
        <f t="array" ref="C1043">IFERROR(INDEX(#REF!,MATCH(TRUE,ISNUMBER(FIND(SUBSTITUTE(SUBSTITUTE(UPPER(#REF!)," ",""),":",": "),SUBSTITUTE(SUBSTITUTE(UPPER(S1043)," ",""),":",": "))),0)),"Não encontrado")</f>
        <v>Não encontrado</v>
      </c>
      <c r="D1043" s="46" t="str" cm="1">
        <f t="array" ref="D1043">IFERROR(INDEX(#REF!,MATCH(TRUE,ISNUMBER(FIND(SUBSTITUTE(SUBSTITUTE(UPPER(#REF!)," ",""),":",": "),SUBSTITUTE(SUBSTITUTE(UPPER(S1043)," ",""),":",": "))),0)),"Não encontrado")</f>
        <v>Não encontrado</v>
      </c>
      <c r="E1043" s="42" t="str" cm="1">
        <f t="array" ref="E1043">IFERROR(INDEX({"IMPEDITIVO"},MATCH(TRUE,ISNUMBER(FIND(SUBSTITUTE(SUBSTITUTE(UPPER({"IMPEDITIVO"})," ",""),":",": "),SUBSTITUTE(SUBSTITUTE(UPPER(S1043)," ",""),":",": "))),0)),"-")</f>
        <v>-</v>
      </c>
      <c r="K1043" s="49"/>
    </row>
    <row r="1044" spans="1:11" x14ac:dyDescent="0.25">
      <c r="A1044" s="46" t="str" cm="1">
        <f t="array" ref="A1044">IFERROR(INDEX(#REF!,MATCH(TRUE,ISNUMBER(FIND(SUBSTITUTE(SUBSTITUTE(UPPER(#REF!)," ",""),":",": "),SUBSTITUTE(SUBSTITUTE(UPPER(S1044)," ",""),":",": "))),0)),"Undefined")</f>
        <v>Undefined</v>
      </c>
      <c r="B1044" s="42" t="str" cm="1">
        <f t="array" ref="B1044">IFERROR(INDEX({"URGENTE"},MATCH(TRUE,ISNUMBER(FIND(SUBSTITUTE(SUBSTITUTE(UPPER({"URGENTE"})," ",""),":",": "),SUBSTITUTE(SUBSTITUTE(UPPER(S1044)," ",""),":",": "))),0)),"-")</f>
        <v>-</v>
      </c>
      <c r="C1044" s="46" t="str" cm="1">
        <f t="array" ref="C1044">IFERROR(INDEX(#REF!,MATCH(TRUE,ISNUMBER(FIND(SUBSTITUTE(SUBSTITUTE(UPPER(#REF!)," ",""),":",": "),SUBSTITUTE(SUBSTITUTE(UPPER(S1044)," ",""),":",": "))),0)),"Não encontrado")</f>
        <v>Não encontrado</v>
      </c>
      <c r="D1044" s="46" t="str" cm="1">
        <f t="array" ref="D1044">IFERROR(INDEX(#REF!,MATCH(TRUE,ISNUMBER(FIND(SUBSTITUTE(SUBSTITUTE(UPPER(#REF!)," ",""),":",": "),SUBSTITUTE(SUBSTITUTE(UPPER(S1044)," ",""),":",": "))),0)),"Não encontrado")</f>
        <v>Não encontrado</v>
      </c>
      <c r="E1044" s="42" t="str" cm="1">
        <f t="array" ref="E1044">IFERROR(INDEX({"IMPEDITIVO"},MATCH(TRUE,ISNUMBER(FIND(SUBSTITUTE(SUBSTITUTE(UPPER({"IMPEDITIVO"})," ",""),":",": "),SUBSTITUTE(SUBSTITUTE(UPPER(S1044)," ",""),":",": "))),0)),"-")</f>
        <v>-</v>
      </c>
      <c r="K1044" s="49"/>
    </row>
    <row r="1045" spans="1:11" x14ac:dyDescent="0.25">
      <c r="A1045" s="46" t="str" cm="1">
        <f t="array" ref="A1045">IFERROR(INDEX(#REF!,MATCH(TRUE,ISNUMBER(FIND(SUBSTITUTE(SUBSTITUTE(UPPER(#REF!)," ",""),":",": "),SUBSTITUTE(SUBSTITUTE(UPPER(S1045)," ",""),":",": "))),0)),"Undefined")</f>
        <v>Undefined</v>
      </c>
      <c r="B1045" s="42" t="str" cm="1">
        <f t="array" ref="B1045">IFERROR(INDEX({"URGENTE"},MATCH(TRUE,ISNUMBER(FIND(SUBSTITUTE(SUBSTITUTE(UPPER({"URGENTE"})," ",""),":",": "),SUBSTITUTE(SUBSTITUTE(UPPER(S1045)," ",""),":",": "))),0)),"-")</f>
        <v>-</v>
      </c>
      <c r="C1045" s="46" t="str" cm="1">
        <f t="array" ref="C1045">IFERROR(INDEX(#REF!,MATCH(TRUE,ISNUMBER(FIND(SUBSTITUTE(SUBSTITUTE(UPPER(#REF!)," ",""),":",": "),SUBSTITUTE(SUBSTITUTE(UPPER(S1045)," ",""),":",": "))),0)),"Não encontrado")</f>
        <v>Não encontrado</v>
      </c>
      <c r="D1045" s="46" t="str" cm="1">
        <f t="array" ref="D1045">IFERROR(INDEX(#REF!,MATCH(TRUE,ISNUMBER(FIND(SUBSTITUTE(SUBSTITUTE(UPPER(#REF!)," ",""),":",": "),SUBSTITUTE(SUBSTITUTE(UPPER(S1045)," ",""),":",": "))),0)),"Não encontrado")</f>
        <v>Não encontrado</v>
      </c>
      <c r="E1045" s="42" t="str" cm="1">
        <f t="array" ref="E1045">IFERROR(INDEX({"IMPEDITIVO"},MATCH(TRUE,ISNUMBER(FIND(SUBSTITUTE(SUBSTITUTE(UPPER({"IMPEDITIVO"})," ",""),":",": "),SUBSTITUTE(SUBSTITUTE(UPPER(S1045)," ",""),":",": "))),0)),"-")</f>
        <v>-</v>
      </c>
      <c r="K1045" s="49"/>
    </row>
    <row r="1046" spans="1:11" x14ac:dyDescent="0.25">
      <c r="A1046" s="46" t="str" cm="1">
        <f t="array" ref="A1046">IFERROR(INDEX(#REF!,MATCH(TRUE,ISNUMBER(FIND(SUBSTITUTE(SUBSTITUTE(UPPER(#REF!)," ",""),":",": "),SUBSTITUTE(SUBSTITUTE(UPPER(S1046)," ",""),":",": "))),0)),"Undefined")</f>
        <v>Undefined</v>
      </c>
      <c r="B1046" s="42" t="str" cm="1">
        <f t="array" ref="B1046">IFERROR(INDEX({"URGENTE"},MATCH(TRUE,ISNUMBER(FIND(SUBSTITUTE(SUBSTITUTE(UPPER({"URGENTE"})," ",""),":",": "),SUBSTITUTE(SUBSTITUTE(UPPER(S1046)," ",""),":",": "))),0)),"-")</f>
        <v>-</v>
      </c>
      <c r="C1046" s="46" t="str" cm="1">
        <f t="array" ref="C1046">IFERROR(INDEX(#REF!,MATCH(TRUE,ISNUMBER(FIND(SUBSTITUTE(SUBSTITUTE(UPPER(#REF!)," ",""),":",": "),SUBSTITUTE(SUBSTITUTE(UPPER(S1046)," ",""),":",": "))),0)),"Não encontrado")</f>
        <v>Não encontrado</v>
      </c>
      <c r="D1046" s="46" t="str" cm="1">
        <f t="array" ref="D1046">IFERROR(INDEX(#REF!,MATCH(TRUE,ISNUMBER(FIND(SUBSTITUTE(SUBSTITUTE(UPPER(#REF!)," ",""),":",": "),SUBSTITUTE(SUBSTITUTE(UPPER(S1046)," ",""),":",": "))),0)),"Não encontrado")</f>
        <v>Não encontrado</v>
      </c>
      <c r="E1046" s="42" t="str" cm="1">
        <f t="array" ref="E1046">IFERROR(INDEX({"IMPEDITIVO"},MATCH(TRUE,ISNUMBER(FIND(SUBSTITUTE(SUBSTITUTE(UPPER({"IMPEDITIVO"})," ",""),":",": "),SUBSTITUTE(SUBSTITUTE(UPPER(S1046)," ",""),":",": "))),0)),"-")</f>
        <v>-</v>
      </c>
      <c r="K1046" s="49"/>
    </row>
    <row r="1047" spans="1:11" x14ac:dyDescent="0.25">
      <c r="A1047" s="46" t="str" cm="1">
        <f t="array" ref="A1047">IFERROR(INDEX(#REF!,MATCH(TRUE,ISNUMBER(FIND(SUBSTITUTE(SUBSTITUTE(UPPER(#REF!)," ",""),":",": "),SUBSTITUTE(SUBSTITUTE(UPPER(S1047)," ",""),":",": "))),0)),"Undefined")</f>
        <v>Undefined</v>
      </c>
      <c r="B1047" s="42" t="str" cm="1">
        <f t="array" ref="B1047">IFERROR(INDEX({"URGENTE"},MATCH(TRUE,ISNUMBER(FIND(SUBSTITUTE(SUBSTITUTE(UPPER({"URGENTE"})," ",""),":",": "),SUBSTITUTE(SUBSTITUTE(UPPER(S1047)," ",""),":",": "))),0)),"-")</f>
        <v>-</v>
      </c>
      <c r="C1047" s="46" t="str" cm="1">
        <f t="array" ref="C1047">IFERROR(INDEX(#REF!,MATCH(TRUE,ISNUMBER(FIND(SUBSTITUTE(SUBSTITUTE(UPPER(#REF!)," ",""),":",": "),SUBSTITUTE(SUBSTITUTE(UPPER(S1047)," ",""),":",": "))),0)),"Não encontrado")</f>
        <v>Não encontrado</v>
      </c>
      <c r="D1047" s="46" t="str" cm="1">
        <f t="array" ref="D1047">IFERROR(INDEX(#REF!,MATCH(TRUE,ISNUMBER(FIND(SUBSTITUTE(SUBSTITUTE(UPPER(#REF!)," ",""),":",": "),SUBSTITUTE(SUBSTITUTE(UPPER(S1047)," ",""),":",": "))),0)),"Não encontrado")</f>
        <v>Não encontrado</v>
      </c>
      <c r="E1047" s="42" t="str" cm="1">
        <f t="array" ref="E1047">IFERROR(INDEX({"IMPEDITIVO"},MATCH(TRUE,ISNUMBER(FIND(SUBSTITUTE(SUBSTITUTE(UPPER({"IMPEDITIVO"})," ",""),":",": "),SUBSTITUTE(SUBSTITUTE(UPPER(S1047)," ",""),":",": "))),0)),"-")</f>
        <v>-</v>
      </c>
      <c r="K1047" s="49"/>
    </row>
    <row r="1048" spans="1:11" x14ac:dyDescent="0.25">
      <c r="A1048" s="46" t="str" cm="1">
        <f t="array" ref="A1048">IFERROR(INDEX(#REF!,MATCH(TRUE,ISNUMBER(FIND(SUBSTITUTE(SUBSTITUTE(UPPER(#REF!)," ",""),":",": "),SUBSTITUTE(SUBSTITUTE(UPPER(S1048)," ",""),":",": "))),0)),"Undefined")</f>
        <v>Undefined</v>
      </c>
      <c r="B1048" s="42" t="str" cm="1">
        <f t="array" ref="B1048">IFERROR(INDEX({"URGENTE"},MATCH(TRUE,ISNUMBER(FIND(SUBSTITUTE(SUBSTITUTE(UPPER({"URGENTE"})," ",""),":",": "),SUBSTITUTE(SUBSTITUTE(UPPER(S1048)," ",""),":",": "))),0)),"-")</f>
        <v>-</v>
      </c>
      <c r="C1048" s="46" t="str" cm="1">
        <f t="array" ref="C1048">IFERROR(INDEX(#REF!,MATCH(TRUE,ISNUMBER(FIND(SUBSTITUTE(SUBSTITUTE(UPPER(#REF!)," ",""),":",": "),SUBSTITUTE(SUBSTITUTE(UPPER(S1048)," ",""),":",": "))),0)),"Não encontrado")</f>
        <v>Não encontrado</v>
      </c>
      <c r="D1048" s="46" t="str" cm="1">
        <f t="array" ref="D1048">IFERROR(INDEX(#REF!,MATCH(TRUE,ISNUMBER(FIND(SUBSTITUTE(SUBSTITUTE(UPPER(#REF!)," ",""),":",": "),SUBSTITUTE(SUBSTITUTE(UPPER(S1048)," ",""),":",": "))),0)),"Não encontrado")</f>
        <v>Não encontrado</v>
      </c>
      <c r="E1048" s="42" t="str" cm="1">
        <f t="array" ref="E1048">IFERROR(INDEX({"IMPEDITIVO"},MATCH(TRUE,ISNUMBER(FIND(SUBSTITUTE(SUBSTITUTE(UPPER({"IMPEDITIVO"})," ",""),":",": "),SUBSTITUTE(SUBSTITUTE(UPPER(S1048)," ",""),":",": "))),0)),"-")</f>
        <v>-</v>
      </c>
      <c r="K1048" s="49"/>
    </row>
    <row r="1049" spans="1:11" x14ac:dyDescent="0.25">
      <c r="A1049" s="46" t="str" cm="1">
        <f t="array" ref="A1049">IFERROR(INDEX(#REF!,MATCH(TRUE,ISNUMBER(FIND(SUBSTITUTE(SUBSTITUTE(UPPER(#REF!)," ",""),":",": "),SUBSTITUTE(SUBSTITUTE(UPPER(S1049)," ",""),":",": "))),0)),"Undefined")</f>
        <v>Undefined</v>
      </c>
      <c r="B1049" s="42" t="str" cm="1">
        <f t="array" ref="B1049">IFERROR(INDEX({"URGENTE"},MATCH(TRUE,ISNUMBER(FIND(SUBSTITUTE(SUBSTITUTE(UPPER({"URGENTE"})," ",""),":",": "),SUBSTITUTE(SUBSTITUTE(UPPER(S1049)," ",""),":",": "))),0)),"-")</f>
        <v>-</v>
      </c>
      <c r="C1049" s="46" t="str" cm="1">
        <f t="array" ref="C1049">IFERROR(INDEX(#REF!,MATCH(TRUE,ISNUMBER(FIND(SUBSTITUTE(SUBSTITUTE(UPPER(#REF!)," ",""),":",": "),SUBSTITUTE(SUBSTITUTE(UPPER(S1049)," ",""),":",": "))),0)),"Não encontrado")</f>
        <v>Não encontrado</v>
      </c>
      <c r="D1049" s="46" t="str" cm="1">
        <f t="array" ref="D1049">IFERROR(INDEX(#REF!,MATCH(TRUE,ISNUMBER(FIND(SUBSTITUTE(SUBSTITUTE(UPPER(#REF!)," ",""),":",": "),SUBSTITUTE(SUBSTITUTE(UPPER(S1049)," ",""),":",": "))),0)),"Não encontrado")</f>
        <v>Não encontrado</v>
      </c>
      <c r="E1049" s="42" t="str" cm="1">
        <f t="array" ref="E1049">IFERROR(INDEX({"IMPEDITIVO"},MATCH(TRUE,ISNUMBER(FIND(SUBSTITUTE(SUBSTITUTE(UPPER({"IMPEDITIVO"})," ",""),":",": "),SUBSTITUTE(SUBSTITUTE(UPPER(S1049)," ",""),":",": "))),0)),"-")</f>
        <v>-</v>
      </c>
      <c r="K1049" s="49"/>
    </row>
    <row r="1050" spans="1:11" x14ac:dyDescent="0.25">
      <c r="A1050" s="46" t="str" cm="1">
        <f t="array" ref="A1050">IFERROR(INDEX(#REF!,MATCH(TRUE,ISNUMBER(FIND(SUBSTITUTE(SUBSTITUTE(UPPER(#REF!)," ",""),":",": "),SUBSTITUTE(SUBSTITUTE(UPPER(S1050)," ",""),":",": "))),0)),"Undefined")</f>
        <v>Undefined</v>
      </c>
      <c r="B1050" s="42" t="str" cm="1">
        <f t="array" ref="B1050">IFERROR(INDEX({"URGENTE"},MATCH(TRUE,ISNUMBER(FIND(SUBSTITUTE(SUBSTITUTE(UPPER({"URGENTE"})," ",""),":",": "),SUBSTITUTE(SUBSTITUTE(UPPER(S1050)," ",""),":",": "))),0)),"-")</f>
        <v>-</v>
      </c>
      <c r="C1050" s="46" t="str" cm="1">
        <f t="array" ref="C1050">IFERROR(INDEX(#REF!,MATCH(TRUE,ISNUMBER(FIND(SUBSTITUTE(SUBSTITUTE(UPPER(#REF!)," ",""),":",": "),SUBSTITUTE(SUBSTITUTE(UPPER(S1050)," ",""),":",": "))),0)),"Não encontrado")</f>
        <v>Não encontrado</v>
      </c>
      <c r="D1050" s="46" t="str" cm="1">
        <f t="array" ref="D1050">IFERROR(INDEX(#REF!,MATCH(TRUE,ISNUMBER(FIND(SUBSTITUTE(SUBSTITUTE(UPPER(#REF!)," ",""),":",": "),SUBSTITUTE(SUBSTITUTE(UPPER(S1050)," ",""),":",": "))),0)),"Não encontrado")</f>
        <v>Não encontrado</v>
      </c>
      <c r="E1050" s="42" t="str" cm="1">
        <f t="array" ref="E1050">IFERROR(INDEX({"IMPEDITIVO"},MATCH(TRUE,ISNUMBER(FIND(SUBSTITUTE(SUBSTITUTE(UPPER({"IMPEDITIVO"})," ",""),":",": "),SUBSTITUTE(SUBSTITUTE(UPPER(S1050)," ",""),":",": "))),0)),"-")</f>
        <v>-</v>
      </c>
      <c r="K1050" s="49"/>
    </row>
    <row r="1051" spans="1:11" x14ac:dyDescent="0.25">
      <c r="A1051" s="46" t="str" cm="1">
        <f t="array" ref="A1051">IFERROR(INDEX(#REF!,MATCH(TRUE,ISNUMBER(FIND(SUBSTITUTE(SUBSTITUTE(UPPER(#REF!)," ",""),":",": "),SUBSTITUTE(SUBSTITUTE(UPPER(S1051)," ",""),":",": "))),0)),"Undefined")</f>
        <v>Undefined</v>
      </c>
      <c r="B1051" s="42" t="str" cm="1">
        <f t="array" ref="B1051">IFERROR(INDEX({"URGENTE"},MATCH(TRUE,ISNUMBER(FIND(SUBSTITUTE(SUBSTITUTE(UPPER({"URGENTE"})," ",""),":",": "),SUBSTITUTE(SUBSTITUTE(UPPER(S1051)," ",""),":",": "))),0)),"-")</f>
        <v>-</v>
      </c>
      <c r="C1051" s="46" t="str" cm="1">
        <f t="array" ref="C1051">IFERROR(INDEX(#REF!,MATCH(TRUE,ISNUMBER(FIND(SUBSTITUTE(SUBSTITUTE(UPPER(#REF!)," ",""),":",": "),SUBSTITUTE(SUBSTITUTE(UPPER(S1051)," ",""),":",": "))),0)),"Não encontrado")</f>
        <v>Não encontrado</v>
      </c>
      <c r="D1051" s="46" t="str" cm="1">
        <f t="array" ref="D1051">IFERROR(INDEX(#REF!,MATCH(TRUE,ISNUMBER(FIND(SUBSTITUTE(SUBSTITUTE(UPPER(#REF!)," ",""),":",": "),SUBSTITUTE(SUBSTITUTE(UPPER(S1051)," ",""),":",": "))),0)),"Não encontrado")</f>
        <v>Não encontrado</v>
      </c>
      <c r="E1051" s="42" t="str" cm="1">
        <f t="array" ref="E1051">IFERROR(INDEX({"IMPEDITIVO"},MATCH(TRUE,ISNUMBER(FIND(SUBSTITUTE(SUBSTITUTE(UPPER({"IMPEDITIVO"})," ",""),":",": "),SUBSTITUTE(SUBSTITUTE(UPPER(S1051)," ",""),":",": "))),0)),"-")</f>
        <v>-</v>
      </c>
      <c r="K1051" s="49"/>
    </row>
    <row r="1052" spans="1:11" x14ac:dyDescent="0.25">
      <c r="A1052" s="46" t="str" cm="1">
        <f t="array" ref="A1052">IFERROR(INDEX(#REF!,MATCH(TRUE,ISNUMBER(FIND(SUBSTITUTE(SUBSTITUTE(UPPER(#REF!)," ",""),":",": "),SUBSTITUTE(SUBSTITUTE(UPPER(S1052)," ",""),":",": "))),0)),"Undefined")</f>
        <v>Undefined</v>
      </c>
      <c r="B1052" s="42" t="str" cm="1">
        <f t="array" ref="B1052">IFERROR(INDEX({"URGENTE"},MATCH(TRUE,ISNUMBER(FIND(SUBSTITUTE(SUBSTITUTE(UPPER({"URGENTE"})," ",""),":",": "),SUBSTITUTE(SUBSTITUTE(UPPER(S1052)," ",""),":",": "))),0)),"-")</f>
        <v>-</v>
      </c>
      <c r="C1052" s="46" t="str" cm="1">
        <f t="array" ref="C1052">IFERROR(INDEX(#REF!,MATCH(TRUE,ISNUMBER(FIND(SUBSTITUTE(SUBSTITUTE(UPPER(#REF!)," ",""),":",": "),SUBSTITUTE(SUBSTITUTE(UPPER(S1052)," ",""),":",": "))),0)),"Não encontrado")</f>
        <v>Não encontrado</v>
      </c>
      <c r="D1052" s="46" t="str" cm="1">
        <f t="array" ref="D1052">IFERROR(INDEX(#REF!,MATCH(TRUE,ISNUMBER(FIND(SUBSTITUTE(SUBSTITUTE(UPPER(#REF!)," ",""),":",": "),SUBSTITUTE(SUBSTITUTE(UPPER(S1052)," ",""),":",": "))),0)),"Não encontrado")</f>
        <v>Não encontrado</v>
      </c>
      <c r="E1052" s="42" t="str" cm="1">
        <f t="array" ref="E1052">IFERROR(INDEX({"IMPEDITIVO"},MATCH(TRUE,ISNUMBER(FIND(SUBSTITUTE(SUBSTITUTE(UPPER({"IMPEDITIVO"})," ",""),":",": "),SUBSTITUTE(SUBSTITUTE(UPPER(S1052)," ",""),":",": "))),0)),"-")</f>
        <v>-</v>
      </c>
      <c r="K1052" s="49"/>
    </row>
    <row r="1053" spans="1:11" x14ac:dyDescent="0.25">
      <c r="A1053" s="46" t="str" cm="1">
        <f t="array" ref="A1053">IFERROR(INDEX(#REF!,MATCH(TRUE,ISNUMBER(FIND(SUBSTITUTE(SUBSTITUTE(UPPER(#REF!)," ",""),":",": "),SUBSTITUTE(SUBSTITUTE(UPPER(S1053)," ",""),":",": "))),0)),"Undefined")</f>
        <v>Undefined</v>
      </c>
      <c r="B1053" s="42" t="str" cm="1">
        <f t="array" ref="B1053">IFERROR(INDEX({"URGENTE"},MATCH(TRUE,ISNUMBER(FIND(SUBSTITUTE(SUBSTITUTE(UPPER({"URGENTE"})," ",""),":",": "),SUBSTITUTE(SUBSTITUTE(UPPER(S1053)," ",""),":",": "))),0)),"-")</f>
        <v>-</v>
      </c>
      <c r="C1053" s="46" t="str" cm="1">
        <f t="array" ref="C1053">IFERROR(INDEX(#REF!,MATCH(TRUE,ISNUMBER(FIND(SUBSTITUTE(SUBSTITUTE(UPPER(#REF!)," ",""),":",": "),SUBSTITUTE(SUBSTITUTE(UPPER(S1053)," ",""),":",": "))),0)),"Não encontrado")</f>
        <v>Não encontrado</v>
      </c>
      <c r="D1053" s="46" t="str" cm="1">
        <f t="array" ref="D1053">IFERROR(INDEX(#REF!,MATCH(TRUE,ISNUMBER(FIND(SUBSTITUTE(SUBSTITUTE(UPPER(#REF!)," ",""),":",": "),SUBSTITUTE(SUBSTITUTE(UPPER(S1053)," ",""),":",": "))),0)),"Não encontrado")</f>
        <v>Não encontrado</v>
      </c>
      <c r="E1053" s="42" t="str" cm="1">
        <f t="array" ref="E1053">IFERROR(INDEX({"IMPEDITIVO"},MATCH(TRUE,ISNUMBER(FIND(SUBSTITUTE(SUBSTITUTE(UPPER({"IMPEDITIVO"})," ",""),":",": "),SUBSTITUTE(SUBSTITUTE(UPPER(S1053)," ",""),":",": "))),0)),"-")</f>
        <v>-</v>
      </c>
      <c r="K1053" s="49"/>
    </row>
    <row r="1054" spans="1:11" x14ac:dyDescent="0.25">
      <c r="A1054" s="46" t="str" cm="1">
        <f t="array" ref="A1054">IFERROR(INDEX(#REF!,MATCH(TRUE,ISNUMBER(FIND(SUBSTITUTE(SUBSTITUTE(UPPER(#REF!)," ",""),":",": "),SUBSTITUTE(SUBSTITUTE(UPPER(S1054)," ",""),":",": "))),0)),"Undefined")</f>
        <v>Undefined</v>
      </c>
      <c r="B1054" s="42" t="str" cm="1">
        <f t="array" ref="B1054">IFERROR(INDEX({"URGENTE"},MATCH(TRUE,ISNUMBER(FIND(SUBSTITUTE(SUBSTITUTE(UPPER({"URGENTE"})," ",""),":",": "),SUBSTITUTE(SUBSTITUTE(UPPER(S1054)," ",""),":",": "))),0)),"-")</f>
        <v>-</v>
      </c>
      <c r="C1054" s="46" t="str" cm="1">
        <f t="array" ref="C1054">IFERROR(INDEX(#REF!,MATCH(TRUE,ISNUMBER(FIND(SUBSTITUTE(SUBSTITUTE(UPPER(#REF!)," ",""),":",": "),SUBSTITUTE(SUBSTITUTE(UPPER(S1054)," ",""),":",": "))),0)),"Não encontrado")</f>
        <v>Não encontrado</v>
      </c>
      <c r="D1054" s="46" t="str" cm="1">
        <f t="array" ref="D1054">IFERROR(INDEX(#REF!,MATCH(TRUE,ISNUMBER(FIND(SUBSTITUTE(SUBSTITUTE(UPPER(#REF!)," ",""),":",": "),SUBSTITUTE(SUBSTITUTE(UPPER(S1054)," ",""),":",": "))),0)),"Não encontrado")</f>
        <v>Não encontrado</v>
      </c>
      <c r="E1054" s="42" t="str" cm="1">
        <f t="array" ref="E1054">IFERROR(INDEX({"IMPEDITIVO"},MATCH(TRUE,ISNUMBER(FIND(SUBSTITUTE(SUBSTITUTE(UPPER({"IMPEDITIVO"})," ",""),":",": "),SUBSTITUTE(SUBSTITUTE(UPPER(S1054)," ",""),":",": "))),0)),"-")</f>
        <v>-</v>
      </c>
      <c r="K1054" s="49"/>
    </row>
    <row r="1055" spans="1:11" x14ac:dyDescent="0.25">
      <c r="A1055" s="46" t="str" cm="1">
        <f t="array" ref="A1055">IFERROR(INDEX(#REF!,MATCH(TRUE,ISNUMBER(FIND(SUBSTITUTE(SUBSTITUTE(UPPER(#REF!)," ",""),":",": "),SUBSTITUTE(SUBSTITUTE(UPPER(S1055)," ",""),":",": "))),0)),"Undefined")</f>
        <v>Undefined</v>
      </c>
      <c r="B1055" s="42" t="str" cm="1">
        <f t="array" ref="B1055">IFERROR(INDEX({"URGENTE"},MATCH(TRUE,ISNUMBER(FIND(SUBSTITUTE(SUBSTITUTE(UPPER({"URGENTE"})," ",""),":",": "),SUBSTITUTE(SUBSTITUTE(UPPER(S1055)," ",""),":",": "))),0)),"-")</f>
        <v>-</v>
      </c>
      <c r="C1055" s="46" t="str" cm="1">
        <f t="array" ref="C1055">IFERROR(INDEX(#REF!,MATCH(TRUE,ISNUMBER(FIND(SUBSTITUTE(SUBSTITUTE(UPPER(#REF!)," ",""),":",": "),SUBSTITUTE(SUBSTITUTE(UPPER(S1055)," ",""),":",": "))),0)),"Não encontrado")</f>
        <v>Não encontrado</v>
      </c>
      <c r="D1055" s="46" t="str" cm="1">
        <f t="array" ref="D1055">IFERROR(INDEX(#REF!,MATCH(TRUE,ISNUMBER(FIND(SUBSTITUTE(SUBSTITUTE(UPPER(#REF!)," ",""),":",": "),SUBSTITUTE(SUBSTITUTE(UPPER(S1055)," ",""),":",": "))),0)),"Não encontrado")</f>
        <v>Não encontrado</v>
      </c>
      <c r="E1055" s="42" t="str" cm="1">
        <f t="array" ref="E1055">IFERROR(INDEX({"IMPEDITIVO"},MATCH(TRUE,ISNUMBER(FIND(SUBSTITUTE(SUBSTITUTE(UPPER({"IMPEDITIVO"})," ",""),":",": "),SUBSTITUTE(SUBSTITUTE(UPPER(S1055)," ",""),":",": "))),0)),"-")</f>
        <v>-</v>
      </c>
      <c r="K1055" s="49"/>
    </row>
    <row r="1056" spans="1:11" x14ac:dyDescent="0.25">
      <c r="A1056" s="46" t="str" cm="1">
        <f t="array" ref="A1056">IFERROR(INDEX(#REF!,MATCH(TRUE,ISNUMBER(FIND(SUBSTITUTE(SUBSTITUTE(UPPER(#REF!)," ",""),":",": "),SUBSTITUTE(SUBSTITUTE(UPPER(S1056)," ",""),":",": "))),0)),"Undefined")</f>
        <v>Undefined</v>
      </c>
      <c r="B1056" s="42" t="str" cm="1">
        <f t="array" ref="B1056">IFERROR(INDEX({"URGENTE"},MATCH(TRUE,ISNUMBER(FIND(SUBSTITUTE(SUBSTITUTE(UPPER({"URGENTE"})," ",""),":",": "),SUBSTITUTE(SUBSTITUTE(UPPER(S1056)," ",""),":",": "))),0)),"-")</f>
        <v>-</v>
      </c>
      <c r="C1056" s="46" t="str" cm="1">
        <f t="array" ref="C1056">IFERROR(INDEX(#REF!,MATCH(TRUE,ISNUMBER(FIND(SUBSTITUTE(SUBSTITUTE(UPPER(#REF!)," ",""),":",": "),SUBSTITUTE(SUBSTITUTE(UPPER(S1056)," ",""),":",": "))),0)),"Não encontrado")</f>
        <v>Não encontrado</v>
      </c>
      <c r="D1056" s="46" t="str" cm="1">
        <f t="array" ref="D1056">IFERROR(INDEX(#REF!,MATCH(TRUE,ISNUMBER(FIND(SUBSTITUTE(SUBSTITUTE(UPPER(#REF!)," ",""),":",": "),SUBSTITUTE(SUBSTITUTE(UPPER(S1056)," ",""),":",": "))),0)),"Não encontrado")</f>
        <v>Não encontrado</v>
      </c>
      <c r="E1056" s="42" t="str" cm="1">
        <f t="array" ref="E1056">IFERROR(INDEX({"IMPEDITIVO"},MATCH(TRUE,ISNUMBER(FIND(SUBSTITUTE(SUBSTITUTE(UPPER({"IMPEDITIVO"})," ",""),":",": "),SUBSTITUTE(SUBSTITUTE(UPPER(S1056)," ",""),":",": "))),0)),"-")</f>
        <v>-</v>
      </c>
      <c r="K1056" s="49"/>
    </row>
    <row r="1057" spans="1:11" x14ac:dyDescent="0.25">
      <c r="A1057" s="46" t="str" cm="1">
        <f t="array" ref="A1057">IFERROR(INDEX(#REF!,MATCH(TRUE,ISNUMBER(FIND(SUBSTITUTE(SUBSTITUTE(UPPER(#REF!)," ",""),":",": "),SUBSTITUTE(SUBSTITUTE(UPPER(S1057)," ",""),":",": "))),0)),"Undefined")</f>
        <v>Undefined</v>
      </c>
      <c r="B1057" s="42" t="str" cm="1">
        <f t="array" ref="B1057">IFERROR(INDEX({"URGENTE"},MATCH(TRUE,ISNUMBER(FIND(SUBSTITUTE(SUBSTITUTE(UPPER({"URGENTE"})," ",""),":",": "),SUBSTITUTE(SUBSTITUTE(UPPER(S1057)," ",""),":",": "))),0)),"-")</f>
        <v>-</v>
      </c>
      <c r="C1057" s="46" t="str" cm="1">
        <f t="array" ref="C1057">IFERROR(INDEX(#REF!,MATCH(TRUE,ISNUMBER(FIND(SUBSTITUTE(SUBSTITUTE(UPPER(#REF!)," ",""),":",": "),SUBSTITUTE(SUBSTITUTE(UPPER(S1057)," ",""),":",": "))),0)),"Não encontrado")</f>
        <v>Não encontrado</v>
      </c>
      <c r="D1057" s="46" t="str" cm="1">
        <f t="array" ref="D1057">IFERROR(INDEX(#REF!,MATCH(TRUE,ISNUMBER(FIND(SUBSTITUTE(SUBSTITUTE(UPPER(#REF!)," ",""),":",": "),SUBSTITUTE(SUBSTITUTE(UPPER(S1057)," ",""),":",": "))),0)),"Não encontrado")</f>
        <v>Não encontrado</v>
      </c>
      <c r="E1057" s="42" t="str" cm="1">
        <f t="array" ref="E1057">IFERROR(INDEX({"IMPEDITIVO"},MATCH(TRUE,ISNUMBER(FIND(SUBSTITUTE(SUBSTITUTE(UPPER({"IMPEDITIVO"})," ",""),":",": "),SUBSTITUTE(SUBSTITUTE(UPPER(S1057)," ",""),":",": "))),0)),"-")</f>
        <v>-</v>
      </c>
      <c r="K1057" s="49"/>
    </row>
    <row r="1058" spans="1:11" x14ac:dyDescent="0.25">
      <c r="A1058" s="46" t="str" cm="1">
        <f t="array" ref="A1058">IFERROR(INDEX(#REF!,MATCH(TRUE,ISNUMBER(FIND(SUBSTITUTE(SUBSTITUTE(UPPER(#REF!)," ",""),":",": "),SUBSTITUTE(SUBSTITUTE(UPPER(S1058)," ",""),":",": "))),0)),"Undefined")</f>
        <v>Undefined</v>
      </c>
      <c r="B1058" s="42" t="str" cm="1">
        <f t="array" ref="B1058">IFERROR(INDEX({"URGENTE"},MATCH(TRUE,ISNUMBER(FIND(SUBSTITUTE(SUBSTITUTE(UPPER({"URGENTE"})," ",""),":",": "),SUBSTITUTE(SUBSTITUTE(UPPER(S1058)," ",""),":",": "))),0)),"-")</f>
        <v>-</v>
      </c>
      <c r="C1058" s="46" t="str" cm="1">
        <f t="array" ref="C1058">IFERROR(INDEX(#REF!,MATCH(TRUE,ISNUMBER(FIND(SUBSTITUTE(SUBSTITUTE(UPPER(#REF!)," ",""),":",": "),SUBSTITUTE(SUBSTITUTE(UPPER(S1058)," ",""),":",": "))),0)),"Não encontrado")</f>
        <v>Não encontrado</v>
      </c>
      <c r="D1058" s="46" t="str" cm="1">
        <f t="array" ref="D1058">IFERROR(INDEX(#REF!,MATCH(TRUE,ISNUMBER(FIND(SUBSTITUTE(SUBSTITUTE(UPPER(#REF!)," ",""),":",": "),SUBSTITUTE(SUBSTITUTE(UPPER(S1058)," ",""),":",": "))),0)),"Não encontrado")</f>
        <v>Não encontrado</v>
      </c>
      <c r="E1058" s="42" t="str" cm="1">
        <f t="array" ref="E1058">IFERROR(INDEX({"IMPEDITIVO"},MATCH(TRUE,ISNUMBER(FIND(SUBSTITUTE(SUBSTITUTE(UPPER({"IMPEDITIVO"})," ",""),":",": "),SUBSTITUTE(SUBSTITUTE(UPPER(S1058)," ",""),":",": "))),0)),"-")</f>
        <v>-</v>
      </c>
      <c r="K1058" s="49"/>
    </row>
    <row r="1059" spans="1:11" x14ac:dyDescent="0.25">
      <c r="A1059" s="46" t="str" cm="1">
        <f t="array" ref="A1059">IFERROR(INDEX(#REF!,MATCH(TRUE,ISNUMBER(FIND(SUBSTITUTE(SUBSTITUTE(UPPER(#REF!)," ",""),":",": "),SUBSTITUTE(SUBSTITUTE(UPPER(S1059)," ",""),":",": "))),0)),"Undefined")</f>
        <v>Undefined</v>
      </c>
      <c r="B1059" s="42" t="str" cm="1">
        <f t="array" ref="B1059">IFERROR(INDEX({"URGENTE"},MATCH(TRUE,ISNUMBER(FIND(SUBSTITUTE(SUBSTITUTE(UPPER({"URGENTE"})," ",""),":",": "),SUBSTITUTE(SUBSTITUTE(UPPER(S1059)," ",""),":",": "))),0)),"-")</f>
        <v>-</v>
      </c>
      <c r="C1059" s="46" t="str" cm="1">
        <f t="array" ref="C1059">IFERROR(INDEX(#REF!,MATCH(TRUE,ISNUMBER(FIND(SUBSTITUTE(SUBSTITUTE(UPPER(#REF!)," ",""),":",": "),SUBSTITUTE(SUBSTITUTE(UPPER(S1059)," ",""),":",": "))),0)),"Não encontrado")</f>
        <v>Não encontrado</v>
      </c>
      <c r="D1059" s="46" t="str" cm="1">
        <f t="array" ref="D1059">IFERROR(INDEX(#REF!,MATCH(TRUE,ISNUMBER(FIND(SUBSTITUTE(SUBSTITUTE(UPPER(#REF!)," ",""),":",": "),SUBSTITUTE(SUBSTITUTE(UPPER(S1059)," ",""),":",": "))),0)),"Não encontrado")</f>
        <v>Não encontrado</v>
      </c>
      <c r="E1059" s="42" t="str" cm="1">
        <f t="array" ref="E1059">IFERROR(INDEX({"IMPEDITIVO"},MATCH(TRUE,ISNUMBER(FIND(SUBSTITUTE(SUBSTITUTE(UPPER({"IMPEDITIVO"})," ",""),":",": "),SUBSTITUTE(SUBSTITUTE(UPPER(S1059)," ",""),":",": "))),0)),"-")</f>
        <v>-</v>
      </c>
      <c r="K1059" s="49"/>
    </row>
    <row r="1060" spans="1:11" x14ac:dyDescent="0.25">
      <c r="A1060" s="46" t="str" cm="1">
        <f t="array" ref="A1060">IFERROR(INDEX(#REF!,MATCH(TRUE,ISNUMBER(FIND(SUBSTITUTE(SUBSTITUTE(UPPER(#REF!)," ",""),":",": "),SUBSTITUTE(SUBSTITUTE(UPPER(S1060)," ",""),":",": "))),0)),"Undefined")</f>
        <v>Undefined</v>
      </c>
      <c r="B1060" s="42" t="str" cm="1">
        <f t="array" ref="B1060">IFERROR(INDEX({"URGENTE"},MATCH(TRUE,ISNUMBER(FIND(SUBSTITUTE(SUBSTITUTE(UPPER({"URGENTE"})," ",""),":",": "),SUBSTITUTE(SUBSTITUTE(UPPER(S1060)," ",""),":",": "))),0)),"-")</f>
        <v>-</v>
      </c>
      <c r="C1060" s="46" t="str" cm="1">
        <f t="array" ref="C1060">IFERROR(INDEX(#REF!,MATCH(TRUE,ISNUMBER(FIND(SUBSTITUTE(SUBSTITUTE(UPPER(#REF!)," ",""),":",": "),SUBSTITUTE(SUBSTITUTE(UPPER(S1060)," ",""),":",": "))),0)),"Não encontrado")</f>
        <v>Não encontrado</v>
      </c>
      <c r="D1060" s="46" t="str" cm="1">
        <f t="array" ref="D1060">IFERROR(INDEX(#REF!,MATCH(TRUE,ISNUMBER(FIND(SUBSTITUTE(SUBSTITUTE(UPPER(#REF!)," ",""),":",": "),SUBSTITUTE(SUBSTITUTE(UPPER(S1060)," ",""),":",": "))),0)),"Não encontrado")</f>
        <v>Não encontrado</v>
      </c>
      <c r="E1060" s="42" t="str" cm="1">
        <f t="array" ref="E1060">IFERROR(INDEX({"IMPEDITIVO"},MATCH(TRUE,ISNUMBER(FIND(SUBSTITUTE(SUBSTITUTE(UPPER({"IMPEDITIVO"})," ",""),":",": "),SUBSTITUTE(SUBSTITUTE(UPPER(S1060)," ",""),":",": "))),0)),"-")</f>
        <v>-</v>
      </c>
      <c r="K1060" s="49"/>
    </row>
    <row r="1061" spans="1:11" x14ac:dyDescent="0.25">
      <c r="A1061" s="46" t="str" cm="1">
        <f t="array" ref="A1061">IFERROR(INDEX(#REF!,MATCH(TRUE,ISNUMBER(FIND(SUBSTITUTE(SUBSTITUTE(UPPER(#REF!)," ",""),":",": "),SUBSTITUTE(SUBSTITUTE(UPPER(S1061)," ",""),":",": "))),0)),"Undefined")</f>
        <v>Undefined</v>
      </c>
      <c r="B1061" s="42" t="str" cm="1">
        <f t="array" ref="B1061">IFERROR(INDEX({"URGENTE"},MATCH(TRUE,ISNUMBER(FIND(SUBSTITUTE(SUBSTITUTE(UPPER({"URGENTE"})," ",""),":",": "),SUBSTITUTE(SUBSTITUTE(UPPER(S1061)," ",""),":",": "))),0)),"-")</f>
        <v>-</v>
      </c>
      <c r="C1061" s="46" t="str" cm="1">
        <f t="array" ref="C1061">IFERROR(INDEX(#REF!,MATCH(TRUE,ISNUMBER(FIND(SUBSTITUTE(SUBSTITUTE(UPPER(#REF!)," ",""),":",": "),SUBSTITUTE(SUBSTITUTE(UPPER(S1061)," ",""),":",": "))),0)),"Não encontrado")</f>
        <v>Não encontrado</v>
      </c>
      <c r="D1061" s="46" t="str" cm="1">
        <f t="array" ref="D1061">IFERROR(INDEX(#REF!,MATCH(TRUE,ISNUMBER(FIND(SUBSTITUTE(SUBSTITUTE(UPPER(#REF!)," ",""),":",": "),SUBSTITUTE(SUBSTITUTE(UPPER(S1061)," ",""),":",": "))),0)),"Não encontrado")</f>
        <v>Não encontrado</v>
      </c>
      <c r="E1061" s="42" t="str" cm="1">
        <f t="array" ref="E1061">IFERROR(INDEX({"IMPEDITIVO"},MATCH(TRUE,ISNUMBER(FIND(SUBSTITUTE(SUBSTITUTE(UPPER({"IMPEDITIVO"})," ",""),":",": "),SUBSTITUTE(SUBSTITUTE(UPPER(S1061)," ",""),":",": "))),0)),"-")</f>
        <v>-</v>
      </c>
      <c r="K1061" s="49"/>
    </row>
    <row r="1062" spans="1:11" x14ac:dyDescent="0.25">
      <c r="A1062" s="46" t="str" cm="1">
        <f t="array" ref="A1062">IFERROR(INDEX(#REF!,MATCH(TRUE,ISNUMBER(FIND(SUBSTITUTE(SUBSTITUTE(UPPER(#REF!)," ",""),":",": "),SUBSTITUTE(SUBSTITUTE(UPPER(S1062)," ",""),":",": "))),0)),"Undefined")</f>
        <v>Undefined</v>
      </c>
      <c r="B1062" s="42" t="str" cm="1">
        <f t="array" ref="B1062">IFERROR(INDEX({"URGENTE"},MATCH(TRUE,ISNUMBER(FIND(SUBSTITUTE(SUBSTITUTE(UPPER({"URGENTE"})," ",""),":",": "),SUBSTITUTE(SUBSTITUTE(UPPER(S1062)," ",""),":",": "))),0)),"-")</f>
        <v>-</v>
      </c>
      <c r="C1062" s="46" t="str" cm="1">
        <f t="array" ref="C1062">IFERROR(INDEX(#REF!,MATCH(TRUE,ISNUMBER(FIND(SUBSTITUTE(SUBSTITUTE(UPPER(#REF!)," ",""),":",": "),SUBSTITUTE(SUBSTITUTE(UPPER(S1062)," ",""),":",": "))),0)),"Não encontrado")</f>
        <v>Não encontrado</v>
      </c>
      <c r="D1062" s="46" t="str" cm="1">
        <f t="array" ref="D1062">IFERROR(INDEX(#REF!,MATCH(TRUE,ISNUMBER(FIND(SUBSTITUTE(SUBSTITUTE(UPPER(#REF!)," ",""),":",": "),SUBSTITUTE(SUBSTITUTE(UPPER(S1062)," ",""),":",": "))),0)),"Não encontrado")</f>
        <v>Não encontrado</v>
      </c>
      <c r="E1062" s="42" t="str" cm="1">
        <f t="array" ref="E1062">IFERROR(INDEX({"IMPEDITIVO"},MATCH(TRUE,ISNUMBER(FIND(SUBSTITUTE(SUBSTITUTE(UPPER({"IMPEDITIVO"})," ",""),":",": "),SUBSTITUTE(SUBSTITUTE(UPPER(S1062)," ",""),":",": "))),0)),"-")</f>
        <v>-</v>
      </c>
      <c r="K1062" s="49"/>
    </row>
    <row r="1063" spans="1:11" x14ac:dyDescent="0.25">
      <c r="A1063" s="46" t="str" cm="1">
        <f t="array" ref="A1063">IFERROR(INDEX(#REF!,MATCH(TRUE,ISNUMBER(FIND(SUBSTITUTE(SUBSTITUTE(UPPER(#REF!)," ",""),":",": "),SUBSTITUTE(SUBSTITUTE(UPPER(S1063)," ",""),":",": "))),0)),"Undefined")</f>
        <v>Undefined</v>
      </c>
      <c r="B1063" s="42" t="str" cm="1">
        <f t="array" ref="B1063">IFERROR(INDEX({"URGENTE"},MATCH(TRUE,ISNUMBER(FIND(SUBSTITUTE(SUBSTITUTE(UPPER({"URGENTE"})," ",""),":",": "),SUBSTITUTE(SUBSTITUTE(UPPER(S1063)," ",""),":",": "))),0)),"-")</f>
        <v>-</v>
      </c>
      <c r="C1063" s="46" t="str" cm="1">
        <f t="array" ref="C1063">IFERROR(INDEX(#REF!,MATCH(TRUE,ISNUMBER(FIND(SUBSTITUTE(SUBSTITUTE(UPPER(#REF!)," ",""),":",": "),SUBSTITUTE(SUBSTITUTE(UPPER(S1063)," ",""),":",": "))),0)),"Não encontrado")</f>
        <v>Não encontrado</v>
      </c>
      <c r="D1063" s="46" t="str" cm="1">
        <f t="array" ref="D1063">IFERROR(INDEX(#REF!,MATCH(TRUE,ISNUMBER(FIND(SUBSTITUTE(SUBSTITUTE(UPPER(#REF!)," ",""),":",": "),SUBSTITUTE(SUBSTITUTE(UPPER(S1063)," ",""),":",": "))),0)),"Não encontrado")</f>
        <v>Não encontrado</v>
      </c>
      <c r="E1063" s="42" t="str" cm="1">
        <f t="array" ref="E1063">IFERROR(INDEX({"IMPEDITIVO"},MATCH(TRUE,ISNUMBER(FIND(SUBSTITUTE(SUBSTITUTE(UPPER({"IMPEDITIVO"})," ",""),":",": "),SUBSTITUTE(SUBSTITUTE(UPPER(S1063)," ",""),":",": "))),0)),"-")</f>
        <v>-</v>
      </c>
      <c r="K1063" s="49"/>
    </row>
    <row r="1064" spans="1:11" x14ac:dyDescent="0.25">
      <c r="A1064" s="46" t="str" cm="1">
        <f t="array" ref="A1064">IFERROR(INDEX(#REF!,MATCH(TRUE,ISNUMBER(FIND(SUBSTITUTE(SUBSTITUTE(UPPER(#REF!)," ",""),":",": "),SUBSTITUTE(SUBSTITUTE(UPPER(S1064)," ",""),":",": "))),0)),"Undefined")</f>
        <v>Undefined</v>
      </c>
      <c r="B1064" s="42" t="str" cm="1">
        <f t="array" ref="B1064">IFERROR(INDEX({"URGENTE"},MATCH(TRUE,ISNUMBER(FIND(SUBSTITUTE(SUBSTITUTE(UPPER({"URGENTE"})," ",""),":",": "),SUBSTITUTE(SUBSTITUTE(UPPER(S1064)," ",""),":",": "))),0)),"-")</f>
        <v>-</v>
      </c>
      <c r="C1064" s="46" t="str" cm="1">
        <f t="array" ref="C1064">IFERROR(INDEX(#REF!,MATCH(TRUE,ISNUMBER(FIND(SUBSTITUTE(SUBSTITUTE(UPPER(#REF!)," ",""),":",": "),SUBSTITUTE(SUBSTITUTE(UPPER(S1064)," ",""),":",": "))),0)),"Não encontrado")</f>
        <v>Não encontrado</v>
      </c>
      <c r="D1064" s="46" t="str" cm="1">
        <f t="array" ref="D1064">IFERROR(INDEX(#REF!,MATCH(TRUE,ISNUMBER(FIND(SUBSTITUTE(SUBSTITUTE(UPPER(#REF!)," ",""),":",": "),SUBSTITUTE(SUBSTITUTE(UPPER(S1064)," ",""),":",": "))),0)),"Não encontrado")</f>
        <v>Não encontrado</v>
      </c>
      <c r="E1064" s="42" t="str" cm="1">
        <f t="array" ref="E1064">IFERROR(INDEX({"IMPEDITIVO"},MATCH(TRUE,ISNUMBER(FIND(SUBSTITUTE(SUBSTITUTE(UPPER({"IMPEDITIVO"})," ",""),":",": "),SUBSTITUTE(SUBSTITUTE(UPPER(S1064)," ",""),":",": "))),0)),"-")</f>
        <v>-</v>
      </c>
      <c r="K1064" s="49"/>
    </row>
    <row r="1065" spans="1:11" x14ac:dyDescent="0.25">
      <c r="A1065" s="46" t="str" cm="1">
        <f t="array" ref="A1065">IFERROR(INDEX(#REF!,MATCH(TRUE,ISNUMBER(FIND(SUBSTITUTE(SUBSTITUTE(UPPER(#REF!)," ",""),":",": "),SUBSTITUTE(SUBSTITUTE(UPPER(S1065)," ",""),":",": "))),0)),"Undefined")</f>
        <v>Undefined</v>
      </c>
      <c r="B1065" s="42" t="str" cm="1">
        <f t="array" ref="B1065">IFERROR(INDEX({"URGENTE"},MATCH(TRUE,ISNUMBER(FIND(SUBSTITUTE(SUBSTITUTE(UPPER({"URGENTE"})," ",""),":",": "),SUBSTITUTE(SUBSTITUTE(UPPER(S1065)," ",""),":",": "))),0)),"-")</f>
        <v>-</v>
      </c>
      <c r="C1065" s="46" t="str" cm="1">
        <f t="array" ref="C1065">IFERROR(INDEX(#REF!,MATCH(TRUE,ISNUMBER(FIND(SUBSTITUTE(SUBSTITUTE(UPPER(#REF!)," ",""),":",": "),SUBSTITUTE(SUBSTITUTE(UPPER(S1065)," ",""),":",": "))),0)),"Não encontrado")</f>
        <v>Não encontrado</v>
      </c>
      <c r="D1065" s="46" t="str" cm="1">
        <f t="array" ref="D1065">IFERROR(INDEX(#REF!,MATCH(TRUE,ISNUMBER(FIND(SUBSTITUTE(SUBSTITUTE(UPPER(#REF!)," ",""),":",": "),SUBSTITUTE(SUBSTITUTE(UPPER(S1065)," ",""),":",": "))),0)),"Não encontrado")</f>
        <v>Não encontrado</v>
      </c>
      <c r="E1065" s="42" t="str" cm="1">
        <f t="array" ref="E1065">IFERROR(INDEX({"IMPEDITIVO"},MATCH(TRUE,ISNUMBER(FIND(SUBSTITUTE(SUBSTITUTE(UPPER({"IMPEDITIVO"})," ",""),":",": "),SUBSTITUTE(SUBSTITUTE(UPPER(S1065)," ",""),":",": "))),0)),"-")</f>
        <v>-</v>
      </c>
      <c r="K1065" s="49"/>
    </row>
    <row r="1066" spans="1:11" x14ac:dyDescent="0.25">
      <c r="A1066" s="46" t="str" cm="1">
        <f t="array" ref="A1066">IFERROR(INDEX(#REF!,MATCH(TRUE,ISNUMBER(FIND(SUBSTITUTE(SUBSTITUTE(UPPER(#REF!)," ",""),":",": "),SUBSTITUTE(SUBSTITUTE(UPPER(S1066)," ",""),":",": "))),0)),"Undefined")</f>
        <v>Undefined</v>
      </c>
      <c r="B1066" s="42" t="str" cm="1">
        <f t="array" ref="B1066">IFERROR(INDEX({"URGENTE"},MATCH(TRUE,ISNUMBER(FIND(SUBSTITUTE(SUBSTITUTE(UPPER({"URGENTE"})," ",""),":",": "),SUBSTITUTE(SUBSTITUTE(UPPER(S1066)," ",""),":",": "))),0)),"-")</f>
        <v>-</v>
      </c>
      <c r="C1066" s="46" t="str" cm="1">
        <f t="array" ref="C1066">IFERROR(INDEX(#REF!,MATCH(TRUE,ISNUMBER(FIND(SUBSTITUTE(SUBSTITUTE(UPPER(#REF!)," ",""),":",": "),SUBSTITUTE(SUBSTITUTE(UPPER(S1066)," ",""),":",": "))),0)),"Não encontrado")</f>
        <v>Não encontrado</v>
      </c>
      <c r="D1066" s="46" t="str" cm="1">
        <f t="array" ref="D1066">IFERROR(INDEX(#REF!,MATCH(TRUE,ISNUMBER(FIND(SUBSTITUTE(SUBSTITUTE(UPPER(#REF!)," ",""),":",": "),SUBSTITUTE(SUBSTITUTE(UPPER(S1066)," ",""),":",": "))),0)),"Não encontrado")</f>
        <v>Não encontrado</v>
      </c>
      <c r="E1066" s="42" t="str" cm="1">
        <f t="array" ref="E1066">IFERROR(INDEX({"IMPEDITIVO"},MATCH(TRUE,ISNUMBER(FIND(SUBSTITUTE(SUBSTITUTE(UPPER({"IMPEDITIVO"})," ",""),":",": "),SUBSTITUTE(SUBSTITUTE(UPPER(S1066)," ",""),":",": "))),0)),"-")</f>
        <v>-</v>
      </c>
      <c r="K1066" s="49"/>
    </row>
    <row r="1067" spans="1:11" x14ac:dyDescent="0.25">
      <c r="A1067" s="46" t="str" cm="1">
        <f t="array" ref="A1067">IFERROR(INDEX(#REF!,MATCH(TRUE,ISNUMBER(FIND(SUBSTITUTE(SUBSTITUTE(UPPER(#REF!)," ",""),":",": "),SUBSTITUTE(SUBSTITUTE(UPPER(S1067)," ",""),":",": "))),0)),"Undefined")</f>
        <v>Undefined</v>
      </c>
      <c r="B1067" s="42" t="str" cm="1">
        <f t="array" ref="B1067">IFERROR(INDEX({"URGENTE"},MATCH(TRUE,ISNUMBER(FIND(SUBSTITUTE(SUBSTITUTE(UPPER({"URGENTE"})," ",""),":",": "),SUBSTITUTE(SUBSTITUTE(UPPER(S1067)," ",""),":",": "))),0)),"-")</f>
        <v>-</v>
      </c>
      <c r="C1067" s="46" t="str" cm="1">
        <f t="array" ref="C1067">IFERROR(INDEX(#REF!,MATCH(TRUE,ISNUMBER(FIND(SUBSTITUTE(SUBSTITUTE(UPPER(#REF!)," ",""),":",": "),SUBSTITUTE(SUBSTITUTE(UPPER(S1067)," ",""),":",": "))),0)),"Não encontrado")</f>
        <v>Não encontrado</v>
      </c>
      <c r="D1067" s="46" t="str" cm="1">
        <f t="array" ref="D1067">IFERROR(INDEX(#REF!,MATCH(TRUE,ISNUMBER(FIND(SUBSTITUTE(SUBSTITUTE(UPPER(#REF!)," ",""),":",": "),SUBSTITUTE(SUBSTITUTE(UPPER(S1067)," ",""),":",": "))),0)),"Não encontrado")</f>
        <v>Não encontrado</v>
      </c>
      <c r="E1067" s="42" t="str" cm="1">
        <f t="array" ref="E1067">IFERROR(INDEX({"IMPEDITIVO"},MATCH(TRUE,ISNUMBER(FIND(SUBSTITUTE(SUBSTITUTE(UPPER({"IMPEDITIVO"})," ",""),":",": "),SUBSTITUTE(SUBSTITUTE(UPPER(S1067)," ",""),":",": "))),0)),"-")</f>
        <v>-</v>
      </c>
      <c r="K1067" s="49"/>
    </row>
    <row r="1068" spans="1:11" x14ac:dyDescent="0.25">
      <c r="A1068" s="46" t="str" cm="1">
        <f t="array" ref="A1068">IFERROR(INDEX(#REF!,MATCH(TRUE,ISNUMBER(FIND(SUBSTITUTE(SUBSTITUTE(UPPER(#REF!)," ",""),":",": "),SUBSTITUTE(SUBSTITUTE(UPPER(S1068)," ",""),":",": "))),0)),"Undefined")</f>
        <v>Undefined</v>
      </c>
      <c r="B1068" s="42" t="str" cm="1">
        <f t="array" ref="B1068">IFERROR(INDEX({"URGENTE"},MATCH(TRUE,ISNUMBER(FIND(SUBSTITUTE(SUBSTITUTE(UPPER({"URGENTE"})," ",""),":",": "),SUBSTITUTE(SUBSTITUTE(UPPER(S1068)," ",""),":",": "))),0)),"-")</f>
        <v>-</v>
      </c>
      <c r="C1068" s="46" t="str" cm="1">
        <f t="array" ref="C1068">IFERROR(INDEX(#REF!,MATCH(TRUE,ISNUMBER(FIND(SUBSTITUTE(SUBSTITUTE(UPPER(#REF!)," ",""),":",": "),SUBSTITUTE(SUBSTITUTE(UPPER(S1068)," ",""),":",": "))),0)),"Não encontrado")</f>
        <v>Não encontrado</v>
      </c>
      <c r="D1068" s="46" t="str" cm="1">
        <f t="array" ref="D1068">IFERROR(INDEX(#REF!,MATCH(TRUE,ISNUMBER(FIND(SUBSTITUTE(SUBSTITUTE(UPPER(#REF!)," ",""),":",": "),SUBSTITUTE(SUBSTITUTE(UPPER(S1068)," ",""),":",": "))),0)),"Não encontrado")</f>
        <v>Não encontrado</v>
      </c>
      <c r="E1068" s="42" t="str" cm="1">
        <f t="array" ref="E1068">IFERROR(INDEX({"IMPEDITIVO"},MATCH(TRUE,ISNUMBER(FIND(SUBSTITUTE(SUBSTITUTE(UPPER({"IMPEDITIVO"})," ",""),":",": "),SUBSTITUTE(SUBSTITUTE(UPPER(S1068)," ",""),":",": "))),0)),"-")</f>
        <v>-</v>
      </c>
      <c r="K1068" s="49"/>
    </row>
    <row r="1069" spans="1:11" x14ac:dyDescent="0.25">
      <c r="A1069" s="46" t="str" cm="1">
        <f t="array" ref="A1069">IFERROR(INDEX(#REF!,MATCH(TRUE,ISNUMBER(FIND(SUBSTITUTE(SUBSTITUTE(UPPER(#REF!)," ",""),":",": "),SUBSTITUTE(SUBSTITUTE(UPPER(S1069)," ",""),":",": "))),0)),"Undefined")</f>
        <v>Undefined</v>
      </c>
      <c r="B1069" s="42" t="str" cm="1">
        <f t="array" ref="B1069">IFERROR(INDEX({"URGENTE"},MATCH(TRUE,ISNUMBER(FIND(SUBSTITUTE(SUBSTITUTE(UPPER({"URGENTE"})," ",""),":",": "),SUBSTITUTE(SUBSTITUTE(UPPER(S1069)," ",""),":",": "))),0)),"-")</f>
        <v>-</v>
      </c>
      <c r="C1069" s="46" t="str" cm="1">
        <f t="array" ref="C1069">IFERROR(INDEX(#REF!,MATCH(TRUE,ISNUMBER(FIND(SUBSTITUTE(SUBSTITUTE(UPPER(#REF!)," ",""),":",": "),SUBSTITUTE(SUBSTITUTE(UPPER(S1069)," ",""),":",": "))),0)),"Não encontrado")</f>
        <v>Não encontrado</v>
      </c>
      <c r="D1069" s="46" t="str" cm="1">
        <f t="array" ref="D1069">IFERROR(INDEX(#REF!,MATCH(TRUE,ISNUMBER(FIND(SUBSTITUTE(SUBSTITUTE(UPPER(#REF!)," ",""),":",": "),SUBSTITUTE(SUBSTITUTE(UPPER(S1069)," ",""),":",": "))),0)),"Não encontrado")</f>
        <v>Não encontrado</v>
      </c>
      <c r="E1069" s="42" t="str" cm="1">
        <f t="array" ref="E1069">IFERROR(INDEX({"IMPEDITIVO"},MATCH(TRUE,ISNUMBER(FIND(SUBSTITUTE(SUBSTITUTE(UPPER({"IMPEDITIVO"})," ",""),":",": "),SUBSTITUTE(SUBSTITUTE(UPPER(S1069)," ",""),":",": "))),0)),"-")</f>
        <v>-</v>
      </c>
      <c r="K1069" s="49"/>
    </row>
    <row r="1070" spans="1:11" x14ac:dyDescent="0.25">
      <c r="A1070" s="46" t="str" cm="1">
        <f t="array" ref="A1070">IFERROR(INDEX(#REF!,MATCH(TRUE,ISNUMBER(FIND(SUBSTITUTE(SUBSTITUTE(UPPER(#REF!)," ",""),":",": "),SUBSTITUTE(SUBSTITUTE(UPPER(S1070)," ",""),":",": "))),0)),"Undefined")</f>
        <v>Undefined</v>
      </c>
      <c r="B1070" s="42" t="str" cm="1">
        <f t="array" ref="B1070">IFERROR(INDEX({"URGENTE"},MATCH(TRUE,ISNUMBER(FIND(SUBSTITUTE(SUBSTITUTE(UPPER({"URGENTE"})," ",""),":",": "),SUBSTITUTE(SUBSTITUTE(UPPER(S1070)," ",""),":",": "))),0)),"-")</f>
        <v>-</v>
      </c>
      <c r="C1070" s="46" t="str" cm="1">
        <f t="array" ref="C1070">IFERROR(INDEX(#REF!,MATCH(TRUE,ISNUMBER(FIND(SUBSTITUTE(SUBSTITUTE(UPPER(#REF!)," ",""),":",": "),SUBSTITUTE(SUBSTITUTE(UPPER(S1070)," ",""),":",": "))),0)),"Não encontrado")</f>
        <v>Não encontrado</v>
      </c>
      <c r="D1070" s="46" t="str" cm="1">
        <f t="array" ref="D1070">IFERROR(INDEX(#REF!,MATCH(TRUE,ISNUMBER(FIND(SUBSTITUTE(SUBSTITUTE(UPPER(#REF!)," ",""),":",": "),SUBSTITUTE(SUBSTITUTE(UPPER(S1070)," ",""),":",": "))),0)),"Não encontrado")</f>
        <v>Não encontrado</v>
      </c>
      <c r="E1070" s="42" t="str" cm="1">
        <f t="array" ref="E1070">IFERROR(INDEX({"IMPEDITIVO"},MATCH(TRUE,ISNUMBER(FIND(SUBSTITUTE(SUBSTITUTE(UPPER({"IMPEDITIVO"})," ",""),":",": "),SUBSTITUTE(SUBSTITUTE(UPPER(S1070)," ",""),":",": "))),0)),"-")</f>
        <v>-</v>
      </c>
      <c r="K1070" s="49"/>
    </row>
    <row r="1071" spans="1:11" x14ac:dyDescent="0.25">
      <c r="A1071" s="46" t="str" cm="1">
        <f t="array" ref="A1071">IFERROR(INDEX(#REF!,MATCH(TRUE,ISNUMBER(FIND(SUBSTITUTE(SUBSTITUTE(UPPER(#REF!)," ",""),":",": "),SUBSTITUTE(SUBSTITUTE(UPPER(S1071)," ",""),":",": "))),0)),"Undefined")</f>
        <v>Undefined</v>
      </c>
      <c r="B1071" s="42" t="str" cm="1">
        <f t="array" ref="B1071">IFERROR(INDEX({"URGENTE"},MATCH(TRUE,ISNUMBER(FIND(SUBSTITUTE(SUBSTITUTE(UPPER({"URGENTE"})," ",""),":",": "),SUBSTITUTE(SUBSTITUTE(UPPER(S1071)," ",""),":",": "))),0)),"-")</f>
        <v>-</v>
      </c>
      <c r="C1071" s="46" t="str" cm="1">
        <f t="array" ref="C1071">IFERROR(INDEX(#REF!,MATCH(TRUE,ISNUMBER(FIND(SUBSTITUTE(SUBSTITUTE(UPPER(#REF!)," ",""),":",": "),SUBSTITUTE(SUBSTITUTE(UPPER(S1071)," ",""),":",": "))),0)),"Não encontrado")</f>
        <v>Não encontrado</v>
      </c>
      <c r="D1071" s="46" t="str" cm="1">
        <f t="array" ref="D1071">IFERROR(INDEX(#REF!,MATCH(TRUE,ISNUMBER(FIND(SUBSTITUTE(SUBSTITUTE(UPPER(#REF!)," ",""),":",": "),SUBSTITUTE(SUBSTITUTE(UPPER(S1071)," ",""),":",": "))),0)),"Não encontrado")</f>
        <v>Não encontrado</v>
      </c>
      <c r="E1071" s="42" t="str" cm="1">
        <f t="array" ref="E1071">IFERROR(INDEX({"IMPEDITIVO"},MATCH(TRUE,ISNUMBER(FIND(SUBSTITUTE(SUBSTITUTE(UPPER({"IMPEDITIVO"})," ",""),":",": "),SUBSTITUTE(SUBSTITUTE(UPPER(S1071)," ",""),":",": "))),0)),"-")</f>
        <v>-</v>
      </c>
      <c r="K1071" s="49"/>
    </row>
    <row r="1072" spans="1:11" x14ac:dyDescent="0.25">
      <c r="A1072" s="46" t="str" cm="1">
        <f t="array" ref="A1072">IFERROR(INDEX(#REF!,MATCH(TRUE,ISNUMBER(FIND(SUBSTITUTE(SUBSTITUTE(UPPER(#REF!)," ",""),":",": "),SUBSTITUTE(SUBSTITUTE(UPPER(S1072)," ",""),":",": "))),0)),"Undefined")</f>
        <v>Undefined</v>
      </c>
      <c r="B1072" s="42" t="str" cm="1">
        <f t="array" ref="B1072">IFERROR(INDEX({"URGENTE"},MATCH(TRUE,ISNUMBER(FIND(SUBSTITUTE(SUBSTITUTE(UPPER({"URGENTE"})," ",""),":",": "),SUBSTITUTE(SUBSTITUTE(UPPER(S1072)," ",""),":",": "))),0)),"-")</f>
        <v>-</v>
      </c>
      <c r="C1072" s="46" t="str" cm="1">
        <f t="array" ref="C1072">IFERROR(INDEX(#REF!,MATCH(TRUE,ISNUMBER(FIND(SUBSTITUTE(SUBSTITUTE(UPPER(#REF!)," ",""),":",": "),SUBSTITUTE(SUBSTITUTE(UPPER(S1072)," ",""),":",": "))),0)),"Não encontrado")</f>
        <v>Não encontrado</v>
      </c>
      <c r="D1072" s="46" t="str" cm="1">
        <f t="array" ref="D1072">IFERROR(INDEX(#REF!,MATCH(TRUE,ISNUMBER(FIND(SUBSTITUTE(SUBSTITUTE(UPPER(#REF!)," ",""),":",": "),SUBSTITUTE(SUBSTITUTE(UPPER(S1072)," ",""),":",": "))),0)),"Não encontrado")</f>
        <v>Não encontrado</v>
      </c>
      <c r="E1072" s="42" t="str" cm="1">
        <f t="array" ref="E1072">IFERROR(INDEX({"IMPEDITIVO"},MATCH(TRUE,ISNUMBER(FIND(SUBSTITUTE(SUBSTITUTE(UPPER({"IMPEDITIVO"})," ",""),":",": "),SUBSTITUTE(SUBSTITUTE(UPPER(S1072)," ",""),":",": "))),0)),"-")</f>
        <v>-</v>
      </c>
      <c r="K1072" s="49"/>
    </row>
    <row r="1073" spans="1:11" x14ac:dyDescent="0.25">
      <c r="A1073" s="46" t="str" cm="1">
        <f t="array" ref="A1073">IFERROR(INDEX(#REF!,MATCH(TRUE,ISNUMBER(FIND(SUBSTITUTE(SUBSTITUTE(UPPER(#REF!)," ",""),":",": "),SUBSTITUTE(SUBSTITUTE(UPPER(S1073)," ",""),":",": "))),0)),"Undefined")</f>
        <v>Undefined</v>
      </c>
      <c r="B1073" s="42" t="str" cm="1">
        <f t="array" ref="B1073">IFERROR(INDEX({"URGENTE"},MATCH(TRUE,ISNUMBER(FIND(SUBSTITUTE(SUBSTITUTE(UPPER({"URGENTE"})," ",""),":",": "),SUBSTITUTE(SUBSTITUTE(UPPER(S1073)," ",""),":",": "))),0)),"-")</f>
        <v>-</v>
      </c>
      <c r="C1073" s="46" t="str" cm="1">
        <f t="array" ref="C1073">IFERROR(INDEX(#REF!,MATCH(TRUE,ISNUMBER(FIND(SUBSTITUTE(SUBSTITUTE(UPPER(#REF!)," ",""),":",": "),SUBSTITUTE(SUBSTITUTE(UPPER(S1073)," ",""),":",": "))),0)),"Não encontrado")</f>
        <v>Não encontrado</v>
      </c>
      <c r="D1073" s="46" t="str" cm="1">
        <f t="array" ref="D1073">IFERROR(INDEX(#REF!,MATCH(TRUE,ISNUMBER(FIND(SUBSTITUTE(SUBSTITUTE(UPPER(#REF!)," ",""),":",": "),SUBSTITUTE(SUBSTITUTE(UPPER(S1073)," ",""),":",": "))),0)),"Não encontrado")</f>
        <v>Não encontrado</v>
      </c>
      <c r="E1073" s="42" t="str" cm="1">
        <f t="array" ref="E1073">IFERROR(INDEX({"IMPEDITIVO"},MATCH(TRUE,ISNUMBER(FIND(SUBSTITUTE(SUBSTITUTE(UPPER({"IMPEDITIVO"})," ",""),":",": "),SUBSTITUTE(SUBSTITUTE(UPPER(S1073)," ",""),":",": "))),0)),"-")</f>
        <v>-</v>
      </c>
      <c r="K1073" s="49"/>
    </row>
    <row r="1074" spans="1:11" x14ac:dyDescent="0.25">
      <c r="A1074" s="46" t="str" cm="1">
        <f t="array" ref="A1074">IFERROR(INDEX(#REF!,MATCH(TRUE,ISNUMBER(FIND(SUBSTITUTE(SUBSTITUTE(UPPER(#REF!)," ",""),":",": "),SUBSTITUTE(SUBSTITUTE(UPPER(S1074)," ",""),":",": "))),0)),"Undefined")</f>
        <v>Undefined</v>
      </c>
      <c r="B1074" s="42" t="str" cm="1">
        <f t="array" ref="B1074">IFERROR(INDEX({"URGENTE"},MATCH(TRUE,ISNUMBER(FIND(SUBSTITUTE(SUBSTITUTE(UPPER({"URGENTE"})," ",""),":",": "),SUBSTITUTE(SUBSTITUTE(UPPER(S1074)," ",""),":",": "))),0)),"-")</f>
        <v>-</v>
      </c>
      <c r="C1074" s="46" t="str" cm="1">
        <f t="array" ref="C1074">IFERROR(INDEX(#REF!,MATCH(TRUE,ISNUMBER(FIND(SUBSTITUTE(SUBSTITUTE(UPPER(#REF!)," ",""),":",": "),SUBSTITUTE(SUBSTITUTE(UPPER(S1074)," ",""),":",": "))),0)),"Não encontrado")</f>
        <v>Não encontrado</v>
      </c>
      <c r="D1074" s="46" t="str" cm="1">
        <f t="array" ref="D1074">IFERROR(INDEX(#REF!,MATCH(TRUE,ISNUMBER(FIND(SUBSTITUTE(SUBSTITUTE(UPPER(#REF!)," ",""),":",": "),SUBSTITUTE(SUBSTITUTE(UPPER(S1074)," ",""),":",": "))),0)),"Não encontrado")</f>
        <v>Não encontrado</v>
      </c>
      <c r="E1074" s="42" t="str" cm="1">
        <f t="array" ref="E1074">IFERROR(INDEX({"IMPEDITIVO"},MATCH(TRUE,ISNUMBER(FIND(SUBSTITUTE(SUBSTITUTE(UPPER({"IMPEDITIVO"})," ",""),":",": "),SUBSTITUTE(SUBSTITUTE(UPPER(S1074)," ",""),":",": "))),0)),"-")</f>
        <v>-</v>
      </c>
      <c r="K1074" s="49"/>
    </row>
    <row r="1075" spans="1:11" x14ac:dyDescent="0.25">
      <c r="A1075" s="46" t="str" cm="1">
        <f t="array" ref="A1075">IFERROR(INDEX(#REF!,MATCH(TRUE,ISNUMBER(FIND(SUBSTITUTE(SUBSTITUTE(UPPER(#REF!)," ",""),":",": "),SUBSTITUTE(SUBSTITUTE(UPPER(S1075)," ",""),":",": "))),0)),"Undefined")</f>
        <v>Undefined</v>
      </c>
      <c r="B1075" s="42" t="str" cm="1">
        <f t="array" ref="B1075">IFERROR(INDEX({"URGENTE"},MATCH(TRUE,ISNUMBER(FIND(SUBSTITUTE(SUBSTITUTE(UPPER({"URGENTE"})," ",""),":",": "),SUBSTITUTE(SUBSTITUTE(UPPER(S1075)," ",""),":",": "))),0)),"-")</f>
        <v>-</v>
      </c>
      <c r="C1075" s="46" t="str" cm="1">
        <f t="array" ref="C1075">IFERROR(INDEX(#REF!,MATCH(TRUE,ISNUMBER(FIND(SUBSTITUTE(SUBSTITUTE(UPPER(#REF!)," ",""),":",": "),SUBSTITUTE(SUBSTITUTE(UPPER(S1075)," ",""),":",": "))),0)),"Não encontrado")</f>
        <v>Não encontrado</v>
      </c>
      <c r="D1075" s="46" t="str" cm="1">
        <f t="array" ref="D1075">IFERROR(INDEX(#REF!,MATCH(TRUE,ISNUMBER(FIND(SUBSTITUTE(SUBSTITUTE(UPPER(#REF!)," ",""),":",": "),SUBSTITUTE(SUBSTITUTE(UPPER(S1075)," ",""),":",": "))),0)),"Não encontrado")</f>
        <v>Não encontrado</v>
      </c>
      <c r="E1075" s="42" t="str" cm="1">
        <f t="array" ref="E1075">IFERROR(INDEX({"IMPEDITIVO"},MATCH(TRUE,ISNUMBER(FIND(SUBSTITUTE(SUBSTITUTE(UPPER({"IMPEDITIVO"})," ",""),":",": "),SUBSTITUTE(SUBSTITUTE(UPPER(S1075)," ",""),":",": "))),0)),"-")</f>
        <v>-</v>
      </c>
      <c r="K1075" s="49"/>
    </row>
    <row r="1076" spans="1:11" x14ac:dyDescent="0.25">
      <c r="A1076" s="46" t="str" cm="1">
        <f t="array" ref="A1076">IFERROR(INDEX(#REF!,MATCH(TRUE,ISNUMBER(FIND(SUBSTITUTE(SUBSTITUTE(UPPER(#REF!)," ",""),":",": "),SUBSTITUTE(SUBSTITUTE(UPPER(S1076)," ",""),":",": "))),0)),"Undefined")</f>
        <v>Undefined</v>
      </c>
      <c r="B1076" s="42" t="str" cm="1">
        <f t="array" ref="B1076">IFERROR(INDEX({"URGENTE"},MATCH(TRUE,ISNUMBER(FIND(SUBSTITUTE(SUBSTITUTE(UPPER({"URGENTE"})," ",""),":",": "),SUBSTITUTE(SUBSTITUTE(UPPER(S1076)," ",""),":",": "))),0)),"-")</f>
        <v>-</v>
      </c>
      <c r="C1076" s="46" t="str" cm="1">
        <f t="array" ref="C1076">IFERROR(INDEX(#REF!,MATCH(TRUE,ISNUMBER(FIND(SUBSTITUTE(SUBSTITUTE(UPPER(#REF!)," ",""),":",": "),SUBSTITUTE(SUBSTITUTE(UPPER(S1076)," ",""),":",": "))),0)),"Não encontrado")</f>
        <v>Não encontrado</v>
      </c>
      <c r="D1076" s="46" t="str" cm="1">
        <f t="array" ref="D1076">IFERROR(INDEX(#REF!,MATCH(TRUE,ISNUMBER(FIND(SUBSTITUTE(SUBSTITUTE(UPPER(#REF!)," ",""),":",": "),SUBSTITUTE(SUBSTITUTE(UPPER(S1076)," ",""),":",": "))),0)),"Não encontrado")</f>
        <v>Não encontrado</v>
      </c>
      <c r="E1076" s="42" t="str" cm="1">
        <f t="array" ref="E1076">IFERROR(INDEX({"IMPEDITIVO"},MATCH(TRUE,ISNUMBER(FIND(SUBSTITUTE(SUBSTITUTE(UPPER({"IMPEDITIVO"})," ",""),":",": "),SUBSTITUTE(SUBSTITUTE(UPPER(S1076)," ",""),":",": "))),0)),"-")</f>
        <v>-</v>
      </c>
      <c r="K1076" s="49"/>
    </row>
    <row r="1077" spans="1:11" x14ac:dyDescent="0.25">
      <c r="A1077" s="46" t="str" cm="1">
        <f t="array" ref="A1077">IFERROR(INDEX(#REF!,MATCH(TRUE,ISNUMBER(FIND(SUBSTITUTE(SUBSTITUTE(UPPER(#REF!)," ",""),":",": "),SUBSTITUTE(SUBSTITUTE(UPPER(S1077)," ",""),":",": "))),0)),"Undefined")</f>
        <v>Undefined</v>
      </c>
      <c r="B1077" s="42" t="str" cm="1">
        <f t="array" ref="B1077">IFERROR(INDEX({"URGENTE"},MATCH(TRUE,ISNUMBER(FIND(SUBSTITUTE(SUBSTITUTE(UPPER({"URGENTE"})," ",""),":",": "),SUBSTITUTE(SUBSTITUTE(UPPER(S1077)," ",""),":",": "))),0)),"-")</f>
        <v>-</v>
      </c>
      <c r="C1077" s="46" t="str" cm="1">
        <f t="array" ref="C1077">IFERROR(INDEX(#REF!,MATCH(TRUE,ISNUMBER(FIND(SUBSTITUTE(SUBSTITUTE(UPPER(#REF!)," ",""),":",": "),SUBSTITUTE(SUBSTITUTE(UPPER(S1077)," ",""),":",": "))),0)),"Não encontrado")</f>
        <v>Não encontrado</v>
      </c>
      <c r="D1077" s="46" t="str" cm="1">
        <f t="array" ref="D1077">IFERROR(INDEX(#REF!,MATCH(TRUE,ISNUMBER(FIND(SUBSTITUTE(SUBSTITUTE(UPPER(#REF!)," ",""),":",": "),SUBSTITUTE(SUBSTITUTE(UPPER(S1077)," ",""),":",": "))),0)),"Não encontrado")</f>
        <v>Não encontrado</v>
      </c>
      <c r="E1077" s="42" t="str" cm="1">
        <f t="array" ref="E1077">IFERROR(INDEX({"IMPEDITIVO"},MATCH(TRUE,ISNUMBER(FIND(SUBSTITUTE(SUBSTITUTE(UPPER({"IMPEDITIVO"})," ",""),":",": "),SUBSTITUTE(SUBSTITUTE(UPPER(S1077)," ",""),":",": "))),0)),"-")</f>
        <v>-</v>
      </c>
      <c r="K1077" s="49"/>
    </row>
    <row r="1078" spans="1:11" x14ac:dyDescent="0.25">
      <c r="A1078" s="46" t="str" cm="1">
        <f t="array" ref="A1078">IFERROR(INDEX(#REF!,MATCH(TRUE,ISNUMBER(FIND(SUBSTITUTE(SUBSTITUTE(UPPER(#REF!)," ",""),":",": "),SUBSTITUTE(SUBSTITUTE(UPPER(S1078)," ",""),":",": "))),0)),"Undefined")</f>
        <v>Undefined</v>
      </c>
      <c r="B1078" s="42" t="str" cm="1">
        <f t="array" ref="B1078">IFERROR(INDEX({"URGENTE"},MATCH(TRUE,ISNUMBER(FIND(SUBSTITUTE(SUBSTITUTE(UPPER({"URGENTE"})," ",""),":",": "),SUBSTITUTE(SUBSTITUTE(UPPER(S1078)," ",""),":",": "))),0)),"-")</f>
        <v>-</v>
      </c>
      <c r="C1078" s="46" t="str" cm="1">
        <f t="array" ref="C1078">IFERROR(INDEX(#REF!,MATCH(TRUE,ISNUMBER(FIND(SUBSTITUTE(SUBSTITUTE(UPPER(#REF!)," ",""),":",": "),SUBSTITUTE(SUBSTITUTE(UPPER(S1078)," ",""),":",": "))),0)),"Não encontrado")</f>
        <v>Não encontrado</v>
      </c>
      <c r="D1078" s="46" t="str" cm="1">
        <f t="array" ref="D1078">IFERROR(INDEX(#REF!,MATCH(TRUE,ISNUMBER(FIND(SUBSTITUTE(SUBSTITUTE(UPPER(#REF!)," ",""),":",": "),SUBSTITUTE(SUBSTITUTE(UPPER(S1078)," ",""),":",": "))),0)),"Não encontrado")</f>
        <v>Não encontrado</v>
      </c>
      <c r="E1078" s="42" t="str" cm="1">
        <f t="array" ref="E1078">IFERROR(INDEX({"IMPEDITIVO"},MATCH(TRUE,ISNUMBER(FIND(SUBSTITUTE(SUBSTITUTE(UPPER({"IMPEDITIVO"})," ",""),":",": "),SUBSTITUTE(SUBSTITUTE(UPPER(S1078)," ",""),":",": "))),0)),"-")</f>
        <v>-</v>
      </c>
      <c r="K1078" s="49"/>
    </row>
    <row r="1079" spans="1:11" x14ac:dyDescent="0.25">
      <c r="A1079" s="46" t="str" cm="1">
        <f t="array" ref="A1079">IFERROR(INDEX(#REF!,MATCH(TRUE,ISNUMBER(FIND(SUBSTITUTE(SUBSTITUTE(UPPER(#REF!)," ",""),":",": "),SUBSTITUTE(SUBSTITUTE(UPPER(S1079)," ",""),":",": "))),0)),"Undefined")</f>
        <v>Undefined</v>
      </c>
      <c r="B1079" s="42" t="str" cm="1">
        <f t="array" ref="B1079">IFERROR(INDEX({"URGENTE"},MATCH(TRUE,ISNUMBER(FIND(SUBSTITUTE(SUBSTITUTE(UPPER({"URGENTE"})," ",""),":",": "),SUBSTITUTE(SUBSTITUTE(UPPER(S1079)," ",""),":",": "))),0)),"-")</f>
        <v>-</v>
      </c>
      <c r="C1079" s="46" t="str" cm="1">
        <f t="array" ref="C1079">IFERROR(INDEX(#REF!,MATCH(TRUE,ISNUMBER(FIND(SUBSTITUTE(SUBSTITUTE(UPPER(#REF!)," ",""),":",": "),SUBSTITUTE(SUBSTITUTE(UPPER(S1079)," ",""),":",": "))),0)),"Não encontrado")</f>
        <v>Não encontrado</v>
      </c>
      <c r="D1079" s="46" t="str" cm="1">
        <f t="array" ref="D1079">IFERROR(INDEX(#REF!,MATCH(TRUE,ISNUMBER(FIND(SUBSTITUTE(SUBSTITUTE(UPPER(#REF!)," ",""),":",": "),SUBSTITUTE(SUBSTITUTE(UPPER(S1079)," ",""),":",": "))),0)),"Não encontrado")</f>
        <v>Não encontrado</v>
      </c>
      <c r="E1079" s="42" t="str" cm="1">
        <f t="array" ref="E1079">IFERROR(INDEX({"IMPEDITIVO"},MATCH(TRUE,ISNUMBER(FIND(SUBSTITUTE(SUBSTITUTE(UPPER({"IMPEDITIVO"})," ",""),":",": "),SUBSTITUTE(SUBSTITUTE(UPPER(S1079)," ",""),":",": "))),0)),"-")</f>
        <v>-</v>
      </c>
      <c r="K1079" s="49"/>
    </row>
    <row r="1080" spans="1:11" x14ac:dyDescent="0.25">
      <c r="A1080" s="46" t="str" cm="1">
        <f t="array" ref="A1080">IFERROR(INDEX(#REF!,MATCH(TRUE,ISNUMBER(FIND(SUBSTITUTE(SUBSTITUTE(UPPER(#REF!)," ",""),":",": "),SUBSTITUTE(SUBSTITUTE(UPPER(S1080)," ",""),":",": "))),0)),"Undefined")</f>
        <v>Undefined</v>
      </c>
      <c r="B1080" s="42" t="str" cm="1">
        <f t="array" ref="B1080">IFERROR(INDEX({"URGENTE"},MATCH(TRUE,ISNUMBER(FIND(SUBSTITUTE(SUBSTITUTE(UPPER({"URGENTE"})," ",""),":",": "),SUBSTITUTE(SUBSTITUTE(UPPER(S1080)," ",""),":",": "))),0)),"-")</f>
        <v>-</v>
      </c>
      <c r="C1080" s="46" t="str" cm="1">
        <f t="array" ref="C1080">IFERROR(INDEX(#REF!,MATCH(TRUE,ISNUMBER(FIND(SUBSTITUTE(SUBSTITUTE(UPPER(#REF!)," ",""),":",": "),SUBSTITUTE(SUBSTITUTE(UPPER(S1080)," ",""),":",": "))),0)),"Não encontrado")</f>
        <v>Não encontrado</v>
      </c>
      <c r="D1080" s="46" t="str" cm="1">
        <f t="array" ref="D1080">IFERROR(INDEX(#REF!,MATCH(TRUE,ISNUMBER(FIND(SUBSTITUTE(SUBSTITUTE(UPPER(#REF!)," ",""),":",": "),SUBSTITUTE(SUBSTITUTE(UPPER(S1080)," ",""),":",": "))),0)),"Não encontrado")</f>
        <v>Não encontrado</v>
      </c>
      <c r="E1080" s="42" t="str" cm="1">
        <f t="array" ref="E1080">IFERROR(INDEX({"IMPEDITIVO"},MATCH(TRUE,ISNUMBER(FIND(SUBSTITUTE(SUBSTITUTE(UPPER({"IMPEDITIVO"})," ",""),":",": "),SUBSTITUTE(SUBSTITUTE(UPPER(S1080)," ",""),":",": "))),0)),"-")</f>
        <v>-</v>
      </c>
      <c r="K1080" s="49"/>
    </row>
    <row r="1081" spans="1:11" x14ac:dyDescent="0.25">
      <c r="A1081" s="46" t="str" cm="1">
        <f t="array" ref="A1081">IFERROR(INDEX(#REF!,MATCH(TRUE,ISNUMBER(FIND(SUBSTITUTE(SUBSTITUTE(UPPER(#REF!)," ",""),":",": "),SUBSTITUTE(SUBSTITUTE(UPPER(S1081)," ",""),":",": "))),0)),"Undefined")</f>
        <v>Undefined</v>
      </c>
      <c r="B1081" s="42" t="str" cm="1">
        <f t="array" ref="B1081">IFERROR(INDEX({"URGENTE"},MATCH(TRUE,ISNUMBER(FIND(SUBSTITUTE(SUBSTITUTE(UPPER({"URGENTE"})," ",""),":",": "),SUBSTITUTE(SUBSTITUTE(UPPER(S1081)," ",""),":",": "))),0)),"-")</f>
        <v>-</v>
      </c>
      <c r="C1081" s="46" t="str" cm="1">
        <f t="array" ref="C1081">IFERROR(INDEX(#REF!,MATCH(TRUE,ISNUMBER(FIND(SUBSTITUTE(SUBSTITUTE(UPPER(#REF!)," ",""),":",": "),SUBSTITUTE(SUBSTITUTE(UPPER(S1081)," ",""),":",": "))),0)),"Não encontrado")</f>
        <v>Não encontrado</v>
      </c>
      <c r="D1081" s="46" t="str" cm="1">
        <f t="array" ref="D1081">IFERROR(INDEX(#REF!,MATCH(TRUE,ISNUMBER(FIND(SUBSTITUTE(SUBSTITUTE(UPPER(#REF!)," ",""),":",": "),SUBSTITUTE(SUBSTITUTE(UPPER(S1081)," ",""),":",": "))),0)),"Não encontrado")</f>
        <v>Não encontrado</v>
      </c>
      <c r="E1081" s="42" t="str" cm="1">
        <f t="array" ref="E1081">IFERROR(INDEX({"IMPEDITIVO"},MATCH(TRUE,ISNUMBER(FIND(SUBSTITUTE(SUBSTITUTE(UPPER({"IMPEDITIVO"})," ",""),":",": "),SUBSTITUTE(SUBSTITUTE(UPPER(S1081)," ",""),":",": "))),0)),"-")</f>
        <v>-</v>
      </c>
      <c r="K1081" s="49"/>
    </row>
    <row r="1082" spans="1:11" x14ac:dyDescent="0.25">
      <c r="A1082" s="46" t="str" cm="1">
        <f t="array" ref="A1082">IFERROR(INDEX(#REF!,MATCH(TRUE,ISNUMBER(FIND(SUBSTITUTE(SUBSTITUTE(UPPER(#REF!)," ",""),":",": "),SUBSTITUTE(SUBSTITUTE(UPPER(S1082)," ",""),":",": "))),0)),"Undefined")</f>
        <v>Undefined</v>
      </c>
      <c r="B1082" s="42" t="str" cm="1">
        <f t="array" ref="B1082">IFERROR(INDEX({"URGENTE"},MATCH(TRUE,ISNUMBER(FIND(SUBSTITUTE(SUBSTITUTE(UPPER({"URGENTE"})," ",""),":",": "),SUBSTITUTE(SUBSTITUTE(UPPER(S1082)," ",""),":",": "))),0)),"-")</f>
        <v>-</v>
      </c>
      <c r="C1082" s="46" t="str" cm="1">
        <f t="array" ref="C1082">IFERROR(INDEX(#REF!,MATCH(TRUE,ISNUMBER(FIND(SUBSTITUTE(SUBSTITUTE(UPPER(#REF!)," ",""),":",": "),SUBSTITUTE(SUBSTITUTE(UPPER(S1082)," ",""),":",": "))),0)),"Não encontrado")</f>
        <v>Não encontrado</v>
      </c>
      <c r="D1082" s="46" t="str" cm="1">
        <f t="array" ref="D1082">IFERROR(INDEX(#REF!,MATCH(TRUE,ISNUMBER(FIND(SUBSTITUTE(SUBSTITUTE(UPPER(#REF!)," ",""),":",": "),SUBSTITUTE(SUBSTITUTE(UPPER(S1082)," ",""),":",": "))),0)),"Não encontrado")</f>
        <v>Não encontrado</v>
      </c>
      <c r="E1082" s="42" t="str" cm="1">
        <f t="array" ref="E1082">IFERROR(INDEX({"IMPEDITIVO"},MATCH(TRUE,ISNUMBER(FIND(SUBSTITUTE(SUBSTITUTE(UPPER({"IMPEDITIVO"})," ",""),":",": "),SUBSTITUTE(SUBSTITUTE(UPPER(S1082)," ",""),":",": "))),0)),"-")</f>
        <v>-</v>
      </c>
      <c r="K1082" s="49"/>
    </row>
    <row r="1083" spans="1:11" x14ac:dyDescent="0.25">
      <c r="A1083" s="46" t="str" cm="1">
        <f t="array" ref="A1083">IFERROR(INDEX(#REF!,MATCH(TRUE,ISNUMBER(FIND(SUBSTITUTE(SUBSTITUTE(UPPER(#REF!)," ",""),":",": "),SUBSTITUTE(SUBSTITUTE(UPPER(S1083)," ",""),":",": "))),0)),"Undefined")</f>
        <v>Undefined</v>
      </c>
      <c r="B1083" s="42" t="str" cm="1">
        <f t="array" ref="B1083">IFERROR(INDEX({"URGENTE"},MATCH(TRUE,ISNUMBER(FIND(SUBSTITUTE(SUBSTITUTE(UPPER({"URGENTE"})," ",""),":",": "),SUBSTITUTE(SUBSTITUTE(UPPER(S1083)," ",""),":",": "))),0)),"-")</f>
        <v>-</v>
      </c>
      <c r="C1083" s="46" t="str" cm="1">
        <f t="array" ref="C1083">IFERROR(INDEX(#REF!,MATCH(TRUE,ISNUMBER(FIND(SUBSTITUTE(SUBSTITUTE(UPPER(#REF!)," ",""),":",": "),SUBSTITUTE(SUBSTITUTE(UPPER(S1083)," ",""),":",": "))),0)),"Não encontrado")</f>
        <v>Não encontrado</v>
      </c>
      <c r="D1083" s="46" t="str" cm="1">
        <f t="array" ref="D1083">IFERROR(INDEX(#REF!,MATCH(TRUE,ISNUMBER(FIND(SUBSTITUTE(SUBSTITUTE(UPPER(#REF!)," ",""),":",": "),SUBSTITUTE(SUBSTITUTE(UPPER(S1083)," ",""),":",": "))),0)),"Não encontrado")</f>
        <v>Não encontrado</v>
      </c>
      <c r="E1083" s="42" t="str" cm="1">
        <f t="array" ref="E1083">IFERROR(INDEX({"IMPEDITIVO"},MATCH(TRUE,ISNUMBER(FIND(SUBSTITUTE(SUBSTITUTE(UPPER({"IMPEDITIVO"})," ",""),":",": "),SUBSTITUTE(SUBSTITUTE(UPPER(S1083)," ",""),":",": "))),0)),"-")</f>
        <v>-</v>
      </c>
      <c r="K1083" s="49"/>
    </row>
    <row r="1084" spans="1:11" x14ac:dyDescent="0.25">
      <c r="A1084" s="46" t="str" cm="1">
        <f t="array" ref="A1084">IFERROR(INDEX(#REF!,MATCH(TRUE,ISNUMBER(FIND(SUBSTITUTE(SUBSTITUTE(UPPER(#REF!)," ",""),":",": "),SUBSTITUTE(SUBSTITUTE(UPPER(S1084)," ",""),":",": "))),0)),"Undefined")</f>
        <v>Undefined</v>
      </c>
      <c r="B1084" s="42" t="str" cm="1">
        <f t="array" ref="B1084">IFERROR(INDEX({"URGENTE"},MATCH(TRUE,ISNUMBER(FIND(SUBSTITUTE(SUBSTITUTE(UPPER({"URGENTE"})," ",""),":",": "),SUBSTITUTE(SUBSTITUTE(UPPER(S1084)," ",""),":",": "))),0)),"-")</f>
        <v>-</v>
      </c>
      <c r="C1084" s="46" t="str" cm="1">
        <f t="array" ref="C1084">IFERROR(INDEX(#REF!,MATCH(TRUE,ISNUMBER(FIND(SUBSTITUTE(SUBSTITUTE(UPPER(#REF!)," ",""),":",": "),SUBSTITUTE(SUBSTITUTE(UPPER(S1084)," ",""),":",": "))),0)),"Não encontrado")</f>
        <v>Não encontrado</v>
      </c>
      <c r="D1084" s="46" t="str" cm="1">
        <f t="array" ref="D1084">IFERROR(INDEX(#REF!,MATCH(TRUE,ISNUMBER(FIND(SUBSTITUTE(SUBSTITUTE(UPPER(#REF!)," ",""),":",": "),SUBSTITUTE(SUBSTITUTE(UPPER(S1084)," ",""),":",": "))),0)),"Não encontrado")</f>
        <v>Não encontrado</v>
      </c>
      <c r="E1084" s="42" t="str" cm="1">
        <f t="array" ref="E1084">IFERROR(INDEX({"IMPEDITIVO"},MATCH(TRUE,ISNUMBER(FIND(SUBSTITUTE(SUBSTITUTE(UPPER({"IMPEDITIVO"})," ",""),":",": "),SUBSTITUTE(SUBSTITUTE(UPPER(S1084)," ",""),":",": "))),0)),"-")</f>
        <v>-</v>
      </c>
      <c r="K1084" s="49"/>
    </row>
    <row r="1085" spans="1:11" x14ac:dyDescent="0.25">
      <c r="A1085" s="46" t="str" cm="1">
        <f t="array" ref="A1085">IFERROR(INDEX(#REF!,MATCH(TRUE,ISNUMBER(FIND(SUBSTITUTE(SUBSTITUTE(UPPER(#REF!)," ",""),":",": "),SUBSTITUTE(SUBSTITUTE(UPPER(S1085)," ",""),":",": "))),0)),"Undefined")</f>
        <v>Undefined</v>
      </c>
      <c r="B1085" s="42" t="str" cm="1">
        <f t="array" ref="B1085">IFERROR(INDEX({"URGENTE"},MATCH(TRUE,ISNUMBER(FIND(SUBSTITUTE(SUBSTITUTE(UPPER({"URGENTE"})," ",""),":",": "),SUBSTITUTE(SUBSTITUTE(UPPER(S1085)," ",""),":",": "))),0)),"-")</f>
        <v>-</v>
      </c>
      <c r="C1085" s="46" t="str" cm="1">
        <f t="array" ref="C1085">IFERROR(INDEX(#REF!,MATCH(TRUE,ISNUMBER(FIND(SUBSTITUTE(SUBSTITUTE(UPPER(#REF!)," ",""),":",": "),SUBSTITUTE(SUBSTITUTE(UPPER(S1085)," ",""),":",": "))),0)),"Não encontrado")</f>
        <v>Não encontrado</v>
      </c>
      <c r="D1085" s="46" t="str" cm="1">
        <f t="array" ref="D1085">IFERROR(INDEX(#REF!,MATCH(TRUE,ISNUMBER(FIND(SUBSTITUTE(SUBSTITUTE(UPPER(#REF!)," ",""),":",": "),SUBSTITUTE(SUBSTITUTE(UPPER(S1085)," ",""),":",": "))),0)),"Não encontrado")</f>
        <v>Não encontrado</v>
      </c>
      <c r="E1085" s="42" t="str" cm="1">
        <f t="array" ref="E1085">IFERROR(INDEX({"IMPEDITIVO"},MATCH(TRUE,ISNUMBER(FIND(SUBSTITUTE(SUBSTITUTE(UPPER({"IMPEDITIVO"})," ",""),":",": "),SUBSTITUTE(SUBSTITUTE(UPPER(S1085)," ",""),":",": "))),0)),"-")</f>
        <v>-</v>
      </c>
      <c r="K1085" s="49"/>
    </row>
    <row r="1086" spans="1:11" x14ac:dyDescent="0.25">
      <c r="A1086" s="46" t="str" cm="1">
        <f t="array" ref="A1086">IFERROR(INDEX(#REF!,MATCH(TRUE,ISNUMBER(FIND(SUBSTITUTE(SUBSTITUTE(UPPER(#REF!)," ",""),":",": "),SUBSTITUTE(SUBSTITUTE(UPPER(S1086)," ",""),":",": "))),0)),"Undefined")</f>
        <v>Undefined</v>
      </c>
      <c r="B1086" s="42" t="str" cm="1">
        <f t="array" ref="B1086">IFERROR(INDEX({"URGENTE"},MATCH(TRUE,ISNUMBER(FIND(SUBSTITUTE(SUBSTITUTE(UPPER({"URGENTE"})," ",""),":",": "),SUBSTITUTE(SUBSTITUTE(UPPER(S1086)," ",""),":",": "))),0)),"-")</f>
        <v>-</v>
      </c>
      <c r="C1086" s="46" t="str" cm="1">
        <f t="array" ref="C1086">IFERROR(INDEX(#REF!,MATCH(TRUE,ISNUMBER(FIND(SUBSTITUTE(SUBSTITUTE(UPPER(#REF!)," ",""),":",": "),SUBSTITUTE(SUBSTITUTE(UPPER(S1086)," ",""),":",": "))),0)),"Não encontrado")</f>
        <v>Não encontrado</v>
      </c>
      <c r="D1086" s="46" t="str" cm="1">
        <f t="array" ref="D1086">IFERROR(INDEX(#REF!,MATCH(TRUE,ISNUMBER(FIND(SUBSTITUTE(SUBSTITUTE(UPPER(#REF!)," ",""),":",": "),SUBSTITUTE(SUBSTITUTE(UPPER(S1086)," ",""),":",": "))),0)),"Não encontrado")</f>
        <v>Não encontrado</v>
      </c>
      <c r="E1086" s="42" t="str" cm="1">
        <f t="array" ref="E1086">IFERROR(INDEX({"IMPEDITIVO"},MATCH(TRUE,ISNUMBER(FIND(SUBSTITUTE(SUBSTITUTE(UPPER({"IMPEDITIVO"})," ",""),":",": "),SUBSTITUTE(SUBSTITUTE(UPPER(S1086)," ",""),":",": "))),0)),"-")</f>
        <v>-</v>
      </c>
      <c r="K1086" s="49"/>
    </row>
    <row r="1087" spans="1:11" x14ac:dyDescent="0.25">
      <c r="A1087" s="46" t="str" cm="1">
        <f t="array" ref="A1087">IFERROR(INDEX(#REF!,MATCH(TRUE,ISNUMBER(FIND(SUBSTITUTE(SUBSTITUTE(UPPER(#REF!)," ",""),":",": "),SUBSTITUTE(SUBSTITUTE(UPPER(S1087)," ",""),":",": "))),0)),"Undefined")</f>
        <v>Undefined</v>
      </c>
      <c r="B1087" s="42" t="str" cm="1">
        <f t="array" ref="B1087">IFERROR(INDEX({"URGENTE"},MATCH(TRUE,ISNUMBER(FIND(SUBSTITUTE(SUBSTITUTE(UPPER({"URGENTE"})," ",""),":",": "),SUBSTITUTE(SUBSTITUTE(UPPER(S1087)," ",""),":",": "))),0)),"-")</f>
        <v>-</v>
      </c>
      <c r="C1087" s="46" t="str" cm="1">
        <f t="array" ref="C1087">IFERROR(INDEX(#REF!,MATCH(TRUE,ISNUMBER(FIND(SUBSTITUTE(SUBSTITUTE(UPPER(#REF!)," ",""),":",": "),SUBSTITUTE(SUBSTITUTE(UPPER(S1087)," ",""),":",": "))),0)),"Não encontrado")</f>
        <v>Não encontrado</v>
      </c>
      <c r="D1087" s="46" t="str" cm="1">
        <f t="array" ref="D1087">IFERROR(INDEX(#REF!,MATCH(TRUE,ISNUMBER(FIND(SUBSTITUTE(SUBSTITUTE(UPPER(#REF!)," ",""),":",": "),SUBSTITUTE(SUBSTITUTE(UPPER(S1087)," ",""),":",": "))),0)),"Não encontrado")</f>
        <v>Não encontrado</v>
      </c>
      <c r="E1087" s="42" t="str" cm="1">
        <f t="array" ref="E1087">IFERROR(INDEX({"IMPEDITIVO"},MATCH(TRUE,ISNUMBER(FIND(SUBSTITUTE(SUBSTITUTE(UPPER({"IMPEDITIVO"})," ",""),":",": "),SUBSTITUTE(SUBSTITUTE(UPPER(S1087)," ",""),":",": "))),0)),"-")</f>
        <v>-</v>
      </c>
      <c r="K1087" s="49"/>
    </row>
    <row r="1088" spans="1:11" x14ac:dyDescent="0.25">
      <c r="A1088" s="46" t="str" cm="1">
        <f t="array" ref="A1088">IFERROR(INDEX(#REF!,MATCH(TRUE,ISNUMBER(FIND(SUBSTITUTE(SUBSTITUTE(UPPER(#REF!)," ",""),":",": "),SUBSTITUTE(SUBSTITUTE(UPPER(S1088)," ",""),":",": "))),0)),"Undefined")</f>
        <v>Undefined</v>
      </c>
      <c r="B1088" s="42" t="str" cm="1">
        <f t="array" ref="B1088">IFERROR(INDEX({"URGENTE"},MATCH(TRUE,ISNUMBER(FIND(SUBSTITUTE(SUBSTITUTE(UPPER({"URGENTE"})," ",""),":",": "),SUBSTITUTE(SUBSTITUTE(UPPER(S1088)," ",""),":",": "))),0)),"-")</f>
        <v>-</v>
      </c>
      <c r="C1088" s="46" t="str" cm="1">
        <f t="array" ref="C1088">IFERROR(INDEX(#REF!,MATCH(TRUE,ISNUMBER(FIND(SUBSTITUTE(SUBSTITUTE(UPPER(#REF!)," ",""),":",": "),SUBSTITUTE(SUBSTITUTE(UPPER(S1088)," ",""),":",": "))),0)),"Não encontrado")</f>
        <v>Não encontrado</v>
      </c>
      <c r="D1088" s="46" t="str" cm="1">
        <f t="array" ref="D1088">IFERROR(INDEX(#REF!,MATCH(TRUE,ISNUMBER(FIND(SUBSTITUTE(SUBSTITUTE(UPPER(#REF!)," ",""),":",": "),SUBSTITUTE(SUBSTITUTE(UPPER(S1088)," ",""),":",": "))),0)),"Não encontrado")</f>
        <v>Não encontrado</v>
      </c>
      <c r="E1088" s="42" t="str" cm="1">
        <f t="array" ref="E1088">IFERROR(INDEX({"IMPEDITIVO"},MATCH(TRUE,ISNUMBER(FIND(SUBSTITUTE(SUBSTITUTE(UPPER({"IMPEDITIVO"})," ",""),":",": "),SUBSTITUTE(SUBSTITUTE(UPPER(S1088)," ",""),":",": "))),0)),"-")</f>
        <v>-</v>
      </c>
      <c r="K1088" s="49"/>
    </row>
    <row r="1089" spans="1:11" x14ac:dyDescent="0.25">
      <c r="A1089" s="46" t="str" cm="1">
        <f t="array" ref="A1089">IFERROR(INDEX(#REF!,MATCH(TRUE,ISNUMBER(FIND(SUBSTITUTE(SUBSTITUTE(UPPER(#REF!)," ",""),":",": "),SUBSTITUTE(SUBSTITUTE(UPPER(S1089)," ",""),":",": "))),0)),"Undefined")</f>
        <v>Undefined</v>
      </c>
      <c r="B1089" s="42" t="str" cm="1">
        <f t="array" ref="B1089">IFERROR(INDEX({"URGENTE"},MATCH(TRUE,ISNUMBER(FIND(SUBSTITUTE(SUBSTITUTE(UPPER({"URGENTE"})," ",""),":",": "),SUBSTITUTE(SUBSTITUTE(UPPER(S1089)," ",""),":",": "))),0)),"-")</f>
        <v>-</v>
      </c>
      <c r="C1089" s="46" t="str" cm="1">
        <f t="array" ref="C1089">IFERROR(INDEX(#REF!,MATCH(TRUE,ISNUMBER(FIND(SUBSTITUTE(SUBSTITUTE(UPPER(#REF!)," ",""),":",": "),SUBSTITUTE(SUBSTITUTE(UPPER(S1089)," ",""),":",": "))),0)),"Não encontrado")</f>
        <v>Não encontrado</v>
      </c>
      <c r="D1089" s="46" t="str" cm="1">
        <f t="array" ref="D1089">IFERROR(INDEX(#REF!,MATCH(TRUE,ISNUMBER(FIND(SUBSTITUTE(SUBSTITUTE(UPPER(#REF!)," ",""),":",": "),SUBSTITUTE(SUBSTITUTE(UPPER(S1089)," ",""),":",": "))),0)),"Não encontrado")</f>
        <v>Não encontrado</v>
      </c>
      <c r="E1089" s="42" t="str" cm="1">
        <f t="array" ref="E1089">IFERROR(INDEX({"IMPEDITIVO"},MATCH(TRUE,ISNUMBER(FIND(SUBSTITUTE(SUBSTITUTE(UPPER({"IMPEDITIVO"})," ",""),":",": "),SUBSTITUTE(SUBSTITUTE(UPPER(S1089)," ",""),":",": "))),0)),"-")</f>
        <v>-</v>
      </c>
      <c r="K1089" s="49"/>
    </row>
    <row r="1090" spans="1:11" x14ac:dyDescent="0.25">
      <c r="A1090" s="46" t="str" cm="1">
        <f t="array" ref="A1090">IFERROR(INDEX(#REF!,MATCH(TRUE,ISNUMBER(FIND(SUBSTITUTE(SUBSTITUTE(UPPER(#REF!)," ",""),":",": "),SUBSTITUTE(SUBSTITUTE(UPPER(S1090)," ",""),":",": "))),0)),"Undefined")</f>
        <v>Undefined</v>
      </c>
      <c r="B1090" s="42" t="str" cm="1">
        <f t="array" ref="B1090">IFERROR(INDEX({"URGENTE"},MATCH(TRUE,ISNUMBER(FIND(SUBSTITUTE(SUBSTITUTE(UPPER({"URGENTE"})," ",""),":",": "),SUBSTITUTE(SUBSTITUTE(UPPER(S1090)," ",""),":",": "))),0)),"-")</f>
        <v>-</v>
      </c>
      <c r="C1090" s="46" t="str" cm="1">
        <f t="array" ref="C1090">IFERROR(INDEX(#REF!,MATCH(TRUE,ISNUMBER(FIND(SUBSTITUTE(SUBSTITUTE(UPPER(#REF!)," ",""),":",": "),SUBSTITUTE(SUBSTITUTE(UPPER(S1090)," ",""),":",": "))),0)),"Não encontrado")</f>
        <v>Não encontrado</v>
      </c>
      <c r="D1090" s="46" t="str" cm="1">
        <f t="array" ref="D1090">IFERROR(INDEX(#REF!,MATCH(TRUE,ISNUMBER(FIND(SUBSTITUTE(SUBSTITUTE(UPPER(#REF!)," ",""),":",": "),SUBSTITUTE(SUBSTITUTE(UPPER(S1090)," ",""),":",": "))),0)),"Não encontrado")</f>
        <v>Não encontrado</v>
      </c>
      <c r="E1090" s="42" t="str" cm="1">
        <f t="array" ref="E1090">IFERROR(INDEX({"IMPEDITIVO"},MATCH(TRUE,ISNUMBER(FIND(SUBSTITUTE(SUBSTITUTE(UPPER({"IMPEDITIVO"})," ",""),":",": "),SUBSTITUTE(SUBSTITUTE(UPPER(S1090)," ",""),":",": "))),0)),"-")</f>
        <v>-</v>
      </c>
      <c r="K1090" s="49"/>
    </row>
    <row r="1091" spans="1:11" x14ac:dyDescent="0.25">
      <c r="A1091" s="46" t="str" cm="1">
        <f t="array" ref="A1091">IFERROR(INDEX(#REF!,MATCH(TRUE,ISNUMBER(FIND(SUBSTITUTE(SUBSTITUTE(UPPER(#REF!)," ",""),":",": "),SUBSTITUTE(SUBSTITUTE(UPPER(S1091)," ",""),":",": "))),0)),"Undefined")</f>
        <v>Undefined</v>
      </c>
      <c r="B1091" s="42" t="str" cm="1">
        <f t="array" ref="B1091">IFERROR(INDEX({"URGENTE"},MATCH(TRUE,ISNUMBER(FIND(SUBSTITUTE(SUBSTITUTE(UPPER({"URGENTE"})," ",""),":",": "),SUBSTITUTE(SUBSTITUTE(UPPER(S1091)," ",""),":",": "))),0)),"-")</f>
        <v>-</v>
      </c>
      <c r="C1091" s="46" t="str" cm="1">
        <f t="array" ref="C1091">IFERROR(INDEX(#REF!,MATCH(TRUE,ISNUMBER(FIND(SUBSTITUTE(SUBSTITUTE(UPPER(#REF!)," ",""),":",": "),SUBSTITUTE(SUBSTITUTE(UPPER(S1091)," ",""),":",": "))),0)),"Não encontrado")</f>
        <v>Não encontrado</v>
      </c>
      <c r="D1091" s="46" t="str" cm="1">
        <f t="array" ref="D1091">IFERROR(INDEX(#REF!,MATCH(TRUE,ISNUMBER(FIND(SUBSTITUTE(SUBSTITUTE(UPPER(#REF!)," ",""),":",": "),SUBSTITUTE(SUBSTITUTE(UPPER(S1091)," ",""),":",": "))),0)),"Não encontrado")</f>
        <v>Não encontrado</v>
      </c>
      <c r="E1091" s="42" t="str" cm="1">
        <f t="array" ref="E1091">IFERROR(INDEX({"IMPEDITIVO"},MATCH(TRUE,ISNUMBER(FIND(SUBSTITUTE(SUBSTITUTE(UPPER({"IMPEDITIVO"})," ",""),":",": "),SUBSTITUTE(SUBSTITUTE(UPPER(S1091)," ",""),":",": "))),0)),"-")</f>
        <v>-</v>
      </c>
      <c r="K1091" s="49"/>
    </row>
    <row r="1092" spans="1:11" x14ac:dyDescent="0.25">
      <c r="A1092" s="46" t="str" cm="1">
        <f t="array" ref="A1092">IFERROR(INDEX(#REF!,MATCH(TRUE,ISNUMBER(FIND(SUBSTITUTE(SUBSTITUTE(UPPER(#REF!)," ",""),":",": "),SUBSTITUTE(SUBSTITUTE(UPPER(S1092)," ",""),":",": "))),0)),"Undefined")</f>
        <v>Undefined</v>
      </c>
      <c r="B1092" s="42" t="str" cm="1">
        <f t="array" ref="B1092">IFERROR(INDEX({"URGENTE"},MATCH(TRUE,ISNUMBER(FIND(SUBSTITUTE(SUBSTITUTE(UPPER({"URGENTE"})," ",""),":",": "),SUBSTITUTE(SUBSTITUTE(UPPER(S1092)," ",""),":",": "))),0)),"-")</f>
        <v>-</v>
      </c>
      <c r="C1092" s="46" t="str" cm="1">
        <f t="array" ref="C1092">IFERROR(INDEX(#REF!,MATCH(TRUE,ISNUMBER(FIND(SUBSTITUTE(SUBSTITUTE(UPPER(#REF!)," ",""),":",": "),SUBSTITUTE(SUBSTITUTE(UPPER(S1092)," ",""),":",": "))),0)),"Não encontrado")</f>
        <v>Não encontrado</v>
      </c>
      <c r="D1092" s="46" t="str" cm="1">
        <f t="array" ref="D1092">IFERROR(INDEX(#REF!,MATCH(TRUE,ISNUMBER(FIND(SUBSTITUTE(SUBSTITUTE(UPPER(#REF!)," ",""),":",": "),SUBSTITUTE(SUBSTITUTE(UPPER(S1092)," ",""),":",": "))),0)),"Não encontrado")</f>
        <v>Não encontrado</v>
      </c>
      <c r="E1092" s="42" t="str" cm="1">
        <f t="array" ref="E1092">IFERROR(INDEX({"IMPEDITIVO"},MATCH(TRUE,ISNUMBER(FIND(SUBSTITUTE(SUBSTITUTE(UPPER({"IMPEDITIVO"})," ",""),":",": "),SUBSTITUTE(SUBSTITUTE(UPPER(S1092)," ",""),":",": "))),0)),"-")</f>
        <v>-</v>
      </c>
      <c r="K1092" s="49"/>
    </row>
    <row r="1093" spans="1:11" x14ac:dyDescent="0.25">
      <c r="A1093" s="46" t="str" cm="1">
        <f t="array" ref="A1093">IFERROR(INDEX(#REF!,MATCH(TRUE,ISNUMBER(FIND(SUBSTITUTE(SUBSTITUTE(UPPER(#REF!)," ",""),":",": "),SUBSTITUTE(SUBSTITUTE(UPPER(S1093)," ",""),":",": "))),0)),"Undefined")</f>
        <v>Undefined</v>
      </c>
      <c r="B1093" s="42" t="str" cm="1">
        <f t="array" ref="B1093">IFERROR(INDEX({"URGENTE"},MATCH(TRUE,ISNUMBER(FIND(SUBSTITUTE(SUBSTITUTE(UPPER({"URGENTE"})," ",""),":",": "),SUBSTITUTE(SUBSTITUTE(UPPER(S1093)," ",""),":",": "))),0)),"-")</f>
        <v>-</v>
      </c>
      <c r="C1093" s="46" t="str" cm="1">
        <f t="array" ref="C1093">IFERROR(INDEX(#REF!,MATCH(TRUE,ISNUMBER(FIND(SUBSTITUTE(SUBSTITUTE(UPPER(#REF!)," ",""),":",": "),SUBSTITUTE(SUBSTITUTE(UPPER(S1093)," ",""),":",": "))),0)),"Não encontrado")</f>
        <v>Não encontrado</v>
      </c>
      <c r="D1093" s="46" t="str" cm="1">
        <f t="array" ref="D1093">IFERROR(INDEX(#REF!,MATCH(TRUE,ISNUMBER(FIND(SUBSTITUTE(SUBSTITUTE(UPPER(#REF!)," ",""),":",": "),SUBSTITUTE(SUBSTITUTE(UPPER(S1093)," ",""),":",": "))),0)),"Não encontrado")</f>
        <v>Não encontrado</v>
      </c>
      <c r="E1093" s="42" t="str" cm="1">
        <f t="array" ref="E1093">IFERROR(INDEX({"IMPEDITIVO"},MATCH(TRUE,ISNUMBER(FIND(SUBSTITUTE(SUBSTITUTE(UPPER({"IMPEDITIVO"})," ",""),":",": "),SUBSTITUTE(SUBSTITUTE(UPPER(S1093)," ",""),":",": "))),0)),"-")</f>
        <v>-</v>
      </c>
      <c r="K1093" s="49"/>
    </row>
    <row r="1094" spans="1:11" x14ac:dyDescent="0.25">
      <c r="A1094" s="46" t="str" cm="1">
        <f t="array" ref="A1094">IFERROR(INDEX(#REF!,MATCH(TRUE,ISNUMBER(FIND(SUBSTITUTE(SUBSTITUTE(UPPER(#REF!)," ",""),":",": "),SUBSTITUTE(SUBSTITUTE(UPPER(S1094)," ",""),":",": "))),0)),"Undefined")</f>
        <v>Undefined</v>
      </c>
      <c r="B1094" s="42" t="str" cm="1">
        <f t="array" ref="B1094">IFERROR(INDEX({"URGENTE"},MATCH(TRUE,ISNUMBER(FIND(SUBSTITUTE(SUBSTITUTE(UPPER({"URGENTE"})," ",""),":",": "),SUBSTITUTE(SUBSTITUTE(UPPER(S1094)," ",""),":",": "))),0)),"-")</f>
        <v>-</v>
      </c>
      <c r="C1094" s="46" t="str" cm="1">
        <f t="array" ref="C1094">IFERROR(INDEX(#REF!,MATCH(TRUE,ISNUMBER(FIND(SUBSTITUTE(SUBSTITUTE(UPPER(#REF!)," ",""),":",": "),SUBSTITUTE(SUBSTITUTE(UPPER(S1094)," ",""),":",": "))),0)),"Não encontrado")</f>
        <v>Não encontrado</v>
      </c>
      <c r="D1094" s="46" t="str" cm="1">
        <f t="array" ref="D1094">IFERROR(INDEX(#REF!,MATCH(TRUE,ISNUMBER(FIND(SUBSTITUTE(SUBSTITUTE(UPPER(#REF!)," ",""),":",": "),SUBSTITUTE(SUBSTITUTE(UPPER(S1094)," ",""),":",": "))),0)),"Não encontrado")</f>
        <v>Não encontrado</v>
      </c>
      <c r="E1094" s="42" t="str" cm="1">
        <f t="array" ref="E1094">IFERROR(INDEX({"IMPEDITIVO"},MATCH(TRUE,ISNUMBER(FIND(SUBSTITUTE(SUBSTITUTE(UPPER({"IMPEDITIVO"})," ",""),":",": "),SUBSTITUTE(SUBSTITUTE(UPPER(S1094)," ",""),":",": "))),0)),"-")</f>
        <v>-</v>
      </c>
      <c r="K1094" s="49"/>
    </row>
    <row r="1095" spans="1:11" x14ac:dyDescent="0.25">
      <c r="A1095" s="46" t="str" cm="1">
        <f t="array" ref="A1095">IFERROR(INDEX(#REF!,MATCH(TRUE,ISNUMBER(FIND(SUBSTITUTE(SUBSTITUTE(UPPER(#REF!)," ",""),":",": "),SUBSTITUTE(SUBSTITUTE(UPPER(S1095)," ",""),":",": "))),0)),"Undefined")</f>
        <v>Undefined</v>
      </c>
      <c r="B1095" s="42" t="str" cm="1">
        <f t="array" ref="B1095">IFERROR(INDEX({"URGENTE"},MATCH(TRUE,ISNUMBER(FIND(SUBSTITUTE(SUBSTITUTE(UPPER({"URGENTE"})," ",""),":",": "),SUBSTITUTE(SUBSTITUTE(UPPER(S1095)," ",""),":",": "))),0)),"-")</f>
        <v>-</v>
      </c>
      <c r="C1095" s="46" t="str" cm="1">
        <f t="array" ref="C1095">IFERROR(INDEX(#REF!,MATCH(TRUE,ISNUMBER(FIND(SUBSTITUTE(SUBSTITUTE(UPPER(#REF!)," ",""),":",": "),SUBSTITUTE(SUBSTITUTE(UPPER(S1095)," ",""),":",": "))),0)),"Não encontrado")</f>
        <v>Não encontrado</v>
      </c>
      <c r="D1095" s="46" t="str" cm="1">
        <f t="array" ref="D1095">IFERROR(INDEX(#REF!,MATCH(TRUE,ISNUMBER(FIND(SUBSTITUTE(SUBSTITUTE(UPPER(#REF!)," ",""),":",": "),SUBSTITUTE(SUBSTITUTE(UPPER(S1095)," ",""),":",": "))),0)),"Não encontrado")</f>
        <v>Não encontrado</v>
      </c>
      <c r="E1095" s="42" t="str" cm="1">
        <f t="array" ref="E1095">IFERROR(INDEX({"IMPEDITIVO"},MATCH(TRUE,ISNUMBER(FIND(SUBSTITUTE(SUBSTITUTE(UPPER({"IMPEDITIVO"})," ",""),":",": "),SUBSTITUTE(SUBSTITUTE(UPPER(S1095)," ",""),":",": "))),0)),"-")</f>
        <v>-</v>
      </c>
      <c r="K1095" s="49"/>
    </row>
    <row r="1096" spans="1:11" x14ac:dyDescent="0.25">
      <c r="A1096" s="46" t="str" cm="1">
        <f t="array" ref="A1096">IFERROR(INDEX(#REF!,MATCH(TRUE,ISNUMBER(FIND(SUBSTITUTE(SUBSTITUTE(UPPER(#REF!)," ",""),":",": "),SUBSTITUTE(SUBSTITUTE(UPPER(S1096)," ",""),":",": "))),0)),"Undefined")</f>
        <v>Undefined</v>
      </c>
      <c r="B1096" s="42" t="str" cm="1">
        <f t="array" ref="B1096">IFERROR(INDEX({"URGENTE"},MATCH(TRUE,ISNUMBER(FIND(SUBSTITUTE(SUBSTITUTE(UPPER({"URGENTE"})," ",""),":",": "),SUBSTITUTE(SUBSTITUTE(UPPER(S1096)," ",""),":",": "))),0)),"-")</f>
        <v>-</v>
      </c>
      <c r="C1096" s="46" t="str" cm="1">
        <f t="array" ref="C1096">IFERROR(INDEX(#REF!,MATCH(TRUE,ISNUMBER(FIND(SUBSTITUTE(SUBSTITUTE(UPPER(#REF!)," ",""),":",": "),SUBSTITUTE(SUBSTITUTE(UPPER(S1096)," ",""),":",": "))),0)),"Não encontrado")</f>
        <v>Não encontrado</v>
      </c>
      <c r="D1096" s="46" t="str" cm="1">
        <f t="array" ref="D1096">IFERROR(INDEX(#REF!,MATCH(TRUE,ISNUMBER(FIND(SUBSTITUTE(SUBSTITUTE(UPPER(#REF!)," ",""),":",": "),SUBSTITUTE(SUBSTITUTE(UPPER(S1096)," ",""),":",": "))),0)),"Não encontrado")</f>
        <v>Não encontrado</v>
      </c>
      <c r="E1096" s="42" t="str" cm="1">
        <f t="array" ref="E1096">IFERROR(INDEX({"IMPEDITIVO"},MATCH(TRUE,ISNUMBER(FIND(SUBSTITUTE(SUBSTITUTE(UPPER({"IMPEDITIVO"})," ",""),":",": "),SUBSTITUTE(SUBSTITUTE(UPPER(S1096)," ",""),":",": "))),0)),"-")</f>
        <v>-</v>
      </c>
      <c r="K1096" s="49"/>
    </row>
    <row r="1097" spans="1:11" x14ac:dyDescent="0.25">
      <c r="A1097" s="46" t="str" cm="1">
        <f t="array" ref="A1097">IFERROR(INDEX(#REF!,MATCH(TRUE,ISNUMBER(FIND(SUBSTITUTE(SUBSTITUTE(UPPER(#REF!)," ",""),":",": "),SUBSTITUTE(SUBSTITUTE(UPPER(S1097)," ",""),":",": "))),0)),"Undefined")</f>
        <v>Undefined</v>
      </c>
      <c r="B1097" s="42" t="str" cm="1">
        <f t="array" ref="B1097">IFERROR(INDEX({"URGENTE"},MATCH(TRUE,ISNUMBER(FIND(SUBSTITUTE(SUBSTITUTE(UPPER({"URGENTE"})," ",""),":",": "),SUBSTITUTE(SUBSTITUTE(UPPER(S1097)," ",""),":",": "))),0)),"-")</f>
        <v>-</v>
      </c>
      <c r="C1097" s="46" t="str" cm="1">
        <f t="array" ref="C1097">IFERROR(INDEX(#REF!,MATCH(TRUE,ISNUMBER(FIND(SUBSTITUTE(SUBSTITUTE(UPPER(#REF!)," ",""),":",": "),SUBSTITUTE(SUBSTITUTE(UPPER(S1097)," ",""),":",": "))),0)),"Não encontrado")</f>
        <v>Não encontrado</v>
      </c>
      <c r="D1097" s="46" t="str" cm="1">
        <f t="array" ref="D1097">IFERROR(INDEX(#REF!,MATCH(TRUE,ISNUMBER(FIND(SUBSTITUTE(SUBSTITUTE(UPPER(#REF!)," ",""),":",": "),SUBSTITUTE(SUBSTITUTE(UPPER(S1097)," ",""),":",": "))),0)),"Não encontrado")</f>
        <v>Não encontrado</v>
      </c>
      <c r="E1097" s="42" t="str" cm="1">
        <f t="array" ref="E1097">IFERROR(INDEX({"IMPEDITIVO"},MATCH(TRUE,ISNUMBER(FIND(SUBSTITUTE(SUBSTITUTE(UPPER({"IMPEDITIVO"})," ",""),":",": "),SUBSTITUTE(SUBSTITUTE(UPPER(S1097)," ",""),":",": "))),0)),"-")</f>
        <v>-</v>
      </c>
      <c r="K1097" s="49"/>
    </row>
    <row r="1098" spans="1:11" x14ac:dyDescent="0.25">
      <c r="A1098" s="46" t="str" cm="1">
        <f t="array" ref="A1098">IFERROR(INDEX(#REF!,MATCH(TRUE,ISNUMBER(FIND(SUBSTITUTE(SUBSTITUTE(UPPER(#REF!)," ",""),":",": "),SUBSTITUTE(SUBSTITUTE(UPPER(S1098)," ",""),":",": "))),0)),"Undefined")</f>
        <v>Undefined</v>
      </c>
      <c r="B1098" s="42" t="str" cm="1">
        <f t="array" ref="B1098">IFERROR(INDEX({"URGENTE"},MATCH(TRUE,ISNUMBER(FIND(SUBSTITUTE(SUBSTITUTE(UPPER({"URGENTE"})," ",""),":",": "),SUBSTITUTE(SUBSTITUTE(UPPER(S1098)," ",""),":",": "))),0)),"-")</f>
        <v>-</v>
      </c>
      <c r="C1098" s="46" t="str" cm="1">
        <f t="array" ref="C1098">IFERROR(INDEX(#REF!,MATCH(TRUE,ISNUMBER(FIND(SUBSTITUTE(SUBSTITUTE(UPPER(#REF!)," ",""),":",": "),SUBSTITUTE(SUBSTITUTE(UPPER(S1098)," ",""),":",": "))),0)),"Não encontrado")</f>
        <v>Não encontrado</v>
      </c>
      <c r="D1098" s="46" t="str" cm="1">
        <f t="array" ref="D1098">IFERROR(INDEX(#REF!,MATCH(TRUE,ISNUMBER(FIND(SUBSTITUTE(SUBSTITUTE(UPPER(#REF!)," ",""),":",": "),SUBSTITUTE(SUBSTITUTE(UPPER(S1098)," ",""),":",": "))),0)),"Não encontrado")</f>
        <v>Não encontrado</v>
      </c>
      <c r="E1098" s="42" t="str" cm="1">
        <f t="array" ref="E1098">IFERROR(INDEX({"IMPEDITIVO"},MATCH(TRUE,ISNUMBER(FIND(SUBSTITUTE(SUBSTITUTE(UPPER({"IMPEDITIVO"})," ",""),":",": "),SUBSTITUTE(SUBSTITUTE(UPPER(S1098)," ",""),":",": "))),0)),"-")</f>
        <v>-</v>
      </c>
      <c r="K1098" s="49"/>
    </row>
    <row r="1099" spans="1:11" x14ac:dyDescent="0.25">
      <c r="A1099" s="46" t="str" cm="1">
        <f t="array" ref="A1099">IFERROR(INDEX(#REF!,MATCH(TRUE,ISNUMBER(FIND(SUBSTITUTE(SUBSTITUTE(UPPER(#REF!)," ",""),":",": "),SUBSTITUTE(SUBSTITUTE(UPPER(S1099)," ",""),":",": "))),0)),"Undefined")</f>
        <v>Undefined</v>
      </c>
      <c r="B1099" s="42" t="str" cm="1">
        <f t="array" ref="B1099">IFERROR(INDEX({"URGENTE"},MATCH(TRUE,ISNUMBER(FIND(SUBSTITUTE(SUBSTITUTE(UPPER({"URGENTE"})," ",""),":",": "),SUBSTITUTE(SUBSTITUTE(UPPER(S1099)," ",""),":",": "))),0)),"-")</f>
        <v>-</v>
      </c>
      <c r="C1099" s="46" t="str" cm="1">
        <f t="array" ref="C1099">IFERROR(INDEX(#REF!,MATCH(TRUE,ISNUMBER(FIND(SUBSTITUTE(SUBSTITUTE(UPPER(#REF!)," ",""),":",": "),SUBSTITUTE(SUBSTITUTE(UPPER(S1099)," ",""),":",": "))),0)),"Não encontrado")</f>
        <v>Não encontrado</v>
      </c>
      <c r="D1099" s="46" t="str" cm="1">
        <f t="array" ref="D1099">IFERROR(INDEX(#REF!,MATCH(TRUE,ISNUMBER(FIND(SUBSTITUTE(SUBSTITUTE(UPPER(#REF!)," ",""),":",": "),SUBSTITUTE(SUBSTITUTE(UPPER(S1099)," ",""),":",": "))),0)),"Não encontrado")</f>
        <v>Não encontrado</v>
      </c>
      <c r="E1099" s="42" t="str" cm="1">
        <f t="array" ref="E1099">IFERROR(INDEX({"IMPEDITIVO"},MATCH(TRUE,ISNUMBER(FIND(SUBSTITUTE(SUBSTITUTE(UPPER({"IMPEDITIVO"})," ",""),":",": "),SUBSTITUTE(SUBSTITUTE(UPPER(S1099)," ",""),":",": "))),0)),"-")</f>
        <v>-</v>
      </c>
      <c r="K1099" s="49"/>
    </row>
    <row r="1100" spans="1:11" x14ac:dyDescent="0.25">
      <c r="A1100" s="46" t="str" cm="1">
        <f t="array" ref="A1100">IFERROR(INDEX(#REF!,MATCH(TRUE,ISNUMBER(FIND(SUBSTITUTE(SUBSTITUTE(UPPER(#REF!)," ",""),":",": "),SUBSTITUTE(SUBSTITUTE(UPPER(S1100)," ",""),":",": "))),0)),"Undefined")</f>
        <v>Undefined</v>
      </c>
      <c r="B1100" s="42" t="str" cm="1">
        <f t="array" ref="B1100">IFERROR(INDEX({"URGENTE"},MATCH(TRUE,ISNUMBER(FIND(SUBSTITUTE(SUBSTITUTE(UPPER({"URGENTE"})," ",""),":",": "),SUBSTITUTE(SUBSTITUTE(UPPER(S1100)," ",""),":",": "))),0)),"-")</f>
        <v>-</v>
      </c>
      <c r="C1100" s="46" t="str" cm="1">
        <f t="array" ref="C1100">IFERROR(INDEX(#REF!,MATCH(TRUE,ISNUMBER(FIND(SUBSTITUTE(SUBSTITUTE(UPPER(#REF!)," ",""),":",": "),SUBSTITUTE(SUBSTITUTE(UPPER(S1100)," ",""),":",": "))),0)),"Não encontrado")</f>
        <v>Não encontrado</v>
      </c>
      <c r="D1100" s="46" t="str" cm="1">
        <f t="array" ref="D1100">IFERROR(INDEX(#REF!,MATCH(TRUE,ISNUMBER(FIND(SUBSTITUTE(SUBSTITUTE(UPPER(#REF!)," ",""),":",": "),SUBSTITUTE(SUBSTITUTE(UPPER(S1100)," ",""),":",": "))),0)),"Não encontrado")</f>
        <v>Não encontrado</v>
      </c>
      <c r="E1100" s="42" t="str" cm="1">
        <f t="array" ref="E1100">IFERROR(INDEX({"IMPEDITIVO"},MATCH(TRUE,ISNUMBER(FIND(SUBSTITUTE(SUBSTITUTE(UPPER({"IMPEDITIVO"})," ",""),":",": "),SUBSTITUTE(SUBSTITUTE(UPPER(S1100)," ",""),":",": "))),0)),"-")</f>
        <v>-</v>
      </c>
      <c r="K1100" s="49"/>
    </row>
    <row r="1101" spans="1:11" x14ac:dyDescent="0.25">
      <c r="A1101" s="46" t="str" cm="1">
        <f t="array" ref="A1101">IFERROR(INDEX(#REF!,MATCH(TRUE,ISNUMBER(FIND(SUBSTITUTE(SUBSTITUTE(UPPER(#REF!)," ",""),":",": "),SUBSTITUTE(SUBSTITUTE(UPPER(S1101)," ",""),":",": "))),0)),"Undefined")</f>
        <v>Undefined</v>
      </c>
      <c r="B1101" s="42" t="str" cm="1">
        <f t="array" ref="B1101">IFERROR(INDEX({"URGENTE"},MATCH(TRUE,ISNUMBER(FIND(SUBSTITUTE(SUBSTITUTE(UPPER({"URGENTE"})," ",""),":",": "),SUBSTITUTE(SUBSTITUTE(UPPER(S1101)," ",""),":",": "))),0)),"-")</f>
        <v>-</v>
      </c>
      <c r="C1101" s="46" t="str" cm="1">
        <f t="array" ref="C1101">IFERROR(INDEX(#REF!,MATCH(TRUE,ISNUMBER(FIND(SUBSTITUTE(SUBSTITUTE(UPPER(#REF!)," ",""),":",": "),SUBSTITUTE(SUBSTITUTE(UPPER(S1101)," ",""),":",": "))),0)),"Não encontrado")</f>
        <v>Não encontrado</v>
      </c>
      <c r="D1101" s="46" t="str" cm="1">
        <f t="array" ref="D1101">IFERROR(INDEX(#REF!,MATCH(TRUE,ISNUMBER(FIND(SUBSTITUTE(SUBSTITUTE(UPPER(#REF!)," ",""),":",": "),SUBSTITUTE(SUBSTITUTE(UPPER(S1101)," ",""),":",": "))),0)),"Não encontrado")</f>
        <v>Não encontrado</v>
      </c>
      <c r="E1101" s="42" t="str" cm="1">
        <f t="array" ref="E1101">IFERROR(INDEX({"IMPEDITIVO"},MATCH(TRUE,ISNUMBER(FIND(SUBSTITUTE(SUBSTITUTE(UPPER({"IMPEDITIVO"})," ",""),":",": "),SUBSTITUTE(SUBSTITUTE(UPPER(S1101)," ",""),":",": "))),0)),"-")</f>
        <v>-</v>
      </c>
      <c r="K1101" s="49"/>
    </row>
    <row r="1102" spans="1:11" x14ac:dyDescent="0.25">
      <c r="A1102" s="46" t="str" cm="1">
        <f t="array" ref="A1102">IFERROR(INDEX(#REF!,MATCH(TRUE,ISNUMBER(FIND(SUBSTITUTE(SUBSTITUTE(UPPER(#REF!)," ",""),":",": "),SUBSTITUTE(SUBSTITUTE(UPPER(S1102)," ",""),":",": "))),0)),"Undefined")</f>
        <v>Undefined</v>
      </c>
      <c r="B1102" s="42" t="str" cm="1">
        <f t="array" ref="B1102">IFERROR(INDEX({"URGENTE"},MATCH(TRUE,ISNUMBER(FIND(SUBSTITUTE(SUBSTITUTE(UPPER({"URGENTE"})," ",""),":",": "),SUBSTITUTE(SUBSTITUTE(UPPER(S1102)," ",""),":",": "))),0)),"-")</f>
        <v>-</v>
      </c>
      <c r="C1102" s="46" t="str" cm="1">
        <f t="array" ref="C1102">IFERROR(INDEX(#REF!,MATCH(TRUE,ISNUMBER(FIND(SUBSTITUTE(SUBSTITUTE(UPPER(#REF!)," ",""),":",": "),SUBSTITUTE(SUBSTITUTE(UPPER(S1102)," ",""),":",": "))),0)),"Não encontrado")</f>
        <v>Não encontrado</v>
      </c>
      <c r="D1102" s="46" t="str" cm="1">
        <f t="array" ref="D1102">IFERROR(INDEX(#REF!,MATCH(TRUE,ISNUMBER(FIND(SUBSTITUTE(SUBSTITUTE(UPPER(#REF!)," ",""),":",": "),SUBSTITUTE(SUBSTITUTE(UPPER(S1102)," ",""),":",": "))),0)),"Não encontrado")</f>
        <v>Não encontrado</v>
      </c>
      <c r="E1102" s="42" t="str" cm="1">
        <f t="array" ref="E1102">IFERROR(INDEX({"IMPEDITIVO"},MATCH(TRUE,ISNUMBER(FIND(SUBSTITUTE(SUBSTITUTE(UPPER({"IMPEDITIVO"})," ",""),":",": "),SUBSTITUTE(SUBSTITUTE(UPPER(S1102)," ",""),":",": "))),0)),"-")</f>
        <v>-</v>
      </c>
      <c r="K1102" s="49"/>
    </row>
    <row r="1103" spans="1:11" x14ac:dyDescent="0.25">
      <c r="A1103" s="46" t="str" cm="1">
        <f t="array" ref="A1103">IFERROR(INDEX(#REF!,MATCH(TRUE,ISNUMBER(FIND(SUBSTITUTE(SUBSTITUTE(UPPER(#REF!)," ",""),":",": "),SUBSTITUTE(SUBSTITUTE(UPPER(S1103)," ",""),":",": "))),0)),"Undefined")</f>
        <v>Undefined</v>
      </c>
      <c r="B1103" s="42" t="str" cm="1">
        <f t="array" ref="B1103">IFERROR(INDEX({"URGENTE"},MATCH(TRUE,ISNUMBER(FIND(SUBSTITUTE(SUBSTITUTE(UPPER({"URGENTE"})," ",""),":",": "),SUBSTITUTE(SUBSTITUTE(UPPER(S1103)," ",""),":",": "))),0)),"-")</f>
        <v>-</v>
      </c>
      <c r="C1103" s="46" t="str" cm="1">
        <f t="array" ref="C1103">IFERROR(INDEX(#REF!,MATCH(TRUE,ISNUMBER(FIND(SUBSTITUTE(SUBSTITUTE(UPPER(#REF!)," ",""),":",": "),SUBSTITUTE(SUBSTITUTE(UPPER(S1103)," ",""),":",": "))),0)),"Não encontrado")</f>
        <v>Não encontrado</v>
      </c>
      <c r="D1103" s="46" t="str" cm="1">
        <f t="array" ref="D1103">IFERROR(INDEX(#REF!,MATCH(TRUE,ISNUMBER(FIND(SUBSTITUTE(SUBSTITUTE(UPPER(#REF!)," ",""),":",": "),SUBSTITUTE(SUBSTITUTE(UPPER(S1103)," ",""),":",": "))),0)),"Não encontrado")</f>
        <v>Não encontrado</v>
      </c>
      <c r="E1103" s="42" t="str" cm="1">
        <f t="array" ref="E1103">IFERROR(INDEX({"IMPEDITIVO"},MATCH(TRUE,ISNUMBER(FIND(SUBSTITUTE(SUBSTITUTE(UPPER({"IMPEDITIVO"})," ",""),":",": "),SUBSTITUTE(SUBSTITUTE(UPPER(S1103)," ",""),":",": "))),0)),"-")</f>
        <v>-</v>
      </c>
      <c r="K1103" s="49"/>
    </row>
    <row r="1104" spans="1:11" x14ac:dyDescent="0.25">
      <c r="A1104" s="46" t="str" cm="1">
        <f t="array" ref="A1104">IFERROR(INDEX(#REF!,MATCH(TRUE,ISNUMBER(FIND(SUBSTITUTE(SUBSTITUTE(UPPER(#REF!)," ",""),":",": "),SUBSTITUTE(SUBSTITUTE(UPPER(S1104)," ",""),":",": "))),0)),"Undefined")</f>
        <v>Undefined</v>
      </c>
      <c r="B1104" s="42" t="str" cm="1">
        <f t="array" ref="B1104">IFERROR(INDEX({"URGENTE"},MATCH(TRUE,ISNUMBER(FIND(SUBSTITUTE(SUBSTITUTE(UPPER({"URGENTE"})," ",""),":",": "),SUBSTITUTE(SUBSTITUTE(UPPER(S1104)," ",""),":",": "))),0)),"-")</f>
        <v>-</v>
      </c>
      <c r="C1104" s="46" t="str" cm="1">
        <f t="array" ref="C1104">IFERROR(INDEX(#REF!,MATCH(TRUE,ISNUMBER(FIND(SUBSTITUTE(SUBSTITUTE(UPPER(#REF!)," ",""),":",": "),SUBSTITUTE(SUBSTITUTE(UPPER(S1104)," ",""),":",": "))),0)),"Não encontrado")</f>
        <v>Não encontrado</v>
      </c>
      <c r="D1104" s="46" t="str" cm="1">
        <f t="array" ref="D1104">IFERROR(INDEX(#REF!,MATCH(TRUE,ISNUMBER(FIND(SUBSTITUTE(SUBSTITUTE(UPPER(#REF!)," ",""),":",": "),SUBSTITUTE(SUBSTITUTE(UPPER(S1104)," ",""),":",": "))),0)),"Não encontrado")</f>
        <v>Não encontrado</v>
      </c>
      <c r="E1104" s="42" t="str" cm="1">
        <f t="array" ref="E1104">IFERROR(INDEX({"IMPEDITIVO"},MATCH(TRUE,ISNUMBER(FIND(SUBSTITUTE(SUBSTITUTE(UPPER({"IMPEDITIVO"})," ",""),":",": "),SUBSTITUTE(SUBSTITUTE(UPPER(S1104)," ",""),":",": "))),0)),"-")</f>
        <v>-</v>
      </c>
      <c r="K1104" s="49"/>
    </row>
    <row r="1105" spans="1:11" x14ac:dyDescent="0.25">
      <c r="A1105" s="46" t="str" cm="1">
        <f t="array" ref="A1105">IFERROR(INDEX(#REF!,MATCH(TRUE,ISNUMBER(FIND(SUBSTITUTE(SUBSTITUTE(UPPER(#REF!)," ",""),":",": "),SUBSTITUTE(SUBSTITUTE(UPPER(S1105)," ",""),":",": "))),0)),"Undefined")</f>
        <v>Undefined</v>
      </c>
      <c r="B1105" s="42" t="str" cm="1">
        <f t="array" ref="B1105">IFERROR(INDEX({"URGENTE"},MATCH(TRUE,ISNUMBER(FIND(SUBSTITUTE(SUBSTITUTE(UPPER({"URGENTE"})," ",""),":",": "),SUBSTITUTE(SUBSTITUTE(UPPER(S1105)," ",""),":",": "))),0)),"-")</f>
        <v>-</v>
      </c>
      <c r="C1105" s="46" t="str" cm="1">
        <f t="array" ref="C1105">IFERROR(INDEX(#REF!,MATCH(TRUE,ISNUMBER(FIND(SUBSTITUTE(SUBSTITUTE(UPPER(#REF!)," ",""),":",": "),SUBSTITUTE(SUBSTITUTE(UPPER(S1105)," ",""),":",": "))),0)),"Não encontrado")</f>
        <v>Não encontrado</v>
      </c>
      <c r="D1105" s="46" t="str" cm="1">
        <f t="array" ref="D1105">IFERROR(INDEX(#REF!,MATCH(TRUE,ISNUMBER(FIND(SUBSTITUTE(SUBSTITUTE(UPPER(#REF!)," ",""),":",": "),SUBSTITUTE(SUBSTITUTE(UPPER(S1105)," ",""),":",": "))),0)),"Não encontrado")</f>
        <v>Não encontrado</v>
      </c>
      <c r="E1105" s="42" t="str" cm="1">
        <f t="array" ref="E1105">IFERROR(INDEX({"IMPEDITIVO"},MATCH(TRUE,ISNUMBER(FIND(SUBSTITUTE(SUBSTITUTE(UPPER({"IMPEDITIVO"})," ",""),":",": "),SUBSTITUTE(SUBSTITUTE(UPPER(S1105)," ",""),":",": "))),0)),"-")</f>
        <v>-</v>
      </c>
      <c r="K1105" s="49"/>
    </row>
    <row r="1106" spans="1:11" x14ac:dyDescent="0.25">
      <c r="A1106" s="46" t="str" cm="1">
        <f t="array" ref="A1106">IFERROR(INDEX(#REF!,MATCH(TRUE,ISNUMBER(FIND(SUBSTITUTE(SUBSTITUTE(UPPER(#REF!)," ",""),":",": "),SUBSTITUTE(SUBSTITUTE(UPPER(S1106)," ",""),":",": "))),0)),"Undefined")</f>
        <v>Undefined</v>
      </c>
      <c r="B1106" s="42" t="str" cm="1">
        <f t="array" ref="B1106">IFERROR(INDEX({"URGENTE"},MATCH(TRUE,ISNUMBER(FIND(SUBSTITUTE(SUBSTITUTE(UPPER({"URGENTE"})," ",""),":",": "),SUBSTITUTE(SUBSTITUTE(UPPER(S1106)," ",""),":",": "))),0)),"-")</f>
        <v>-</v>
      </c>
      <c r="C1106" s="46" t="str" cm="1">
        <f t="array" ref="C1106">IFERROR(INDEX(#REF!,MATCH(TRUE,ISNUMBER(FIND(SUBSTITUTE(SUBSTITUTE(UPPER(#REF!)," ",""),":",": "),SUBSTITUTE(SUBSTITUTE(UPPER(S1106)," ",""),":",": "))),0)),"Não encontrado")</f>
        <v>Não encontrado</v>
      </c>
      <c r="D1106" s="46" t="str" cm="1">
        <f t="array" ref="D1106">IFERROR(INDEX(#REF!,MATCH(TRUE,ISNUMBER(FIND(SUBSTITUTE(SUBSTITUTE(UPPER(#REF!)," ",""),":",": "),SUBSTITUTE(SUBSTITUTE(UPPER(S1106)," ",""),":",": "))),0)),"Não encontrado")</f>
        <v>Não encontrado</v>
      </c>
      <c r="E1106" s="42" t="str" cm="1">
        <f t="array" ref="E1106">IFERROR(INDEX({"IMPEDITIVO"},MATCH(TRUE,ISNUMBER(FIND(SUBSTITUTE(SUBSTITUTE(UPPER({"IMPEDITIVO"})," ",""),":",": "),SUBSTITUTE(SUBSTITUTE(UPPER(S1106)," ",""),":",": "))),0)),"-")</f>
        <v>-</v>
      </c>
      <c r="K1106" s="49"/>
    </row>
    <row r="1107" spans="1:11" x14ac:dyDescent="0.25">
      <c r="A1107" s="46" t="str" cm="1">
        <f t="array" ref="A1107">IFERROR(INDEX(#REF!,MATCH(TRUE,ISNUMBER(FIND(SUBSTITUTE(SUBSTITUTE(UPPER(#REF!)," ",""),":",": "),SUBSTITUTE(SUBSTITUTE(UPPER(S1107)," ",""),":",": "))),0)),"Undefined")</f>
        <v>Undefined</v>
      </c>
      <c r="B1107" s="42" t="str" cm="1">
        <f t="array" ref="B1107">IFERROR(INDEX({"URGENTE"},MATCH(TRUE,ISNUMBER(FIND(SUBSTITUTE(SUBSTITUTE(UPPER({"URGENTE"})," ",""),":",": "),SUBSTITUTE(SUBSTITUTE(UPPER(S1107)," ",""),":",": "))),0)),"-")</f>
        <v>-</v>
      </c>
      <c r="C1107" s="46" t="str" cm="1">
        <f t="array" ref="C1107">IFERROR(INDEX(#REF!,MATCH(TRUE,ISNUMBER(FIND(SUBSTITUTE(SUBSTITUTE(UPPER(#REF!)," ",""),":",": "),SUBSTITUTE(SUBSTITUTE(UPPER(S1107)," ",""),":",": "))),0)),"Não encontrado")</f>
        <v>Não encontrado</v>
      </c>
      <c r="D1107" s="46" t="str" cm="1">
        <f t="array" ref="D1107">IFERROR(INDEX(#REF!,MATCH(TRUE,ISNUMBER(FIND(SUBSTITUTE(SUBSTITUTE(UPPER(#REF!)," ",""),":",": "),SUBSTITUTE(SUBSTITUTE(UPPER(S1107)," ",""),":",": "))),0)),"Não encontrado")</f>
        <v>Não encontrado</v>
      </c>
      <c r="E1107" s="42" t="str" cm="1">
        <f t="array" ref="E1107">IFERROR(INDEX({"IMPEDITIVO"},MATCH(TRUE,ISNUMBER(FIND(SUBSTITUTE(SUBSTITUTE(UPPER({"IMPEDITIVO"})," ",""),":",": "),SUBSTITUTE(SUBSTITUTE(UPPER(S1107)," ",""),":",": "))),0)),"-")</f>
        <v>-</v>
      </c>
      <c r="K1107" s="49"/>
    </row>
    <row r="1108" spans="1:11" x14ac:dyDescent="0.25">
      <c r="A1108" s="46" t="str" cm="1">
        <f t="array" ref="A1108">IFERROR(INDEX(#REF!,MATCH(TRUE,ISNUMBER(FIND(SUBSTITUTE(SUBSTITUTE(UPPER(#REF!)," ",""),":",": "),SUBSTITUTE(SUBSTITUTE(UPPER(S1108)," ",""),":",": "))),0)),"Undefined")</f>
        <v>Undefined</v>
      </c>
      <c r="B1108" s="42" t="str" cm="1">
        <f t="array" ref="B1108">IFERROR(INDEX({"URGENTE"},MATCH(TRUE,ISNUMBER(FIND(SUBSTITUTE(SUBSTITUTE(UPPER({"URGENTE"})," ",""),":",": "),SUBSTITUTE(SUBSTITUTE(UPPER(S1108)," ",""),":",": "))),0)),"-")</f>
        <v>-</v>
      </c>
      <c r="C1108" s="46" t="str" cm="1">
        <f t="array" ref="C1108">IFERROR(INDEX(#REF!,MATCH(TRUE,ISNUMBER(FIND(SUBSTITUTE(SUBSTITUTE(UPPER(#REF!)," ",""),":",": "),SUBSTITUTE(SUBSTITUTE(UPPER(S1108)," ",""),":",": "))),0)),"Não encontrado")</f>
        <v>Não encontrado</v>
      </c>
      <c r="D1108" s="46" t="str" cm="1">
        <f t="array" ref="D1108">IFERROR(INDEX(#REF!,MATCH(TRUE,ISNUMBER(FIND(SUBSTITUTE(SUBSTITUTE(UPPER(#REF!)," ",""),":",": "),SUBSTITUTE(SUBSTITUTE(UPPER(S1108)," ",""),":",": "))),0)),"Não encontrado")</f>
        <v>Não encontrado</v>
      </c>
      <c r="E1108" s="42" t="str" cm="1">
        <f t="array" ref="E1108">IFERROR(INDEX({"IMPEDITIVO"},MATCH(TRUE,ISNUMBER(FIND(SUBSTITUTE(SUBSTITUTE(UPPER({"IMPEDITIVO"})," ",""),":",": "),SUBSTITUTE(SUBSTITUTE(UPPER(S1108)," ",""),":",": "))),0)),"-")</f>
        <v>-</v>
      </c>
      <c r="K1108" s="49"/>
    </row>
    <row r="1109" spans="1:11" x14ac:dyDescent="0.25">
      <c r="A1109" s="46" t="str" cm="1">
        <f t="array" ref="A1109">IFERROR(INDEX(#REF!,MATCH(TRUE,ISNUMBER(FIND(SUBSTITUTE(SUBSTITUTE(UPPER(#REF!)," ",""),":",": "),SUBSTITUTE(SUBSTITUTE(UPPER(S1109)," ",""),":",": "))),0)),"Undefined")</f>
        <v>Undefined</v>
      </c>
      <c r="B1109" s="42" t="str" cm="1">
        <f t="array" ref="B1109">IFERROR(INDEX({"URGENTE"},MATCH(TRUE,ISNUMBER(FIND(SUBSTITUTE(SUBSTITUTE(UPPER({"URGENTE"})," ",""),":",": "),SUBSTITUTE(SUBSTITUTE(UPPER(S1109)," ",""),":",": "))),0)),"-")</f>
        <v>-</v>
      </c>
      <c r="C1109" s="46" t="str" cm="1">
        <f t="array" ref="C1109">IFERROR(INDEX(#REF!,MATCH(TRUE,ISNUMBER(FIND(SUBSTITUTE(SUBSTITUTE(UPPER(#REF!)," ",""),":",": "),SUBSTITUTE(SUBSTITUTE(UPPER(S1109)," ",""),":",": "))),0)),"Não encontrado")</f>
        <v>Não encontrado</v>
      </c>
      <c r="D1109" s="46" t="str" cm="1">
        <f t="array" ref="D1109">IFERROR(INDEX(#REF!,MATCH(TRUE,ISNUMBER(FIND(SUBSTITUTE(SUBSTITUTE(UPPER(#REF!)," ",""),":",": "),SUBSTITUTE(SUBSTITUTE(UPPER(S1109)," ",""),":",": "))),0)),"Não encontrado")</f>
        <v>Não encontrado</v>
      </c>
      <c r="E1109" s="42" t="str" cm="1">
        <f t="array" ref="E1109">IFERROR(INDEX({"IMPEDITIVO"},MATCH(TRUE,ISNUMBER(FIND(SUBSTITUTE(SUBSTITUTE(UPPER({"IMPEDITIVO"})," ",""),":",": "),SUBSTITUTE(SUBSTITUTE(UPPER(S1109)," ",""),":",": "))),0)),"-")</f>
        <v>-</v>
      </c>
      <c r="K1109" s="49"/>
    </row>
    <row r="1110" spans="1:11" x14ac:dyDescent="0.25">
      <c r="A1110" s="46" t="str" cm="1">
        <f t="array" ref="A1110">IFERROR(INDEX(#REF!,MATCH(TRUE,ISNUMBER(FIND(SUBSTITUTE(SUBSTITUTE(UPPER(#REF!)," ",""),":",": "),SUBSTITUTE(SUBSTITUTE(UPPER(S1110)," ",""),":",": "))),0)),"Undefined")</f>
        <v>Undefined</v>
      </c>
      <c r="B1110" s="42" t="str" cm="1">
        <f t="array" ref="B1110">IFERROR(INDEX({"URGENTE"},MATCH(TRUE,ISNUMBER(FIND(SUBSTITUTE(SUBSTITUTE(UPPER({"URGENTE"})," ",""),":",": "),SUBSTITUTE(SUBSTITUTE(UPPER(S1110)," ",""),":",": "))),0)),"-")</f>
        <v>-</v>
      </c>
      <c r="C1110" s="46" t="str" cm="1">
        <f t="array" ref="C1110">IFERROR(INDEX(#REF!,MATCH(TRUE,ISNUMBER(FIND(SUBSTITUTE(SUBSTITUTE(UPPER(#REF!)," ",""),":",": "),SUBSTITUTE(SUBSTITUTE(UPPER(S1110)," ",""),":",": "))),0)),"Não encontrado")</f>
        <v>Não encontrado</v>
      </c>
      <c r="D1110" s="46" t="str" cm="1">
        <f t="array" ref="D1110">IFERROR(INDEX(#REF!,MATCH(TRUE,ISNUMBER(FIND(SUBSTITUTE(SUBSTITUTE(UPPER(#REF!)," ",""),":",": "),SUBSTITUTE(SUBSTITUTE(UPPER(S1110)," ",""),":",": "))),0)),"Não encontrado")</f>
        <v>Não encontrado</v>
      </c>
      <c r="E1110" s="42" t="str" cm="1">
        <f t="array" ref="E1110">IFERROR(INDEX({"IMPEDITIVO"},MATCH(TRUE,ISNUMBER(FIND(SUBSTITUTE(SUBSTITUTE(UPPER({"IMPEDITIVO"})," ",""),":",": "),SUBSTITUTE(SUBSTITUTE(UPPER(S1110)," ",""),":",": "))),0)),"-")</f>
        <v>-</v>
      </c>
      <c r="K1110" s="49"/>
    </row>
    <row r="1111" spans="1:11" x14ac:dyDescent="0.25">
      <c r="A1111" s="46" t="str" cm="1">
        <f t="array" ref="A1111">IFERROR(INDEX(#REF!,MATCH(TRUE,ISNUMBER(FIND(SUBSTITUTE(SUBSTITUTE(UPPER(#REF!)," ",""),":",": "),SUBSTITUTE(SUBSTITUTE(UPPER(S1111)," ",""),":",": "))),0)),"Undefined")</f>
        <v>Undefined</v>
      </c>
      <c r="B1111" s="42" t="str" cm="1">
        <f t="array" ref="B1111">IFERROR(INDEX({"URGENTE"},MATCH(TRUE,ISNUMBER(FIND(SUBSTITUTE(SUBSTITUTE(UPPER({"URGENTE"})," ",""),":",": "),SUBSTITUTE(SUBSTITUTE(UPPER(S1111)," ",""),":",": "))),0)),"-")</f>
        <v>-</v>
      </c>
      <c r="C1111" s="46" t="str" cm="1">
        <f t="array" ref="C1111">IFERROR(INDEX(#REF!,MATCH(TRUE,ISNUMBER(FIND(SUBSTITUTE(SUBSTITUTE(UPPER(#REF!)," ",""),":",": "),SUBSTITUTE(SUBSTITUTE(UPPER(S1111)," ",""),":",": "))),0)),"Não encontrado")</f>
        <v>Não encontrado</v>
      </c>
      <c r="D1111" s="46" t="str" cm="1">
        <f t="array" ref="D1111">IFERROR(INDEX(#REF!,MATCH(TRUE,ISNUMBER(FIND(SUBSTITUTE(SUBSTITUTE(UPPER(#REF!)," ",""),":",": "),SUBSTITUTE(SUBSTITUTE(UPPER(S1111)," ",""),":",": "))),0)),"Não encontrado")</f>
        <v>Não encontrado</v>
      </c>
      <c r="E1111" s="42" t="str" cm="1">
        <f t="array" ref="E1111">IFERROR(INDEX({"IMPEDITIVO"},MATCH(TRUE,ISNUMBER(FIND(SUBSTITUTE(SUBSTITUTE(UPPER({"IMPEDITIVO"})," ",""),":",": "),SUBSTITUTE(SUBSTITUTE(UPPER(S1111)," ",""),":",": "))),0)),"-")</f>
        <v>-</v>
      </c>
      <c r="K1111" s="49"/>
    </row>
    <row r="1112" spans="1:11" x14ac:dyDescent="0.25">
      <c r="A1112" s="46" t="str" cm="1">
        <f t="array" ref="A1112">IFERROR(INDEX(#REF!,MATCH(TRUE,ISNUMBER(FIND(SUBSTITUTE(SUBSTITUTE(UPPER(#REF!)," ",""),":",": "),SUBSTITUTE(SUBSTITUTE(UPPER(S1112)," ",""),":",": "))),0)),"Undefined")</f>
        <v>Undefined</v>
      </c>
      <c r="B1112" s="42" t="str" cm="1">
        <f t="array" ref="B1112">IFERROR(INDEX({"URGENTE"},MATCH(TRUE,ISNUMBER(FIND(SUBSTITUTE(SUBSTITUTE(UPPER({"URGENTE"})," ",""),":",": "),SUBSTITUTE(SUBSTITUTE(UPPER(S1112)," ",""),":",": "))),0)),"-")</f>
        <v>-</v>
      </c>
      <c r="C1112" s="46" t="str" cm="1">
        <f t="array" ref="C1112">IFERROR(INDEX(#REF!,MATCH(TRUE,ISNUMBER(FIND(SUBSTITUTE(SUBSTITUTE(UPPER(#REF!)," ",""),":",": "),SUBSTITUTE(SUBSTITUTE(UPPER(S1112)," ",""),":",": "))),0)),"Não encontrado")</f>
        <v>Não encontrado</v>
      </c>
      <c r="D1112" s="46" t="str" cm="1">
        <f t="array" ref="D1112">IFERROR(INDEX(#REF!,MATCH(TRUE,ISNUMBER(FIND(SUBSTITUTE(SUBSTITUTE(UPPER(#REF!)," ",""),":",": "),SUBSTITUTE(SUBSTITUTE(UPPER(S1112)," ",""),":",": "))),0)),"Não encontrado")</f>
        <v>Não encontrado</v>
      </c>
      <c r="E1112" s="42" t="str" cm="1">
        <f t="array" ref="E1112">IFERROR(INDEX({"IMPEDITIVO"},MATCH(TRUE,ISNUMBER(FIND(SUBSTITUTE(SUBSTITUTE(UPPER({"IMPEDITIVO"})," ",""),":",": "),SUBSTITUTE(SUBSTITUTE(UPPER(S1112)," ",""),":",": "))),0)),"-")</f>
        <v>-</v>
      </c>
      <c r="K1112" s="49"/>
    </row>
    <row r="1113" spans="1:11" x14ac:dyDescent="0.25">
      <c r="A1113" s="46" t="str" cm="1">
        <f t="array" ref="A1113">IFERROR(INDEX(#REF!,MATCH(TRUE,ISNUMBER(FIND(SUBSTITUTE(SUBSTITUTE(UPPER(#REF!)," ",""),":",": "),SUBSTITUTE(SUBSTITUTE(UPPER(S1113)," ",""),":",": "))),0)),"Undefined")</f>
        <v>Undefined</v>
      </c>
      <c r="B1113" s="42" t="str" cm="1">
        <f t="array" ref="B1113">IFERROR(INDEX({"URGENTE"},MATCH(TRUE,ISNUMBER(FIND(SUBSTITUTE(SUBSTITUTE(UPPER({"URGENTE"})," ",""),":",": "),SUBSTITUTE(SUBSTITUTE(UPPER(S1113)," ",""),":",": "))),0)),"-")</f>
        <v>-</v>
      </c>
      <c r="C1113" s="46" t="str" cm="1">
        <f t="array" ref="C1113">IFERROR(INDEX(#REF!,MATCH(TRUE,ISNUMBER(FIND(SUBSTITUTE(SUBSTITUTE(UPPER(#REF!)," ",""),":",": "),SUBSTITUTE(SUBSTITUTE(UPPER(S1113)," ",""),":",": "))),0)),"Não encontrado")</f>
        <v>Não encontrado</v>
      </c>
      <c r="D1113" s="46" t="str" cm="1">
        <f t="array" ref="D1113">IFERROR(INDEX(#REF!,MATCH(TRUE,ISNUMBER(FIND(SUBSTITUTE(SUBSTITUTE(UPPER(#REF!)," ",""),":",": "),SUBSTITUTE(SUBSTITUTE(UPPER(S1113)," ",""),":",": "))),0)),"Não encontrado")</f>
        <v>Não encontrado</v>
      </c>
      <c r="E1113" s="42" t="str" cm="1">
        <f t="array" ref="E1113">IFERROR(INDEX({"IMPEDITIVO"},MATCH(TRUE,ISNUMBER(FIND(SUBSTITUTE(SUBSTITUTE(UPPER({"IMPEDITIVO"})," ",""),":",": "),SUBSTITUTE(SUBSTITUTE(UPPER(S1113)," ",""),":",": "))),0)),"-")</f>
        <v>-</v>
      </c>
      <c r="K1113" s="49"/>
    </row>
    <row r="1114" spans="1:11" x14ac:dyDescent="0.25">
      <c r="A1114" s="46" t="str" cm="1">
        <f t="array" ref="A1114">IFERROR(INDEX(#REF!,MATCH(TRUE,ISNUMBER(FIND(SUBSTITUTE(SUBSTITUTE(UPPER(#REF!)," ",""),":",": "),SUBSTITUTE(SUBSTITUTE(UPPER(S1114)," ",""),":",": "))),0)),"Undefined")</f>
        <v>Undefined</v>
      </c>
      <c r="B1114" s="42" t="str" cm="1">
        <f t="array" ref="B1114">IFERROR(INDEX({"URGENTE"},MATCH(TRUE,ISNUMBER(FIND(SUBSTITUTE(SUBSTITUTE(UPPER({"URGENTE"})," ",""),":",": "),SUBSTITUTE(SUBSTITUTE(UPPER(S1114)," ",""),":",": "))),0)),"-")</f>
        <v>-</v>
      </c>
      <c r="C1114" s="46" t="str" cm="1">
        <f t="array" ref="C1114">IFERROR(INDEX(#REF!,MATCH(TRUE,ISNUMBER(FIND(SUBSTITUTE(SUBSTITUTE(UPPER(#REF!)," ",""),":",": "),SUBSTITUTE(SUBSTITUTE(UPPER(S1114)," ",""),":",": "))),0)),"Não encontrado")</f>
        <v>Não encontrado</v>
      </c>
      <c r="D1114" s="46" t="str" cm="1">
        <f t="array" ref="D1114">IFERROR(INDEX(#REF!,MATCH(TRUE,ISNUMBER(FIND(SUBSTITUTE(SUBSTITUTE(UPPER(#REF!)," ",""),":",": "),SUBSTITUTE(SUBSTITUTE(UPPER(S1114)," ",""),":",": "))),0)),"Não encontrado")</f>
        <v>Não encontrado</v>
      </c>
      <c r="E1114" s="42" t="str" cm="1">
        <f t="array" ref="E1114">IFERROR(INDEX({"IMPEDITIVO"},MATCH(TRUE,ISNUMBER(FIND(SUBSTITUTE(SUBSTITUTE(UPPER({"IMPEDITIVO"})," ",""),":",": "),SUBSTITUTE(SUBSTITUTE(UPPER(S1114)," ",""),":",": "))),0)),"-")</f>
        <v>-</v>
      </c>
      <c r="K1114" s="49"/>
    </row>
    <row r="1115" spans="1:11" x14ac:dyDescent="0.25">
      <c r="A1115" s="46" t="str" cm="1">
        <f t="array" ref="A1115">IFERROR(INDEX(#REF!,MATCH(TRUE,ISNUMBER(FIND(SUBSTITUTE(SUBSTITUTE(UPPER(#REF!)," ",""),":",": "),SUBSTITUTE(SUBSTITUTE(UPPER(S1115)," ",""),":",": "))),0)),"Undefined")</f>
        <v>Undefined</v>
      </c>
      <c r="B1115" s="42" t="str" cm="1">
        <f t="array" ref="B1115">IFERROR(INDEX({"URGENTE"},MATCH(TRUE,ISNUMBER(FIND(SUBSTITUTE(SUBSTITUTE(UPPER({"URGENTE"})," ",""),":",": "),SUBSTITUTE(SUBSTITUTE(UPPER(S1115)," ",""),":",": "))),0)),"-")</f>
        <v>-</v>
      </c>
      <c r="C1115" s="46" t="str" cm="1">
        <f t="array" ref="C1115">IFERROR(INDEX(#REF!,MATCH(TRUE,ISNUMBER(FIND(SUBSTITUTE(SUBSTITUTE(UPPER(#REF!)," ",""),":",": "),SUBSTITUTE(SUBSTITUTE(UPPER(S1115)," ",""),":",": "))),0)),"Não encontrado")</f>
        <v>Não encontrado</v>
      </c>
      <c r="D1115" s="46" t="str" cm="1">
        <f t="array" ref="D1115">IFERROR(INDEX(#REF!,MATCH(TRUE,ISNUMBER(FIND(SUBSTITUTE(SUBSTITUTE(UPPER(#REF!)," ",""),":",": "),SUBSTITUTE(SUBSTITUTE(UPPER(S1115)," ",""),":",": "))),0)),"Não encontrado")</f>
        <v>Não encontrado</v>
      </c>
      <c r="E1115" s="42" t="str" cm="1">
        <f t="array" ref="E1115">IFERROR(INDEX({"IMPEDITIVO"},MATCH(TRUE,ISNUMBER(FIND(SUBSTITUTE(SUBSTITUTE(UPPER({"IMPEDITIVO"})," ",""),":",": "),SUBSTITUTE(SUBSTITUTE(UPPER(S1115)," ",""),":",": "))),0)),"-")</f>
        <v>-</v>
      </c>
      <c r="K1115" s="49"/>
    </row>
    <row r="1116" spans="1:11" x14ac:dyDescent="0.25">
      <c r="A1116" s="46" t="str" cm="1">
        <f t="array" ref="A1116">IFERROR(INDEX(#REF!,MATCH(TRUE,ISNUMBER(FIND(SUBSTITUTE(SUBSTITUTE(UPPER(#REF!)," ",""),":",": "),SUBSTITUTE(SUBSTITUTE(UPPER(S1116)," ",""),":",": "))),0)),"Undefined")</f>
        <v>Undefined</v>
      </c>
      <c r="B1116" s="42" t="str" cm="1">
        <f t="array" ref="B1116">IFERROR(INDEX({"URGENTE"},MATCH(TRUE,ISNUMBER(FIND(SUBSTITUTE(SUBSTITUTE(UPPER({"URGENTE"})," ",""),":",": "),SUBSTITUTE(SUBSTITUTE(UPPER(S1116)," ",""),":",": "))),0)),"-")</f>
        <v>-</v>
      </c>
      <c r="C1116" s="46" t="str" cm="1">
        <f t="array" ref="C1116">IFERROR(INDEX(#REF!,MATCH(TRUE,ISNUMBER(FIND(SUBSTITUTE(SUBSTITUTE(UPPER(#REF!)," ",""),":",": "),SUBSTITUTE(SUBSTITUTE(UPPER(S1116)," ",""),":",": "))),0)),"Não encontrado")</f>
        <v>Não encontrado</v>
      </c>
      <c r="D1116" s="46" t="str" cm="1">
        <f t="array" ref="D1116">IFERROR(INDEX(#REF!,MATCH(TRUE,ISNUMBER(FIND(SUBSTITUTE(SUBSTITUTE(UPPER(#REF!)," ",""),":",": "),SUBSTITUTE(SUBSTITUTE(UPPER(S1116)," ",""),":",": "))),0)),"Não encontrado")</f>
        <v>Não encontrado</v>
      </c>
      <c r="E1116" s="42" t="str" cm="1">
        <f t="array" ref="E1116">IFERROR(INDEX({"IMPEDITIVO"},MATCH(TRUE,ISNUMBER(FIND(SUBSTITUTE(SUBSTITUTE(UPPER({"IMPEDITIVO"})," ",""),":",": "),SUBSTITUTE(SUBSTITUTE(UPPER(S1116)," ",""),":",": "))),0)),"-")</f>
        <v>-</v>
      </c>
      <c r="K1116" s="49"/>
    </row>
    <row r="1117" spans="1:11" x14ac:dyDescent="0.25">
      <c r="A1117" s="46" t="str" cm="1">
        <f t="array" ref="A1117">IFERROR(INDEX(#REF!,MATCH(TRUE,ISNUMBER(FIND(SUBSTITUTE(SUBSTITUTE(UPPER(#REF!)," ",""),":",": "),SUBSTITUTE(SUBSTITUTE(UPPER(S1117)," ",""),":",": "))),0)),"Undefined")</f>
        <v>Undefined</v>
      </c>
      <c r="B1117" s="42" t="str" cm="1">
        <f t="array" ref="B1117">IFERROR(INDEX({"URGENTE"},MATCH(TRUE,ISNUMBER(FIND(SUBSTITUTE(SUBSTITUTE(UPPER({"URGENTE"})," ",""),":",": "),SUBSTITUTE(SUBSTITUTE(UPPER(S1117)," ",""),":",": "))),0)),"-")</f>
        <v>-</v>
      </c>
      <c r="C1117" s="46" t="str" cm="1">
        <f t="array" ref="C1117">IFERROR(INDEX(#REF!,MATCH(TRUE,ISNUMBER(FIND(SUBSTITUTE(SUBSTITUTE(UPPER(#REF!)," ",""),":",": "),SUBSTITUTE(SUBSTITUTE(UPPER(S1117)," ",""),":",": "))),0)),"Não encontrado")</f>
        <v>Não encontrado</v>
      </c>
      <c r="D1117" s="46" t="str" cm="1">
        <f t="array" ref="D1117">IFERROR(INDEX(#REF!,MATCH(TRUE,ISNUMBER(FIND(SUBSTITUTE(SUBSTITUTE(UPPER(#REF!)," ",""),":",": "),SUBSTITUTE(SUBSTITUTE(UPPER(S1117)," ",""),":",": "))),0)),"Não encontrado")</f>
        <v>Não encontrado</v>
      </c>
      <c r="E1117" s="42" t="str" cm="1">
        <f t="array" ref="E1117">IFERROR(INDEX({"IMPEDITIVO"},MATCH(TRUE,ISNUMBER(FIND(SUBSTITUTE(SUBSTITUTE(UPPER({"IMPEDITIVO"})," ",""),":",": "),SUBSTITUTE(SUBSTITUTE(UPPER(S1117)," ",""),":",": "))),0)),"-")</f>
        <v>-</v>
      </c>
      <c r="K1117" s="49"/>
    </row>
    <row r="1118" spans="1:11" x14ac:dyDescent="0.25">
      <c r="A1118" s="46" t="str" cm="1">
        <f t="array" ref="A1118">IFERROR(INDEX(#REF!,MATCH(TRUE,ISNUMBER(FIND(SUBSTITUTE(SUBSTITUTE(UPPER(#REF!)," ",""),":",": "),SUBSTITUTE(SUBSTITUTE(UPPER(S1118)," ",""),":",": "))),0)),"Undefined")</f>
        <v>Undefined</v>
      </c>
      <c r="B1118" s="42" t="str" cm="1">
        <f t="array" ref="B1118">IFERROR(INDEX({"URGENTE"},MATCH(TRUE,ISNUMBER(FIND(SUBSTITUTE(SUBSTITUTE(UPPER({"URGENTE"})," ",""),":",": "),SUBSTITUTE(SUBSTITUTE(UPPER(S1118)," ",""),":",": "))),0)),"-")</f>
        <v>-</v>
      </c>
      <c r="C1118" s="46" t="str" cm="1">
        <f t="array" ref="C1118">IFERROR(INDEX(#REF!,MATCH(TRUE,ISNUMBER(FIND(SUBSTITUTE(SUBSTITUTE(UPPER(#REF!)," ",""),":",": "),SUBSTITUTE(SUBSTITUTE(UPPER(S1118)," ",""),":",": "))),0)),"Não encontrado")</f>
        <v>Não encontrado</v>
      </c>
      <c r="D1118" s="46" t="str" cm="1">
        <f t="array" ref="D1118">IFERROR(INDEX(#REF!,MATCH(TRUE,ISNUMBER(FIND(SUBSTITUTE(SUBSTITUTE(UPPER(#REF!)," ",""),":",": "),SUBSTITUTE(SUBSTITUTE(UPPER(S1118)," ",""),":",": "))),0)),"Não encontrado")</f>
        <v>Não encontrado</v>
      </c>
      <c r="E1118" s="42" t="str" cm="1">
        <f t="array" ref="E1118">IFERROR(INDEX({"IMPEDITIVO"},MATCH(TRUE,ISNUMBER(FIND(SUBSTITUTE(SUBSTITUTE(UPPER({"IMPEDITIVO"})," ",""),":",": "),SUBSTITUTE(SUBSTITUTE(UPPER(S1118)," ",""),":",": "))),0)),"-")</f>
        <v>-</v>
      </c>
      <c r="K1118" s="49"/>
    </row>
    <row r="1119" spans="1:11" x14ac:dyDescent="0.25">
      <c r="A1119" s="46" t="str" cm="1">
        <f t="array" ref="A1119">IFERROR(INDEX(#REF!,MATCH(TRUE,ISNUMBER(FIND(SUBSTITUTE(SUBSTITUTE(UPPER(#REF!)," ",""),":",": "),SUBSTITUTE(SUBSTITUTE(UPPER(S1119)," ",""),":",": "))),0)),"Undefined")</f>
        <v>Undefined</v>
      </c>
      <c r="B1119" s="42" t="str" cm="1">
        <f t="array" ref="B1119">IFERROR(INDEX({"URGENTE"},MATCH(TRUE,ISNUMBER(FIND(SUBSTITUTE(SUBSTITUTE(UPPER({"URGENTE"})," ",""),":",": "),SUBSTITUTE(SUBSTITUTE(UPPER(S1119)," ",""),":",": "))),0)),"-")</f>
        <v>-</v>
      </c>
      <c r="C1119" s="46" t="str" cm="1">
        <f t="array" ref="C1119">IFERROR(INDEX(#REF!,MATCH(TRUE,ISNUMBER(FIND(SUBSTITUTE(SUBSTITUTE(UPPER(#REF!)," ",""),":",": "),SUBSTITUTE(SUBSTITUTE(UPPER(S1119)," ",""),":",": "))),0)),"Não encontrado")</f>
        <v>Não encontrado</v>
      </c>
      <c r="D1119" s="46" t="str" cm="1">
        <f t="array" ref="D1119">IFERROR(INDEX(#REF!,MATCH(TRUE,ISNUMBER(FIND(SUBSTITUTE(SUBSTITUTE(UPPER(#REF!)," ",""),":",": "),SUBSTITUTE(SUBSTITUTE(UPPER(S1119)," ",""),":",": "))),0)),"Não encontrado")</f>
        <v>Não encontrado</v>
      </c>
      <c r="E1119" s="42" t="str" cm="1">
        <f t="array" ref="E1119">IFERROR(INDEX({"IMPEDITIVO"},MATCH(TRUE,ISNUMBER(FIND(SUBSTITUTE(SUBSTITUTE(UPPER({"IMPEDITIVO"})," ",""),":",": "),SUBSTITUTE(SUBSTITUTE(UPPER(S1119)," ",""),":",": "))),0)),"-")</f>
        <v>-</v>
      </c>
      <c r="K1119" s="49"/>
    </row>
    <row r="1120" spans="1:11" x14ac:dyDescent="0.25">
      <c r="A1120" s="46" t="str" cm="1">
        <f t="array" ref="A1120">IFERROR(INDEX(#REF!,MATCH(TRUE,ISNUMBER(FIND(SUBSTITUTE(SUBSTITUTE(UPPER(#REF!)," ",""),":",": "),SUBSTITUTE(SUBSTITUTE(UPPER(S1120)," ",""),":",": "))),0)),"Undefined")</f>
        <v>Undefined</v>
      </c>
      <c r="B1120" s="42" t="str" cm="1">
        <f t="array" ref="B1120">IFERROR(INDEX({"URGENTE"},MATCH(TRUE,ISNUMBER(FIND(SUBSTITUTE(SUBSTITUTE(UPPER({"URGENTE"})," ",""),":",": "),SUBSTITUTE(SUBSTITUTE(UPPER(S1120)," ",""),":",": "))),0)),"-")</f>
        <v>-</v>
      </c>
      <c r="C1120" s="46" t="str" cm="1">
        <f t="array" ref="C1120">IFERROR(INDEX(#REF!,MATCH(TRUE,ISNUMBER(FIND(SUBSTITUTE(SUBSTITUTE(UPPER(#REF!)," ",""),":",": "),SUBSTITUTE(SUBSTITUTE(UPPER(S1120)," ",""),":",": "))),0)),"Não encontrado")</f>
        <v>Não encontrado</v>
      </c>
      <c r="D1120" s="46" t="str" cm="1">
        <f t="array" ref="D1120">IFERROR(INDEX(#REF!,MATCH(TRUE,ISNUMBER(FIND(SUBSTITUTE(SUBSTITUTE(UPPER(#REF!)," ",""),":",": "),SUBSTITUTE(SUBSTITUTE(UPPER(S1120)," ",""),":",": "))),0)),"Não encontrado")</f>
        <v>Não encontrado</v>
      </c>
      <c r="E1120" s="42" t="str" cm="1">
        <f t="array" ref="E1120">IFERROR(INDEX({"IMPEDITIVO"},MATCH(TRUE,ISNUMBER(FIND(SUBSTITUTE(SUBSTITUTE(UPPER({"IMPEDITIVO"})," ",""),":",": "),SUBSTITUTE(SUBSTITUTE(UPPER(S1120)," ",""),":",": "))),0)),"-")</f>
        <v>-</v>
      </c>
      <c r="K1120" s="49"/>
    </row>
    <row r="1121" spans="1:11" x14ac:dyDescent="0.25">
      <c r="A1121" s="46" t="str" cm="1">
        <f t="array" ref="A1121">IFERROR(INDEX(#REF!,MATCH(TRUE,ISNUMBER(FIND(SUBSTITUTE(SUBSTITUTE(UPPER(#REF!)," ",""),":",": "),SUBSTITUTE(SUBSTITUTE(UPPER(S1121)," ",""),":",": "))),0)),"Undefined")</f>
        <v>Undefined</v>
      </c>
      <c r="B1121" s="42" t="str" cm="1">
        <f t="array" ref="B1121">IFERROR(INDEX({"URGENTE"},MATCH(TRUE,ISNUMBER(FIND(SUBSTITUTE(SUBSTITUTE(UPPER({"URGENTE"})," ",""),":",": "),SUBSTITUTE(SUBSTITUTE(UPPER(S1121)," ",""),":",": "))),0)),"-")</f>
        <v>-</v>
      </c>
      <c r="C1121" s="46" t="str" cm="1">
        <f t="array" ref="C1121">IFERROR(INDEX(#REF!,MATCH(TRUE,ISNUMBER(FIND(SUBSTITUTE(SUBSTITUTE(UPPER(#REF!)," ",""),":",": "),SUBSTITUTE(SUBSTITUTE(UPPER(S1121)," ",""),":",": "))),0)),"Não encontrado")</f>
        <v>Não encontrado</v>
      </c>
      <c r="D1121" s="46" t="str" cm="1">
        <f t="array" ref="D1121">IFERROR(INDEX(#REF!,MATCH(TRUE,ISNUMBER(FIND(SUBSTITUTE(SUBSTITUTE(UPPER(#REF!)," ",""),":",": "),SUBSTITUTE(SUBSTITUTE(UPPER(S1121)," ",""),":",": "))),0)),"Não encontrado")</f>
        <v>Não encontrado</v>
      </c>
      <c r="E1121" s="42" t="str" cm="1">
        <f t="array" ref="E1121">IFERROR(INDEX({"IMPEDITIVO"},MATCH(TRUE,ISNUMBER(FIND(SUBSTITUTE(SUBSTITUTE(UPPER({"IMPEDITIVO"})," ",""),":",": "),SUBSTITUTE(SUBSTITUTE(UPPER(S1121)," ",""),":",": "))),0)),"-")</f>
        <v>-</v>
      </c>
      <c r="K1121" s="49"/>
    </row>
    <row r="1122" spans="1:11" x14ac:dyDescent="0.25">
      <c r="A1122" s="46" t="str" cm="1">
        <f t="array" ref="A1122">IFERROR(INDEX(#REF!,MATCH(TRUE,ISNUMBER(FIND(SUBSTITUTE(SUBSTITUTE(UPPER(#REF!)," ",""),":",": "),SUBSTITUTE(SUBSTITUTE(UPPER(S1122)," ",""),":",": "))),0)),"Undefined")</f>
        <v>Undefined</v>
      </c>
      <c r="B1122" s="42" t="str" cm="1">
        <f t="array" ref="B1122">IFERROR(INDEX({"URGENTE"},MATCH(TRUE,ISNUMBER(FIND(SUBSTITUTE(SUBSTITUTE(UPPER({"URGENTE"})," ",""),":",": "),SUBSTITUTE(SUBSTITUTE(UPPER(S1122)," ",""),":",": "))),0)),"-")</f>
        <v>-</v>
      </c>
      <c r="C1122" s="46" t="str" cm="1">
        <f t="array" ref="C1122">IFERROR(INDEX(#REF!,MATCH(TRUE,ISNUMBER(FIND(SUBSTITUTE(SUBSTITUTE(UPPER(#REF!)," ",""),":",": "),SUBSTITUTE(SUBSTITUTE(UPPER(S1122)," ",""),":",": "))),0)),"Não encontrado")</f>
        <v>Não encontrado</v>
      </c>
      <c r="D1122" s="46" t="str" cm="1">
        <f t="array" ref="D1122">IFERROR(INDEX(#REF!,MATCH(TRUE,ISNUMBER(FIND(SUBSTITUTE(SUBSTITUTE(UPPER(#REF!)," ",""),":",": "),SUBSTITUTE(SUBSTITUTE(UPPER(S1122)," ",""),":",": "))),0)),"Não encontrado")</f>
        <v>Não encontrado</v>
      </c>
      <c r="E1122" s="42" t="str" cm="1">
        <f t="array" ref="E1122">IFERROR(INDEX({"IMPEDITIVO"},MATCH(TRUE,ISNUMBER(FIND(SUBSTITUTE(SUBSTITUTE(UPPER({"IMPEDITIVO"})," ",""),":",": "),SUBSTITUTE(SUBSTITUTE(UPPER(S1122)," ",""),":",": "))),0)),"-")</f>
        <v>-</v>
      </c>
      <c r="K1122" s="49"/>
    </row>
    <row r="1123" spans="1:11" x14ac:dyDescent="0.25">
      <c r="A1123" s="46" t="str" cm="1">
        <f t="array" ref="A1123">IFERROR(INDEX(#REF!,MATCH(TRUE,ISNUMBER(FIND(SUBSTITUTE(SUBSTITUTE(UPPER(#REF!)," ",""),":",": "),SUBSTITUTE(SUBSTITUTE(UPPER(S1123)," ",""),":",": "))),0)),"Undefined")</f>
        <v>Undefined</v>
      </c>
      <c r="B1123" s="42" t="str" cm="1">
        <f t="array" ref="B1123">IFERROR(INDEX({"URGENTE"},MATCH(TRUE,ISNUMBER(FIND(SUBSTITUTE(SUBSTITUTE(UPPER({"URGENTE"})," ",""),":",": "),SUBSTITUTE(SUBSTITUTE(UPPER(S1123)," ",""),":",": "))),0)),"-")</f>
        <v>-</v>
      </c>
      <c r="C1123" s="46" t="str" cm="1">
        <f t="array" ref="C1123">IFERROR(INDEX(#REF!,MATCH(TRUE,ISNUMBER(FIND(SUBSTITUTE(SUBSTITUTE(UPPER(#REF!)," ",""),":",": "),SUBSTITUTE(SUBSTITUTE(UPPER(S1123)," ",""),":",": "))),0)),"Não encontrado")</f>
        <v>Não encontrado</v>
      </c>
      <c r="D1123" s="46" t="str" cm="1">
        <f t="array" ref="D1123">IFERROR(INDEX(#REF!,MATCH(TRUE,ISNUMBER(FIND(SUBSTITUTE(SUBSTITUTE(UPPER(#REF!)," ",""),":",": "),SUBSTITUTE(SUBSTITUTE(UPPER(S1123)," ",""),":",": "))),0)),"Não encontrado")</f>
        <v>Não encontrado</v>
      </c>
      <c r="E1123" s="42" t="str" cm="1">
        <f t="array" ref="E1123">IFERROR(INDEX({"IMPEDITIVO"},MATCH(TRUE,ISNUMBER(FIND(SUBSTITUTE(SUBSTITUTE(UPPER({"IMPEDITIVO"})," ",""),":",": "),SUBSTITUTE(SUBSTITUTE(UPPER(S1123)," ",""),":",": "))),0)),"-")</f>
        <v>-</v>
      </c>
      <c r="K1123" s="49"/>
    </row>
    <row r="1124" spans="1:11" x14ac:dyDescent="0.25">
      <c r="A1124" s="46" t="str" cm="1">
        <f t="array" ref="A1124">IFERROR(INDEX(#REF!,MATCH(TRUE,ISNUMBER(FIND(SUBSTITUTE(SUBSTITUTE(UPPER(#REF!)," ",""),":",": "),SUBSTITUTE(SUBSTITUTE(UPPER(S1124)," ",""),":",": "))),0)),"Undefined")</f>
        <v>Undefined</v>
      </c>
      <c r="B1124" s="42" t="str" cm="1">
        <f t="array" ref="B1124">IFERROR(INDEX({"URGENTE"},MATCH(TRUE,ISNUMBER(FIND(SUBSTITUTE(SUBSTITUTE(UPPER({"URGENTE"})," ",""),":",": "),SUBSTITUTE(SUBSTITUTE(UPPER(S1124)," ",""),":",": "))),0)),"-")</f>
        <v>-</v>
      </c>
      <c r="C1124" s="46" t="str" cm="1">
        <f t="array" ref="C1124">IFERROR(INDEX(#REF!,MATCH(TRUE,ISNUMBER(FIND(SUBSTITUTE(SUBSTITUTE(UPPER(#REF!)," ",""),":",": "),SUBSTITUTE(SUBSTITUTE(UPPER(S1124)," ",""),":",": "))),0)),"Não encontrado")</f>
        <v>Não encontrado</v>
      </c>
      <c r="D1124" s="46" t="str" cm="1">
        <f t="array" ref="D1124">IFERROR(INDEX(#REF!,MATCH(TRUE,ISNUMBER(FIND(SUBSTITUTE(SUBSTITUTE(UPPER(#REF!)," ",""),":",": "),SUBSTITUTE(SUBSTITUTE(UPPER(S1124)," ",""),":",": "))),0)),"Não encontrado")</f>
        <v>Não encontrado</v>
      </c>
      <c r="E1124" s="42" t="str" cm="1">
        <f t="array" ref="E1124">IFERROR(INDEX({"IMPEDITIVO"},MATCH(TRUE,ISNUMBER(FIND(SUBSTITUTE(SUBSTITUTE(UPPER({"IMPEDITIVO"})," ",""),":",": "),SUBSTITUTE(SUBSTITUTE(UPPER(S1124)," ",""),":",": "))),0)),"-")</f>
        <v>-</v>
      </c>
      <c r="K1124" s="49"/>
    </row>
    <row r="1125" spans="1:11" x14ac:dyDescent="0.25">
      <c r="A1125" s="46" t="str" cm="1">
        <f t="array" ref="A1125">IFERROR(INDEX(#REF!,MATCH(TRUE,ISNUMBER(FIND(SUBSTITUTE(SUBSTITUTE(UPPER(#REF!)," ",""),":",": "),SUBSTITUTE(SUBSTITUTE(UPPER(S1125)," ",""),":",": "))),0)),"Undefined")</f>
        <v>Undefined</v>
      </c>
      <c r="B1125" s="42" t="str" cm="1">
        <f t="array" ref="B1125">IFERROR(INDEX({"URGENTE"},MATCH(TRUE,ISNUMBER(FIND(SUBSTITUTE(SUBSTITUTE(UPPER({"URGENTE"})," ",""),":",": "),SUBSTITUTE(SUBSTITUTE(UPPER(S1125)," ",""),":",": "))),0)),"-")</f>
        <v>-</v>
      </c>
      <c r="C1125" s="46" t="str" cm="1">
        <f t="array" ref="C1125">IFERROR(INDEX(#REF!,MATCH(TRUE,ISNUMBER(FIND(SUBSTITUTE(SUBSTITUTE(UPPER(#REF!)," ",""),":",": "),SUBSTITUTE(SUBSTITUTE(UPPER(S1125)," ",""),":",": "))),0)),"Não encontrado")</f>
        <v>Não encontrado</v>
      </c>
      <c r="D1125" s="46" t="str" cm="1">
        <f t="array" ref="D1125">IFERROR(INDEX(#REF!,MATCH(TRUE,ISNUMBER(FIND(SUBSTITUTE(SUBSTITUTE(UPPER(#REF!)," ",""),":",": "),SUBSTITUTE(SUBSTITUTE(UPPER(S1125)," ",""),":",": "))),0)),"Não encontrado")</f>
        <v>Não encontrado</v>
      </c>
      <c r="E1125" s="42" t="str" cm="1">
        <f t="array" ref="E1125">IFERROR(INDEX({"IMPEDITIVO"},MATCH(TRUE,ISNUMBER(FIND(SUBSTITUTE(SUBSTITUTE(UPPER({"IMPEDITIVO"})," ",""),":",": "),SUBSTITUTE(SUBSTITUTE(UPPER(S1125)," ",""),":",": "))),0)),"-")</f>
        <v>-</v>
      </c>
      <c r="K1125" s="49"/>
    </row>
    <row r="1126" spans="1:11" x14ac:dyDescent="0.25">
      <c r="A1126" s="46" t="str" cm="1">
        <f t="array" ref="A1126">IFERROR(INDEX(#REF!,MATCH(TRUE,ISNUMBER(FIND(SUBSTITUTE(SUBSTITUTE(UPPER(#REF!)," ",""),":",": "),SUBSTITUTE(SUBSTITUTE(UPPER(S1126)," ",""),":",": "))),0)),"Undefined")</f>
        <v>Undefined</v>
      </c>
      <c r="B1126" s="42" t="str" cm="1">
        <f t="array" ref="B1126">IFERROR(INDEX({"URGENTE"},MATCH(TRUE,ISNUMBER(FIND(SUBSTITUTE(SUBSTITUTE(UPPER({"URGENTE"})," ",""),":",": "),SUBSTITUTE(SUBSTITUTE(UPPER(S1126)," ",""),":",": "))),0)),"-")</f>
        <v>-</v>
      </c>
      <c r="C1126" s="46" t="str" cm="1">
        <f t="array" ref="C1126">IFERROR(INDEX(#REF!,MATCH(TRUE,ISNUMBER(FIND(SUBSTITUTE(SUBSTITUTE(UPPER(#REF!)," ",""),":",": "),SUBSTITUTE(SUBSTITUTE(UPPER(S1126)," ",""),":",": "))),0)),"Não encontrado")</f>
        <v>Não encontrado</v>
      </c>
      <c r="D1126" s="46" t="str" cm="1">
        <f t="array" ref="D1126">IFERROR(INDEX(#REF!,MATCH(TRUE,ISNUMBER(FIND(SUBSTITUTE(SUBSTITUTE(UPPER(#REF!)," ",""),":",": "),SUBSTITUTE(SUBSTITUTE(UPPER(S1126)," ",""),":",": "))),0)),"Não encontrado")</f>
        <v>Não encontrado</v>
      </c>
      <c r="E1126" s="42" t="str" cm="1">
        <f t="array" ref="E1126">IFERROR(INDEX({"IMPEDITIVO"},MATCH(TRUE,ISNUMBER(FIND(SUBSTITUTE(SUBSTITUTE(UPPER({"IMPEDITIVO"})," ",""),":",": "),SUBSTITUTE(SUBSTITUTE(UPPER(S1126)," ",""),":",": "))),0)),"-")</f>
        <v>-</v>
      </c>
      <c r="K1126" s="49"/>
    </row>
    <row r="1127" spans="1:11" x14ac:dyDescent="0.25">
      <c r="A1127" s="46" t="str" cm="1">
        <f t="array" ref="A1127">IFERROR(INDEX(#REF!,MATCH(TRUE,ISNUMBER(FIND(SUBSTITUTE(SUBSTITUTE(UPPER(#REF!)," ",""),":",": "),SUBSTITUTE(SUBSTITUTE(UPPER(S1127)," ",""),":",": "))),0)),"Undefined")</f>
        <v>Undefined</v>
      </c>
      <c r="B1127" s="42" t="str" cm="1">
        <f t="array" ref="B1127">IFERROR(INDEX({"URGENTE"},MATCH(TRUE,ISNUMBER(FIND(SUBSTITUTE(SUBSTITUTE(UPPER({"URGENTE"})," ",""),":",": "),SUBSTITUTE(SUBSTITUTE(UPPER(S1127)," ",""),":",": "))),0)),"-")</f>
        <v>-</v>
      </c>
      <c r="C1127" s="46" t="str" cm="1">
        <f t="array" ref="C1127">IFERROR(INDEX(#REF!,MATCH(TRUE,ISNUMBER(FIND(SUBSTITUTE(SUBSTITUTE(UPPER(#REF!)," ",""),":",": "),SUBSTITUTE(SUBSTITUTE(UPPER(S1127)," ",""),":",": "))),0)),"Não encontrado")</f>
        <v>Não encontrado</v>
      </c>
      <c r="D1127" s="46" t="str" cm="1">
        <f t="array" ref="D1127">IFERROR(INDEX(#REF!,MATCH(TRUE,ISNUMBER(FIND(SUBSTITUTE(SUBSTITUTE(UPPER(#REF!)," ",""),":",": "),SUBSTITUTE(SUBSTITUTE(UPPER(S1127)," ",""),":",": "))),0)),"Não encontrado")</f>
        <v>Não encontrado</v>
      </c>
      <c r="E1127" s="42" t="str" cm="1">
        <f t="array" ref="E1127">IFERROR(INDEX({"IMPEDITIVO"},MATCH(TRUE,ISNUMBER(FIND(SUBSTITUTE(SUBSTITUTE(UPPER({"IMPEDITIVO"})," ",""),":",": "),SUBSTITUTE(SUBSTITUTE(UPPER(S1127)," ",""),":",": "))),0)),"-")</f>
        <v>-</v>
      </c>
      <c r="K1127" s="49"/>
    </row>
    <row r="1128" spans="1:11" x14ac:dyDescent="0.25">
      <c r="A1128" s="46" t="str" cm="1">
        <f t="array" ref="A1128">IFERROR(INDEX(#REF!,MATCH(TRUE,ISNUMBER(FIND(SUBSTITUTE(SUBSTITUTE(UPPER(#REF!)," ",""),":",": "),SUBSTITUTE(SUBSTITUTE(UPPER(S1128)," ",""),":",": "))),0)),"Undefined")</f>
        <v>Undefined</v>
      </c>
      <c r="B1128" s="42" t="str" cm="1">
        <f t="array" ref="B1128">IFERROR(INDEX({"URGENTE"},MATCH(TRUE,ISNUMBER(FIND(SUBSTITUTE(SUBSTITUTE(UPPER({"URGENTE"})," ",""),":",": "),SUBSTITUTE(SUBSTITUTE(UPPER(S1128)," ",""),":",": "))),0)),"-")</f>
        <v>-</v>
      </c>
      <c r="C1128" s="46" t="str" cm="1">
        <f t="array" ref="C1128">IFERROR(INDEX(#REF!,MATCH(TRUE,ISNUMBER(FIND(SUBSTITUTE(SUBSTITUTE(UPPER(#REF!)," ",""),":",": "),SUBSTITUTE(SUBSTITUTE(UPPER(S1128)," ",""),":",": "))),0)),"Não encontrado")</f>
        <v>Não encontrado</v>
      </c>
      <c r="D1128" s="46" t="str" cm="1">
        <f t="array" ref="D1128">IFERROR(INDEX(#REF!,MATCH(TRUE,ISNUMBER(FIND(SUBSTITUTE(SUBSTITUTE(UPPER(#REF!)," ",""),":",": "),SUBSTITUTE(SUBSTITUTE(UPPER(S1128)," ",""),":",": "))),0)),"Não encontrado")</f>
        <v>Não encontrado</v>
      </c>
      <c r="E1128" s="42" t="str" cm="1">
        <f t="array" ref="E1128">IFERROR(INDEX({"IMPEDITIVO"},MATCH(TRUE,ISNUMBER(FIND(SUBSTITUTE(SUBSTITUTE(UPPER({"IMPEDITIVO"})," ",""),":",": "),SUBSTITUTE(SUBSTITUTE(UPPER(S1128)," ",""),":",": "))),0)),"-")</f>
        <v>-</v>
      </c>
      <c r="K1128" s="49"/>
    </row>
    <row r="1129" spans="1:11" x14ac:dyDescent="0.25">
      <c r="A1129" s="46" t="str" cm="1">
        <f t="array" ref="A1129">IFERROR(INDEX(#REF!,MATCH(TRUE,ISNUMBER(FIND(SUBSTITUTE(SUBSTITUTE(UPPER(#REF!)," ",""),":",": "),SUBSTITUTE(SUBSTITUTE(UPPER(S1129)," ",""),":",": "))),0)),"Undefined")</f>
        <v>Undefined</v>
      </c>
      <c r="B1129" s="42" t="str" cm="1">
        <f t="array" ref="B1129">IFERROR(INDEX({"URGENTE"},MATCH(TRUE,ISNUMBER(FIND(SUBSTITUTE(SUBSTITUTE(UPPER({"URGENTE"})," ",""),":",": "),SUBSTITUTE(SUBSTITUTE(UPPER(S1129)," ",""),":",": "))),0)),"-")</f>
        <v>-</v>
      </c>
      <c r="C1129" s="46" t="str" cm="1">
        <f t="array" ref="C1129">IFERROR(INDEX(#REF!,MATCH(TRUE,ISNUMBER(FIND(SUBSTITUTE(SUBSTITUTE(UPPER(#REF!)," ",""),":",": "),SUBSTITUTE(SUBSTITUTE(UPPER(S1129)," ",""),":",": "))),0)),"Não encontrado")</f>
        <v>Não encontrado</v>
      </c>
      <c r="D1129" s="46" t="str" cm="1">
        <f t="array" ref="D1129">IFERROR(INDEX(#REF!,MATCH(TRUE,ISNUMBER(FIND(SUBSTITUTE(SUBSTITUTE(UPPER(#REF!)," ",""),":",": "),SUBSTITUTE(SUBSTITUTE(UPPER(S1129)," ",""),":",": "))),0)),"Não encontrado")</f>
        <v>Não encontrado</v>
      </c>
      <c r="E1129" s="42" t="str" cm="1">
        <f t="array" ref="E1129">IFERROR(INDEX({"IMPEDITIVO"},MATCH(TRUE,ISNUMBER(FIND(SUBSTITUTE(SUBSTITUTE(UPPER({"IMPEDITIVO"})," ",""),":",": "),SUBSTITUTE(SUBSTITUTE(UPPER(S1129)," ",""),":",": "))),0)),"-")</f>
        <v>-</v>
      </c>
      <c r="K1129" s="49"/>
    </row>
    <row r="1130" spans="1:11" x14ac:dyDescent="0.25">
      <c r="A1130" s="46" t="str" cm="1">
        <f t="array" ref="A1130">IFERROR(INDEX(#REF!,MATCH(TRUE,ISNUMBER(FIND(SUBSTITUTE(SUBSTITUTE(UPPER(#REF!)," ",""),":",": "),SUBSTITUTE(SUBSTITUTE(UPPER(S1130)," ",""),":",": "))),0)),"Undefined")</f>
        <v>Undefined</v>
      </c>
      <c r="B1130" s="42" t="str" cm="1">
        <f t="array" ref="B1130">IFERROR(INDEX({"URGENTE"},MATCH(TRUE,ISNUMBER(FIND(SUBSTITUTE(SUBSTITUTE(UPPER({"URGENTE"})," ",""),":",": "),SUBSTITUTE(SUBSTITUTE(UPPER(S1130)," ",""),":",": "))),0)),"-")</f>
        <v>-</v>
      </c>
      <c r="C1130" s="46" t="str" cm="1">
        <f t="array" ref="C1130">IFERROR(INDEX(#REF!,MATCH(TRUE,ISNUMBER(FIND(SUBSTITUTE(SUBSTITUTE(UPPER(#REF!)," ",""),":",": "),SUBSTITUTE(SUBSTITUTE(UPPER(S1130)," ",""),":",": "))),0)),"Não encontrado")</f>
        <v>Não encontrado</v>
      </c>
      <c r="D1130" s="46" t="str" cm="1">
        <f t="array" ref="D1130">IFERROR(INDEX(#REF!,MATCH(TRUE,ISNUMBER(FIND(SUBSTITUTE(SUBSTITUTE(UPPER(#REF!)," ",""),":",": "),SUBSTITUTE(SUBSTITUTE(UPPER(S1130)," ",""),":",": "))),0)),"Não encontrado")</f>
        <v>Não encontrado</v>
      </c>
      <c r="E1130" s="42" t="str" cm="1">
        <f t="array" ref="E1130">IFERROR(INDEX({"IMPEDITIVO"},MATCH(TRUE,ISNUMBER(FIND(SUBSTITUTE(SUBSTITUTE(UPPER({"IMPEDITIVO"})," ",""),":",": "),SUBSTITUTE(SUBSTITUTE(UPPER(S1130)," ",""),":",": "))),0)),"-")</f>
        <v>-</v>
      </c>
      <c r="K1130" s="49"/>
    </row>
    <row r="1131" spans="1:11" x14ac:dyDescent="0.25">
      <c r="A1131" s="46" t="str" cm="1">
        <f t="array" ref="A1131">IFERROR(INDEX(#REF!,MATCH(TRUE,ISNUMBER(FIND(SUBSTITUTE(SUBSTITUTE(UPPER(#REF!)," ",""),":",": "),SUBSTITUTE(SUBSTITUTE(UPPER(S1131)," ",""),":",": "))),0)),"Undefined")</f>
        <v>Undefined</v>
      </c>
      <c r="B1131" s="42" t="str" cm="1">
        <f t="array" ref="B1131">IFERROR(INDEX({"URGENTE"},MATCH(TRUE,ISNUMBER(FIND(SUBSTITUTE(SUBSTITUTE(UPPER({"URGENTE"})," ",""),":",": "),SUBSTITUTE(SUBSTITUTE(UPPER(S1131)," ",""),":",": "))),0)),"-")</f>
        <v>-</v>
      </c>
      <c r="C1131" s="46" t="str" cm="1">
        <f t="array" ref="C1131">IFERROR(INDEX(#REF!,MATCH(TRUE,ISNUMBER(FIND(SUBSTITUTE(SUBSTITUTE(UPPER(#REF!)," ",""),":",": "),SUBSTITUTE(SUBSTITUTE(UPPER(S1131)," ",""),":",": "))),0)),"Não encontrado")</f>
        <v>Não encontrado</v>
      </c>
      <c r="D1131" s="46" t="str" cm="1">
        <f t="array" ref="D1131">IFERROR(INDEX(#REF!,MATCH(TRUE,ISNUMBER(FIND(SUBSTITUTE(SUBSTITUTE(UPPER(#REF!)," ",""),":",": "),SUBSTITUTE(SUBSTITUTE(UPPER(S1131)," ",""),":",": "))),0)),"Não encontrado")</f>
        <v>Não encontrado</v>
      </c>
      <c r="E1131" s="42" t="str" cm="1">
        <f t="array" ref="E1131">IFERROR(INDEX({"IMPEDITIVO"},MATCH(TRUE,ISNUMBER(FIND(SUBSTITUTE(SUBSTITUTE(UPPER({"IMPEDITIVO"})," ",""),":",": "),SUBSTITUTE(SUBSTITUTE(UPPER(S1131)," ",""),":",": "))),0)),"-")</f>
        <v>-</v>
      </c>
      <c r="K1131" s="49"/>
    </row>
    <row r="1132" spans="1:11" x14ac:dyDescent="0.25">
      <c r="A1132" s="46" t="str" cm="1">
        <f t="array" ref="A1132">IFERROR(INDEX(#REF!,MATCH(TRUE,ISNUMBER(FIND(SUBSTITUTE(SUBSTITUTE(UPPER(#REF!)," ",""),":",": "),SUBSTITUTE(SUBSTITUTE(UPPER(S1132)," ",""),":",": "))),0)),"Undefined")</f>
        <v>Undefined</v>
      </c>
      <c r="B1132" s="42" t="str" cm="1">
        <f t="array" ref="B1132">IFERROR(INDEX({"URGENTE"},MATCH(TRUE,ISNUMBER(FIND(SUBSTITUTE(SUBSTITUTE(UPPER({"URGENTE"})," ",""),":",": "),SUBSTITUTE(SUBSTITUTE(UPPER(S1132)," ",""),":",": "))),0)),"-")</f>
        <v>-</v>
      </c>
      <c r="C1132" s="46" t="str" cm="1">
        <f t="array" ref="C1132">IFERROR(INDEX(#REF!,MATCH(TRUE,ISNUMBER(FIND(SUBSTITUTE(SUBSTITUTE(UPPER(#REF!)," ",""),":",": "),SUBSTITUTE(SUBSTITUTE(UPPER(S1132)," ",""),":",": "))),0)),"Não encontrado")</f>
        <v>Não encontrado</v>
      </c>
      <c r="D1132" s="46" t="str" cm="1">
        <f t="array" ref="D1132">IFERROR(INDEX(#REF!,MATCH(TRUE,ISNUMBER(FIND(SUBSTITUTE(SUBSTITUTE(UPPER(#REF!)," ",""),":",": "),SUBSTITUTE(SUBSTITUTE(UPPER(S1132)," ",""),":",": "))),0)),"Não encontrado")</f>
        <v>Não encontrado</v>
      </c>
      <c r="E1132" s="42" t="str" cm="1">
        <f t="array" ref="E1132">IFERROR(INDEX({"IMPEDITIVO"},MATCH(TRUE,ISNUMBER(FIND(SUBSTITUTE(SUBSTITUTE(UPPER({"IMPEDITIVO"})," ",""),":",": "),SUBSTITUTE(SUBSTITUTE(UPPER(S1132)," ",""),":",": "))),0)),"-")</f>
        <v>-</v>
      </c>
      <c r="K1132" s="49"/>
    </row>
    <row r="1133" spans="1:11" x14ac:dyDescent="0.25">
      <c r="A1133" s="46" t="str" cm="1">
        <f t="array" ref="A1133">IFERROR(INDEX(#REF!,MATCH(TRUE,ISNUMBER(FIND(SUBSTITUTE(SUBSTITUTE(UPPER(#REF!)," ",""),":",": "),SUBSTITUTE(SUBSTITUTE(UPPER(S1133)," ",""),":",": "))),0)),"Undefined")</f>
        <v>Undefined</v>
      </c>
      <c r="B1133" s="42" t="str" cm="1">
        <f t="array" ref="B1133">IFERROR(INDEX({"URGENTE"},MATCH(TRUE,ISNUMBER(FIND(SUBSTITUTE(SUBSTITUTE(UPPER({"URGENTE"})," ",""),":",": "),SUBSTITUTE(SUBSTITUTE(UPPER(S1133)," ",""),":",": "))),0)),"-")</f>
        <v>-</v>
      </c>
      <c r="C1133" s="46" t="str" cm="1">
        <f t="array" ref="C1133">IFERROR(INDEX(#REF!,MATCH(TRUE,ISNUMBER(FIND(SUBSTITUTE(SUBSTITUTE(UPPER(#REF!)," ",""),":",": "),SUBSTITUTE(SUBSTITUTE(UPPER(S1133)," ",""),":",": "))),0)),"Não encontrado")</f>
        <v>Não encontrado</v>
      </c>
      <c r="D1133" s="46" t="str" cm="1">
        <f t="array" ref="D1133">IFERROR(INDEX(#REF!,MATCH(TRUE,ISNUMBER(FIND(SUBSTITUTE(SUBSTITUTE(UPPER(#REF!)," ",""),":",": "),SUBSTITUTE(SUBSTITUTE(UPPER(S1133)," ",""),":",": "))),0)),"Não encontrado")</f>
        <v>Não encontrado</v>
      </c>
      <c r="E1133" s="42" t="str" cm="1">
        <f t="array" ref="E1133">IFERROR(INDEX({"IMPEDITIVO"},MATCH(TRUE,ISNUMBER(FIND(SUBSTITUTE(SUBSTITUTE(UPPER({"IMPEDITIVO"})," ",""),":",": "),SUBSTITUTE(SUBSTITUTE(UPPER(S1133)," ",""),":",": "))),0)),"-")</f>
        <v>-</v>
      </c>
      <c r="K1133" s="49"/>
    </row>
    <row r="1134" spans="1:11" x14ac:dyDescent="0.25">
      <c r="A1134" s="46" t="str" cm="1">
        <f t="array" ref="A1134">IFERROR(INDEX(#REF!,MATCH(TRUE,ISNUMBER(FIND(SUBSTITUTE(SUBSTITUTE(UPPER(#REF!)," ",""),":",": "),SUBSTITUTE(SUBSTITUTE(UPPER(S1134)," ",""),":",": "))),0)),"Undefined")</f>
        <v>Undefined</v>
      </c>
      <c r="B1134" s="42" t="str" cm="1">
        <f t="array" ref="B1134">IFERROR(INDEX({"URGENTE"},MATCH(TRUE,ISNUMBER(FIND(SUBSTITUTE(SUBSTITUTE(UPPER({"URGENTE"})," ",""),":",": "),SUBSTITUTE(SUBSTITUTE(UPPER(S1134)," ",""),":",": "))),0)),"-")</f>
        <v>-</v>
      </c>
      <c r="C1134" s="46" t="str" cm="1">
        <f t="array" ref="C1134">IFERROR(INDEX(#REF!,MATCH(TRUE,ISNUMBER(FIND(SUBSTITUTE(SUBSTITUTE(UPPER(#REF!)," ",""),":",": "),SUBSTITUTE(SUBSTITUTE(UPPER(S1134)," ",""),":",": "))),0)),"Não encontrado")</f>
        <v>Não encontrado</v>
      </c>
      <c r="D1134" s="46" t="str" cm="1">
        <f t="array" ref="D1134">IFERROR(INDEX(#REF!,MATCH(TRUE,ISNUMBER(FIND(SUBSTITUTE(SUBSTITUTE(UPPER(#REF!)," ",""),":",": "),SUBSTITUTE(SUBSTITUTE(UPPER(S1134)," ",""),":",": "))),0)),"Não encontrado")</f>
        <v>Não encontrado</v>
      </c>
      <c r="E1134" s="42" t="str" cm="1">
        <f t="array" ref="E1134">IFERROR(INDEX({"IMPEDITIVO"},MATCH(TRUE,ISNUMBER(FIND(SUBSTITUTE(SUBSTITUTE(UPPER({"IMPEDITIVO"})," ",""),":",": "),SUBSTITUTE(SUBSTITUTE(UPPER(S1134)," ",""),":",": "))),0)),"-")</f>
        <v>-</v>
      </c>
      <c r="K1134" s="49"/>
    </row>
    <row r="1135" spans="1:11" x14ac:dyDescent="0.25">
      <c r="A1135" s="46" t="str" cm="1">
        <f t="array" ref="A1135">IFERROR(INDEX(#REF!,MATCH(TRUE,ISNUMBER(FIND(SUBSTITUTE(SUBSTITUTE(UPPER(#REF!)," ",""),":",": "),SUBSTITUTE(SUBSTITUTE(UPPER(S1135)," ",""),":",": "))),0)),"Undefined")</f>
        <v>Undefined</v>
      </c>
      <c r="B1135" s="42" t="str" cm="1">
        <f t="array" ref="B1135">IFERROR(INDEX({"URGENTE"},MATCH(TRUE,ISNUMBER(FIND(SUBSTITUTE(SUBSTITUTE(UPPER({"URGENTE"})," ",""),":",": "),SUBSTITUTE(SUBSTITUTE(UPPER(S1135)," ",""),":",": "))),0)),"-")</f>
        <v>-</v>
      </c>
      <c r="C1135" s="46" t="str" cm="1">
        <f t="array" ref="C1135">IFERROR(INDEX(#REF!,MATCH(TRUE,ISNUMBER(FIND(SUBSTITUTE(SUBSTITUTE(UPPER(#REF!)," ",""),":",": "),SUBSTITUTE(SUBSTITUTE(UPPER(S1135)," ",""),":",": "))),0)),"Não encontrado")</f>
        <v>Não encontrado</v>
      </c>
      <c r="D1135" s="46" t="str" cm="1">
        <f t="array" ref="D1135">IFERROR(INDEX(#REF!,MATCH(TRUE,ISNUMBER(FIND(SUBSTITUTE(SUBSTITUTE(UPPER(#REF!)," ",""),":",": "),SUBSTITUTE(SUBSTITUTE(UPPER(S1135)," ",""),":",": "))),0)),"Não encontrado")</f>
        <v>Não encontrado</v>
      </c>
      <c r="E1135" s="42" t="str" cm="1">
        <f t="array" ref="E1135">IFERROR(INDEX({"IMPEDITIVO"},MATCH(TRUE,ISNUMBER(FIND(SUBSTITUTE(SUBSTITUTE(UPPER({"IMPEDITIVO"})," ",""),":",": "),SUBSTITUTE(SUBSTITUTE(UPPER(S1135)," ",""),":",": "))),0)),"-")</f>
        <v>-</v>
      </c>
      <c r="K1135" s="49"/>
    </row>
    <row r="1136" spans="1:11" x14ac:dyDescent="0.25">
      <c r="A1136" s="46" t="str" cm="1">
        <f t="array" ref="A1136">IFERROR(INDEX(#REF!,MATCH(TRUE,ISNUMBER(FIND(SUBSTITUTE(SUBSTITUTE(UPPER(#REF!)," ",""),":",": "),SUBSTITUTE(SUBSTITUTE(UPPER(S1136)," ",""),":",": "))),0)),"Undefined")</f>
        <v>Undefined</v>
      </c>
      <c r="B1136" s="42" t="str" cm="1">
        <f t="array" ref="B1136">IFERROR(INDEX({"URGENTE"},MATCH(TRUE,ISNUMBER(FIND(SUBSTITUTE(SUBSTITUTE(UPPER({"URGENTE"})," ",""),":",": "),SUBSTITUTE(SUBSTITUTE(UPPER(S1136)," ",""),":",": "))),0)),"-")</f>
        <v>-</v>
      </c>
      <c r="C1136" s="46" t="str" cm="1">
        <f t="array" ref="C1136">IFERROR(INDEX(#REF!,MATCH(TRUE,ISNUMBER(FIND(SUBSTITUTE(SUBSTITUTE(UPPER(#REF!)," ",""),":",": "),SUBSTITUTE(SUBSTITUTE(UPPER(S1136)," ",""),":",": "))),0)),"Não encontrado")</f>
        <v>Não encontrado</v>
      </c>
      <c r="D1136" s="46" t="str" cm="1">
        <f t="array" ref="D1136">IFERROR(INDEX(#REF!,MATCH(TRUE,ISNUMBER(FIND(SUBSTITUTE(SUBSTITUTE(UPPER(#REF!)," ",""),":",": "),SUBSTITUTE(SUBSTITUTE(UPPER(S1136)," ",""),":",": "))),0)),"Não encontrado")</f>
        <v>Não encontrado</v>
      </c>
      <c r="E1136" s="42" t="str" cm="1">
        <f t="array" ref="E1136">IFERROR(INDEX({"IMPEDITIVO"},MATCH(TRUE,ISNUMBER(FIND(SUBSTITUTE(SUBSTITUTE(UPPER({"IMPEDITIVO"})," ",""),":",": "),SUBSTITUTE(SUBSTITUTE(UPPER(S1136)," ",""),":",": "))),0)),"-")</f>
        <v>-</v>
      </c>
      <c r="K1136" s="49"/>
    </row>
    <row r="1137" spans="1:11" x14ac:dyDescent="0.25">
      <c r="A1137" s="46" t="str" cm="1">
        <f t="array" ref="A1137">IFERROR(INDEX(#REF!,MATCH(TRUE,ISNUMBER(FIND(SUBSTITUTE(SUBSTITUTE(UPPER(#REF!)," ",""),":",": "),SUBSTITUTE(SUBSTITUTE(UPPER(S1137)," ",""),":",": "))),0)),"Undefined")</f>
        <v>Undefined</v>
      </c>
      <c r="B1137" s="42" t="str" cm="1">
        <f t="array" ref="B1137">IFERROR(INDEX({"URGENTE"},MATCH(TRUE,ISNUMBER(FIND(SUBSTITUTE(SUBSTITUTE(UPPER({"URGENTE"})," ",""),":",": "),SUBSTITUTE(SUBSTITUTE(UPPER(S1137)," ",""),":",": "))),0)),"-")</f>
        <v>-</v>
      </c>
      <c r="C1137" s="46" t="str" cm="1">
        <f t="array" ref="C1137">IFERROR(INDEX(#REF!,MATCH(TRUE,ISNUMBER(FIND(SUBSTITUTE(SUBSTITUTE(UPPER(#REF!)," ",""),":",": "),SUBSTITUTE(SUBSTITUTE(UPPER(S1137)," ",""),":",": "))),0)),"Não encontrado")</f>
        <v>Não encontrado</v>
      </c>
      <c r="D1137" s="46" t="str" cm="1">
        <f t="array" ref="D1137">IFERROR(INDEX(#REF!,MATCH(TRUE,ISNUMBER(FIND(SUBSTITUTE(SUBSTITUTE(UPPER(#REF!)," ",""),":",": "),SUBSTITUTE(SUBSTITUTE(UPPER(S1137)," ",""),":",": "))),0)),"Não encontrado")</f>
        <v>Não encontrado</v>
      </c>
      <c r="E1137" s="42" t="str" cm="1">
        <f t="array" ref="E1137">IFERROR(INDEX({"IMPEDITIVO"},MATCH(TRUE,ISNUMBER(FIND(SUBSTITUTE(SUBSTITUTE(UPPER({"IMPEDITIVO"})," ",""),":",": "),SUBSTITUTE(SUBSTITUTE(UPPER(S1137)," ",""),":",": "))),0)),"-")</f>
        <v>-</v>
      </c>
      <c r="K1137" s="49"/>
    </row>
    <row r="1138" spans="1:11" x14ac:dyDescent="0.25">
      <c r="A1138" s="46" t="str" cm="1">
        <f t="array" ref="A1138">IFERROR(INDEX(#REF!,MATCH(TRUE,ISNUMBER(FIND(SUBSTITUTE(SUBSTITUTE(UPPER(#REF!)," ",""),":",": "),SUBSTITUTE(SUBSTITUTE(UPPER(S1138)," ",""),":",": "))),0)),"Undefined")</f>
        <v>Undefined</v>
      </c>
      <c r="B1138" s="42" t="str" cm="1">
        <f t="array" ref="B1138">IFERROR(INDEX({"URGENTE"},MATCH(TRUE,ISNUMBER(FIND(SUBSTITUTE(SUBSTITUTE(UPPER({"URGENTE"})," ",""),":",": "),SUBSTITUTE(SUBSTITUTE(UPPER(S1138)," ",""),":",": "))),0)),"-")</f>
        <v>-</v>
      </c>
      <c r="C1138" s="46" t="str" cm="1">
        <f t="array" ref="C1138">IFERROR(INDEX(#REF!,MATCH(TRUE,ISNUMBER(FIND(SUBSTITUTE(SUBSTITUTE(UPPER(#REF!)," ",""),":",": "),SUBSTITUTE(SUBSTITUTE(UPPER(S1138)," ",""),":",": "))),0)),"Não encontrado")</f>
        <v>Não encontrado</v>
      </c>
      <c r="D1138" s="46" t="str" cm="1">
        <f t="array" ref="D1138">IFERROR(INDEX(#REF!,MATCH(TRUE,ISNUMBER(FIND(SUBSTITUTE(SUBSTITUTE(UPPER(#REF!)," ",""),":",": "),SUBSTITUTE(SUBSTITUTE(UPPER(S1138)," ",""),":",": "))),0)),"Não encontrado")</f>
        <v>Não encontrado</v>
      </c>
      <c r="E1138" s="42" t="str" cm="1">
        <f t="array" ref="E1138">IFERROR(INDEX({"IMPEDITIVO"},MATCH(TRUE,ISNUMBER(FIND(SUBSTITUTE(SUBSTITUTE(UPPER({"IMPEDITIVO"})," ",""),":",": "),SUBSTITUTE(SUBSTITUTE(UPPER(S1138)," ",""),":",": "))),0)),"-")</f>
        <v>-</v>
      </c>
      <c r="K1138" s="49"/>
    </row>
    <row r="1139" spans="1:11" x14ac:dyDescent="0.25">
      <c r="A1139" s="46" t="str" cm="1">
        <f t="array" ref="A1139">IFERROR(INDEX(#REF!,MATCH(TRUE,ISNUMBER(FIND(SUBSTITUTE(SUBSTITUTE(UPPER(#REF!)," ",""),":",": "),SUBSTITUTE(SUBSTITUTE(UPPER(S1139)," ",""),":",": "))),0)),"Undefined")</f>
        <v>Undefined</v>
      </c>
      <c r="B1139" s="42" t="str" cm="1">
        <f t="array" ref="B1139">IFERROR(INDEX({"URGENTE"},MATCH(TRUE,ISNUMBER(FIND(SUBSTITUTE(SUBSTITUTE(UPPER({"URGENTE"})," ",""),":",": "),SUBSTITUTE(SUBSTITUTE(UPPER(S1139)," ",""),":",": "))),0)),"-")</f>
        <v>-</v>
      </c>
      <c r="C1139" s="46" t="str" cm="1">
        <f t="array" ref="C1139">IFERROR(INDEX(#REF!,MATCH(TRUE,ISNUMBER(FIND(SUBSTITUTE(SUBSTITUTE(UPPER(#REF!)," ",""),":",": "),SUBSTITUTE(SUBSTITUTE(UPPER(S1139)," ",""),":",": "))),0)),"Não encontrado")</f>
        <v>Não encontrado</v>
      </c>
      <c r="D1139" s="46" t="str" cm="1">
        <f t="array" ref="D1139">IFERROR(INDEX(#REF!,MATCH(TRUE,ISNUMBER(FIND(SUBSTITUTE(SUBSTITUTE(UPPER(#REF!)," ",""),":",": "),SUBSTITUTE(SUBSTITUTE(UPPER(S1139)," ",""),":",": "))),0)),"Não encontrado")</f>
        <v>Não encontrado</v>
      </c>
      <c r="E1139" s="42" t="str" cm="1">
        <f t="array" ref="E1139">IFERROR(INDEX({"IMPEDITIVO"},MATCH(TRUE,ISNUMBER(FIND(SUBSTITUTE(SUBSTITUTE(UPPER({"IMPEDITIVO"})," ",""),":",": "),SUBSTITUTE(SUBSTITUTE(UPPER(S1139)," ",""),":",": "))),0)),"-")</f>
        <v>-</v>
      </c>
      <c r="K1139" s="49"/>
    </row>
    <row r="1140" spans="1:11" x14ac:dyDescent="0.25">
      <c r="A1140" s="46" t="str" cm="1">
        <f t="array" ref="A1140">IFERROR(INDEX(#REF!,MATCH(TRUE,ISNUMBER(FIND(SUBSTITUTE(SUBSTITUTE(UPPER(#REF!)," ",""),":",": "),SUBSTITUTE(SUBSTITUTE(UPPER(S1140)," ",""),":",": "))),0)),"Undefined")</f>
        <v>Undefined</v>
      </c>
      <c r="B1140" s="42" t="str" cm="1">
        <f t="array" ref="B1140">IFERROR(INDEX({"URGENTE"},MATCH(TRUE,ISNUMBER(FIND(SUBSTITUTE(SUBSTITUTE(UPPER({"URGENTE"})," ",""),":",": "),SUBSTITUTE(SUBSTITUTE(UPPER(S1140)," ",""),":",": "))),0)),"-")</f>
        <v>-</v>
      </c>
      <c r="C1140" s="46" t="str" cm="1">
        <f t="array" ref="C1140">IFERROR(INDEX(#REF!,MATCH(TRUE,ISNUMBER(FIND(SUBSTITUTE(SUBSTITUTE(UPPER(#REF!)," ",""),":",": "),SUBSTITUTE(SUBSTITUTE(UPPER(S1140)," ",""),":",": "))),0)),"Não encontrado")</f>
        <v>Não encontrado</v>
      </c>
      <c r="D1140" s="46" t="str" cm="1">
        <f t="array" ref="D1140">IFERROR(INDEX(#REF!,MATCH(TRUE,ISNUMBER(FIND(SUBSTITUTE(SUBSTITUTE(UPPER(#REF!)," ",""),":",": "),SUBSTITUTE(SUBSTITUTE(UPPER(S1140)," ",""),":",": "))),0)),"Não encontrado")</f>
        <v>Não encontrado</v>
      </c>
      <c r="E1140" s="42" t="str" cm="1">
        <f t="array" ref="E1140">IFERROR(INDEX({"IMPEDITIVO"},MATCH(TRUE,ISNUMBER(FIND(SUBSTITUTE(SUBSTITUTE(UPPER({"IMPEDITIVO"})," ",""),":",": "),SUBSTITUTE(SUBSTITUTE(UPPER(S1140)," ",""),":",": "))),0)),"-")</f>
        <v>-</v>
      </c>
      <c r="K1140" s="49"/>
    </row>
    <row r="1141" spans="1:11" x14ac:dyDescent="0.25">
      <c r="A1141" s="46" t="str" cm="1">
        <f t="array" ref="A1141">IFERROR(INDEX(#REF!,MATCH(TRUE,ISNUMBER(FIND(SUBSTITUTE(SUBSTITUTE(UPPER(#REF!)," ",""),":",": "),SUBSTITUTE(SUBSTITUTE(UPPER(S1141)," ",""),":",": "))),0)),"Undefined")</f>
        <v>Undefined</v>
      </c>
      <c r="B1141" s="42" t="str" cm="1">
        <f t="array" ref="B1141">IFERROR(INDEX({"URGENTE"},MATCH(TRUE,ISNUMBER(FIND(SUBSTITUTE(SUBSTITUTE(UPPER({"URGENTE"})," ",""),":",": "),SUBSTITUTE(SUBSTITUTE(UPPER(S1141)," ",""),":",": "))),0)),"-")</f>
        <v>-</v>
      </c>
      <c r="C1141" s="46" t="str" cm="1">
        <f t="array" ref="C1141">IFERROR(INDEX(#REF!,MATCH(TRUE,ISNUMBER(FIND(SUBSTITUTE(SUBSTITUTE(UPPER(#REF!)," ",""),":",": "),SUBSTITUTE(SUBSTITUTE(UPPER(S1141)," ",""),":",": "))),0)),"Não encontrado")</f>
        <v>Não encontrado</v>
      </c>
      <c r="D1141" s="46" t="str" cm="1">
        <f t="array" ref="D1141">IFERROR(INDEX(#REF!,MATCH(TRUE,ISNUMBER(FIND(SUBSTITUTE(SUBSTITUTE(UPPER(#REF!)," ",""),":",": "),SUBSTITUTE(SUBSTITUTE(UPPER(S1141)," ",""),":",": "))),0)),"Não encontrado")</f>
        <v>Não encontrado</v>
      </c>
      <c r="E1141" s="42" t="str" cm="1">
        <f t="array" ref="E1141">IFERROR(INDEX({"IMPEDITIVO"},MATCH(TRUE,ISNUMBER(FIND(SUBSTITUTE(SUBSTITUTE(UPPER({"IMPEDITIVO"})," ",""),":",": "),SUBSTITUTE(SUBSTITUTE(UPPER(S1141)," ",""),":",": "))),0)),"-")</f>
        <v>-</v>
      </c>
      <c r="K1141" s="49"/>
    </row>
    <row r="1142" spans="1:11" x14ac:dyDescent="0.25">
      <c r="A1142" s="46" t="str" cm="1">
        <f t="array" ref="A1142">IFERROR(INDEX(#REF!,MATCH(TRUE,ISNUMBER(FIND(SUBSTITUTE(SUBSTITUTE(UPPER(#REF!)," ",""),":",": "),SUBSTITUTE(SUBSTITUTE(UPPER(S1142)," ",""),":",": "))),0)),"Undefined")</f>
        <v>Undefined</v>
      </c>
      <c r="B1142" s="42" t="str" cm="1">
        <f t="array" ref="B1142">IFERROR(INDEX({"URGENTE"},MATCH(TRUE,ISNUMBER(FIND(SUBSTITUTE(SUBSTITUTE(UPPER({"URGENTE"})," ",""),":",": "),SUBSTITUTE(SUBSTITUTE(UPPER(S1142)," ",""),":",": "))),0)),"-")</f>
        <v>-</v>
      </c>
      <c r="C1142" s="46" t="str" cm="1">
        <f t="array" ref="C1142">IFERROR(INDEX(#REF!,MATCH(TRUE,ISNUMBER(FIND(SUBSTITUTE(SUBSTITUTE(UPPER(#REF!)," ",""),":",": "),SUBSTITUTE(SUBSTITUTE(UPPER(S1142)," ",""),":",": "))),0)),"Não encontrado")</f>
        <v>Não encontrado</v>
      </c>
      <c r="D1142" s="46" t="str" cm="1">
        <f t="array" ref="D1142">IFERROR(INDEX(#REF!,MATCH(TRUE,ISNUMBER(FIND(SUBSTITUTE(SUBSTITUTE(UPPER(#REF!)," ",""),":",": "),SUBSTITUTE(SUBSTITUTE(UPPER(S1142)," ",""),":",": "))),0)),"Não encontrado")</f>
        <v>Não encontrado</v>
      </c>
      <c r="E1142" s="42" t="str" cm="1">
        <f t="array" ref="E1142">IFERROR(INDEX({"IMPEDITIVO"},MATCH(TRUE,ISNUMBER(FIND(SUBSTITUTE(SUBSTITUTE(UPPER({"IMPEDITIVO"})," ",""),":",": "),SUBSTITUTE(SUBSTITUTE(UPPER(S1142)," ",""),":",": "))),0)),"-")</f>
        <v>-</v>
      </c>
      <c r="K1142" s="49"/>
    </row>
    <row r="1143" spans="1:11" x14ac:dyDescent="0.25">
      <c r="A1143" s="46" t="str" cm="1">
        <f t="array" ref="A1143">IFERROR(INDEX(#REF!,MATCH(TRUE,ISNUMBER(FIND(SUBSTITUTE(SUBSTITUTE(UPPER(#REF!)," ",""),":",": "),SUBSTITUTE(SUBSTITUTE(UPPER(S1143)," ",""),":",": "))),0)),"Undefined")</f>
        <v>Undefined</v>
      </c>
      <c r="B1143" s="42" t="str" cm="1">
        <f t="array" ref="B1143">IFERROR(INDEX({"URGENTE"},MATCH(TRUE,ISNUMBER(FIND(SUBSTITUTE(SUBSTITUTE(UPPER({"URGENTE"})," ",""),":",": "),SUBSTITUTE(SUBSTITUTE(UPPER(S1143)," ",""),":",": "))),0)),"-")</f>
        <v>-</v>
      </c>
      <c r="C1143" s="46" t="str" cm="1">
        <f t="array" ref="C1143">IFERROR(INDEX(#REF!,MATCH(TRUE,ISNUMBER(FIND(SUBSTITUTE(SUBSTITUTE(UPPER(#REF!)," ",""),":",": "),SUBSTITUTE(SUBSTITUTE(UPPER(S1143)," ",""),":",": "))),0)),"Não encontrado")</f>
        <v>Não encontrado</v>
      </c>
      <c r="D1143" s="46" t="str" cm="1">
        <f t="array" ref="D1143">IFERROR(INDEX(#REF!,MATCH(TRUE,ISNUMBER(FIND(SUBSTITUTE(SUBSTITUTE(UPPER(#REF!)," ",""),":",": "),SUBSTITUTE(SUBSTITUTE(UPPER(S1143)," ",""),":",": "))),0)),"Não encontrado")</f>
        <v>Não encontrado</v>
      </c>
      <c r="E1143" s="42" t="str" cm="1">
        <f t="array" ref="E1143">IFERROR(INDEX({"IMPEDITIVO"},MATCH(TRUE,ISNUMBER(FIND(SUBSTITUTE(SUBSTITUTE(UPPER({"IMPEDITIVO"})," ",""),":",": "),SUBSTITUTE(SUBSTITUTE(UPPER(S1143)," ",""),":",": "))),0)),"-")</f>
        <v>-</v>
      </c>
      <c r="K1143" s="49"/>
    </row>
    <row r="1144" spans="1:11" x14ac:dyDescent="0.25">
      <c r="A1144" s="46" t="str" cm="1">
        <f t="array" ref="A1144">IFERROR(INDEX(#REF!,MATCH(TRUE,ISNUMBER(FIND(SUBSTITUTE(SUBSTITUTE(UPPER(#REF!)," ",""),":",": "),SUBSTITUTE(SUBSTITUTE(UPPER(S1144)," ",""),":",": "))),0)),"Undefined")</f>
        <v>Undefined</v>
      </c>
      <c r="B1144" s="42" t="str" cm="1">
        <f t="array" ref="B1144">IFERROR(INDEX({"URGENTE"},MATCH(TRUE,ISNUMBER(FIND(SUBSTITUTE(SUBSTITUTE(UPPER({"URGENTE"})," ",""),":",": "),SUBSTITUTE(SUBSTITUTE(UPPER(S1144)," ",""),":",": "))),0)),"-")</f>
        <v>-</v>
      </c>
      <c r="C1144" s="46" t="str" cm="1">
        <f t="array" ref="C1144">IFERROR(INDEX(#REF!,MATCH(TRUE,ISNUMBER(FIND(SUBSTITUTE(SUBSTITUTE(UPPER(#REF!)," ",""),":",": "),SUBSTITUTE(SUBSTITUTE(UPPER(S1144)," ",""),":",": "))),0)),"Não encontrado")</f>
        <v>Não encontrado</v>
      </c>
      <c r="D1144" s="46" t="str" cm="1">
        <f t="array" ref="D1144">IFERROR(INDEX(#REF!,MATCH(TRUE,ISNUMBER(FIND(SUBSTITUTE(SUBSTITUTE(UPPER(#REF!)," ",""),":",": "),SUBSTITUTE(SUBSTITUTE(UPPER(S1144)," ",""),":",": "))),0)),"Não encontrado")</f>
        <v>Não encontrado</v>
      </c>
      <c r="E1144" s="42" t="str" cm="1">
        <f t="array" ref="E1144">IFERROR(INDEX({"IMPEDITIVO"},MATCH(TRUE,ISNUMBER(FIND(SUBSTITUTE(SUBSTITUTE(UPPER({"IMPEDITIVO"})," ",""),":",": "),SUBSTITUTE(SUBSTITUTE(UPPER(S1144)," ",""),":",": "))),0)),"-")</f>
        <v>-</v>
      </c>
      <c r="K1144" s="49"/>
    </row>
    <row r="1145" spans="1:11" x14ac:dyDescent="0.25">
      <c r="A1145" s="46" t="str" cm="1">
        <f t="array" ref="A1145">IFERROR(INDEX(#REF!,MATCH(TRUE,ISNUMBER(FIND(SUBSTITUTE(SUBSTITUTE(UPPER(#REF!)," ",""),":",": "),SUBSTITUTE(SUBSTITUTE(UPPER(S1145)," ",""),":",": "))),0)),"Undefined")</f>
        <v>Undefined</v>
      </c>
      <c r="B1145" s="42" t="str" cm="1">
        <f t="array" ref="B1145">IFERROR(INDEX({"URGENTE"},MATCH(TRUE,ISNUMBER(FIND(SUBSTITUTE(SUBSTITUTE(UPPER({"URGENTE"})," ",""),":",": "),SUBSTITUTE(SUBSTITUTE(UPPER(S1145)," ",""),":",": "))),0)),"-")</f>
        <v>-</v>
      </c>
      <c r="C1145" s="46" t="str" cm="1">
        <f t="array" ref="C1145">IFERROR(INDEX(#REF!,MATCH(TRUE,ISNUMBER(FIND(SUBSTITUTE(SUBSTITUTE(UPPER(#REF!)," ",""),":",": "),SUBSTITUTE(SUBSTITUTE(UPPER(S1145)," ",""),":",": "))),0)),"Não encontrado")</f>
        <v>Não encontrado</v>
      </c>
      <c r="D1145" s="46" t="str" cm="1">
        <f t="array" ref="D1145">IFERROR(INDEX(#REF!,MATCH(TRUE,ISNUMBER(FIND(SUBSTITUTE(SUBSTITUTE(UPPER(#REF!)," ",""),":",": "),SUBSTITUTE(SUBSTITUTE(UPPER(S1145)," ",""),":",": "))),0)),"Não encontrado")</f>
        <v>Não encontrado</v>
      </c>
      <c r="E1145" s="42" t="str" cm="1">
        <f t="array" ref="E1145">IFERROR(INDEX({"IMPEDITIVO"},MATCH(TRUE,ISNUMBER(FIND(SUBSTITUTE(SUBSTITUTE(UPPER({"IMPEDITIVO"})," ",""),":",": "),SUBSTITUTE(SUBSTITUTE(UPPER(S1145)," ",""),":",": "))),0)),"-")</f>
        <v>-</v>
      </c>
      <c r="K1145" s="49"/>
    </row>
    <row r="1146" spans="1:11" x14ac:dyDescent="0.25">
      <c r="A1146" s="46" t="str" cm="1">
        <f t="array" ref="A1146">IFERROR(INDEX(#REF!,MATCH(TRUE,ISNUMBER(FIND(SUBSTITUTE(SUBSTITUTE(UPPER(#REF!)," ",""),":",": "),SUBSTITUTE(SUBSTITUTE(UPPER(S1146)," ",""),":",": "))),0)),"Undefined")</f>
        <v>Undefined</v>
      </c>
      <c r="B1146" s="42" t="str" cm="1">
        <f t="array" ref="B1146">IFERROR(INDEX({"URGENTE"},MATCH(TRUE,ISNUMBER(FIND(SUBSTITUTE(SUBSTITUTE(UPPER({"URGENTE"})," ",""),":",": "),SUBSTITUTE(SUBSTITUTE(UPPER(S1146)," ",""),":",": "))),0)),"-")</f>
        <v>-</v>
      </c>
      <c r="C1146" s="46" t="str" cm="1">
        <f t="array" ref="C1146">IFERROR(INDEX(#REF!,MATCH(TRUE,ISNUMBER(FIND(SUBSTITUTE(SUBSTITUTE(UPPER(#REF!)," ",""),":",": "),SUBSTITUTE(SUBSTITUTE(UPPER(S1146)," ",""),":",": "))),0)),"Não encontrado")</f>
        <v>Não encontrado</v>
      </c>
      <c r="D1146" s="46" t="str" cm="1">
        <f t="array" ref="D1146">IFERROR(INDEX(#REF!,MATCH(TRUE,ISNUMBER(FIND(SUBSTITUTE(SUBSTITUTE(UPPER(#REF!)," ",""),":",": "),SUBSTITUTE(SUBSTITUTE(UPPER(S1146)," ",""),":",": "))),0)),"Não encontrado")</f>
        <v>Não encontrado</v>
      </c>
      <c r="E1146" s="42" t="str" cm="1">
        <f t="array" ref="E1146">IFERROR(INDEX({"IMPEDITIVO"},MATCH(TRUE,ISNUMBER(FIND(SUBSTITUTE(SUBSTITUTE(UPPER({"IMPEDITIVO"})," ",""),":",": "),SUBSTITUTE(SUBSTITUTE(UPPER(S1146)," ",""),":",": "))),0)),"-")</f>
        <v>-</v>
      </c>
      <c r="K1146" s="49"/>
    </row>
    <row r="1147" spans="1:11" x14ac:dyDescent="0.25">
      <c r="A1147" s="46" t="str" cm="1">
        <f t="array" ref="A1147">IFERROR(INDEX(#REF!,MATCH(TRUE,ISNUMBER(FIND(SUBSTITUTE(SUBSTITUTE(UPPER(#REF!)," ",""),":",": "),SUBSTITUTE(SUBSTITUTE(UPPER(S1147)," ",""),":",": "))),0)),"Undefined")</f>
        <v>Undefined</v>
      </c>
      <c r="B1147" s="42" t="str" cm="1">
        <f t="array" ref="B1147">IFERROR(INDEX({"URGENTE"},MATCH(TRUE,ISNUMBER(FIND(SUBSTITUTE(SUBSTITUTE(UPPER({"URGENTE"})," ",""),":",": "),SUBSTITUTE(SUBSTITUTE(UPPER(S1147)," ",""),":",": "))),0)),"-")</f>
        <v>-</v>
      </c>
      <c r="C1147" s="46" t="str" cm="1">
        <f t="array" ref="C1147">IFERROR(INDEX(#REF!,MATCH(TRUE,ISNUMBER(FIND(SUBSTITUTE(SUBSTITUTE(UPPER(#REF!)," ",""),":",": "),SUBSTITUTE(SUBSTITUTE(UPPER(S1147)," ",""),":",": "))),0)),"Não encontrado")</f>
        <v>Não encontrado</v>
      </c>
      <c r="D1147" s="46" t="str" cm="1">
        <f t="array" ref="D1147">IFERROR(INDEX(#REF!,MATCH(TRUE,ISNUMBER(FIND(SUBSTITUTE(SUBSTITUTE(UPPER(#REF!)," ",""),":",": "),SUBSTITUTE(SUBSTITUTE(UPPER(S1147)," ",""),":",": "))),0)),"Não encontrado")</f>
        <v>Não encontrado</v>
      </c>
      <c r="E1147" s="42" t="str" cm="1">
        <f t="array" ref="E1147">IFERROR(INDEX({"IMPEDITIVO"},MATCH(TRUE,ISNUMBER(FIND(SUBSTITUTE(SUBSTITUTE(UPPER({"IMPEDITIVO"})," ",""),":",": "),SUBSTITUTE(SUBSTITUTE(UPPER(S1147)," ",""),":",": "))),0)),"-")</f>
        <v>-</v>
      </c>
      <c r="K1147" s="49"/>
    </row>
    <row r="1148" spans="1:11" x14ac:dyDescent="0.25">
      <c r="A1148" s="46" t="str" cm="1">
        <f t="array" ref="A1148">IFERROR(INDEX(#REF!,MATCH(TRUE,ISNUMBER(FIND(SUBSTITUTE(SUBSTITUTE(UPPER(#REF!)," ",""),":",": "),SUBSTITUTE(SUBSTITUTE(UPPER(S1148)," ",""),":",": "))),0)),"Undefined")</f>
        <v>Undefined</v>
      </c>
      <c r="B1148" s="42" t="str" cm="1">
        <f t="array" ref="B1148">IFERROR(INDEX({"URGENTE"},MATCH(TRUE,ISNUMBER(FIND(SUBSTITUTE(SUBSTITUTE(UPPER({"URGENTE"})," ",""),":",": "),SUBSTITUTE(SUBSTITUTE(UPPER(S1148)," ",""),":",": "))),0)),"-")</f>
        <v>-</v>
      </c>
      <c r="C1148" s="46" t="str" cm="1">
        <f t="array" ref="C1148">IFERROR(INDEX(#REF!,MATCH(TRUE,ISNUMBER(FIND(SUBSTITUTE(SUBSTITUTE(UPPER(#REF!)," ",""),":",": "),SUBSTITUTE(SUBSTITUTE(UPPER(S1148)," ",""),":",": "))),0)),"Não encontrado")</f>
        <v>Não encontrado</v>
      </c>
      <c r="D1148" s="46" t="str" cm="1">
        <f t="array" ref="D1148">IFERROR(INDEX(#REF!,MATCH(TRUE,ISNUMBER(FIND(SUBSTITUTE(SUBSTITUTE(UPPER(#REF!)," ",""),":",": "),SUBSTITUTE(SUBSTITUTE(UPPER(S1148)," ",""),":",": "))),0)),"Não encontrado")</f>
        <v>Não encontrado</v>
      </c>
      <c r="E1148" s="42" t="str" cm="1">
        <f t="array" ref="E1148">IFERROR(INDEX({"IMPEDITIVO"},MATCH(TRUE,ISNUMBER(FIND(SUBSTITUTE(SUBSTITUTE(UPPER({"IMPEDITIVO"})," ",""),":",": "),SUBSTITUTE(SUBSTITUTE(UPPER(S1148)," ",""),":",": "))),0)),"-")</f>
        <v>-</v>
      </c>
      <c r="K1148" s="49"/>
    </row>
    <row r="1149" spans="1:11" x14ac:dyDescent="0.25">
      <c r="A1149" s="46" t="str" cm="1">
        <f t="array" ref="A1149">IFERROR(INDEX(#REF!,MATCH(TRUE,ISNUMBER(FIND(SUBSTITUTE(SUBSTITUTE(UPPER(#REF!)," ",""),":",": "),SUBSTITUTE(SUBSTITUTE(UPPER(S1149)," ",""),":",": "))),0)),"Undefined")</f>
        <v>Undefined</v>
      </c>
      <c r="B1149" s="42" t="str" cm="1">
        <f t="array" ref="B1149">IFERROR(INDEX({"URGENTE"},MATCH(TRUE,ISNUMBER(FIND(SUBSTITUTE(SUBSTITUTE(UPPER({"URGENTE"})," ",""),":",": "),SUBSTITUTE(SUBSTITUTE(UPPER(S1149)," ",""),":",": "))),0)),"-")</f>
        <v>-</v>
      </c>
      <c r="C1149" s="46" t="str" cm="1">
        <f t="array" ref="C1149">IFERROR(INDEX(#REF!,MATCH(TRUE,ISNUMBER(FIND(SUBSTITUTE(SUBSTITUTE(UPPER(#REF!)," ",""),":",": "),SUBSTITUTE(SUBSTITUTE(UPPER(S1149)," ",""),":",": "))),0)),"Não encontrado")</f>
        <v>Não encontrado</v>
      </c>
      <c r="D1149" s="46" t="str" cm="1">
        <f t="array" ref="D1149">IFERROR(INDEX(#REF!,MATCH(TRUE,ISNUMBER(FIND(SUBSTITUTE(SUBSTITUTE(UPPER(#REF!)," ",""),":",": "),SUBSTITUTE(SUBSTITUTE(UPPER(S1149)," ",""),":",": "))),0)),"Não encontrado")</f>
        <v>Não encontrado</v>
      </c>
      <c r="E1149" s="42" t="str" cm="1">
        <f t="array" ref="E1149">IFERROR(INDEX({"IMPEDITIVO"},MATCH(TRUE,ISNUMBER(FIND(SUBSTITUTE(SUBSTITUTE(UPPER({"IMPEDITIVO"})," ",""),":",": "),SUBSTITUTE(SUBSTITUTE(UPPER(S1149)," ",""),":",": "))),0)),"-")</f>
        <v>-</v>
      </c>
      <c r="K1149" s="49"/>
    </row>
    <row r="1150" spans="1:11" x14ac:dyDescent="0.25">
      <c r="A1150" s="46" t="str" cm="1">
        <f t="array" ref="A1150">IFERROR(INDEX(#REF!,MATCH(TRUE,ISNUMBER(FIND(SUBSTITUTE(SUBSTITUTE(UPPER(#REF!)," ",""),":",": "),SUBSTITUTE(SUBSTITUTE(UPPER(S1150)," ",""),":",": "))),0)),"Undefined")</f>
        <v>Undefined</v>
      </c>
      <c r="B1150" s="42" t="str" cm="1">
        <f t="array" ref="B1150">IFERROR(INDEX({"URGENTE"},MATCH(TRUE,ISNUMBER(FIND(SUBSTITUTE(SUBSTITUTE(UPPER({"URGENTE"})," ",""),":",": "),SUBSTITUTE(SUBSTITUTE(UPPER(S1150)," ",""),":",": "))),0)),"-")</f>
        <v>-</v>
      </c>
      <c r="C1150" s="46" t="str" cm="1">
        <f t="array" ref="C1150">IFERROR(INDEX(#REF!,MATCH(TRUE,ISNUMBER(FIND(SUBSTITUTE(SUBSTITUTE(UPPER(#REF!)," ",""),":",": "),SUBSTITUTE(SUBSTITUTE(UPPER(S1150)," ",""),":",": "))),0)),"Não encontrado")</f>
        <v>Não encontrado</v>
      </c>
      <c r="D1150" s="46" t="str" cm="1">
        <f t="array" ref="D1150">IFERROR(INDEX(#REF!,MATCH(TRUE,ISNUMBER(FIND(SUBSTITUTE(SUBSTITUTE(UPPER(#REF!)," ",""),":",": "),SUBSTITUTE(SUBSTITUTE(UPPER(S1150)," ",""),":",": "))),0)),"Não encontrado")</f>
        <v>Não encontrado</v>
      </c>
      <c r="E1150" s="42" t="str" cm="1">
        <f t="array" ref="E1150">IFERROR(INDEX({"IMPEDITIVO"},MATCH(TRUE,ISNUMBER(FIND(SUBSTITUTE(SUBSTITUTE(UPPER({"IMPEDITIVO"})," ",""),":",": "),SUBSTITUTE(SUBSTITUTE(UPPER(S1150)," ",""),":",": "))),0)),"-")</f>
        <v>-</v>
      </c>
      <c r="K1150" s="49"/>
    </row>
    <row r="1151" spans="1:11" x14ac:dyDescent="0.25">
      <c r="A1151" s="46" t="str" cm="1">
        <f t="array" ref="A1151">IFERROR(INDEX(#REF!,MATCH(TRUE,ISNUMBER(FIND(SUBSTITUTE(SUBSTITUTE(UPPER(#REF!)," ",""),":",": "),SUBSTITUTE(SUBSTITUTE(UPPER(S1151)," ",""),":",": "))),0)),"Undefined")</f>
        <v>Undefined</v>
      </c>
      <c r="B1151" s="42" t="str" cm="1">
        <f t="array" ref="B1151">IFERROR(INDEX({"URGENTE"},MATCH(TRUE,ISNUMBER(FIND(SUBSTITUTE(SUBSTITUTE(UPPER({"URGENTE"})," ",""),":",": "),SUBSTITUTE(SUBSTITUTE(UPPER(S1151)," ",""),":",": "))),0)),"-")</f>
        <v>-</v>
      </c>
      <c r="C1151" s="46" t="str" cm="1">
        <f t="array" ref="C1151">IFERROR(INDEX(#REF!,MATCH(TRUE,ISNUMBER(FIND(SUBSTITUTE(SUBSTITUTE(UPPER(#REF!)," ",""),":",": "),SUBSTITUTE(SUBSTITUTE(UPPER(S1151)," ",""),":",": "))),0)),"Não encontrado")</f>
        <v>Não encontrado</v>
      </c>
      <c r="D1151" s="46" t="str" cm="1">
        <f t="array" ref="D1151">IFERROR(INDEX(#REF!,MATCH(TRUE,ISNUMBER(FIND(SUBSTITUTE(SUBSTITUTE(UPPER(#REF!)," ",""),":",": "),SUBSTITUTE(SUBSTITUTE(UPPER(S1151)," ",""),":",": "))),0)),"Não encontrado")</f>
        <v>Não encontrado</v>
      </c>
      <c r="E1151" s="42" t="str" cm="1">
        <f t="array" ref="E1151">IFERROR(INDEX({"IMPEDITIVO"},MATCH(TRUE,ISNUMBER(FIND(SUBSTITUTE(SUBSTITUTE(UPPER({"IMPEDITIVO"})," ",""),":",": "),SUBSTITUTE(SUBSTITUTE(UPPER(S1151)," ",""),":",": "))),0)),"-")</f>
        <v>-</v>
      </c>
      <c r="K1151" s="49"/>
    </row>
    <row r="1152" spans="1:11" x14ac:dyDescent="0.25">
      <c r="A1152" s="46" t="str" cm="1">
        <f t="array" ref="A1152">IFERROR(INDEX(#REF!,MATCH(TRUE,ISNUMBER(FIND(SUBSTITUTE(SUBSTITUTE(UPPER(#REF!)," ",""),":",": "),SUBSTITUTE(SUBSTITUTE(UPPER(S1152)," ",""),":",": "))),0)),"Undefined")</f>
        <v>Undefined</v>
      </c>
      <c r="B1152" s="42" t="str" cm="1">
        <f t="array" ref="B1152">IFERROR(INDEX({"URGENTE"},MATCH(TRUE,ISNUMBER(FIND(SUBSTITUTE(SUBSTITUTE(UPPER({"URGENTE"})," ",""),":",": "),SUBSTITUTE(SUBSTITUTE(UPPER(S1152)," ",""),":",": "))),0)),"-")</f>
        <v>-</v>
      </c>
      <c r="C1152" s="46" t="str" cm="1">
        <f t="array" ref="C1152">IFERROR(INDEX(#REF!,MATCH(TRUE,ISNUMBER(FIND(SUBSTITUTE(SUBSTITUTE(UPPER(#REF!)," ",""),":",": "),SUBSTITUTE(SUBSTITUTE(UPPER(S1152)," ",""),":",": "))),0)),"Não encontrado")</f>
        <v>Não encontrado</v>
      </c>
      <c r="D1152" s="46" t="str" cm="1">
        <f t="array" ref="D1152">IFERROR(INDEX(#REF!,MATCH(TRUE,ISNUMBER(FIND(SUBSTITUTE(SUBSTITUTE(UPPER(#REF!)," ",""),":",": "),SUBSTITUTE(SUBSTITUTE(UPPER(S1152)," ",""),":",": "))),0)),"Não encontrado")</f>
        <v>Não encontrado</v>
      </c>
      <c r="E1152" s="42" t="str" cm="1">
        <f t="array" ref="E1152">IFERROR(INDEX({"IMPEDITIVO"},MATCH(TRUE,ISNUMBER(FIND(SUBSTITUTE(SUBSTITUTE(UPPER({"IMPEDITIVO"})," ",""),":",": "),SUBSTITUTE(SUBSTITUTE(UPPER(S1152)," ",""),":",": "))),0)),"-")</f>
        <v>-</v>
      </c>
      <c r="K1152" s="49"/>
    </row>
    <row r="1153" spans="1:11" x14ac:dyDescent="0.25">
      <c r="A1153" s="46" t="str" cm="1">
        <f t="array" ref="A1153">IFERROR(INDEX(#REF!,MATCH(TRUE,ISNUMBER(FIND(SUBSTITUTE(SUBSTITUTE(UPPER(#REF!)," ",""),":",": "),SUBSTITUTE(SUBSTITUTE(UPPER(S1153)," ",""),":",": "))),0)),"Undefined")</f>
        <v>Undefined</v>
      </c>
      <c r="B1153" s="42" t="str" cm="1">
        <f t="array" ref="B1153">IFERROR(INDEX({"URGENTE"},MATCH(TRUE,ISNUMBER(FIND(SUBSTITUTE(SUBSTITUTE(UPPER({"URGENTE"})," ",""),":",": "),SUBSTITUTE(SUBSTITUTE(UPPER(S1153)," ",""),":",": "))),0)),"-")</f>
        <v>-</v>
      </c>
      <c r="C1153" s="46" t="str" cm="1">
        <f t="array" ref="C1153">IFERROR(INDEX(#REF!,MATCH(TRUE,ISNUMBER(FIND(SUBSTITUTE(SUBSTITUTE(UPPER(#REF!)," ",""),":",": "),SUBSTITUTE(SUBSTITUTE(UPPER(S1153)," ",""),":",": "))),0)),"Não encontrado")</f>
        <v>Não encontrado</v>
      </c>
      <c r="D1153" s="46" t="str" cm="1">
        <f t="array" ref="D1153">IFERROR(INDEX(#REF!,MATCH(TRUE,ISNUMBER(FIND(SUBSTITUTE(SUBSTITUTE(UPPER(#REF!)," ",""),":",": "),SUBSTITUTE(SUBSTITUTE(UPPER(S1153)," ",""),":",": "))),0)),"Não encontrado")</f>
        <v>Não encontrado</v>
      </c>
      <c r="E1153" s="42" t="str" cm="1">
        <f t="array" ref="E1153">IFERROR(INDEX({"IMPEDITIVO"},MATCH(TRUE,ISNUMBER(FIND(SUBSTITUTE(SUBSTITUTE(UPPER({"IMPEDITIVO"})," ",""),":",": "),SUBSTITUTE(SUBSTITUTE(UPPER(S1153)," ",""),":",": "))),0)),"-")</f>
        <v>-</v>
      </c>
      <c r="K1153" s="49"/>
    </row>
    <row r="1154" spans="1:11" x14ac:dyDescent="0.25">
      <c r="A1154" s="46" t="str" cm="1">
        <f t="array" ref="A1154">IFERROR(INDEX(#REF!,MATCH(TRUE,ISNUMBER(FIND(SUBSTITUTE(SUBSTITUTE(UPPER(#REF!)," ",""),":",": "),SUBSTITUTE(SUBSTITUTE(UPPER(S1154)," ",""),":",": "))),0)),"Undefined")</f>
        <v>Undefined</v>
      </c>
      <c r="B1154" s="42" t="str" cm="1">
        <f t="array" ref="B1154">IFERROR(INDEX({"URGENTE"},MATCH(TRUE,ISNUMBER(FIND(SUBSTITUTE(SUBSTITUTE(UPPER({"URGENTE"})," ",""),":",": "),SUBSTITUTE(SUBSTITUTE(UPPER(S1154)," ",""),":",": "))),0)),"-")</f>
        <v>-</v>
      </c>
      <c r="C1154" s="46" t="str" cm="1">
        <f t="array" ref="C1154">IFERROR(INDEX(#REF!,MATCH(TRUE,ISNUMBER(FIND(SUBSTITUTE(SUBSTITUTE(UPPER(#REF!)," ",""),":",": "),SUBSTITUTE(SUBSTITUTE(UPPER(S1154)," ",""),":",": "))),0)),"Não encontrado")</f>
        <v>Não encontrado</v>
      </c>
      <c r="D1154" s="46" t="str" cm="1">
        <f t="array" ref="D1154">IFERROR(INDEX(#REF!,MATCH(TRUE,ISNUMBER(FIND(SUBSTITUTE(SUBSTITUTE(UPPER(#REF!)," ",""),":",": "),SUBSTITUTE(SUBSTITUTE(UPPER(S1154)," ",""),":",": "))),0)),"Não encontrado")</f>
        <v>Não encontrado</v>
      </c>
      <c r="E1154" s="42" t="str" cm="1">
        <f t="array" ref="E1154">IFERROR(INDEX({"IMPEDITIVO"},MATCH(TRUE,ISNUMBER(FIND(SUBSTITUTE(SUBSTITUTE(UPPER({"IMPEDITIVO"})," ",""),":",": "),SUBSTITUTE(SUBSTITUTE(UPPER(S1154)," ",""),":",": "))),0)),"-")</f>
        <v>-</v>
      </c>
      <c r="K1154" s="49"/>
    </row>
    <row r="1155" spans="1:11" x14ac:dyDescent="0.25">
      <c r="A1155" s="46" t="str" cm="1">
        <f t="array" ref="A1155">IFERROR(INDEX(#REF!,MATCH(TRUE,ISNUMBER(FIND(SUBSTITUTE(SUBSTITUTE(UPPER(#REF!)," ",""),":",": "),SUBSTITUTE(SUBSTITUTE(UPPER(S1155)," ",""),":",": "))),0)),"Undefined")</f>
        <v>Undefined</v>
      </c>
      <c r="B1155" s="42" t="str" cm="1">
        <f t="array" ref="B1155">IFERROR(INDEX({"URGENTE"},MATCH(TRUE,ISNUMBER(FIND(SUBSTITUTE(SUBSTITUTE(UPPER({"URGENTE"})," ",""),":",": "),SUBSTITUTE(SUBSTITUTE(UPPER(S1155)," ",""),":",": "))),0)),"-")</f>
        <v>-</v>
      </c>
      <c r="C1155" s="46" t="str" cm="1">
        <f t="array" ref="C1155">IFERROR(INDEX(#REF!,MATCH(TRUE,ISNUMBER(FIND(SUBSTITUTE(SUBSTITUTE(UPPER(#REF!)," ",""),":",": "),SUBSTITUTE(SUBSTITUTE(UPPER(S1155)," ",""),":",": "))),0)),"Não encontrado")</f>
        <v>Não encontrado</v>
      </c>
      <c r="D1155" s="46" t="str" cm="1">
        <f t="array" ref="D1155">IFERROR(INDEX(#REF!,MATCH(TRUE,ISNUMBER(FIND(SUBSTITUTE(SUBSTITUTE(UPPER(#REF!)," ",""),":",": "),SUBSTITUTE(SUBSTITUTE(UPPER(S1155)," ",""),":",": "))),0)),"Não encontrado")</f>
        <v>Não encontrado</v>
      </c>
      <c r="E1155" s="42" t="str" cm="1">
        <f t="array" ref="E1155">IFERROR(INDEX({"IMPEDITIVO"},MATCH(TRUE,ISNUMBER(FIND(SUBSTITUTE(SUBSTITUTE(UPPER({"IMPEDITIVO"})," ",""),":",": "),SUBSTITUTE(SUBSTITUTE(UPPER(S1155)," ",""),":",": "))),0)),"-")</f>
        <v>-</v>
      </c>
      <c r="K1155" s="49"/>
    </row>
    <row r="1156" spans="1:11" x14ac:dyDescent="0.25">
      <c r="A1156" s="46" t="str" cm="1">
        <f t="array" ref="A1156">IFERROR(INDEX(#REF!,MATCH(TRUE,ISNUMBER(FIND(SUBSTITUTE(SUBSTITUTE(UPPER(#REF!)," ",""),":",": "),SUBSTITUTE(SUBSTITUTE(UPPER(S1156)," ",""),":",": "))),0)),"Undefined")</f>
        <v>Undefined</v>
      </c>
      <c r="B1156" s="42" t="str" cm="1">
        <f t="array" ref="B1156">IFERROR(INDEX({"URGENTE"},MATCH(TRUE,ISNUMBER(FIND(SUBSTITUTE(SUBSTITUTE(UPPER({"URGENTE"})," ",""),":",": "),SUBSTITUTE(SUBSTITUTE(UPPER(S1156)," ",""),":",": "))),0)),"-")</f>
        <v>-</v>
      </c>
      <c r="C1156" s="46" t="str" cm="1">
        <f t="array" ref="C1156">IFERROR(INDEX(#REF!,MATCH(TRUE,ISNUMBER(FIND(SUBSTITUTE(SUBSTITUTE(UPPER(#REF!)," ",""),":",": "),SUBSTITUTE(SUBSTITUTE(UPPER(S1156)," ",""),":",": "))),0)),"Não encontrado")</f>
        <v>Não encontrado</v>
      </c>
      <c r="D1156" s="46" t="str" cm="1">
        <f t="array" ref="D1156">IFERROR(INDEX(#REF!,MATCH(TRUE,ISNUMBER(FIND(SUBSTITUTE(SUBSTITUTE(UPPER(#REF!)," ",""),":",": "),SUBSTITUTE(SUBSTITUTE(UPPER(S1156)," ",""),":",": "))),0)),"Não encontrado")</f>
        <v>Não encontrado</v>
      </c>
      <c r="E1156" s="42" t="str" cm="1">
        <f t="array" ref="E1156">IFERROR(INDEX({"IMPEDITIVO"},MATCH(TRUE,ISNUMBER(FIND(SUBSTITUTE(SUBSTITUTE(UPPER({"IMPEDITIVO"})," ",""),":",": "),SUBSTITUTE(SUBSTITUTE(UPPER(S1156)," ",""),":",": "))),0)),"-")</f>
        <v>-</v>
      </c>
      <c r="K1156" s="49"/>
    </row>
    <row r="1157" spans="1:11" x14ac:dyDescent="0.25">
      <c r="A1157" s="46" t="str" cm="1">
        <f t="array" ref="A1157">IFERROR(INDEX(#REF!,MATCH(TRUE,ISNUMBER(FIND(SUBSTITUTE(SUBSTITUTE(UPPER(#REF!)," ",""),":",": "),SUBSTITUTE(SUBSTITUTE(UPPER(S1157)," ",""),":",": "))),0)),"Undefined")</f>
        <v>Undefined</v>
      </c>
      <c r="B1157" s="42" t="str" cm="1">
        <f t="array" ref="B1157">IFERROR(INDEX({"URGENTE"},MATCH(TRUE,ISNUMBER(FIND(SUBSTITUTE(SUBSTITUTE(UPPER({"URGENTE"})," ",""),":",": "),SUBSTITUTE(SUBSTITUTE(UPPER(S1157)," ",""),":",": "))),0)),"-")</f>
        <v>-</v>
      </c>
      <c r="C1157" s="46" t="str" cm="1">
        <f t="array" ref="C1157">IFERROR(INDEX(#REF!,MATCH(TRUE,ISNUMBER(FIND(SUBSTITUTE(SUBSTITUTE(UPPER(#REF!)," ",""),":",": "),SUBSTITUTE(SUBSTITUTE(UPPER(S1157)," ",""),":",": "))),0)),"Não encontrado")</f>
        <v>Não encontrado</v>
      </c>
      <c r="D1157" s="46" t="str" cm="1">
        <f t="array" ref="D1157">IFERROR(INDEX(#REF!,MATCH(TRUE,ISNUMBER(FIND(SUBSTITUTE(SUBSTITUTE(UPPER(#REF!)," ",""),":",": "),SUBSTITUTE(SUBSTITUTE(UPPER(S1157)," ",""),":",": "))),0)),"Não encontrado")</f>
        <v>Não encontrado</v>
      </c>
      <c r="E1157" s="42" t="str" cm="1">
        <f t="array" ref="E1157">IFERROR(INDEX({"IMPEDITIVO"},MATCH(TRUE,ISNUMBER(FIND(SUBSTITUTE(SUBSTITUTE(UPPER({"IMPEDITIVO"})," ",""),":",": "),SUBSTITUTE(SUBSTITUTE(UPPER(S1157)," ",""),":",": "))),0)),"-")</f>
        <v>-</v>
      </c>
      <c r="K1157" s="49"/>
    </row>
    <row r="1158" spans="1:11" x14ac:dyDescent="0.25">
      <c r="A1158" s="46" t="str" cm="1">
        <f t="array" ref="A1158">IFERROR(INDEX(#REF!,MATCH(TRUE,ISNUMBER(FIND(SUBSTITUTE(SUBSTITUTE(UPPER(#REF!)," ",""),":",": "),SUBSTITUTE(SUBSTITUTE(UPPER(S1158)," ",""),":",": "))),0)),"Undefined")</f>
        <v>Undefined</v>
      </c>
      <c r="B1158" s="42" t="str" cm="1">
        <f t="array" ref="B1158">IFERROR(INDEX({"URGENTE"},MATCH(TRUE,ISNUMBER(FIND(SUBSTITUTE(SUBSTITUTE(UPPER({"URGENTE"})," ",""),":",": "),SUBSTITUTE(SUBSTITUTE(UPPER(S1158)," ",""),":",": "))),0)),"-")</f>
        <v>-</v>
      </c>
      <c r="C1158" s="46" t="str" cm="1">
        <f t="array" ref="C1158">IFERROR(INDEX(#REF!,MATCH(TRUE,ISNUMBER(FIND(SUBSTITUTE(SUBSTITUTE(UPPER(#REF!)," ",""),":",": "),SUBSTITUTE(SUBSTITUTE(UPPER(S1158)," ",""),":",": "))),0)),"Não encontrado")</f>
        <v>Não encontrado</v>
      </c>
      <c r="D1158" s="46" t="str" cm="1">
        <f t="array" ref="D1158">IFERROR(INDEX(#REF!,MATCH(TRUE,ISNUMBER(FIND(SUBSTITUTE(SUBSTITUTE(UPPER(#REF!)," ",""),":",": "),SUBSTITUTE(SUBSTITUTE(UPPER(S1158)," ",""),":",": "))),0)),"Não encontrado")</f>
        <v>Não encontrado</v>
      </c>
      <c r="E1158" s="42" t="str" cm="1">
        <f t="array" ref="E1158">IFERROR(INDEX({"IMPEDITIVO"},MATCH(TRUE,ISNUMBER(FIND(SUBSTITUTE(SUBSTITUTE(UPPER({"IMPEDITIVO"})," ",""),":",": "),SUBSTITUTE(SUBSTITUTE(UPPER(S1158)," ",""),":",": "))),0)),"-")</f>
        <v>-</v>
      </c>
      <c r="K1158" s="49"/>
    </row>
    <row r="1159" spans="1:11" x14ac:dyDescent="0.25">
      <c r="A1159" s="46" t="str" cm="1">
        <f t="array" ref="A1159">IFERROR(INDEX(#REF!,MATCH(TRUE,ISNUMBER(FIND(SUBSTITUTE(SUBSTITUTE(UPPER(#REF!)," ",""),":",": "),SUBSTITUTE(SUBSTITUTE(UPPER(S1159)," ",""),":",": "))),0)),"Undefined")</f>
        <v>Undefined</v>
      </c>
      <c r="B1159" s="42" t="str" cm="1">
        <f t="array" ref="B1159">IFERROR(INDEX({"URGENTE"},MATCH(TRUE,ISNUMBER(FIND(SUBSTITUTE(SUBSTITUTE(UPPER({"URGENTE"})," ",""),":",": "),SUBSTITUTE(SUBSTITUTE(UPPER(S1159)," ",""),":",": "))),0)),"-")</f>
        <v>-</v>
      </c>
      <c r="C1159" s="46" t="str" cm="1">
        <f t="array" ref="C1159">IFERROR(INDEX(#REF!,MATCH(TRUE,ISNUMBER(FIND(SUBSTITUTE(SUBSTITUTE(UPPER(#REF!)," ",""),":",": "),SUBSTITUTE(SUBSTITUTE(UPPER(S1159)," ",""),":",": "))),0)),"Não encontrado")</f>
        <v>Não encontrado</v>
      </c>
      <c r="D1159" s="46" t="str" cm="1">
        <f t="array" ref="D1159">IFERROR(INDEX(#REF!,MATCH(TRUE,ISNUMBER(FIND(SUBSTITUTE(SUBSTITUTE(UPPER(#REF!)," ",""),":",": "),SUBSTITUTE(SUBSTITUTE(UPPER(S1159)," ",""),":",": "))),0)),"Não encontrado")</f>
        <v>Não encontrado</v>
      </c>
      <c r="E1159" s="42" t="str" cm="1">
        <f t="array" ref="E1159">IFERROR(INDEX({"IMPEDITIVO"},MATCH(TRUE,ISNUMBER(FIND(SUBSTITUTE(SUBSTITUTE(UPPER({"IMPEDITIVO"})," ",""),":",": "),SUBSTITUTE(SUBSTITUTE(UPPER(S1159)," ",""),":",": "))),0)),"-")</f>
        <v>-</v>
      </c>
      <c r="K1159" s="49"/>
    </row>
    <row r="1160" spans="1:11" x14ac:dyDescent="0.25">
      <c r="A1160" s="46" t="str" cm="1">
        <f t="array" ref="A1160">IFERROR(INDEX(#REF!,MATCH(TRUE,ISNUMBER(FIND(SUBSTITUTE(SUBSTITUTE(UPPER(#REF!)," ",""),":",": "),SUBSTITUTE(SUBSTITUTE(UPPER(S1160)," ",""),":",": "))),0)),"Undefined")</f>
        <v>Undefined</v>
      </c>
      <c r="B1160" s="42" t="str" cm="1">
        <f t="array" ref="B1160">IFERROR(INDEX({"URGENTE"},MATCH(TRUE,ISNUMBER(FIND(SUBSTITUTE(SUBSTITUTE(UPPER({"URGENTE"})," ",""),":",": "),SUBSTITUTE(SUBSTITUTE(UPPER(S1160)," ",""),":",": "))),0)),"-")</f>
        <v>-</v>
      </c>
      <c r="C1160" s="46" t="str" cm="1">
        <f t="array" ref="C1160">IFERROR(INDEX(#REF!,MATCH(TRUE,ISNUMBER(FIND(SUBSTITUTE(SUBSTITUTE(UPPER(#REF!)," ",""),":",": "),SUBSTITUTE(SUBSTITUTE(UPPER(S1160)," ",""),":",": "))),0)),"Não encontrado")</f>
        <v>Não encontrado</v>
      </c>
      <c r="D1160" s="46" t="str" cm="1">
        <f t="array" ref="D1160">IFERROR(INDEX(#REF!,MATCH(TRUE,ISNUMBER(FIND(SUBSTITUTE(SUBSTITUTE(UPPER(#REF!)," ",""),":",": "),SUBSTITUTE(SUBSTITUTE(UPPER(S1160)," ",""),":",": "))),0)),"Não encontrado")</f>
        <v>Não encontrado</v>
      </c>
      <c r="E1160" s="42" t="str" cm="1">
        <f t="array" ref="E1160">IFERROR(INDEX({"IMPEDITIVO"},MATCH(TRUE,ISNUMBER(FIND(SUBSTITUTE(SUBSTITUTE(UPPER({"IMPEDITIVO"})," ",""),":",": "),SUBSTITUTE(SUBSTITUTE(UPPER(S1160)," ",""),":",": "))),0)),"-")</f>
        <v>-</v>
      </c>
      <c r="K1160" s="49"/>
    </row>
    <row r="1161" spans="1:11" x14ac:dyDescent="0.25">
      <c r="A1161" s="46" t="str" cm="1">
        <f t="array" ref="A1161">IFERROR(INDEX(#REF!,MATCH(TRUE,ISNUMBER(FIND(SUBSTITUTE(SUBSTITUTE(UPPER(#REF!)," ",""),":",": "),SUBSTITUTE(SUBSTITUTE(UPPER(S1161)," ",""),":",": "))),0)),"Undefined")</f>
        <v>Undefined</v>
      </c>
      <c r="B1161" s="42" t="str" cm="1">
        <f t="array" ref="B1161">IFERROR(INDEX({"URGENTE"},MATCH(TRUE,ISNUMBER(FIND(SUBSTITUTE(SUBSTITUTE(UPPER({"URGENTE"})," ",""),":",": "),SUBSTITUTE(SUBSTITUTE(UPPER(S1161)," ",""),":",": "))),0)),"-")</f>
        <v>-</v>
      </c>
      <c r="C1161" s="46" t="str" cm="1">
        <f t="array" ref="C1161">IFERROR(INDEX(#REF!,MATCH(TRUE,ISNUMBER(FIND(SUBSTITUTE(SUBSTITUTE(UPPER(#REF!)," ",""),":",": "),SUBSTITUTE(SUBSTITUTE(UPPER(S1161)," ",""),":",": "))),0)),"Não encontrado")</f>
        <v>Não encontrado</v>
      </c>
      <c r="D1161" s="46" t="str" cm="1">
        <f t="array" ref="D1161">IFERROR(INDEX(#REF!,MATCH(TRUE,ISNUMBER(FIND(SUBSTITUTE(SUBSTITUTE(UPPER(#REF!)," ",""),":",": "),SUBSTITUTE(SUBSTITUTE(UPPER(S1161)," ",""),":",": "))),0)),"Não encontrado")</f>
        <v>Não encontrado</v>
      </c>
      <c r="E1161" s="42" t="str" cm="1">
        <f t="array" ref="E1161">IFERROR(INDEX({"IMPEDITIVO"},MATCH(TRUE,ISNUMBER(FIND(SUBSTITUTE(SUBSTITUTE(UPPER({"IMPEDITIVO"})," ",""),":",": "),SUBSTITUTE(SUBSTITUTE(UPPER(S1161)," ",""),":",": "))),0)),"-")</f>
        <v>-</v>
      </c>
      <c r="K1161" s="49"/>
    </row>
    <row r="1162" spans="1:11" x14ac:dyDescent="0.25">
      <c r="A1162" s="46" t="str" cm="1">
        <f t="array" ref="A1162">IFERROR(INDEX(#REF!,MATCH(TRUE,ISNUMBER(FIND(SUBSTITUTE(SUBSTITUTE(UPPER(#REF!)," ",""),":",": "),SUBSTITUTE(SUBSTITUTE(UPPER(S1162)," ",""),":",": "))),0)),"Undefined")</f>
        <v>Undefined</v>
      </c>
      <c r="B1162" s="42" t="str" cm="1">
        <f t="array" ref="B1162">IFERROR(INDEX({"URGENTE"},MATCH(TRUE,ISNUMBER(FIND(SUBSTITUTE(SUBSTITUTE(UPPER({"URGENTE"})," ",""),":",": "),SUBSTITUTE(SUBSTITUTE(UPPER(S1162)," ",""),":",": "))),0)),"-")</f>
        <v>-</v>
      </c>
      <c r="C1162" s="46" t="str" cm="1">
        <f t="array" ref="C1162">IFERROR(INDEX(#REF!,MATCH(TRUE,ISNUMBER(FIND(SUBSTITUTE(SUBSTITUTE(UPPER(#REF!)," ",""),":",": "),SUBSTITUTE(SUBSTITUTE(UPPER(S1162)," ",""),":",": "))),0)),"Não encontrado")</f>
        <v>Não encontrado</v>
      </c>
      <c r="D1162" s="46" t="str" cm="1">
        <f t="array" ref="D1162">IFERROR(INDEX(#REF!,MATCH(TRUE,ISNUMBER(FIND(SUBSTITUTE(SUBSTITUTE(UPPER(#REF!)," ",""),":",": "),SUBSTITUTE(SUBSTITUTE(UPPER(S1162)," ",""),":",": "))),0)),"Não encontrado")</f>
        <v>Não encontrado</v>
      </c>
      <c r="E1162" s="42" t="str" cm="1">
        <f t="array" ref="E1162">IFERROR(INDEX({"IMPEDITIVO"},MATCH(TRUE,ISNUMBER(FIND(SUBSTITUTE(SUBSTITUTE(UPPER({"IMPEDITIVO"})," ",""),":",": "),SUBSTITUTE(SUBSTITUTE(UPPER(S1162)," ",""),":",": "))),0)),"-")</f>
        <v>-</v>
      </c>
      <c r="K1162" s="49"/>
    </row>
    <row r="1163" spans="1:11" x14ac:dyDescent="0.25">
      <c r="A1163" s="46" t="str" cm="1">
        <f t="array" ref="A1163">IFERROR(INDEX(#REF!,MATCH(TRUE,ISNUMBER(FIND(SUBSTITUTE(SUBSTITUTE(UPPER(#REF!)," ",""),":",": "),SUBSTITUTE(SUBSTITUTE(UPPER(S1163)," ",""),":",": "))),0)),"Undefined")</f>
        <v>Undefined</v>
      </c>
      <c r="B1163" s="42" t="str" cm="1">
        <f t="array" ref="B1163">IFERROR(INDEX({"URGENTE"},MATCH(TRUE,ISNUMBER(FIND(SUBSTITUTE(SUBSTITUTE(UPPER({"URGENTE"})," ",""),":",": "),SUBSTITUTE(SUBSTITUTE(UPPER(S1163)," ",""),":",": "))),0)),"-")</f>
        <v>-</v>
      </c>
      <c r="C1163" s="46" t="str" cm="1">
        <f t="array" ref="C1163">IFERROR(INDEX(#REF!,MATCH(TRUE,ISNUMBER(FIND(SUBSTITUTE(SUBSTITUTE(UPPER(#REF!)," ",""),":",": "),SUBSTITUTE(SUBSTITUTE(UPPER(S1163)," ",""),":",": "))),0)),"Não encontrado")</f>
        <v>Não encontrado</v>
      </c>
      <c r="D1163" s="46" t="str" cm="1">
        <f t="array" ref="D1163">IFERROR(INDEX(#REF!,MATCH(TRUE,ISNUMBER(FIND(SUBSTITUTE(SUBSTITUTE(UPPER(#REF!)," ",""),":",": "),SUBSTITUTE(SUBSTITUTE(UPPER(S1163)," ",""),":",": "))),0)),"Não encontrado")</f>
        <v>Não encontrado</v>
      </c>
      <c r="E1163" s="42" t="str" cm="1">
        <f t="array" ref="E1163">IFERROR(INDEX({"IMPEDITIVO"},MATCH(TRUE,ISNUMBER(FIND(SUBSTITUTE(SUBSTITUTE(UPPER({"IMPEDITIVO"})," ",""),":",": "),SUBSTITUTE(SUBSTITUTE(UPPER(S1163)," ",""),":",": "))),0)),"-")</f>
        <v>-</v>
      </c>
      <c r="K1163" s="49"/>
    </row>
    <row r="1164" spans="1:11" x14ac:dyDescent="0.25">
      <c r="A1164" s="46" t="str" cm="1">
        <f t="array" ref="A1164">IFERROR(INDEX(#REF!,MATCH(TRUE,ISNUMBER(FIND(SUBSTITUTE(SUBSTITUTE(UPPER(#REF!)," ",""),":",": "),SUBSTITUTE(SUBSTITUTE(UPPER(S1164)," ",""),":",": "))),0)),"Undefined")</f>
        <v>Undefined</v>
      </c>
      <c r="B1164" s="42" t="str" cm="1">
        <f t="array" ref="B1164">IFERROR(INDEX({"URGENTE"},MATCH(TRUE,ISNUMBER(FIND(SUBSTITUTE(SUBSTITUTE(UPPER({"URGENTE"})," ",""),":",": "),SUBSTITUTE(SUBSTITUTE(UPPER(S1164)," ",""),":",": "))),0)),"-")</f>
        <v>-</v>
      </c>
      <c r="C1164" s="46" t="str" cm="1">
        <f t="array" ref="C1164">IFERROR(INDEX(#REF!,MATCH(TRUE,ISNUMBER(FIND(SUBSTITUTE(SUBSTITUTE(UPPER(#REF!)," ",""),":",": "),SUBSTITUTE(SUBSTITUTE(UPPER(S1164)," ",""),":",": "))),0)),"Não encontrado")</f>
        <v>Não encontrado</v>
      </c>
      <c r="D1164" s="46" t="str" cm="1">
        <f t="array" ref="D1164">IFERROR(INDEX(#REF!,MATCH(TRUE,ISNUMBER(FIND(SUBSTITUTE(SUBSTITUTE(UPPER(#REF!)," ",""),":",": "),SUBSTITUTE(SUBSTITUTE(UPPER(S1164)," ",""),":",": "))),0)),"Não encontrado")</f>
        <v>Não encontrado</v>
      </c>
      <c r="E1164" s="42" t="str" cm="1">
        <f t="array" ref="E1164">IFERROR(INDEX({"IMPEDITIVO"},MATCH(TRUE,ISNUMBER(FIND(SUBSTITUTE(SUBSTITUTE(UPPER({"IMPEDITIVO"})," ",""),":",": "),SUBSTITUTE(SUBSTITUTE(UPPER(S1164)," ",""),":",": "))),0)),"-")</f>
        <v>-</v>
      </c>
      <c r="K1164" s="49"/>
    </row>
    <row r="1165" spans="1:11" x14ac:dyDescent="0.25">
      <c r="A1165" s="46" t="str" cm="1">
        <f t="array" ref="A1165">IFERROR(INDEX(#REF!,MATCH(TRUE,ISNUMBER(FIND(SUBSTITUTE(SUBSTITUTE(UPPER(#REF!)," ",""),":",": "),SUBSTITUTE(SUBSTITUTE(UPPER(S1165)," ",""),":",": "))),0)),"Undefined")</f>
        <v>Undefined</v>
      </c>
      <c r="B1165" s="42" t="str" cm="1">
        <f t="array" ref="B1165">IFERROR(INDEX({"URGENTE"},MATCH(TRUE,ISNUMBER(FIND(SUBSTITUTE(SUBSTITUTE(UPPER({"URGENTE"})," ",""),":",": "),SUBSTITUTE(SUBSTITUTE(UPPER(S1165)," ",""),":",": "))),0)),"-")</f>
        <v>-</v>
      </c>
      <c r="C1165" s="46" t="str" cm="1">
        <f t="array" ref="C1165">IFERROR(INDEX(#REF!,MATCH(TRUE,ISNUMBER(FIND(SUBSTITUTE(SUBSTITUTE(UPPER(#REF!)," ",""),":",": "),SUBSTITUTE(SUBSTITUTE(UPPER(S1165)," ",""),":",": "))),0)),"Não encontrado")</f>
        <v>Não encontrado</v>
      </c>
      <c r="D1165" s="46" t="str" cm="1">
        <f t="array" ref="D1165">IFERROR(INDEX(#REF!,MATCH(TRUE,ISNUMBER(FIND(SUBSTITUTE(SUBSTITUTE(UPPER(#REF!)," ",""),":",": "),SUBSTITUTE(SUBSTITUTE(UPPER(S1165)," ",""),":",": "))),0)),"Não encontrado")</f>
        <v>Não encontrado</v>
      </c>
      <c r="E1165" s="42" t="str" cm="1">
        <f t="array" ref="E1165">IFERROR(INDEX({"IMPEDITIVO"},MATCH(TRUE,ISNUMBER(FIND(SUBSTITUTE(SUBSTITUTE(UPPER({"IMPEDITIVO"})," ",""),":",": "),SUBSTITUTE(SUBSTITUTE(UPPER(S1165)," ",""),":",": "))),0)),"-")</f>
        <v>-</v>
      </c>
      <c r="K1165" s="49"/>
    </row>
    <row r="1166" spans="1:11" x14ac:dyDescent="0.25">
      <c r="A1166" s="46" t="str" cm="1">
        <f t="array" ref="A1166">IFERROR(INDEX(#REF!,MATCH(TRUE,ISNUMBER(FIND(SUBSTITUTE(SUBSTITUTE(UPPER(#REF!)," ",""),":",": "),SUBSTITUTE(SUBSTITUTE(UPPER(S1166)," ",""),":",": "))),0)),"Undefined")</f>
        <v>Undefined</v>
      </c>
      <c r="B1166" s="42" t="str" cm="1">
        <f t="array" ref="B1166">IFERROR(INDEX({"URGENTE"},MATCH(TRUE,ISNUMBER(FIND(SUBSTITUTE(SUBSTITUTE(UPPER({"URGENTE"})," ",""),":",": "),SUBSTITUTE(SUBSTITUTE(UPPER(S1166)," ",""),":",": "))),0)),"-")</f>
        <v>-</v>
      </c>
      <c r="C1166" s="46" t="str" cm="1">
        <f t="array" ref="C1166">IFERROR(INDEX(#REF!,MATCH(TRUE,ISNUMBER(FIND(SUBSTITUTE(SUBSTITUTE(UPPER(#REF!)," ",""),":",": "),SUBSTITUTE(SUBSTITUTE(UPPER(S1166)," ",""),":",": "))),0)),"Não encontrado")</f>
        <v>Não encontrado</v>
      </c>
      <c r="D1166" s="46" t="str" cm="1">
        <f t="array" ref="D1166">IFERROR(INDEX(#REF!,MATCH(TRUE,ISNUMBER(FIND(SUBSTITUTE(SUBSTITUTE(UPPER(#REF!)," ",""),":",": "),SUBSTITUTE(SUBSTITUTE(UPPER(S1166)," ",""),":",": "))),0)),"Não encontrado")</f>
        <v>Não encontrado</v>
      </c>
      <c r="E1166" s="42" t="str" cm="1">
        <f t="array" ref="E1166">IFERROR(INDEX({"IMPEDITIVO"},MATCH(TRUE,ISNUMBER(FIND(SUBSTITUTE(SUBSTITUTE(UPPER({"IMPEDITIVO"})," ",""),":",": "),SUBSTITUTE(SUBSTITUTE(UPPER(S1166)," ",""),":",": "))),0)),"-")</f>
        <v>-</v>
      </c>
      <c r="K1166" s="49"/>
    </row>
    <row r="1167" spans="1:11" x14ac:dyDescent="0.25">
      <c r="A1167" s="46" t="str" cm="1">
        <f t="array" ref="A1167">IFERROR(INDEX(#REF!,MATCH(TRUE,ISNUMBER(FIND(SUBSTITUTE(SUBSTITUTE(UPPER(#REF!)," ",""),":",": "),SUBSTITUTE(SUBSTITUTE(UPPER(S1167)," ",""),":",": "))),0)),"Undefined")</f>
        <v>Undefined</v>
      </c>
      <c r="B1167" s="42" t="str" cm="1">
        <f t="array" ref="B1167">IFERROR(INDEX({"URGENTE"},MATCH(TRUE,ISNUMBER(FIND(SUBSTITUTE(SUBSTITUTE(UPPER({"URGENTE"})," ",""),":",": "),SUBSTITUTE(SUBSTITUTE(UPPER(S1167)," ",""),":",": "))),0)),"-")</f>
        <v>-</v>
      </c>
      <c r="C1167" s="46" t="str" cm="1">
        <f t="array" ref="C1167">IFERROR(INDEX(#REF!,MATCH(TRUE,ISNUMBER(FIND(SUBSTITUTE(SUBSTITUTE(UPPER(#REF!)," ",""),":",": "),SUBSTITUTE(SUBSTITUTE(UPPER(S1167)," ",""),":",": "))),0)),"Não encontrado")</f>
        <v>Não encontrado</v>
      </c>
      <c r="D1167" s="46" t="str" cm="1">
        <f t="array" ref="D1167">IFERROR(INDEX(#REF!,MATCH(TRUE,ISNUMBER(FIND(SUBSTITUTE(SUBSTITUTE(UPPER(#REF!)," ",""),":",": "),SUBSTITUTE(SUBSTITUTE(UPPER(S1167)," ",""),":",": "))),0)),"Não encontrado")</f>
        <v>Não encontrado</v>
      </c>
      <c r="E1167" s="42" t="str" cm="1">
        <f t="array" ref="E1167">IFERROR(INDEX({"IMPEDITIVO"},MATCH(TRUE,ISNUMBER(FIND(SUBSTITUTE(SUBSTITUTE(UPPER({"IMPEDITIVO"})," ",""),":",": "),SUBSTITUTE(SUBSTITUTE(UPPER(S1167)," ",""),":",": "))),0)),"-")</f>
        <v>-</v>
      </c>
      <c r="K1167" s="49"/>
    </row>
    <row r="1168" spans="1:11" x14ac:dyDescent="0.25">
      <c r="A1168" s="46" t="str" cm="1">
        <f t="array" ref="A1168">IFERROR(INDEX(#REF!,MATCH(TRUE,ISNUMBER(FIND(SUBSTITUTE(SUBSTITUTE(UPPER(#REF!)," ",""),":",": "),SUBSTITUTE(SUBSTITUTE(UPPER(S1168)," ",""),":",": "))),0)),"Undefined")</f>
        <v>Undefined</v>
      </c>
      <c r="B1168" s="42" t="str" cm="1">
        <f t="array" ref="B1168">IFERROR(INDEX({"URGENTE"},MATCH(TRUE,ISNUMBER(FIND(SUBSTITUTE(SUBSTITUTE(UPPER({"URGENTE"})," ",""),":",": "),SUBSTITUTE(SUBSTITUTE(UPPER(S1168)," ",""),":",": "))),0)),"-")</f>
        <v>-</v>
      </c>
      <c r="C1168" s="46" t="str" cm="1">
        <f t="array" ref="C1168">IFERROR(INDEX(#REF!,MATCH(TRUE,ISNUMBER(FIND(SUBSTITUTE(SUBSTITUTE(UPPER(#REF!)," ",""),":",": "),SUBSTITUTE(SUBSTITUTE(UPPER(S1168)," ",""),":",": "))),0)),"Não encontrado")</f>
        <v>Não encontrado</v>
      </c>
      <c r="D1168" s="46" t="str" cm="1">
        <f t="array" ref="D1168">IFERROR(INDEX(#REF!,MATCH(TRUE,ISNUMBER(FIND(SUBSTITUTE(SUBSTITUTE(UPPER(#REF!)," ",""),":",": "),SUBSTITUTE(SUBSTITUTE(UPPER(S1168)," ",""),":",": "))),0)),"Não encontrado")</f>
        <v>Não encontrado</v>
      </c>
      <c r="E1168" s="42" t="str" cm="1">
        <f t="array" ref="E1168">IFERROR(INDEX({"IMPEDITIVO"},MATCH(TRUE,ISNUMBER(FIND(SUBSTITUTE(SUBSTITUTE(UPPER({"IMPEDITIVO"})," ",""),":",": "),SUBSTITUTE(SUBSTITUTE(UPPER(S1168)," ",""),":",": "))),0)),"-")</f>
        <v>-</v>
      </c>
      <c r="K1168" s="49"/>
    </row>
    <row r="1169" spans="1:11" x14ac:dyDescent="0.25">
      <c r="A1169" s="46" t="str" cm="1">
        <f t="array" ref="A1169">IFERROR(INDEX(#REF!,MATCH(TRUE,ISNUMBER(FIND(SUBSTITUTE(SUBSTITUTE(UPPER(#REF!)," ",""),":",": "),SUBSTITUTE(SUBSTITUTE(UPPER(S1169)," ",""),":",": "))),0)),"Undefined")</f>
        <v>Undefined</v>
      </c>
      <c r="B1169" s="42" t="str" cm="1">
        <f t="array" ref="B1169">IFERROR(INDEX({"URGENTE"},MATCH(TRUE,ISNUMBER(FIND(SUBSTITUTE(SUBSTITUTE(UPPER({"URGENTE"})," ",""),":",": "),SUBSTITUTE(SUBSTITUTE(UPPER(S1169)," ",""),":",": "))),0)),"-")</f>
        <v>-</v>
      </c>
      <c r="C1169" s="46" t="str" cm="1">
        <f t="array" ref="C1169">IFERROR(INDEX(#REF!,MATCH(TRUE,ISNUMBER(FIND(SUBSTITUTE(SUBSTITUTE(UPPER(#REF!)," ",""),":",": "),SUBSTITUTE(SUBSTITUTE(UPPER(S1169)," ",""),":",": "))),0)),"Não encontrado")</f>
        <v>Não encontrado</v>
      </c>
      <c r="D1169" s="46" t="str" cm="1">
        <f t="array" ref="D1169">IFERROR(INDEX(#REF!,MATCH(TRUE,ISNUMBER(FIND(SUBSTITUTE(SUBSTITUTE(UPPER(#REF!)," ",""),":",": "),SUBSTITUTE(SUBSTITUTE(UPPER(S1169)," ",""),":",": "))),0)),"Não encontrado")</f>
        <v>Não encontrado</v>
      </c>
      <c r="E1169" s="42" t="str" cm="1">
        <f t="array" ref="E1169">IFERROR(INDEX({"IMPEDITIVO"},MATCH(TRUE,ISNUMBER(FIND(SUBSTITUTE(SUBSTITUTE(UPPER({"IMPEDITIVO"})," ",""),":",": "),SUBSTITUTE(SUBSTITUTE(UPPER(S1169)," ",""),":",": "))),0)),"-")</f>
        <v>-</v>
      </c>
      <c r="K1169" s="49"/>
    </row>
    <row r="1170" spans="1:11" x14ac:dyDescent="0.25">
      <c r="A1170" s="46" t="str" cm="1">
        <f t="array" ref="A1170">IFERROR(INDEX(#REF!,MATCH(TRUE,ISNUMBER(FIND(SUBSTITUTE(SUBSTITUTE(UPPER(#REF!)," ",""),":",": "),SUBSTITUTE(SUBSTITUTE(UPPER(S1170)," ",""),":",": "))),0)),"Undefined")</f>
        <v>Undefined</v>
      </c>
      <c r="B1170" s="42" t="str" cm="1">
        <f t="array" ref="B1170">IFERROR(INDEX({"URGENTE"},MATCH(TRUE,ISNUMBER(FIND(SUBSTITUTE(SUBSTITUTE(UPPER({"URGENTE"})," ",""),":",": "),SUBSTITUTE(SUBSTITUTE(UPPER(S1170)," ",""),":",": "))),0)),"-")</f>
        <v>-</v>
      </c>
      <c r="C1170" s="46" t="str" cm="1">
        <f t="array" ref="C1170">IFERROR(INDEX(#REF!,MATCH(TRUE,ISNUMBER(FIND(SUBSTITUTE(SUBSTITUTE(UPPER(#REF!)," ",""),":",": "),SUBSTITUTE(SUBSTITUTE(UPPER(S1170)," ",""),":",": "))),0)),"Não encontrado")</f>
        <v>Não encontrado</v>
      </c>
      <c r="D1170" s="46" t="str" cm="1">
        <f t="array" ref="D1170">IFERROR(INDEX(#REF!,MATCH(TRUE,ISNUMBER(FIND(SUBSTITUTE(SUBSTITUTE(UPPER(#REF!)," ",""),":",": "),SUBSTITUTE(SUBSTITUTE(UPPER(S1170)," ",""),":",": "))),0)),"Não encontrado")</f>
        <v>Não encontrado</v>
      </c>
      <c r="E1170" s="42" t="str" cm="1">
        <f t="array" ref="E1170">IFERROR(INDEX({"IMPEDITIVO"},MATCH(TRUE,ISNUMBER(FIND(SUBSTITUTE(SUBSTITUTE(UPPER({"IMPEDITIVO"})," ",""),":",": "),SUBSTITUTE(SUBSTITUTE(UPPER(S1170)," ",""),":",": "))),0)),"-")</f>
        <v>-</v>
      </c>
      <c r="K1170" s="49"/>
    </row>
    <row r="1171" spans="1:11" x14ac:dyDescent="0.25">
      <c r="A1171" s="46" t="str" cm="1">
        <f t="array" ref="A1171">IFERROR(INDEX(#REF!,MATCH(TRUE,ISNUMBER(FIND(SUBSTITUTE(SUBSTITUTE(UPPER(#REF!)," ",""),":",": "),SUBSTITUTE(SUBSTITUTE(UPPER(S1171)," ",""),":",": "))),0)),"Undefined")</f>
        <v>Undefined</v>
      </c>
      <c r="B1171" s="42" t="str" cm="1">
        <f t="array" ref="B1171">IFERROR(INDEX({"URGENTE"},MATCH(TRUE,ISNUMBER(FIND(SUBSTITUTE(SUBSTITUTE(UPPER({"URGENTE"})," ",""),":",": "),SUBSTITUTE(SUBSTITUTE(UPPER(S1171)," ",""),":",": "))),0)),"-")</f>
        <v>-</v>
      </c>
      <c r="C1171" s="46" t="str" cm="1">
        <f t="array" ref="C1171">IFERROR(INDEX(#REF!,MATCH(TRUE,ISNUMBER(FIND(SUBSTITUTE(SUBSTITUTE(UPPER(#REF!)," ",""),":",": "),SUBSTITUTE(SUBSTITUTE(UPPER(S1171)," ",""),":",": "))),0)),"Não encontrado")</f>
        <v>Não encontrado</v>
      </c>
      <c r="D1171" s="46" t="str" cm="1">
        <f t="array" ref="D1171">IFERROR(INDEX(#REF!,MATCH(TRUE,ISNUMBER(FIND(SUBSTITUTE(SUBSTITUTE(UPPER(#REF!)," ",""),":",": "),SUBSTITUTE(SUBSTITUTE(UPPER(S1171)," ",""),":",": "))),0)),"Não encontrado")</f>
        <v>Não encontrado</v>
      </c>
      <c r="E1171" s="42" t="str" cm="1">
        <f t="array" ref="E1171">IFERROR(INDEX({"IMPEDITIVO"},MATCH(TRUE,ISNUMBER(FIND(SUBSTITUTE(SUBSTITUTE(UPPER({"IMPEDITIVO"})," ",""),":",": "),SUBSTITUTE(SUBSTITUTE(UPPER(S1171)," ",""),":",": "))),0)),"-")</f>
        <v>-</v>
      </c>
      <c r="K1171" s="49"/>
    </row>
    <row r="1172" spans="1:11" x14ac:dyDescent="0.25">
      <c r="A1172" s="46" t="str" cm="1">
        <f t="array" ref="A1172">IFERROR(INDEX(#REF!,MATCH(TRUE,ISNUMBER(FIND(SUBSTITUTE(SUBSTITUTE(UPPER(#REF!)," ",""),":",": "),SUBSTITUTE(SUBSTITUTE(UPPER(S1172)," ",""),":",": "))),0)),"Undefined")</f>
        <v>Undefined</v>
      </c>
      <c r="B1172" s="42" t="str" cm="1">
        <f t="array" ref="B1172">IFERROR(INDEX({"URGENTE"},MATCH(TRUE,ISNUMBER(FIND(SUBSTITUTE(SUBSTITUTE(UPPER({"URGENTE"})," ",""),":",": "),SUBSTITUTE(SUBSTITUTE(UPPER(S1172)," ",""),":",": "))),0)),"-")</f>
        <v>-</v>
      </c>
      <c r="C1172" s="46" t="str" cm="1">
        <f t="array" ref="C1172">IFERROR(INDEX(#REF!,MATCH(TRUE,ISNUMBER(FIND(SUBSTITUTE(SUBSTITUTE(UPPER(#REF!)," ",""),":",": "),SUBSTITUTE(SUBSTITUTE(UPPER(S1172)," ",""),":",": "))),0)),"Não encontrado")</f>
        <v>Não encontrado</v>
      </c>
      <c r="D1172" s="46" t="str" cm="1">
        <f t="array" ref="D1172">IFERROR(INDEX(#REF!,MATCH(TRUE,ISNUMBER(FIND(SUBSTITUTE(SUBSTITUTE(UPPER(#REF!)," ",""),":",": "),SUBSTITUTE(SUBSTITUTE(UPPER(S1172)," ",""),":",": "))),0)),"Não encontrado")</f>
        <v>Não encontrado</v>
      </c>
      <c r="E1172" s="42" t="str" cm="1">
        <f t="array" ref="E1172">IFERROR(INDEX({"IMPEDITIVO"},MATCH(TRUE,ISNUMBER(FIND(SUBSTITUTE(SUBSTITUTE(UPPER({"IMPEDITIVO"})," ",""),":",": "),SUBSTITUTE(SUBSTITUTE(UPPER(S1172)," ",""),":",": "))),0)),"-")</f>
        <v>-</v>
      </c>
      <c r="K1172" s="49"/>
    </row>
    <row r="1173" spans="1:11" x14ac:dyDescent="0.25">
      <c r="A1173" s="46" t="str" cm="1">
        <f t="array" ref="A1173">IFERROR(INDEX(#REF!,MATCH(TRUE,ISNUMBER(FIND(SUBSTITUTE(SUBSTITUTE(UPPER(#REF!)," ",""),":",": "),SUBSTITUTE(SUBSTITUTE(UPPER(S1173)," ",""),":",": "))),0)),"Undefined")</f>
        <v>Undefined</v>
      </c>
      <c r="B1173" s="42" t="str" cm="1">
        <f t="array" ref="B1173">IFERROR(INDEX({"URGENTE"},MATCH(TRUE,ISNUMBER(FIND(SUBSTITUTE(SUBSTITUTE(UPPER({"URGENTE"})," ",""),":",": "),SUBSTITUTE(SUBSTITUTE(UPPER(S1173)," ",""),":",": "))),0)),"-")</f>
        <v>-</v>
      </c>
      <c r="C1173" s="46" t="str" cm="1">
        <f t="array" ref="C1173">IFERROR(INDEX(#REF!,MATCH(TRUE,ISNUMBER(FIND(SUBSTITUTE(SUBSTITUTE(UPPER(#REF!)," ",""),":",": "),SUBSTITUTE(SUBSTITUTE(UPPER(S1173)," ",""),":",": "))),0)),"Não encontrado")</f>
        <v>Não encontrado</v>
      </c>
      <c r="D1173" s="46" t="str" cm="1">
        <f t="array" ref="D1173">IFERROR(INDEX(#REF!,MATCH(TRUE,ISNUMBER(FIND(SUBSTITUTE(SUBSTITUTE(UPPER(#REF!)," ",""),":",": "),SUBSTITUTE(SUBSTITUTE(UPPER(S1173)," ",""),":",": "))),0)),"Não encontrado")</f>
        <v>Não encontrado</v>
      </c>
      <c r="E1173" s="42" t="str" cm="1">
        <f t="array" ref="E1173">IFERROR(INDEX({"IMPEDITIVO"},MATCH(TRUE,ISNUMBER(FIND(SUBSTITUTE(SUBSTITUTE(UPPER({"IMPEDITIVO"})," ",""),":",": "),SUBSTITUTE(SUBSTITUTE(UPPER(S1173)," ",""),":",": "))),0)),"-")</f>
        <v>-</v>
      </c>
      <c r="K1173" s="49"/>
    </row>
    <row r="1174" spans="1:11" x14ac:dyDescent="0.25">
      <c r="A1174" s="46" t="str" cm="1">
        <f t="array" ref="A1174">IFERROR(INDEX(#REF!,MATCH(TRUE,ISNUMBER(FIND(SUBSTITUTE(SUBSTITUTE(UPPER(#REF!)," ",""),":",": "),SUBSTITUTE(SUBSTITUTE(UPPER(S1174)," ",""),":",": "))),0)),"Undefined")</f>
        <v>Undefined</v>
      </c>
      <c r="B1174" s="42" t="str" cm="1">
        <f t="array" ref="B1174">IFERROR(INDEX({"URGENTE"},MATCH(TRUE,ISNUMBER(FIND(SUBSTITUTE(SUBSTITUTE(UPPER({"URGENTE"})," ",""),":",": "),SUBSTITUTE(SUBSTITUTE(UPPER(S1174)," ",""),":",": "))),0)),"-")</f>
        <v>-</v>
      </c>
      <c r="C1174" s="46" t="str" cm="1">
        <f t="array" ref="C1174">IFERROR(INDEX(#REF!,MATCH(TRUE,ISNUMBER(FIND(SUBSTITUTE(SUBSTITUTE(UPPER(#REF!)," ",""),":",": "),SUBSTITUTE(SUBSTITUTE(UPPER(S1174)," ",""),":",": "))),0)),"Não encontrado")</f>
        <v>Não encontrado</v>
      </c>
      <c r="D1174" s="46" t="str" cm="1">
        <f t="array" ref="D1174">IFERROR(INDEX(#REF!,MATCH(TRUE,ISNUMBER(FIND(SUBSTITUTE(SUBSTITUTE(UPPER(#REF!)," ",""),":",": "),SUBSTITUTE(SUBSTITUTE(UPPER(S1174)," ",""),":",": "))),0)),"Não encontrado")</f>
        <v>Não encontrado</v>
      </c>
      <c r="E1174" s="42" t="str" cm="1">
        <f t="array" ref="E1174">IFERROR(INDEX({"IMPEDITIVO"},MATCH(TRUE,ISNUMBER(FIND(SUBSTITUTE(SUBSTITUTE(UPPER({"IMPEDITIVO"})," ",""),":",": "),SUBSTITUTE(SUBSTITUTE(UPPER(S1174)," ",""),":",": "))),0)),"-")</f>
        <v>-</v>
      </c>
      <c r="K1174" s="49"/>
    </row>
    <row r="1175" spans="1:11" x14ac:dyDescent="0.25">
      <c r="A1175" s="46" t="str" cm="1">
        <f t="array" ref="A1175">IFERROR(INDEX(#REF!,MATCH(TRUE,ISNUMBER(FIND(SUBSTITUTE(SUBSTITUTE(UPPER(#REF!)," ",""),":",": "),SUBSTITUTE(SUBSTITUTE(UPPER(S1175)," ",""),":",": "))),0)),"Undefined")</f>
        <v>Undefined</v>
      </c>
      <c r="B1175" s="42" t="str" cm="1">
        <f t="array" ref="B1175">IFERROR(INDEX({"URGENTE"},MATCH(TRUE,ISNUMBER(FIND(SUBSTITUTE(SUBSTITUTE(UPPER({"URGENTE"})," ",""),":",": "),SUBSTITUTE(SUBSTITUTE(UPPER(S1175)," ",""),":",": "))),0)),"-")</f>
        <v>-</v>
      </c>
      <c r="C1175" s="46" t="str" cm="1">
        <f t="array" ref="C1175">IFERROR(INDEX(#REF!,MATCH(TRUE,ISNUMBER(FIND(SUBSTITUTE(SUBSTITUTE(UPPER(#REF!)," ",""),":",": "),SUBSTITUTE(SUBSTITUTE(UPPER(S1175)," ",""),":",": "))),0)),"Não encontrado")</f>
        <v>Não encontrado</v>
      </c>
      <c r="D1175" s="46" t="str" cm="1">
        <f t="array" ref="D1175">IFERROR(INDEX(#REF!,MATCH(TRUE,ISNUMBER(FIND(SUBSTITUTE(SUBSTITUTE(UPPER(#REF!)," ",""),":",": "),SUBSTITUTE(SUBSTITUTE(UPPER(S1175)," ",""),":",": "))),0)),"Não encontrado")</f>
        <v>Não encontrado</v>
      </c>
      <c r="E1175" s="42" t="str" cm="1">
        <f t="array" ref="E1175">IFERROR(INDEX({"IMPEDITIVO"},MATCH(TRUE,ISNUMBER(FIND(SUBSTITUTE(SUBSTITUTE(UPPER({"IMPEDITIVO"})," ",""),":",": "),SUBSTITUTE(SUBSTITUTE(UPPER(S1175)," ",""),":",": "))),0)),"-")</f>
        <v>-</v>
      </c>
      <c r="K1175" s="49"/>
    </row>
    <row r="1176" spans="1:11" x14ac:dyDescent="0.25">
      <c r="A1176" s="46" t="str" cm="1">
        <f t="array" ref="A1176">IFERROR(INDEX(#REF!,MATCH(TRUE,ISNUMBER(FIND(SUBSTITUTE(SUBSTITUTE(UPPER(#REF!)," ",""),":",": "),SUBSTITUTE(SUBSTITUTE(UPPER(S1176)," ",""),":",": "))),0)),"Undefined")</f>
        <v>Undefined</v>
      </c>
      <c r="B1176" s="42" t="str" cm="1">
        <f t="array" ref="B1176">IFERROR(INDEX({"URGENTE"},MATCH(TRUE,ISNUMBER(FIND(SUBSTITUTE(SUBSTITUTE(UPPER({"URGENTE"})," ",""),":",": "),SUBSTITUTE(SUBSTITUTE(UPPER(S1176)," ",""),":",": "))),0)),"-")</f>
        <v>-</v>
      </c>
      <c r="C1176" s="46" t="str" cm="1">
        <f t="array" ref="C1176">IFERROR(INDEX(#REF!,MATCH(TRUE,ISNUMBER(FIND(SUBSTITUTE(SUBSTITUTE(UPPER(#REF!)," ",""),":",": "),SUBSTITUTE(SUBSTITUTE(UPPER(S1176)," ",""),":",": "))),0)),"Não encontrado")</f>
        <v>Não encontrado</v>
      </c>
      <c r="D1176" s="46" t="str" cm="1">
        <f t="array" ref="D1176">IFERROR(INDEX(#REF!,MATCH(TRUE,ISNUMBER(FIND(SUBSTITUTE(SUBSTITUTE(UPPER(#REF!)," ",""),":",": "),SUBSTITUTE(SUBSTITUTE(UPPER(S1176)," ",""),":",": "))),0)),"Não encontrado")</f>
        <v>Não encontrado</v>
      </c>
      <c r="E1176" s="42" t="str" cm="1">
        <f t="array" ref="E1176">IFERROR(INDEX({"IMPEDITIVO"},MATCH(TRUE,ISNUMBER(FIND(SUBSTITUTE(SUBSTITUTE(UPPER({"IMPEDITIVO"})," ",""),":",": "),SUBSTITUTE(SUBSTITUTE(UPPER(S1176)," ",""),":",": "))),0)),"-")</f>
        <v>-</v>
      </c>
      <c r="K1176" s="49"/>
    </row>
    <row r="1177" spans="1:11" x14ac:dyDescent="0.25">
      <c r="A1177" s="46" t="str" cm="1">
        <f t="array" ref="A1177">IFERROR(INDEX(#REF!,MATCH(TRUE,ISNUMBER(FIND(SUBSTITUTE(SUBSTITUTE(UPPER(#REF!)," ",""),":",": "),SUBSTITUTE(SUBSTITUTE(UPPER(S1177)," ",""),":",": "))),0)),"Undefined")</f>
        <v>Undefined</v>
      </c>
      <c r="B1177" s="42" t="str" cm="1">
        <f t="array" ref="B1177">IFERROR(INDEX({"URGENTE"},MATCH(TRUE,ISNUMBER(FIND(SUBSTITUTE(SUBSTITUTE(UPPER({"URGENTE"})," ",""),":",": "),SUBSTITUTE(SUBSTITUTE(UPPER(S1177)," ",""),":",": "))),0)),"-")</f>
        <v>-</v>
      </c>
      <c r="C1177" s="46" t="str" cm="1">
        <f t="array" ref="C1177">IFERROR(INDEX(#REF!,MATCH(TRUE,ISNUMBER(FIND(SUBSTITUTE(SUBSTITUTE(UPPER(#REF!)," ",""),":",": "),SUBSTITUTE(SUBSTITUTE(UPPER(S1177)," ",""),":",": "))),0)),"Não encontrado")</f>
        <v>Não encontrado</v>
      </c>
      <c r="D1177" s="46" t="str" cm="1">
        <f t="array" ref="D1177">IFERROR(INDEX(#REF!,MATCH(TRUE,ISNUMBER(FIND(SUBSTITUTE(SUBSTITUTE(UPPER(#REF!)," ",""),":",": "),SUBSTITUTE(SUBSTITUTE(UPPER(S1177)," ",""),":",": "))),0)),"Não encontrado")</f>
        <v>Não encontrado</v>
      </c>
      <c r="E1177" s="42" t="str" cm="1">
        <f t="array" ref="E1177">IFERROR(INDEX({"IMPEDITIVO"},MATCH(TRUE,ISNUMBER(FIND(SUBSTITUTE(SUBSTITUTE(UPPER({"IMPEDITIVO"})," ",""),":",": "),SUBSTITUTE(SUBSTITUTE(UPPER(S1177)," ",""),":",": "))),0)),"-")</f>
        <v>-</v>
      </c>
      <c r="K1177" s="49"/>
    </row>
    <row r="1178" spans="1:11" x14ac:dyDescent="0.25">
      <c r="A1178" s="46" t="str" cm="1">
        <f t="array" ref="A1178">IFERROR(INDEX(#REF!,MATCH(TRUE,ISNUMBER(FIND(SUBSTITUTE(SUBSTITUTE(UPPER(#REF!)," ",""),":",": "),SUBSTITUTE(SUBSTITUTE(UPPER(S1178)," ",""),":",": "))),0)),"Undefined")</f>
        <v>Undefined</v>
      </c>
      <c r="B1178" s="42" t="str" cm="1">
        <f t="array" ref="B1178">IFERROR(INDEX({"URGENTE"},MATCH(TRUE,ISNUMBER(FIND(SUBSTITUTE(SUBSTITUTE(UPPER({"URGENTE"})," ",""),":",": "),SUBSTITUTE(SUBSTITUTE(UPPER(S1178)," ",""),":",": "))),0)),"-")</f>
        <v>-</v>
      </c>
      <c r="C1178" s="46" t="str" cm="1">
        <f t="array" ref="C1178">IFERROR(INDEX(#REF!,MATCH(TRUE,ISNUMBER(FIND(SUBSTITUTE(SUBSTITUTE(UPPER(#REF!)," ",""),":",": "),SUBSTITUTE(SUBSTITUTE(UPPER(S1178)," ",""),":",": "))),0)),"Não encontrado")</f>
        <v>Não encontrado</v>
      </c>
      <c r="D1178" s="46" t="str" cm="1">
        <f t="array" ref="D1178">IFERROR(INDEX(#REF!,MATCH(TRUE,ISNUMBER(FIND(SUBSTITUTE(SUBSTITUTE(UPPER(#REF!)," ",""),":",": "),SUBSTITUTE(SUBSTITUTE(UPPER(S1178)," ",""),":",": "))),0)),"Não encontrado")</f>
        <v>Não encontrado</v>
      </c>
      <c r="E1178" s="42" t="str" cm="1">
        <f t="array" ref="E1178">IFERROR(INDEX({"IMPEDITIVO"},MATCH(TRUE,ISNUMBER(FIND(SUBSTITUTE(SUBSTITUTE(UPPER({"IMPEDITIVO"})," ",""),":",": "),SUBSTITUTE(SUBSTITUTE(UPPER(S1178)," ",""),":",": "))),0)),"-")</f>
        <v>-</v>
      </c>
      <c r="K1178" s="49"/>
    </row>
    <row r="1179" spans="1:11" x14ac:dyDescent="0.25">
      <c r="A1179" s="46" t="str" cm="1">
        <f t="array" ref="A1179">IFERROR(INDEX(#REF!,MATCH(TRUE,ISNUMBER(FIND(SUBSTITUTE(SUBSTITUTE(UPPER(#REF!)," ",""),":",": "),SUBSTITUTE(SUBSTITUTE(UPPER(S1179)," ",""),":",": "))),0)),"Undefined")</f>
        <v>Undefined</v>
      </c>
      <c r="B1179" s="42" t="str" cm="1">
        <f t="array" ref="B1179">IFERROR(INDEX({"URGENTE"},MATCH(TRUE,ISNUMBER(FIND(SUBSTITUTE(SUBSTITUTE(UPPER({"URGENTE"})," ",""),":",": "),SUBSTITUTE(SUBSTITUTE(UPPER(S1179)," ",""),":",": "))),0)),"-")</f>
        <v>-</v>
      </c>
      <c r="C1179" s="46" t="str" cm="1">
        <f t="array" ref="C1179">IFERROR(INDEX(#REF!,MATCH(TRUE,ISNUMBER(FIND(SUBSTITUTE(SUBSTITUTE(UPPER(#REF!)," ",""),":",": "),SUBSTITUTE(SUBSTITUTE(UPPER(S1179)," ",""),":",": "))),0)),"Não encontrado")</f>
        <v>Não encontrado</v>
      </c>
      <c r="D1179" s="46" t="str" cm="1">
        <f t="array" ref="D1179">IFERROR(INDEX(#REF!,MATCH(TRUE,ISNUMBER(FIND(SUBSTITUTE(SUBSTITUTE(UPPER(#REF!)," ",""),":",": "),SUBSTITUTE(SUBSTITUTE(UPPER(S1179)," ",""),":",": "))),0)),"Não encontrado")</f>
        <v>Não encontrado</v>
      </c>
      <c r="E1179" s="42" t="str" cm="1">
        <f t="array" ref="E1179">IFERROR(INDEX({"IMPEDITIVO"},MATCH(TRUE,ISNUMBER(FIND(SUBSTITUTE(SUBSTITUTE(UPPER({"IMPEDITIVO"})," ",""),":",": "),SUBSTITUTE(SUBSTITUTE(UPPER(S1179)," ",""),":",": "))),0)),"-")</f>
        <v>-</v>
      </c>
      <c r="K1179" s="49"/>
    </row>
    <row r="1180" spans="1:11" x14ac:dyDescent="0.25">
      <c r="A1180" s="46" t="str" cm="1">
        <f t="array" ref="A1180">IFERROR(INDEX(#REF!,MATCH(TRUE,ISNUMBER(FIND(SUBSTITUTE(SUBSTITUTE(UPPER(#REF!)," ",""),":",": "),SUBSTITUTE(SUBSTITUTE(UPPER(S1180)," ",""),":",": "))),0)),"Undefined")</f>
        <v>Undefined</v>
      </c>
      <c r="B1180" s="42" t="str" cm="1">
        <f t="array" ref="B1180">IFERROR(INDEX({"URGENTE"},MATCH(TRUE,ISNUMBER(FIND(SUBSTITUTE(SUBSTITUTE(UPPER({"URGENTE"})," ",""),":",": "),SUBSTITUTE(SUBSTITUTE(UPPER(S1180)," ",""),":",": "))),0)),"-")</f>
        <v>-</v>
      </c>
      <c r="C1180" s="46" t="str" cm="1">
        <f t="array" ref="C1180">IFERROR(INDEX(#REF!,MATCH(TRUE,ISNUMBER(FIND(SUBSTITUTE(SUBSTITUTE(UPPER(#REF!)," ",""),":",": "),SUBSTITUTE(SUBSTITUTE(UPPER(S1180)," ",""),":",": "))),0)),"Não encontrado")</f>
        <v>Não encontrado</v>
      </c>
      <c r="D1180" s="46" t="str" cm="1">
        <f t="array" ref="D1180">IFERROR(INDEX(#REF!,MATCH(TRUE,ISNUMBER(FIND(SUBSTITUTE(SUBSTITUTE(UPPER(#REF!)," ",""),":",": "),SUBSTITUTE(SUBSTITUTE(UPPER(S1180)," ",""),":",": "))),0)),"Não encontrado")</f>
        <v>Não encontrado</v>
      </c>
      <c r="E1180" s="42" t="str" cm="1">
        <f t="array" ref="E1180">IFERROR(INDEX({"IMPEDITIVO"},MATCH(TRUE,ISNUMBER(FIND(SUBSTITUTE(SUBSTITUTE(UPPER({"IMPEDITIVO"})," ",""),":",": "),SUBSTITUTE(SUBSTITUTE(UPPER(S1180)," ",""),":",": "))),0)),"-")</f>
        <v>-</v>
      </c>
      <c r="K1180" s="49"/>
    </row>
    <row r="1181" spans="1:11" x14ac:dyDescent="0.25">
      <c r="A1181" s="46" t="str" cm="1">
        <f t="array" ref="A1181">IFERROR(INDEX(#REF!,MATCH(TRUE,ISNUMBER(FIND(SUBSTITUTE(SUBSTITUTE(UPPER(#REF!)," ",""),":",": "),SUBSTITUTE(SUBSTITUTE(UPPER(S1181)," ",""),":",": "))),0)),"Undefined")</f>
        <v>Undefined</v>
      </c>
      <c r="B1181" s="42" t="str" cm="1">
        <f t="array" ref="B1181">IFERROR(INDEX({"URGENTE"},MATCH(TRUE,ISNUMBER(FIND(SUBSTITUTE(SUBSTITUTE(UPPER({"URGENTE"})," ",""),":",": "),SUBSTITUTE(SUBSTITUTE(UPPER(S1181)," ",""),":",": "))),0)),"-")</f>
        <v>-</v>
      </c>
      <c r="C1181" s="46" t="str" cm="1">
        <f t="array" ref="C1181">IFERROR(INDEX(#REF!,MATCH(TRUE,ISNUMBER(FIND(SUBSTITUTE(SUBSTITUTE(UPPER(#REF!)," ",""),":",": "),SUBSTITUTE(SUBSTITUTE(UPPER(S1181)," ",""),":",": "))),0)),"Não encontrado")</f>
        <v>Não encontrado</v>
      </c>
      <c r="D1181" s="46" t="str" cm="1">
        <f t="array" ref="D1181">IFERROR(INDEX(#REF!,MATCH(TRUE,ISNUMBER(FIND(SUBSTITUTE(SUBSTITUTE(UPPER(#REF!)," ",""),":",": "),SUBSTITUTE(SUBSTITUTE(UPPER(S1181)," ",""),":",": "))),0)),"Não encontrado")</f>
        <v>Não encontrado</v>
      </c>
      <c r="E1181" s="42" t="str" cm="1">
        <f t="array" ref="E1181">IFERROR(INDEX({"IMPEDITIVO"},MATCH(TRUE,ISNUMBER(FIND(SUBSTITUTE(SUBSTITUTE(UPPER({"IMPEDITIVO"})," ",""),":",": "),SUBSTITUTE(SUBSTITUTE(UPPER(S1181)," ",""),":",": "))),0)),"-")</f>
        <v>-</v>
      </c>
      <c r="K1181" s="49"/>
    </row>
    <row r="1182" spans="1:11" x14ac:dyDescent="0.25">
      <c r="A1182" s="46" t="str" cm="1">
        <f t="array" ref="A1182">IFERROR(INDEX(#REF!,MATCH(TRUE,ISNUMBER(FIND(SUBSTITUTE(SUBSTITUTE(UPPER(#REF!)," ",""),":",": "),SUBSTITUTE(SUBSTITUTE(UPPER(S1182)," ",""),":",": "))),0)),"Undefined")</f>
        <v>Undefined</v>
      </c>
      <c r="B1182" s="42" t="str" cm="1">
        <f t="array" ref="B1182">IFERROR(INDEX({"URGENTE"},MATCH(TRUE,ISNUMBER(FIND(SUBSTITUTE(SUBSTITUTE(UPPER({"URGENTE"})," ",""),":",": "),SUBSTITUTE(SUBSTITUTE(UPPER(S1182)," ",""),":",": "))),0)),"-")</f>
        <v>-</v>
      </c>
      <c r="C1182" s="46" t="str" cm="1">
        <f t="array" ref="C1182">IFERROR(INDEX(#REF!,MATCH(TRUE,ISNUMBER(FIND(SUBSTITUTE(SUBSTITUTE(UPPER(#REF!)," ",""),":",": "),SUBSTITUTE(SUBSTITUTE(UPPER(S1182)," ",""),":",": "))),0)),"Não encontrado")</f>
        <v>Não encontrado</v>
      </c>
      <c r="D1182" s="46" t="str" cm="1">
        <f t="array" ref="D1182">IFERROR(INDEX(#REF!,MATCH(TRUE,ISNUMBER(FIND(SUBSTITUTE(SUBSTITUTE(UPPER(#REF!)," ",""),":",": "),SUBSTITUTE(SUBSTITUTE(UPPER(S1182)," ",""),":",": "))),0)),"Não encontrado")</f>
        <v>Não encontrado</v>
      </c>
      <c r="E1182" s="42" t="str" cm="1">
        <f t="array" ref="E1182">IFERROR(INDEX({"IMPEDITIVO"},MATCH(TRUE,ISNUMBER(FIND(SUBSTITUTE(SUBSTITUTE(UPPER({"IMPEDITIVO"})," ",""),":",": "),SUBSTITUTE(SUBSTITUTE(UPPER(S1182)," ",""),":",": "))),0)),"-")</f>
        <v>-</v>
      </c>
      <c r="K1182" s="49"/>
    </row>
    <row r="1183" spans="1:11" x14ac:dyDescent="0.25">
      <c r="A1183" s="46" t="str" cm="1">
        <f t="array" ref="A1183">IFERROR(INDEX(#REF!,MATCH(TRUE,ISNUMBER(FIND(SUBSTITUTE(SUBSTITUTE(UPPER(#REF!)," ",""),":",": "),SUBSTITUTE(SUBSTITUTE(UPPER(S1183)," ",""),":",": "))),0)),"Undefined")</f>
        <v>Undefined</v>
      </c>
      <c r="B1183" s="42" t="str" cm="1">
        <f t="array" ref="B1183">IFERROR(INDEX({"URGENTE"},MATCH(TRUE,ISNUMBER(FIND(SUBSTITUTE(SUBSTITUTE(UPPER({"URGENTE"})," ",""),":",": "),SUBSTITUTE(SUBSTITUTE(UPPER(S1183)," ",""),":",": "))),0)),"-")</f>
        <v>-</v>
      </c>
      <c r="C1183" s="46" t="str" cm="1">
        <f t="array" ref="C1183">IFERROR(INDEX(#REF!,MATCH(TRUE,ISNUMBER(FIND(SUBSTITUTE(SUBSTITUTE(UPPER(#REF!)," ",""),":",": "),SUBSTITUTE(SUBSTITUTE(UPPER(S1183)," ",""),":",": "))),0)),"Não encontrado")</f>
        <v>Não encontrado</v>
      </c>
      <c r="D1183" s="46" t="str" cm="1">
        <f t="array" ref="D1183">IFERROR(INDEX(#REF!,MATCH(TRUE,ISNUMBER(FIND(SUBSTITUTE(SUBSTITUTE(UPPER(#REF!)," ",""),":",": "),SUBSTITUTE(SUBSTITUTE(UPPER(S1183)," ",""),":",": "))),0)),"Não encontrado")</f>
        <v>Não encontrado</v>
      </c>
      <c r="E1183" s="42" t="str" cm="1">
        <f t="array" ref="E1183">IFERROR(INDEX({"IMPEDITIVO"},MATCH(TRUE,ISNUMBER(FIND(SUBSTITUTE(SUBSTITUTE(UPPER({"IMPEDITIVO"})," ",""),":",": "),SUBSTITUTE(SUBSTITUTE(UPPER(S1183)," ",""),":",": "))),0)),"-")</f>
        <v>-</v>
      </c>
      <c r="K1183" s="49"/>
    </row>
    <row r="1184" spans="1:11" x14ac:dyDescent="0.25">
      <c r="A1184" s="46" t="str" cm="1">
        <f t="array" ref="A1184">IFERROR(INDEX(#REF!,MATCH(TRUE,ISNUMBER(FIND(SUBSTITUTE(SUBSTITUTE(UPPER(#REF!)," ",""),":",": "),SUBSTITUTE(SUBSTITUTE(UPPER(S1184)," ",""),":",": "))),0)),"Undefined")</f>
        <v>Undefined</v>
      </c>
      <c r="B1184" s="42" t="str" cm="1">
        <f t="array" ref="B1184">IFERROR(INDEX({"URGENTE"},MATCH(TRUE,ISNUMBER(FIND(SUBSTITUTE(SUBSTITUTE(UPPER({"URGENTE"})," ",""),":",": "),SUBSTITUTE(SUBSTITUTE(UPPER(S1184)," ",""),":",": "))),0)),"-")</f>
        <v>-</v>
      </c>
      <c r="C1184" s="46" t="str" cm="1">
        <f t="array" ref="C1184">IFERROR(INDEX(#REF!,MATCH(TRUE,ISNUMBER(FIND(SUBSTITUTE(SUBSTITUTE(UPPER(#REF!)," ",""),":",": "),SUBSTITUTE(SUBSTITUTE(UPPER(S1184)," ",""),":",": "))),0)),"Não encontrado")</f>
        <v>Não encontrado</v>
      </c>
      <c r="D1184" s="46" t="str" cm="1">
        <f t="array" ref="D1184">IFERROR(INDEX(#REF!,MATCH(TRUE,ISNUMBER(FIND(SUBSTITUTE(SUBSTITUTE(UPPER(#REF!)," ",""),":",": "),SUBSTITUTE(SUBSTITUTE(UPPER(S1184)," ",""),":",": "))),0)),"Não encontrado")</f>
        <v>Não encontrado</v>
      </c>
      <c r="E1184" s="42" t="str" cm="1">
        <f t="array" ref="E1184">IFERROR(INDEX({"IMPEDITIVO"},MATCH(TRUE,ISNUMBER(FIND(SUBSTITUTE(SUBSTITUTE(UPPER({"IMPEDITIVO"})," ",""),":",": "),SUBSTITUTE(SUBSTITUTE(UPPER(S1184)," ",""),":",": "))),0)),"-")</f>
        <v>-</v>
      </c>
      <c r="K1184" s="49"/>
    </row>
    <row r="1185" spans="1:11" x14ac:dyDescent="0.25">
      <c r="A1185" s="46" t="str" cm="1">
        <f t="array" ref="A1185">IFERROR(INDEX(#REF!,MATCH(TRUE,ISNUMBER(FIND(SUBSTITUTE(SUBSTITUTE(UPPER(#REF!)," ",""),":",": "),SUBSTITUTE(SUBSTITUTE(UPPER(S1185)," ",""),":",": "))),0)),"Undefined")</f>
        <v>Undefined</v>
      </c>
      <c r="B1185" s="42" t="str" cm="1">
        <f t="array" ref="B1185">IFERROR(INDEX({"URGENTE"},MATCH(TRUE,ISNUMBER(FIND(SUBSTITUTE(SUBSTITUTE(UPPER({"URGENTE"})," ",""),":",": "),SUBSTITUTE(SUBSTITUTE(UPPER(S1185)," ",""),":",": "))),0)),"-")</f>
        <v>-</v>
      </c>
      <c r="C1185" s="46" t="str" cm="1">
        <f t="array" ref="C1185">IFERROR(INDEX(#REF!,MATCH(TRUE,ISNUMBER(FIND(SUBSTITUTE(SUBSTITUTE(UPPER(#REF!)," ",""),":",": "),SUBSTITUTE(SUBSTITUTE(UPPER(S1185)," ",""),":",": "))),0)),"Não encontrado")</f>
        <v>Não encontrado</v>
      </c>
      <c r="D1185" s="46" t="str" cm="1">
        <f t="array" ref="D1185">IFERROR(INDEX(#REF!,MATCH(TRUE,ISNUMBER(FIND(SUBSTITUTE(SUBSTITUTE(UPPER(#REF!)," ",""),":",": "),SUBSTITUTE(SUBSTITUTE(UPPER(S1185)," ",""),":",": "))),0)),"Não encontrado")</f>
        <v>Não encontrado</v>
      </c>
      <c r="E1185" s="42" t="str" cm="1">
        <f t="array" ref="E1185">IFERROR(INDEX({"IMPEDITIVO"},MATCH(TRUE,ISNUMBER(FIND(SUBSTITUTE(SUBSTITUTE(UPPER({"IMPEDITIVO"})," ",""),":",": "),SUBSTITUTE(SUBSTITUTE(UPPER(S1185)," ",""),":",": "))),0)),"-")</f>
        <v>-</v>
      </c>
      <c r="K1185" s="49"/>
    </row>
    <row r="1186" spans="1:11" x14ac:dyDescent="0.25">
      <c r="A1186" s="46" t="str" cm="1">
        <f t="array" ref="A1186">IFERROR(INDEX(#REF!,MATCH(TRUE,ISNUMBER(FIND(SUBSTITUTE(SUBSTITUTE(UPPER(#REF!)," ",""),":",": "),SUBSTITUTE(SUBSTITUTE(UPPER(S1186)," ",""),":",": "))),0)),"Undefined")</f>
        <v>Undefined</v>
      </c>
      <c r="B1186" s="42" t="str" cm="1">
        <f t="array" ref="B1186">IFERROR(INDEX({"URGENTE"},MATCH(TRUE,ISNUMBER(FIND(SUBSTITUTE(SUBSTITUTE(UPPER({"URGENTE"})," ",""),":",": "),SUBSTITUTE(SUBSTITUTE(UPPER(S1186)," ",""),":",": "))),0)),"-")</f>
        <v>-</v>
      </c>
      <c r="C1186" s="46" t="str" cm="1">
        <f t="array" ref="C1186">IFERROR(INDEX(#REF!,MATCH(TRUE,ISNUMBER(FIND(SUBSTITUTE(SUBSTITUTE(UPPER(#REF!)," ",""),":",": "),SUBSTITUTE(SUBSTITUTE(UPPER(S1186)," ",""),":",": "))),0)),"Não encontrado")</f>
        <v>Não encontrado</v>
      </c>
      <c r="D1186" s="46" t="str" cm="1">
        <f t="array" ref="D1186">IFERROR(INDEX(#REF!,MATCH(TRUE,ISNUMBER(FIND(SUBSTITUTE(SUBSTITUTE(UPPER(#REF!)," ",""),":",": "),SUBSTITUTE(SUBSTITUTE(UPPER(S1186)," ",""),":",": "))),0)),"Não encontrado")</f>
        <v>Não encontrado</v>
      </c>
      <c r="E1186" s="42" t="str" cm="1">
        <f t="array" ref="E1186">IFERROR(INDEX({"IMPEDITIVO"},MATCH(TRUE,ISNUMBER(FIND(SUBSTITUTE(SUBSTITUTE(UPPER({"IMPEDITIVO"})," ",""),":",": "),SUBSTITUTE(SUBSTITUTE(UPPER(S1186)," ",""),":",": "))),0)),"-")</f>
        <v>-</v>
      </c>
      <c r="K1186" s="49"/>
    </row>
    <row r="1187" spans="1:11" x14ac:dyDescent="0.25">
      <c r="A1187" s="46" t="str" cm="1">
        <f t="array" ref="A1187">IFERROR(INDEX(#REF!,MATCH(TRUE,ISNUMBER(FIND(SUBSTITUTE(SUBSTITUTE(UPPER(#REF!)," ",""),":",": "),SUBSTITUTE(SUBSTITUTE(UPPER(S1187)," ",""),":",": "))),0)),"Undefined")</f>
        <v>Undefined</v>
      </c>
      <c r="B1187" s="42" t="str" cm="1">
        <f t="array" ref="B1187">IFERROR(INDEX({"URGENTE"},MATCH(TRUE,ISNUMBER(FIND(SUBSTITUTE(SUBSTITUTE(UPPER({"URGENTE"})," ",""),":",": "),SUBSTITUTE(SUBSTITUTE(UPPER(S1187)," ",""),":",": "))),0)),"-")</f>
        <v>-</v>
      </c>
      <c r="C1187" s="46" t="str" cm="1">
        <f t="array" ref="C1187">IFERROR(INDEX(#REF!,MATCH(TRUE,ISNUMBER(FIND(SUBSTITUTE(SUBSTITUTE(UPPER(#REF!)," ",""),":",": "),SUBSTITUTE(SUBSTITUTE(UPPER(S1187)," ",""),":",": "))),0)),"Não encontrado")</f>
        <v>Não encontrado</v>
      </c>
      <c r="D1187" s="46" t="str" cm="1">
        <f t="array" ref="D1187">IFERROR(INDEX(#REF!,MATCH(TRUE,ISNUMBER(FIND(SUBSTITUTE(SUBSTITUTE(UPPER(#REF!)," ",""),":",": "),SUBSTITUTE(SUBSTITUTE(UPPER(S1187)," ",""),":",": "))),0)),"Não encontrado")</f>
        <v>Não encontrado</v>
      </c>
      <c r="E1187" s="42" t="str" cm="1">
        <f t="array" ref="E1187">IFERROR(INDEX({"IMPEDITIVO"},MATCH(TRUE,ISNUMBER(FIND(SUBSTITUTE(SUBSTITUTE(UPPER({"IMPEDITIVO"})," ",""),":",": "),SUBSTITUTE(SUBSTITUTE(UPPER(S1187)," ",""),":",": "))),0)),"-")</f>
        <v>-</v>
      </c>
      <c r="K1187" s="49"/>
    </row>
    <row r="1188" spans="1:11" x14ac:dyDescent="0.25">
      <c r="A1188" s="46" t="str" cm="1">
        <f t="array" ref="A1188">IFERROR(INDEX(#REF!,MATCH(TRUE,ISNUMBER(FIND(SUBSTITUTE(SUBSTITUTE(UPPER(#REF!)," ",""),":",": "),SUBSTITUTE(SUBSTITUTE(UPPER(S1188)," ",""),":",": "))),0)),"Undefined")</f>
        <v>Undefined</v>
      </c>
      <c r="B1188" s="42" t="str" cm="1">
        <f t="array" ref="B1188">IFERROR(INDEX({"URGENTE"},MATCH(TRUE,ISNUMBER(FIND(SUBSTITUTE(SUBSTITUTE(UPPER({"URGENTE"})," ",""),":",": "),SUBSTITUTE(SUBSTITUTE(UPPER(S1188)," ",""),":",": "))),0)),"-")</f>
        <v>-</v>
      </c>
      <c r="C1188" s="46" t="str" cm="1">
        <f t="array" ref="C1188">IFERROR(INDEX(#REF!,MATCH(TRUE,ISNUMBER(FIND(SUBSTITUTE(SUBSTITUTE(UPPER(#REF!)," ",""),":",": "),SUBSTITUTE(SUBSTITUTE(UPPER(S1188)," ",""),":",": "))),0)),"Não encontrado")</f>
        <v>Não encontrado</v>
      </c>
      <c r="D1188" s="46" t="str" cm="1">
        <f t="array" ref="D1188">IFERROR(INDEX(#REF!,MATCH(TRUE,ISNUMBER(FIND(SUBSTITUTE(SUBSTITUTE(UPPER(#REF!)," ",""),":",": "),SUBSTITUTE(SUBSTITUTE(UPPER(S1188)," ",""),":",": "))),0)),"Não encontrado")</f>
        <v>Não encontrado</v>
      </c>
      <c r="E1188" s="42" t="str" cm="1">
        <f t="array" ref="E1188">IFERROR(INDEX({"IMPEDITIVO"},MATCH(TRUE,ISNUMBER(FIND(SUBSTITUTE(SUBSTITUTE(UPPER({"IMPEDITIVO"})," ",""),":",": "),SUBSTITUTE(SUBSTITUTE(UPPER(S1188)," ",""),":",": "))),0)),"-")</f>
        <v>-</v>
      </c>
      <c r="K1188" s="49"/>
    </row>
    <row r="1189" spans="1:11" x14ac:dyDescent="0.25">
      <c r="A1189" s="46" t="str" cm="1">
        <f t="array" ref="A1189">IFERROR(INDEX(#REF!,MATCH(TRUE,ISNUMBER(FIND(SUBSTITUTE(SUBSTITUTE(UPPER(#REF!)," ",""),":",": "),SUBSTITUTE(SUBSTITUTE(UPPER(S1189)," ",""),":",": "))),0)),"Undefined")</f>
        <v>Undefined</v>
      </c>
      <c r="B1189" s="42" t="str" cm="1">
        <f t="array" ref="B1189">IFERROR(INDEX({"URGENTE"},MATCH(TRUE,ISNUMBER(FIND(SUBSTITUTE(SUBSTITUTE(UPPER({"URGENTE"})," ",""),":",": "),SUBSTITUTE(SUBSTITUTE(UPPER(S1189)," ",""),":",": "))),0)),"-")</f>
        <v>-</v>
      </c>
      <c r="C1189" s="46" t="str" cm="1">
        <f t="array" ref="C1189">IFERROR(INDEX(#REF!,MATCH(TRUE,ISNUMBER(FIND(SUBSTITUTE(SUBSTITUTE(UPPER(#REF!)," ",""),":",": "),SUBSTITUTE(SUBSTITUTE(UPPER(S1189)," ",""),":",": "))),0)),"Não encontrado")</f>
        <v>Não encontrado</v>
      </c>
      <c r="D1189" s="46" t="str" cm="1">
        <f t="array" ref="D1189">IFERROR(INDEX(#REF!,MATCH(TRUE,ISNUMBER(FIND(SUBSTITUTE(SUBSTITUTE(UPPER(#REF!)," ",""),":",": "),SUBSTITUTE(SUBSTITUTE(UPPER(S1189)," ",""),":",": "))),0)),"Não encontrado")</f>
        <v>Não encontrado</v>
      </c>
      <c r="E1189" s="42" t="str" cm="1">
        <f t="array" ref="E1189">IFERROR(INDEX({"IMPEDITIVO"},MATCH(TRUE,ISNUMBER(FIND(SUBSTITUTE(SUBSTITUTE(UPPER({"IMPEDITIVO"})," ",""),":",": "),SUBSTITUTE(SUBSTITUTE(UPPER(S1189)," ",""),":",": "))),0)),"-")</f>
        <v>-</v>
      </c>
      <c r="K1189" s="49"/>
    </row>
    <row r="1190" spans="1:11" x14ac:dyDescent="0.25">
      <c r="A1190" s="46" t="str" cm="1">
        <f t="array" ref="A1190">IFERROR(INDEX(#REF!,MATCH(TRUE,ISNUMBER(FIND(SUBSTITUTE(SUBSTITUTE(UPPER(#REF!)," ",""),":",": "),SUBSTITUTE(SUBSTITUTE(UPPER(S1190)," ",""),":",": "))),0)),"Undefined")</f>
        <v>Undefined</v>
      </c>
      <c r="B1190" s="42" t="str" cm="1">
        <f t="array" ref="B1190">IFERROR(INDEX({"URGENTE"},MATCH(TRUE,ISNUMBER(FIND(SUBSTITUTE(SUBSTITUTE(UPPER({"URGENTE"})," ",""),":",": "),SUBSTITUTE(SUBSTITUTE(UPPER(S1190)," ",""),":",": "))),0)),"-")</f>
        <v>-</v>
      </c>
      <c r="C1190" s="46" t="str" cm="1">
        <f t="array" ref="C1190">IFERROR(INDEX(#REF!,MATCH(TRUE,ISNUMBER(FIND(SUBSTITUTE(SUBSTITUTE(UPPER(#REF!)," ",""),":",": "),SUBSTITUTE(SUBSTITUTE(UPPER(S1190)," ",""),":",": "))),0)),"Não encontrado")</f>
        <v>Não encontrado</v>
      </c>
      <c r="D1190" s="46" t="str" cm="1">
        <f t="array" ref="D1190">IFERROR(INDEX(#REF!,MATCH(TRUE,ISNUMBER(FIND(SUBSTITUTE(SUBSTITUTE(UPPER(#REF!)," ",""),":",": "),SUBSTITUTE(SUBSTITUTE(UPPER(S1190)," ",""),":",": "))),0)),"Não encontrado")</f>
        <v>Não encontrado</v>
      </c>
      <c r="E1190" s="42" t="str" cm="1">
        <f t="array" ref="E1190">IFERROR(INDEX({"IMPEDITIVO"},MATCH(TRUE,ISNUMBER(FIND(SUBSTITUTE(SUBSTITUTE(UPPER({"IMPEDITIVO"})," ",""),":",": "),SUBSTITUTE(SUBSTITUTE(UPPER(S1190)," ",""),":",": "))),0)),"-")</f>
        <v>-</v>
      </c>
      <c r="K1190" s="49"/>
    </row>
    <row r="1191" spans="1:11" x14ac:dyDescent="0.25">
      <c r="A1191" s="46" t="str" cm="1">
        <f t="array" ref="A1191">IFERROR(INDEX(#REF!,MATCH(TRUE,ISNUMBER(FIND(SUBSTITUTE(SUBSTITUTE(UPPER(#REF!)," ",""),":",": "),SUBSTITUTE(SUBSTITUTE(UPPER(S1191)," ",""),":",": "))),0)),"Undefined")</f>
        <v>Undefined</v>
      </c>
      <c r="B1191" s="42" t="str" cm="1">
        <f t="array" ref="B1191">IFERROR(INDEX({"URGENTE"},MATCH(TRUE,ISNUMBER(FIND(SUBSTITUTE(SUBSTITUTE(UPPER({"URGENTE"})," ",""),":",": "),SUBSTITUTE(SUBSTITUTE(UPPER(S1191)," ",""),":",": "))),0)),"-")</f>
        <v>-</v>
      </c>
      <c r="C1191" s="46" t="str" cm="1">
        <f t="array" ref="C1191">IFERROR(INDEX(#REF!,MATCH(TRUE,ISNUMBER(FIND(SUBSTITUTE(SUBSTITUTE(UPPER(#REF!)," ",""),":",": "),SUBSTITUTE(SUBSTITUTE(UPPER(S1191)," ",""),":",": "))),0)),"Não encontrado")</f>
        <v>Não encontrado</v>
      </c>
      <c r="D1191" s="46" t="str" cm="1">
        <f t="array" ref="D1191">IFERROR(INDEX(#REF!,MATCH(TRUE,ISNUMBER(FIND(SUBSTITUTE(SUBSTITUTE(UPPER(#REF!)," ",""),":",": "),SUBSTITUTE(SUBSTITUTE(UPPER(S1191)," ",""),":",": "))),0)),"Não encontrado")</f>
        <v>Não encontrado</v>
      </c>
      <c r="E1191" s="42" t="str" cm="1">
        <f t="array" ref="E1191">IFERROR(INDEX({"IMPEDITIVO"},MATCH(TRUE,ISNUMBER(FIND(SUBSTITUTE(SUBSTITUTE(UPPER({"IMPEDITIVO"})," ",""),":",": "),SUBSTITUTE(SUBSTITUTE(UPPER(S1191)," ",""),":",": "))),0)),"-")</f>
        <v>-</v>
      </c>
      <c r="K1191" s="49"/>
    </row>
    <row r="1192" spans="1:11" x14ac:dyDescent="0.25">
      <c r="A1192" s="46" t="str" cm="1">
        <f t="array" ref="A1192">IFERROR(INDEX(#REF!,MATCH(TRUE,ISNUMBER(FIND(SUBSTITUTE(SUBSTITUTE(UPPER(#REF!)," ",""),":",": "),SUBSTITUTE(SUBSTITUTE(UPPER(S1192)," ",""),":",": "))),0)),"Undefined")</f>
        <v>Undefined</v>
      </c>
      <c r="B1192" s="42" t="str" cm="1">
        <f t="array" ref="B1192">IFERROR(INDEX({"URGENTE"},MATCH(TRUE,ISNUMBER(FIND(SUBSTITUTE(SUBSTITUTE(UPPER({"URGENTE"})," ",""),":",": "),SUBSTITUTE(SUBSTITUTE(UPPER(S1192)," ",""),":",": "))),0)),"-")</f>
        <v>-</v>
      </c>
      <c r="C1192" s="46" t="str" cm="1">
        <f t="array" ref="C1192">IFERROR(INDEX(#REF!,MATCH(TRUE,ISNUMBER(FIND(SUBSTITUTE(SUBSTITUTE(UPPER(#REF!)," ",""),":",": "),SUBSTITUTE(SUBSTITUTE(UPPER(S1192)," ",""),":",": "))),0)),"Não encontrado")</f>
        <v>Não encontrado</v>
      </c>
      <c r="D1192" s="46" t="str" cm="1">
        <f t="array" ref="D1192">IFERROR(INDEX(#REF!,MATCH(TRUE,ISNUMBER(FIND(SUBSTITUTE(SUBSTITUTE(UPPER(#REF!)," ",""),":",": "),SUBSTITUTE(SUBSTITUTE(UPPER(S1192)," ",""),":",": "))),0)),"Não encontrado")</f>
        <v>Não encontrado</v>
      </c>
      <c r="E1192" s="42" t="str" cm="1">
        <f t="array" ref="E1192">IFERROR(INDEX({"IMPEDITIVO"},MATCH(TRUE,ISNUMBER(FIND(SUBSTITUTE(SUBSTITUTE(UPPER({"IMPEDITIVO"})," ",""),":",": "),SUBSTITUTE(SUBSTITUTE(UPPER(S1192)," ",""),":",": "))),0)),"-")</f>
        <v>-</v>
      </c>
      <c r="K1192" s="49"/>
    </row>
    <row r="1193" spans="1:11" x14ac:dyDescent="0.25">
      <c r="A1193" s="46" t="str" cm="1">
        <f t="array" ref="A1193">IFERROR(INDEX(#REF!,MATCH(TRUE,ISNUMBER(FIND(SUBSTITUTE(SUBSTITUTE(UPPER(#REF!)," ",""),":",": "),SUBSTITUTE(SUBSTITUTE(UPPER(S1193)," ",""),":",": "))),0)),"Undefined")</f>
        <v>Undefined</v>
      </c>
      <c r="B1193" s="42" t="str" cm="1">
        <f t="array" ref="B1193">IFERROR(INDEX({"URGENTE"},MATCH(TRUE,ISNUMBER(FIND(SUBSTITUTE(SUBSTITUTE(UPPER({"URGENTE"})," ",""),":",": "),SUBSTITUTE(SUBSTITUTE(UPPER(S1193)," ",""),":",": "))),0)),"-")</f>
        <v>-</v>
      </c>
      <c r="C1193" s="46" t="str" cm="1">
        <f t="array" ref="C1193">IFERROR(INDEX(#REF!,MATCH(TRUE,ISNUMBER(FIND(SUBSTITUTE(SUBSTITUTE(UPPER(#REF!)," ",""),":",": "),SUBSTITUTE(SUBSTITUTE(UPPER(S1193)," ",""),":",": "))),0)),"Não encontrado")</f>
        <v>Não encontrado</v>
      </c>
      <c r="D1193" s="46" t="str" cm="1">
        <f t="array" ref="D1193">IFERROR(INDEX(#REF!,MATCH(TRUE,ISNUMBER(FIND(SUBSTITUTE(SUBSTITUTE(UPPER(#REF!)," ",""),":",": "),SUBSTITUTE(SUBSTITUTE(UPPER(S1193)," ",""),":",": "))),0)),"Não encontrado")</f>
        <v>Não encontrado</v>
      </c>
      <c r="E1193" s="42" t="str" cm="1">
        <f t="array" ref="E1193">IFERROR(INDEX({"IMPEDITIVO"},MATCH(TRUE,ISNUMBER(FIND(SUBSTITUTE(SUBSTITUTE(UPPER({"IMPEDITIVO"})," ",""),":",": "),SUBSTITUTE(SUBSTITUTE(UPPER(S1193)," ",""),":",": "))),0)),"-")</f>
        <v>-</v>
      </c>
      <c r="K1193" s="49"/>
    </row>
    <row r="1194" spans="1:11" x14ac:dyDescent="0.25">
      <c r="A1194" s="46" t="str" cm="1">
        <f t="array" ref="A1194">IFERROR(INDEX(#REF!,MATCH(TRUE,ISNUMBER(FIND(SUBSTITUTE(SUBSTITUTE(UPPER(#REF!)," ",""),":",": "),SUBSTITUTE(SUBSTITUTE(UPPER(S1194)," ",""),":",": "))),0)),"Undefined")</f>
        <v>Undefined</v>
      </c>
      <c r="B1194" s="42" t="str" cm="1">
        <f t="array" ref="B1194">IFERROR(INDEX({"URGENTE"},MATCH(TRUE,ISNUMBER(FIND(SUBSTITUTE(SUBSTITUTE(UPPER({"URGENTE"})," ",""),":",": "),SUBSTITUTE(SUBSTITUTE(UPPER(S1194)," ",""),":",": "))),0)),"-")</f>
        <v>-</v>
      </c>
      <c r="C1194" s="46" t="str" cm="1">
        <f t="array" ref="C1194">IFERROR(INDEX(#REF!,MATCH(TRUE,ISNUMBER(FIND(SUBSTITUTE(SUBSTITUTE(UPPER(#REF!)," ",""),":",": "),SUBSTITUTE(SUBSTITUTE(UPPER(S1194)," ",""),":",": "))),0)),"Não encontrado")</f>
        <v>Não encontrado</v>
      </c>
      <c r="D1194" s="46" t="str" cm="1">
        <f t="array" ref="D1194">IFERROR(INDEX(#REF!,MATCH(TRUE,ISNUMBER(FIND(SUBSTITUTE(SUBSTITUTE(UPPER(#REF!)," ",""),":",": "),SUBSTITUTE(SUBSTITUTE(UPPER(S1194)," ",""),":",": "))),0)),"Não encontrado")</f>
        <v>Não encontrado</v>
      </c>
      <c r="E1194" s="42" t="str" cm="1">
        <f t="array" ref="E1194">IFERROR(INDEX({"IMPEDITIVO"},MATCH(TRUE,ISNUMBER(FIND(SUBSTITUTE(SUBSTITUTE(UPPER({"IMPEDITIVO"})," ",""),":",": "),SUBSTITUTE(SUBSTITUTE(UPPER(S1194)," ",""),":",": "))),0)),"-")</f>
        <v>-</v>
      </c>
      <c r="K1194" s="49"/>
    </row>
    <row r="1195" spans="1:11" x14ac:dyDescent="0.25">
      <c r="A1195" s="46" t="str" cm="1">
        <f t="array" ref="A1195">IFERROR(INDEX(#REF!,MATCH(TRUE,ISNUMBER(FIND(SUBSTITUTE(SUBSTITUTE(UPPER(#REF!)," ",""),":",": "),SUBSTITUTE(SUBSTITUTE(UPPER(S1195)," ",""),":",": "))),0)),"Undefined")</f>
        <v>Undefined</v>
      </c>
      <c r="B1195" s="42" t="str" cm="1">
        <f t="array" ref="B1195">IFERROR(INDEX({"URGENTE"},MATCH(TRUE,ISNUMBER(FIND(SUBSTITUTE(SUBSTITUTE(UPPER({"URGENTE"})," ",""),":",": "),SUBSTITUTE(SUBSTITUTE(UPPER(S1195)," ",""),":",": "))),0)),"-")</f>
        <v>-</v>
      </c>
      <c r="C1195" s="46" t="str" cm="1">
        <f t="array" ref="C1195">IFERROR(INDEX(#REF!,MATCH(TRUE,ISNUMBER(FIND(SUBSTITUTE(SUBSTITUTE(UPPER(#REF!)," ",""),":",": "),SUBSTITUTE(SUBSTITUTE(UPPER(S1195)," ",""),":",": "))),0)),"Não encontrado")</f>
        <v>Não encontrado</v>
      </c>
      <c r="D1195" s="46" t="str" cm="1">
        <f t="array" ref="D1195">IFERROR(INDEX(#REF!,MATCH(TRUE,ISNUMBER(FIND(SUBSTITUTE(SUBSTITUTE(UPPER(#REF!)," ",""),":",": "),SUBSTITUTE(SUBSTITUTE(UPPER(S1195)," ",""),":",": "))),0)),"Não encontrado")</f>
        <v>Não encontrado</v>
      </c>
      <c r="E1195" s="42" t="str" cm="1">
        <f t="array" ref="E1195">IFERROR(INDEX({"IMPEDITIVO"},MATCH(TRUE,ISNUMBER(FIND(SUBSTITUTE(SUBSTITUTE(UPPER({"IMPEDITIVO"})," ",""),":",": "),SUBSTITUTE(SUBSTITUTE(UPPER(S1195)," ",""),":",": "))),0)),"-")</f>
        <v>-</v>
      </c>
      <c r="K1195" s="49"/>
    </row>
    <row r="1196" spans="1:11" x14ac:dyDescent="0.25">
      <c r="A1196" s="46" t="str" cm="1">
        <f t="array" ref="A1196">IFERROR(INDEX(#REF!,MATCH(TRUE,ISNUMBER(FIND(SUBSTITUTE(SUBSTITUTE(UPPER(#REF!)," ",""),":",": "),SUBSTITUTE(SUBSTITUTE(UPPER(S1196)," ",""),":",": "))),0)),"Undefined")</f>
        <v>Undefined</v>
      </c>
      <c r="B1196" s="42" t="str" cm="1">
        <f t="array" ref="B1196">IFERROR(INDEX({"URGENTE"},MATCH(TRUE,ISNUMBER(FIND(SUBSTITUTE(SUBSTITUTE(UPPER({"URGENTE"})," ",""),":",": "),SUBSTITUTE(SUBSTITUTE(UPPER(S1196)," ",""),":",": "))),0)),"-")</f>
        <v>-</v>
      </c>
      <c r="C1196" s="46" t="str" cm="1">
        <f t="array" ref="C1196">IFERROR(INDEX(#REF!,MATCH(TRUE,ISNUMBER(FIND(SUBSTITUTE(SUBSTITUTE(UPPER(#REF!)," ",""),":",": "),SUBSTITUTE(SUBSTITUTE(UPPER(S1196)," ",""),":",": "))),0)),"Não encontrado")</f>
        <v>Não encontrado</v>
      </c>
      <c r="D1196" s="46" t="str" cm="1">
        <f t="array" ref="D1196">IFERROR(INDEX(#REF!,MATCH(TRUE,ISNUMBER(FIND(SUBSTITUTE(SUBSTITUTE(UPPER(#REF!)," ",""),":",": "),SUBSTITUTE(SUBSTITUTE(UPPER(S1196)," ",""),":",": "))),0)),"Não encontrado")</f>
        <v>Não encontrado</v>
      </c>
      <c r="E1196" s="42" t="str" cm="1">
        <f t="array" ref="E1196">IFERROR(INDEX({"IMPEDITIVO"},MATCH(TRUE,ISNUMBER(FIND(SUBSTITUTE(SUBSTITUTE(UPPER({"IMPEDITIVO"})," ",""),":",": "),SUBSTITUTE(SUBSTITUTE(UPPER(S1196)," ",""),":",": "))),0)),"-")</f>
        <v>-</v>
      </c>
      <c r="K1196" s="49"/>
    </row>
    <row r="1197" spans="1:11" x14ac:dyDescent="0.25">
      <c r="A1197" s="46" t="str" cm="1">
        <f t="array" ref="A1197">IFERROR(INDEX(#REF!,MATCH(TRUE,ISNUMBER(FIND(SUBSTITUTE(SUBSTITUTE(UPPER(#REF!)," ",""),":",": "),SUBSTITUTE(SUBSTITUTE(UPPER(S1197)," ",""),":",": "))),0)),"Undefined")</f>
        <v>Undefined</v>
      </c>
      <c r="B1197" s="42" t="str" cm="1">
        <f t="array" ref="B1197">IFERROR(INDEX({"URGENTE"},MATCH(TRUE,ISNUMBER(FIND(SUBSTITUTE(SUBSTITUTE(UPPER({"URGENTE"})," ",""),":",": "),SUBSTITUTE(SUBSTITUTE(UPPER(S1197)," ",""),":",": "))),0)),"-")</f>
        <v>-</v>
      </c>
      <c r="C1197" s="46" t="str" cm="1">
        <f t="array" ref="C1197">IFERROR(INDEX(#REF!,MATCH(TRUE,ISNUMBER(FIND(SUBSTITUTE(SUBSTITUTE(UPPER(#REF!)," ",""),":",": "),SUBSTITUTE(SUBSTITUTE(UPPER(S1197)," ",""),":",": "))),0)),"Não encontrado")</f>
        <v>Não encontrado</v>
      </c>
      <c r="D1197" s="46" t="str" cm="1">
        <f t="array" ref="D1197">IFERROR(INDEX(#REF!,MATCH(TRUE,ISNUMBER(FIND(SUBSTITUTE(SUBSTITUTE(UPPER(#REF!)," ",""),":",": "),SUBSTITUTE(SUBSTITUTE(UPPER(S1197)," ",""),":",": "))),0)),"Não encontrado")</f>
        <v>Não encontrado</v>
      </c>
      <c r="E1197" s="42" t="str" cm="1">
        <f t="array" ref="E1197">IFERROR(INDEX({"IMPEDITIVO"},MATCH(TRUE,ISNUMBER(FIND(SUBSTITUTE(SUBSTITUTE(UPPER({"IMPEDITIVO"})," ",""),":",": "),SUBSTITUTE(SUBSTITUTE(UPPER(S1197)," ",""),":",": "))),0)),"-")</f>
        <v>-</v>
      </c>
      <c r="K1197" s="49"/>
    </row>
    <row r="1198" spans="1:11" x14ac:dyDescent="0.25">
      <c r="A1198" s="46" t="str" cm="1">
        <f t="array" ref="A1198">IFERROR(INDEX(#REF!,MATCH(TRUE,ISNUMBER(FIND(SUBSTITUTE(SUBSTITUTE(UPPER(#REF!)," ",""),":",": "),SUBSTITUTE(SUBSTITUTE(UPPER(S1198)," ",""),":",": "))),0)),"Undefined")</f>
        <v>Undefined</v>
      </c>
      <c r="B1198" s="42" t="str" cm="1">
        <f t="array" ref="B1198">IFERROR(INDEX({"URGENTE"},MATCH(TRUE,ISNUMBER(FIND(SUBSTITUTE(SUBSTITUTE(UPPER({"URGENTE"})," ",""),":",": "),SUBSTITUTE(SUBSTITUTE(UPPER(S1198)," ",""),":",": "))),0)),"-")</f>
        <v>-</v>
      </c>
      <c r="C1198" s="46" t="str" cm="1">
        <f t="array" ref="C1198">IFERROR(INDEX(#REF!,MATCH(TRUE,ISNUMBER(FIND(SUBSTITUTE(SUBSTITUTE(UPPER(#REF!)," ",""),":",": "),SUBSTITUTE(SUBSTITUTE(UPPER(S1198)," ",""),":",": "))),0)),"Não encontrado")</f>
        <v>Não encontrado</v>
      </c>
      <c r="D1198" s="46" t="str" cm="1">
        <f t="array" ref="D1198">IFERROR(INDEX(#REF!,MATCH(TRUE,ISNUMBER(FIND(SUBSTITUTE(SUBSTITUTE(UPPER(#REF!)," ",""),":",": "),SUBSTITUTE(SUBSTITUTE(UPPER(S1198)," ",""),":",": "))),0)),"Não encontrado")</f>
        <v>Não encontrado</v>
      </c>
      <c r="E1198" s="42" t="str" cm="1">
        <f t="array" ref="E1198">IFERROR(INDEX({"IMPEDITIVO"},MATCH(TRUE,ISNUMBER(FIND(SUBSTITUTE(SUBSTITUTE(UPPER({"IMPEDITIVO"})," ",""),":",": "),SUBSTITUTE(SUBSTITUTE(UPPER(S1198)," ",""),":",": "))),0)),"-")</f>
        <v>-</v>
      </c>
      <c r="K1198" s="49"/>
    </row>
    <row r="1199" spans="1:11" x14ac:dyDescent="0.25">
      <c r="A1199" s="46" t="str" cm="1">
        <f t="array" ref="A1199">IFERROR(INDEX(#REF!,MATCH(TRUE,ISNUMBER(FIND(SUBSTITUTE(SUBSTITUTE(UPPER(#REF!)," ",""),":",": "),SUBSTITUTE(SUBSTITUTE(UPPER(S1199)," ",""),":",": "))),0)),"Undefined")</f>
        <v>Undefined</v>
      </c>
      <c r="B1199" s="42" t="str" cm="1">
        <f t="array" ref="B1199">IFERROR(INDEX({"URGENTE"},MATCH(TRUE,ISNUMBER(FIND(SUBSTITUTE(SUBSTITUTE(UPPER({"URGENTE"})," ",""),":",": "),SUBSTITUTE(SUBSTITUTE(UPPER(S1199)," ",""),":",": "))),0)),"-")</f>
        <v>-</v>
      </c>
      <c r="C1199" s="46" t="str" cm="1">
        <f t="array" ref="C1199">IFERROR(INDEX(#REF!,MATCH(TRUE,ISNUMBER(FIND(SUBSTITUTE(SUBSTITUTE(UPPER(#REF!)," ",""),":",": "),SUBSTITUTE(SUBSTITUTE(UPPER(S1199)," ",""),":",": "))),0)),"Não encontrado")</f>
        <v>Não encontrado</v>
      </c>
      <c r="D1199" s="46" t="str" cm="1">
        <f t="array" ref="D1199">IFERROR(INDEX(#REF!,MATCH(TRUE,ISNUMBER(FIND(SUBSTITUTE(SUBSTITUTE(UPPER(#REF!)," ",""),":",": "),SUBSTITUTE(SUBSTITUTE(UPPER(S1199)," ",""),":",": "))),0)),"Não encontrado")</f>
        <v>Não encontrado</v>
      </c>
      <c r="E1199" s="42" t="str" cm="1">
        <f t="array" ref="E1199">IFERROR(INDEX({"IMPEDITIVO"},MATCH(TRUE,ISNUMBER(FIND(SUBSTITUTE(SUBSTITUTE(UPPER({"IMPEDITIVO"})," ",""),":",": "),SUBSTITUTE(SUBSTITUTE(UPPER(S1199)," ",""),":",": "))),0)),"-")</f>
        <v>-</v>
      </c>
      <c r="K1199" s="49"/>
    </row>
    <row r="1200" spans="1:11" x14ac:dyDescent="0.25">
      <c r="A1200" s="46" t="str" cm="1">
        <f t="array" ref="A1200">IFERROR(INDEX(#REF!,MATCH(TRUE,ISNUMBER(FIND(SUBSTITUTE(SUBSTITUTE(UPPER(#REF!)," ",""),":",": "),SUBSTITUTE(SUBSTITUTE(UPPER(S1200)," ",""),":",": "))),0)),"Undefined")</f>
        <v>Undefined</v>
      </c>
      <c r="B1200" s="42" t="str" cm="1">
        <f t="array" ref="B1200">IFERROR(INDEX({"URGENTE"},MATCH(TRUE,ISNUMBER(FIND(SUBSTITUTE(SUBSTITUTE(UPPER({"URGENTE"})," ",""),":",": "),SUBSTITUTE(SUBSTITUTE(UPPER(S1200)," ",""),":",": "))),0)),"-")</f>
        <v>-</v>
      </c>
      <c r="C1200" s="46" t="str" cm="1">
        <f t="array" ref="C1200">IFERROR(INDEX(#REF!,MATCH(TRUE,ISNUMBER(FIND(SUBSTITUTE(SUBSTITUTE(UPPER(#REF!)," ",""),":",": "),SUBSTITUTE(SUBSTITUTE(UPPER(S1200)," ",""),":",": "))),0)),"Não encontrado")</f>
        <v>Não encontrado</v>
      </c>
      <c r="D1200" s="46" t="str" cm="1">
        <f t="array" ref="D1200">IFERROR(INDEX(#REF!,MATCH(TRUE,ISNUMBER(FIND(SUBSTITUTE(SUBSTITUTE(UPPER(#REF!)," ",""),":",": "),SUBSTITUTE(SUBSTITUTE(UPPER(S1200)," ",""),":",": "))),0)),"Não encontrado")</f>
        <v>Não encontrado</v>
      </c>
      <c r="E1200" s="42" t="str" cm="1">
        <f t="array" ref="E1200">IFERROR(INDEX({"IMPEDITIVO"},MATCH(TRUE,ISNUMBER(FIND(SUBSTITUTE(SUBSTITUTE(UPPER({"IMPEDITIVO"})," ",""),":",": "),SUBSTITUTE(SUBSTITUTE(UPPER(S1200)," ",""),":",": "))),0)),"-")</f>
        <v>-</v>
      </c>
      <c r="K1200" s="49"/>
    </row>
    <row r="1201" spans="1:11" x14ac:dyDescent="0.25">
      <c r="A1201" s="46" t="str" cm="1">
        <f t="array" ref="A1201">IFERROR(INDEX(#REF!,MATCH(TRUE,ISNUMBER(FIND(SUBSTITUTE(SUBSTITUTE(UPPER(#REF!)," ",""),":",": "),SUBSTITUTE(SUBSTITUTE(UPPER(S1201)," ",""),":",": "))),0)),"Undefined")</f>
        <v>Undefined</v>
      </c>
      <c r="B1201" s="42" t="str" cm="1">
        <f t="array" ref="B1201">IFERROR(INDEX({"URGENTE"},MATCH(TRUE,ISNUMBER(FIND(SUBSTITUTE(SUBSTITUTE(UPPER({"URGENTE"})," ",""),":",": "),SUBSTITUTE(SUBSTITUTE(UPPER(S1201)," ",""),":",": "))),0)),"-")</f>
        <v>-</v>
      </c>
      <c r="C1201" s="46" t="str" cm="1">
        <f t="array" ref="C1201">IFERROR(INDEX(#REF!,MATCH(TRUE,ISNUMBER(FIND(SUBSTITUTE(SUBSTITUTE(UPPER(#REF!)," ",""),":",": "),SUBSTITUTE(SUBSTITUTE(UPPER(S1201)," ",""),":",": "))),0)),"Não encontrado")</f>
        <v>Não encontrado</v>
      </c>
      <c r="D1201" s="46" t="str" cm="1">
        <f t="array" ref="D1201">IFERROR(INDEX(#REF!,MATCH(TRUE,ISNUMBER(FIND(SUBSTITUTE(SUBSTITUTE(UPPER(#REF!)," ",""),":",": "),SUBSTITUTE(SUBSTITUTE(UPPER(S1201)," ",""),":",": "))),0)),"Não encontrado")</f>
        <v>Não encontrado</v>
      </c>
      <c r="E1201" s="42" t="str" cm="1">
        <f t="array" ref="E1201">IFERROR(INDEX({"IMPEDITIVO"},MATCH(TRUE,ISNUMBER(FIND(SUBSTITUTE(SUBSTITUTE(UPPER({"IMPEDITIVO"})," ",""),":",": "),SUBSTITUTE(SUBSTITUTE(UPPER(S1201)," ",""),":",": "))),0)),"-")</f>
        <v>-</v>
      </c>
      <c r="K1201" s="49"/>
    </row>
    <row r="1202" spans="1:11" x14ac:dyDescent="0.25">
      <c r="A1202" s="46" t="str" cm="1">
        <f t="array" ref="A1202">IFERROR(INDEX(#REF!,MATCH(TRUE,ISNUMBER(FIND(SUBSTITUTE(SUBSTITUTE(UPPER(#REF!)," ",""),":",": "),SUBSTITUTE(SUBSTITUTE(UPPER(S1202)," ",""),":",": "))),0)),"Undefined")</f>
        <v>Undefined</v>
      </c>
      <c r="B1202" s="42" t="str" cm="1">
        <f t="array" ref="B1202">IFERROR(INDEX({"URGENTE"},MATCH(TRUE,ISNUMBER(FIND(SUBSTITUTE(SUBSTITUTE(UPPER({"URGENTE"})," ",""),":",": "),SUBSTITUTE(SUBSTITUTE(UPPER(S1202)," ",""),":",": "))),0)),"-")</f>
        <v>-</v>
      </c>
      <c r="C1202" s="46" t="str" cm="1">
        <f t="array" ref="C1202">IFERROR(INDEX(#REF!,MATCH(TRUE,ISNUMBER(FIND(SUBSTITUTE(SUBSTITUTE(UPPER(#REF!)," ",""),":",": "),SUBSTITUTE(SUBSTITUTE(UPPER(S1202)," ",""),":",": "))),0)),"Não encontrado")</f>
        <v>Não encontrado</v>
      </c>
      <c r="D1202" s="46" t="str" cm="1">
        <f t="array" ref="D1202">IFERROR(INDEX(#REF!,MATCH(TRUE,ISNUMBER(FIND(SUBSTITUTE(SUBSTITUTE(UPPER(#REF!)," ",""),":",": "),SUBSTITUTE(SUBSTITUTE(UPPER(S1202)," ",""),":",": "))),0)),"Não encontrado")</f>
        <v>Não encontrado</v>
      </c>
      <c r="E1202" s="42" t="str" cm="1">
        <f t="array" ref="E1202">IFERROR(INDEX({"IMPEDITIVO"},MATCH(TRUE,ISNUMBER(FIND(SUBSTITUTE(SUBSTITUTE(UPPER({"IMPEDITIVO"})," ",""),":",": "),SUBSTITUTE(SUBSTITUTE(UPPER(S1202)," ",""),":",": "))),0)),"-")</f>
        <v>-</v>
      </c>
      <c r="K1202" s="49"/>
    </row>
    <row r="1203" spans="1:11" x14ac:dyDescent="0.25">
      <c r="A1203" s="46" t="str" cm="1">
        <f t="array" ref="A1203">IFERROR(INDEX(#REF!,MATCH(TRUE,ISNUMBER(FIND(SUBSTITUTE(SUBSTITUTE(UPPER(#REF!)," ",""),":",": "),SUBSTITUTE(SUBSTITUTE(UPPER(S1203)," ",""),":",": "))),0)),"Undefined")</f>
        <v>Undefined</v>
      </c>
      <c r="B1203" s="42" t="str" cm="1">
        <f t="array" ref="B1203">IFERROR(INDEX({"URGENTE"},MATCH(TRUE,ISNUMBER(FIND(SUBSTITUTE(SUBSTITUTE(UPPER({"URGENTE"})," ",""),":",": "),SUBSTITUTE(SUBSTITUTE(UPPER(S1203)," ",""),":",": "))),0)),"-")</f>
        <v>-</v>
      </c>
      <c r="C1203" s="46" t="str" cm="1">
        <f t="array" ref="C1203">IFERROR(INDEX(#REF!,MATCH(TRUE,ISNUMBER(FIND(SUBSTITUTE(SUBSTITUTE(UPPER(#REF!)," ",""),":",": "),SUBSTITUTE(SUBSTITUTE(UPPER(S1203)," ",""),":",": "))),0)),"Não encontrado")</f>
        <v>Não encontrado</v>
      </c>
      <c r="D1203" s="46" t="str" cm="1">
        <f t="array" ref="D1203">IFERROR(INDEX(#REF!,MATCH(TRUE,ISNUMBER(FIND(SUBSTITUTE(SUBSTITUTE(UPPER(#REF!)," ",""),":",": "),SUBSTITUTE(SUBSTITUTE(UPPER(S1203)," ",""),":",": "))),0)),"Não encontrado")</f>
        <v>Não encontrado</v>
      </c>
      <c r="E1203" s="42" t="str" cm="1">
        <f t="array" ref="E1203">IFERROR(INDEX({"IMPEDITIVO"},MATCH(TRUE,ISNUMBER(FIND(SUBSTITUTE(SUBSTITUTE(UPPER({"IMPEDITIVO"})," ",""),":",": "),SUBSTITUTE(SUBSTITUTE(UPPER(S1203)," ",""),":",": "))),0)),"-")</f>
        <v>-</v>
      </c>
      <c r="K1203" s="49"/>
    </row>
    <row r="1204" spans="1:11" x14ac:dyDescent="0.25">
      <c r="A1204" s="46" t="str" cm="1">
        <f t="array" ref="A1204">IFERROR(INDEX(#REF!,MATCH(TRUE,ISNUMBER(FIND(SUBSTITUTE(SUBSTITUTE(UPPER(#REF!)," ",""),":",": "),SUBSTITUTE(SUBSTITUTE(UPPER(S1204)," ",""),":",": "))),0)),"Undefined")</f>
        <v>Undefined</v>
      </c>
      <c r="B1204" s="42" t="str" cm="1">
        <f t="array" ref="B1204">IFERROR(INDEX({"URGENTE"},MATCH(TRUE,ISNUMBER(FIND(SUBSTITUTE(SUBSTITUTE(UPPER({"URGENTE"})," ",""),":",": "),SUBSTITUTE(SUBSTITUTE(UPPER(S1204)," ",""),":",": "))),0)),"-")</f>
        <v>-</v>
      </c>
      <c r="C1204" s="46" t="str" cm="1">
        <f t="array" ref="C1204">IFERROR(INDEX(#REF!,MATCH(TRUE,ISNUMBER(FIND(SUBSTITUTE(SUBSTITUTE(UPPER(#REF!)," ",""),":",": "),SUBSTITUTE(SUBSTITUTE(UPPER(S1204)," ",""),":",": "))),0)),"Não encontrado")</f>
        <v>Não encontrado</v>
      </c>
      <c r="D1204" s="46" t="str" cm="1">
        <f t="array" ref="D1204">IFERROR(INDEX(#REF!,MATCH(TRUE,ISNUMBER(FIND(SUBSTITUTE(SUBSTITUTE(UPPER(#REF!)," ",""),":",": "),SUBSTITUTE(SUBSTITUTE(UPPER(S1204)," ",""),":",": "))),0)),"Não encontrado")</f>
        <v>Não encontrado</v>
      </c>
      <c r="E1204" s="42" t="str" cm="1">
        <f t="array" ref="E1204">IFERROR(INDEX({"IMPEDITIVO"},MATCH(TRUE,ISNUMBER(FIND(SUBSTITUTE(SUBSTITUTE(UPPER({"IMPEDITIVO"})," ",""),":",": "),SUBSTITUTE(SUBSTITUTE(UPPER(S1204)," ",""),":",": "))),0)),"-")</f>
        <v>-</v>
      </c>
      <c r="K1204" s="49"/>
    </row>
    <row r="1205" spans="1:11" x14ac:dyDescent="0.25">
      <c r="A1205" s="46" t="str" cm="1">
        <f t="array" ref="A1205">IFERROR(INDEX(#REF!,MATCH(TRUE,ISNUMBER(FIND(SUBSTITUTE(SUBSTITUTE(UPPER(#REF!)," ",""),":",": "),SUBSTITUTE(SUBSTITUTE(UPPER(S1205)," ",""),":",": "))),0)),"Undefined")</f>
        <v>Undefined</v>
      </c>
      <c r="B1205" s="42" t="str" cm="1">
        <f t="array" ref="B1205">IFERROR(INDEX({"URGENTE"},MATCH(TRUE,ISNUMBER(FIND(SUBSTITUTE(SUBSTITUTE(UPPER({"URGENTE"})," ",""),":",": "),SUBSTITUTE(SUBSTITUTE(UPPER(S1205)," ",""),":",": "))),0)),"-")</f>
        <v>-</v>
      </c>
      <c r="C1205" s="46" t="str" cm="1">
        <f t="array" ref="C1205">IFERROR(INDEX(#REF!,MATCH(TRUE,ISNUMBER(FIND(SUBSTITUTE(SUBSTITUTE(UPPER(#REF!)," ",""),":",": "),SUBSTITUTE(SUBSTITUTE(UPPER(S1205)," ",""),":",": "))),0)),"Não encontrado")</f>
        <v>Não encontrado</v>
      </c>
      <c r="D1205" s="46" t="str" cm="1">
        <f t="array" ref="D1205">IFERROR(INDEX(#REF!,MATCH(TRUE,ISNUMBER(FIND(SUBSTITUTE(SUBSTITUTE(UPPER(#REF!)," ",""),":",": "),SUBSTITUTE(SUBSTITUTE(UPPER(S1205)," ",""),":",": "))),0)),"Não encontrado")</f>
        <v>Não encontrado</v>
      </c>
      <c r="E1205" s="42" t="str" cm="1">
        <f t="array" ref="E1205">IFERROR(INDEX({"IMPEDITIVO"},MATCH(TRUE,ISNUMBER(FIND(SUBSTITUTE(SUBSTITUTE(UPPER({"IMPEDITIVO"})," ",""),":",": "),SUBSTITUTE(SUBSTITUTE(UPPER(S1205)," ",""),":",": "))),0)),"-")</f>
        <v>-</v>
      </c>
      <c r="K1205" s="49"/>
    </row>
    <row r="1206" spans="1:11" x14ac:dyDescent="0.25">
      <c r="A1206" s="46" t="str" cm="1">
        <f t="array" ref="A1206">IFERROR(INDEX(#REF!,MATCH(TRUE,ISNUMBER(FIND(SUBSTITUTE(SUBSTITUTE(UPPER(#REF!)," ",""),":",": "),SUBSTITUTE(SUBSTITUTE(UPPER(S1206)," ",""),":",": "))),0)),"Undefined")</f>
        <v>Undefined</v>
      </c>
      <c r="B1206" s="42" t="str" cm="1">
        <f t="array" ref="B1206">IFERROR(INDEX({"URGENTE"},MATCH(TRUE,ISNUMBER(FIND(SUBSTITUTE(SUBSTITUTE(UPPER({"URGENTE"})," ",""),":",": "),SUBSTITUTE(SUBSTITUTE(UPPER(S1206)," ",""),":",": "))),0)),"-")</f>
        <v>-</v>
      </c>
      <c r="C1206" s="46" t="str" cm="1">
        <f t="array" ref="C1206">IFERROR(INDEX(#REF!,MATCH(TRUE,ISNUMBER(FIND(SUBSTITUTE(SUBSTITUTE(UPPER(#REF!)," ",""),":",": "),SUBSTITUTE(SUBSTITUTE(UPPER(S1206)," ",""),":",": "))),0)),"Não encontrado")</f>
        <v>Não encontrado</v>
      </c>
      <c r="D1206" s="46" t="str" cm="1">
        <f t="array" ref="D1206">IFERROR(INDEX(#REF!,MATCH(TRUE,ISNUMBER(FIND(SUBSTITUTE(SUBSTITUTE(UPPER(#REF!)," ",""),":",": "),SUBSTITUTE(SUBSTITUTE(UPPER(S1206)," ",""),":",": "))),0)),"Não encontrado")</f>
        <v>Não encontrado</v>
      </c>
      <c r="E1206" s="42" t="str" cm="1">
        <f t="array" ref="E1206">IFERROR(INDEX({"IMPEDITIVO"},MATCH(TRUE,ISNUMBER(FIND(SUBSTITUTE(SUBSTITUTE(UPPER({"IMPEDITIVO"})," ",""),":",": "),SUBSTITUTE(SUBSTITUTE(UPPER(S1206)," ",""),":",": "))),0)),"-")</f>
        <v>-</v>
      </c>
      <c r="K1206" s="49"/>
    </row>
    <row r="1207" spans="1:11" x14ac:dyDescent="0.25">
      <c r="A1207" s="46" t="str" cm="1">
        <f t="array" ref="A1207">IFERROR(INDEX(#REF!,MATCH(TRUE,ISNUMBER(FIND(SUBSTITUTE(SUBSTITUTE(UPPER(#REF!)," ",""),":",": "),SUBSTITUTE(SUBSTITUTE(UPPER(S1207)," ",""),":",": "))),0)),"Undefined")</f>
        <v>Undefined</v>
      </c>
      <c r="B1207" s="42" t="str" cm="1">
        <f t="array" ref="B1207">IFERROR(INDEX({"URGENTE"},MATCH(TRUE,ISNUMBER(FIND(SUBSTITUTE(SUBSTITUTE(UPPER({"URGENTE"})," ",""),":",": "),SUBSTITUTE(SUBSTITUTE(UPPER(S1207)," ",""),":",": "))),0)),"-")</f>
        <v>-</v>
      </c>
      <c r="C1207" s="46" t="str" cm="1">
        <f t="array" ref="C1207">IFERROR(INDEX(#REF!,MATCH(TRUE,ISNUMBER(FIND(SUBSTITUTE(SUBSTITUTE(UPPER(#REF!)," ",""),":",": "),SUBSTITUTE(SUBSTITUTE(UPPER(S1207)," ",""),":",": "))),0)),"Não encontrado")</f>
        <v>Não encontrado</v>
      </c>
      <c r="D1207" s="46" t="str" cm="1">
        <f t="array" ref="D1207">IFERROR(INDEX(#REF!,MATCH(TRUE,ISNUMBER(FIND(SUBSTITUTE(SUBSTITUTE(UPPER(#REF!)," ",""),":",": "),SUBSTITUTE(SUBSTITUTE(UPPER(S1207)," ",""),":",": "))),0)),"Não encontrado")</f>
        <v>Não encontrado</v>
      </c>
      <c r="E1207" s="42" t="str" cm="1">
        <f t="array" ref="E1207">IFERROR(INDEX({"IMPEDITIVO"},MATCH(TRUE,ISNUMBER(FIND(SUBSTITUTE(SUBSTITUTE(UPPER({"IMPEDITIVO"})," ",""),":",": "),SUBSTITUTE(SUBSTITUTE(UPPER(S1207)," ",""),":",": "))),0)),"-")</f>
        <v>-</v>
      </c>
      <c r="K1207" s="49"/>
    </row>
    <row r="1208" spans="1:11" x14ac:dyDescent="0.25">
      <c r="A1208" s="46" t="str" cm="1">
        <f t="array" ref="A1208">IFERROR(INDEX(#REF!,MATCH(TRUE,ISNUMBER(FIND(SUBSTITUTE(SUBSTITUTE(UPPER(#REF!)," ",""),":",": "),SUBSTITUTE(SUBSTITUTE(UPPER(S1208)," ",""),":",": "))),0)),"Undefined")</f>
        <v>Undefined</v>
      </c>
      <c r="B1208" s="42" t="str" cm="1">
        <f t="array" ref="B1208">IFERROR(INDEX({"URGENTE"},MATCH(TRUE,ISNUMBER(FIND(SUBSTITUTE(SUBSTITUTE(UPPER({"URGENTE"})," ",""),":",": "),SUBSTITUTE(SUBSTITUTE(UPPER(S1208)," ",""),":",": "))),0)),"-")</f>
        <v>-</v>
      </c>
      <c r="C1208" s="46" t="str" cm="1">
        <f t="array" ref="C1208">IFERROR(INDEX(#REF!,MATCH(TRUE,ISNUMBER(FIND(SUBSTITUTE(SUBSTITUTE(UPPER(#REF!)," ",""),":",": "),SUBSTITUTE(SUBSTITUTE(UPPER(S1208)," ",""),":",": "))),0)),"Não encontrado")</f>
        <v>Não encontrado</v>
      </c>
      <c r="D1208" s="46" t="str" cm="1">
        <f t="array" ref="D1208">IFERROR(INDEX(#REF!,MATCH(TRUE,ISNUMBER(FIND(SUBSTITUTE(SUBSTITUTE(UPPER(#REF!)," ",""),":",": "),SUBSTITUTE(SUBSTITUTE(UPPER(S1208)," ",""),":",": "))),0)),"Não encontrado")</f>
        <v>Não encontrado</v>
      </c>
      <c r="E1208" s="42" t="str" cm="1">
        <f t="array" ref="E1208">IFERROR(INDEX({"IMPEDITIVO"},MATCH(TRUE,ISNUMBER(FIND(SUBSTITUTE(SUBSTITUTE(UPPER({"IMPEDITIVO"})," ",""),":",": "),SUBSTITUTE(SUBSTITUTE(UPPER(S1208)," ",""),":",": "))),0)),"-")</f>
        <v>-</v>
      </c>
      <c r="K1208" s="49"/>
    </row>
    <row r="1209" spans="1:11" x14ac:dyDescent="0.25">
      <c r="A1209" s="46" t="str" cm="1">
        <f t="array" ref="A1209">IFERROR(INDEX(#REF!,MATCH(TRUE,ISNUMBER(FIND(SUBSTITUTE(SUBSTITUTE(UPPER(#REF!)," ",""),":",": "),SUBSTITUTE(SUBSTITUTE(UPPER(S1209)," ",""),":",": "))),0)),"Undefined")</f>
        <v>Undefined</v>
      </c>
      <c r="B1209" s="42" t="str" cm="1">
        <f t="array" ref="B1209">IFERROR(INDEX({"URGENTE"},MATCH(TRUE,ISNUMBER(FIND(SUBSTITUTE(SUBSTITUTE(UPPER({"URGENTE"})," ",""),":",": "),SUBSTITUTE(SUBSTITUTE(UPPER(S1209)," ",""),":",": "))),0)),"-")</f>
        <v>-</v>
      </c>
      <c r="C1209" s="46" t="str" cm="1">
        <f t="array" ref="C1209">IFERROR(INDEX(#REF!,MATCH(TRUE,ISNUMBER(FIND(SUBSTITUTE(SUBSTITUTE(UPPER(#REF!)," ",""),":",": "),SUBSTITUTE(SUBSTITUTE(UPPER(S1209)," ",""),":",": "))),0)),"Não encontrado")</f>
        <v>Não encontrado</v>
      </c>
      <c r="D1209" s="46" t="str" cm="1">
        <f t="array" ref="D1209">IFERROR(INDEX(#REF!,MATCH(TRUE,ISNUMBER(FIND(SUBSTITUTE(SUBSTITUTE(UPPER(#REF!)," ",""),":",": "),SUBSTITUTE(SUBSTITUTE(UPPER(S1209)," ",""),":",": "))),0)),"Não encontrado")</f>
        <v>Não encontrado</v>
      </c>
      <c r="E1209" s="42" t="str" cm="1">
        <f t="array" ref="E1209">IFERROR(INDEX({"IMPEDITIVO"},MATCH(TRUE,ISNUMBER(FIND(SUBSTITUTE(SUBSTITUTE(UPPER({"IMPEDITIVO"})," ",""),":",": "),SUBSTITUTE(SUBSTITUTE(UPPER(S1209)," ",""),":",": "))),0)),"-")</f>
        <v>-</v>
      </c>
      <c r="K1209" s="49"/>
    </row>
    <row r="1210" spans="1:11" x14ac:dyDescent="0.25">
      <c r="A1210" s="46" t="str" cm="1">
        <f t="array" ref="A1210">IFERROR(INDEX(#REF!,MATCH(TRUE,ISNUMBER(FIND(SUBSTITUTE(SUBSTITUTE(UPPER(#REF!)," ",""),":",": "),SUBSTITUTE(SUBSTITUTE(UPPER(S1210)," ",""),":",": "))),0)),"Undefined")</f>
        <v>Undefined</v>
      </c>
      <c r="B1210" s="42" t="str" cm="1">
        <f t="array" ref="B1210">IFERROR(INDEX({"URGENTE"},MATCH(TRUE,ISNUMBER(FIND(SUBSTITUTE(SUBSTITUTE(UPPER({"URGENTE"})," ",""),":",": "),SUBSTITUTE(SUBSTITUTE(UPPER(S1210)," ",""),":",": "))),0)),"-")</f>
        <v>-</v>
      </c>
      <c r="C1210" s="46" t="str" cm="1">
        <f t="array" ref="C1210">IFERROR(INDEX(#REF!,MATCH(TRUE,ISNUMBER(FIND(SUBSTITUTE(SUBSTITUTE(UPPER(#REF!)," ",""),":",": "),SUBSTITUTE(SUBSTITUTE(UPPER(S1210)," ",""),":",": "))),0)),"Não encontrado")</f>
        <v>Não encontrado</v>
      </c>
      <c r="D1210" s="46" t="str" cm="1">
        <f t="array" ref="D1210">IFERROR(INDEX(#REF!,MATCH(TRUE,ISNUMBER(FIND(SUBSTITUTE(SUBSTITUTE(UPPER(#REF!)," ",""),":",": "),SUBSTITUTE(SUBSTITUTE(UPPER(S1210)," ",""),":",": "))),0)),"Não encontrado")</f>
        <v>Não encontrado</v>
      </c>
      <c r="E1210" s="42" t="str" cm="1">
        <f t="array" ref="E1210">IFERROR(INDEX({"IMPEDITIVO"},MATCH(TRUE,ISNUMBER(FIND(SUBSTITUTE(SUBSTITUTE(UPPER({"IMPEDITIVO"})," ",""),":",": "),SUBSTITUTE(SUBSTITUTE(UPPER(S1210)," ",""),":",": "))),0)),"-")</f>
        <v>-</v>
      </c>
      <c r="K1210" s="49"/>
    </row>
    <row r="1211" spans="1:11" x14ac:dyDescent="0.25">
      <c r="A1211" s="46" t="str" cm="1">
        <f t="array" ref="A1211">IFERROR(INDEX(#REF!,MATCH(TRUE,ISNUMBER(FIND(SUBSTITUTE(SUBSTITUTE(UPPER(#REF!)," ",""),":",": "),SUBSTITUTE(SUBSTITUTE(UPPER(S1211)," ",""),":",": "))),0)),"Undefined")</f>
        <v>Undefined</v>
      </c>
      <c r="B1211" s="42" t="str" cm="1">
        <f t="array" ref="B1211">IFERROR(INDEX({"URGENTE"},MATCH(TRUE,ISNUMBER(FIND(SUBSTITUTE(SUBSTITUTE(UPPER({"URGENTE"})," ",""),":",": "),SUBSTITUTE(SUBSTITUTE(UPPER(S1211)," ",""),":",": "))),0)),"-")</f>
        <v>-</v>
      </c>
      <c r="C1211" s="46" t="str" cm="1">
        <f t="array" ref="C1211">IFERROR(INDEX(#REF!,MATCH(TRUE,ISNUMBER(FIND(SUBSTITUTE(SUBSTITUTE(UPPER(#REF!)," ",""),":",": "),SUBSTITUTE(SUBSTITUTE(UPPER(S1211)," ",""),":",": "))),0)),"Não encontrado")</f>
        <v>Não encontrado</v>
      </c>
      <c r="D1211" s="46" t="str" cm="1">
        <f t="array" ref="D1211">IFERROR(INDEX(#REF!,MATCH(TRUE,ISNUMBER(FIND(SUBSTITUTE(SUBSTITUTE(UPPER(#REF!)," ",""),":",": "),SUBSTITUTE(SUBSTITUTE(UPPER(S1211)," ",""),":",": "))),0)),"Não encontrado")</f>
        <v>Não encontrado</v>
      </c>
      <c r="E1211" s="42" t="str" cm="1">
        <f t="array" ref="E1211">IFERROR(INDEX({"IMPEDITIVO"},MATCH(TRUE,ISNUMBER(FIND(SUBSTITUTE(SUBSTITUTE(UPPER({"IMPEDITIVO"})," ",""),":",": "),SUBSTITUTE(SUBSTITUTE(UPPER(S1211)," ",""),":",": "))),0)),"-")</f>
        <v>-</v>
      </c>
      <c r="K1211" s="49"/>
    </row>
    <row r="1212" spans="1:11" x14ac:dyDescent="0.25">
      <c r="A1212" s="46" t="str" cm="1">
        <f t="array" ref="A1212">IFERROR(INDEX(#REF!,MATCH(TRUE,ISNUMBER(FIND(SUBSTITUTE(SUBSTITUTE(UPPER(#REF!)," ",""),":",": "),SUBSTITUTE(SUBSTITUTE(UPPER(S1212)," ",""),":",": "))),0)),"Undefined")</f>
        <v>Undefined</v>
      </c>
      <c r="B1212" s="42" t="str" cm="1">
        <f t="array" ref="B1212">IFERROR(INDEX({"URGENTE"},MATCH(TRUE,ISNUMBER(FIND(SUBSTITUTE(SUBSTITUTE(UPPER({"URGENTE"})," ",""),":",": "),SUBSTITUTE(SUBSTITUTE(UPPER(S1212)," ",""),":",": "))),0)),"-")</f>
        <v>-</v>
      </c>
      <c r="C1212" s="46" t="str" cm="1">
        <f t="array" ref="C1212">IFERROR(INDEX(#REF!,MATCH(TRUE,ISNUMBER(FIND(SUBSTITUTE(SUBSTITUTE(UPPER(#REF!)," ",""),":",": "),SUBSTITUTE(SUBSTITUTE(UPPER(S1212)," ",""),":",": "))),0)),"Não encontrado")</f>
        <v>Não encontrado</v>
      </c>
      <c r="D1212" s="46" t="str" cm="1">
        <f t="array" ref="D1212">IFERROR(INDEX(#REF!,MATCH(TRUE,ISNUMBER(FIND(SUBSTITUTE(SUBSTITUTE(UPPER(#REF!)," ",""),":",": "),SUBSTITUTE(SUBSTITUTE(UPPER(S1212)," ",""),":",": "))),0)),"Não encontrado")</f>
        <v>Não encontrado</v>
      </c>
      <c r="E1212" s="42" t="str" cm="1">
        <f t="array" ref="E1212">IFERROR(INDEX({"IMPEDITIVO"},MATCH(TRUE,ISNUMBER(FIND(SUBSTITUTE(SUBSTITUTE(UPPER({"IMPEDITIVO"})," ",""),":",": "),SUBSTITUTE(SUBSTITUTE(UPPER(S1212)," ",""),":",": "))),0)),"-")</f>
        <v>-</v>
      </c>
      <c r="K1212" s="49"/>
    </row>
    <row r="1213" spans="1:11" x14ac:dyDescent="0.25">
      <c r="A1213" s="46" t="str" cm="1">
        <f t="array" ref="A1213">IFERROR(INDEX(#REF!,MATCH(TRUE,ISNUMBER(FIND(SUBSTITUTE(SUBSTITUTE(UPPER(#REF!)," ",""),":",": "),SUBSTITUTE(SUBSTITUTE(UPPER(S1213)," ",""),":",": "))),0)),"Undefined")</f>
        <v>Undefined</v>
      </c>
      <c r="B1213" s="42" t="str" cm="1">
        <f t="array" ref="B1213">IFERROR(INDEX({"URGENTE"},MATCH(TRUE,ISNUMBER(FIND(SUBSTITUTE(SUBSTITUTE(UPPER({"URGENTE"})," ",""),":",": "),SUBSTITUTE(SUBSTITUTE(UPPER(S1213)," ",""),":",": "))),0)),"-")</f>
        <v>-</v>
      </c>
      <c r="C1213" s="46" t="str" cm="1">
        <f t="array" ref="C1213">IFERROR(INDEX(#REF!,MATCH(TRUE,ISNUMBER(FIND(SUBSTITUTE(SUBSTITUTE(UPPER(#REF!)," ",""),":",": "),SUBSTITUTE(SUBSTITUTE(UPPER(S1213)," ",""),":",": "))),0)),"Não encontrado")</f>
        <v>Não encontrado</v>
      </c>
      <c r="D1213" s="46" t="str" cm="1">
        <f t="array" ref="D1213">IFERROR(INDEX(#REF!,MATCH(TRUE,ISNUMBER(FIND(SUBSTITUTE(SUBSTITUTE(UPPER(#REF!)," ",""),":",": "),SUBSTITUTE(SUBSTITUTE(UPPER(S1213)," ",""),":",": "))),0)),"Não encontrado")</f>
        <v>Não encontrado</v>
      </c>
      <c r="E1213" s="42" t="str" cm="1">
        <f t="array" ref="E1213">IFERROR(INDEX({"IMPEDITIVO"},MATCH(TRUE,ISNUMBER(FIND(SUBSTITUTE(SUBSTITUTE(UPPER({"IMPEDITIVO"})," ",""),":",": "),SUBSTITUTE(SUBSTITUTE(UPPER(S1213)," ",""),":",": "))),0)),"-")</f>
        <v>-</v>
      </c>
      <c r="K1213" s="49"/>
    </row>
    <row r="1214" spans="1:11" x14ac:dyDescent="0.25">
      <c r="A1214" s="46" t="str" cm="1">
        <f t="array" ref="A1214">IFERROR(INDEX(#REF!,MATCH(TRUE,ISNUMBER(FIND(SUBSTITUTE(SUBSTITUTE(UPPER(#REF!)," ",""),":",": "),SUBSTITUTE(SUBSTITUTE(UPPER(S1214)," ",""),":",": "))),0)),"Undefined")</f>
        <v>Undefined</v>
      </c>
      <c r="B1214" s="42" t="str" cm="1">
        <f t="array" ref="B1214">IFERROR(INDEX({"URGENTE"},MATCH(TRUE,ISNUMBER(FIND(SUBSTITUTE(SUBSTITUTE(UPPER({"URGENTE"})," ",""),":",": "),SUBSTITUTE(SUBSTITUTE(UPPER(S1214)," ",""),":",": "))),0)),"-")</f>
        <v>-</v>
      </c>
      <c r="C1214" s="46" t="str" cm="1">
        <f t="array" ref="C1214">IFERROR(INDEX(#REF!,MATCH(TRUE,ISNUMBER(FIND(SUBSTITUTE(SUBSTITUTE(UPPER(#REF!)," ",""),":",": "),SUBSTITUTE(SUBSTITUTE(UPPER(S1214)," ",""),":",": "))),0)),"Não encontrado")</f>
        <v>Não encontrado</v>
      </c>
      <c r="D1214" s="46" t="str" cm="1">
        <f t="array" ref="D1214">IFERROR(INDEX(#REF!,MATCH(TRUE,ISNUMBER(FIND(SUBSTITUTE(SUBSTITUTE(UPPER(#REF!)," ",""),":",": "),SUBSTITUTE(SUBSTITUTE(UPPER(S1214)," ",""),":",": "))),0)),"Não encontrado")</f>
        <v>Não encontrado</v>
      </c>
      <c r="E1214" s="42" t="str" cm="1">
        <f t="array" ref="E1214">IFERROR(INDEX({"IMPEDITIVO"},MATCH(TRUE,ISNUMBER(FIND(SUBSTITUTE(SUBSTITUTE(UPPER({"IMPEDITIVO"})," ",""),":",": "),SUBSTITUTE(SUBSTITUTE(UPPER(S1214)," ",""),":",": "))),0)),"-")</f>
        <v>-</v>
      </c>
      <c r="K1214" s="49"/>
    </row>
    <row r="1215" spans="1:11" x14ac:dyDescent="0.25">
      <c r="A1215" s="46" t="str" cm="1">
        <f t="array" ref="A1215">IFERROR(INDEX(#REF!,MATCH(TRUE,ISNUMBER(FIND(SUBSTITUTE(SUBSTITUTE(UPPER(#REF!)," ",""),":",": "),SUBSTITUTE(SUBSTITUTE(UPPER(S1215)," ",""),":",": "))),0)),"Undefined")</f>
        <v>Undefined</v>
      </c>
      <c r="B1215" s="42" t="str" cm="1">
        <f t="array" ref="B1215">IFERROR(INDEX({"URGENTE"},MATCH(TRUE,ISNUMBER(FIND(SUBSTITUTE(SUBSTITUTE(UPPER({"URGENTE"})," ",""),":",": "),SUBSTITUTE(SUBSTITUTE(UPPER(S1215)," ",""),":",": "))),0)),"-")</f>
        <v>-</v>
      </c>
      <c r="C1215" s="46" t="str" cm="1">
        <f t="array" ref="C1215">IFERROR(INDEX(#REF!,MATCH(TRUE,ISNUMBER(FIND(SUBSTITUTE(SUBSTITUTE(UPPER(#REF!)," ",""),":",": "),SUBSTITUTE(SUBSTITUTE(UPPER(S1215)," ",""),":",": "))),0)),"Não encontrado")</f>
        <v>Não encontrado</v>
      </c>
      <c r="D1215" s="46" t="str" cm="1">
        <f t="array" ref="D1215">IFERROR(INDEX(#REF!,MATCH(TRUE,ISNUMBER(FIND(SUBSTITUTE(SUBSTITUTE(UPPER(#REF!)," ",""),":",": "),SUBSTITUTE(SUBSTITUTE(UPPER(S1215)," ",""),":",": "))),0)),"Não encontrado")</f>
        <v>Não encontrado</v>
      </c>
      <c r="E1215" s="42" t="str" cm="1">
        <f t="array" ref="E1215">IFERROR(INDEX({"IMPEDITIVO"},MATCH(TRUE,ISNUMBER(FIND(SUBSTITUTE(SUBSTITUTE(UPPER({"IMPEDITIVO"})," ",""),":",": "),SUBSTITUTE(SUBSTITUTE(UPPER(S1215)," ",""),":",": "))),0)),"-")</f>
        <v>-</v>
      </c>
      <c r="K1215" s="49"/>
    </row>
    <row r="1216" spans="1:11" x14ac:dyDescent="0.25">
      <c r="A1216" s="46" t="str" cm="1">
        <f t="array" ref="A1216">IFERROR(INDEX(#REF!,MATCH(TRUE,ISNUMBER(FIND(SUBSTITUTE(SUBSTITUTE(UPPER(#REF!)," ",""),":",": "),SUBSTITUTE(SUBSTITUTE(UPPER(S1216)," ",""),":",": "))),0)),"Undefined")</f>
        <v>Undefined</v>
      </c>
      <c r="B1216" s="42" t="str" cm="1">
        <f t="array" ref="B1216">IFERROR(INDEX({"URGENTE"},MATCH(TRUE,ISNUMBER(FIND(SUBSTITUTE(SUBSTITUTE(UPPER({"URGENTE"})," ",""),":",": "),SUBSTITUTE(SUBSTITUTE(UPPER(S1216)," ",""),":",": "))),0)),"-")</f>
        <v>-</v>
      </c>
      <c r="C1216" s="46" t="str" cm="1">
        <f t="array" ref="C1216">IFERROR(INDEX(#REF!,MATCH(TRUE,ISNUMBER(FIND(SUBSTITUTE(SUBSTITUTE(UPPER(#REF!)," ",""),":",": "),SUBSTITUTE(SUBSTITUTE(UPPER(S1216)," ",""),":",": "))),0)),"Não encontrado")</f>
        <v>Não encontrado</v>
      </c>
      <c r="D1216" s="46" t="str" cm="1">
        <f t="array" ref="D1216">IFERROR(INDEX(#REF!,MATCH(TRUE,ISNUMBER(FIND(SUBSTITUTE(SUBSTITUTE(UPPER(#REF!)," ",""),":",": "),SUBSTITUTE(SUBSTITUTE(UPPER(S1216)," ",""),":",": "))),0)),"Não encontrado")</f>
        <v>Não encontrado</v>
      </c>
      <c r="E1216" s="42" t="str" cm="1">
        <f t="array" ref="E1216">IFERROR(INDEX({"IMPEDITIVO"},MATCH(TRUE,ISNUMBER(FIND(SUBSTITUTE(SUBSTITUTE(UPPER({"IMPEDITIVO"})," ",""),":",": "),SUBSTITUTE(SUBSTITUTE(UPPER(S1216)," ",""),":",": "))),0)),"-")</f>
        <v>-</v>
      </c>
      <c r="K1216" s="49"/>
    </row>
    <row r="1217" spans="1:11" x14ac:dyDescent="0.25">
      <c r="A1217" s="46" t="str" cm="1">
        <f t="array" ref="A1217">IFERROR(INDEX(#REF!,MATCH(TRUE,ISNUMBER(FIND(SUBSTITUTE(SUBSTITUTE(UPPER(#REF!)," ",""),":",": "),SUBSTITUTE(SUBSTITUTE(UPPER(S1217)," ",""),":",": "))),0)),"Undefined")</f>
        <v>Undefined</v>
      </c>
      <c r="B1217" s="42" t="str" cm="1">
        <f t="array" ref="B1217">IFERROR(INDEX({"URGENTE"},MATCH(TRUE,ISNUMBER(FIND(SUBSTITUTE(SUBSTITUTE(UPPER({"URGENTE"})," ",""),":",": "),SUBSTITUTE(SUBSTITUTE(UPPER(S1217)," ",""),":",": "))),0)),"-")</f>
        <v>-</v>
      </c>
      <c r="C1217" s="46" t="str" cm="1">
        <f t="array" ref="C1217">IFERROR(INDEX(#REF!,MATCH(TRUE,ISNUMBER(FIND(SUBSTITUTE(SUBSTITUTE(UPPER(#REF!)," ",""),":",": "),SUBSTITUTE(SUBSTITUTE(UPPER(S1217)," ",""),":",": "))),0)),"Não encontrado")</f>
        <v>Não encontrado</v>
      </c>
      <c r="D1217" s="46" t="str" cm="1">
        <f t="array" ref="D1217">IFERROR(INDEX(#REF!,MATCH(TRUE,ISNUMBER(FIND(SUBSTITUTE(SUBSTITUTE(UPPER(#REF!)," ",""),":",": "),SUBSTITUTE(SUBSTITUTE(UPPER(S1217)," ",""),":",": "))),0)),"Não encontrado")</f>
        <v>Não encontrado</v>
      </c>
      <c r="E1217" s="42" t="str" cm="1">
        <f t="array" ref="E1217">IFERROR(INDEX({"IMPEDITIVO"},MATCH(TRUE,ISNUMBER(FIND(SUBSTITUTE(SUBSTITUTE(UPPER({"IMPEDITIVO"})," ",""),":",": "),SUBSTITUTE(SUBSTITUTE(UPPER(S1217)," ",""),":",": "))),0)),"-")</f>
        <v>-</v>
      </c>
      <c r="K1217" s="49"/>
    </row>
    <row r="1218" spans="1:11" x14ac:dyDescent="0.25">
      <c r="A1218" s="46" t="str" cm="1">
        <f t="array" ref="A1218">IFERROR(INDEX(#REF!,MATCH(TRUE,ISNUMBER(FIND(SUBSTITUTE(SUBSTITUTE(UPPER(#REF!)," ",""),":",": "),SUBSTITUTE(SUBSTITUTE(UPPER(S1218)," ",""),":",": "))),0)),"Undefined")</f>
        <v>Undefined</v>
      </c>
      <c r="B1218" s="42" t="str" cm="1">
        <f t="array" ref="B1218">IFERROR(INDEX({"URGENTE"},MATCH(TRUE,ISNUMBER(FIND(SUBSTITUTE(SUBSTITUTE(UPPER({"URGENTE"})," ",""),":",": "),SUBSTITUTE(SUBSTITUTE(UPPER(S1218)," ",""),":",": "))),0)),"-")</f>
        <v>-</v>
      </c>
      <c r="C1218" s="46" t="str" cm="1">
        <f t="array" ref="C1218">IFERROR(INDEX(#REF!,MATCH(TRUE,ISNUMBER(FIND(SUBSTITUTE(SUBSTITUTE(UPPER(#REF!)," ",""),":",": "),SUBSTITUTE(SUBSTITUTE(UPPER(S1218)," ",""),":",": "))),0)),"Não encontrado")</f>
        <v>Não encontrado</v>
      </c>
      <c r="D1218" s="46" t="str" cm="1">
        <f t="array" ref="D1218">IFERROR(INDEX(#REF!,MATCH(TRUE,ISNUMBER(FIND(SUBSTITUTE(SUBSTITUTE(UPPER(#REF!)," ",""),":",": "),SUBSTITUTE(SUBSTITUTE(UPPER(S1218)," ",""),":",": "))),0)),"Não encontrado")</f>
        <v>Não encontrado</v>
      </c>
      <c r="E1218" s="42" t="str" cm="1">
        <f t="array" ref="E1218">IFERROR(INDEX({"IMPEDITIVO"},MATCH(TRUE,ISNUMBER(FIND(SUBSTITUTE(SUBSTITUTE(UPPER({"IMPEDITIVO"})," ",""),":",": "),SUBSTITUTE(SUBSTITUTE(UPPER(S1218)," ",""),":",": "))),0)),"-")</f>
        <v>-</v>
      </c>
      <c r="K1218" s="49"/>
    </row>
    <row r="1219" spans="1:11" x14ac:dyDescent="0.25">
      <c r="A1219" s="46" t="str" cm="1">
        <f t="array" ref="A1219">IFERROR(INDEX(#REF!,MATCH(TRUE,ISNUMBER(FIND(SUBSTITUTE(SUBSTITUTE(UPPER(#REF!)," ",""),":",": "),SUBSTITUTE(SUBSTITUTE(UPPER(S1219)," ",""),":",": "))),0)),"Undefined")</f>
        <v>Undefined</v>
      </c>
      <c r="B1219" s="42" t="str" cm="1">
        <f t="array" ref="B1219">IFERROR(INDEX({"URGENTE"},MATCH(TRUE,ISNUMBER(FIND(SUBSTITUTE(SUBSTITUTE(UPPER({"URGENTE"})," ",""),":",": "),SUBSTITUTE(SUBSTITUTE(UPPER(S1219)," ",""),":",": "))),0)),"-")</f>
        <v>-</v>
      </c>
      <c r="C1219" s="46" t="str" cm="1">
        <f t="array" ref="C1219">IFERROR(INDEX(#REF!,MATCH(TRUE,ISNUMBER(FIND(SUBSTITUTE(SUBSTITUTE(UPPER(#REF!)," ",""),":",": "),SUBSTITUTE(SUBSTITUTE(UPPER(S1219)," ",""),":",": "))),0)),"Não encontrado")</f>
        <v>Não encontrado</v>
      </c>
      <c r="D1219" s="46" t="str" cm="1">
        <f t="array" ref="D1219">IFERROR(INDEX(#REF!,MATCH(TRUE,ISNUMBER(FIND(SUBSTITUTE(SUBSTITUTE(UPPER(#REF!)," ",""),":",": "),SUBSTITUTE(SUBSTITUTE(UPPER(S1219)," ",""),":",": "))),0)),"Não encontrado")</f>
        <v>Não encontrado</v>
      </c>
      <c r="E1219" s="42" t="str" cm="1">
        <f t="array" ref="E1219">IFERROR(INDEX({"IMPEDITIVO"},MATCH(TRUE,ISNUMBER(FIND(SUBSTITUTE(SUBSTITUTE(UPPER({"IMPEDITIVO"})," ",""),":",": "),SUBSTITUTE(SUBSTITUTE(UPPER(S1219)," ",""),":",": "))),0)),"-")</f>
        <v>-</v>
      </c>
      <c r="K1219" s="49"/>
    </row>
    <row r="1220" spans="1:11" x14ac:dyDescent="0.25">
      <c r="A1220" s="46" t="str" cm="1">
        <f t="array" ref="A1220">IFERROR(INDEX(#REF!,MATCH(TRUE,ISNUMBER(FIND(SUBSTITUTE(SUBSTITUTE(UPPER(#REF!)," ",""),":",": "),SUBSTITUTE(SUBSTITUTE(UPPER(S1220)," ",""),":",": "))),0)),"Undefined")</f>
        <v>Undefined</v>
      </c>
      <c r="B1220" s="42" t="str" cm="1">
        <f t="array" ref="B1220">IFERROR(INDEX({"URGENTE"},MATCH(TRUE,ISNUMBER(FIND(SUBSTITUTE(SUBSTITUTE(UPPER({"URGENTE"})," ",""),":",": "),SUBSTITUTE(SUBSTITUTE(UPPER(S1220)," ",""),":",": "))),0)),"-")</f>
        <v>-</v>
      </c>
      <c r="C1220" s="46" t="str" cm="1">
        <f t="array" ref="C1220">IFERROR(INDEX(#REF!,MATCH(TRUE,ISNUMBER(FIND(SUBSTITUTE(SUBSTITUTE(UPPER(#REF!)," ",""),":",": "),SUBSTITUTE(SUBSTITUTE(UPPER(S1220)," ",""),":",": "))),0)),"Não encontrado")</f>
        <v>Não encontrado</v>
      </c>
      <c r="D1220" s="46" t="str" cm="1">
        <f t="array" ref="D1220">IFERROR(INDEX(#REF!,MATCH(TRUE,ISNUMBER(FIND(SUBSTITUTE(SUBSTITUTE(UPPER(#REF!)," ",""),":",": "),SUBSTITUTE(SUBSTITUTE(UPPER(S1220)," ",""),":",": "))),0)),"Não encontrado")</f>
        <v>Não encontrado</v>
      </c>
      <c r="E1220" s="42" t="str" cm="1">
        <f t="array" ref="E1220">IFERROR(INDEX({"IMPEDITIVO"},MATCH(TRUE,ISNUMBER(FIND(SUBSTITUTE(SUBSTITUTE(UPPER({"IMPEDITIVO"})," ",""),":",": "),SUBSTITUTE(SUBSTITUTE(UPPER(S1220)," ",""),":",": "))),0)),"-")</f>
        <v>-</v>
      </c>
      <c r="K1220" s="49"/>
    </row>
    <row r="1221" spans="1:11" x14ac:dyDescent="0.25">
      <c r="A1221" s="46" t="str" cm="1">
        <f t="array" ref="A1221">IFERROR(INDEX(#REF!,MATCH(TRUE,ISNUMBER(FIND(SUBSTITUTE(SUBSTITUTE(UPPER(#REF!)," ",""),":",": "),SUBSTITUTE(SUBSTITUTE(UPPER(S1221)," ",""),":",": "))),0)),"Undefined")</f>
        <v>Undefined</v>
      </c>
      <c r="B1221" s="42" t="str" cm="1">
        <f t="array" ref="B1221">IFERROR(INDEX({"URGENTE"},MATCH(TRUE,ISNUMBER(FIND(SUBSTITUTE(SUBSTITUTE(UPPER({"URGENTE"})," ",""),":",": "),SUBSTITUTE(SUBSTITUTE(UPPER(S1221)," ",""),":",": "))),0)),"-")</f>
        <v>-</v>
      </c>
      <c r="C1221" s="46" t="str" cm="1">
        <f t="array" ref="C1221">IFERROR(INDEX(#REF!,MATCH(TRUE,ISNUMBER(FIND(SUBSTITUTE(SUBSTITUTE(UPPER(#REF!)," ",""),":",": "),SUBSTITUTE(SUBSTITUTE(UPPER(S1221)," ",""),":",": "))),0)),"Não encontrado")</f>
        <v>Não encontrado</v>
      </c>
      <c r="D1221" s="46" t="str" cm="1">
        <f t="array" ref="D1221">IFERROR(INDEX(#REF!,MATCH(TRUE,ISNUMBER(FIND(SUBSTITUTE(SUBSTITUTE(UPPER(#REF!)," ",""),":",": "),SUBSTITUTE(SUBSTITUTE(UPPER(S1221)," ",""),":",": "))),0)),"Não encontrado")</f>
        <v>Não encontrado</v>
      </c>
      <c r="E1221" s="42" t="str" cm="1">
        <f t="array" ref="E1221">IFERROR(INDEX({"IMPEDITIVO"},MATCH(TRUE,ISNUMBER(FIND(SUBSTITUTE(SUBSTITUTE(UPPER({"IMPEDITIVO"})," ",""),":",": "),SUBSTITUTE(SUBSTITUTE(UPPER(S1221)," ",""),":",": "))),0)),"-")</f>
        <v>-</v>
      </c>
      <c r="K1221" s="49"/>
    </row>
    <row r="1222" spans="1:11" x14ac:dyDescent="0.25">
      <c r="A1222" s="46" t="str" cm="1">
        <f t="array" ref="A1222">IFERROR(INDEX(#REF!,MATCH(TRUE,ISNUMBER(FIND(SUBSTITUTE(SUBSTITUTE(UPPER(#REF!)," ",""),":",": "),SUBSTITUTE(SUBSTITUTE(UPPER(S1222)," ",""),":",": "))),0)),"Undefined")</f>
        <v>Undefined</v>
      </c>
      <c r="B1222" s="42" t="str" cm="1">
        <f t="array" ref="B1222">IFERROR(INDEX({"URGENTE"},MATCH(TRUE,ISNUMBER(FIND(SUBSTITUTE(SUBSTITUTE(UPPER({"URGENTE"})," ",""),":",": "),SUBSTITUTE(SUBSTITUTE(UPPER(S1222)," ",""),":",": "))),0)),"-")</f>
        <v>-</v>
      </c>
      <c r="C1222" s="46" t="str" cm="1">
        <f t="array" ref="C1222">IFERROR(INDEX(#REF!,MATCH(TRUE,ISNUMBER(FIND(SUBSTITUTE(SUBSTITUTE(UPPER(#REF!)," ",""),":",": "),SUBSTITUTE(SUBSTITUTE(UPPER(S1222)," ",""),":",": "))),0)),"Não encontrado")</f>
        <v>Não encontrado</v>
      </c>
      <c r="D1222" s="46" t="str" cm="1">
        <f t="array" ref="D1222">IFERROR(INDEX(#REF!,MATCH(TRUE,ISNUMBER(FIND(SUBSTITUTE(SUBSTITUTE(UPPER(#REF!)," ",""),":",": "),SUBSTITUTE(SUBSTITUTE(UPPER(S1222)," ",""),":",": "))),0)),"Não encontrado")</f>
        <v>Não encontrado</v>
      </c>
      <c r="E1222" s="42" t="str" cm="1">
        <f t="array" ref="E1222">IFERROR(INDEX({"IMPEDITIVO"},MATCH(TRUE,ISNUMBER(FIND(SUBSTITUTE(SUBSTITUTE(UPPER({"IMPEDITIVO"})," ",""),":",": "),SUBSTITUTE(SUBSTITUTE(UPPER(S1222)," ",""),":",": "))),0)),"-")</f>
        <v>-</v>
      </c>
      <c r="K1222" s="49"/>
    </row>
    <row r="1223" spans="1:11" x14ac:dyDescent="0.25">
      <c r="A1223" s="46" t="str" cm="1">
        <f t="array" ref="A1223">IFERROR(INDEX(#REF!,MATCH(TRUE,ISNUMBER(FIND(SUBSTITUTE(SUBSTITUTE(UPPER(#REF!)," ",""),":",": "),SUBSTITUTE(SUBSTITUTE(UPPER(S1223)," ",""),":",": "))),0)),"Undefined")</f>
        <v>Undefined</v>
      </c>
      <c r="B1223" s="42" t="str" cm="1">
        <f t="array" ref="B1223">IFERROR(INDEX({"URGENTE"},MATCH(TRUE,ISNUMBER(FIND(SUBSTITUTE(SUBSTITUTE(UPPER({"URGENTE"})," ",""),":",": "),SUBSTITUTE(SUBSTITUTE(UPPER(S1223)," ",""),":",": "))),0)),"-")</f>
        <v>-</v>
      </c>
      <c r="C1223" s="46" t="str" cm="1">
        <f t="array" ref="C1223">IFERROR(INDEX(#REF!,MATCH(TRUE,ISNUMBER(FIND(SUBSTITUTE(SUBSTITUTE(UPPER(#REF!)," ",""),":",": "),SUBSTITUTE(SUBSTITUTE(UPPER(S1223)," ",""),":",": "))),0)),"Não encontrado")</f>
        <v>Não encontrado</v>
      </c>
      <c r="D1223" s="46" t="str" cm="1">
        <f t="array" ref="D1223">IFERROR(INDEX(#REF!,MATCH(TRUE,ISNUMBER(FIND(SUBSTITUTE(SUBSTITUTE(UPPER(#REF!)," ",""),":",": "),SUBSTITUTE(SUBSTITUTE(UPPER(S1223)," ",""),":",": "))),0)),"Não encontrado")</f>
        <v>Não encontrado</v>
      </c>
      <c r="E1223" s="42" t="str" cm="1">
        <f t="array" ref="E1223">IFERROR(INDEX({"IMPEDITIVO"},MATCH(TRUE,ISNUMBER(FIND(SUBSTITUTE(SUBSTITUTE(UPPER({"IMPEDITIVO"})," ",""),":",": "),SUBSTITUTE(SUBSTITUTE(UPPER(S1223)," ",""),":",": "))),0)),"-")</f>
        <v>-</v>
      </c>
      <c r="K1223" s="49"/>
    </row>
    <row r="1224" spans="1:11" x14ac:dyDescent="0.25">
      <c r="A1224" s="46" t="str" cm="1">
        <f t="array" ref="A1224">IFERROR(INDEX(#REF!,MATCH(TRUE,ISNUMBER(FIND(SUBSTITUTE(SUBSTITUTE(UPPER(#REF!)," ",""),":",": "),SUBSTITUTE(SUBSTITUTE(UPPER(S1224)," ",""),":",": "))),0)),"Undefined")</f>
        <v>Undefined</v>
      </c>
      <c r="B1224" s="42" t="str" cm="1">
        <f t="array" ref="B1224">IFERROR(INDEX({"URGENTE"},MATCH(TRUE,ISNUMBER(FIND(SUBSTITUTE(SUBSTITUTE(UPPER({"URGENTE"})," ",""),":",": "),SUBSTITUTE(SUBSTITUTE(UPPER(S1224)," ",""),":",": "))),0)),"-")</f>
        <v>-</v>
      </c>
      <c r="C1224" s="46" t="str" cm="1">
        <f t="array" ref="C1224">IFERROR(INDEX(#REF!,MATCH(TRUE,ISNUMBER(FIND(SUBSTITUTE(SUBSTITUTE(UPPER(#REF!)," ",""),":",": "),SUBSTITUTE(SUBSTITUTE(UPPER(S1224)," ",""),":",": "))),0)),"Não encontrado")</f>
        <v>Não encontrado</v>
      </c>
      <c r="D1224" s="46" t="str" cm="1">
        <f t="array" ref="D1224">IFERROR(INDEX(#REF!,MATCH(TRUE,ISNUMBER(FIND(SUBSTITUTE(SUBSTITUTE(UPPER(#REF!)," ",""),":",": "),SUBSTITUTE(SUBSTITUTE(UPPER(S1224)," ",""),":",": "))),0)),"Não encontrado")</f>
        <v>Não encontrado</v>
      </c>
      <c r="E1224" s="42" t="str" cm="1">
        <f t="array" ref="E1224">IFERROR(INDEX({"IMPEDITIVO"},MATCH(TRUE,ISNUMBER(FIND(SUBSTITUTE(SUBSTITUTE(UPPER({"IMPEDITIVO"})," ",""),":",": "),SUBSTITUTE(SUBSTITUTE(UPPER(S1224)," ",""),":",": "))),0)),"-")</f>
        <v>-</v>
      </c>
      <c r="K1224" s="49"/>
    </row>
    <row r="1225" spans="1:11" x14ac:dyDescent="0.25">
      <c r="A1225" s="46" t="str" cm="1">
        <f t="array" ref="A1225">IFERROR(INDEX(#REF!,MATCH(TRUE,ISNUMBER(FIND(SUBSTITUTE(SUBSTITUTE(UPPER(#REF!)," ",""),":",": "),SUBSTITUTE(SUBSTITUTE(UPPER(S1225)," ",""),":",": "))),0)),"Undefined")</f>
        <v>Undefined</v>
      </c>
      <c r="B1225" s="42" t="str" cm="1">
        <f t="array" ref="B1225">IFERROR(INDEX({"URGENTE"},MATCH(TRUE,ISNUMBER(FIND(SUBSTITUTE(SUBSTITUTE(UPPER({"URGENTE"})," ",""),":",": "),SUBSTITUTE(SUBSTITUTE(UPPER(S1225)," ",""),":",": "))),0)),"-")</f>
        <v>-</v>
      </c>
      <c r="C1225" s="46" t="str" cm="1">
        <f t="array" ref="C1225">IFERROR(INDEX(#REF!,MATCH(TRUE,ISNUMBER(FIND(SUBSTITUTE(SUBSTITUTE(UPPER(#REF!)," ",""),":",": "),SUBSTITUTE(SUBSTITUTE(UPPER(S1225)," ",""),":",": "))),0)),"Não encontrado")</f>
        <v>Não encontrado</v>
      </c>
      <c r="D1225" s="46" t="str" cm="1">
        <f t="array" ref="D1225">IFERROR(INDEX(#REF!,MATCH(TRUE,ISNUMBER(FIND(SUBSTITUTE(SUBSTITUTE(UPPER(#REF!)," ",""),":",": "),SUBSTITUTE(SUBSTITUTE(UPPER(S1225)," ",""),":",": "))),0)),"Não encontrado")</f>
        <v>Não encontrado</v>
      </c>
      <c r="E1225" s="42" t="str" cm="1">
        <f t="array" ref="E1225">IFERROR(INDEX({"IMPEDITIVO"},MATCH(TRUE,ISNUMBER(FIND(SUBSTITUTE(SUBSTITUTE(UPPER({"IMPEDITIVO"})," ",""),":",": "),SUBSTITUTE(SUBSTITUTE(UPPER(S1225)," ",""),":",": "))),0)),"-")</f>
        <v>-</v>
      </c>
      <c r="K1225" s="49"/>
    </row>
    <row r="1226" spans="1:11" x14ac:dyDescent="0.25">
      <c r="A1226" s="46" t="str" cm="1">
        <f t="array" ref="A1226">IFERROR(INDEX(#REF!,MATCH(TRUE,ISNUMBER(FIND(SUBSTITUTE(SUBSTITUTE(UPPER(#REF!)," ",""),":",": "),SUBSTITUTE(SUBSTITUTE(UPPER(S1226)," ",""),":",": "))),0)),"Undefined")</f>
        <v>Undefined</v>
      </c>
      <c r="B1226" s="42" t="str" cm="1">
        <f t="array" ref="B1226">IFERROR(INDEX({"URGENTE"},MATCH(TRUE,ISNUMBER(FIND(SUBSTITUTE(SUBSTITUTE(UPPER({"URGENTE"})," ",""),":",": "),SUBSTITUTE(SUBSTITUTE(UPPER(S1226)," ",""),":",": "))),0)),"-")</f>
        <v>-</v>
      </c>
      <c r="C1226" s="46" t="str" cm="1">
        <f t="array" ref="C1226">IFERROR(INDEX(#REF!,MATCH(TRUE,ISNUMBER(FIND(SUBSTITUTE(SUBSTITUTE(UPPER(#REF!)," ",""),":",": "),SUBSTITUTE(SUBSTITUTE(UPPER(S1226)," ",""),":",": "))),0)),"Não encontrado")</f>
        <v>Não encontrado</v>
      </c>
      <c r="D1226" s="46" t="str" cm="1">
        <f t="array" ref="D1226">IFERROR(INDEX(#REF!,MATCH(TRUE,ISNUMBER(FIND(SUBSTITUTE(SUBSTITUTE(UPPER(#REF!)," ",""),":",": "),SUBSTITUTE(SUBSTITUTE(UPPER(S1226)," ",""),":",": "))),0)),"Não encontrado")</f>
        <v>Não encontrado</v>
      </c>
      <c r="E1226" s="42" t="str" cm="1">
        <f t="array" ref="E1226">IFERROR(INDEX({"IMPEDITIVO"},MATCH(TRUE,ISNUMBER(FIND(SUBSTITUTE(SUBSTITUTE(UPPER({"IMPEDITIVO"})," ",""),":",": "),SUBSTITUTE(SUBSTITUTE(UPPER(S1226)," ",""),":",": "))),0)),"-")</f>
        <v>-</v>
      </c>
      <c r="K1226" s="49"/>
    </row>
    <row r="1227" spans="1:11" x14ac:dyDescent="0.25">
      <c r="A1227" s="46" t="str" cm="1">
        <f t="array" ref="A1227">IFERROR(INDEX(#REF!,MATCH(TRUE,ISNUMBER(FIND(SUBSTITUTE(SUBSTITUTE(UPPER(#REF!)," ",""),":",": "),SUBSTITUTE(SUBSTITUTE(UPPER(S1227)," ",""),":",": "))),0)),"Undefined")</f>
        <v>Undefined</v>
      </c>
      <c r="B1227" s="42" t="str" cm="1">
        <f t="array" ref="B1227">IFERROR(INDEX({"URGENTE"},MATCH(TRUE,ISNUMBER(FIND(SUBSTITUTE(SUBSTITUTE(UPPER({"URGENTE"})," ",""),":",": "),SUBSTITUTE(SUBSTITUTE(UPPER(S1227)," ",""),":",": "))),0)),"-")</f>
        <v>-</v>
      </c>
      <c r="C1227" s="46" t="str" cm="1">
        <f t="array" ref="C1227">IFERROR(INDEX(#REF!,MATCH(TRUE,ISNUMBER(FIND(SUBSTITUTE(SUBSTITUTE(UPPER(#REF!)," ",""),":",": "),SUBSTITUTE(SUBSTITUTE(UPPER(S1227)," ",""),":",": "))),0)),"Não encontrado")</f>
        <v>Não encontrado</v>
      </c>
      <c r="D1227" s="46" t="str" cm="1">
        <f t="array" ref="D1227">IFERROR(INDEX(#REF!,MATCH(TRUE,ISNUMBER(FIND(SUBSTITUTE(SUBSTITUTE(UPPER(#REF!)," ",""),":",": "),SUBSTITUTE(SUBSTITUTE(UPPER(S1227)," ",""),":",": "))),0)),"Não encontrado")</f>
        <v>Não encontrado</v>
      </c>
      <c r="E1227" s="42" t="str" cm="1">
        <f t="array" ref="E1227">IFERROR(INDEX({"IMPEDITIVO"},MATCH(TRUE,ISNUMBER(FIND(SUBSTITUTE(SUBSTITUTE(UPPER({"IMPEDITIVO"})," ",""),":",": "),SUBSTITUTE(SUBSTITUTE(UPPER(S1227)," ",""),":",": "))),0)),"-")</f>
        <v>-</v>
      </c>
      <c r="K1227" s="49"/>
    </row>
    <row r="1228" spans="1:11" x14ac:dyDescent="0.25">
      <c r="A1228" s="46" t="str" cm="1">
        <f t="array" ref="A1228">IFERROR(INDEX(#REF!,MATCH(TRUE,ISNUMBER(FIND(SUBSTITUTE(SUBSTITUTE(UPPER(#REF!)," ",""),":",": "),SUBSTITUTE(SUBSTITUTE(UPPER(S1228)," ",""),":",": "))),0)),"Undefined")</f>
        <v>Undefined</v>
      </c>
      <c r="B1228" s="42" t="str" cm="1">
        <f t="array" ref="B1228">IFERROR(INDEX({"URGENTE"},MATCH(TRUE,ISNUMBER(FIND(SUBSTITUTE(SUBSTITUTE(UPPER({"URGENTE"})," ",""),":",": "),SUBSTITUTE(SUBSTITUTE(UPPER(S1228)," ",""),":",": "))),0)),"-")</f>
        <v>-</v>
      </c>
      <c r="C1228" s="46" t="str" cm="1">
        <f t="array" ref="C1228">IFERROR(INDEX(#REF!,MATCH(TRUE,ISNUMBER(FIND(SUBSTITUTE(SUBSTITUTE(UPPER(#REF!)," ",""),":",": "),SUBSTITUTE(SUBSTITUTE(UPPER(S1228)," ",""),":",": "))),0)),"Não encontrado")</f>
        <v>Não encontrado</v>
      </c>
      <c r="D1228" s="46" t="str" cm="1">
        <f t="array" ref="D1228">IFERROR(INDEX(#REF!,MATCH(TRUE,ISNUMBER(FIND(SUBSTITUTE(SUBSTITUTE(UPPER(#REF!)," ",""),":",": "),SUBSTITUTE(SUBSTITUTE(UPPER(S1228)," ",""),":",": "))),0)),"Não encontrado")</f>
        <v>Não encontrado</v>
      </c>
      <c r="E1228" s="42" t="str" cm="1">
        <f t="array" ref="E1228">IFERROR(INDEX({"IMPEDITIVO"},MATCH(TRUE,ISNUMBER(FIND(SUBSTITUTE(SUBSTITUTE(UPPER({"IMPEDITIVO"})," ",""),":",": "),SUBSTITUTE(SUBSTITUTE(UPPER(S1228)," ",""),":",": "))),0)),"-")</f>
        <v>-</v>
      </c>
      <c r="K1228" s="49"/>
    </row>
    <row r="1229" spans="1:11" x14ac:dyDescent="0.25">
      <c r="A1229" s="46" t="str" cm="1">
        <f t="array" ref="A1229">IFERROR(INDEX(#REF!,MATCH(TRUE,ISNUMBER(FIND(SUBSTITUTE(SUBSTITUTE(UPPER(#REF!)," ",""),":",": "),SUBSTITUTE(SUBSTITUTE(UPPER(S1229)," ",""),":",": "))),0)),"Undefined")</f>
        <v>Undefined</v>
      </c>
      <c r="B1229" s="42" t="str" cm="1">
        <f t="array" ref="B1229">IFERROR(INDEX({"URGENTE"},MATCH(TRUE,ISNUMBER(FIND(SUBSTITUTE(SUBSTITUTE(UPPER({"URGENTE"})," ",""),":",": "),SUBSTITUTE(SUBSTITUTE(UPPER(S1229)," ",""),":",": "))),0)),"-")</f>
        <v>-</v>
      </c>
      <c r="C1229" s="46" t="str" cm="1">
        <f t="array" ref="C1229">IFERROR(INDEX(#REF!,MATCH(TRUE,ISNUMBER(FIND(SUBSTITUTE(SUBSTITUTE(UPPER(#REF!)," ",""),":",": "),SUBSTITUTE(SUBSTITUTE(UPPER(S1229)," ",""),":",": "))),0)),"Não encontrado")</f>
        <v>Não encontrado</v>
      </c>
      <c r="D1229" s="46" t="str" cm="1">
        <f t="array" ref="D1229">IFERROR(INDEX(#REF!,MATCH(TRUE,ISNUMBER(FIND(SUBSTITUTE(SUBSTITUTE(UPPER(#REF!)," ",""),":",": "),SUBSTITUTE(SUBSTITUTE(UPPER(S1229)," ",""),":",": "))),0)),"Não encontrado")</f>
        <v>Não encontrado</v>
      </c>
      <c r="E1229" s="42" t="str" cm="1">
        <f t="array" ref="E1229">IFERROR(INDEX({"IMPEDITIVO"},MATCH(TRUE,ISNUMBER(FIND(SUBSTITUTE(SUBSTITUTE(UPPER({"IMPEDITIVO"})," ",""),":",": "),SUBSTITUTE(SUBSTITUTE(UPPER(S1229)," ",""),":",": "))),0)),"-")</f>
        <v>-</v>
      </c>
      <c r="K1229" s="49"/>
    </row>
    <row r="1230" spans="1:11" x14ac:dyDescent="0.25">
      <c r="A1230" s="46" t="str" cm="1">
        <f t="array" ref="A1230">IFERROR(INDEX(#REF!,MATCH(TRUE,ISNUMBER(FIND(SUBSTITUTE(SUBSTITUTE(UPPER(#REF!)," ",""),":",": "),SUBSTITUTE(SUBSTITUTE(UPPER(S1230)," ",""),":",": "))),0)),"Undefined")</f>
        <v>Undefined</v>
      </c>
      <c r="B1230" s="42" t="str" cm="1">
        <f t="array" ref="B1230">IFERROR(INDEX({"URGENTE"},MATCH(TRUE,ISNUMBER(FIND(SUBSTITUTE(SUBSTITUTE(UPPER({"URGENTE"})," ",""),":",": "),SUBSTITUTE(SUBSTITUTE(UPPER(S1230)," ",""),":",": "))),0)),"-")</f>
        <v>-</v>
      </c>
      <c r="C1230" s="46" t="str" cm="1">
        <f t="array" ref="C1230">IFERROR(INDEX(#REF!,MATCH(TRUE,ISNUMBER(FIND(SUBSTITUTE(SUBSTITUTE(UPPER(#REF!)," ",""),":",": "),SUBSTITUTE(SUBSTITUTE(UPPER(S1230)," ",""),":",": "))),0)),"Não encontrado")</f>
        <v>Não encontrado</v>
      </c>
      <c r="D1230" s="46" t="str" cm="1">
        <f t="array" ref="D1230">IFERROR(INDEX(#REF!,MATCH(TRUE,ISNUMBER(FIND(SUBSTITUTE(SUBSTITUTE(UPPER(#REF!)," ",""),":",": "),SUBSTITUTE(SUBSTITUTE(UPPER(S1230)," ",""),":",": "))),0)),"Não encontrado")</f>
        <v>Não encontrado</v>
      </c>
      <c r="E1230" s="42" t="str" cm="1">
        <f t="array" ref="E1230">IFERROR(INDEX({"IMPEDITIVO"},MATCH(TRUE,ISNUMBER(FIND(SUBSTITUTE(SUBSTITUTE(UPPER({"IMPEDITIVO"})," ",""),":",": "),SUBSTITUTE(SUBSTITUTE(UPPER(S1230)," ",""),":",": "))),0)),"-")</f>
        <v>-</v>
      </c>
      <c r="K1230" s="49"/>
    </row>
    <row r="1231" spans="1:11" x14ac:dyDescent="0.25">
      <c r="A1231" s="46" t="str" cm="1">
        <f t="array" ref="A1231">IFERROR(INDEX(#REF!,MATCH(TRUE,ISNUMBER(FIND(SUBSTITUTE(SUBSTITUTE(UPPER(#REF!)," ",""),":",": "),SUBSTITUTE(SUBSTITUTE(UPPER(S1231)," ",""),":",": "))),0)),"Undefined")</f>
        <v>Undefined</v>
      </c>
      <c r="B1231" s="42" t="str" cm="1">
        <f t="array" ref="B1231">IFERROR(INDEX({"URGENTE"},MATCH(TRUE,ISNUMBER(FIND(SUBSTITUTE(SUBSTITUTE(UPPER({"URGENTE"})," ",""),":",": "),SUBSTITUTE(SUBSTITUTE(UPPER(S1231)," ",""),":",": "))),0)),"-")</f>
        <v>-</v>
      </c>
      <c r="C1231" s="46" t="str" cm="1">
        <f t="array" ref="C1231">IFERROR(INDEX(#REF!,MATCH(TRUE,ISNUMBER(FIND(SUBSTITUTE(SUBSTITUTE(UPPER(#REF!)," ",""),":",": "),SUBSTITUTE(SUBSTITUTE(UPPER(S1231)," ",""),":",": "))),0)),"Não encontrado")</f>
        <v>Não encontrado</v>
      </c>
      <c r="D1231" s="46" t="str" cm="1">
        <f t="array" ref="D1231">IFERROR(INDEX(#REF!,MATCH(TRUE,ISNUMBER(FIND(SUBSTITUTE(SUBSTITUTE(UPPER(#REF!)," ",""),":",": "),SUBSTITUTE(SUBSTITUTE(UPPER(S1231)," ",""),":",": "))),0)),"Não encontrado")</f>
        <v>Não encontrado</v>
      </c>
      <c r="E1231" s="42" t="str" cm="1">
        <f t="array" ref="E1231">IFERROR(INDEX({"IMPEDITIVO"},MATCH(TRUE,ISNUMBER(FIND(SUBSTITUTE(SUBSTITUTE(UPPER({"IMPEDITIVO"})," ",""),":",": "),SUBSTITUTE(SUBSTITUTE(UPPER(S1231)," ",""),":",": "))),0)),"-")</f>
        <v>-</v>
      </c>
      <c r="K1231" s="49"/>
    </row>
    <row r="1232" spans="1:11" x14ac:dyDescent="0.25">
      <c r="A1232" s="46" t="str" cm="1">
        <f t="array" ref="A1232">IFERROR(INDEX(#REF!,MATCH(TRUE,ISNUMBER(FIND(SUBSTITUTE(SUBSTITUTE(UPPER(#REF!)," ",""),":",": "),SUBSTITUTE(SUBSTITUTE(UPPER(S1232)," ",""),":",": "))),0)),"Undefined")</f>
        <v>Undefined</v>
      </c>
      <c r="B1232" s="42" t="str" cm="1">
        <f t="array" ref="B1232">IFERROR(INDEX({"URGENTE"},MATCH(TRUE,ISNUMBER(FIND(SUBSTITUTE(SUBSTITUTE(UPPER({"URGENTE"})," ",""),":",": "),SUBSTITUTE(SUBSTITUTE(UPPER(S1232)," ",""),":",": "))),0)),"-")</f>
        <v>-</v>
      </c>
      <c r="C1232" s="46" t="str" cm="1">
        <f t="array" ref="C1232">IFERROR(INDEX(#REF!,MATCH(TRUE,ISNUMBER(FIND(SUBSTITUTE(SUBSTITUTE(UPPER(#REF!)," ",""),":",": "),SUBSTITUTE(SUBSTITUTE(UPPER(S1232)," ",""),":",": "))),0)),"Não encontrado")</f>
        <v>Não encontrado</v>
      </c>
      <c r="D1232" s="46" t="str" cm="1">
        <f t="array" ref="D1232">IFERROR(INDEX(#REF!,MATCH(TRUE,ISNUMBER(FIND(SUBSTITUTE(SUBSTITUTE(UPPER(#REF!)," ",""),":",": "),SUBSTITUTE(SUBSTITUTE(UPPER(S1232)," ",""),":",": "))),0)),"Não encontrado")</f>
        <v>Não encontrado</v>
      </c>
      <c r="E1232" s="42" t="str" cm="1">
        <f t="array" ref="E1232">IFERROR(INDEX({"IMPEDITIVO"},MATCH(TRUE,ISNUMBER(FIND(SUBSTITUTE(SUBSTITUTE(UPPER({"IMPEDITIVO"})," ",""),":",": "),SUBSTITUTE(SUBSTITUTE(UPPER(S1232)," ",""),":",": "))),0)),"-")</f>
        <v>-</v>
      </c>
      <c r="K1232" s="49"/>
    </row>
    <row r="1233" spans="1:11" x14ac:dyDescent="0.25">
      <c r="A1233" s="46" t="str" cm="1">
        <f t="array" ref="A1233">IFERROR(INDEX(#REF!,MATCH(TRUE,ISNUMBER(FIND(SUBSTITUTE(SUBSTITUTE(UPPER(#REF!)," ",""),":",": "),SUBSTITUTE(SUBSTITUTE(UPPER(S1233)," ",""),":",": "))),0)),"Undefined")</f>
        <v>Undefined</v>
      </c>
      <c r="B1233" s="42" t="str" cm="1">
        <f t="array" ref="B1233">IFERROR(INDEX({"URGENTE"},MATCH(TRUE,ISNUMBER(FIND(SUBSTITUTE(SUBSTITUTE(UPPER({"URGENTE"})," ",""),":",": "),SUBSTITUTE(SUBSTITUTE(UPPER(S1233)," ",""),":",": "))),0)),"-")</f>
        <v>-</v>
      </c>
      <c r="C1233" s="46" t="str" cm="1">
        <f t="array" ref="C1233">IFERROR(INDEX(#REF!,MATCH(TRUE,ISNUMBER(FIND(SUBSTITUTE(SUBSTITUTE(UPPER(#REF!)," ",""),":",": "),SUBSTITUTE(SUBSTITUTE(UPPER(S1233)," ",""),":",": "))),0)),"Não encontrado")</f>
        <v>Não encontrado</v>
      </c>
      <c r="D1233" s="46" t="str" cm="1">
        <f t="array" ref="D1233">IFERROR(INDEX(#REF!,MATCH(TRUE,ISNUMBER(FIND(SUBSTITUTE(SUBSTITUTE(UPPER(#REF!)," ",""),":",": "),SUBSTITUTE(SUBSTITUTE(UPPER(S1233)," ",""),":",": "))),0)),"Não encontrado")</f>
        <v>Não encontrado</v>
      </c>
      <c r="E1233" s="42" t="str" cm="1">
        <f t="array" ref="E1233">IFERROR(INDEX({"IMPEDITIVO"},MATCH(TRUE,ISNUMBER(FIND(SUBSTITUTE(SUBSTITUTE(UPPER({"IMPEDITIVO"})," ",""),":",": "),SUBSTITUTE(SUBSTITUTE(UPPER(S1233)," ",""),":",": "))),0)),"-")</f>
        <v>-</v>
      </c>
      <c r="K1233" s="49"/>
    </row>
    <row r="1234" spans="1:11" x14ac:dyDescent="0.25">
      <c r="A1234" s="46" t="str" cm="1">
        <f t="array" ref="A1234">IFERROR(INDEX(#REF!,MATCH(TRUE,ISNUMBER(FIND(SUBSTITUTE(SUBSTITUTE(UPPER(#REF!)," ",""),":",": "),SUBSTITUTE(SUBSTITUTE(UPPER(S1234)," ",""),":",": "))),0)),"Undefined")</f>
        <v>Undefined</v>
      </c>
      <c r="B1234" s="42" t="str" cm="1">
        <f t="array" ref="B1234">IFERROR(INDEX({"URGENTE"},MATCH(TRUE,ISNUMBER(FIND(SUBSTITUTE(SUBSTITUTE(UPPER({"URGENTE"})," ",""),":",": "),SUBSTITUTE(SUBSTITUTE(UPPER(S1234)," ",""),":",": "))),0)),"-")</f>
        <v>-</v>
      </c>
      <c r="C1234" s="46" t="str" cm="1">
        <f t="array" ref="C1234">IFERROR(INDEX(#REF!,MATCH(TRUE,ISNUMBER(FIND(SUBSTITUTE(SUBSTITUTE(UPPER(#REF!)," ",""),":",": "),SUBSTITUTE(SUBSTITUTE(UPPER(S1234)," ",""),":",": "))),0)),"Não encontrado")</f>
        <v>Não encontrado</v>
      </c>
      <c r="D1234" s="46" t="str" cm="1">
        <f t="array" ref="D1234">IFERROR(INDEX(#REF!,MATCH(TRUE,ISNUMBER(FIND(SUBSTITUTE(SUBSTITUTE(UPPER(#REF!)," ",""),":",": "),SUBSTITUTE(SUBSTITUTE(UPPER(S1234)," ",""),":",": "))),0)),"Não encontrado")</f>
        <v>Não encontrado</v>
      </c>
      <c r="E1234" s="42" t="str" cm="1">
        <f t="array" ref="E1234">IFERROR(INDEX({"IMPEDITIVO"},MATCH(TRUE,ISNUMBER(FIND(SUBSTITUTE(SUBSTITUTE(UPPER({"IMPEDITIVO"})," ",""),":",": "),SUBSTITUTE(SUBSTITUTE(UPPER(S1234)," ",""),":",": "))),0)),"-")</f>
        <v>-</v>
      </c>
      <c r="K1234" s="49"/>
    </row>
    <row r="1235" spans="1:11" x14ac:dyDescent="0.25">
      <c r="A1235" s="46" t="str" cm="1">
        <f t="array" ref="A1235">IFERROR(INDEX(#REF!,MATCH(TRUE,ISNUMBER(FIND(SUBSTITUTE(SUBSTITUTE(UPPER(#REF!)," ",""),":",": "),SUBSTITUTE(SUBSTITUTE(UPPER(S1235)," ",""),":",": "))),0)),"Undefined")</f>
        <v>Undefined</v>
      </c>
      <c r="B1235" s="42" t="str" cm="1">
        <f t="array" ref="B1235">IFERROR(INDEX({"URGENTE"},MATCH(TRUE,ISNUMBER(FIND(SUBSTITUTE(SUBSTITUTE(UPPER({"URGENTE"})," ",""),":",": "),SUBSTITUTE(SUBSTITUTE(UPPER(S1235)," ",""),":",": "))),0)),"-")</f>
        <v>-</v>
      </c>
      <c r="C1235" s="46" t="str" cm="1">
        <f t="array" ref="C1235">IFERROR(INDEX(#REF!,MATCH(TRUE,ISNUMBER(FIND(SUBSTITUTE(SUBSTITUTE(UPPER(#REF!)," ",""),":",": "),SUBSTITUTE(SUBSTITUTE(UPPER(S1235)," ",""),":",": "))),0)),"Não encontrado")</f>
        <v>Não encontrado</v>
      </c>
      <c r="D1235" s="46" t="str" cm="1">
        <f t="array" ref="D1235">IFERROR(INDEX(#REF!,MATCH(TRUE,ISNUMBER(FIND(SUBSTITUTE(SUBSTITUTE(UPPER(#REF!)," ",""),":",": "),SUBSTITUTE(SUBSTITUTE(UPPER(S1235)," ",""),":",": "))),0)),"Não encontrado")</f>
        <v>Não encontrado</v>
      </c>
      <c r="E1235" s="42" t="str" cm="1">
        <f t="array" ref="E1235">IFERROR(INDEX({"IMPEDITIVO"},MATCH(TRUE,ISNUMBER(FIND(SUBSTITUTE(SUBSTITUTE(UPPER({"IMPEDITIVO"})," ",""),":",": "),SUBSTITUTE(SUBSTITUTE(UPPER(S1235)," ",""),":",": "))),0)),"-")</f>
        <v>-</v>
      </c>
      <c r="K1235" s="49"/>
    </row>
    <row r="1236" spans="1:11" x14ac:dyDescent="0.25">
      <c r="A1236" s="46" t="str" cm="1">
        <f t="array" ref="A1236">IFERROR(INDEX(#REF!,MATCH(TRUE,ISNUMBER(FIND(SUBSTITUTE(SUBSTITUTE(UPPER(#REF!)," ",""),":",": "),SUBSTITUTE(SUBSTITUTE(UPPER(S1236)," ",""),":",": "))),0)),"Undefined")</f>
        <v>Undefined</v>
      </c>
      <c r="B1236" s="42" t="str" cm="1">
        <f t="array" ref="B1236">IFERROR(INDEX({"URGENTE"},MATCH(TRUE,ISNUMBER(FIND(SUBSTITUTE(SUBSTITUTE(UPPER({"URGENTE"})," ",""),":",": "),SUBSTITUTE(SUBSTITUTE(UPPER(S1236)," ",""),":",": "))),0)),"-")</f>
        <v>-</v>
      </c>
      <c r="C1236" s="46" t="str" cm="1">
        <f t="array" ref="C1236">IFERROR(INDEX(#REF!,MATCH(TRUE,ISNUMBER(FIND(SUBSTITUTE(SUBSTITUTE(UPPER(#REF!)," ",""),":",": "),SUBSTITUTE(SUBSTITUTE(UPPER(S1236)," ",""),":",": "))),0)),"Não encontrado")</f>
        <v>Não encontrado</v>
      </c>
      <c r="D1236" s="46" t="str" cm="1">
        <f t="array" ref="D1236">IFERROR(INDEX(#REF!,MATCH(TRUE,ISNUMBER(FIND(SUBSTITUTE(SUBSTITUTE(UPPER(#REF!)," ",""),":",": "),SUBSTITUTE(SUBSTITUTE(UPPER(S1236)," ",""),":",": "))),0)),"Não encontrado")</f>
        <v>Não encontrado</v>
      </c>
      <c r="E1236" s="42" t="str" cm="1">
        <f t="array" ref="E1236">IFERROR(INDEX({"IMPEDITIVO"},MATCH(TRUE,ISNUMBER(FIND(SUBSTITUTE(SUBSTITUTE(UPPER({"IMPEDITIVO"})," ",""),":",": "),SUBSTITUTE(SUBSTITUTE(UPPER(S1236)," ",""),":",": "))),0)),"-")</f>
        <v>-</v>
      </c>
      <c r="K1236" s="49"/>
    </row>
    <row r="1237" spans="1:11" x14ac:dyDescent="0.25">
      <c r="A1237" s="46" t="str" cm="1">
        <f t="array" ref="A1237">IFERROR(INDEX(#REF!,MATCH(TRUE,ISNUMBER(FIND(SUBSTITUTE(SUBSTITUTE(UPPER(#REF!)," ",""),":",": "),SUBSTITUTE(SUBSTITUTE(UPPER(S1237)," ",""),":",": "))),0)),"Undefined")</f>
        <v>Undefined</v>
      </c>
      <c r="B1237" s="42" t="str" cm="1">
        <f t="array" ref="B1237">IFERROR(INDEX({"URGENTE"},MATCH(TRUE,ISNUMBER(FIND(SUBSTITUTE(SUBSTITUTE(UPPER({"URGENTE"})," ",""),":",": "),SUBSTITUTE(SUBSTITUTE(UPPER(S1237)," ",""),":",": "))),0)),"-")</f>
        <v>-</v>
      </c>
      <c r="C1237" s="46" t="str" cm="1">
        <f t="array" ref="C1237">IFERROR(INDEX(#REF!,MATCH(TRUE,ISNUMBER(FIND(SUBSTITUTE(SUBSTITUTE(UPPER(#REF!)," ",""),":",": "),SUBSTITUTE(SUBSTITUTE(UPPER(S1237)," ",""),":",": "))),0)),"Não encontrado")</f>
        <v>Não encontrado</v>
      </c>
      <c r="D1237" s="46" t="str" cm="1">
        <f t="array" ref="D1237">IFERROR(INDEX(#REF!,MATCH(TRUE,ISNUMBER(FIND(SUBSTITUTE(SUBSTITUTE(UPPER(#REF!)," ",""),":",": "),SUBSTITUTE(SUBSTITUTE(UPPER(S1237)," ",""),":",": "))),0)),"Não encontrado")</f>
        <v>Não encontrado</v>
      </c>
      <c r="E1237" s="42" t="str" cm="1">
        <f t="array" ref="E1237">IFERROR(INDEX({"IMPEDITIVO"},MATCH(TRUE,ISNUMBER(FIND(SUBSTITUTE(SUBSTITUTE(UPPER({"IMPEDITIVO"})," ",""),":",": "),SUBSTITUTE(SUBSTITUTE(UPPER(S1237)," ",""),":",": "))),0)),"-")</f>
        <v>-</v>
      </c>
      <c r="K1237" s="49"/>
    </row>
    <row r="1238" spans="1:11" x14ac:dyDescent="0.25">
      <c r="A1238" s="46" t="str" cm="1">
        <f t="array" ref="A1238">IFERROR(INDEX(#REF!,MATCH(TRUE,ISNUMBER(FIND(SUBSTITUTE(SUBSTITUTE(UPPER(#REF!)," ",""),":",": "),SUBSTITUTE(SUBSTITUTE(UPPER(S1238)," ",""),":",": "))),0)),"Undefined")</f>
        <v>Undefined</v>
      </c>
      <c r="B1238" s="42" t="str" cm="1">
        <f t="array" ref="B1238">IFERROR(INDEX({"URGENTE"},MATCH(TRUE,ISNUMBER(FIND(SUBSTITUTE(SUBSTITUTE(UPPER({"URGENTE"})," ",""),":",": "),SUBSTITUTE(SUBSTITUTE(UPPER(S1238)," ",""),":",": "))),0)),"-")</f>
        <v>-</v>
      </c>
      <c r="C1238" s="46" t="str" cm="1">
        <f t="array" ref="C1238">IFERROR(INDEX(#REF!,MATCH(TRUE,ISNUMBER(FIND(SUBSTITUTE(SUBSTITUTE(UPPER(#REF!)," ",""),":",": "),SUBSTITUTE(SUBSTITUTE(UPPER(S1238)," ",""),":",": "))),0)),"Não encontrado")</f>
        <v>Não encontrado</v>
      </c>
      <c r="D1238" s="46" t="str" cm="1">
        <f t="array" ref="D1238">IFERROR(INDEX(#REF!,MATCH(TRUE,ISNUMBER(FIND(SUBSTITUTE(SUBSTITUTE(UPPER(#REF!)," ",""),":",": "),SUBSTITUTE(SUBSTITUTE(UPPER(S1238)," ",""),":",": "))),0)),"Não encontrado")</f>
        <v>Não encontrado</v>
      </c>
      <c r="E1238" s="42" t="str" cm="1">
        <f t="array" ref="E1238">IFERROR(INDEX({"IMPEDITIVO"},MATCH(TRUE,ISNUMBER(FIND(SUBSTITUTE(SUBSTITUTE(UPPER({"IMPEDITIVO"})," ",""),":",": "),SUBSTITUTE(SUBSTITUTE(UPPER(S1238)," ",""),":",": "))),0)),"-")</f>
        <v>-</v>
      </c>
      <c r="K1238" s="49"/>
    </row>
    <row r="1239" spans="1:11" x14ac:dyDescent="0.25">
      <c r="A1239" s="46" t="str" cm="1">
        <f t="array" ref="A1239">IFERROR(INDEX(#REF!,MATCH(TRUE,ISNUMBER(FIND(SUBSTITUTE(SUBSTITUTE(UPPER(#REF!)," ",""),":",": "),SUBSTITUTE(SUBSTITUTE(UPPER(S1239)," ",""),":",": "))),0)),"Undefined")</f>
        <v>Undefined</v>
      </c>
      <c r="B1239" s="42" t="str" cm="1">
        <f t="array" ref="B1239">IFERROR(INDEX({"URGENTE"},MATCH(TRUE,ISNUMBER(FIND(SUBSTITUTE(SUBSTITUTE(UPPER({"URGENTE"})," ",""),":",": "),SUBSTITUTE(SUBSTITUTE(UPPER(S1239)," ",""),":",": "))),0)),"-")</f>
        <v>-</v>
      </c>
      <c r="C1239" s="46" t="str" cm="1">
        <f t="array" ref="C1239">IFERROR(INDEX(#REF!,MATCH(TRUE,ISNUMBER(FIND(SUBSTITUTE(SUBSTITUTE(UPPER(#REF!)," ",""),":",": "),SUBSTITUTE(SUBSTITUTE(UPPER(S1239)," ",""),":",": "))),0)),"Não encontrado")</f>
        <v>Não encontrado</v>
      </c>
      <c r="D1239" s="46" t="str" cm="1">
        <f t="array" ref="D1239">IFERROR(INDEX(#REF!,MATCH(TRUE,ISNUMBER(FIND(SUBSTITUTE(SUBSTITUTE(UPPER(#REF!)," ",""),":",": "),SUBSTITUTE(SUBSTITUTE(UPPER(S1239)," ",""),":",": "))),0)),"Não encontrado")</f>
        <v>Não encontrado</v>
      </c>
      <c r="E1239" s="42" t="str" cm="1">
        <f t="array" ref="E1239">IFERROR(INDEX({"IMPEDITIVO"},MATCH(TRUE,ISNUMBER(FIND(SUBSTITUTE(SUBSTITUTE(UPPER({"IMPEDITIVO"})," ",""),":",": "),SUBSTITUTE(SUBSTITUTE(UPPER(S1239)," ",""),":",": "))),0)),"-")</f>
        <v>-</v>
      </c>
      <c r="K1239" s="49"/>
    </row>
    <row r="1240" spans="1:11" x14ac:dyDescent="0.25">
      <c r="A1240" s="46" t="str" cm="1">
        <f t="array" ref="A1240">IFERROR(INDEX(#REF!,MATCH(TRUE,ISNUMBER(FIND(SUBSTITUTE(SUBSTITUTE(UPPER(#REF!)," ",""),":",": "),SUBSTITUTE(SUBSTITUTE(UPPER(S1240)," ",""),":",": "))),0)),"Undefined")</f>
        <v>Undefined</v>
      </c>
      <c r="B1240" s="42" t="str" cm="1">
        <f t="array" ref="B1240">IFERROR(INDEX({"URGENTE"},MATCH(TRUE,ISNUMBER(FIND(SUBSTITUTE(SUBSTITUTE(UPPER({"URGENTE"})," ",""),":",": "),SUBSTITUTE(SUBSTITUTE(UPPER(S1240)," ",""),":",": "))),0)),"-")</f>
        <v>-</v>
      </c>
      <c r="C1240" s="46" t="str" cm="1">
        <f t="array" ref="C1240">IFERROR(INDEX(#REF!,MATCH(TRUE,ISNUMBER(FIND(SUBSTITUTE(SUBSTITUTE(UPPER(#REF!)," ",""),":",": "),SUBSTITUTE(SUBSTITUTE(UPPER(S1240)," ",""),":",": "))),0)),"Não encontrado")</f>
        <v>Não encontrado</v>
      </c>
      <c r="D1240" s="46" t="str" cm="1">
        <f t="array" ref="D1240">IFERROR(INDEX(#REF!,MATCH(TRUE,ISNUMBER(FIND(SUBSTITUTE(SUBSTITUTE(UPPER(#REF!)," ",""),":",": "),SUBSTITUTE(SUBSTITUTE(UPPER(S1240)," ",""),":",": "))),0)),"Não encontrado")</f>
        <v>Não encontrado</v>
      </c>
      <c r="E1240" s="42" t="str" cm="1">
        <f t="array" ref="E1240">IFERROR(INDEX({"IMPEDITIVO"},MATCH(TRUE,ISNUMBER(FIND(SUBSTITUTE(SUBSTITUTE(UPPER({"IMPEDITIVO"})," ",""),":",": "),SUBSTITUTE(SUBSTITUTE(UPPER(S1240)," ",""),":",": "))),0)),"-")</f>
        <v>-</v>
      </c>
      <c r="K1240" s="49"/>
    </row>
    <row r="1241" spans="1:11" x14ac:dyDescent="0.25">
      <c r="A1241" s="46" t="str" cm="1">
        <f t="array" ref="A1241">IFERROR(INDEX(#REF!,MATCH(TRUE,ISNUMBER(FIND(SUBSTITUTE(SUBSTITUTE(UPPER(#REF!)," ",""),":",": "),SUBSTITUTE(SUBSTITUTE(UPPER(S1241)," ",""),":",": "))),0)),"Undefined")</f>
        <v>Undefined</v>
      </c>
      <c r="B1241" s="42" t="str" cm="1">
        <f t="array" ref="B1241">IFERROR(INDEX({"URGENTE"},MATCH(TRUE,ISNUMBER(FIND(SUBSTITUTE(SUBSTITUTE(UPPER({"URGENTE"})," ",""),":",": "),SUBSTITUTE(SUBSTITUTE(UPPER(S1241)," ",""),":",": "))),0)),"-")</f>
        <v>-</v>
      </c>
      <c r="C1241" s="46" t="str" cm="1">
        <f t="array" ref="C1241">IFERROR(INDEX(#REF!,MATCH(TRUE,ISNUMBER(FIND(SUBSTITUTE(SUBSTITUTE(UPPER(#REF!)," ",""),":",": "),SUBSTITUTE(SUBSTITUTE(UPPER(S1241)," ",""),":",": "))),0)),"Não encontrado")</f>
        <v>Não encontrado</v>
      </c>
      <c r="D1241" s="46" t="str" cm="1">
        <f t="array" ref="D1241">IFERROR(INDEX(#REF!,MATCH(TRUE,ISNUMBER(FIND(SUBSTITUTE(SUBSTITUTE(UPPER(#REF!)," ",""),":",": "),SUBSTITUTE(SUBSTITUTE(UPPER(S1241)," ",""),":",": "))),0)),"Não encontrado")</f>
        <v>Não encontrado</v>
      </c>
      <c r="E1241" s="42" t="str" cm="1">
        <f t="array" ref="E1241">IFERROR(INDEX({"IMPEDITIVO"},MATCH(TRUE,ISNUMBER(FIND(SUBSTITUTE(SUBSTITUTE(UPPER({"IMPEDITIVO"})," ",""),":",": "),SUBSTITUTE(SUBSTITUTE(UPPER(S1241)," ",""),":",": "))),0)),"-")</f>
        <v>-</v>
      </c>
      <c r="K1241" s="49"/>
    </row>
    <row r="1242" spans="1:11" x14ac:dyDescent="0.25">
      <c r="A1242" s="46" t="str" cm="1">
        <f t="array" ref="A1242">IFERROR(INDEX(#REF!,MATCH(TRUE,ISNUMBER(FIND(SUBSTITUTE(SUBSTITUTE(UPPER(#REF!)," ",""),":",": "),SUBSTITUTE(SUBSTITUTE(UPPER(S1242)," ",""),":",": "))),0)),"Undefined")</f>
        <v>Undefined</v>
      </c>
      <c r="B1242" s="42" t="str" cm="1">
        <f t="array" ref="B1242">IFERROR(INDEX({"URGENTE"},MATCH(TRUE,ISNUMBER(FIND(SUBSTITUTE(SUBSTITUTE(UPPER({"URGENTE"})," ",""),":",": "),SUBSTITUTE(SUBSTITUTE(UPPER(S1242)," ",""),":",": "))),0)),"-")</f>
        <v>-</v>
      </c>
      <c r="C1242" s="46" t="str" cm="1">
        <f t="array" ref="C1242">IFERROR(INDEX(#REF!,MATCH(TRUE,ISNUMBER(FIND(SUBSTITUTE(SUBSTITUTE(UPPER(#REF!)," ",""),":",": "),SUBSTITUTE(SUBSTITUTE(UPPER(S1242)," ",""),":",": "))),0)),"Não encontrado")</f>
        <v>Não encontrado</v>
      </c>
      <c r="D1242" s="46" t="str" cm="1">
        <f t="array" ref="D1242">IFERROR(INDEX(#REF!,MATCH(TRUE,ISNUMBER(FIND(SUBSTITUTE(SUBSTITUTE(UPPER(#REF!)," ",""),":",": "),SUBSTITUTE(SUBSTITUTE(UPPER(S1242)," ",""),":",": "))),0)),"Não encontrado")</f>
        <v>Não encontrado</v>
      </c>
      <c r="E1242" s="42" t="str" cm="1">
        <f t="array" ref="E1242">IFERROR(INDEX({"IMPEDITIVO"},MATCH(TRUE,ISNUMBER(FIND(SUBSTITUTE(SUBSTITUTE(UPPER({"IMPEDITIVO"})," ",""),":",": "),SUBSTITUTE(SUBSTITUTE(UPPER(S1242)," ",""),":",": "))),0)),"-")</f>
        <v>-</v>
      </c>
      <c r="K1242" s="49"/>
    </row>
    <row r="1243" spans="1:11" x14ac:dyDescent="0.25">
      <c r="A1243" s="46" t="str" cm="1">
        <f t="array" ref="A1243">IFERROR(INDEX(#REF!,MATCH(TRUE,ISNUMBER(FIND(SUBSTITUTE(SUBSTITUTE(UPPER(#REF!)," ",""),":",": "),SUBSTITUTE(SUBSTITUTE(UPPER(S1243)," ",""),":",": "))),0)),"Undefined")</f>
        <v>Undefined</v>
      </c>
      <c r="B1243" s="42" t="str" cm="1">
        <f t="array" ref="B1243">IFERROR(INDEX({"URGENTE"},MATCH(TRUE,ISNUMBER(FIND(SUBSTITUTE(SUBSTITUTE(UPPER({"URGENTE"})," ",""),":",": "),SUBSTITUTE(SUBSTITUTE(UPPER(S1243)," ",""),":",": "))),0)),"-")</f>
        <v>-</v>
      </c>
      <c r="C1243" s="46" t="str" cm="1">
        <f t="array" ref="C1243">IFERROR(INDEX(#REF!,MATCH(TRUE,ISNUMBER(FIND(SUBSTITUTE(SUBSTITUTE(UPPER(#REF!)," ",""),":",": "),SUBSTITUTE(SUBSTITUTE(UPPER(S1243)," ",""),":",": "))),0)),"Não encontrado")</f>
        <v>Não encontrado</v>
      </c>
      <c r="D1243" s="46" t="str" cm="1">
        <f t="array" ref="D1243">IFERROR(INDEX(#REF!,MATCH(TRUE,ISNUMBER(FIND(SUBSTITUTE(SUBSTITUTE(UPPER(#REF!)," ",""),":",": "),SUBSTITUTE(SUBSTITUTE(UPPER(S1243)," ",""),":",": "))),0)),"Não encontrado")</f>
        <v>Não encontrado</v>
      </c>
      <c r="E1243" s="42" t="str" cm="1">
        <f t="array" ref="E1243">IFERROR(INDEX({"IMPEDITIVO"},MATCH(TRUE,ISNUMBER(FIND(SUBSTITUTE(SUBSTITUTE(UPPER({"IMPEDITIVO"})," ",""),":",": "),SUBSTITUTE(SUBSTITUTE(UPPER(S1243)," ",""),":",": "))),0)),"-")</f>
        <v>-</v>
      </c>
      <c r="K1243" s="49"/>
    </row>
    <row r="1244" spans="1:11" x14ac:dyDescent="0.25">
      <c r="A1244" s="46" t="str" cm="1">
        <f t="array" ref="A1244">IFERROR(INDEX(#REF!,MATCH(TRUE,ISNUMBER(FIND(SUBSTITUTE(SUBSTITUTE(UPPER(#REF!)," ",""),":",": "),SUBSTITUTE(SUBSTITUTE(UPPER(S1244)," ",""),":",": "))),0)),"Undefined")</f>
        <v>Undefined</v>
      </c>
      <c r="B1244" s="42" t="str" cm="1">
        <f t="array" ref="B1244">IFERROR(INDEX({"URGENTE"},MATCH(TRUE,ISNUMBER(FIND(SUBSTITUTE(SUBSTITUTE(UPPER({"URGENTE"})," ",""),":",": "),SUBSTITUTE(SUBSTITUTE(UPPER(S1244)," ",""),":",": "))),0)),"-")</f>
        <v>-</v>
      </c>
      <c r="C1244" s="46" t="str" cm="1">
        <f t="array" ref="C1244">IFERROR(INDEX(#REF!,MATCH(TRUE,ISNUMBER(FIND(SUBSTITUTE(SUBSTITUTE(UPPER(#REF!)," ",""),":",": "),SUBSTITUTE(SUBSTITUTE(UPPER(S1244)," ",""),":",": "))),0)),"Não encontrado")</f>
        <v>Não encontrado</v>
      </c>
      <c r="D1244" s="46" t="str" cm="1">
        <f t="array" ref="D1244">IFERROR(INDEX(#REF!,MATCH(TRUE,ISNUMBER(FIND(SUBSTITUTE(SUBSTITUTE(UPPER(#REF!)," ",""),":",": "),SUBSTITUTE(SUBSTITUTE(UPPER(S1244)," ",""),":",": "))),0)),"Não encontrado")</f>
        <v>Não encontrado</v>
      </c>
      <c r="E1244" s="42" t="str" cm="1">
        <f t="array" ref="E1244">IFERROR(INDEX({"IMPEDITIVO"},MATCH(TRUE,ISNUMBER(FIND(SUBSTITUTE(SUBSTITUTE(UPPER({"IMPEDITIVO"})," ",""),":",": "),SUBSTITUTE(SUBSTITUTE(UPPER(S1244)," ",""),":",": "))),0)),"-")</f>
        <v>-</v>
      </c>
      <c r="K1244" s="49"/>
    </row>
    <row r="1245" spans="1:11" x14ac:dyDescent="0.25">
      <c r="A1245" s="46" t="str" cm="1">
        <f t="array" ref="A1245">IFERROR(INDEX(#REF!,MATCH(TRUE,ISNUMBER(FIND(SUBSTITUTE(SUBSTITUTE(UPPER(#REF!)," ",""),":",": "),SUBSTITUTE(SUBSTITUTE(UPPER(S1245)," ",""),":",": "))),0)),"Undefined")</f>
        <v>Undefined</v>
      </c>
      <c r="B1245" s="42" t="str" cm="1">
        <f t="array" ref="B1245">IFERROR(INDEX({"URGENTE"},MATCH(TRUE,ISNUMBER(FIND(SUBSTITUTE(SUBSTITUTE(UPPER({"URGENTE"})," ",""),":",": "),SUBSTITUTE(SUBSTITUTE(UPPER(S1245)," ",""),":",": "))),0)),"-")</f>
        <v>-</v>
      </c>
      <c r="C1245" s="46" t="str" cm="1">
        <f t="array" ref="C1245">IFERROR(INDEX(#REF!,MATCH(TRUE,ISNUMBER(FIND(SUBSTITUTE(SUBSTITUTE(UPPER(#REF!)," ",""),":",": "),SUBSTITUTE(SUBSTITUTE(UPPER(S1245)," ",""),":",": "))),0)),"Não encontrado")</f>
        <v>Não encontrado</v>
      </c>
      <c r="D1245" s="46" t="str" cm="1">
        <f t="array" ref="D1245">IFERROR(INDEX(#REF!,MATCH(TRUE,ISNUMBER(FIND(SUBSTITUTE(SUBSTITUTE(UPPER(#REF!)," ",""),":",": "),SUBSTITUTE(SUBSTITUTE(UPPER(S1245)," ",""),":",": "))),0)),"Não encontrado")</f>
        <v>Não encontrado</v>
      </c>
      <c r="E1245" s="42" t="str" cm="1">
        <f t="array" ref="E1245">IFERROR(INDEX({"IMPEDITIVO"},MATCH(TRUE,ISNUMBER(FIND(SUBSTITUTE(SUBSTITUTE(UPPER({"IMPEDITIVO"})," ",""),":",": "),SUBSTITUTE(SUBSTITUTE(UPPER(S1245)," ",""),":",": "))),0)),"-")</f>
        <v>-</v>
      </c>
      <c r="K1245" s="49"/>
    </row>
    <row r="1246" spans="1:11" x14ac:dyDescent="0.25">
      <c r="A1246" s="46" t="str" cm="1">
        <f t="array" ref="A1246">IFERROR(INDEX(#REF!,MATCH(TRUE,ISNUMBER(FIND(SUBSTITUTE(SUBSTITUTE(UPPER(#REF!)," ",""),":",": "),SUBSTITUTE(SUBSTITUTE(UPPER(S1246)," ",""),":",": "))),0)),"Undefined")</f>
        <v>Undefined</v>
      </c>
      <c r="B1246" s="42" t="str" cm="1">
        <f t="array" ref="B1246">IFERROR(INDEX({"URGENTE"},MATCH(TRUE,ISNUMBER(FIND(SUBSTITUTE(SUBSTITUTE(UPPER({"URGENTE"})," ",""),":",": "),SUBSTITUTE(SUBSTITUTE(UPPER(S1246)," ",""),":",": "))),0)),"-")</f>
        <v>-</v>
      </c>
      <c r="C1246" s="46" t="str" cm="1">
        <f t="array" ref="C1246">IFERROR(INDEX(#REF!,MATCH(TRUE,ISNUMBER(FIND(SUBSTITUTE(SUBSTITUTE(UPPER(#REF!)," ",""),":",": "),SUBSTITUTE(SUBSTITUTE(UPPER(S1246)," ",""),":",": "))),0)),"Não encontrado")</f>
        <v>Não encontrado</v>
      </c>
      <c r="D1246" s="46" t="str" cm="1">
        <f t="array" ref="D1246">IFERROR(INDEX(#REF!,MATCH(TRUE,ISNUMBER(FIND(SUBSTITUTE(SUBSTITUTE(UPPER(#REF!)," ",""),":",": "),SUBSTITUTE(SUBSTITUTE(UPPER(S1246)," ",""),":",": "))),0)),"Não encontrado")</f>
        <v>Não encontrado</v>
      </c>
      <c r="E1246" s="42" t="str" cm="1">
        <f t="array" ref="E1246">IFERROR(INDEX({"IMPEDITIVO"},MATCH(TRUE,ISNUMBER(FIND(SUBSTITUTE(SUBSTITUTE(UPPER({"IMPEDITIVO"})," ",""),":",": "),SUBSTITUTE(SUBSTITUTE(UPPER(S1246)," ",""),":",": "))),0)),"-")</f>
        <v>-</v>
      </c>
      <c r="K1246" s="49"/>
    </row>
    <row r="1247" spans="1:11" x14ac:dyDescent="0.25">
      <c r="A1247" s="46" t="str" cm="1">
        <f t="array" ref="A1247">IFERROR(INDEX(#REF!,MATCH(TRUE,ISNUMBER(FIND(SUBSTITUTE(SUBSTITUTE(UPPER(#REF!)," ",""),":",": "),SUBSTITUTE(SUBSTITUTE(UPPER(S1247)," ",""),":",": "))),0)),"Undefined")</f>
        <v>Undefined</v>
      </c>
      <c r="B1247" s="42" t="str" cm="1">
        <f t="array" ref="B1247">IFERROR(INDEX({"URGENTE"},MATCH(TRUE,ISNUMBER(FIND(SUBSTITUTE(SUBSTITUTE(UPPER({"URGENTE"})," ",""),":",": "),SUBSTITUTE(SUBSTITUTE(UPPER(S1247)," ",""),":",": "))),0)),"-")</f>
        <v>-</v>
      </c>
      <c r="C1247" s="46" t="str" cm="1">
        <f t="array" ref="C1247">IFERROR(INDEX(#REF!,MATCH(TRUE,ISNUMBER(FIND(SUBSTITUTE(SUBSTITUTE(UPPER(#REF!)," ",""),":",": "),SUBSTITUTE(SUBSTITUTE(UPPER(S1247)," ",""),":",": "))),0)),"Não encontrado")</f>
        <v>Não encontrado</v>
      </c>
      <c r="D1247" s="46" t="str" cm="1">
        <f t="array" ref="D1247">IFERROR(INDEX(#REF!,MATCH(TRUE,ISNUMBER(FIND(SUBSTITUTE(SUBSTITUTE(UPPER(#REF!)," ",""),":",": "),SUBSTITUTE(SUBSTITUTE(UPPER(S1247)," ",""),":",": "))),0)),"Não encontrado")</f>
        <v>Não encontrado</v>
      </c>
      <c r="E1247" s="42" t="str" cm="1">
        <f t="array" ref="E1247">IFERROR(INDEX({"IMPEDITIVO"},MATCH(TRUE,ISNUMBER(FIND(SUBSTITUTE(SUBSTITUTE(UPPER({"IMPEDITIVO"})," ",""),":",": "),SUBSTITUTE(SUBSTITUTE(UPPER(S1247)," ",""),":",": "))),0)),"-")</f>
        <v>-</v>
      </c>
      <c r="K1247" s="49"/>
    </row>
    <row r="1248" spans="1:11" x14ac:dyDescent="0.25">
      <c r="A1248" s="46" t="str" cm="1">
        <f t="array" ref="A1248">IFERROR(INDEX(#REF!,MATCH(TRUE,ISNUMBER(FIND(SUBSTITUTE(SUBSTITUTE(UPPER(#REF!)," ",""),":",": "),SUBSTITUTE(SUBSTITUTE(UPPER(S1248)," ",""),":",": "))),0)),"Undefined")</f>
        <v>Undefined</v>
      </c>
      <c r="B1248" s="42" t="str" cm="1">
        <f t="array" ref="B1248">IFERROR(INDEX({"URGENTE"},MATCH(TRUE,ISNUMBER(FIND(SUBSTITUTE(SUBSTITUTE(UPPER({"URGENTE"})," ",""),":",": "),SUBSTITUTE(SUBSTITUTE(UPPER(S1248)," ",""),":",": "))),0)),"-")</f>
        <v>-</v>
      </c>
      <c r="C1248" s="46" t="str" cm="1">
        <f t="array" ref="C1248">IFERROR(INDEX(#REF!,MATCH(TRUE,ISNUMBER(FIND(SUBSTITUTE(SUBSTITUTE(UPPER(#REF!)," ",""),":",": "),SUBSTITUTE(SUBSTITUTE(UPPER(S1248)," ",""),":",": "))),0)),"Não encontrado")</f>
        <v>Não encontrado</v>
      </c>
      <c r="D1248" s="46" t="str" cm="1">
        <f t="array" ref="D1248">IFERROR(INDEX(#REF!,MATCH(TRUE,ISNUMBER(FIND(SUBSTITUTE(SUBSTITUTE(UPPER(#REF!)," ",""),":",": "),SUBSTITUTE(SUBSTITUTE(UPPER(S1248)," ",""),":",": "))),0)),"Não encontrado")</f>
        <v>Não encontrado</v>
      </c>
      <c r="E1248" s="42" t="str" cm="1">
        <f t="array" ref="E1248">IFERROR(INDEX({"IMPEDITIVO"},MATCH(TRUE,ISNUMBER(FIND(SUBSTITUTE(SUBSTITUTE(UPPER({"IMPEDITIVO"})," ",""),":",": "),SUBSTITUTE(SUBSTITUTE(UPPER(S1248)," ",""),":",": "))),0)),"-")</f>
        <v>-</v>
      </c>
      <c r="K1248" s="49"/>
    </row>
    <row r="1249" spans="1:11" x14ac:dyDescent="0.25">
      <c r="A1249" s="46" t="str" cm="1">
        <f t="array" ref="A1249">IFERROR(INDEX(#REF!,MATCH(TRUE,ISNUMBER(FIND(SUBSTITUTE(SUBSTITUTE(UPPER(#REF!)," ",""),":",": "),SUBSTITUTE(SUBSTITUTE(UPPER(S1249)," ",""),":",": "))),0)),"Undefined")</f>
        <v>Undefined</v>
      </c>
      <c r="B1249" s="42" t="str" cm="1">
        <f t="array" ref="B1249">IFERROR(INDEX({"URGENTE"},MATCH(TRUE,ISNUMBER(FIND(SUBSTITUTE(SUBSTITUTE(UPPER({"URGENTE"})," ",""),":",": "),SUBSTITUTE(SUBSTITUTE(UPPER(S1249)," ",""),":",": "))),0)),"-")</f>
        <v>-</v>
      </c>
      <c r="C1249" s="46" t="str" cm="1">
        <f t="array" ref="C1249">IFERROR(INDEX(#REF!,MATCH(TRUE,ISNUMBER(FIND(SUBSTITUTE(SUBSTITUTE(UPPER(#REF!)," ",""),":",": "),SUBSTITUTE(SUBSTITUTE(UPPER(S1249)," ",""),":",": "))),0)),"Não encontrado")</f>
        <v>Não encontrado</v>
      </c>
      <c r="D1249" s="46" t="str" cm="1">
        <f t="array" ref="D1249">IFERROR(INDEX(#REF!,MATCH(TRUE,ISNUMBER(FIND(SUBSTITUTE(SUBSTITUTE(UPPER(#REF!)," ",""),":",": "),SUBSTITUTE(SUBSTITUTE(UPPER(S1249)," ",""),":",": "))),0)),"Não encontrado")</f>
        <v>Não encontrado</v>
      </c>
      <c r="E1249" s="42" t="str" cm="1">
        <f t="array" ref="E1249">IFERROR(INDEX({"IMPEDITIVO"},MATCH(TRUE,ISNUMBER(FIND(SUBSTITUTE(SUBSTITUTE(UPPER({"IMPEDITIVO"})," ",""),":",": "),SUBSTITUTE(SUBSTITUTE(UPPER(S1249)," ",""),":",": "))),0)),"-")</f>
        <v>-</v>
      </c>
      <c r="K1249" s="49"/>
    </row>
    <row r="1250" spans="1:11" x14ac:dyDescent="0.25">
      <c r="A1250" s="46" t="str" cm="1">
        <f t="array" ref="A1250">IFERROR(INDEX(#REF!,MATCH(TRUE,ISNUMBER(FIND(SUBSTITUTE(SUBSTITUTE(UPPER(#REF!)," ",""),":",": "),SUBSTITUTE(SUBSTITUTE(UPPER(S1250)," ",""),":",": "))),0)),"Undefined")</f>
        <v>Undefined</v>
      </c>
      <c r="B1250" s="42" t="str" cm="1">
        <f t="array" ref="B1250">IFERROR(INDEX({"URGENTE"},MATCH(TRUE,ISNUMBER(FIND(SUBSTITUTE(SUBSTITUTE(UPPER({"URGENTE"})," ",""),":",": "),SUBSTITUTE(SUBSTITUTE(UPPER(S1250)," ",""),":",": "))),0)),"-")</f>
        <v>-</v>
      </c>
      <c r="C1250" s="46" t="str" cm="1">
        <f t="array" ref="C1250">IFERROR(INDEX(#REF!,MATCH(TRUE,ISNUMBER(FIND(SUBSTITUTE(SUBSTITUTE(UPPER(#REF!)," ",""),":",": "),SUBSTITUTE(SUBSTITUTE(UPPER(S1250)," ",""),":",": "))),0)),"Não encontrado")</f>
        <v>Não encontrado</v>
      </c>
      <c r="D1250" s="46" t="str" cm="1">
        <f t="array" ref="D1250">IFERROR(INDEX(#REF!,MATCH(TRUE,ISNUMBER(FIND(SUBSTITUTE(SUBSTITUTE(UPPER(#REF!)," ",""),":",": "),SUBSTITUTE(SUBSTITUTE(UPPER(S1250)," ",""),":",": "))),0)),"Não encontrado")</f>
        <v>Não encontrado</v>
      </c>
      <c r="E1250" s="42" t="str" cm="1">
        <f t="array" ref="E1250">IFERROR(INDEX({"IMPEDITIVO"},MATCH(TRUE,ISNUMBER(FIND(SUBSTITUTE(SUBSTITUTE(UPPER({"IMPEDITIVO"})," ",""),":",": "),SUBSTITUTE(SUBSTITUTE(UPPER(S1250)," ",""),":",": "))),0)),"-")</f>
        <v>-</v>
      </c>
      <c r="K1250" s="49"/>
    </row>
    <row r="1251" spans="1:11" x14ac:dyDescent="0.25">
      <c r="A1251" s="46" t="str" cm="1">
        <f t="array" ref="A1251">IFERROR(INDEX(#REF!,MATCH(TRUE,ISNUMBER(FIND(SUBSTITUTE(SUBSTITUTE(UPPER(#REF!)," ",""),":",": "),SUBSTITUTE(SUBSTITUTE(UPPER(S1251)," ",""),":",": "))),0)),"Undefined")</f>
        <v>Undefined</v>
      </c>
      <c r="B1251" s="42" t="str" cm="1">
        <f t="array" ref="B1251">IFERROR(INDEX({"URGENTE"},MATCH(TRUE,ISNUMBER(FIND(SUBSTITUTE(SUBSTITUTE(UPPER({"URGENTE"})," ",""),":",": "),SUBSTITUTE(SUBSTITUTE(UPPER(S1251)," ",""),":",": "))),0)),"-")</f>
        <v>-</v>
      </c>
      <c r="C1251" s="46" t="str" cm="1">
        <f t="array" ref="C1251">IFERROR(INDEX(#REF!,MATCH(TRUE,ISNUMBER(FIND(SUBSTITUTE(SUBSTITUTE(UPPER(#REF!)," ",""),":",": "),SUBSTITUTE(SUBSTITUTE(UPPER(S1251)," ",""),":",": "))),0)),"Não encontrado")</f>
        <v>Não encontrado</v>
      </c>
      <c r="D1251" s="46" t="str" cm="1">
        <f t="array" ref="D1251">IFERROR(INDEX(#REF!,MATCH(TRUE,ISNUMBER(FIND(SUBSTITUTE(SUBSTITUTE(UPPER(#REF!)," ",""),":",": "),SUBSTITUTE(SUBSTITUTE(UPPER(S1251)," ",""),":",": "))),0)),"Não encontrado")</f>
        <v>Não encontrado</v>
      </c>
      <c r="E1251" s="42" t="str" cm="1">
        <f t="array" ref="E1251">IFERROR(INDEX({"IMPEDITIVO"},MATCH(TRUE,ISNUMBER(FIND(SUBSTITUTE(SUBSTITUTE(UPPER({"IMPEDITIVO"})," ",""),":",": "),SUBSTITUTE(SUBSTITUTE(UPPER(S1251)," ",""),":",": "))),0)),"-")</f>
        <v>-</v>
      </c>
      <c r="K1251" s="49"/>
    </row>
    <row r="1252" spans="1:11" x14ac:dyDescent="0.25">
      <c r="A1252" s="46" t="str" cm="1">
        <f t="array" ref="A1252">IFERROR(INDEX(#REF!,MATCH(TRUE,ISNUMBER(FIND(SUBSTITUTE(SUBSTITUTE(UPPER(#REF!)," ",""),":",": "),SUBSTITUTE(SUBSTITUTE(UPPER(S1252)," ",""),":",": "))),0)),"Undefined")</f>
        <v>Undefined</v>
      </c>
      <c r="B1252" s="42" t="str" cm="1">
        <f t="array" ref="B1252">IFERROR(INDEX({"URGENTE"},MATCH(TRUE,ISNUMBER(FIND(SUBSTITUTE(SUBSTITUTE(UPPER({"URGENTE"})," ",""),":",": "),SUBSTITUTE(SUBSTITUTE(UPPER(S1252)," ",""),":",": "))),0)),"-")</f>
        <v>-</v>
      </c>
      <c r="C1252" s="46" t="str" cm="1">
        <f t="array" ref="C1252">IFERROR(INDEX(#REF!,MATCH(TRUE,ISNUMBER(FIND(SUBSTITUTE(SUBSTITUTE(UPPER(#REF!)," ",""),":",": "),SUBSTITUTE(SUBSTITUTE(UPPER(S1252)," ",""),":",": "))),0)),"Não encontrado")</f>
        <v>Não encontrado</v>
      </c>
      <c r="D1252" s="46" t="str" cm="1">
        <f t="array" ref="D1252">IFERROR(INDEX(#REF!,MATCH(TRUE,ISNUMBER(FIND(SUBSTITUTE(SUBSTITUTE(UPPER(#REF!)," ",""),":",": "),SUBSTITUTE(SUBSTITUTE(UPPER(S1252)," ",""),":",": "))),0)),"Não encontrado")</f>
        <v>Não encontrado</v>
      </c>
      <c r="E1252" s="42" t="str" cm="1">
        <f t="array" ref="E1252">IFERROR(INDEX({"IMPEDITIVO"},MATCH(TRUE,ISNUMBER(FIND(SUBSTITUTE(SUBSTITUTE(UPPER({"IMPEDITIVO"})," ",""),":",": "),SUBSTITUTE(SUBSTITUTE(UPPER(S1252)," ",""),":",": "))),0)),"-")</f>
        <v>-</v>
      </c>
      <c r="K1252" s="49"/>
    </row>
    <row r="1253" spans="1:11" x14ac:dyDescent="0.25">
      <c r="A1253" s="46" t="str" cm="1">
        <f t="array" ref="A1253">IFERROR(INDEX(#REF!,MATCH(TRUE,ISNUMBER(FIND(SUBSTITUTE(SUBSTITUTE(UPPER(#REF!)," ",""),":",": "),SUBSTITUTE(SUBSTITUTE(UPPER(S1253)," ",""),":",": "))),0)),"Undefined")</f>
        <v>Undefined</v>
      </c>
      <c r="B1253" s="42" t="str" cm="1">
        <f t="array" ref="B1253">IFERROR(INDEX({"URGENTE"},MATCH(TRUE,ISNUMBER(FIND(SUBSTITUTE(SUBSTITUTE(UPPER({"URGENTE"})," ",""),":",": "),SUBSTITUTE(SUBSTITUTE(UPPER(S1253)," ",""),":",": "))),0)),"-")</f>
        <v>-</v>
      </c>
      <c r="C1253" s="46" t="str" cm="1">
        <f t="array" ref="C1253">IFERROR(INDEX(#REF!,MATCH(TRUE,ISNUMBER(FIND(SUBSTITUTE(SUBSTITUTE(UPPER(#REF!)," ",""),":",": "),SUBSTITUTE(SUBSTITUTE(UPPER(S1253)," ",""),":",": "))),0)),"Não encontrado")</f>
        <v>Não encontrado</v>
      </c>
      <c r="D1253" s="46" t="str" cm="1">
        <f t="array" ref="D1253">IFERROR(INDEX(#REF!,MATCH(TRUE,ISNUMBER(FIND(SUBSTITUTE(SUBSTITUTE(UPPER(#REF!)," ",""),":",": "),SUBSTITUTE(SUBSTITUTE(UPPER(S1253)," ",""),":",": "))),0)),"Não encontrado")</f>
        <v>Não encontrado</v>
      </c>
      <c r="E1253" s="42" t="str" cm="1">
        <f t="array" ref="E1253">IFERROR(INDEX({"IMPEDITIVO"},MATCH(TRUE,ISNUMBER(FIND(SUBSTITUTE(SUBSTITUTE(UPPER({"IMPEDITIVO"})," ",""),":",": "),SUBSTITUTE(SUBSTITUTE(UPPER(S1253)," ",""),":",": "))),0)),"-")</f>
        <v>-</v>
      </c>
      <c r="K1253" s="49"/>
    </row>
    <row r="1254" spans="1:11" x14ac:dyDescent="0.25">
      <c r="A1254" s="46" t="str" cm="1">
        <f t="array" ref="A1254">IFERROR(INDEX(#REF!,MATCH(TRUE,ISNUMBER(FIND(SUBSTITUTE(SUBSTITUTE(UPPER(#REF!)," ",""),":",": "),SUBSTITUTE(SUBSTITUTE(UPPER(S1254)," ",""),":",": "))),0)),"Undefined")</f>
        <v>Undefined</v>
      </c>
      <c r="B1254" s="42" t="str" cm="1">
        <f t="array" ref="B1254">IFERROR(INDEX({"URGENTE"},MATCH(TRUE,ISNUMBER(FIND(SUBSTITUTE(SUBSTITUTE(UPPER({"URGENTE"})," ",""),":",": "),SUBSTITUTE(SUBSTITUTE(UPPER(S1254)," ",""),":",": "))),0)),"-")</f>
        <v>-</v>
      </c>
      <c r="C1254" s="46" t="str" cm="1">
        <f t="array" ref="C1254">IFERROR(INDEX(#REF!,MATCH(TRUE,ISNUMBER(FIND(SUBSTITUTE(SUBSTITUTE(UPPER(#REF!)," ",""),":",": "),SUBSTITUTE(SUBSTITUTE(UPPER(S1254)," ",""),":",": "))),0)),"Não encontrado")</f>
        <v>Não encontrado</v>
      </c>
      <c r="D1254" s="46" t="str" cm="1">
        <f t="array" ref="D1254">IFERROR(INDEX(#REF!,MATCH(TRUE,ISNUMBER(FIND(SUBSTITUTE(SUBSTITUTE(UPPER(#REF!)," ",""),":",": "),SUBSTITUTE(SUBSTITUTE(UPPER(S1254)," ",""),":",": "))),0)),"Não encontrado")</f>
        <v>Não encontrado</v>
      </c>
      <c r="E1254" s="42" t="str" cm="1">
        <f t="array" ref="E1254">IFERROR(INDEX({"IMPEDITIVO"},MATCH(TRUE,ISNUMBER(FIND(SUBSTITUTE(SUBSTITUTE(UPPER({"IMPEDITIVO"})," ",""),":",": "),SUBSTITUTE(SUBSTITUTE(UPPER(S1254)," ",""),":",": "))),0)),"-")</f>
        <v>-</v>
      </c>
      <c r="K1254" s="49"/>
    </row>
    <row r="1255" spans="1:11" x14ac:dyDescent="0.25">
      <c r="A1255" s="46" t="str" cm="1">
        <f t="array" ref="A1255">IFERROR(INDEX(#REF!,MATCH(TRUE,ISNUMBER(FIND(SUBSTITUTE(SUBSTITUTE(UPPER(#REF!)," ",""),":",": "),SUBSTITUTE(SUBSTITUTE(UPPER(S1255)," ",""),":",": "))),0)),"Undefined")</f>
        <v>Undefined</v>
      </c>
      <c r="B1255" s="42" t="str" cm="1">
        <f t="array" ref="B1255">IFERROR(INDEX({"URGENTE"},MATCH(TRUE,ISNUMBER(FIND(SUBSTITUTE(SUBSTITUTE(UPPER({"URGENTE"})," ",""),":",": "),SUBSTITUTE(SUBSTITUTE(UPPER(S1255)," ",""),":",": "))),0)),"-")</f>
        <v>-</v>
      </c>
      <c r="C1255" s="46" t="str" cm="1">
        <f t="array" ref="C1255">IFERROR(INDEX(#REF!,MATCH(TRUE,ISNUMBER(FIND(SUBSTITUTE(SUBSTITUTE(UPPER(#REF!)," ",""),":",": "),SUBSTITUTE(SUBSTITUTE(UPPER(S1255)," ",""),":",": "))),0)),"Não encontrado")</f>
        <v>Não encontrado</v>
      </c>
      <c r="D1255" s="46" t="str" cm="1">
        <f t="array" ref="D1255">IFERROR(INDEX(#REF!,MATCH(TRUE,ISNUMBER(FIND(SUBSTITUTE(SUBSTITUTE(UPPER(#REF!)," ",""),":",": "),SUBSTITUTE(SUBSTITUTE(UPPER(S1255)," ",""),":",": "))),0)),"Não encontrado")</f>
        <v>Não encontrado</v>
      </c>
      <c r="E1255" s="42" t="str" cm="1">
        <f t="array" ref="E1255">IFERROR(INDEX({"IMPEDITIVO"},MATCH(TRUE,ISNUMBER(FIND(SUBSTITUTE(SUBSTITUTE(UPPER({"IMPEDITIVO"})," ",""),":",": "),SUBSTITUTE(SUBSTITUTE(UPPER(S1255)," ",""),":",": "))),0)),"-")</f>
        <v>-</v>
      </c>
      <c r="K1255" s="49"/>
    </row>
    <row r="1256" spans="1:11" x14ac:dyDescent="0.25">
      <c r="A1256" s="46" t="str" cm="1">
        <f t="array" ref="A1256">IFERROR(INDEX(#REF!,MATCH(TRUE,ISNUMBER(FIND(SUBSTITUTE(SUBSTITUTE(UPPER(#REF!)," ",""),":",": "),SUBSTITUTE(SUBSTITUTE(UPPER(S1256)," ",""),":",": "))),0)),"Undefined")</f>
        <v>Undefined</v>
      </c>
      <c r="B1256" s="42" t="str" cm="1">
        <f t="array" ref="B1256">IFERROR(INDEX({"URGENTE"},MATCH(TRUE,ISNUMBER(FIND(SUBSTITUTE(SUBSTITUTE(UPPER({"URGENTE"})," ",""),":",": "),SUBSTITUTE(SUBSTITUTE(UPPER(S1256)," ",""),":",": "))),0)),"-")</f>
        <v>-</v>
      </c>
      <c r="C1256" s="46" t="str" cm="1">
        <f t="array" ref="C1256">IFERROR(INDEX(#REF!,MATCH(TRUE,ISNUMBER(FIND(SUBSTITUTE(SUBSTITUTE(UPPER(#REF!)," ",""),":",": "),SUBSTITUTE(SUBSTITUTE(UPPER(S1256)," ",""),":",": "))),0)),"Não encontrado")</f>
        <v>Não encontrado</v>
      </c>
      <c r="D1256" s="46" t="str" cm="1">
        <f t="array" ref="D1256">IFERROR(INDEX(#REF!,MATCH(TRUE,ISNUMBER(FIND(SUBSTITUTE(SUBSTITUTE(UPPER(#REF!)," ",""),":",": "),SUBSTITUTE(SUBSTITUTE(UPPER(S1256)," ",""),":",": "))),0)),"Não encontrado")</f>
        <v>Não encontrado</v>
      </c>
      <c r="E1256" s="42" t="str" cm="1">
        <f t="array" ref="E1256">IFERROR(INDEX({"IMPEDITIVO"},MATCH(TRUE,ISNUMBER(FIND(SUBSTITUTE(SUBSTITUTE(UPPER({"IMPEDITIVO"})," ",""),":",": "),SUBSTITUTE(SUBSTITUTE(UPPER(S1256)," ",""),":",": "))),0)),"-")</f>
        <v>-</v>
      </c>
      <c r="K1256" s="49"/>
    </row>
    <row r="1257" spans="1:11" x14ac:dyDescent="0.25">
      <c r="A1257" s="46" t="str" cm="1">
        <f t="array" ref="A1257">IFERROR(INDEX(#REF!,MATCH(TRUE,ISNUMBER(FIND(SUBSTITUTE(SUBSTITUTE(UPPER(#REF!)," ",""),":",": "),SUBSTITUTE(SUBSTITUTE(UPPER(S1257)," ",""),":",": "))),0)),"Undefined")</f>
        <v>Undefined</v>
      </c>
      <c r="B1257" s="42" t="str" cm="1">
        <f t="array" ref="B1257">IFERROR(INDEX({"URGENTE"},MATCH(TRUE,ISNUMBER(FIND(SUBSTITUTE(SUBSTITUTE(UPPER({"URGENTE"})," ",""),":",": "),SUBSTITUTE(SUBSTITUTE(UPPER(S1257)," ",""),":",": "))),0)),"-")</f>
        <v>-</v>
      </c>
      <c r="C1257" s="46" t="str" cm="1">
        <f t="array" ref="C1257">IFERROR(INDEX(#REF!,MATCH(TRUE,ISNUMBER(FIND(SUBSTITUTE(SUBSTITUTE(UPPER(#REF!)," ",""),":",": "),SUBSTITUTE(SUBSTITUTE(UPPER(S1257)," ",""),":",": "))),0)),"Não encontrado")</f>
        <v>Não encontrado</v>
      </c>
      <c r="D1257" s="46" t="str" cm="1">
        <f t="array" ref="D1257">IFERROR(INDEX(#REF!,MATCH(TRUE,ISNUMBER(FIND(SUBSTITUTE(SUBSTITUTE(UPPER(#REF!)," ",""),":",": "),SUBSTITUTE(SUBSTITUTE(UPPER(S1257)," ",""),":",": "))),0)),"Não encontrado")</f>
        <v>Não encontrado</v>
      </c>
      <c r="E1257" s="42" t="str" cm="1">
        <f t="array" ref="E1257">IFERROR(INDEX({"IMPEDITIVO"},MATCH(TRUE,ISNUMBER(FIND(SUBSTITUTE(SUBSTITUTE(UPPER({"IMPEDITIVO"})," ",""),":",": "),SUBSTITUTE(SUBSTITUTE(UPPER(S1257)," ",""),":",": "))),0)),"-")</f>
        <v>-</v>
      </c>
      <c r="K1257" s="49"/>
    </row>
    <row r="1258" spans="1:11" x14ac:dyDescent="0.25">
      <c r="A1258" s="46" t="str" cm="1">
        <f t="array" ref="A1258">IFERROR(INDEX(#REF!,MATCH(TRUE,ISNUMBER(FIND(SUBSTITUTE(SUBSTITUTE(UPPER(#REF!)," ",""),":",": "),SUBSTITUTE(SUBSTITUTE(UPPER(S1258)," ",""),":",": "))),0)),"Undefined")</f>
        <v>Undefined</v>
      </c>
      <c r="B1258" s="42" t="str" cm="1">
        <f t="array" ref="B1258">IFERROR(INDEX({"URGENTE"},MATCH(TRUE,ISNUMBER(FIND(SUBSTITUTE(SUBSTITUTE(UPPER({"URGENTE"})," ",""),":",": "),SUBSTITUTE(SUBSTITUTE(UPPER(S1258)," ",""),":",": "))),0)),"-")</f>
        <v>-</v>
      </c>
      <c r="C1258" s="46" t="str" cm="1">
        <f t="array" ref="C1258">IFERROR(INDEX(#REF!,MATCH(TRUE,ISNUMBER(FIND(SUBSTITUTE(SUBSTITUTE(UPPER(#REF!)," ",""),":",": "),SUBSTITUTE(SUBSTITUTE(UPPER(S1258)," ",""),":",": "))),0)),"Não encontrado")</f>
        <v>Não encontrado</v>
      </c>
      <c r="D1258" s="46" t="str" cm="1">
        <f t="array" ref="D1258">IFERROR(INDEX(#REF!,MATCH(TRUE,ISNUMBER(FIND(SUBSTITUTE(SUBSTITUTE(UPPER(#REF!)," ",""),":",": "),SUBSTITUTE(SUBSTITUTE(UPPER(S1258)," ",""),":",": "))),0)),"Não encontrado")</f>
        <v>Não encontrado</v>
      </c>
      <c r="E1258" s="42" t="str" cm="1">
        <f t="array" ref="E1258">IFERROR(INDEX({"IMPEDITIVO"},MATCH(TRUE,ISNUMBER(FIND(SUBSTITUTE(SUBSTITUTE(UPPER({"IMPEDITIVO"})," ",""),":",": "),SUBSTITUTE(SUBSTITUTE(UPPER(S1258)," ",""),":",": "))),0)),"-")</f>
        <v>-</v>
      </c>
      <c r="K1258" s="49"/>
    </row>
    <row r="1259" spans="1:11" x14ac:dyDescent="0.25">
      <c r="A1259" s="46" t="str" cm="1">
        <f t="array" ref="A1259">IFERROR(INDEX(#REF!,MATCH(TRUE,ISNUMBER(FIND(SUBSTITUTE(SUBSTITUTE(UPPER(#REF!)," ",""),":",": "),SUBSTITUTE(SUBSTITUTE(UPPER(S1259)," ",""),":",": "))),0)),"Undefined")</f>
        <v>Undefined</v>
      </c>
      <c r="B1259" s="42" t="str" cm="1">
        <f t="array" ref="B1259">IFERROR(INDEX({"URGENTE"},MATCH(TRUE,ISNUMBER(FIND(SUBSTITUTE(SUBSTITUTE(UPPER({"URGENTE"})," ",""),":",": "),SUBSTITUTE(SUBSTITUTE(UPPER(S1259)," ",""),":",": "))),0)),"-")</f>
        <v>-</v>
      </c>
      <c r="C1259" s="46" t="str" cm="1">
        <f t="array" ref="C1259">IFERROR(INDEX(#REF!,MATCH(TRUE,ISNUMBER(FIND(SUBSTITUTE(SUBSTITUTE(UPPER(#REF!)," ",""),":",": "),SUBSTITUTE(SUBSTITUTE(UPPER(S1259)," ",""),":",": "))),0)),"Não encontrado")</f>
        <v>Não encontrado</v>
      </c>
      <c r="D1259" s="46" t="str" cm="1">
        <f t="array" ref="D1259">IFERROR(INDEX(#REF!,MATCH(TRUE,ISNUMBER(FIND(SUBSTITUTE(SUBSTITUTE(UPPER(#REF!)," ",""),":",": "),SUBSTITUTE(SUBSTITUTE(UPPER(S1259)," ",""),":",": "))),0)),"Não encontrado")</f>
        <v>Não encontrado</v>
      </c>
      <c r="E1259" s="42" t="str" cm="1">
        <f t="array" ref="E1259">IFERROR(INDEX({"IMPEDITIVO"},MATCH(TRUE,ISNUMBER(FIND(SUBSTITUTE(SUBSTITUTE(UPPER({"IMPEDITIVO"})," ",""),":",": "),SUBSTITUTE(SUBSTITUTE(UPPER(S1259)," ",""),":",": "))),0)),"-")</f>
        <v>-</v>
      </c>
      <c r="K1259" s="49"/>
    </row>
    <row r="1260" spans="1:11" x14ac:dyDescent="0.25">
      <c r="A1260" s="46" t="str" cm="1">
        <f t="array" ref="A1260">IFERROR(INDEX(#REF!,MATCH(TRUE,ISNUMBER(FIND(SUBSTITUTE(SUBSTITUTE(UPPER(#REF!)," ",""),":",": "),SUBSTITUTE(SUBSTITUTE(UPPER(S1260)," ",""),":",": "))),0)),"Undefined")</f>
        <v>Undefined</v>
      </c>
      <c r="B1260" s="42" t="str" cm="1">
        <f t="array" ref="B1260">IFERROR(INDEX({"URGENTE"},MATCH(TRUE,ISNUMBER(FIND(SUBSTITUTE(SUBSTITUTE(UPPER({"URGENTE"})," ",""),":",": "),SUBSTITUTE(SUBSTITUTE(UPPER(S1260)," ",""),":",": "))),0)),"-")</f>
        <v>-</v>
      </c>
      <c r="C1260" s="46" t="str" cm="1">
        <f t="array" ref="C1260">IFERROR(INDEX(#REF!,MATCH(TRUE,ISNUMBER(FIND(SUBSTITUTE(SUBSTITUTE(UPPER(#REF!)," ",""),":",": "),SUBSTITUTE(SUBSTITUTE(UPPER(S1260)," ",""),":",": "))),0)),"Não encontrado")</f>
        <v>Não encontrado</v>
      </c>
      <c r="D1260" s="46" t="str" cm="1">
        <f t="array" ref="D1260">IFERROR(INDEX(#REF!,MATCH(TRUE,ISNUMBER(FIND(SUBSTITUTE(SUBSTITUTE(UPPER(#REF!)," ",""),":",": "),SUBSTITUTE(SUBSTITUTE(UPPER(S1260)," ",""),":",": "))),0)),"Não encontrado")</f>
        <v>Não encontrado</v>
      </c>
      <c r="E1260" s="42" t="str" cm="1">
        <f t="array" ref="E1260">IFERROR(INDEX({"IMPEDITIVO"},MATCH(TRUE,ISNUMBER(FIND(SUBSTITUTE(SUBSTITUTE(UPPER({"IMPEDITIVO"})," ",""),":",": "),SUBSTITUTE(SUBSTITUTE(UPPER(S1260)," ",""),":",": "))),0)),"-")</f>
        <v>-</v>
      </c>
      <c r="K1260" s="49"/>
    </row>
    <row r="1261" spans="1:11" x14ac:dyDescent="0.25">
      <c r="A1261" s="46" t="str" cm="1">
        <f t="array" ref="A1261">IFERROR(INDEX(#REF!,MATCH(TRUE,ISNUMBER(FIND(SUBSTITUTE(SUBSTITUTE(UPPER(#REF!)," ",""),":",": "),SUBSTITUTE(SUBSTITUTE(UPPER(S1261)," ",""),":",": "))),0)),"Undefined")</f>
        <v>Undefined</v>
      </c>
      <c r="B1261" s="42" t="str" cm="1">
        <f t="array" ref="B1261">IFERROR(INDEX({"URGENTE"},MATCH(TRUE,ISNUMBER(FIND(SUBSTITUTE(SUBSTITUTE(UPPER({"URGENTE"})," ",""),":",": "),SUBSTITUTE(SUBSTITUTE(UPPER(S1261)," ",""),":",": "))),0)),"-")</f>
        <v>-</v>
      </c>
      <c r="C1261" s="46" t="str" cm="1">
        <f t="array" ref="C1261">IFERROR(INDEX(#REF!,MATCH(TRUE,ISNUMBER(FIND(SUBSTITUTE(SUBSTITUTE(UPPER(#REF!)," ",""),":",": "),SUBSTITUTE(SUBSTITUTE(UPPER(S1261)," ",""),":",": "))),0)),"Não encontrado")</f>
        <v>Não encontrado</v>
      </c>
      <c r="D1261" s="46" t="str" cm="1">
        <f t="array" ref="D1261">IFERROR(INDEX(#REF!,MATCH(TRUE,ISNUMBER(FIND(SUBSTITUTE(SUBSTITUTE(UPPER(#REF!)," ",""),":",": "),SUBSTITUTE(SUBSTITUTE(UPPER(S1261)," ",""),":",": "))),0)),"Não encontrado")</f>
        <v>Não encontrado</v>
      </c>
      <c r="E1261" s="42" t="str" cm="1">
        <f t="array" ref="E1261">IFERROR(INDEX({"IMPEDITIVO"},MATCH(TRUE,ISNUMBER(FIND(SUBSTITUTE(SUBSTITUTE(UPPER({"IMPEDITIVO"})," ",""),":",": "),SUBSTITUTE(SUBSTITUTE(UPPER(S1261)," ",""),":",": "))),0)),"-")</f>
        <v>-</v>
      </c>
      <c r="K1261" s="49"/>
    </row>
    <row r="1262" spans="1:11" x14ac:dyDescent="0.25">
      <c r="A1262" s="46" t="str" cm="1">
        <f t="array" ref="A1262">IFERROR(INDEX(#REF!,MATCH(TRUE,ISNUMBER(FIND(SUBSTITUTE(SUBSTITUTE(UPPER(#REF!)," ",""),":",": "),SUBSTITUTE(SUBSTITUTE(UPPER(S1262)," ",""),":",": "))),0)),"Undefined")</f>
        <v>Undefined</v>
      </c>
      <c r="B1262" s="42" t="str" cm="1">
        <f t="array" ref="B1262">IFERROR(INDEX({"URGENTE"},MATCH(TRUE,ISNUMBER(FIND(SUBSTITUTE(SUBSTITUTE(UPPER({"URGENTE"})," ",""),":",": "),SUBSTITUTE(SUBSTITUTE(UPPER(S1262)," ",""),":",": "))),0)),"-")</f>
        <v>-</v>
      </c>
      <c r="C1262" s="46" t="str" cm="1">
        <f t="array" ref="C1262">IFERROR(INDEX(#REF!,MATCH(TRUE,ISNUMBER(FIND(SUBSTITUTE(SUBSTITUTE(UPPER(#REF!)," ",""),":",": "),SUBSTITUTE(SUBSTITUTE(UPPER(S1262)," ",""),":",": "))),0)),"Não encontrado")</f>
        <v>Não encontrado</v>
      </c>
      <c r="D1262" s="46" t="str" cm="1">
        <f t="array" ref="D1262">IFERROR(INDEX(#REF!,MATCH(TRUE,ISNUMBER(FIND(SUBSTITUTE(SUBSTITUTE(UPPER(#REF!)," ",""),":",": "),SUBSTITUTE(SUBSTITUTE(UPPER(S1262)," ",""),":",": "))),0)),"Não encontrado")</f>
        <v>Não encontrado</v>
      </c>
      <c r="E1262" s="42" t="str" cm="1">
        <f t="array" ref="E1262">IFERROR(INDEX({"IMPEDITIVO"},MATCH(TRUE,ISNUMBER(FIND(SUBSTITUTE(SUBSTITUTE(UPPER({"IMPEDITIVO"})," ",""),":",": "),SUBSTITUTE(SUBSTITUTE(UPPER(S1262)," ",""),":",": "))),0)),"-")</f>
        <v>-</v>
      </c>
      <c r="K1262" s="49"/>
    </row>
    <row r="1263" spans="1:11" x14ac:dyDescent="0.25">
      <c r="A1263" s="46" t="str" cm="1">
        <f t="array" ref="A1263">IFERROR(INDEX(#REF!,MATCH(TRUE,ISNUMBER(FIND(SUBSTITUTE(SUBSTITUTE(UPPER(#REF!)," ",""),":",": "),SUBSTITUTE(SUBSTITUTE(UPPER(S1263)," ",""),":",": "))),0)),"Undefined")</f>
        <v>Undefined</v>
      </c>
      <c r="B1263" s="42" t="str" cm="1">
        <f t="array" ref="B1263">IFERROR(INDEX({"URGENTE"},MATCH(TRUE,ISNUMBER(FIND(SUBSTITUTE(SUBSTITUTE(UPPER({"URGENTE"})," ",""),":",": "),SUBSTITUTE(SUBSTITUTE(UPPER(S1263)," ",""),":",": "))),0)),"-")</f>
        <v>-</v>
      </c>
      <c r="C1263" s="46" t="str" cm="1">
        <f t="array" ref="C1263">IFERROR(INDEX(#REF!,MATCH(TRUE,ISNUMBER(FIND(SUBSTITUTE(SUBSTITUTE(UPPER(#REF!)," ",""),":",": "),SUBSTITUTE(SUBSTITUTE(UPPER(S1263)," ",""),":",": "))),0)),"Não encontrado")</f>
        <v>Não encontrado</v>
      </c>
      <c r="D1263" s="46" t="str" cm="1">
        <f t="array" ref="D1263">IFERROR(INDEX(#REF!,MATCH(TRUE,ISNUMBER(FIND(SUBSTITUTE(SUBSTITUTE(UPPER(#REF!)," ",""),":",": "),SUBSTITUTE(SUBSTITUTE(UPPER(S1263)," ",""),":",": "))),0)),"Não encontrado")</f>
        <v>Não encontrado</v>
      </c>
      <c r="E1263" s="42" t="str" cm="1">
        <f t="array" ref="E1263">IFERROR(INDEX({"IMPEDITIVO"},MATCH(TRUE,ISNUMBER(FIND(SUBSTITUTE(SUBSTITUTE(UPPER({"IMPEDITIVO"})," ",""),":",": "),SUBSTITUTE(SUBSTITUTE(UPPER(S1263)," ",""),":",": "))),0)),"-")</f>
        <v>-</v>
      </c>
      <c r="K1263" s="49"/>
    </row>
    <row r="1264" spans="1:11" x14ac:dyDescent="0.25">
      <c r="A1264" s="46" t="str" cm="1">
        <f t="array" ref="A1264">IFERROR(INDEX(#REF!,MATCH(TRUE,ISNUMBER(FIND(SUBSTITUTE(SUBSTITUTE(UPPER(#REF!)," ",""),":",": "),SUBSTITUTE(SUBSTITUTE(UPPER(S1264)," ",""),":",": "))),0)),"Undefined")</f>
        <v>Undefined</v>
      </c>
      <c r="B1264" s="42" t="str" cm="1">
        <f t="array" ref="B1264">IFERROR(INDEX({"URGENTE"},MATCH(TRUE,ISNUMBER(FIND(SUBSTITUTE(SUBSTITUTE(UPPER({"URGENTE"})," ",""),":",": "),SUBSTITUTE(SUBSTITUTE(UPPER(S1264)," ",""),":",": "))),0)),"-")</f>
        <v>-</v>
      </c>
      <c r="C1264" s="46" t="str" cm="1">
        <f t="array" ref="C1264">IFERROR(INDEX(#REF!,MATCH(TRUE,ISNUMBER(FIND(SUBSTITUTE(SUBSTITUTE(UPPER(#REF!)," ",""),":",": "),SUBSTITUTE(SUBSTITUTE(UPPER(S1264)," ",""),":",": "))),0)),"Não encontrado")</f>
        <v>Não encontrado</v>
      </c>
      <c r="D1264" s="46" t="str" cm="1">
        <f t="array" ref="D1264">IFERROR(INDEX(#REF!,MATCH(TRUE,ISNUMBER(FIND(SUBSTITUTE(SUBSTITUTE(UPPER(#REF!)," ",""),":",": "),SUBSTITUTE(SUBSTITUTE(UPPER(S1264)," ",""),":",": "))),0)),"Não encontrado")</f>
        <v>Não encontrado</v>
      </c>
      <c r="E1264" s="42" t="str" cm="1">
        <f t="array" ref="E1264">IFERROR(INDEX({"IMPEDITIVO"},MATCH(TRUE,ISNUMBER(FIND(SUBSTITUTE(SUBSTITUTE(UPPER({"IMPEDITIVO"})," ",""),":",": "),SUBSTITUTE(SUBSTITUTE(UPPER(S1264)," ",""),":",": "))),0)),"-")</f>
        <v>-</v>
      </c>
      <c r="K1264" s="49"/>
    </row>
    <row r="1265" spans="1:11" x14ac:dyDescent="0.25">
      <c r="A1265" s="46" t="str" cm="1">
        <f t="array" ref="A1265">IFERROR(INDEX(#REF!,MATCH(TRUE,ISNUMBER(FIND(SUBSTITUTE(SUBSTITUTE(UPPER(#REF!)," ",""),":",": "),SUBSTITUTE(SUBSTITUTE(UPPER(S1265)," ",""),":",": "))),0)),"Undefined")</f>
        <v>Undefined</v>
      </c>
      <c r="B1265" s="42" t="str" cm="1">
        <f t="array" ref="B1265">IFERROR(INDEX({"URGENTE"},MATCH(TRUE,ISNUMBER(FIND(SUBSTITUTE(SUBSTITUTE(UPPER({"URGENTE"})," ",""),":",": "),SUBSTITUTE(SUBSTITUTE(UPPER(S1265)," ",""),":",": "))),0)),"-")</f>
        <v>-</v>
      </c>
      <c r="C1265" s="46" t="str" cm="1">
        <f t="array" ref="C1265">IFERROR(INDEX(#REF!,MATCH(TRUE,ISNUMBER(FIND(SUBSTITUTE(SUBSTITUTE(UPPER(#REF!)," ",""),":",": "),SUBSTITUTE(SUBSTITUTE(UPPER(S1265)," ",""),":",": "))),0)),"Não encontrado")</f>
        <v>Não encontrado</v>
      </c>
      <c r="D1265" s="46" t="str" cm="1">
        <f t="array" ref="D1265">IFERROR(INDEX(#REF!,MATCH(TRUE,ISNUMBER(FIND(SUBSTITUTE(SUBSTITUTE(UPPER(#REF!)," ",""),":",": "),SUBSTITUTE(SUBSTITUTE(UPPER(S1265)," ",""),":",": "))),0)),"Não encontrado")</f>
        <v>Não encontrado</v>
      </c>
      <c r="E1265" s="42" t="str" cm="1">
        <f t="array" ref="E1265">IFERROR(INDEX({"IMPEDITIVO"},MATCH(TRUE,ISNUMBER(FIND(SUBSTITUTE(SUBSTITUTE(UPPER({"IMPEDITIVO"})," ",""),":",": "),SUBSTITUTE(SUBSTITUTE(UPPER(S1265)," ",""),":",": "))),0)),"-")</f>
        <v>-</v>
      </c>
      <c r="K1265" s="49"/>
    </row>
    <row r="1266" spans="1:11" x14ac:dyDescent="0.25">
      <c r="A1266" s="46" t="str" cm="1">
        <f t="array" ref="A1266">IFERROR(INDEX(#REF!,MATCH(TRUE,ISNUMBER(FIND(SUBSTITUTE(SUBSTITUTE(UPPER(#REF!)," ",""),":",": "),SUBSTITUTE(SUBSTITUTE(UPPER(S1266)," ",""),":",": "))),0)),"Undefined")</f>
        <v>Undefined</v>
      </c>
      <c r="B1266" s="42" t="str" cm="1">
        <f t="array" ref="B1266">IFERROR(INDEX({"URGENTE"},MATCH(TRUE,ISNUMBER(FIND(SUBSTITUTE(SUBSTITUTE(UPPER({"URGENTE"})," ",""),":",": "),SUBSTITUTE(SUBSTITUTE(UPPER(S1266)," ",""),":",": "))),0)),"-")</f>
        <v>-</v>
      </c>
      <c r="C1266" s="46" t="str" cm="1">
        <f t="array" ref="C1266">IFERROR(INDEX(#REF!,MATCH(TRUE,ISNUMBER(FIND(SUBSTITUTE(SUBSTITUTE(UPPER(#REF!)," ",""),":",": "),SUBSTITUTE(SUBSTITUTE(UPPER(S1266)," ",""),":",": "))),0)),"Não encontrado")</f>
        <v>Não encontrado</v>
      </c>
      <c r="D1266" s="46" t="str" cm="1">
        <f t="array" ref="D1266">IFERROR(INDEX(#REF!,MATCH(TRUE,ISNUMBER(FIND(SUBSTITUTE(SUBSTITUTE(UPPER(#REF!)," ",""),":",": "),SUBSTITUTE(SUBSTITUTE(UPPER(S1266)," ",""),":",": "))),0)),"Não encontrado")</f>
        <v>Não encontrado</v>
      </c>
      <c r="E1266" s="42" t="str" cm="1">
        <f t="array" ref="E1266">IFERROR(INDEX({"IMPEDITIVO"},MATCH(TRUE,ISNUMBER(FIND(SUBSTITUTE(SUBSTITUTE(UPPER({"IMPEDITIVO"})," ",""),":",": "),SUBSTITUTE(SUBSTITUTE(UPPER(S1266)," ",""),":",": "))),0)),"-")</f>
        <v>-</v>
      </c>
      <c r="K1266" s="49"/>
    </row>
    <row r="1267" spans="1:11" x14ac:dyDescent="0.25">
      <c r="A1267" s="46" t="str" cm="1">
        <f t="array" ref="A1267">IFERROR(INDEX(#REF!,MATCH(TRUE,ISNUMBER(FIND(SUBSTITUTE(SUBSTITUTE(UPPER(#REF!)," ",""),":",": "),SUBSTITUTE(SUBSTITUTE(UPPER(S1267)," ",""),":",": "))),0)),"Undefined")</f>
        <v>Undefined</v>
      </c>
      <c r="B1267" s="42" t="str" cm="1">
        <f t="array" ref="B1267">IFERROR(INDEX({"URGENTE"},MATCH(TRUE,ISNUMBER(FIND(SUBSTITUTE(SUBSTITUTE(UPPER({"URGENTE"})," ",""),":",": "),SUBSTITUTE(SUBSTITUTE(UPPER(S1267)," ",""),":",": "))),0)),"-")</f>
        <v>-</v>
      </c>
      <c r="C1267" s="46" t="str" cm="1">
        <f t="array" ref="C1267">IFERROR(INDEX(#REF!,MATCH(TRUE,ISNUMBER(FIND(SUBSTITUTE(SUBSTITUTE(UPPER(#REF!)," ",""),":",": "),SUBSTITUTE(SUBSTITUTE(UPPER(S1267)," ",""),":",": "))),0)),"Não encontrado")</f>
        <v>Não encontrado</v>
      </c>
      <c r="D1267" s="46" t="str" cm="1">
        <f t="array" ref="D1267">IFERROR(INDEX(#REF!,MATCH(TRUE,ISNUMBER(FIND(SUBSTITUTE(SUBSTITUTE(UPPER(#REF!)," ",""),":",": "),SUBSTITUTE(SUBSTITUTE(UPPER(S1267)," ",""),":",": "))),0)),"Não encontrado")</f>
        <v>Não encontrado</v>
      </c>
      <c r="E1267" s="42" t="str" cm="1">
        <f t="array" ref="E1267">IFERROR(INDEX({"IMPEDITIVO"},MATCH(TRUE,ISNUMBER(FIND(SUBSTITUTE(SUBSTITUTE(UPPER({"IMPEDITIVO"})," ",""),":",": "),SUBSTITUTE(SUBSTITUTE(UPPER(S1267)," ",""),":",": "))),0)),"-")</f>
        <v>-</v>
      </c>
      <c r="K1267" s="49"/>
    </row>
    <row r="1268" spans="1:11" x14ac:dyDescent="0.25">
      <c r="A1268" s="46" t="str" cm="1">
        <f t="array" ref="A1268">IFERROR(INDEX(#REF!,MATCH(TRUE,ISNUMBER(FIND(SUBSTITUTE(SUBSTITUTE(UPPER(#REF!)," ",""),":",": "),SUBSTITUTE(SUBSTITUTE(UPPER(S1268)," ",""),":",": "))),0)),"Undefined")</f>
        <v>Undefined</v>
      </c>
      <c r="B1268" s="42" t="str" cm="1">
        <f t="array" ref="B1268">IFERROR(INDEX({"URGENTE"},MATCH(TRUE,ISNUMBER(FIND(SUBSTITUTE(SUBSTITUTE(UPPER({"URGENTE"})," ",""),":",": "),SUBSTITUTE(SUBSTITUTE(UPPER(S1268)," ",""),":",": "))),0)),"-")</f>
        <v>-</v>
      </c>
      <c r="C1268" s="46" t="str" cm="1">
        <f t="array" ref="C1268">IFERROR(INDEX(#REF!,MATCH(TRUE,ISNUMBER(FIND(SUBSTITUTE(SUBSTITUTE(UPPER(#REF!)," ",""),":",": "),SUBSTITUTE(SUBSTITUTE(UPPER(S1268)," ",""),":",": "))),0)),"Não encontrado")</f>
        <v>Não encontrado</v>
      </c>
      <c r="D1268" s="46" t="str" cm="1">
        <f t="array" ref="D1268">IFERROR(INDEX(#REF!,MATCH(TRUE,ISNUMBER(FIND(SUBSTITUTE(SUBSTITUTE(UPPER(#REF!)," ",""),":",": "),SUBSTITUTE(SUBSTITUTE(UPPER(S1268)," ",""),":",": "))),0)),"Não encontrado")</f>
        <v>Não encontrado</v>
      </c>
      <c r="E1268" s="42" t="str" cm="1">
        <f t="array" ref="E1268">IFERROR(INDEX({"IMPEDITIVO"},MATCH(TRUE,ISNUMBER(FIND(SUBSTITUTE(SUBSTITUTE(UPPER({"IMPEDITIVO"})," ",""),":",": "),SUBSTITUTE(SUBSTITUTE(UPPER(S1268)," ",""),":",": "))),0)),"-")</f>
        <v>-</v>
      </c>
      <c r="K1268" s="49"/>
    </row>
    <row r="1269" spans="1:11" x14ac:dyDescent="0.25">
      <c r="A1269" s="46" t="str" cm="1">
        <f t="array" ref="A1269">IFERROR(INDEX(#REF!,MATCH(TRUE,ISNUMBER(FIND(SUBSTITUTE(SUBSTITUTE(UPPER(#REF!)," ",""),":",": "),SUBSTITUTE(SUBSTITUTE(UPPER(S1269)," ",""),":",": "))),0)),"Undefined")</f>
        <v>Undefined</v>
      </c>
      <c r="B1269" s="42" t="str" cm="1">
        <f t="array" ref="B1269">IFERROR(INDEX({"URGENTE"},MATCH(TRUE,ISNUMBER(FIND(SUBSTITUTE(SUBSTITUTE(UPPER({"URGENTE"})," ",""),":",": "),SUBSTITUTE(SUBSTITUTE(UPPER(S1269)," ",""),":",": "))),0)),"-")</f>
        <v>-</v>
      </c>
      <c r="C1269" s="46" t="str" cm="1">
        <f t="array" ref="C1269">IFERROR(INDEX(#REF!,MATCH(TRUE,ISNUMBER(FIND(SUBSTITUTE(SUBSTITUTE(UPPER(#REF!)," ",""),":",": "),SUBSTITUTE(SUBSTITUTE(UPPER(S1269)," ",""),":",": "))),0)),"Não encontrado")</f>
        <v>Não encontrado</v>
      </c>
      <c r="D1269" s="46" t="str" cm="1">
        <f t="array" ref="D1269">IFERROR(INDEX(#REF!,MATCH(TRUE,ISNUMBER(FIND(SUBSTITUTE(SUBSTITUTE(UPPER(#REF!)," ",""),":",": "),SUBSTITUTE(SUBSTITUTE(UPPER(S1269)," ",""),":",": "))),0)),"Não encontrado")</f>
        <v>Não encontrado</v>
      </c>
      <c r="E1269" s="42" t="str" cm="1">
        <f t="array" ref="E1269">IFERROR(INDEX({"IMPEDITIVO"},MATCH(TRUE,ISNUMBER(FIND(SUBSTITUTE(SUBSTITUTE(UPPER({"IMPEDITIVO"})," ",""),":",": "),SUBSTITUTE(SUBSTITUTE(UPPER(S1269)," ",""),":",": "))),0)),"-")</f>
        <v>-</v>
      </c>
      <c r="K1269" s="49"/>
    </row>
    <row r="1270" spans="1:11" x14ac:dyDescent="0.25">
      <c r="A1270" s="46" t="str" cm="1">
        <f t="array" ref="A1270">IFERROR(INDEX(#REF!,MATCH(TRUE,ISNUMBER(FIND(SUBSTITUTE(SUBSTITUTE(UPPER(#REF!)," ",""),":",": "),SUBSTITUTE(SUBSTITUTE(UPPER(S1270)," ",""),":",": "))),0)),"Undefined")</f>
        <v>Undefined</v>
      </c>
      <c r="B1270" s="42" t="str" cm="1">
        <f t="array" ref="B1270">IFERROR(INDEX({"URGENTE"},MATCH(TRUE,ISNUMBER(FIND(SUBSTITUTE(SUBSTITUTE(UPPER({"URGENTE"})," ",""),":",": "),SUBSTITUTE(SUBSTITUTE(UPPER(S1270)," ",""),":",": "))),0)),"-")</f>
        <v>-</v>
      </c>
      <c r="C1270" s="46" t="str" cm="1">
        <f t="array" ref="C1270">IFERROR(INDEX(#REF!,MATCH(TRUE,ISNUMBER(FIND(SUBSTITUTE(SUBSTITUTE(UPPER(#REF!)," ",""),":",": "),SUBSTITUTE(SUBSTITUTE(UPPER(S1270)," ",""),":",": "))),0)),"Não encontrado")</f>
        <v>Não encontrado</v>
      </c>
      <c r="D1270" s="46" t="str" cm="1">
        <f t="array" ref="D1270">IFERROR(INDEX(#REF!,MATCH(TRUE,ISNUMBER(FIND(SUBSTITUTE(SUBSTITUTE(UPPER(#REF!)," ",""),":",": "),SUBSTITUTE(SUBSTITUTE(UPPER(S1270)," ",""),":",": "))),0)),"Não encontrado")</f>
        <v>Não encontrado</v>
      </c>
      <c r="E1270" s="42" t="str" cm="1">
        <f t="array" ref="E1270">IFERROR(INDEX({"IMPEDITIVO"},MATCH(TRUE,ISNUMBER(FIND(SUBSTITUTE(SUBSTITUTE(UPPER({"IMPEDITIVO"})," ",""),":",": "),SUBSTITUTE(SUBSTITUTE(UPPER(S1270)," ",""),":",": "))),0)),"-")</f>
        <v>-</v>
      </c>
      <c r="K1270" s="49"/>
    </row>
    <row r="1271" spans="1:11" x14ac:dyDescent="0.25">
      <c r="A1271" s="46" t="str" cm="1">
        <f t="array" ref="A1271">IFERROR(INDEX(#REF!,MATCH(TRUE,ISNUMBER(FIND(SUBSTITUTE(SUBSTITUTE(UPPER(#REF!)," ",""),":",": "),SUBSTITUTE(SUBSTITUTE(UPPER(S1271)," ",""),":",": "))),0)),"Undefined")</f>
        <v>Undefined</v>
      </c>
      <c r="B1271" s="42" t="str" cm="1">
        <f t="array" ref="B1271">IFERROR(INDEX({"URGENTE"},MATCH(TRUE,ISNUMBER(FIND(SUBSTITUTE(SUBSTITUTE(UPPER({"URGENTE"})," ",""),":",": "),SUBSTITUTE(SUBSTITUTE(UPPER(S1271)," ",""),":",": "))),0)),"-")</f>
        <v>-</v>
      </c>
      <c r="C1271" s="46" t="str" cm="1">
        <f t="array" ref="C1271">IFERROR(INDEX(#REF!,MATCH(TRUE,ISNUMBER(FIND(SUBSTITUTE(SUBSTITUTE(UPPER(#REF!)," ",""),":",": "),SUBSTITUTE(SUBSTITUTE(UPPER(S1271)," ",""),":",": "))),0)),"Não encontrado")</f>
        <v>Não encontrado</v>
      </c>
      <c r="D1271" s="46" t="str" cm="1">
        <f t="array" ref="D1271">IFERROR(INDEX(#REF!,MATCH(TRUE,ISNUMBER(FIND(SUBSTITUTE(SUBSTITUTE(UPPER(#REF!)," ",""),":",": "),SUBSTITUTE(SUBSTITUTE(UPPER(S1271)," ",""),":",": "))),0)),"Não encontrado")</f>
        <v>Não encontrado</v>
      </c>
      <c r="E1271" s="42" t="str" cm="1">
        <f t="array" ref="E1271">IFERROR(INDEX({"IMPEDITIVO"},MATCH(TRUE,ISNUMBER(FIND(SUBSTITUTE(SUBSTITUTE(UPPER({"IMPEDITIVO"})," ",""),":",": "),SUBSTITUTE(SUBSTITUTE(UPPER(S1271)," ",""),":",": "))),0)),"-")</f>
        <v>-</v>
      </c>
      <c r="K1271" s="49"/>
    </row>
    <row r="1272" spans="1:11" x14ac:dyDescent="0.25">
      <c r="A1272" s="46" t="str" cm="1">
        <f t="array" ref="A1272">IFERROR(INDEX(#REF!,MATCH(TRUE,ISNUMBER(FIND(SUBSTITUTE(SUBSTITUTE(UPPER(#REF!)," ",""),":",": "),SUBSTITUTE(SUBSTITUTE(UPPER(S1272)," ",""),":",": "))),0)),"Undefined")</f>
        <v>Undefined</v>
      </c>
      <c r="B1272" s="42" t="str" cm="1">
        <f t="array" ref="B1272">IFERROR(INDEX({"URGENTE"},MATCH(TRUE,ISNUMBER(FIND(SUBSTITUTE(SUBSTITUTE(UPPER({"URGENTE"})," ",""),":",": "),SUBSTITUTE(SUBSTITUTE(UPPER(S1272)," ",""),":",": "))),0)),"-")</f>
        <v>-</v>
      </c>
      <c r="C1272" s="46" t="str" cm="1">
        <f t="array" ref="C1272">IFERROR(INDEX(#REF!,MATCH(TRUE,ISNUMBER(FIND(SUBSTITUTE(SUBSTITUTE(UPPER(#REF!)," ",""),":",": "),SUBSTITUTE(SUBSTITUTE(UPPER(S1272)," ",""),":",": "))),0)),"Não encontrado")</f>
        <v>Não encontrado</v>
      </c>
      <c r="D1272" s="46" t="str" cm="1">
        <f t="array" ref="D1272">IFERROR(INDEX(#REF!,MATCH(TRUE,ISNUMBER(FIND(SUBSTITUTE(SUBSTITUTE(UPPER(#REF!)," ",""),":",": "),SUBSTITUTE(SUBSTITUTE(UPPER(S1272)," ",""),":",": "))),0)),"Não encontrado")</f>
        <v>Não encontrado</v>
      </c>
      <c r="E1272" s="42" t="str" cm="1">
        <f t="array" ref="E1272">IFERROR(INDEX({"IMPEDITIVO"},MATCH(TRUE,ISNUMBER(FIND(SUBSTITUTE(SUBSTITUTE(UPPER({"IMPEDITIVO"})," ",""),":",": "),SUBSTITUTE(SUBSTITUTE(UPPER(S1272)," ",""),":",": "))),0)),"-")</f>
        <v>-</v>
      </c>
      <c r="K1272" s="49"/>
    </row>
    <row r="1273" spans="1:11" x14ac:dyDescent="0.25">
      <c r="A1273" s="46" t="str" cm="1">
        <f t="array" ref="A1273">IFERROR(INDEX(#REF!,MATCH(TRUE,ISNUMBER(FIND(SUBSTITUTE(SUBSTITUTE(UPPER(#REF!)," ",""),":",": "),SUBSTITUTE(SUBSTITUTE(UPPER(S1273)," ",""),":",": "))),0)),"Undefined")</f>
        <v>Undefined</v>
      </c>
      <c r="B1273" s="42" t="str" cm="1">
        <f t="array" ref="B1273">IFERROR(INDEX({"URGENTE"},MATCH(TRUE,ISNUMBER(FIND(SUBSTITUTE(SUBSTITUTE(UPPER({"URGENTE"})," ",""),":",": "),SUBSTITUTE(SUBSTITUTE(UPPER(S1273)," ",""),":",": "))),0)),"-")</f>
        <v>-</v>
      </c>
      <c r="C1273" s="46" t="str" cm="1">
        <f t="array" ref="C1273">IFERROR(INDEX(#REF!,MATCH(TRUE,ISNUMBER(FIND(SUBSTITUTE(SUBSTITUTE(UPPER(#REF!)," ",""),":",": "),SUBSTITUTE(SUBSTITUTE(UPPER(S1273)," ",""),":",": "))),0)),"Não encontrado")</f>
        <v>Não encontrado</v>
      </c>
      <c r="D1273" s="46" t="str" cm="1">
        <f t="array" ref="D1273">IFERROR(INDEX(#REF!,MATCH(TRUE,ISNUMBER(FIND(SUBSTITUTE(SUBSTITUTE(UPPER(#REF!)," ",""),":",": "),SUBSTITUTE(SUBSTITUTE(UPPER(S1273)," ",""),":",": "))),0)),"Não encontrado")</f>
        <v>Não encontrado</v>
      </c>
      <c r="E1273" s="42" t="str" cm="1">
        <f t="array" ref="E1273">IFERROR(INDEX({"IMPEDITIVO"},MATCH(TRUE,ISNUMBER(FIND(SUBSTITUTE(SUBSTITUTE(UPPER({"IMPEDITIVO"})," ",""),":",": "),SUBSTITUTE(SUBSTITUTE(UPPER(S1273)," ",""),":",": "))),0)),"-")</f>
        <v>-</v>
      </c>
      <c r="K1273" s="49"/>
    </row>
    <row r="1274" spans="1:11" x14ac:dyDescent="0.25">
      <c r="A1274" s="46" t="str" cm="1">
        <f t="array" ref="A1274">IFERROR(INDEX(#REF!,MATCH(TRUE,ISNUMBER(FIND(SUBSTITUTE(SUBSTITUTE(UPPER(#REF!)," ",""),":",": "),SUBSTITUTE(SUBSTITUTE(UPPER(S1274)," ",""),":",": "))),0)),"Undefined")</f>
        <v>Undefined</v>
      </c>
      <c r="B1274" s="42" t="str" cm="1">
        <f t="array" ref="B1274">IFERROR(INDEX({"URGENTE"},MATCH(TRUE,ISNUMBER(FIND(SUBSTITUTE(SUBSTITUTE(UPPER({"URGENTE"})," ",""),":",": "),SUBSTITUTE(SUBSTITUTE(UPPER(S1274)," ",""),":",": "))),0)),"-")</f>
        <v>-</v>
      </c>
      <c r="C1274" s="46" t="str" cm="1">
        <f t="array" ref="C1274">IFERROR(INDEX(#REF!,MATCH(TRUE,ISNUMBER(FIND(SUBSTITUTE(SUBSTITUTE(UPPER(#REF!)," ",""),":",": "),SUBSTITUTE(SUBSTITUTE(UPPER(S1274)," ",""),":",": "))),0)),"Não encontrado")</f>
        <v>Não encontrado</v>
      </c>
      <c r="D1274" s="46" t="str" cm="1">
        <f t="array" ref="D1274">IFERROR(INDEX(#REF!,MATCH(TRUE,ISNUMBER(FIND(SUBSTITUTE(SUBSTITUTE(UPPER(#REF!)," ",""),":",": "),SUBSTITUTE(SUBSTITUTE(UPPER(S1274)," ",""),":",": "))),0)),"Não encontrado")</f>
        <v>Não encontrado</v>
      </c>
      <c r="E1274" s="42" t="str" cm="1">
        <f t="array" ref="E1274">IFERROR(INDEX({"IMPEDITIVO"},MATCH(TRUE,ISNUMBER(FIND(SUBSTITUTE(SUBSTITUTE(UPPER({"IMPEDITIVO"})," ",""),":",": "),SUBSTITUTE(SUBSTITUTE(UPPER(S1274)," ",""),":",": "))),0)),"-")</f>
        <v>-</v>
      </c>
      <c r="K1274" s="49"/>
    </row>
    <row r="1275" spans="1:11" x14ac:dyDescent="0.25">
      <c r="A1275" s="46" t="str" cm="1">
        <f t="array" ref="A1275">IFERROR(INDEX(#REF!,MATCH(TRUE,ISNUMBER(FIND(SUBSTITUTE(SUBSTITUTE(UPPER(#REF!)," ",""),":",": "),SUBSTITUTE(SUBSTITUTE(UPPER(S1275)," ",""),":",": "))),0)),"Undefined")</f>
        <v>Undefined</v>
      </c>
      <c r="B1275" s="42" t="str" cm="1">
        <f t="array" ref="B1275">IFERROR(INDEX({"URGENTE"},MATCH(TRUE,ISNUMBER(FIND(SUBSTITUTE(SUBSTITUTE(UPPER({"URGENTE"})," ",""),":",": "),SUBSTITUTE(SUBSTITUTE(UPPER(S1275)," ",""),":",": "))),0)),"-")</f>
        <v>-</v>
      </c>
      <c r="C1275" s="46" t="str" cm="1">
        <f t="array" ref="C1275">IFERROR(INDEX(#REF!,MATCH(TRUE,ISNUMBER(FIND(SUBSTITUTE(SUBSTITUTE(UPPER(#REF!)," ",""),":",": "),SUBSTITUTE(SUBSTITUTE(UPPER(S1275)," ",""),":",": "))),0)),"Não encontrado")</f>
        <v>Não encontrado</v>
      </c>
      <c r="D1275" s="46" t="str" cm="1">
        <f t="array" ref="D1275">IFERROR(INDEX(#REF!,MATCH(TRUE,ISNUMBER(FIND(SUBSTITUTE(SUBSTITUTE(UPPER(#REF!)," ",""),":",": "),SUBSTITUTE(SUBSTITUTE(UPPER(S1275)," ",""),":",": "))),0)),"Não encontrado")</f>
        <v>Não encontrado</v>
      </c>
      <c r="E1275" s="42" t="str" cm="1">
        <f t="array" ref="E1275">IFERROR(INDEX({"IMPEDITIVO"},MATCH(TRUE,ISNUMBER(FIND(SUBSTITUTE(SUBSTITUTE(UPPER({"IMPEDITIVO"})," ",""),":",": "),SUBSTITUTE(SUBSTITUTE(UPPER(S1275)," ",""),":",": "))),0)),"-")</f>
        <v>-</v>
      </c>
      <c r="K1275" s="49"/>
    </row>
    <row r="1276" spans="1:11" x14ac:dyDescent="0.25">
      <c r="A1276" s="46" t="str" cm="1">
        <f t="array" ref="A1276">IFERROR(INDEX(#REF!,MATCH(TRUE,ISNUMBER(FIND(SUBSTITUTE(SUBSTITUTE(UPPER(#REF!)," ",""),":",": "),SUBSTITUTE(SUBSTITUTE(UPPER(S1276)," ",""),":",": "))),0)),"Undefined")</f>
        <v>Undefined</v>
      </c>
      <c r="B1276" s="42" t="str" cm="1">
        <f t="array" ref="B1276">IFERROR(INDEX({"URGENTE"},MATCH(TRUE,ISNUMBER(FIND(SUBSTITUTE(SUBSTITUTE(UPPER({"URGENTE"})," ",""),":",": "),SUBSTITUTE(SUBSTITUTE(UPPER(S1276)," ",""),":",": "))),0)),"-")</f>
        <v>-</v>
      </c>
      <c r="C1276" s="46" t="str" cm="1">
        <f t="array" ref="C1276">IFERROR(INDEX(#REF!,MATCH(TRUE,ISNUMBER(FIND(SUBSTITUTE(SUBSTITUTE(UPPER(#REF!)," ",""),":",": "),SUBSTITUTE(SUBSTITUTE(UPPER(S1276)," ",""),":",": "))),0)),"Não encontrado")</f>
        <v>Não encontrado</v>
      </c>
      <c r="D1276" s="46" t="str" cm="1">
        <f t="array" ref="D1276">IFERROR(INDEX(#REF!,MATCH(TRUE,ISNUMBER(FIND(SUBSTITUTE(SUBSTITUTE(UPPER(#REF!)," ",""),":",": "),SUBSTITUTE(SUBSTITUTE(UPPER(S1276)," ",""),":",": "))),0)),"Não encontrado")</f>
        <v>Não encontrado</v>
      </c>
      <c r="E1276" s="42" t="str" cm="1">
        <f t="array" ref="E1276">IFERROR(INDEX({"IMPEDITIVO"},MATCH(TRUE,ISNUMBER(FIND(SUBSTITUTE(SUBSTITUTE(UPPER({"IMPEDITIVO"})," ",""),":",": "),SUBSTITUTE(SUBSTITUTE(UPPER(S1276)," ",""),":",": "))),0)),"-")</f>
        <v>-</v>
      </c>
      <c r="K1276" s="49"/>
    </row>
    <row r="1277" spans="1:11" x14ac:dyDescent="0.25">
      <c r="A1277" s="46" t="str" cm="1">
        <f t="array" ref="A1277">IFERROR(INDEX(#REF!,MATCH(TRUE,ISNUMBER(FIND(SUBSTITUTE(SUBSTITUTE(UPPER(#REF!)," ",""),":",": "),SUBSTITUTE(SUBSTITUTE(UPPER(S1277)," ",""),":",": "))),0)),"Undefined")</f>
        <v>Undefined</v>
      </c>
      <c r="B1277" s="42" t="str" cm="1">
        <f t="array" ref="B1277">IFERROR(INDEX({"URGENTE"},MATCH(TRUE,ISNUMBER(FIND(SUBSTITUTE(SUBSTITUTE(UPPER({"URGENTE"})," ",""),":",": "),SUBSTITUTE(SUBSTITUTE(UPPER(S1277)," ",""),":",": "))),0)),"-")</f>
        <v>-</v>
      </c>
      <c r="C1277" s="46" t="str" cm="1">
        <f t="array" ref="C1277">IFERROR(INDEX(#REF!,MATCH(TRUE,ISNUMBER(FIND(SUBSTITUTE(SUBSTITUTE(UPPER(#REF!)," ",""),":",": "),SUBSTITUTE(SUBSTITUTE(UPPER(S1277)," ",""),":",": "))),0)),"Não encontrado")</f>
        <v>Não encontrado</v>
      </c>
      <c r="D1277" s="46" t="str" cm="1">
        <f t="array" ref="D1277">IFERROR(INDEX(#REF!,MATCH(TRUE,ISNUMBER(FIND(SUBSTITUTE(SUBSTITUTE(UPPER(#REF!)," ",""),":",": "),SUBSTITUTE(SUBSTITUTE(UPPER(S1277)," ",""),":",": "))),0)),"Não encontrado")</f>
        <v>Não encontrado</v>
      </c>
      <c r="E1277" s="42" t="str" cm="1">
        <f t="array" ref="E1277">IFERROR(INDEX({"IMPEDITIVO"},MATCH(TRUE,ISNUMBER(FIND(SUBSTITUTE(SUBSTITUTE(UPPER({"IMPEDITIVO"})," ",""),":",": "),SUBSTITUTE(SUBSTITUTE(UPPER(S1277)," ",""),":",": "))),0)),"-")</f>
        <v>-</v>
      </c>
      <c r="K1277" s="49"/>
    </row>
    <row r="1278" spans="1:11" x14ac:dyDescent="0.25">
      <c r="A1278" s="46" t="str" cm="1">
        <f t="array" ref="A1278">IFERROR(INDEX(#REF!,MATCH(TRUE,ISNUMBER(FIND(SUBSTITUTE(SUBSTITUTE(UPPER(#REF!)," ",""),":",": "),SUBSTITUTE(SUBSTITUTE(UPPER(S1278)," ",""),":",": "))),0)),"Undefined")</f>
        <v>Undefined</v>
      </c>
      <c r="B1278" s="42" t="str" cm="1">
        <f t="array" ref="B1278">IFERROR(INDEX({"URGENTE"},MATCH(TRUE,ISNUMBER(FIND(SUBSTITUTE(SUBSTITUTE(UPPER({"URGENTE"})," ",""),":",": "),SUBSTITUTE(SUBSTITUTE(UPPER(S1278)," ",""),":",": "))),0)),"-")</f>
        <v>-</v>
      </c>
      <c r="C1278" s="46" t="str" cm="1">
        <f t="array" ref="C1278">IFERROR(INDEX(#REF!,MATCH(TRUE,ISNUMBER(FIND(SUBSTITUTE(SUBSTITUTE(UPPER(#REF!)," ",""),":",": "),SUBSTITUTE(SUBSTITUTE(UPPER(S1278)," ",""),":",": "))),0)),"Não encontrado")</f>
        <v>Não encontrado</v>
      </c>
      <c r="D1278" s="46" t="str" cm="1">
        <f t="array" ref="D1278">IFERROR(INDEX(#REF!,MATCH(TRUE,ISNUMBER(FIND(SUBSTITUTE(SUBSTITUTE(UPPER(#REF!)," ",""),":",": "),SUBSTITUTE(SUBSTITUTE(UPPER(S1278)," ",""),":",": "))),0)),"Não encontrado")</f>
        <v>Não encontrado</v>
      </c>
      <c r="E1278" s="42" t="str" cm="1">
        <f t="array" ref="E1278">IFERROR(INDEX({"IMPEDITIVO"},MATCH(TRUE,ISNUMBER(FIND(SUBSTITUTE(SUBSTITUTE(UPPER({"IMPEDITIVO"})," ",""),":",": "),SUBSTITUTE(SUBSTITUTE(UPPER(S1278)," ",""),":",": "))),0)),"-")</f>
        <v>-</v>
      </c>
      <c r="K1278" s="49"/>
    </row>
    <row r="1279" spans="1:11" x14ac:dyDescent="0.25">
      <c r="A1279" s="46" t="str" cm="1">
        <f t="array" ref="A1279">IFERROR(INDEX(#REF!,MATCH(TRUE,ISNUMBER(FIND(SUBSTITUTE(SUBSTITUTE(UPPER(#REF!)," ",""),":",": "),SUBSTITUTE(SUBSTITUTE(UPPER(S1279)," ",""),":",": "))),0)),"Undefined")</f>
        <v>Undefined</v>
      </c>
      <c r="B1279" s="42" t="str" cm="1">
        <f t="array" ref="B1279">IFERROR(INDEX({"URGENTE"},MATCH(TRUE,ISNUMBER(FIND(SUBSTITUTE(SUBSTITUTE(UPPER({"URGENTE"})," ",""),":",": "),SUBSTITUTE(SUBSTITUTE(UPPER(S1279)," ",""),":",": "))),0)),"-")</f>
        <v>-</v>
      </c>
      <c r="C1279" s="46" t="str" cm="1">
        <f t="array" ref="C1279">IFERROR(INDEX(#REF!,MATCH(TRUE,ISNUMBER(FIND(SUBSTITUTE(SUBSTITUTE(UPPER(#REF!)," ",""),":",": "),SUBSTITUTE(SUBSTITUTE(UPPER(S1279)," ",""),":",": "))),0)),"Não encontrado")</f>
        <v>Não encontrado</v>
      </c>
      <c r="D1279" s="46" t="str" cm="1">
        <f t="array" ref="D1279">IFERROR(INDEX(#REF!,MATCH(TRUE,ISNUMBER(FIND(SUBSTITUTE(SUBSTITUTE(UPPER(#REF!)," ",""),":",": "),SUBSTITUTE(SUBSTITUTE(UPPER(S1279)," ",""),":",": "))),0)),"Não encontrado")</f>
        <v>Não encontrado</v>
      </c>
      <c r="E1279" s="42" t="str" cm="1">
        <f t="array" ref="E1279">IFERROR(INDEX({"IMPEDITIVO"},MATCH(TRUE,ISNUMBER(FIND(SUBSTITUTE(SUBSTITUTE(UPPER({"IMPEDITIVO"})," ",""),":",": "),SUBSTITUTE(SUBSTITUTE(UPPER(S1279)," ",""),":",": "))),0)),"-")</f>
        <v>-</v>
      </c>
      <c r="K1279" s="49"/>
    </row>
    <row r="1280" spans="1:11" x14ac:dyDescent="0.25">
      <c r="A1280" s="46" t="str" cm="1">
        <f t="array" ref="A1280">IFERROR(INDEX(#REF!,MATCH(TRUE,ISNUMBER(FIND(SUBSTITUTE(SUBSTITUTE(UPPER(#REF!)," ",""),":",": "),SUBSTITUTE(SUBSTITUTE(UPPER(S1280)," ",""),":",": "))),0)),"Undefined")</f>
        <v>Undefined</v>
      </c>
      <c r="B1280" s="42" t="str" cm="1">
        <f t="array" ref="B1280">IFERROR(INDEX({"URGENTE"},MATCH(TRUE,ISNUMBER(FIND(SUBSTITUTE(SUBSTITUTE(UPPER({"URGENTE"})," ",""),":",": "),SUBSTITUTE(SUBSTITUTE(UPPER(S1280)," ",""),":",": "))),0)),"-")</f>
        <v>-</v>
      </c>
      <c r="C1280" s="46" t="str" cm="1">
        <f t="array" ref="C1280">IFERROR(INDEX(#REF!,MATCH(TRUE,ISNUMBER(FIND(SUBSTITUTE(SUBSTITUTE(UPPER(#REF!)," ",""),":",": "),SUBSTITUTE(SUBSTITUTE(UPPER(S1280)," ",""),":",": "))),0)),"Não encontrado")</f>
        <v>Não encontrado</v>
      </c>
      <c r="D1280" s="46" t="str" cm="1">
        <f t="array" ref="D1280">IFERROR(INDEX(#REF!,MATCH(TRUE,ISNUMBER(FIND(SUBSTITUTE(SUBSTITUTE(UPPER(#REF!)," ",""),":",": "),SUBSTITUTE(SUBSTITUTE(UPPER(S1280)," ",""),":",": "))),0)),"Não encontrado")</f>
        <v>Não encontrado</v>
      </c>
      <c r="E1280" s="42" t="str" cm="1">
        <f t="array" ref="E1280">IFERROR(INDEX({"IMPEDITIVO"},MATCH(TRUE,ISNUMBER(FIND(SUBSTITUTE(SUBSTITUTE(UPPER({"IMPEDITIVO"})," ",""),":",": "),SUBSTITUTE(SUBSTITUTE(UPPER(S1280)," ",""),":",": "))),0)),"-")</f>
        <v>-</v>
      </c>
      <c r="K1280" s="49"/>
    </row>
    <row r="1281" spans="1:11" x14ac:dyDescent="0.25">
      <c r="A1281" s="46" t="str" cm="1">
        <f t="array" ref="A1281">IFERROR(INDEX(#REF!,MATCH(TRUE,ISNUMBER(FIND(SUBSTITUTE(SUBSTITUTE(UPPER(#REF!)," ",""),":",": "),SUBSTITUTE(SUBSTITUTE(UPPER(S1281)," ",""),":",": "))),0)),"Undefined")</f>
        <v>Undefined</v>
      </c>
      <c r="B1281" s="42" t="str" cm="1">
        <f t="array" ref="B1281">IFERROR(INDEX({"URGENTE"},MATCH(TRUE,ISNUMBER(FIND(SUBSTITUTE(SUBSTITUTE(UPPER({"URGENTE"})," ",""),":",": "),SUBSTITUTE(SUBSTITUTE(UPPER(S1281)," ",""),":",": "))),0)),"-")</f>
        <v>-</v>
      </c>
      <c r="C1281" s="46" t="str" cm="1">
        <f t="array" ref="C1281">IFERROR(INDEX(#REF!,MATCH(TRUE,ISNUMBER(FIND(SUBSTITUTE(SUBSTITUTE(UPPER(#REF!)," ",""),":",": "),SUBSTITUTE(SUBSTITUTE(UPPER(S1281)," ",""),":",": "))),0)),"Não encontrado")</f>
        <v>Não encontrado</v>
      </c>
      <c r="D1281" s="46" t="str" cm="1">
        <f t="array" ref="D1281">IFERROR(INDEX(#REF!,MATCH(TRUE,ISNUMBER(FIND(SUBSTITUTE(SUBSTITUTE(UPPER(#REF!)," ",""),":",": "),SUBSTITUTE(SUBSTITUTE(UPPER(S1281)," ",""),":",": "))),0)),"Não encontrado")</f>
        <v>Não encontrado</v>
      </c>
      <c r="E1281" s="42" t="str" cm="1">
        <f t="array" ref="E1281">IFERROR(INDEX({"IMPEDITIVO"},MATCH(TRUE,ISNUMBER(FIND(SUBSTITUTE(SUBSTITUTE(UPPER({"IMPEDITIVO"})," ",""),":",": "),SUBSTITUTE(SUBSTITUTE(UPPER(S1281)," ",""),":",": "))),0)),"-")</f>
        <v>-</v>
      </c>
      <c r="K1281" s="49"/>
    </row>
    <row r="1282" spans="1:11" x14ac:dyDescent="0.25">
      <c r="A1282" s="46" t="str" cm="1">
        <f t="array" ref="A1282">IFERROR(INDEX(#REF!,MATCH(TRUE,ISNUMBER(FIND(SUBSTITUTE(SUBSTITUTE(UPPER(#REF!)," ",""),":",": "),SUBSTITUTE(SUBSTITUTE(UPPER(S1282)," ",""),":",": "))),0)),"Undefined")</f>
        <v>Undefined</v>
      </c>
      <c r="B1282" s="42" t="str" cm="1">
        <f t="array" ref="B1282">IFERROR(INDEX({"URGENTE"},MATCH(TRUE,ISNUMBER(FIND(SUBSTITUTE(SUBSTITUTE(UPPER({"URGENTE"})," ",""),":",": "),SUBSTITUTE(SUBSTITUTE(UPPER(S1282)," ",""),":",": "))),0)),"-")</f>
        <v>-</v>
      </c>
      <c r="C1282" s="46" t="str" cm="1">
        <f t="array" ref="C1282">IFERROR(INDEX(#REF!,MATCH(TRUE,ISNUMBER(FIND(SUBSTITUTE(SUBSTITUTE(UPPER(#REF!)," ",""),":",": "),SUBSTITUTE(SUBSTITUTE(UPPER(S1282)," ",""),":",": "))),0)),"Não encontrado")</f>
        <v>Não encontrado</v>
      </c>
      <c r="D1282" s="46" t="str" cm="1">
        <f t="array" ref="D1282">IFERROR(INDEX(#REF!,MATCH(TRUE,ISNUMBER(FIND(SUBSTITUTE(SUBSTITUTE(UPPER(#REF!)," ",""),":",": "),SUBSTITUTE(SUBSTITUTE(UPPER(S1282)," ",""),":",": "))),0)),"Não encontrado")</f>
        <v>Não encontrado</v>
      </c>
      <c r="E1282" s="42" t="str" cm="1">
        <f t="array" ref="E1282">IFERROR(INDEX({"IMPEDITIVO"},MATCH(TRUE,ISNUMBER(FIND(SUBSTITUTE(SUBSTITUTE(UPPER({"IMPEDITIVO"})," ",""),":",": "),SUBSTITUTE(SUBSTITUTE(UPPER(S1282)," ",""),":",": "))),0)),"-")</f>
        <v>-</v>
      </c>
      <c r="K1282" s="49"/>
    </row>
    <row r="1283" spans="1:11" x14ac:dyDescent="0.25">
      <c r="A1283" s="46" t="str" cm="1">
        <f t="array" ref="A1283">IFERROR(INDEX(#REF!,MATCH(TRUE,ISNUMBER(FIND(SUBSTITUTE(SUBSTITUTE(UPPER(#REF!)," ",""),":",": "),SUBSTITUTE(SUBSTITUTE(UPPER(S1283)," ",""),":",": "))),0)),"Undefined")</f>
        <v>Undefined</v>
      </c>
      <c r="B1283" s="42" t="str" cm="1">
        <f t="array" ref="B1283">IFERROR(INDEX({"URGENTE"},MATCH(TRUE,ISNUMBER(FIND(SUBSTITUTE(SUBSTITUTE(UPPER({"URGENTE"})," ",""),":",": "),SUBSTITUTE(SUBSTITUTE(UPPER(S1283)," ",""),":",": "))),0)),"-")</f>
        <v>-</v>
      </c>
      <c r="C1283" s="46" t="str" cm="1">
        <f t="array" ref="C1283">IFERROR(INDEX(#REF!,MATCH(TRUE,ISNUMBER(FIND(SUBSTITUTE(SUBSTITUTE(UPPER(#REF!)," ",""),":",": "),SUBSTITUTE(SUBSTITUTE(UPPER(S1283)," ",""),":",": "))),0)),"Não encontrado")</f>
        <v>Não encontrado</v>
      </c>
      <c r="D1283" s="46" t="str" cm="1">
        <f t="array" ref="D1283">IFERROR(INDEX(#REF!,MATCH(TRUE,ISNUMBER(FIND(SUBSTITUTE(SUBSTITUTE(UPPER(#REF!)," ",""),":",": "),SUBSTITUTE(SUBSTITUTE(UPPER(S1283)," ",""),":",": "))),0)),"Não encontrado")</f>
        <v>Não encontrado</v>
      </c>
      <c r="E1283" s="42" t="str" cm="1">
        <f t="array" ref="E1283">IFERROR(INDEX({"IMPEDITIVO"},MATCH(TRUE,ISNUMBER(FIND(SUBSTITUTE(SUBSTITUTE(UPPER({"IMPEDITIVO"})," ",""),":",": "),SUBSTITUTE(SUBSTITUTE(UPPER(S1283)," ",""),":",": "))),0)),"-")</f>
        <v>-</v>
      </c>
      <c r="K1283" s="49"/>
    </row>
    <row r="1284" spans="1:11" x14ac:dyDescent="0.25">
      <c r="A1284" s="46" t="str" cm="1">
        <f t="array" ref="A1284">IFERROR(INDEX(#REF!,MATCH(TRUE,ISNUMBER(FIND(SUBSTITUTE(SUBSTITUTE(UPPER(#REF!)," ",""),":",": "),SUBSTITUTE(SUBSTITUTE(UPPER(S1284)," ",""),":",": "))),0)),"Undefined")</f>
        <v>Undefined</v>
      </c>
      <c r="B1284" s="42" t="str" cm="1">
        <f t="array" ref="B1284">IFERROR(INDEX({"URGENTE"},MATCH(TRUE,ISNUMBER(FIND(SUBSTITUTE(SUBSTITUTE(UPPER({"URGENTE"})," ",""),":",": "),SUBSTITUTE(SUBSTITUTE(UPPER(S1284)," ",""),":",": "))),0)),"-")</f>
        <v>-</v>
      </c>
      <c r="C1284" s="46" t="str" cm="1">
        <f t="array" ref="C1284">IFERROR(INDEX(#REF!,MATCH(TRUE,ISNUMBER(FIND(SUBSTITUTE(SUBSTITUTE(UPPER(#REF!)," ",""),":",": "),SUBSTITUTE(SUBSTITUTE(UPPER(S1284)," ",""),":",": "))),0)),"Não encontrado")</f>
        <v>Não encontrado</v>
      </c>
      <c r="D1284" s="46" t="str" cm="1">
        <f t="array" ref="D1284">IFERROR(INDEX(#REF!,MATCH(TRUE,ISNUMBER(FIND(SUBSTITUTE(SUBSTITUTE(UPPER(#REF!)," ",""),":",": "),SUBSTITUTE(SUBSTITUTE(UPPER(S1284)," ",""),":",": "))),0)),"Não encontrado")</f>
        <v>Não encontrado</v>
      </c>
      <c r="E1284" s="42" t="str" cm="1">
        <f t="array" ref="E1284">IFERROR(INDEX({"IMPEDITIVO"},MATCH(TRUE,ISNUMBER(FIND(SUBSTITUTE(SUBSTITUTE(UPPER({"IMPEDITIVO"})," ",""),":",": "),SUBSTITUTE(SUBSTITUTE(UPPER(S1284)," ",""),":",": "))),0)),"-")</f>
        <v>-</v>
      </c>
      <c r="K1284" s="49"/>
    </row>
    <row r="1285" spans="1:11" x14ac:dyDescent="0.25">
      <c r="A1285" s="46" t="str" cm="1">
        <f t="array" ref="A1285">IFERROR(INDEX(#REF!,MATCH(TRUE,ISNUMBER(FIND(SUBSTITUTE(SUBSTITUTE(UPPER(#REF!)," ",""),":",": "),SUBSTITUTE(SUBSTITUTE(UPPER(S1285)," ",""),":",": "))),0)),"Undefined")</f>
        <v>Undefined</v>
      </c>
      <c r="B1285" s="42" t="str" cm="1">
        <f t="array" ref="B1285">IFERROR(INDEX({"URGENTE"},MATCH(TRUE,ISNUMBER(FIND(SUBSTITUTE(SUBSTITUTE(UPPER({"URGENTE"})," ",""),":",": "),SUBSTITUTE(SUBSTITUTE(UPPER(S1285)," ",""),":",": "))),0)),"-")</f>
        <v>-</v>
      </c>
      <c r="C1285" s="46" t="str" cm="1">
        <f t="array" ref="C1285">IFERROR(INDEX(#REF!,MATCH(TRUE,ISNUMBER(FIND(SUBSTITUTE(SUBSTITUTE(UPPER(#REF!)," ",""),":",": "),SUBSTITUTE(SUBSTITUTE(UPPER(S1285)," ",""),":",": "))),0)),"Não encontrado")</f>
        <v>Não encontrado</v>
      </c>
      <c r="D1285" s="46" t="str" cm="1">
        <f t="array" ref="D1285">IFERROR(INDEX(#REF!,MATCH(TRUE,ISNUMBER(FIND(SUBSTITUTE(SUBSTITUTE(UPPER(#REF!)," ",""),":",": "),SUBSTITUTE(SUBSTITUTE(UPPER(S1285)," ",""),":",": "))),0)),"Não encontrado")</f>
        <v>Não encontrado</v>
      </c>
      <c r="E1285" s="42" t="str" cm="1">
        <f t="array" ref="E1285">IFERROR(INDEX({"IMPEDITIVO"},MATCH(TRUE,ISNUMBER(FIND(SUBSTITUTE(SUBSTITUTE(UPPER({"IMPEDITIVO"})," ",""),":",": "),SUBSTITUTE(SUBSTITUTE(UPPER(S1285)," ",""),":",": "))),0)),"-")</f>
        <v>-</v>
      </c>
      <c r="K1285" s="49"/>
    </row>
    <row r="1286" spans="1:11" x14ac:dyDescent="0.25">
      <c r="A1286" s="46" t="str" cm="1">
        <f t="array" ref="A1286">IFERROR(INDEX(#REF!,MATCH(TRUE,ISNUMBER(FIND(SUBSTITUTE(SUBSTITUTE(UPPER(#REF!)," ",""),":",": "),SUBSTITUTE(SUBSTITUTE(UPPER(S1286)," ",""),":",": "))),0)),"Undefined")</f>
        <v>Undefined</v>
      </c>
      <c r="B1286" s="42" t="str" cm="1">
        <f t="array" ref="B1286">IFERROR(INDEX({"URGENTE"},MATCH(TRUE,ISNUMBER(FIND(SUBSTITUTE(SUBSTITUTE(UPPER({"URGENTE"})," ",""),":",": "),SUBSTITUTE(SUBSTITUTE(UPPER(S1286)," ",""),":",": "))),0)),"-")</f>
        <v>-</v>
      </c>
      <c r="C1286" s="46" t="str" cm="1">
        <f t="array" ref="C1286">IFERROR(INDEX(#REF!,MATCH(TRUE,ISNUMBER(FIND(SUBSTITUTE(SUBSTITUTE(UPPER(#REF!)," ",""),":",": "),SUBSTITUTE(SUBSTITUTE(UPPER(S1286)," ",""),":",": "))),0)),"Não encontrado")</f>
        <v>Não encontrado</v>
      </c>
      <c r="D1286" s="46" t="str" cm="1">
        <f t="array" ref="D1286">IFERROR(INDEX(#REF!,MATCH(TRUE,ISNUMBER(FIND(SUBSTITUTE(SUBSTITUTE(UPPER(#REF!)," ",""),":",": "),SUBSTITUTE(SUBSTITUTE(UPPER(S1286)," ",""),":",": "))),0)),"Não encontrado")</f>
        <v>Não encontrado</v>
      </c>
      <c r="E1286" s="42" t="str" cm="1">
        <f t="array" ref="E1286">IFERROR(INDEX({"IMPEDITIVO"},MATCH(TRUE,ISNUMBER(FIND(SUBSTITUTE(SUBSTITUTE(UPPER({"IMPEDITIVO"})," ",""),":",": "),SUBSTITUTE(SUBSTITUTE(UPPER(S1286)," ",""),":",": "))),0)),"-")</f>
        <v>-</v>
      </c>
      <c r="K1286" s="49"/>
    </row>
    <row r="1287" spans="1:11" x14ac:dyDescent="0.25">
      <c r="A1287" s="46" t="str" cm="1">
        <f t="array" ref="A1287">IFERROR(INDEX(#REF!,MATCH(TRUE,ISNUMBER(FIND(SUBSTITUTE(SUBSTITUTE(UPPER(#REF!)," ",""),":",": "),SUBSTITUTE(SUBSTITUTE(UPPER(S1287)," ",""),":",": "))),0)),"Undefined")</f>
        <v>Undefined</v>
      </c>
      <c r="B1287" s="42" t="str" cm="1">
        <f t="array" ref="B1287">IFERROR(INDEX({"URGENTE"},MATCH(TRUE,ISNUMBER(FIND(SUBSTITUTE(SUBSTITUTE(UPPER({"URGENTE"})," ",""),":",": "),SUBSTITUTE(SUBSTITUTE(UPPER(S1287)," ",""),":",": "))),0)),"-")</f>
        <v>-</v>
      </c>
      <c r="C1287" s="46" t="str" cm="1">
        <f t="array" ref="C1287">IFERROR(INDEX(#REF!,MATCH(TRUE,ISNUMBER(FIND(SUBSTITUTE(SUBSTITUTE(UPPER(#REF!)," ",""),":",": "),SUBSTITUTE(SUBSTITUTE(UPPER(S1287)," ",""),":",": "))),0)),"Não encontrado")</f>
        <v>Não encontrado</v>
      </c>
      <c r="D1287" s="46" t="str" cm="1">
        <f t="array" ref="D1287">IFERROR(INDEX(#REF!,MATCH(TRUE,ISNUMBER(FIND(SUBSTITUTE(SUBSTITUTE(UPPER(#REF!)," ",""),":",": "),SUBSTITUTE(SUBSTITUTE(UPPER(S1287)," ",""),":",": "))),0)),"Não encontrado")</f>
        <v>Não encontrado</v>
      </c>
      <c r="E1287" s="42" t="str" cm="1">
        <f t="array" ref="E1287">IFERROR(INDEX({"IMPEDITIVO"},MATCH(TRUE,ISNUMBER(FIND(SUBSTITUTE(SUBSTITUTE(UPPER({"IMPEDITIVO"})," ",""),":",": "),SUBSTITUTE(SUBSTITUTE(UPPER(S1287)," ",""),":",": "))),0)),"-")</f>
        <v>-</v>
      </c>
      <c r="K1287" s="49"/>
    </row>
    <row r="1288" spans="1:11" x14ac:dyDescent="0.25">
      <c r="A1288" s="46" t="str" cm="1">
        <f t="array" ref="A1288">IFERROR(INDEX(#REF!,MATCH(TRUE,ISNUMBER(FIND(SUBSTITUTE(SUBSTITUTE(UPPER(#REF!)," ",""),":",": "),SUBSTITUTE(SUBSTITUTE(UPPER(S1288)," ",""),":",": "))),0)),"Undefined")</f>
        <v>Undefined</v>
      </c>
      <c r="B1288" s="42" t="str" cm="1">
        <f t="array" ref="B1288">IFERROR(INDEX({"URGENTE"},MATCH(TRUE,ISNUMBER(FIND(SUBSTITUTE(SUBSTITUTE(UPPER({"URGENTE"})," ",""),":",": "),SUBSTITUTE(SUBSTITUTE(UPPER(S1288)," ",""),":",": "))),0)),"-")</f>
        <v>-</v>
      </c>
      <c r="C1288" s="46" t="str" cm="1">
        <f t="array" ref="C1288">IFERROR(INDEX(#REF!,MATCH(TRUE,ISNUMBER(FIND(SUBSTITUTE(SUBSTITUTE(UPPER(#REF!)," ",""),":",": "),SUBSTITUTE(SUBSTITUTE(UPPER(S1288)," ",""),":",": "))),0)),"Não encontrado")</f>
        <v>Não encontrado</v>
      </c>
      <c r="D1288" s="46" t="str" cm="1">
        <f t="array" ref="D1288">IFERROR(INDEX(#REF!,MATCH(TRUE,ISNUMBER(FIND(SUBSTITUTE(SUBSTITUTE(UPPER(#REF!)," ",""),":",": "),SUBSTITUTE(SUBSTITUTE(UPPER(S1288)," ",""),":",": "))),0)),"Não encontrado")</f>
        <v>Não encontrado</v>
      </c>
      <c r="E1288" s="42" t="str" cm="1">
        <f t="array" ref="E1288">IFERROR(INDEX({"IMPEDITIVO"},MATCH(TRUE,ISNUMBER(FIND(SUBSTITUTE(SUBSTITUTE(UPPER({"IMPEDITIVO"})," ",""),":",": "),SUBSTITUTE(SUBSTITUTE(UPPER(S1288)," ",""),":",": "))),0)),"-")</f>
        <v>-</v>
      </c>
      <c r="K1288" s="49"/>
    </row>
    <row r="1289" spans="1:11" x14ac:dyDescent="0.25">
      <c r="A1289" s="46" t="str" cm="1">
        <f t="array" ref="A1289">IFERROR(INDEX(#REF!,MATCH(TRUE,ISNUMBER(FIND(SUBSTITUTE(SUBSTITUTE(UPPER(#REF!)," ",""),":",": "),SUBSTITUTE(SUBSTITUTE(UPPER(S1289)," ",""),":",": "))),0)),"Undefined")</f>
        <v>Undefined</v>
      </c>
      <c r="B1289" s="42" t="str" cm="1">
        <f t="array" ref="B1289">IFERROR(INDEX({"URGENTE"},MATCH(TRUE,ISNUMBER(FIND(SUBSTITUTE(SUBSTITUTE(UPPER({"URGENTE"})," ",""),":",": "),SUBSTITUTE(SUBSTITUTE(UPPER(S1289)," ",""),":",": "))),0)),"-")</f>
        <v>-</v>
      </c>
      <c r="C1289" s="46" t="str" cm="1">
        <f t="array" ref="C1289">IFERROR(INDEX(#REF!,MATCH(TRUE,ISNUMBER(FIND(SUBSTITUTE(SUBSTITUTE(UPPER(#REF!)," ",""),":",": "),SUBSTITUTE(SUBSTITUTE(UPPER(S1289)," ",""),":",": "))),0)),"Não encontrado")</f>
        <v>Não encontrado</v>
      </c>
      <c r="D1289" s="46" t="str" cm="1">
        <f t="array" ref="D1289">IFERROR(INDEX(#REF!,MATCH(TRUE,ISNUMBER(FIND(SUBSTITUTE(SUBSTITUTE(UPPER(#REF!)," ",""),":",": "),SUBSTITUTE(SUBSTITUTE(UPPER(S1289)," ",""),":",": "))),0)),"Não encontrado")</f>
        <v>Não encontrado</v>
      </c>
      <c r="E1289" s="42" t="str" cm="1">
        <f t="array" ref="E1289">IFERROR(INDEX({"IMPEDITIVO"},MATCH(TRUE,ISNUMBER(FIND(SUBSTITUTE(SUBSTITUTE(UPPER({"IMPEDITIVO"})," ",""),":",": "),SUBSTITUTE(SUBSTITUTE(UPPER(S1289)," ",""),":",": "))),0)),"-")</f>
        <v>-</v>
      </c>
      <c r="K1289" s="49"/>
    </row>
    <row r="1290" spans="1:11" x14ac:dyDescent="0.25">
      <c r="A1290" s="46" t="str" cm="1">
        <f t="array" ref="A1290">IFERROR(INDEX(#REF!,MATCH(TRUE,ISNUMBER(FIND(SUBSTITUTE(SUBSTITUTE(UPPER(#REF!)," ",""),":",": "),SUBSTITUTE(SUBSTITUTE(UPPER(S1290)," ",""),":",": "))),0)),"Undefined")</f>
        <v>Undefined</v>
      </c>
      <c r="B1290" s="42" t="str" cm="1">
        <f t="array" ref="B1290">IFERROR(INDEX({"URGENTE"},MATCH(TRUE,ISNUMBER(FIND(SUBSTITUTE(SUBSTITUTE(UPPER({"URGENTE"})," ",""),":",": "),SUBSTITUTE(SUBSTITUTE(UPPER(S1290)," ",""),":",": "))),0)),"-")</f>
        <v>-</v>
      </c>
      <c r="C1290" s="46" t="str" cm="1">
        <f t="array" ref="C1290">IFERROR(INDEX(#REF!,MATCH(TRUE,ISNUMBER(FIND(SUBSTITUTE(SUBSTITUTE(UPPER(#REF!)," ",""),":",": "),SUBSTITUTE(SUBSTITUTE(UPPER(S1290)," ",""),":",": "))),0)),"Não encontrado")</f>
        <v>Não encontrado</v>
      </c>
      <c r="D1290" s="46" t="str" cm="1">
        <f t="array" ref="D1290">IFERROR(INDEX(#REF!,MATCH(TRUE,ISNUMBER(FIND(SUBSTITUTE(SUBSTITUTE(UPPER(#REF!)," ",""),":",": "),SUBSTITUTE(SUBSTITUTE(UPPER(S1290)," ",""),":",": "))),0)),"Não encontrado")</f>
        <v>Não encontrado</v>
      </c>
      <c r="E1290" s="42" t="str" cm="1">
        <f t="array" ref="E1290">IFERROR(INDEX({"IMPEDITIVO"},MATCH(TRUE,ISNUMBER(FIND(SUBSTITUTE(SUBSTITUTE(UPPER({"IMPEDITIVO"})," ",""),":",": "),SUBSTITUTE(SUBSTITUTE(UPPER(S1290)," ",""),":",": "))),0)),"-")</f>
        <v>-</v>
      </c>
      <c r="K1290" s="49"/>
    </row>
    <row r="1291" spans="1:11" x14ac:dyDescent="0.25">
      <c r="A1291" s="46" t="str" cm="1">
        <f t="array" ref="A1291">IFERROR(INDEX(#REF!,MATCH(TRUE,ISNUMBER(FIND(SUBSTITUTE(SUBSTITUTE(UPPER(#REF!)," ",""),":",": "),SUBSTITUTE(SUBSTITUTE(UPPER(S1291)," ",""),":",": "))),0)),"Undefined")</f>
        <v>Undefined</v>
      </c>
      <c r="B1291" s="42" t="str" cm="1">
        <f t="array" ref="B1291">IFERROR(INDEX({"URGENTE"},MATCH(TRUE,ISNUMBER(FIND(SUBSTITUTE(SUBSTITUTE(UPPER({"URGENTE"})," ",""),":",": "),SUBSTITUTE(SUBSTITUTE(UPPER(S1291)," ",""),":",": "))),0)),"-")</f>
        <v>-</v>
      </c>
      <c r="C1291" s="46" t="str" cm="1">
        <f t="array" ref="C1291">IFERROR(INDEX(#REF!,MATCH(TRUE,ISNUMBER(FIND(SUBSTITUTE(SUBSTITUTE(UPPER(#REF!)," ",""),":",": "),SUBSTITUTE(SUBSTITUTE(UPPER(S1291)," ",""),":",": "))),0)),"Não encontrado")</f>
        <v>Não encontrado</v>
      </c>
      <c r="D1291" s="46" t="str" cm="1">
        <f t="array" ref="D1291">IFERROR(INDEX(#REF!,MATCH(TRUE,ISNUMBER(FIND(SUBSTITUTE(SUBSTITUTE(UPPER(#REF!)," ",""),":",": "),SUBSTITUTE(SUBSTITUTE(UPPER(S1291)," ",""),":",": "))),0)),"Não encontrado")</f>
        <v>Não encontrado</v>
      </c>
      <c r="E1291" s="42" t="str" cm="1">
        <f t="array" ref="E1291">IFERROR(INDEX({"IMPEDITIVO"},MATCH(TRUE,ISNUMBER(FIND(SUBSTITUTE(SUBSTITUTE(UPPER({"IMPEDITIVO"})," ",""),":",": "),SUBSTITUTE(SUBSTITUTE(UPPER(S1291)," ",""),":",": "))),0)),"-")</f>
        <v>-</v>
      </c>
      <c r="K1291" s="49"/>
    </row>
    <row r="1292" spans="1:11" x14ac:dyDescent="0.25">
      <c r="A1292" s="46" t="str" cm="1">
        <f t="array" ref="A1292">IFERROR(INDEX(#REF!,MATCH(TRUE,ISNUMBER(FIND(SUBSTITUTE(SUBSTITUTE(UPPER(#REF!)," ",""),":",": "),SUBSTITUTE(SUBSTITUTE(UPPER(S1292)," ",""),":",": "))),0)),"Undefined")</f>
        <v>Undefined</v>
      </c>
      <c r="B1292" s="42" t="str" cm="1">
        <f t="array" ref="B1292">IFERROR(INDEX({"URGENTE"},MATCH(TRUE,ISNUMBER(FIND(SUBSTITUTE(SUBSTITUTE(UPPER({"URGENTE"})," ",""),":",": "),SUBSTITUTE(SUBSTITUTE(UPPER(S1292)," ",""),":",": "))),0)),"-")</f>
        <v>-</v>
      </c>
      <c r="C1292" s="46" t="str" cm="1">
        <f t="array" ref="C1292">IFERROR(INDEX(#REF!,MATCH(TRUE,ISNUMBER(FIND(SUBSTITUTE(SUBSTITUTE(UPPER(#REF!)," ",""),":",": "),SUBSTITUTE(SUBSTITUTE(UPPER(S1292)," ",""),":",": "))),0)),"Não encontrado")</f>
        <v>Não encontrado</v>
      </c>
      <c r="D1292" s="46" t="str" cm="1">
        <f t="array" ref="D1292">IFERROR(INDEX(#REF!,MATCH(TRUE,ISNUMBER(FIND(SUBSTITUTE(SUBSTITUTE(UPPER(#REF!)," ",""),":",": "),SUBSTITUTE(SUBSTITUTE(UPPER(S1292)," ",""),":",": "))),0)),"Não encontrado")</f>
        <v>Não encontrado</v>
      </c>
      <c r="E1292" s="42" t="str" cm="1">
        <f t="array" ref="E1292">IFERROR(INDEX({"IMPEDITIVO"},MATCH(TRUE,ISNUMBER(FIND(SUBSTITUTE(SUBSTITUTE(UPPER({"IMPEDITIVO"})," ",""),":",": "),SUBSTITUTE(SUBSTITUTE(UPPER(S1292)," ",""),":",": "))),0)),"-")</f>
        <v>-</v>
      </c>
      <c r="K1292" s="49"/>
    </row>
    <row r="1293" spans="1:11" x14ac:dyDescent="0.25">
      <c r="A1293" s="46" t="str" cm="1">
        <f t="array" ref="A1293">IFERROR(INDEX(#REF!,MATCH(TRUE,ISNUMBER(FIND(SUBSTITUTE(SUBSTITUTE(UPPER(#REF!)," ",""),":",": "),SUBSTITUTE(SUBSTITUTE(UPPER(S1293)," ",""),":",": "))),0)),"Undefined")</f>
        <v>Undefined</v>
      </c>
      <c r="B1293" s="42" t="str" cm="1">
        <f t="array" ref="B1293">IFERROR(INDEX({"URGENTE"},MATCH(TRUE,ISNUMBER(FIND(SUBSTITUTE(SUBSTITUTE(UPPER({"URGENTE"})," ",""),":",": "),SUBSTITUTE(SUBSTITUTE(UPPER(S1293)," ",""),":",": "))),0)),"-")</f>
        <v>-</v>
      </c>
      <c r="C1293" s="46" t="str" cm="1">
        <f t="array" ref="C1293">IFERROR(INDEX(#REF!,MATCH(TRUE,ISNUMBER(FIND(SUBSTITUTE(SUBSTITUTE(UPPER(#REF!)," ",""),":",": "),SUBSTITUTE(SUBSTITUTE(UPPER(S1293)," ",""),":",": "))),0)),"Não encontrado")</f>
        <v>Não encontrado</v>
      </c>
      <c r="D1293" s="46" t="str" cm="1">
        <f t="array" ref="D1293">IFERROR(INDEX(#REF!,MATCH(TRUE,ISNUMBER(FIND(SUBSTITUTE(SUBSTITUTE(UPPER(#REF!)," ",""),":",": "),SUBSTITUTE(SUBSTITUTE(UPPER(S1293)," ",""),":",": "))),0)),"Não encontrado")</f>
        <v>Não encontrado</v>
      </c>
      <c r="E1293" s="42" t="str" cm="1">
        <f t="array" ref="E1293">IFERROR(INDEX({"IMPEDITIVO"},MATCH(TRUE,ISNUMBER(FIND(SUBSTITUTE(SUBSTITUTE(UPPER({"IMPEDITIVO"})," ",""),":",": "),SUBSTITUTE(SUBSTITUTE(UPPER(S1293)," ",""),":",": "))),0)),"-")</f>
        <v>-</v>
      </c>
      <c r="K1293" s="49"/>
    </row>
    <row r="1294" spans="1:11" x14ac:dyDescent="0.25">
      <c r="A1294" s="46" t="str" cm="1">
        <f t="array" ref="A1294">IFERROR(INDEX(#REF!,MATCH(TRUE,ISNUMBER(FIND(SUBSTITUTE(SUBSTITUTE(UPPER(#REF!)," ",""),":",": "),SUBSTITUTE(SUBSTITUTE(UPPER(S1294)," ",""),":",": "))),0)),"Undefined")</f>
        <v>Undefined</v>
      </c>
      <c r="B1294" s="42" t="str" cm="1">
        <f t="array" ref="B1294">IFERROR(INDEX({"URGENTE"},MATCH(TRUE,ISNUMBER(FIND(SUBSTITUTE(SUBSTITUTE(UPPER({"URGENTE"})," ",""),":",": "),SUBSTITUTE(SUBSTITUTE(UPPER(S1294)," ",""),":",": "))),0)),"-")</f>
        <v>-</v>
      </c>
      <c r="C1294" s="46" t="str" cm="1">
        <f t="array" ref="C1294">IFERROR(INDEX(#REF!,MATCH(TRUE,ISNUMBER(FIND(SUBSTITUTE(SUBSTITUTE(UPPER(#REF!)," ",""),":",": "),SUBSTITUTE(SUBSTITUTE(UPPER(S1294)," ",""),":",": "))),0)),"Não encontrado")</f>
        <v>Não encontrado</v>
      </c>
      <c r="D1294" s="46" t="str" cm="1">
        <f t="array" ref="D1294">IFERROR(INDEX(#REF!,MATCH(TRUE,ISNUMBER(FIND(SUBSTITUTE(SUBSTITUTE(UPPER(#REF!)," ",""),":",": "),SUBSTITUTE(SUBSTITUTE(UPPER(S1294)," ",""),":",": "))),0)),"Não encontrado")</f>
        <v>Não encontrado</v>
      </c>
      <c r="E1294" s="42" t="str" cm="1">
        <f t="array" ref="E1294">IFERROR(INDEX({"IMPEDITIVO"},MATCH(TRUE,ISNUMBER(FIND(SUBSTITUTE(SUBSTITUTE(UPPER({"IMPEDITIVO"})," ",""),":",": "),SUBSTITUTE(SUBSTITUTE(UPPER(S1294)," ",""),":",": "))),0)),"-")</f>
        <v>-</v>
      </c>
      <c r="K1294" s="49"/>
    </row>
    <row r="1295" spans="1:11" x14ac:dyDescent="0.25">
      <c r="A1295" s="46" t="str" cm="1">
        <f t="array" ref="A1295">IFERROR(INDEX(#REF!,MATCH(TRUE,ISNUMBER(FIND(SUBSTITUTE(SUBSTITUTE(UPPER(#REF!)," ",""),":",": "),SUBSTITUTE(SUBSTITUTE(UPPER(S1295)," ",""),":",": "))),0)),"Undefined")</f>
        <v>Undefined</v>
      </c>
      <c r="B1295" s="42" t="str" cm="1">
        <f t="array" ref="B1295">IFERROR(INDEX({"URGENTE"},MATCH(TRUE,ISNUMBER(FIND(SUBSTITUTE(SUBSTITUTE(UPPER({"URGENTE"})," ",""),":",": "),SUBSTITUTE(SUBSTITUTE(UPPER(S1295)," ",""),":",": "))),0)),"-")</f>
        <v>-</v>
      </c>
      <c r="C1295" s="46" t="str" cm="1">
        <f t="array" ref="C1295">IFERROR(INDEX(#REF!,MATCH(TRUE,ISNUMBER(FIND(SUBSTITUTE(SUBSTITUTE(UPPER(#REF!)," ",""),":",": "),SUBSTITUTE(SUBSTITUTE(UPPER(S1295)," ",""),":",": "))),0)),"Não encontrado")</f>
        <v>Não encontrado</v>
      </c>
      <c r="D1295" s="46" t="str" cm="1">
        <f t="array" ref="D1295">IFERROR(INDEX(#REF!,MATCH(TRUE,ISNUMBER(FIND(SUBSTITUTE(SUBSTITUTE(UPPER(#REF!)," ",""),":",": "),SUBSTITUTE(SUBSTITUTE(UPPER(S1295)," ",""),":",": "))),0)),"Não encontrado")</f>
        <v>Não encontrado</v>
      </c>
      <c r="E1295" s="42" t="str" cm="1">
        <f t="array" ref="E1295">IFERROR(INDEX({"IMPEDITIVO"},MATCH(TRUE,ISNUMBER(FIND(SUBSTITUTE(SUBSTITUTE(UPPER({"IMPEDITIVO"})," ",""),":",": "),SUBSTITUTE(SUBSTITUTE(UPPER(S1295)," ",""),":",": "))),0)),"-")</f>
        <v>-</v>
      </c>
      <c r="K1295" s="49"/>
    </row>
    <row r="1296" spans="1:11" x14ac:dyDescent="0.25">
      <c r="A1296" s="46" t="str" cm="1">
        <f t="array" ref="A1296">IFERROR(INDEX(#REF!,MATCH(TRUE,ISNUMBER(FIND(SUBSTITUTE(SUBSTITUTE(UPPER(#REF!)," ",""),":",": "),SUBSTITUTE(SUBSTITUTE(UPPER(S1296)," ",""),":",": "))),0)),"Undefined")</f>
        <v>Undefined</v>
      </c>
      <c r="B1296" s="42" t="str" cm="1">
        <f t="array" ref="B1296">IFERROR(INDEX({"URGENTE"},MATCH(TRUE,ISNUMBER(FIND(SUBSTITUTE(SUBSTITUTE(UPPER({"URGENTE"})," ",""),":",": "),SUBSTITUTE(SUBSTITUTE(UPPER(S1296)," ",""),":",": "))),0)),"-")</f>
        <v>-</v>
      </c>
      <c r="C1296" s="46" t="str" cm="1">
        <f t="array" ref="C1296">IFERROR(INDEX(#REF!,MATCH(TRUE,ISNUMBER(FIND(SUBSTITUTE(SUBSTITUTE(UPPER(#REF!)," ",""),":",": "),SUBSTITUTE(SUBSTITUTE(UPPER(S1296)," ",""),":",": "))),0)),"Não encontrado")</f>
        <v>Não encontrado</v>
      </c>
      <c r="D1296" s="46" t="str" cm="1">
        <f t="array" ref="D1296">IFERROR(INDEX(#REF!,MATCH(TRUE,ISNUMBER(FIND(SUBSTITUTE(SUBSTITUTE(UPPER(#REF!)," ",""),":",": "),SUBSTITUTE(SUBSTITUTE(UPPER(S1296)," ",""),":",": "))),0)),"Não encontrado")</f>
        <v>Não encontrado</v>
      </c>
      <c r="E1296" s="42" t="str" cm="1">
        <f t="array" ref="E1296">IFERROR(INDEX({"IMPEDITIVO"},MATCH(TRUE,ISNUMBER(FIND(SUBSTITUTE(SUBSTITUTE(UPPER({"IMPEDITIVO"})," ",""),":",": "),SUBSTITUTE(SUBSTITUTE(UPPER(S1296)," ",""),":",": "))),0)),"-")</f>
        <v>-</v>
      </c>
      <c r="K1296" s="49"/>
    </row>
    <row r="1297" spans="1:11" x14ac:dyDescent="0.25">
      <c r="A1297" s="46" t="str" cm="1">
        <f t="array" ref="A1297">IFERROR(INDEX(#REF!,MATCH(TRUE,ISNUMBER(FIND(SUBSTITUTE(SUBSTITUTE(UPPER(#REF!)," ",""),":",": "),SUBSTITUTE(SUBSTITUTE(UPPER(S1297)," ",""),":",": "))),0)),"Undefined")</f>
        <v>Undefined</v>
      </c>
      <c r="B1297" s="42" t="str" cm="1">
        <f t="array" ref="B1297">IFERROR(INDEX({"URGENTE"},MATCH(TRUE,ISNUMBER(FIND(SUBSTITUTE(SUBSTITUTE(UPPER({"URGENTE"})," ",""),":",": "),SUBSTITUTE(SUBSTITUTE(UPPER(S1297)," ",""),":",": "))),0)),"-")</f>
        <v>-</v>
      </c>
      <c r="C1297" s="46" t="str" cm="1">
        <f t="array" ref="C1297">IFERROR(INDEX(#REF!,MATCH(TRUE,ISNUMBER(FIND(SUBSTITUTE(SUBSTITUTE(UPPER(#REF!)," ",""),":",": "),SUBSTITUTE(SUBSTITUTE(UPPER(S1297)," ",""),":",": "))),0)),"Não encontrado")</f>
        <v>Não encontrado</v>
      </c>
      <c r="D1297" s="46" t="str" cm="1">
        <f t="array" ref="D1297">IFERROR(INDEX(#REF!,MATCH(TRUE,ISNUMBER(FIND(SUBSTITUTE(SUBSTITUTE(UPPER(#REF!)," ",""),":",": "),SUBSTITUTE(SUBSTITUTE(UPPER(S1297)," ",""),":",": "))),0)),"Não encontrado")</f>
        <v>Não encontrado</v>
      </c>
      <c r="E1297" s="42" t="str" cm="1">
        <f t="array" ref="E1297">IFERROR(INDEX({"IMPEDITIVO"},MATCH(TRUE,ISNUMBER(FIND(SUBSTITUTE(SUBSTITUTE(UPPER({"IMPEDITIVO"})," ",""),":",": "),SUBSTITUTE(SUBSTITUTE(UPPER(S1297)," ",""),":",": "))),0)),"-")</f>
        <v>-</v>
      </c>
      <c r="K1297" s="49"/>
    </row>
    <row r="1298" spans="1:11" x14ac:dyDescent="0.25">
      <c r="A1298" s="46" t="str" cm="1">
        <f t="array" ref="A1298">IFERROR(INDEX(#REF!,MATCH(TRUE,ISNUMBER(FIND(SUBSTITUTE(SUBSTITUTE(UPPER(#REF!)," ",""),":",": "),SUBSTITUTE(SUBSTITUTE(UPPER(S1298)," ",""),":",": "))),0)),"Undefined")</f>
        <v>Undefined</v>
      </c>
      <c r="B1298" s="42" t="str" cm="1">
        <f t="array" ref="B1298">IFERROR(INDEX({"URGENTE"},MATCH(TRUE,ISNUMBER(FIND(SUBSTITUTE(SUBSTITUTE(UPPER({"URGENTE"})," ",""),":",": "),SUBSTITUTE(SUBSTITUTE(UPPER(S1298)," ",""),":",": "))),0)),"-")</f>
        <v>-</v>
      </c>
      <c r="C1298" s="46" t="str" cm="1">
        <f t="array" ref="C1298">IFERROR(INDEX(#REF!,MATCH(TRUE,ISNUMBER(FIND(SUBSTITUTE(SUBSTITUTE(UPPER(#REF!)," ",""),":",": "),SUBSTITUTE(SUBSTITUTE(UPPER(S1298)," ",""),":",": "))),0)),"Não encontrado")</f>
        <v>Não encontrado</v>
      </c>
      <c r="D1298" s="46" t="str" cm="1">
        <f t="array" ref="D1298">IFERROR(INDEX(#REF!,MATCH(TRUE,ISNUMBER(FIND(SUBSTITUTE(SUBSTITUTE(UPPER(#REF!)," ",""),":",": "),SUBSTITUTE(SUBSTITUTE(UPPER(S1298)," ",""),":",": "))),0)),"Não encontrado")</f>
        <v>Não encontrado</v>
      </c>
      <c r="E1298" s="42" t="str" cm="1">
        <f t="array" ref="E1298">IFERROR(INDEX({"IMPEDITIVO"},MATCH(TRUE,ISNUMBER(FIND(SUBSTITUTE(SUBSTITUTE(UPPER({"IMPEDITIVO"})," ",""),":",": "),SUBSTITUTE(SUBSTITUTE(UPPER(S1298)," ",""),":",": "))),0)),"-")</f>
        <v>-</v>
      </c>
      <c r="K1298" s="49"/>
    </row>
    <row r="1299" spans="1:11" x14ac:dyDescent="0.25">
      <c r="A1299" s="46" t="str" cm="1">
        <f t="array" ref="A1299">IFERROR(INDEX(#REF!,MATCH(TRUE,ISNUMBER(FIND(SUBSTITUTE(SUBSTITUTE(UPPER(#REF!)," ",""),":",": "),SUBSTITUTE(SUBSTITUTE(UPPER(S1299)," ",""),":",": "))),0)),"Undefined")</f>
        <v>Undefined</v>
      </c>
      <c r="B1299" s="42" t="str" cm="1">
        <f t="array" ref="B1299">IFERROR(INDEX({"URGENTE"},MATCH(TRUE,ISNUMBER(FIND(SUBSTITUTE(SUBSTITUTE(UPPER({"URGENTE"})," ",""),":",": "),SUBSTITUTE(SUBSTITUTE(UPPER(S1299)," ",""),":",": "))),0)),"-")</f>
        <v>-</v>
      </c>
      <c r="C1299" s="46" t="str" cm="1">
        <f t="array" ref="C1299">IFERROR(INDEX(#REF!,MATCH(TRUE,ISNUMBER(FIND(SUBSTITUTE(SUBSTITUTE(UPPER(#REF!)," ",""),":",": "),SUBSTITUTE(SUBSTITUTE(UPPER(S1299)," ",""),":",": "))),0)),"Não encontrado")</f>
        <v>Não encontrado</v>
      </c>
      <c r="D1299" s="46" t="str" cm="1">
        <f t="array" ref="D1299">IFERROR(INDEX(#REF!,MATCH(TRUE,ISNUMBER(FIND(SUBSTITUTE(SUBSTITUTE(UPPER(#REF!)," ",""),":",": "),SUBSTITUTE(SUBSTITUTE(UPPER(S1299)," ",""),":",": "))),0)),"Não encontrado")</f>
        <v>Não encontrado</v>
      </c>
      <c r="E1299" s="42" t="str" cm="1">
        <f t="array" ref="E1299">IFERROR(INDEX({"IMPEDITIVO"},MATCH(TRUE,ISNUMBER(FIND(SUBSTITUTE(SUBSTITUTE(UPPER({"IMPEDITIVO"})," ",""),":",": "),SUBSTITUTE(SUBSTITUTE(UPPER(S1299)," ",""),":",": "))),0)),"-")</f>
        <v>-</v>
      </c>
      <c r="K1299" s="49"/>
    </row>
    <row r="1300" spans="1:11" x14ac:dyDescent="0.25">
      <c r="A1300" s="46" t="str" cm="1">
        <f t="array" ref="A1300">IFERROR(INDEX(#REF!,MATCH(TRUE,ISNUMBER(FIND(SUBSTITUTE(SUBSTITUTE(UPPER(#REF!)," ",""),":",": "),SUBSTITUTE(SUBSTITUTE(UPPER(S1300)," ",""),":",": "))),0)),"Undefined")</f>
        <v>Undefined</v>
      </c>
      <c r="B1300" s="42" t="str" cm="1">
        <f t="array" ref="B1300">IFERROR(INDEX({"URGENTE"},MATCH(TRUE,ISNUMBER(FIND(SUBSTITUTE(SUBSTITUTE(UPPER({"URGENTE"})," ",""),":",": "),SUBSTITUTE(SUBSTITUTE(UPPER(S1300)," ",""),":",": "))),0)),"-")</f>
        <v>-</v>
      </c>
      <c r="C1300" s="46" t="str" cm="1">
        <f t="array" ref="C1300">IFERROR(INDEX(#REF!,MATCH(TRUE,ISNUMBER(FIND(SUBSTITUTE(SUBSTITUTE(UPPER(#REF!)," ",""),":",": "),SUBSTITUTE(SUBSTITUTE(UPPER(S1300)," ",""),":",": "))),0)),"Não encontrado")</f>
        <v>Não encontrado</v>
      </c>
      <c r="D1300" s="46" t="str" cm="1">
        <f t="array" ref="D1300">IFERROR(INDEX(#REF!,MATCH(TRUE,ISNUMBER(FIND(SUBSTITUTE(SUBSTITUTE(UPPER(#REF!)," ",""),":",": "),SUBSTITUTE(SUBSTITUTE(UPPER(S1300)," ",""),":",": "))),0)),"Não encontrado")</f>
        <v>Não encontrado</v>
      </c>
      <c r="E1300" s="42" t="str" cm="1">
        <f t="array" ref="E1300">IFERROR(INDEX({"IMPEDITIVO"},MATCH(TRUE,ISNUMBER(FIND(SUBSTITUTE(SUBSTITUTE(UPPER({"IMPEDITIVO"})," ",""),":",": "),SUBSTITUTE(SUBSTITUTE(UPPER(S1300)," ",""),":",": "))),0)),"-")</f>
        <v>-</v>
      </c>
      <c r="K1300" s="49"/>
    </row>
    <row r="1301" spans="1:11" x14ac:dyDescent="0.25">
      <c r="A1301" s="46" t="str" cm="1">
        <f t="array" ref="A1301">IFERROR(INDEX(#REF!,MATCH(TRUE,ISNUMBER(FIND(SUBSTITUTE(SUBSTITUTE(UPPER(#REF!)," ",""),":",": "),SUBSTITUTE(SUBSTITUTE(UPPER(S1301)," ",""),":",": "))),0)),"Undefined")</f>
        <v>Undefined</v>
      </c>
      <c r="B1301" s="42" t="str" cm="1">
        <f t="array" ref="B1301">IFERROR(INDEX({"URGENTE"},MATCH(TRUE,ISNUMBER(FIND(SUBSTITUTE(SUBSTITUTE(UPPER({"URGENTE"})," ",""),":",": "),SUBSTITUTE(SUBSTITUTE(UPPER(S1301)," ",""),":",": "))),0)),"-")</f>
        <v>-</v>
      </c>
      <c r="C1301" s="46" t="str" cm="1">
        <f t="array" ref="C1301">IFERROR(INDEX(#REF!,MATCH(TRUE,ISNUMBER(FIND(SUBSTITUTE(SUBSTITUTE(UPPER(#REF!)," ",""),":",": "),SUBSTITUTE(SUBSTITUTE(UPPER(S1301)," ",""),":",": "))),0)),"Não encontrado")</f>
        <v>Não encontrado</v>
      </c>
      <c r="D1301" s="46" t="str" cm="1">
        <f t="array" ref="D1301">IFERROR(INDEX(#REF!,MATCH(TRUE,ISNUMBER(FIND(SUBSTITUTE(SUBSTITUTE(UPPER(#REF!)," ",""),":",": "),SUBSTITUTE(SUBSTITUTE(UPPER(S1301)," ",""),":",": "))),0)),"Não encontrado")</f>
        <v>Não encontrado</v>
      </c>
      <c r="E1301" s="42" t="str" cm="1">
        <f t="array" ref="E1301">IFERROR(INDEX({"IMPEDITIVO"},MATCH(TRUE,ISNUMBER(FIND(SUBSTITUTE(SUBSTITUTE(UPPER({"IMPEDITIVO"})," ",""),":",": "),SUBSTITUTE(SUBSTITUTE(UPPER(S1301)," ",""),":",": "))),0)),"-")</f>
        <v>-</v>
      </c>
      <c r="K1301" s="49"/>
    </row>
    <row r="1302" spans="1:11" x14ac:dyDescent="0.25">
      <c r="A1302" s="46" t="str" cm="1">
        <f t="array" ref="A1302">IFERROR(INDEX(#REF!,MATCH(TRUE,ISNUMBER(FIND(SUBSTITUTE(SUBSTITUTE(UPPER(#REF!)," ",""),":",": "),SUBSTITUTE(SUBSTITUTE(UPPER(S1302)," ",""),":",": "))),0)),"Undefined")</f>
        <v>Undefined</v>
      </c>
      <c r="B1302" s="42" t="str" cm="1">
        <f t="array" ref="B1302">IFERROR(INDEX({"URGENTE"},MATCH(TRUE,ISNUMBER(FIND(SUBSTITUTE(SUBSTITUTE(UPPER({"URGENTE"})," ",""),":",": "),SUBSTITUTE(SUBSTITUTE(UPPER(S1302)," ",""),":",": "))),0)),"-")</f>
        <v>-</v>
      </c>
      <c r="C1302" s="46" t="str" cm="1">
        <f t="array" ref="C1302">IFERROR(INDEX(#REF!,MATCH(TRUE,ISNUMBER(FIND(SUBSTITUTE(SUBSTITUTE(UPPER(#REF!)," ",""),":",": "),SUBSTITUTE(SUBSTITUTE(UPPER(S1302)," ",""),":",": "))),0)),"Não encontrado")</f>
        <v>Não encontrado</v>
      </c>
      <c r="D1302" s="46" t="str" cm="1">
        <f t="array" ref="D1302">IFERROR(INDEX(#REF!,MATCH(TRUE,ISNUMBER(FIND(SUBSTITUTE(SUBSTITUTE(UPPER(#REF!)," ",""),":",": "),SUBSTITUTE(SUBSTITUTE(UPPER(S1302)," ",""),":",": "))),0)),"Não encontrado")</f>
        <v>Não encontrado</v>
      </c>
      <c r="E1302" s="42" t="str" cm="1">
        <f t="array" ref="E1302">IFERROR(INDEX({"IMPEDITIVO"},MATCH(TRUE,ISNUMBER(FIND(SUBSTITUTE(SUBSTITUTE(UPPER({"IMPEDITIVO"})," ",""),":",": "),SUBSTITUTE(SUBSTITUTE(UPPER(S1302)," ",""),":",": "))),0)),"-")</f>
        <v>-</v>
      </c>
      <c r="K1302" s="49"/>
    </row>
    <row r="1303" spans="1:11" x14ac:dyDescent="0.25">
      <c r="A1303" s="46" t="str" cm="1">
        <f t="array" ref="A1303">IFERROR(INDEX(#REF!,MATCH(TRUE,ISNUMBER(FIND(SUBSTITUTE(SUBSTITUTE(UPPER(#REF!)," ",""),":",": "),SUBSTITUTE(SUBSTITUTE(UPPER(S1303)," ",""),":",": "))),0)),"Undefined")</f>
        <v>Undefined</v>
      </c>
      <c r="B1303" s="42" t="str" cm="1">
        <f t="array" ref="B1303">IFERROR(INDEX({"URGENTE"},MATCH(TRUE,ISNUMBER(FIND(SUBSTITUTE(SUBSTITUTE(UPPER({"URGENTE"})," ",""),":",": "),SUBSTITUTE(SUBSTITUTE(UPPER(S1303)," ",""),":",": "))),0)),"-")</f>
        <v>-</v>
      </c>
      <c r="C1303" s="46" t="str" cm="1">
        <f t="array" ref="C1303">IFERROR(INDEX(#REF!,MATCH(TRUE,ISNUMBER(FIND(SUBSTITUTE(SUBSTITUTE(UPPER(#REF!)," ",""),":",": "),SUBSTITUTE(SUBSTITUTE(UPPER(S1303)," ",""),":",": "))),0)),"Não encontrado")</f>
        <v>Não encontrado</v>
      </c>
      <c r="D1303" s="46" t="str" cm="1">
        <f t="array" ref="D1303">IFERROR(INDEX(#REF!,MATCH(TRUE,ISNUMBER(FIND(SUBSTITUTE(SUBSTITUTE(UPPER(#REF!)," ",""),":",": "),SUBSTITUTE(SUBSTITUTE(UPPER(S1303)," ",""),":",": "))),0)),"Não encontrado")</f>
        <v>Não encontrado</v>
      </c>
      <c r="E1303" s="42" t="str" cm="1">
        <f t="array" ref="E1303">IFERROR(INDEX({"IMPEDITIVO"},MATCH(TRUE,ISNUMBER(FIND(SUBSTITUTE(SUBSTITUTE(UPPER({"IMPEDITIVO"})," ",""),":",": "),SUBSTITUTE(SUBSTITUTE(UPPER(S1303)," ",""),":",": "))),0)),"-")</f>
        <v>-</v>
      </c>
      <c r="K1303" s="49"/>
    </row>
    <row r="1304" spans="1:11" x14ac:dyDescent="0.25">
      <c r="A1304" s="46" t="str" cm="1">
        <f t="array" ref="A1304">IFERROR(INDEX(#REF!,MATCH(TRUE,ISNUMBER(FIND(SUBSTITUTE(SUBSTITUTE(UPPER(#REF!)," ",""),":",": "),SUBSTITUTE(SUBSTITUTE(UPPER(S1304)," ",""),":",": "))),0)),"Undefined")</f>
        <v>Undefined</v>
      </c>
      <c r="B1304" s="42" t="str" cm="1">
        <f t="array" ref="B1304">IFERROR(INDEX({"URGENTE"},MATCH(TRUE,ISNUMBER(FIND(SUBSTITUTE(SUBSTITUTE(UPPER({"URGENTE"})," ",""),":",": "),SUBSTITUTE(SUBSTITUTE(UPPER(S1304)," ",""),":",": "))),0)),"-")</f>
        <v>-</v>
      </c>
      <c r="C1304" s="46" t="str" cm="1">
        <f t="array" ref="C1304">IFERROR(INDEX(#REF!,MATCH(TRUE,ISNUMBER(FIND(SUBSTITUTE(SUBSTITUTE(UPPER(#REF!)," ",""),":",": "),SUBSTITUTE(SUBSTITUTE(UPPER(S1304)," ",""),":",": "))),0)),"Não encontrado")</f>
        <v>Não encontrado</v>
      </c>
      <c r="D1304" s="46" t="str" cm="1">
        <f t="array" ref="D1304">IFERROR(INDEX(#REF!,MATCH(TRUE,ISNUMBER(FIND(SUBSTITUTE(SUBSTITUTE(UPPER(#REF!)," ",""),":",": "),SUBSTITUTE(SUBSTITUTE(UPPER(S1304)," ",""),":",": "))),0)),"Não encontrado")</f>
        <v>Não encontrado</v>
      </c>
      <c r="E1304" s="42" t="str" cm="1">
        <f t="array" ref="E1304">IFERROR(INDEX({"IMPEDITIVO"},MATCH(TRUE,ISNUMBER(FIND(SUBSTITUTE(SUBSTITUTE(UPPER({"IMPEDITIVO"})," ",""),":",": "),SUBSTITUTE(SUBSTITUTE(UPPER(S1304)," ",""),":",": "))),0)),"-")</f>
        <v>-</v>
      </c>
      <c r="K1304" s="49"/>
    </row>
    <row r="1305" spans="1:11" x14ac:dyDescent="0.25">
      <c r="A1305" s="46" t="str" cm="1">
        <f t="array" ref="A1305">IFERROR(INDEX(#REF!,MATCH(TRUE,ISNUMBER(FIND(SUBSTITUTE(SUBSTITUTE(UPPER(#REF!)," ",""),":",": "),SUBSTITUTE(SUBSTITUTE(UPPER(S1305)," ",""),":",": "))),0)),"Undefined")</f>
        <v>Undefined</v>
      </c>
      <c r="B1305" s="42" t="str" cm="1">
        <f t="array" ref="B1305">IFERROR(INDEX({"URGENTE"},MATCH(TRUE,ISNUMBER(FIND(SUBSTITUTE(SUBSTITUTE(UPPER({"URGENTE"})," ",""),":",": "),SUBSTITUTE(SUBSTITUTE(UPPER(S1305)," ",""),":",": "))),0)),"-")</f>
        <v>-</v>
      </c>
      <c r="C1305" s="46" t="str" cm="1">
        <f t="array" ref="C1305">IFERROR(INDEX(#REF!,MATCH(TRUE,ISNUMBER(FIND(SUBSTITUTE(SUBSTITUTE(UPPER(#REF!)," ",""),":",": "),SUBSTITUTE(SUBSTITUTE(UPPER(S1305)," ",""),":",": "))),0)),"Não encontrado")</f>
        <v>Não encontrado</v>
      </c>
      <c r="D1305" s="46" t="str" cm="1">
        <f t="array" ref="D1305">IFERROR(INDEX(#REF!,MATCH(TRUE,ISNUMBER(FIND(SUBSTITUTE(SUBSTITUTE(UPPER(#REF!)," ",""),":",": "),SUBSTITUTE(SUBSTITUTE(UPPER(S1305)," ",""),":",": "))),0)),"Não encontrado")</f>
        <v>Não encontrado</v>
      </c>
      <c r="E1305" s="42" t="str" cm="1">
        <f t="array" ref="E1305">IFERROR(INDEX({"IMPEDITIVO"},MATCH(TRUE,ISNUMBER(FIND(SUBSTITUTE(SUBSTITUTE(UPPER({"IMPEDITIVO"})," ",""),":",": "),SUBSTITUTE(SUBSTITUTE(UPPER(S1305)," ",""),":",": "))),0)),"-")</f>
        <v>-</v>
      </c>
      <c r="K1305" s="49"/>
    </row>
    <row r="1306" spans="1:11" x14ac:dyDescent="0.25">
      <c r="A1306" s="46" t="str" cm="1">
        <f t="array" ref="A1306">IFERROR(INDEX(#REF!,MATCH(TRUE,ISNUMBER(FIND(SUBSTITUTE(SUBSTITUTE(UPPER(#REF!)," ",""),":",": "),SUBSTITUTE(SUBSTITUTE(UPPER(S1306)," ",""),":",": "))),0)),"Undefined")</f>
        <v>Undefined</v>
      </c>
      <c r="B1306" s="42" t="str" cm="1">
        <f t="array" ref="B1306">IFERROR(INDEX({"URGENTE"},MATCH(TRUE,ISNUMBER(FIND(SUBSTITUTE(SUBSTITUTE(UPPER({"URGENTE"})," ",""),":",": "),SUBSTITUTE(SUBSTITUTE(UPPER(S1306)," ",""),":",": "))),0)),"-")</f>
        <v>-</v>
      </c>
      <c r="C1306" s="46" t="str" cm="1">
        <f t="array" ref="C1306">IFERROR(INDEX(#REF!,MATCH(TRUE,ISNUMBER(FIND(SUBSTITUTE(SUBSTITUTE(UPPER(#REF!)," ",""),":",": "),SUBSTITUTE(SUBSTITUTE(UPPER(S1306)," ",""),":",": "))),0)),"Não encontrado")</f>
        <v>Não encontrado</v>
      </c>
      <c r="D1306" s="46" t="str" cm="1">
        <f t="array" ref="D1306">IFERROR(INDEX(#REF!,MATCH(TRUE,ISNUMBER(FIND(SUBSTITUTE(SUBSTITUTE(UPPER(#REF!)," ",""),":",": "),SUBSTITUTE(SUBSTITUTE(UPPER(S1306)," ",""),":",": "))),0)),"Não encontrado")</f>
        <v>Não encontrado</v>
      </c>
      <c r="E1306" s="42" t="str" cm="1">
        <f t="array" ref="E1306">IFERROR(INDEX({"IMPEDITIVO"},MATCH(TRUE,ISNUMBER(FIND(SUBSTITUTE(SUBSTITUTE(UPPER({"IMPEDITIVO"})," ",""),":",": "),SUBSTITUTE(SUBSTITUTE(UPPER(S1306)," ",""),":",": "))),0)),"-")</f>
        <v>-</v>
      </c>
      <c r="K1306" s="49"/>
    </row>
    <row r="1307" spans="1:11" x14ac:dyDescent="0.25">
      <c r="A1307" s="46" t="str" cm="1">
        <f t="array" ref="A1307">IFERROR(INDEX(#REF!,MATCH(TRUE,ISNUMBER(FIND(SUBSTITUTE(SUBSTITUTE(UPPER(#REF!)," ",""),":",": "),SUBSTITUTE(SUBSTITUTE(UPPER(S1307)," ",""),":",": "))),0)),"Undefined")</f>
        <v>Undefined</v>
      </c>
      <c r="B1307" s="42" t="str" cm="1">
        <f t="array" ref="B1307">IFERROR(INDEX({"URGENTE"},MATCH(TRUE,ISNUMBER(FIND(SUBSTITUTE(SUBSTITUTE(UPPER({"URGENTE"})," ",""),":",": "),SUBSTITUTE(SUBSTITUTE(UPPER(S1307)," ",""),":",": "))),0)),"-")</f>
        <v>-</v>
      </c>
      <c r="C1307" s="46" t="str" cm="1">
        <f t="array" ref="C1307">IFERROR(INDEX(#REF!,MATCH(TRUE,ISNUMBER(FIND(SUBSTITUTE(SUBSTITUTE(UPPER(#REF!)," ",""),":",": "),SUBSTITUTE(SUBSTITUTE(UPPER(S1307)," ",""),":",": "))),0)),"Não encontrado")</f>
        <v>Não encontrado</v>
      </c>
      <c r="D1307" s="46" t="str" cm="1">
        <f t="array" ref="D1307">IFERROR(INDEX(#REF!,MATCH(TRUE,ISNUMBER(FIND(SUBSTITUTE(SUBSTITUTE(UPPER(#REF!)," ",""),":",": "),SUBSTITUTE(SUBSTITUTE(UPPER(S1307)," ",""),":",": "))),0)),"Não encontrado")</f>
        <v>Não encontrado</v>
      </c>
      <c r="E1307" s="42" t="str" cm="1">
        <f t="array" ref="E1307">IFERROR(INDEX({"IMPEDITIVO"},MATCH(TRUE,ISNUMBER(FIND(SUBSTITUTE(SUBSTITUTE(UPPER({"IMPEDITIVO"})," ",""),":",": "),SUBSTITUTE(SUBSTITUTE(UPPER(S1307)," ",""),":",": "))),0)),"-")</f>
        <v>-</v>
      </c>
      <c r="K1307" s="49"/>
    </row>
    <row r="1308" spans="1:11" x14ac:dyDescent="0.25">
      <c r="A1308" s="46" t="str" cm="1">
        <f t="array" ref="A1308">IFERROR(INDEX(#REF!,MATCH(TRUE,ISNUMBER(FIND(SUBSTITUTE(SUBSTITUTE(UPPER(#REF!)," ",""),":",": "),SUBSTITUTE(SUBSTITUTE(UPPER(S1308)," ",""),":",": "))),0)),"Undefined")</f>
        <v>Undefined</v>
      </c>
      <c r="B1308" s="42" t="str" cm="1">
        <f t="array" ref="B1308">IFERROR(INDEX({"URGENTE"},MATCH(TRUE,ISNUMBER(FIND(SUBSTITUTE(SUBSTITUTE(UPPER({"URGENTE"})," ",""),":",": "),SUBSTITUTE(SUBSTITUTE(UPPER(S1308)," ",""),":",": "))),0)),"-")</f>
        <v>-</v>
      </c>
      <c r="C1308" s="46" t="str" cm="1">
        <f t="array" ref="C1308">IFERROR(INDEX(#REF!,MATCH(TRUE,ISNUMBER(FIND(SUBSTITUTE(SUBSTITUTE(UPPER(#REF!)," ",""),":",": "),SUBSTITUTE(SUBSTITUTE(UPPER(S1308)," ",""),":",": "))),0)),"Não encontrado")</f>
        <v>Não encontrado</v>
      </c>
      <c r="D1308" s="46" t="str" cm="1">
        <f t="array" ref="D1308">IFERROR(INDEX(#REF!,MATCH(TRUE,ISNUMBER(FIND(SUBSTITUTE(SUBSTITUTE(UPPER(#REF!)," ",""),":",": "),SUBSTITUTE(SUBSTITUTE(UPPER(S1308)," ",""),":",": "))),0)),"Não encontrado")</f>
        <v>Não encontrado</v>
      </c>
      <c r="E1308" s="42" t="str" cm="1">
        <f t="array" ref="E1308">IFERROR(INDEX({"IMPEDITIVO"},MATCH(TRUE,ISNUMBER(FIND(SUBSTITUTE(SUBSTITUTE(UPPER({"IMPEDITIVO"})," ",""),":",": "),SUBSTITUTE(SUBSTITUTE(UPPER(S1308)," ",""),":",": "))),0)),"-")</f>
        <v>-</v>
      </c>
      <c r="K1308" s="49"/>
    </row>
    <row r="1309" spans="1:11" x14ac:dyDescent="0.25">
      <c r="A1309" s="46" t="str" cm="1">
        <f t="array" ref="A1309">IFERROR(INDEX(#REF!,MATCH(TRUE,ISNUMBER(FIND(SUBSTITUTE(SUBSTITUTE(UPPER(#REF!)," ",""),":",": "),SUBSTITUTE(SUBSTITUTE(UPPER(S1309)," ",""),":",": "))),0)),"Undefined")</f>
        <v>Undefined</v>
      </c>
      <c r="B1309" s="42" t="str" cm="1">
        <f t="array" ref="B1309">IFERROR(INDEX({"URGENTE"},MATCH(TRUE,ISNUMBER(FIND(SUBSTITUTE(SUBSTITUTE(UPPER({"URGENTE"})," ",""),":",": "),SUBSTITUTE(SUBSTITUTE(UPPER(S1309)," ",""),":",": "))),0)),"-")</f>
        <v>-</v>
      </c>
      <c r="C1309" s="46" t="str" cm="1">
        <f t="array" ref="C1309">IFERROR(INDEX(#REF!,MATCH(TRUE,ISNUMBER(FIND(SUBSTITUTE(SUBSTITUTE(UPPER(#REF!)," ",""),":",": "),SUBSTITUTE(SUBSTITUTE(UPPER(S1309)," ",""),":",": "))),0)),"Não encontrado")</f>
        <v>Não encontrado</v>
      </c>
      <c r="D1309" s="46" t="str" cm="1">
        <f t="array" ref="D1309">IFERROR(INDEX(#REF!,MATCH(TRUE,ISNUMBER(FIND(SUBSTITUTE(SUBSTITUTE(UPPER(#REF!)," ",""),":",": "),SUBSTITUTE(SUBSTITUTE(UPPER(S1309)," ",""),":",": "))),0)),"Não encontrado")</f>
        <v>Não encontrado</v>
      </c>
      <c r="E1309" s="42" t="str" cm="1">
        <f t="array" ref="E1309">IFERROR(INDEX({"IMPEDITIVO"},MATCH(TRUE,ISNUMBER(FIND(SUBSTITUTE(SUBSTITUTE(UPPER({"IMPEDITIVO"})," ",""),":",": "),SUBSTITUTE(SUBSTITUTE(UPPER(S1309)," ",""),":",": "))),0)),"-")</f>
        <v>-</v>
      </c>
      <c r="K1309" s="49"/>
    </row>
    <row r="1310" spans="1:11" x14ac:dyDescent="0.25">
      <c r="A1310" s="46" t="str" cm="1">
        <f t="array" ref="A1310">IFERROR(INDEX(#REF!,MATCH(TRUE,ISNUMBER(FIND(SUBSTITUTE(SUBSTITUTE(UPPER(#REF!)," ",""),":",": "),SUBSTITUTE(SUBSTITUTE(UPPER(S1310)," ",""),":",": "))),0)),"Undefined")</f>
        <v>Undefined</v>
      </c>
      <c r="B1310" s="42" t="str" cm="1">
        <f t="array" ref="B1310">IFERROR(INDEX({"URGENTE"},MATCH(TRUE,ISNUMBER(FIND(SUBSTITUTE(SUBSTITUTE(UPPER({"URGENTE"})," ",""),":",": "),SUBSTITUTE(SUBSTITUTE(UPPER(S1310)," ",""),":",": "))),0)),"-")</f>
        <v>-</v>
      </c>
      <c r="C1310" s="46" t="str" cm="1">
        <f t="array" ref="C1310">IFERROR(INDEX(#REF!,MATCH(TRUE,ISNUMBER(FIND(SUBSTITUTE(SUBSTITUTE(UPPER(#REF!)," ",""),":",": "),SUBSTITUTE(SUBSTITUTE(UPPER(S1310)," ",""),":",": "))),0)),"Não encontrado")</f>
        <v>Não encontrado</v>
      </c>
      <c r="D1310" s="46" t="str" cm="1">
        <f t="array" ref="D1310">IFERROR(INDEX(#REF!,MATCH(TRUE,ISNUMBER(FIND(SUBSTITUTE(SUBSTITUTE(UPPER(#REF!)," ",""),":",": "),SUBSTITUTE(SUBSTITUTE(UPPER(S1310)," ",""),":",": "))),0)),"Não encontrado")</f>
        <v>Não encontrado</v>
      </c>
      <c r="E1310" s="42" t="str" cm="1">
        <f t="array" ref="E1310">IFERROR(INDEX({"IMPEDITIVO"},MATCH(TRUE,ISNUMBER(FIND(SUBSTITUTE(SUBSTITUTE(UPPER({"IMPEDITIVO"})," ",""),":",": "),SUBSTITUTE(SUBSTITUTE(UPPER(S1310)," ",""),":",": "))),0)),"-")</f>
        <v>-</v>
      </c>
      <c r="K1310" s="49"/>
    </row>
    <row r="1311" spans="1:11" x14ac:dyDescent="0.25">
      <c r="A1311" s="46" t="str" cm="1">
        <f t="array" ref="A1311">IFERROR(INDEX(#REF!,MATCH(TRUE,ISNUMBER(FIND(SUBSTITUTE(SUBSTITUTE(UPPER(#REF!)," ",""),":",": "),SUBSTITUTE(SUBSTITUTE(UPPER(S1311)," ",""),":",": "))),0)),"Undefined")</f>
        <v>Undefined</v>
      </c>
      <c r="B1311" s="42" t="str" cm="1">
        <f t="array" ref="B1311">IFERROR(INDEX({"URGENTE"},MATCH(TRUE,ISNUMBER(FIND(SUBSTITUTE(SUBSTITUTE(UPPER({"URGENTE"})," ",""),":",": "),SUBSTITUTE(SUBSTITUTE(UPPER(S1311)," ",""),":",": "))),0)),"-")</f>
        <v>-</v>
      </c>
      <c r="C1311" s="46" t="str" cm="1">
        <f t="array" ref="C1311">IFERROR(INDEX(#REF!,MATCH(TRUE,ISNUMBER(FIND(SUBSTITUTE(SUBSTITUTE(UPPER(#REF!)," ",""),":",": "),SUBSTITUTE(SUBSTITUTE(UPPER(S1311)," ",""),":",": "))),0)),"Não encontrado")</f>
        <v>Não encontrado</v>
      </c>
      <c r="D1311" s="46" t="str" cm="1">
        <f t="array" ref="D1311">IFERROR(INDEX(#REF!,MATCH(TRUE,ISNUMBER(FIND(SUBSTITUTE(SUBSTITUTE(UPPER(#REF!)," ",""),":",": "),SUBSTITUTE(SUBSTITUTE(UPPER(S1311)," ",""),":",": "))),0)),"Não encontrado")</f>
        <v>Não encontrado</v>
      </c>
      <c r="E1311" s="42" t="str" cm="1">
        <f t="array" ref="E1311">IFERROR(INDEX({"IMPEDITIVO"},MATCH(TRUE,ISNUMBER(FIND(SUBSTITUTE(SUBSTITUTE(UPPER({"IMPEDITIVO"})," ",""),":",": "),SUBSTITUTE(SUBSTITUTE(UPPER(S1311)," ",""),":",": "))),0)),"-")</f>
        <v>-</v>
      </c>
      <c r="K1311" s="49"/>
    </row>
    <row r="1312" spans="1:11" x14ac:dyDescent="0.25">
      <c r="A1312" s="46" t="str" cm="1">
        <f t="array" ref="A1312">IFERROR(INDEX(#REF!,MATCH(TRUE,ISNUMBER(FIND(SUBSTITUTE(SUBSTITUTE(UPPER(#REF!)," ",""),":",": "),SUBSTITUTE(SUBSTITUTE(UPPER(S1312)," ",""),":",": "))),0)),"Undefined")</f>
        <v>Undefined</v>
      </c>
      <c r="B1312" s="42" t="str" cm="1">
        <f t="array" ref="B1312">IFERROR(INDEX({"URGENTE"},MATCH(TRUE,ISNUMBER(FIND(SUBSTITUTE(SUBSTITUTE(UPPER({"URGENTE"})," ",""),":",": "),SUBSTITUTE(SUBSTITUTE(UPPER(S1312)," ",""),":",": "))),0)),"-")</f>
        <v>-</v>
      </c>
      <c r="C1312" s="46" t="str" cm="1">
        <f t="array" ref="C1312">IFERROR(INDEX(#REF!,MATCH(TRUE,ISNUMBER(FIND(SUBSTITUTE(SUBSTITUTE(UPPER(#REF!)," ",""),":",": "),SUBSTITUTE(SUBSTITUTE(UPPER(S1312)," ",""),":",": "))),0)),"Não encontrado")</f>
        <v>Não encontrado</v>
      </c>
      <c r="D1312" s="46" t="str" cm="1">
        <f t="array" ref="D1312">IFERROR(INDEX(#REF!,MATCH(TRUE,ISNUMBER(FIND(SUBSTITUTE(SUBSTITUTE(UPPER(#REF!)," ",""),":",": "),SUBSTITUTE(SUBSTITUTE(UPPER(S1312)," ",""),":",": "))),0)),"Não encontrado")</f>
        <v>Não encontrado</v>
      </c>
      <c r="E1312" s="42" t="str" cm="1">
        <f t="array" ref="E1312">IFERROR(INDEX({"IMPEDITIVO"},MATCH(TRUE,ISNUMBER(FIND(SUBSTITUTE(SUBSTITUTE(UPPER({"IMPEDITIVO"})," ",""),":",": "),SUBSTITUTE(SUBSTITUTE(UPPER(S1312)," ",""),":",": "))),0)),"-")</f>
        <v>-</v>
      </c>
      <c r="K1312" s="49"/>
    </row>
    <row r="1313" spans="1:11" x14ac:dyDescent="0.25">
      <c r="A1313" s="46" t="str" cm="1">
        <f t="array" ref="A1313">IFERROR(INDEX(#REF!,MATCH(TRUE,ISNUMBER(FIND(SUBSTITUTE(SUBSTITUTE(UPPER(#REF!)," ",""),":",": "),SUBSTITUTE(SUBSTITUTE(UPPER(S1313)," ",""),":",": "))),0)),"Undefined")</f>
        <v>Undefined</v>
      </c>
      <c r="B1313" s="42" t="str" cm="1">
        <f t="array" ref="B1313">IFERROR(INDEX({"URGENTE"},MATCH(TRUE,ISNUMBER(FIND(SUBSTITUTE(SUBSTITUTE(UPPER({"URGENTE"})," ",""),":",": "),SUBSTITUTE(SUBSTITUTE(UPPER(S1313)," ",""),":",": "))),0)),"-")</f>
        <v>-</v>
      </c>
      <c r="C1313" s="46" t="str" cm="1">
        <f t="array" ref="C1313">IFERROR(INDEX(#REF!,MATCH(TRUE,ISNUMBER(FIND(SUBSTITUTE(SUBSTITUTE(UPPER(#REF!)," ",""),":",": "),SUBSTITUTE(SUBSTITUTE(UPPER(S1313)," ",""),":",": "))),0)),"Não encontrado")</f>
        <v>Não encontrado</v>
      </c>
      <c r="D1313" s="46" t="str" cm="1">
        <f t="array" ref="D1313">IFERROR(INDEX(#REF!,MATCH(TRUE,ISNUMBER(FIND(SUBSTITUTE(SUBSTITUTE(UPPER(#REF!)," ",""),":",": "),SUBSTITUTE(SUBSTITUTE(UPPER(S1313)," ",""),":",": "))),0)),"Não encontrado")</f>
        <v>Não encontrado</v>
      </c>
      <c r="E1313" s="42" t="str" cm="1">
        <f t="array" ref="E1313">IFERROR(INDEX({"IMPEDITIVO"},MATCH(TRUE,ISNUMBER(FIND(SUBSTITUTE(SUBSTITUTE(UPPER({"IMPEDITIVO"})," ",""),":",": "),SUBSTITUTE(SUBSTITUTE(UPPER(S1313)," ",""),":",": "))),0)),"-")</f>
        <v>-</v>
      </c>
      <c r="K1313" s="49"/>
    </row>
    <row r="1314" spans="1:11" x14ac:dyDescent="0.25">
      <c r="A1314" s="46" t="str" cm="1">
        <f t="array" ref="A1314">IFERROR(INDEX(#REF!,MATCH(TRUE,ISNUMBER(FIND(SUBSTITUTE(SUBSTITUTE(UPPER(#REF!)," ",""),":",": "),SUBSTITUTE(SUBSTITUTE(UPPER(S1314)," ",""),":",": "))),0)),"Undefined")</f>
        <v>Undefined</v>
      </c>
      <c r="B1314" s="42" t="str" cm="1">
        <f t="array" ref="B1314">IFERROR(INDEX({"URGENTE"},MATCH(TRUE,ISNUMBER(FIND(SUBSTITUTE(SUBSTITUTE(UPPER({"URGENTE"})," ",""),":",": "),SUBSTITUTE(SUBSTITUTE(UPPER(S1314)," ",""),":",": "))),0)),"-")</f>
        <v>-</v>
      </c>
      <c r="C1314" s="46" t="str" cm="1">
        <f t="array" ref="C1314">IFERROR(INDEX(#REF!,MATCH(TRUE,ISNUMBER(FIND(SUBSTITUTE(SUBSTITUTE(UPPER(#REF!)," ",""),":",": "),SUBSTITUTE(SUBSTITUTE(UPPER(S1314)," ",""),":",": "))),0)),"Não encontrado")</f>
        <v>Não encontrado</v>
      </c>
      <c r="D1314" s="46" t="str" cm="1">
        <f t="array" ref="D1314">IFERROR(INDEX(#REF!,MATCH(TRUE,ISNUMBER(FIND(SUBSTITUTE(SUBSTITUTE(UPPER(#REF!)," ",""),":",": "),SUBSTITUTE(SUBSTITUTE(UPPER(S1314)," ",""),":",": "))),0)),"Não encontrado")</f>
        <v>Não encontrado</v>
      </c>
      <c r="E1314" s="42" t="str" cm="1">
        <f t="array" ref="E1314">IFERROR(INDEX({"IMPEDITIVO"},MATCH(TRUE,ISNUMBER(FIND(SUBSTITUTE(SUBSTITUTE(UPPER({"IMPEDITIVO"})," ",""),":",": "),SUBSTITUTE(SUBSTITUTE(UPPER(S1314)," ",""),":",": "))),0)),"-")</f>
        <v>-</v>
      </c>
      <c r="K1314" s="49"/>
    </row>
    <row r="1315" spans="1:11" x14ac:dyDescent="0.25">
      <c r="A1315" s="46" t="str" cm="1">
        <f t="array" ref="A1315">IFERROR(INDEX(#REF!,MATCH(TRUE,ISNUMBER(FIND(SUBSTITUTE(SUBSTITUTE(UPPER(#REF!)," ",""),":",": "),SUBSTITUTE(SUBSTITUTE(UPPER(S1315)," ",""),":",": "))),0)),"Undefined")</f>
        <v>Undefined</v>
      </c>
      <c r="B1315" s="42" t="str" cm="1">
        <f t="array" ref="B1315">IFERROR(INDEX({"URGENTE"},MATCH(TRUE,ISNUMBER(FIND(SUBSTITUTE(SUBSTITUTE(UPPER({"URGENTE"})," ",""),":",": "),SUBSTITUTE(SUBSTITUTE(UPPER(S1315)," ",""),":",": "))),0)),"-")</f>
        <v>-</v>
      </c>
      <c r="C1315" s="46" t="str" cm="1">
        <f t="array" ref="C1315">IFERROR(INDEX(#REF!,MATCH(TRUE,ISNUMBER(FIND(SUBSTITUTE(SUBSTITUTE(UPPER(#REF!)," ",""),":",": "),SUBSTITUTE(SUBSTITUTE(UPPER(S1315)," ",""),":",": "))),0)),"Não encontrado")</f>
        <v>Não encontrado</v>
      </c>
      <c r="D1315" s="46" t="str" cm="1">
        <f t="array" ref="D1315">IFERROR(INDEX(#REF!,MATCH(TRUE,ISNUMBER(FIND(SUBSTITUTE(SUBSTITUTE(UPPER(#REF!)," ",""),":",": "),SUBSTITUTE(SUBSTITUTE(UPPER(S1315)," ",""),":",": "))),0)),"Não encontrado")</f>
        <v>Não encontrado</v>
      </c>
      <c r="E1315" s="42" t="str" cm="1">
        <f t="array" ref="E1315">IFERROR(INDEX({"IMPEDITIVO"},MATCH(TRUE,ISNUMBER(FIND(SUBSTITUTE(SUBSTITUTE(UPPER({"IMPEDITIVO"})," ",""),":",": "),SUBSTITUTE(SUBSTITUTE(UPPER(S1315)," ",""),":",": "))),0)),"-")</f>
        <v>-</v>
      </c>
      <c r="K1315" s="49"/>
    </row>
    <row r="1316" spans="1:11" x14ac:dyDescent="0.25">
      <c r="A1316" s="46" t="str" cm="1">
        <f t="array" ref="A1316">IFERROR(INDEX(#REF!,MATCH(TRUE,ISNUMBER(FIND(SUBSTITUTE(SUBSTITUTE(UPPER(#REF!)," ",""),":",": "),SUBSTITUTE(SUBSTITUTE(UPPER(S1316)," ",""),":",": "))),0)),"Undefined")</f>
        <v>Undefined</v>
      </c>
      <c r="B1316" s="42" t="str" cm="1">
        <f t="array" ref="B1316">IFERROR(INDEX({"URGENTE"},MATCH(TRUE,ISNUMBER(FIND(SUBSTITUTE(SUBSTITUTE(UPPER({"URGENTE"})," ",""),":",": "),SUBSTITUTE(SUBSTITUTE(UPPER(S1316)," ",""),":",": "))),0)),"-")</f>
        <v>-</v>
      </c>
      <c r="C1316" s="46" t="str" cm="1">
        <f t="array" ref="C1316">IFERROR(INDEX(#REF!,MATCH(TRUE,ISNUMBER(FIND(SUBSTITUTE(SUBSTITUTE(UPPER(#REF!)," ",""),":",": "),SUBSTITUTE(SUBSTITUTE(UPPER(S1316)," ",""),":",": "))),0)),"Não encontrado")</f>
        <v>Não encontrado</v>
      </c>
      <c r="D1316" s="46" t="str" cm="1">
        <f t="array" ref="D1316">IFERROR(INDEX(#REF!,MATCH(TRUE,ISNUMBER(FIND(SUBSTITUTE(SUBSTITUTE(UPPER(#REF!)," ",""),":",": "),SUBSTITUTE(SUBSTITUTE(UPPER(S1316)," ",""),":",": "))),0)),"Não encontrado")</f>
        <v>Não encontrado</v>
      </c>
      <c r="E1316" s="42" t="str" cm="1">
        <f t="array" ref="E1316">IFERROR(INDEX({"IMPEDITIVO"},MATCH(TRUE,ISNUMBER(FIND(SUBSTITUTE(SUBSTITUTE(UPPER({"IMPEDITIVO"})," ",""),":",": "),SUBSTITUTE(SUBSTITUTE(UPPER(S1316)," ",""),":",": "))),0)),"-")</f>
        <v>-</v>
      </c>
      <c r="K1316" s="49"/>
    </row>
    <row r="1317" spans="1:11" x14ac:dyDescent="0.25">
      <c r="A1317" s="46" t="str" cm="1">
        <f t="array" ref="A1317">IFERROR(INDEX(#REF!,MATCH(TRUE,ISNUMBER(FIND(SUBSTITUTE(SUBSTITUTE(UPPER(#REF!)," ",""),":",": "),SUBSTITUTE(SUBSTITUTE(UPPER(S1317)," ",""),":",": "))),0)),"Undefined")</f>
        <v>Undefined</v>
      </c>
      <c r="B1317" s="42" t="str" cm="1">
        <f t="array" ref="B1317">IFERROR(INDEX({"URGENTE"},MATCH(TRUE,ISNUMBER(FIND(SUBSTITUTE(SUBSTITUTE(UPPER({"URGENTE"})," ",""),":",": "),SUBSTITUTE(SUBSTITUTE(UPPER(S1317)," ",""),":",": "))),0)),"-")</f>
        <v>-</v>
      </c>
      <c r="C1317" s="46" t="str" cm="1">
        <f t="array" ref="C1317">IFERROR(INDEX(#REF!,MATCH(TRUE,ISNUMBER(FIND(SUBSTITUTE(SUBSTITUTE(UPPER(#REF!)," ",""),":",": "),SUBSTITUTE(SUBSTITUTE(UPPER(S1317)," ",""),":",": "))),0)),"Não encontrado")</f>
        <v>Não encontrado</v>
      </c>
      <c r="D1317" s="46" t="str" cm="1">
        <f t="array" ref="D1317">IFERROR(INDEX(#REF!,MATCH(TRUE,ISNUMBER(FIND(SUBSTITUTE(SUBSTITUTE(UPPER(#REF!)," ",""),":",": "),SUBSTITUTE(SUBSTITUTE(UPPER(S1317)," ",""),":",": "))),0)),"Não encontrado")</f>
        <v>Não encontrado</v>
      </c>
      <c r="E1317" s="42" t="str" cm="1">
        <f t="array" ref="E1317">IFERROR(INDEX({"IMPEDITIVO"},MATCH(TRUE,ISNUMBER(FIND(SUBSTITUTE(SUBSTITUTE(UPPER({"IMPEDITIVO"})," ",""),":",": "),SUBSTITUTE(SUBSTITUTE(UPPER(S1317)," ",""),":",": "))),0)),"-")</f>
        <v>-</v>
      </c>
      <c r="K1317" s="49"/>
    </row>
    <row r="1318" spans="1:11" x14ac:dyDescent="0.25">
      <c r="A1318" s="46" t="str" cm="1">
        <f t="array" ref="A1318">IFERROR(INDEX(#REF!,MATCH(TRUE,ISNUMBER(FIND(SUBSTITUTE(SUBSTITUTE(UPPER(#REF!)," ",""),":",": "),SUBSTITUTE(SUBSTITUTE(UPPER(S1318)," ",""),":",": "))),0)),"Undefined")</f>
        <v>Undefined</v>
      </c>
      <c r="B1318" s="42" t="str" cm="1">
        <f t="array" ref="B1318">IFERROR(INDEX({"URGENTE"},MATCH(TRUE,ISNUMBER(FIND(SUBSTITUTE(SUBSTITUTE(UPPER({"URGENTE"})," ",""),":",": "),SUBSTITUTE(SUBSTITUTE(UPPER(S1318)," ",""),":",": "))),0)),"-")</f>
        <v>-</v>
      </c>
      <c r="C1318" s="46" t="str" cm="1">
        <f t="array" ref="C1318">IFERROR(INDEX(#REF!,MATCH(TRUE,ISNUMBER(FIND(SUBSTITUTE(SUBSTITUTE(UPPER(#REF!)," ",""),":",": "),SUBSTITUTE(SUBSTITUTE(UPPER(S1318)," ",""),":",": "))),0)),"Não encontrado")</f>
        <v>Não encontrado</v>
      </c>
      <c r="D1318" s="46" t="str" cm="1">
        <f t="array" ref="D1318">IFERROR(INDEX(#REF!,MATCH(TRUE,ISNUMBER(FIND(SUBSTITUTE(SUBSTITUTE(UPPER(#REF!)," ",""),":",": "),SUBSTITUTE(SUBSTITUTE(UPPER(S1318)," ",""),":",": "))),0)),"Não encontrado")</f>
        <v>Não encontrado</v>
      </c>
      <c r="E1318" s="42" t="str" cm="1">
        <f t="array" ref="E1318">IFERROR(INDEX({"IMPEDITIVO"},MATCH(TRUE,ISNUMBER(FIND(SUBSTITUTE(SUBSTITUTE(UPPER({"IMPEDITIVO"})," ",""),":",": "),SUBSTITUTE(SUBSTITUTE(UPPER(S1318)," ",""),":",": "))),0)),"-")</f>
        <v>-</v>
      </c>
      <c r="K1318" s="49"/>
    </row>
    <row r="1319" spans="1:11" x14ac:dyDescent="0.25">
      <c r="A1319" s="46" t="str" cm="1">
        <f t="array" ref="A1319">IFERROR(INDEX(#REF!,MATCH(TRUE,ISNUMBER(FIND(SUBSTITUTE(SUBSTITUTE(UPPER(#REF!)," ",""),":",": "),SUBSTITUTE(SUBSTITUTE(UPPER(S1319)," ",""),":",": "))),0)),"Undefined")</f>
        <v>Undefined</v>
      </c>
      <c r="B1319" s="42" t="str" cm="1">
        <f t="array" ref="B1319">IFERROR(INDEX({"URGENTE"},MATCH(TRUE,ISNUMBER(FIND(SUBSTITUTE(SUBSTITUTE(UPPER({"URGENTE"})," ",""),":",": "),SUBSTITUTE(SUBSTITUTE(UPPER(S1319)," ",""),":",": "))),0)),"-")</f>
        <v>-</v>
      </c>
      <c r="C1319" s="46" t="str" cm="1">
        <f t="array" ref="C1319">IFERROR(INDEX(#REF!,MATCH(TRUE,ISNUMBER(FIND(SUBSTITUTE(SUBSTITUTE(UPPER(#REF!)," ",""),":",": "),SUBSTITUTE(SUBSTITUTE(UPPER(S1319)," ",""),":",": "))),0)),"Não encontrado")</f>
        <v>Não encontrado</v>
      </c>
      <c r="D1319" s="46" t="str" cm="1">
        <f t="array" ref="D1319">IFERROR(INDEX(#REF!,MATCH(TRUE,ISNUMBER(FIND(SUBSTITUTE(SUBSTITUTE(UPPER(#REF!)," ",""),":",": "),SUBSTITUTE(SUBSTITUTE(UPPER(S1319)," ",""),":",": "))),0)),"Não encontrado")</f>
        <v>Não encontrado</v>
      </c>
      <c r="E1319" s="42" t="str" cm="1">
        <f t="array" ref="E1319">IFERROR(INDEX({"IMPEDITIVO"},MATCH(TRUE,ISNUMBER(FIND(SUBSTITUTE(SUBSTITUTE(UPPER({"IMPEDITIVO"})," ",""),":",": "),SUBSTITUTE(SUBSTITUTE(UPPER(S1319)," ",""),":",": "))),0)),"-")</f>
        <v>-</v>
      </c>
      <c r="K1319" s="49"/>
    </row>
    <row r="1320" spans="1:11" x14ac:dyDescent="0.25">
      <c r="A1320" s="46" t="str" cm="1">
        <f t="array" ref="A1320">IFERROR(INDEX(#REF!,MATCH(TRUE,ISNUMBER(FIND(SUBSTITUTE(SUBSTITUTE(UPPER(#REF!)," ",""),":",": "),SUBSTITUTE(SUBSTITUTE(UPPER(S1320)," ",""),":",": "))),0)),"Undefined")</f>
        <v>Undefined</v>
      </c>
      <c r="B1320" s="42" t="str" cm="1">
        <f t="array" ref="B1320">IFERROR(INDEX({"URGENTE"},MATCH(TRUE,ISNUMBER(FIND(SUBSTITUTE(SUBSTITUTE(UPPER({"URGENTE"})," ",""),":",": "),SUBSTITUTE(SUBSTITUTE(UPPER(S1320)," ",""),":",": "))),0)),"-")</f>
        <v>-</v>
      </c>
      <c r="C1320" s="46" t="str" cm="1">
        <f t="array" ref="C1320">IFERROR(INDEX(#REF!,MATCH(TRUE,ISNUMBER(FIND(SUBSTITUTE(SUBSTITUTE(UPPER(#REF!)," ",""),":",": "),SUBSTITUTE(SUBSTITUTE(UPPER(S1320)," ",""),":",": "))),0)),"Não encontrado")</f>
        <v>Não encontrado</v>
      </c>
      <c r="D1320" s="46" t="str" cm="1">
        <f t="array" ref="D1320">IFERROR(INDEX(#REF!,MATCH(TRUE,ISNUMBER(FIND(SUBSTITUTE(SUBSTITUTE(UPPER(#REF!)," ",""),":",": "),SUBSTITUTE(SUBSTITUTE(UPPER(S1320)," ",""),":",": "))),0)),"Não encontrado")</f>
        <v>Não encontrado</v>
      </c>
      <c r="E1320" s="42" t="str" cm="1">
        <f t="array" ref="E1320">IFERROR(INDEX({"IMPEDITIVO"},MATCH(TRUE,ISNUMBER(FIND(SUBSTITUTE(SUBSTITUTE(UPPER({"IMPEDITIVO"})," ",""),":",": "),SUBSTITUTE(SUBSTITUTE(UPPER(S1320)," ",""),":",": "))),0)),"-")</f>
        <v>-</v>
      </c>
      <c r="K1320" s="49"/>
    </row>
    <row r="1321" spans="1:11" x14ac:dyDescent="0.25">
      <c r="A1321" s="46" t="str" cm="1">
        <f t="array" ref="A1321">IFERROR(INDEX(#REF!,MATCH(TRUE,ISNUMBER(FIND(SUBSTITUTE(SUBSTITUTE(UPPER(#REF!)," ",""),":",": "),SUBSTITUTE(SUBSTITUTE(UPPER(S1321)," ",""),":",": "))),0)),"Undefined")</f>
        <v>Undefined</v>
      </c>
      <c r="B1321" s="42" t="str" cm="1">
        <f t="array" ref="B1321">IFERROR(INDEX({"URGENTE"},MATCH(TRUE,ISNUMBER(FIND(SUBSTITUTE(SUBSTITUTE(UPPER({"URGENTE"})," ",""),":",": "),SUBSTITUTE(SUBSTITUTE(UPPER(S1321)," ",""),":",": "))),0)),"-")</f>
        <v>-</v>
      </c>
      <c r="C1321" s="46" t="str" cm="1">
        <f t="array" ref="C1321">IFERROR(INDEX(#REF!,MATCH(TRUE,ISNUMBER(FIND(SUBSTITUTE(SUBSTITUTE(UPPER(#REF!)," ",""),":",": "),SUBSTITUTE(SUBSTITUTE(UPPER(S1321)," ",""),":",": "))),0)),"Não encontrado")</f>
        <v>Não encontrado</v>
      </c>
      <c r="D1321" s="46" t="str" cm="1">
        <f t="array" ref="D1321">IFERROR(INDEX(#REF!,MATCH(TRUE,ISNUMBER(FIND(SUBSTITUTE(SUBSTITUTE(UPPER(#REF!)," ",""),":",": "),SUBSTITUTE(SUBSTITUTE(UPPER(S1321)," ",""),":",": "))),0)),"Não encontrado")</f>
        <v>Não encontrado</v>
      </c>
      <c r="E1321" s="42" t="str" cm="1">
        <f t="array" ref="E1321">IFERROR(INDEX({"IMPEDITIVO"},MATCH(TRUE,ISNUMBER(FIND(SUBSTITUTE(SUBSTITUTE(UPPER({"IMPEDITIVO"})," ",""),":",": "),SUBSTITUTE(SUBSTITUTE(UPPER(S1321)," ",""),":",": "))),0)),"-")</f>
        <v>-</v>
      </c>
      <c r="K1321" s="49"/>
    </row>
    <row r="1322" spans="1:11" x14ac:dyDescent="0.25">
      <c r="A1322" s="46" t="str" cm="1">
        <f t="array" ref="A1322">IFERROR(INDEX(#REF!,MATCH(TRUE,ISNUMBER(FIND(SUBSTITUTE(SUBSTITUTE(UPPER(#REF!)," ",""),":",": "),SUBSTITUTE(SUBSTITUTE(UPPER(S1322)," ",""),":",": "))),0)),"Undefined")</f>
        <v>Undefined</v>
      </c>
      <c r="B1322" s="42" t="str" cm="1">
        <f t="array" ref="B1322">IFERROR(INDEX({"URGENTE"},MATCH(TRUE,ISNUMBER(FIND(SUBSTITUTE(SUBSTITUTE(UPPER({"URGENTE"})," ",""),":",": "),SUBSTITUTE(SUBSTITUTE(UPPER(S1322)," ",""),":",": "))),0)),"-")</f>
        <v>-</v>
      </c>
      <c r="C1322" s="46" t="str" cm="1">
        <f t="array" ref="C1322">IFERROR(INDEX(#REF!,MATCH(TRUE,ISNUMBER(FIND(SUBSTITUTE(SUBSTITUTE(UPPER(#REF!)," ",""),":",": "),SUBSTITUTE(SUBSTITUTE(UPPER(S1322)," ",""),":",": "))),0)),"Não encontrado")</f>
        <v>Não encontrado</v>
      </c>
      <c r="D1322" s="46" t="str" cm="1">
        <f t="array" ref="D1322">IFERROR(INDEX(#REF!,MATCH(TRUE,ISNUMBER(FIND(SUBSTITUTE(SUBSTITUTE(UPPER(#REF!)," ",""),":",": "),SUBSTITUTE(SUBSTITUTE(UPPER(S1322)," ",""),":",": "))),0)),"Não encontrado")</f>
        <v>Não encontrado</v>
      </c>
      <c r="E1322" s="42" t="str" cm="1">
        <f t="array" ref="E1322">IFERROR(INDEX({"IMPEDITIVO"},MATCH(TRUE,ISNUMBER(FIND(SUBSTITUTE(SUBSTITUTE(UPPER({"IMPEDITIVO"})," ",""),":",": "),SUBSTITUTE(SUBSTITUTE(UPPER(S1322)," ",""),":",": "))),0)),"-")</f>
        <v>-</v>
      </c>
      <c r="K1322" s="49"/>
    </row>
    <row r="1323" spans="1:11" x14ac:dyDescent="0.25">
      <c r="A1323" s="46" t="str" cm="1">
        <f t="array" ref="A1323">IFERROR(INDEX(#REF!,MATCH(TRUE,ISNUMBER(FIND(SUBSTITUTE(SUBSTITUTE(UPPER(#REF!)," ",""),":",": "),SUBSTITUTE(SUBSTITUTE(UPPER(S1323)," ",""),":",": "))),0)),"Undefined")</f>
        <v>Undefined</v>
      </c>
      <c r="B1323" s="42" t="str" cm="1">
        <f t="array" ref="B1323">IFERROR(INDEX({"URGENTE"},MATCH(TRUE,ISNUMBER(FIND(SUBSTITUTE(SUBSTITUTE(UPPER({"URGENTE"})," ",""),":",": "),SUBSTITUTE(SUBSTITUTE(UPPER(S1323)," ",""),":",": "))),0)),"-")</f>
        <v>-</v>
      </c>
      <c r="C1323" s="46" t="str" cm="1">
        <f t="array" ref="C1323">IFERROR(INDEX(#REF!,MATCH(TRUE,ISNUMBER(FIND(SUBSTITUTE(SUBSTITUTE(UPPER(#REF!)," ",""),":",": "),SUBSTITUTE(SUBSTITUTE(UPPER(S1323)," ",""),":",": "))),0)),"Não encontrado")</f>
        <v>Não encontrado</v>
      </c>
      <c r="D1323" s="46" t="str" cm="1">
        <f t="array" ref="D1323">IFERROR(INDEX(#REF!,MATCH(TRUE,ISNUMBER(FIND(SUBSTITUTE(SUBSTITUTE(UPPER(#REF!)," ",""),":",": "),SUBSTITUTE(SUBSTITUTE(UPPER(S1323)," ",""),":",": "))),0)),"Não encontrado")</f>
        <v>Não encontrado</v>
      </c>
      <c r="E1323" s="42" t="str" cm="1">
        <f t="array" ref="E1323">IFERROR(INDEX({"IMPEDITIVO"},MATCH(TRUE,ISNUMBER(FIND(SUBSTITUTE(SUBSTITUTE(UPPER({"IMPEDITIVO"})," ",""),":",": "),SUBSTITUTE(SUBSTITUTE(UPPER(S1323)," ",""),":",": "))),0)),"-")</f>
        <v>-</v>
      </c>
      <c r="K1323" s="49"/>
    </row>
    <row r="1324" spans="1:11" x14ac:dyDescent="0.25">
      <c r="A1324" s="46" t="str" cm="1">
        <f t="array" ref="A1324">IFERROR(INDEX(#REF!,MATCH(TRUE,ISNUMBER(FIND(SUBSTITUTE(SUBSTITUTE(UPPER(#REF!)," ",""),":",": "),SUBSTITUTE(SUBSTITUTE(UPPER(S1324)," ",""),":",": "))),0)),"Undefined")</f>
        <v>Undefined</v>
      </c>
      <c r="B1324" s="42" t="str" cm="1">
        <f t="array" ref="B1324">IFERROR(INDEX({"URGENTE"},MATCH(TRUE,ISNUMBER(FIND(SUBSTITUTE(SUBSTITUTE(UPPER({"URGENTE"})," ",""),":",": "),SUBSTITUTE(SUBSTITUTE(UPPER(S1324)," ",""),":",": "))),0)),"-")</f>
        <v>-</v>
      </c>
      <c r="C1324" s="46" t="str" cm="1">
        <f t="array" ref="C1324">IFERROR(INDEX(#REF!,MATCH(TRUE,ISNUMBER(FIND(SUBSTITUTE(SUBSTITUTE(UPPER(#REF!)," ",""),":",": "),SUBSTITUTE(SUBSTITUTE(UPPER(S1324)," ",""),":",": "))),0)),"Não encontrado")</f>
        <v>Não encontrado</v>
      </c>
      <c r="D1324" s="46" t="str" cm="1">
        <f t="array" ref="D1324">IFERROR(INDEX(#REF!,MATCH(TRUE,ISNUMBER(FIND(SUBSTITUTE(SUBSTITUTE(UPPER(#REF!)," ",""),":",": "),SUBSTITUTE(SUBSTITUTE(UPPER(S1324)," ",""),":",": "))),0)),"Não encontrado")</f>
        <v>Não encontrado</v>
      </c>
      <c r="E1324" s="42" t="str" cm="1">
        <f t="array" ref="E1324">IFERROR(INDEX({"IMPEDITIVO"},MATCH(TRUE,ISNUMBER(FIND(SUBSTITUTE(SUBSTITUTE(UPPER({"IMPEDITIVO"})," ",""),":",": "),SUBSTITUTE(SUBSTITUTE(UPPER(S1324)," ",""),":",": "))),0)),"-")</f>
        <v>-</v>
      </c>
      <c r="K1324" s="49"/>
    </row>
    <row r="1325" spans="1:11" x14ac:dyDescent="0.25">
      <c r="A1325" s="46" t="str" cm="1">
        <f t="array" ref="A1325">IFERROR(INDEX(#REF!,MATCH(TRUE,ISNUMBER(FIND(SUBSTITUTE(SUBSTITUTE(UPPER(#REF!)," ",""),":",": "),SUBSTITUTE(SUBSTITUTE(UPPER(S1325)," ",""),":",": "))),0)),"Undefined")</f>
        <v>Undefined</v>
      </c>
      <c r="B1325" s="42" t="str" cm="1">
        <f t="array" ref="B1325">IFERROR(INDEX({"URGENTE"},MATCH(TRUE,ISNUMBER(FIND(SUBSTITUTE(SUBSTITUTE(UPPER({"URGENTE"})," ",""),":",": "),SUBSTITUTE(SUBSTITUTE(UPPER(S1325)," ",""),":",": "))),0)),"-")</f>
        <v>-</v>
      </c>
      <c r="C1325" s="46" t="str" cm="1">
        <f t="array" ref="C1325">IFERROR(INDEX(#REF!,MATCH(TRUE,ISNUMBER(FIND(SUBSTITUTE(SUBSTITUTE(UPPER(#REF!)," ",""),":",": "),SUBSTITUTE(SUBSTITUTE(UPPER(S1325)," ",""),":",": "))),0)),"Não encontrado")</f>
        <v>Não encontrado</v>
      </c>
      <c r="D1325" s="46" t="str" cm="1">
        <f t="array" ref="D1325">IFERROR(INDEX(#REF!,MATCH(TRUE,ISNUMBER(FIND(SUBSTITUTE(SUBSTITUTE(UPPER(#REF!)," ",""),":",": "),SUBSTITUTE(SUBSTITUTE(UPPER(S1325)," ",""),":",": "))),0)),"Não encontrado")</f>
        <v>Não encontrado</v>
      </c>
      <c r="E1325" s="42" t="str" cm="1">
        <f t="array" ref="E1325">IFERROR(INDEX({"IMPEDITIVO"},MATCH(TRUE,ISNUMBER(FIND(SUBSTITUTE(SUBSTITUTE(UPPER({"IMPEDITIVO"})," ",""),":",": "),SUBSTITUTE(SUBSTITUTE(UPPER(S1325)," ",""),":",": "))),0)),"-")</f>
        <v>-</v>
      </c>
      <c r="K1325" s="49"/>
    </row>
    <row r="1326" spans="1:11" x14ac:dyDescent="0.25">
      <c r="A1326" s="46" t="str" cm="1">
        <f t="array" ref="A1326">IFERROR(INDEX(#REF!,MATCH(TRUE,ISNUMBER(FIND(SUBSTITUTE(SUBSTITUTE(UPPER(#REF!)," ",""),":",": "),SUBSTITUTE(SUBSTITUTE(UPPER(S1326)," ",""),":",": "))),0)),"Undefined")</f>
        <v>Undefined</v>
      </c>
      <c r="B1326" s="42" t="str" cm="1">
        <f t="array" ref="B1326">IFERROR(INDEX({"URGENTE"},MATCH(TRUE,ISNUMBER(FIND(SUBSTITUTE(SUBSTITUTE(UPPER({"URGENTE"})," ",""),":",": "),SUBSTITUTE(SUBSTITUTE(UPPER(S1326)," ",""),":",": "))),0)),"-")</f>
        <v>-</v>
      </c>
      <c r="C1326" s="46" t="str" cm="1">
        <f t="array" ref="C1326">IFERROR(INDEX(#REF!,MATCH(TRUE,ISNUMBER(FIND(SUBSTITUTE(SUBSTITUTE(UPPER(#REF!)," ",""),":",": "),SUBSTITUTE(SUBSTITUTE(UPPER(S1326)," ",""),":",": "))),0)),"Não encontrado")</f>
        <v>Não encontrado</v>
      </c>
      <c r="D1326" s="46" t="str" cm="1">
        <f t="array" ref="D1326">IFERROR(INDEX(#REF!,MATCH(TRUE,ISNUMBER(FIND(SUBSTITUTE(SUBSTITUTE(UPPER(#REF!)," ",""),":",": "),SUBSTITUTE(SUBSTITUTE(UPPER(S1326)," ",""),":",": "))),0)),"Não encontrado")</f>
        <v>Não encontrado</v>
      </c>
      <c r="E1326" s="42" t="str" cm="1">
        <f t="array" ref="E1326">IFERROR(INDEX({"IMPEDITIVO"},MATCH(TRUE,ISNUMBER(FIND(SUBSTITUTE(SUBSTITUTE(UPPER({"IMPEDITIVO"})," ",""),":",": "),SUBSTITUTE(SUBSTITUTE(UPPER(S1326)," ",""),":",": "))),0)),"-")</f>
        <v>-</v>
      </c>
      <c r="K1326" s="49"/>
    </row>
    <row r="1327" spans="1:11" x14ac:dyDescent="0.25">
      <c r="A1327" s="46" t="str" cm="1">
        <f t="array" ref="A1327">IFERROR(INDEX(#REF!,MATCH(TRUE,ISNUMBER(FIND(SUBSTITUTE(SUBSTITUTE(UPPER(#REF!)," ",""),":",": "),SUBSTITUTE(SUBSTITUTE(UPPER(S1327)," ",""),":",": "))),0)),"Undefined")</f>
        <v>Undefined</v>
      </c>
      <c r="B1327" s="42" t="str" cm="1">
        <f t="array" ref="B1327">IFERROR(INDEX({"URGENTE"},MATCH(TRUE,ISNUMBER(FIND(SUBSTITUTE(SUBSTITUTE(UPPER({"URGENTE"})," ",""),":",": "),SUBSTITUTE(SUBSTITUTE(UPPER(S1327)," ",""),":",": "))),0)),"-")</f>
        <v>-</v>
      </c>
      <c r="C1327" s="46" t="str" cm="1">
        <f t="array" ref="C1327">IFERROR(INDEX(#REF!,MATCH(TRUE,ISNUMBER(FIND(SUBSTITUTE(SUBSTITUTE(UPPER(#REF!)," ",""),":",": "),SUBSTITUTE(SUBSTITUTE(UPPER(S1327)," ",""),":",": "))),0)),"Não encontrado")</f>
        <v>Não encontrado</v>
      </c>
      <c r="D1327" s="46" t="str" cm="1">
        <f t="array" ref="D1327">IFERROR(INDEX(#REF!,MATCH(TRUE,ISNUMBER(FIND(SUBSTITUTE(SUBSTITUTE(UPPER(#REF!)," ",""),":",": "),SUBSTITUTE(SUBSTITUTE(UPPER(S1327)," ",""),":",": "))),0)),"Não encontrado")</f>
        <v>Não encontrado</v>
      </c>
      <c r="E1327" s="42" t="str" cm="1">
        <f t="array" ref="E1327">IFERROR(INDEX({"IMPEDITIVO"},MATCH(TRUE,ISNUMBER(FIND(SUBSTITUTE(SUBSTITUTE(UPPER({"IMPEDITIVO"})," ",""),":",": "),SUBSTITUTE(SUBSTITUTE(UPPER(S1327)," ",""),":",": "))),0)),"-")</f>
        <v>-</v>
      </c>
      <c r="K1327" s="49"/>
    </row>
    <row r="1328" spans="1:11" x14ac:dyDescent="0.25">
      <c r="A1328" s="46" t="str" cm="1">
        <f t="array" ref="A1328">IFERROR(INDEX(#REF!,MATCH(TRUE,ISNUMBER(FIND(SUBSTITUTE(SUBSTITUTE(UPPER(#REF!)," ",""),":",": "),SUBSTITUTE(SUBSTITUTE(UPPER(S1328)," ",""),":",": "))),0)),"Undefined")</f>
        <v>Undefined</v>
      </c>
      <c r="B1328" s="42" t="str" cm="1">
        <f t="array" ref="B1328">IFERROR(INDEX({"URGENTE"},MATCH(TRUE,ISNUMBER(FIND(SUBSTITUTE(SUBSTITUTE(UPPER({"URGENTE"})," ",""),":",": "),SUBSTITUTE(SUBSTITUTE(UPPER(S1328)," ",""),":",": "))),0)),"-")</f>
        <v>-</v>
      </c>
      <c r="C1328" s="46" t="str" cm="1">
        <f t="array" ref="C1328">IFERROR(INDEX(#REF!,MATCH(TRUE,ISNUMBER(FIND(SUBSTITUTE(SUBSTITUTE(UPPER(#REF!)," ",""),":",": "),SUBSTITUTE(SUBSTITUTE(UPPER(S1328)," ",""),":",": "))),0)),"Não encontrado")</f>
        <v>Não encontrado</v>
      </c>
      <c r="D1328" s="46" t="str" cm="1">
        <f t="array" ref="D1328">IFERROR(INDEX(#REF!,MATCH(TRUE,ISNUMBER(FIND(SUBSTITUTE(SUBSTITUTE(UPPER(#REF!)," ",""),":",": "),SUBSTITUTE(SUBSTITUTE(UPPER(S1328)," ",""),":",": "))),0)),"Não encontrado")</f>
        <v>Não encontrado</v>
      </c>
      <c r="E1328" s="42" t="str" cm="1">
        <f t="array" ref="E1328">IFERROR(INDEX({"IMPEDITIVO"},MATCH(TRUE,ISNUMBER(FIND(SUBSTITUTE(SUBSTITUTE(UPPER({"IMPEDITIVO"})," ",""),":",": "),SUBSTITUTE(SUBSTITUTE(UPPER(S1328)," ",""),":",": "))),0)),"-")</f>
        <v>-</v>
      </c>
      <c r="K1328" s="49"/>
    </row>
    <row r="1329" spans="1:11" x14ac:dyDescent="0.25">
      <c r="A1329" s="46" t="str" cm="1">
        <f t="array" ref="A1329">IFERROR(INDEX(#REF!,MATCH(TRUE,ISNUMBER(FIND(SUBSTITUTE(SUBSTITUTE(UPPER(#REF!)," ",""),":",": "),SUBSTITUTE(SUBSTITUTE(UPPER(S1329)," ",""),":",": "))),0)),"Undefined")</f>
        <v>Undefined</v>
      </c>
      <c r="B1329" s="42" t="str" cm="1">
        <f t="array" ref="B1329">IFERROR(INDEX({"URGENTE"},MATCH(TRUE,ISNUMBER(FIND(SUBSTITUTE(SUBSTITUTE(UPPER({"URGENTE"})," ",""),":",": "),SUBSTITUTE(SUBSTITUTE(UPPER(S1329)," ",""),":",": "))),0)),"-")</f>
        <v>-</v>
      </c>
      <c r="C1329" s="46" t="str" cm="1">
        <f t="array" ref="C1329">IFERROR(INDEX(#REF!,MATCH(TRUE,ISNUMBER(FIND(SUBSTITUTE(SUBSTITUTE(UPPER(#REF!)," ",""),":",": "),SUBSTITUTE(SUBSTITUTE(UPPER(S1329)," ",""),":",": "))),0)),"Não encontrado")</f>
        <v>Não encontrado</v>
      </c>
      <c r="D1329" s="46" t="str" cm="1">
        <f t="array" ref="D1329">IFERROR(INDEX(#REF!,MATCH(TRUE,ISNUMBER(FIND(SUBSTITUTE(SUBSTITUTE(UPPER(#REF!)," ",""),":",": "),SUBSTITUTE(SUBSTITUTE(UPPER(S1329)," ",""),":",": "))),0)),"Não encontrado")</f>
        <v>Não encontrado</v>
      </c>
      <c r="E1329" s="42" t="str" cm="1">
        <f t="array" ref="E1329">IFERROR(INDEX({"IMPEDITIVO"},MATCH(TRUE,ISNUMBER(FIND(SUBSTITUTE(SUBSTITUTE(UPPER({"IMPEDITIVO"})," ",""),":",": "),SUBSTITUTE(SUBSTITUTE(UPPER(S1329)," ",""),":",": "))),0)),"-")</f>
        <v>-</v>
      </c>
      <c r="K1329" s="49"/>
    </row>
    <row r="1330" spans="1:11" x14ac:dyDescent="0.25">
      <c r="A1330" s="46" t="str" cm="1">
        <f t="array" ref="A1330">IFERROR(INDEX(#REF!,MATCH(TRUE,ISNUMBER(FIND(SUBSTITUTE(SUBSTITUTE(UPPER(#REF!)," ",""),":",": "),SUBSTITUTE(SUBSTITUTE(UPPER(S1330)," ",""),":",": "))),0)),"Undefined")</f>
        <v>Undefined</v>
      </c>
      <c r="B1330" s="42" t="str" cm="1">
        <f t="array" ref="B1330">IFERROR(INDEX({"URGENTE"},MATCH(TRUE,ISNUMBER(FIND(SUBSTITUTE(SUBSTITUTE(UPPER({"URGENTE"})," ",""),":",": "),SUBSTITUTE(SUBSTITUTE(UPPER(S1330)," ",""),":",": "))),0)),"-")</f>
        <v>-</v>
      </c>
      <c r="C1330" s="46" t="str" cm="1">
        <f t="array" ref="C1330">IFERROR(INDEX(#REF!,MATCH(TRUE,ISNUMBER(FIND(SUBSTITUTE(SUBSTITUTE(UPPER(#REF!)," ",""),":",": "),SUBSTITUTE(SUBSTITUTE(UPPER(S1330)," ",""),":",": "))),0)),"Não encontrado")</f>
        <v>Não encontrado</v>
      </c>
      <c r="D1330" s="46" t="str" cm="1">
        <f t="array" ref="D1330">IFERROR(INDEX(#REF!,MATCH(TRUE,ISNUMBER(FIND(SUBSTITUTE(SUBSTITUTE(UPPER(#REF!)," ",""),":",": "),SUBSTITUTE(SUBSTITUTE(UPPER(S1330)," ",""),":",": "))),0)),"Não encontrado")</f>
        <v>Não encontrado</v>
      </c>
      <c r="E1330" s="42" t="str" cm="1">
        <f t="array" ref="E1330">IFERROR(INDEX({"IMPEDITIVO"},MATCH(TRUE,ISNUMBER(FIND(SUBSTITUTE(SUBSTITUTE(UPPER({"IMPEDITIVO"})," ",""),":",": "),SUBSTITUTE(SUBSTITUTE(UPPER(S1330)," ",""),":",": "))),0)),"-")</f>
        <v>-</v>
      </c>
      <c r="K1330" s="49"/>
    </row>
    <row r="1331" spans="1:11" x14ac:dyDescent="0.25">
      <c r="A1331" s="46" t="str" cm="1">
        <f t="array" ref="A1331">IFERROR(INDEX(#REF!,MATCH(TRUE,ISNUMBER(FIND(SUBSTITUTE(SUBSTITUTE(UPPER(#REF!)," ",""),":",": "),SUBSTITUTE(SUBSTITUTE(UPPER(S1331)," ",""),":",": "))),0)),"Undefined")</f>
        <v>Undefined</v>
      </c>
      <c r="B1331" s="42" t="str" cm="1">
        <f t="array" ref="B1331">IFERROR(INDEX({"URGENTE"},MATCH(TRUE,ISNUMBER(FIND(SUBSTITUTE(SUBSTITUTE(UPPER({"URGENTE"})," ",""),":",": "),SUBSTITUTE(SUBSTITUTE(UPPER(S1331)," ",""),":",": "))),0)),"-")</f>
        <v>-</v>
      </c>
      <c r="C1331" s="46" t="str" cm="1">
        <f t="array" ref="C1331">IFERROR(INDEX(#REF!,MATCH(TRUE,ISNUMBER(FIND(SUBSTITUTE(SUBSTITUTE(UPPER(#REF!)," ",""),":",": "),SUBSTITUTE(SUBSTITUTE(UPPER(S1331)," ",""),":",": "))),0)),"Não encontrado")</f>
        <v>Não encontrado</v>
      </c>
      <c r="D1331" s="46" t="str" cm="1">
        <f t="array" ref="D1331">IFERROR(INDEX(#REF!,MATCH(TRUE,ISNUMBER(FIND(SUBSTITUTE(SUBSTITUTE(UPPER(#REF!)," ",""),":",": "),SUBSTITUTE(SUBSTITUTE(UPPER(S1331)," ",""),":",": "))),0)),"Não encontrado")</f>
        <v>Não encontrado</v>
      </c>
      <c r="E1331" s="42" t="str" cm="1">
        <f t="array" ref="E1331">IFERROR(INDEX({"IMPEDITIVO"},MATCH(TRUE,ISNUMBER(FIND(SUBSTITUTE(SUBSTITUTE(UPPER({"IMPEDITIVO"})," ",""),":",": "),SUBSTITUTE(SUBSTITUTE(UPPER(S1331)," ",""),":",": "))),0)),"-")</f>
        <v>-</v>
      </c>
      <c r="K1331" s="49"/>
    </row>
    <row r="1332" spans="1:11" x14ac:dyDescent="0.25">
      <c r="A1332" s="46" t="str" cm="1">
        <f t="array" ref="A1332">IFERROR(INDEX(#REF!,MATCH(TRUE,ISNUMBER(FIND(SUBSTITUTE(SUBSTITUTE(UPPER(#REF!)," ",""),":",": "),SUBSTITUTE(SUBSTITUTE(UPPER(S1332)," ",""),":",": "))),0)),"Undefined")</f>
        <v>Undefined</v>
      </c>
      <c r="B1332" s="42" t="str" cm="1">
        <f t="array" ref="B1332">IFERROR(INDEX({"URGENTE"},MATCH(TRUE,ISNUMBER(FIND(SUBSTITUTE(SUBSTITUTE(UPPER({"URGENTE"})," ",""),":",": "),SUBSTITUTE(SUBSTITUTE(UPPER(S1332)," ",""),":",": "))),0)),"-")</f>
        <v>-</v>
      </c>
      <c r="C1332" s="46" t="str" cm="1">
        <f t="array" ref="C1332">IFERROR(INDEX(#REF!,MATCH(TRUE,ISNUMBER(FIND(SUBSTITUTE(SUBSTITUTE(UPPER(#REF!)," ",""),":",": "),SUBSTITUTE(SUBSTITUTE(UPPER(S1332)," ",""),":",": "))),0)),"Não encontrado")</f>
        <v>Não encontrado</v>
      </c>
      <c r="D1332" s="46" t="str" cm="1">
        <f t="array" ref="D1332">IFERROR(INDEX(#REF!,MATCH(TRUE,ISNUMBER(FIND(SUBSTITUTE(SUBSTITUTE(UPPER(#REF!)," ",""),":",": "),SUBSTITUTE(SUBSTITUTE(UPPER(S1332)," ",""),":",": "))),0)),"Não encontrado")</f>
        <v>Não encontrado</v>
      </c>
      <c r="E1332" s="42" t="str" cm="1">
        <f t="array" ref="E1332">IFERROR(INDEX({"IMPEDITIVO"},MATCH(TRUE,ISNUMBER(FIND(SUBSTITUTE(SUBSTITUTE(UPPER({"IMPEDITIVO"})," ",""),":",": "),SUBSTITUTE(SUBSTITUTE(UPPER(S1332)," ",""),":",": "))),0)),"-")</f>
        <v>-</v>
      </c>
      <c r="K1332" s="49"/>
    </row>
    <row r="1333" spans="1:11" x14ac:dyDescent="0.25">
      <c r="A1333" s="46" t="str" cm="1">
        <f t="array" ref="A1333">IFERROR(INDEX(#REF!,MATCH(TRUE,ISNUMBER(FIND(SUBSTITUTE(SUBSTITUTE(UPPER(#REF!)," ",""),":",": "),SUBSTITUTE(SUBSTITUTE(UPPER(S1333)," ",""),":",": "))),0)),"Undefined")</f>
        <v>Undefined</v>
      </c>
      <c r="B1333" s="42" t="str" cm="1">
        <f t="array" ref="B1333">IFERROR(INDEX({"URGENTE"},MATCH(TRUE,ISNUMBER(FIND(SUBSTITUTE(SUBSTITUTE(UPPER({"URGENTE"})," ",""),":",": "),SUBSTITUTE(SUBSTITUTE(UPPER(S1333)," ",""),":",": "))),0)),"-")</f>
        <v>-</v>
      </c>
      <c r="C1333" s="46" t="str" cm="1">
        <f t="array" ref="C1333">IFERROR(INDEX(#REF!,MATCH(TRUE,ISNUMBER(FIND(SUBSTITUTE(SUBSTITUTE(UPPER(#REF!)," ",""),":",": "),SUBSTITUTE(SUBSTITUTE(UPPER(S1333)," ",""),":",": "))),0)),"Não encontrado")</f>
        <v>Não encontrado</v>
      </c>
      <c r="D1333" s="46" t="str" cm="1">
        <f t="array" ref="D1333">IFERROR(INDEX(#REF!,MATCH(TRUE,ISNUMBER(FIND(SUBSTITUTE(SUBSTITUTE(UPPER(#REF!)," ",""),":",": "),SUBSTITUTE(SUBSTITUTE(UPPER(S1333)," ",""),":",": "))),0)),"Não encontrado")</f>
        <v>Não encontrado</v>
      </c>
      <c r="E1333" s="42" t="str" cm="1">
        <f t="array" ref="E1333">IFERROR(INDEX({"IMPEDITIVO"},MATCH(TRUE,ISNUMBER(FIND(SUBSTITUTE(SUBSTITUTE(UPPER({"IMPEDITIVO"})," ",""),":",": "),SUBSTITUTE(SUBSTITUTE(UPPER(S1333)," ",""),":",": "))),0)),"-")</f>
        <v>-</v>
      </c>
      <c r="K1333" s="49"/>
    </row>
    <row r="1334" spans="1:11" x14ac:dyDescent="0.25">
      <c r="A1334" s="46" t="str" cm="1">
        <f t="array" ref="A1334">IFERROR(INDEX(#REF!,MATCH(TRUE,ISNUMBER(FIND(SUBSTITUTE(SUBSTITUTE(UPPER(#REF!)," ",""),":",": "),SUBSTITUTE(SUBSTITUTE(UPPER(S1334)," ",""),":",": "))),0)),"Undefined")</f>
        <v>Undefined</v>
      </c>
      <c r="B1334" s="42" t="str" cm="1">
        <f t="array" ref="B1334">IFERROR(INDEX({"URGENTE"},MATCH(TRUE,ISNUMBER(FIND(SUBSTITUTE(SUBSTITUTE(UPPER({"URGENTE"})," ",""),":",": "),SUBSTITUTE(SUBSTITUTE(UPPER(S1334)," ",""),":",": "))),0)),"-")</f>
        <v>-</v>
      </c>
      <c r="C1334" s="46" t="str" cm="1">
        <f t="array" ref="C1334">IFERROR(INDEX(#REF!,MATCH(TRUE,ISNUMBER(FIND(SUBSTITUTE(SUBSTITUTE(UPPER(#REF!)," ",""),":",": "),SUBSTITUTE(SUBSTITUTE(UPPER(S1334)," ",""),":",": "))),0)),"Não encontrado")</f>
        <v>Não encontrado</v>
      </c>
      <c r="D1334" s="46" t="str" cm="1">
        <f t="array" ref="D1334">IFERROR(INDEX(#REF!,MATCH(TRUE,ISNUMBER(FIND(SUBSTITUTE(SUBSTITUTE(UPPER(#REF!)," ",""),":",": "),SUBSTITUTE(SUBSTITUTE(UPPER(S1334)," ",""),":",": "))),0)),"Não encontrado")</f>
        <v>Não encontrado</v>
      </c>
      <c r="E1334" s="42" t="str" cm="1">
        <f t="array" ref="E1334">IFERROR(INDEX({"IMPEDITIVO"},MATCH(TRUE,ISNUMBER(FIND(SUBSTITUTE(SUBSTITUTE(UPPER({"IMPEDITIVO"})," ",""),":",": "),SUBSTITUTE(SUBSTITUTE(UPPER(S1334)," ",""),":",": "))),0)),"-")</f>
        <v>-</v>
      </c>
      <c r="K1334" s="49"/>
    </row>
    <row r="1335" spans="1:11" x14ac:dyDescent="0.25">
      <c r="A1335" s="46" t="str" cm="1">
        <f t="array" ref="A1335">IFERROR(INDEX(#REF!,MATCH(TRUE,ISNUMBER(FIND(SUBSTITUTE(SUBSTITUTE(UPPER(#REF!)," ",""),":",": "),SUBSTITUTE(SUBSTITUTE(UPPER(S1335)," ",""),":",": "))),0)),"Undefined")</f>
        <v>Undefined</v>
      </c>
      <c r="B1335" s="42" t="str" cm="1">
        <f t="array" ref="B1335">IFERROR(INDEX({"URGENTE"},MATCH(TRUE,ISNUMBER(FIND(SUBSTITUTE(SUBSTITUTE(UPPER({"URGENTE"})," ",""),":",": "),SUBSTITUTE(SUBSTITUTE(UPPER(S1335)," ",""),":",": "))),0)),"-")</f>
        <v>-</v>
      </c>
      <c r="C1335" s="46" t="str" cm="1">
        <f t="array" ref="C1335">IFERROR(INDEX(#REF!,MATCH(TRUE,ISNUMBER(FIND(SUBSTITUTE(SUBSTITUTE(UPPER(#REF!)," ",""),":",": "),SUBSTITUTE(SUBSTITUTE(UPPER(S1335)," ",""),":",": "))),0)),"Não encontrado")</f>
        <v>Não encontrado</v>
      </c>
      <c r="D1335" s="46" t="str" cm="1">
        <f t="array" ref="D1335">IFERROR(INDEX(#REF!,MATCH(TRUE,ISNUMBER(FIND(SUBSTITUTE(SUBSTITUTE(UPPER(#REF!)," ",""),":",": "),SUBSTITUTE(SUBSTITUTE(UPPER(S1335)," ",""),":",": "))),0)),"Não encontrado")</f>
        <v>Não encontrado</v>
      </c>
      <c r="E1335" s="42" t="str" cm="1">
        <f t="array" ref="E1335">IFERROR(INDEX({"IMPEDITIVO"},MATCH(TRUE,ISNUMBER(FIND(SUBSTITUTE(SUBSTITUTE(UPPER({"IMPEDITIVO"})," ",""),":",": "),SUBSTITUTE(SUBSTITUTE(UPPER(S1335)," ",""),":",": "))),0)),"-")</f>
        <v>-</v>
      </c>
      <c r="K1335" s="49"/>
    </row>
    <row r="1336" spans="1:11" x14ac:dyDescent="0.25">
      <c r="A1336" s="46" t="str" cm="1">
        <f t="array" ref="A1336">IFERROR(INDEX(#REF!,MATCH(TRUE,ISNUMBER(FIND(SUBSTITUTE(SUBSTITUTE(UPPER(#REF!)," ",""),":",": "),SUBSTITUTE(SUBSTITUTE(UPPER(S1336)," ",""),":",": "))),0)),"Undefined")</f>
        <v>Undefined</v>
      </c>
      <c r="B1336" s="42" t="str" cm="1">
        <f t="array" ref="B1336">IFERROR(INDEX({"URGENTE"},MATCH(TRUE,ISNUMBER(FIND(SUBSTITUTE(SUBSTITUTE(UPPER({"URGENTE"})," ",""),":",": "),SUBSTITUTE(SUBSTITUTE(UPPER(S1336)," ",""),":",": "))),0)),"-")</f>
        <v>-</v>
      </c>
      <c r="C1336" s="46" t="str" cm="1">
        <f t="array" ref="C1336">IFERROR(INDEX(#REF!,MATCH(TRUE,ISNUMBER(FIND(SUBSTITUTE(SUBSTITUTE(UPPER(#REF!)," ",""),":",": "),SUBSTITUTE(SUBSTITUTE(UPPER(S1336)," ",""),":",": "))),0)),"Não encontrado")</f>
        <v>Não encontrado</v>
      </c>
      <c r="D1336" s="46" t="str" cm="1">
        <f t="array" ref="D1336">IFERROR(INDEX(#REF!,MATCH(TRUE,ISNUMBER(FIND(SUBSTITUTE(SUBSTITUTE(UPPER(#REF!)," ",""),":",": "),SUBSTITUTE(SUBSTITUTE(UPPER(S1336)," ",""),":",": "))),0)),"Não encontrado")</f>
        <v>Não encontrado</v>
      </c>
      <c r="E1336" s="42" t="str" cm="1">
        <f t="array" ref="E1336">IFERROR(INDEX({"IMPEDITIVO"},MATCH(TRUE,ISNUMBER(FIND(SUBSTITUTE(SUBSTITUTE(UPPER({"IMPEDITIVO"})," ",""),":",": "),SUBSTITUTE(SUBSTITUTE(UPPER(S1336)," ",""),":",": "))),0)),"-")</f>
        <v>-</v>
      </c>
      <c r="K1336" s="49"/>
    </row>
    <row r="1337" spans="1:11" x14ac:dyDescent="0.25">
      <c r="A1337" s="46" t="str" cm="1">
        <f t="array" ref="A1337">IFERROR(INDEX(#REF!,MATCH(TRUE,ISNUMBER(FIND(SUBSTITUTE(SUBSTITUTE(UPPER(#REF!)," ",""),":",": "),SUBSTITUTE(SUBSTITUTE(UPPER(S1337)," ",""),":",": "))),0)),"Undefined")</f>
        <v>Undefined</v>
      </c>
      <c r="B1337" s="42" t="str" cm="1">
        <f t="array" ref="B1337">IFERROR(INDEX({"URGENTE"},MATCH(TRUE,ISNUMBER(FIND(SUBSTITUTE(SUBSTITUTE(UPPER({"URGENTE"})," ",""),":",": "),SUBSTITUTE(SUBSTITUTE(UPPER(S1337)," ",""),":",": "))),0)),"-")</f>
        <v>-</v>
      </c>
      <c r="C1337" s="46" t="str" cm="1">
        <f t="array" ref="C1337">IFERROR(INDEX(#REF!,MATCH(TRUE,ISNUMBER(FIND(SUBSTITUTE(SUBSTITUTE(UPPER(#REF!)," ",""),":",": "),SUBSTITUTE(SUBSTITUTE(UPPER(S1337)," ",""),":",": "))),0)),"Não encontrado")</f>
        <v>Não encontrado</v>
      </c>
      <c r="D1337" s="46" t="str" cm="1">
        <f t="array" ref="D1337">IFERROR(INDEX(#REF!,MATCH(TRUE,ISNUMBER(FIND(SUBSTITUTE(SUBSTITUTE(UPPER(#REF!)," ",""),":",": "),SUBSTITUTE(SUBSTITUTE(UPPER(S1337)," ",""),":",": "))),0)),"Não encontrado")</f>
        <v>Não encontrado</v>
      </c>
      <c r="E1337" s="42" t="str" cm="1">
        <f t="array" ref="E1337">IFERROR(INDEX({"IMPEDITIVO"},MATCH(TRUE,ISNUMBER(FIND(SUBSTITUTE(SUBSTITUTE(UPPER({"IMPEDITIVO"})," ",""),":",": "),SUBSTITUTE(SUBSTITUTE(UPPER(S1337)," ",""),":",": "))),0)),"-")</f>
        <v>-</v>
      </c>
      <c r="K1337" s="49"/>
    </row>
    <row r="1338" spans="1:11" x14ac:dyDescent="0.25">
      <c r="A1338" s="46" t="str" cm="1">
        <f t="array" ref="A1338">IFERROR(INDEX(#REF!,MATCH(TRUE,ISNUMBER(FIND(SUBSTITUTE(SUBSTITUTE(UPPER(#REF!)," ",""),":",": "),SUBSTITUTE(SUBSTITUTE(UPPER(S1338)," ",""),":",": "))),0)),"Undefined")</f>
        <v>Undefined</v>
      </c>
      <c r="B1338" s="42" t="str" cm="1">
        <f t="array" ref="B1338">IFERROR(INDEX({"URGENTE"},MATCH(TRUE,ISNUMBER(FIND(SUBSTITUTE(SUBSTITUTE(UPPER({"URGENTE"})," ",""),":",": "),SUBSTITUTE(SUBSTITUTE(UPPER(S1338)," ",""),":",": "))),0)),"-")</f>
        <v>-</v>
      </c>
      <c r="C1338" s="46" t="str" cm="1">
        <f t="array" ref="C1338">IFERROR(INDEX(#REF!,MATCH(TRUE,ISNUMBER(FIND(SUBSTITUTE(SUBSTITUTE(UPPER(#REF!)," ",""),":",": "),SUBSTITUTE(SUBSTITUTE(UPPER(S1338)," ",""),":",": "))),0)),"Não encontrado")</f>
        <v>Não encontrado</v>
      </c>
      <c r="D1338" s="46" t="str" cm="1">
        <f t="array" ref="D1338">IFERROR(INDEX(#REF!,MATCH(TRUE,ISNUMBER(FIND(SUBSTITUTE(SUBSTITUTE(UPPER(#REF!)," ",""),":",": "),SUBSTITUTE(SUBSTITUTE(UPPER(S1338)," ",""),":",": "))),0)),"Não encontrado")</f>
        <v>Não encontrado</v>
      </c>
      <c r="E1338" s="42" t="str" cm="1">
        <f t="array" ref="E1338">IFERROR(INDEX({"IMPEDITIVO"},MATCH(TRUE,ISNUMBER(FIND(SUBSTITUTE(SUBSTITUTE(UPPER({"IMPEDITIVO"})," ",""),":",": "),SUBSTITUTE(SUBSTITUTE(UPPER(S1338)," ",""),":",": "))),0)),"-")</f>
        <v>-</v>
      </c>
      <c r="K1338" s="49"/>
    </row>
    <row r="1339" spans="1:11" x14ac:dyDescent="0.25">
      <c r="A1339" s="46" t="str" cm="1">
        <f t="array" ref="A1339">IFERROR(INDEX(#REF!,MATCH(TRUE,ISNUMBER(FIND(SUBSTITUTE(SUBSTITUTE(UPPER(#REF!)," ",""),":",": "),SUBSTITUTE(SUBSTITUTE(UPPER(S1339)," ",""),":",": "))),0)),"Undefined")</f>
        <v>Undefined</v>
      </c>
      <c r="B1339" s="42" t="str" cm="1">
        <f t="array" ref="B1339">IFERROR(INDEX({"URGENTE"},MATCH(TRUE,ISNUMBER(FIND(SUBSTITUTE(SUBSTITUTE(UPPER({"URGENTE"})," ",""),":",": "),SUBSTITUTE(SUBSTITUTE(UPPER(S1339)," ",""),":",": "))),0)),"-")</f>
        <v>-</v>
      </c>
      <c r="C1339" s="46" t="str" cm="1">
        <f t="array" ref="C1339">IFERROR(INDEX(#REF!,MATCH(TRUE,ISNUMBER(FIND(SUBSTITUTE(SUBSTITUTE(UPPER(#REF!)," ",""),":",": "),SUBSTITUTE(SUBSTITUTE(UPPER(S1339)," ",""),":",": "))),0)),"Não encontrado")</f>
        <v>Não encontrado</v>
      </c>
      <c r="D1339" s="46" t="str" cm="1">
        <f t="array" ref="D1339">IFERROR(INDEX(#REF!,MATCH(TRUE,ISNUMBER(FIND(SUBSTITUTE(SUBSTITUTE(UPPER(#REF!)," ",""),":",": "),SUBSTITUTE(SUBSTITUTE(UPPER(S1339)," ",""),":",": "))),0)),"Não encontrado")</f>
        <v>Não encontrado</v>
      </c>
      <c r="E1339" s="42" t="str" cm="1">
        <f t="array" ref="E1339">IFERROR(INDEX({"IMPEDITIVO"},MATCH(TRUE,ISNUMBER(FIND(SUBSTITUTE(SUBSTITUTE(UPPER({"IMPEDITIVO"})," ",""),":",": "),SUBSTITUTE(SUBSTITUTE(UPPER(S1339)," ",""),":",": "))),0)),"-")</f>
        <v>-</v>
      </c>
      <c r="K1339" s="49"/>
    </row>
    <row r="1340" spans="1:11" x14ac:dyDescent="0.25">
      <c r="A1340" s="46" t="str" cm="1">
        <f t="array" ref="A1340">IFERROR(INDEX(#REF!,MATCH(TRUE,ISNUMBER(FIND(SUBSTITUTE(SUBSTITUTE(UPPER(#REF!)," ",""),":",": "),SUBSTITUTE(SUBSTITUTE(UPPER(S1340)," ",""),":",": "))),0)),"Undefined")</f>
        <v>Undefined</v>
      </c>
      <c r="B1340" s="42" t="str" cm="1">
        <f t="array" ref="B1340">IFERROR(INDEX({"URGENTE"},MATCH(TRUE,ISNUMBER(FIND(SUBSTITUTE(SUBSTITUTE(UPPER({"URGENTE"})," ",""),":",": "),SUBSTITUTE(SUBSTITUTE(UPPER(S1340)," ",""),":",": "))),0)),"-")</f>
        <v>-</v>
      </c>
      <c r="C1340" s="46" t="str" cm="1">
        <f t="array" ref="C1340">IFERROR(INDEX(#REF!,MATCH(TRUE,ISNUMBER(FIND(SUBSTITUTE(SUBSTITUTE(UPPER(#REF!)," ",""),":",": "),SUBSTITUTE(SUBSTITUTE(UPPER(S1340)," ",""),":",": "))),0)),"Não encontrado")</f>
        <v>Não encontrado</v>
      </c>
      <c r="D1340" s="46" t="str" cm="1">
        <f t="array" ref="D1340">IFERROR(INDEX(#REF!,MATCH(TRUE,ISNUMBER(FIND(SUBSTITUTE(SUBSTITUTE(UPPER(#REF!)," ",""),":",": "),SUBSTITUTE(SUBSTITUTE(UPPER(S1340)," ",""),":",": "))),0)),"Não encontrado")</f>
        <v>Não encontrado</v>
      </c>
      <c r="E1340" s="42" t="str" cm="1">
        <f t="array" ref="E1340">IFERROR(INDEX({"IMPEDITIVO"},MATCH(TRUE,ISNUMBER(FIND(SUBSTITUTE(SUBSTITUTE(UPPER({"IMPEDITIVO"})," ",""),":",": "),SUBSTITUTE(SUBSTITUTE(UPPER(S1340)," ",""),":",": "))),0)),"-")</f>
        <v>-</v>
      </c>
      <c r="K1340" s="49"/>
    </row>
    <row r="1341" spans="1:11" x14ac:dyDescent="0.25">
      <c r="A1341" s="46" t="str" cm="1">
        <f t="array" ref="A1341">IFERROR(INDEX(#REF!,MATCH(TRUE,ISNUMBER(FIND(SUBSTITUTE(SUBSTITUTE(UPPER(#REF!)," ",""),":",": "),SUBSTITUTE(SUBSTITUTE(UPPER(S1341)," ",""),":",": "))),0)),"Undefined")</f>
        <v>Undefined</v>
      </c>
      <c r="B1341" s="42" t="str" cm="1">
        <f t="array" ref="B1341">IFERROR(INDEX({"URGENTE"},MATCH(TRUE,ISNUMBER(FIND(SUBSTITUTE(SUBSTITUTE(UPPER({"URGENTE"})," ",""),":",": "),SUBSTITUTE(SUBSTITUTE(UPPER(S1341)," ",""),":",": "))),0)),"-")</f>
        <v>-</v>
      </c>
      <c r="C1341" s="46" t="str" cm="1">
        <f t="array" ref="C1341">IFERROR(INDEX(#REF!,MATCH(TRUE,ISNUMBER(FIND(SUBSTITUTE(SUBSTITUTE(UPPER(#REF!)," ",""),":",": "),SUBSTITUTE(SUBSTITUTE(UPPER(S1341)," ",""),":",": "))),0)),"Não encontrado")</f>
        <v>Não encontrado</v>
      </c>
      <c r="D1341" s="46" t="str" cm="1">
        <f t="array" ref="D1341">IFERROR(INDEX(#REF!,MATCH(TRUE,ISNUMBER(FIND(SUBSTITUTE(SUBSTITUTE(UPPER(#REF!)," ",""),":",": "),SUBSTITUTE(SUBSTITUTE(UPPER(S1341)," ",""),":",": "))),0)),"Não encontrado")</f>
        <v>Não encontrado</v>
      </c>
      <c r="E1341" s="42" t="str" cm="1">
        <f t="array" ref="E1341">IFERROR(INDEX({"IMPEDITIVO"},MATCH(TRUE,ISNUMBER(FIND(SUBSTITUTE(SUBSTITUTE(UPPER({"IMPEDITIVO"})," ",""),":",": "),SUBSTITUTE(SUBSTITUTE(UPPER(S1341)," ",""),":",": "))),0)),"-")</f>
        <v>-</v>
      </c>
      <c r="K1341" s="49"/>
    </row>
    <row r="1342" spans="1:11" x14ac:dyDescent="0.25">
      <c r="A1342" s="46" t="str" cm="1">
        <f t="array" ref="A1342">IFERROR(INDEX(#REF!,MATCH(TRUE,ISNUMBER(FIND(SUBSTITUTE(SUBSTITUTE(UPPER(#REF!)," ",""),":",": "),SUBSTITUTE(SUBSTITUTE(UPPER(S1342)," ",""),":",": "))),0)),"Undefined")</f>
        <v>Undefined</v>
      </c>
      <c r="B1342" s="42" t="str" cm="1">
        <f t="array" ref="B1342">IFERROR(INDEX({"URGENTE"},MATCH(TRUE,ISNUMBER(FIND(SUBSTITUTE(SUBSTITUTE(UPPER({"URGENTE"})," ",""),":",": "),SUBSTITUTE(SUBSTITUTE(UPPER(S1342)," ",""),":",": "))),0)),"-")</f>
        <v>-</v>
      </c>
      <c r="C1342" s="46" t="str" cm="1">
        <f t="array" ref="C1342">IFERROR(INDEX(#REF!,MATCH(TRUE,ISNUMBER(FIND(SUBSTITUTE(SUBSTITUTE(UPPER(#REF!)," ",""),":",": "),SUBSTITUTE(SUBSTITUTE(UPPER(S1342)," ",""),":",": "))),0)),"Não encontrado")</f>
        <v>Não encontrado</v>
      </c>
      <c r="D1342" s="46" t="str" cm="1">
        <f t="array" ref="D1342">IFERROR(INDEX(#REF!,MATCH(TRUE,ISNUMBER(FIND(SUBSTITUTE(SUBSTITUTE(UPPER(#REF!)," ",""),":",": "),SUBSTITUTE(SUBSTITUTE(UPPER(S1342)," ",""),":",": "))),0)),"Não encontrado")</f>
        <v>Não encontrado</v>
      </c>
      <c r="E1342" s="42" t="str" cm="1">
        <f t="array" ref="E1342">IFERROR(INDEX({"IMPEDITIVO"},MATCH(TRUE,ISNUMBER(FIND(SUBSTITUTE(SUBSTITUTE(UPPER({"IMPEDITIVO"})," ",""),":",": "),SUBSTITUTE(SUBSTITUTE(UPPER(S1342)," ",""),":",": "))),0)),"-")</f>
        <v>-</v>
      </c>
      <c r="K1342" s="49"/>
    </row>
    <row r="1343" spans="1:11" x14ac:dyDescent="0.25">
      <c r="A1343" s="46" t="str" cm="1">
        <f t="array" ref="A1343">IFERROR(INDEX(#REF!,MATCH(TRUE,ISNUMBER(FIND(SUBSTITUTE(SUBSTITUTE(UPPER(#REF!)," ",""),":",": "),SUBSTITUTE(SUBSTITUTE(UPPER(S1343)," ",""),":",": "))),0)),"Undefined")</f>
        <v>Undefined</v>
      </c>
      <c r="B1343" s="42" t="str" cm="1">
        <f t="array" ref="B1343">IFERROR(INDEX({"URGENTE"},MATCH(TRUE,ISNUMBER(FIND(SUBSTITUTE(SUBSTITUTE(UPPER({"URGENTE"})," ",""),":",": "),SUBSTITUTE(SUBSTITUTE(UPPER(S1343)," ",""),":",": "))),0)),"-")</f>
        <v>-</v>
      </c>
      <c r="C1343" s="46" t="str" cm="1">
        <f t="array" ref="C1343">IFERROR(INDEX(#REF!,MATCH(TRUE,ISNUMBER(FIND(SUBSTITUTE(SUBSTITUTE(UPPER(#REF!)," ",""),":",": "),SUBSTITUTE(SUBSTITUTE(UPPER(S1343)," ",""),":",": "))),0)),"Não encontrado")</f>
        <v>Não encontrado</v>
      </c>
      <c r="D1343" s="46" t="str" cm="1">
        <f t="array" ref="D1343">IFERROR(INDEX(#REF!,MATCH(TRUE,ISNUMBER(FIND(SUBSTITUTE(SUBSTITUTE(UPPER(#REF!)," ",""),":",": "),SUBSTITUTE(SUBSTITUTE(UPPER(S1343)," ",""),":",": "))),0)),"Não encontrado")</f>
        <v>Não encontrado</v>
      </c>
      <c r="E1343" s="42" t="str" cm="1">
        <f t="array" ref="E1343">IFERROR(INDEX({"IMPEDITIVO"},MATCH(TRUE,ISNUMBER(FIND(SUBSTITUTE(SUBSTITUTE(UPPER({"IMPEDITIVO"})," ",""),":",": "),SUBSTITUTE(SUBSTITUTE(UPPER(S1343)," ",""),":",": "))),0)),"-")</f>
        <v>-</v>
      </c>
      <c r="K1343" s="49"/>
    </row>
    <row r="1344" spans="1:11" x14ac:dyDescent="0.25">
      <c r="A1344" s="46" t="str" cm="1">
        <f t="array" ref="A1344">IFERROR(INDEX(#REF!,MATCH(TRUE,ISNUMBER(FIND(SUBSTITUTE(SUBSTITUTE(UPPER(#REF!)," ",""),":",": "),SUBSTITUTE(SUBSTITUTE(UPPER(S1344)," ",""),":",": "))),0)),"Undefined")</f>
        <v>Undefined</v>
      </c>
      <c r="B1344" s="42" t="str" cm="1">
        <f t="array" ref="B1344">IFERROR(INDEX({"URGENTE"},MATCH(TRUE,ISNUMBER(FIND(SUBSTITUTE(SUBSTITUTE(UPPER({"URGENTE"})," ",""),":",": "),SUBSTITUTE(SUBSTITUTE(UPPER(S1344)," ",""),":",": "))),0)),"-")</f>
        <v>-</v>
      </c>
      <c r="C1344" s="46" t="str" cm="1">
        <f t="array" ref="C1344">IFERROR(INDEX(#REF!,MATCH(TRUE,ISNUMBER(FIND(SUBSTITUTE(SUBSTITUTE(UPPER(#REF!)," ",""),":",": "),SUBSTITUTE(SUBSTITUTE(UPPER(S1344)," ",""),":",": "))),0)),"Não encontrado")</f>
        <v>Não encontrado</v>
      </c>
      <c r="D1344" s="46" t="str" cm="1">
        <f t="array" ref="D1344">IFERROR(INDEX(#REF!,MATCH(TRUE,ISNUMBER(FIND(SUBSTITUTE(SUBSTITUTE(UPPER(#REF!)," ",""),":",": "),SUBSTITUTE(SUBSTITUTE(UPPER(S1344)," ",""),":",": "))),0)),"Não encontrado")</f>
        <v>Não encontrado</v>
      </c>
      <c r="E1344" s="42" t="str" cm="1">
        <f t="array" ref="E1344">IFERROR(INDEX({"IMPEDITIVO"},MATCH(TRUE,ISNUMBER(FIND(SUBSTITUTE(SUBSTITUTE(UPPER({"IMPEDITIVO"})," ",""),":",": "),SUBSTITUTE(SUBSTITUTE(UPPER(S1344)," ",""),":",": "))),0)),"-")</f>
        <v>-</v>
      </c>
      <c r="K1344" s="49"/>
    </row>
    <row r="1345" spans="1:11" x14ac:dyDescent="0.25">
      <c r="A1345" s="46" t="str" cm="1">
        <f t="array" ref="A1345">IFERROR(INDEX(#REF!,MATCH(TRUE,ISNUMBER(FIND(SUBSTITUTE(SUBSTITUTE(UPPER(#REF!)," ",""),":",": "),SUBSTITUTE(SUBSTITUTE(UPPER(S1345)," ",""),":",": "))),0)),"Undefined")</f>
        <v>Undefined</v>
      </c>
      <c r="B1345" s="42" t="str" cm="1">
        <f t="array" ref="B1345">IFERROR(INDEX({"URGENTE"},MATCH(TRUE,ISNUMBER(FIND(SUBSTITUTE(SUBSTITUTE(UPPER({"URGENTE"})," ",""),":",": "),SUBSTITUTE(SUBSTITUTE(UPPER(S1345)," ",""),":",": "))),0)),"-")</f>
        <v>-</v>
      </c>
      <c r="C1345" s="46" t="str" cm="1">
        <f t="array" ref="C1345">IFERROR(INDEX(#REF!,MATCH(TRUE,ISNUMBER(FIND(SUBSTITUTE(SUBSTITUTE(UPPER(#REF!)," ",""),":",": "),SUBSTITUTE(SUBSTITUTE(UPPER(S1345)," ",""),":",": "))),0)),"Não encontrado")</f>
        <v>Não encontrado</v>
      </c>
      <c r="D1345" s="46" t="str" cm="1">
        <f t="array" ref="D1345">IFERROR(INDEX(#REF!,MATCH(TRUE,ISNUMBER(FIND(SUBSTITUTE(SUBSTITUTE(UPPER(#REF!)," ",""),":",": "),SUBSTITUTE(SUBSTITUTE(UPPER(S1345)," ",""),":",": "))),0)),"Não encontrado")</f>
        <v>Não encontrado</v>
      </c>
      <c r="E1345" s="42" t="str" cm="1">
        <f t="array" ref="E1345">IFERROR(INDEX({"IMPEDITIVO"},MATCH(TRUE,ISNUMBER(FIND(SUBSTITUTE(SUBSTITUTE(UPPER({"IMPEDITIVO"})," ",""),":",": "),SUBSTITUTE(SUBSTITUTE(UPPER(S1345)," ",""),":",": "))),0)),"-")</f>
        <v>-</v>
      </c>
      <c r="K1345" s="49"/>
    </row>
    <row r="1346" spans="1:11" x14ac:dyDescent="0.25">
      <c r="A1346" s="46" t="str" cm="1">
        <f t="array" ref="A1346">IFERROR(INDEX(#REF!,MATCH(TRUE,ISNUMBER(FIND(SUBSTITUTE(SUBSTITUTE(UPPER(#REF!)," ",""),":",": "),SUBSTITUTE(SUBSTITUTE(UPPER(S1346)," ",""),":",": "))),0)),"Undefined")</f>
        <v>Undefined</v>
      </c>
      <c r="B1346" s="42" t="str" cm="1">
        <f t="array" ref="B1346">IFERROR(INDEX({"URGENTE"},MATCH(TRUE,ISNUMBER(FIND(SUBSTITUTE(SUBSTITUTE(UPPER({"URGENTE"})," ",""),":",": "),SUBSTITUTE(SUBSTITUTE(UPPER(S1346)," ",""),":",": "))),0)),"-")</f>
        <v>-</v>
      </c>
      <c r="C1346" s="46" t="str" cm="1">
        <f t="array" ref="C1346">IFERROR(INDEX(#REF!,MATCH(TRUE,ISNUMBER(FIND(SUBSTITUTE(SUBSTITUTE(UPPER(#REF!)," ",""),":",": "),SUBSTITUTE(SUBSTITUTE(UPPER(S1346)," ",""),":",": "))),0)),"Não encontrado")</f>
        <v>Não encontrado</v>
      </c>
      <c r="D1346" s="46" t="str" cm="1">
        <f t="array" ref="D1346">IFERROR(INDEX(#REF!,MATCH(TRUE,ISNUMBER(FIND(SUBSTITUTE(SUBSTITUTE(UPPER(#REF!)," ",""),":",": "),SUBSTITUTE(SUBSTITUTE(UPPER(S1346)," ",""),":",": "))),0)),"Não encontrado")</f>
        <v>Não encontrado</v>
      </c>
      <c r="E1346" s="42" t="str" cm="1">
        <f t="array" ref="E1346">IFERROR(INDEX({"IMPEDITIVO"},MATCH(TRUE,ISNUMBER(FIND(SUBSTITUTE(SUBSTITUTE(UPPER({"IMPEDITIVO"})," ",""),":",": "),SUBSTITUTE(SUBSTITUTE(UPPER(S1346)," ",""),":",": "))),0)),"-")</f>
        <v>-</v>
      </c>
      <c r="K1346" s="49"/>
    </row>
    <row r="1347" spans="1:11" x14ac:dyDescent="0.25">
      <c r="A1347" s="46" t="str" cm="1">
        <f t="array" ref="A1347">IFERROR(INDEX(#REF!,MATCH(TRUE,ISNUMBER(FIND(SUBSTITUTE(SUBSTITUTE(UPPER(#REF!)," ",""),":",": "),SUBSTITUTE(SUBSTITUTE(UPPER(S1347)," ",""),":",": "))),0)),"Undefined")</f>
        <v>Undefined</v>
      </c>
      <c r="B1347" s="42" t="str" cm="1">
        <f t="array" ref="B1347">IFERROR(INDEX({"URGENTE"},MATCH(TRUE,ISNUMBER(FIND(SUBSTITUTE(SUBSTITUTE(UPPER({"URGENTE"})," ",""),":",": "),SUBSTITUTE(SUBSTITUTE(UPPER(S1347)," ",""),":",": "))),0)),"-")</f>
        <v>-</v>
      </c>
      <c r="C1347" s="46" t="str" cm="1">
        <f t="array" ref="C1347">IFERROR(INDEX(#REF!,MATCH(TRUE,ISNUMBER(FIND(SUBSTITUTE(SUBSTITUTE(UPPER(#REF!)," ",""),":",": "),SUBSTITUTE(SUBSTITUTE(UPPER(S1347)," ",""),":",": "))),0)),"Não encontrado")</f>
        <v>Não encontrado</v>
      </c>
      <c r="D1347" s="46" t="str" cm="1">
        <f t="array" ref="D1347">IFERROR(INDEX(#REF!,MATCH(TRUE,ISNUMBER(FIND(SUBSTITUTE(SUBSTITUTE(UPPER(#REF!)," ",""),":",": "),SUBSTITUTE(SUBSTITUTE(UPPER(S1347)," ",""),":",": "))),0)),"Não encontrado")</f>
        <v>Não encontrado</v>
      </c>
      <c r="E1347" s="42" t="str" cm="1">
        <f t="array" ref="E1347">IFERROR(INDEX({"IMPEDITIVO"},MATCH(TRUE,ISNUMBER(FIND(SUBSTITUTE(SUBSTITUTE(UPPER({"IMPEDITIVO"})," ",""),":",": "),SUBSTITUTE(SUBSTITUTE(UPPER(S1347)," ",""),":",": "))),0)),"-")</f>
        <v>-</v>
      </c>
      <c r="K1347" s="49"/>
    </row>
    <row r="1348" spans="1:11" x14ac:dyDescent="0.25">
      <c r="A1348" s="46" t="str" cm="1">
        <f t="array" ref="A1348">IFERROR(INDEX(#REF!,MATCH(TRUE,ISNUMBER(FIND(SUBSTITUTE(SUBSTITUTE(UPPER(#REF!)," ",""),":",": "),SUBSTITUTE(SUBSTITUTE(UPPER(S1348)," ",""),":",": "))),0)),"Undefined")</f>
        <v>Undefined</v>
      </c>
      <c r="B1348" s="42" t="str" cm="1">
        <f t="array" ref="B1348">IFERROR(INDEX({"URGENTE"},MATCH(TRUE,ISNUMBER(FIND(SUBSTITUTE(SUBSTITUTE(UPPER({"URGENTE"})," ",""),":",": "),SUBSTITUTE(SUBSTITUTE(UPPER(S1348)," ",""),":",": "))),0)),"-")</f>
        <v>-</v>
      </c>
      <c r="C1348" s="46" t="str" cm="1">
        <f t="array" ref="C1348">IFERROR(INDEX(#REF!,MATCH(TRUE,ISNUMBER(FIND(SUBSTITUTE(SUBSTITUTE(UPPER(#REF!)," ",""),":",": "),SUBSTITUTE(SUBSTITUTE(UPPER(S1348)," ",""),":",": "))),0)),"Não encontrado")</f>
        <v>Não encontrado</v>
      </c>
      <c r="D1348" s="46" t="str" cm="1">
        <f t="array" ref="D1348">IFERROR(INDEX(#REF!,MATCH(TRUE,ISNUMBER(FIND(SUBSTITUTE(SUBSTITUTE(UPPER(#REF!)," ",""),":",": "),SUBSTITUTE(SUBSTITUTE(UPPER(S1348)," ",""),":",": "))),0)),"Não encontrado")</f>
        <v>Não encontrado</v>
      </c>
      <c r="E1348" s="42" t="str" cm="1">
        <f t="array" ref="E1348">IFERROR(INDEX({"IMPEDITIVO"},MATCH(TRUE,ISNUMBER(FIND(SUBSTITUTE(SUBSTITUTE(UPPER({"IMPEDITIVO"})," ",""),":",": "),SUBSTITUTE(SUBSTITUTE(UPPER(S1348)," ",""),":",": "))),0)),"-")</f>
        <v>-</v>
      </c>
      <c r="K1348" s="49"/>
    </row>
    <row r="1349" spans="1:11" x14ac:dyDescent="0.25">
      <c r="A1349" s="46" t="str" cm="1">
        <f t="array" ref="A1349">IFERROR(INDEX(#REF!,MATCH(TRUE,ISNUMBER(FIND(SUBSTITUTE(SUBSTITUTE(UPPER(#REF!)," ",""),":",": "),SUBSTITUTE(SUBSTITUTE(UPPER(S1349)," ",""),":",": "))),0)),"Undefined")</f>
        <v>Undefined</v>
      </c>
      <c r="B1349" s="42" t="str" cm="1">
        <f t="array" ref="B1349">IFERROR(INDEX({"URGENTE"},MATCH(TRUE,ISNUMBER(FIND(SUBSTITUTE(SUBSTITUTE(UPPER({"URGENTE"})," ",""),":",": "),SUBSTITUTE(SUBSTITUTE(UPPER(S1349)," ",""),":",": "))),0)),"-")</f>
        <v>-</v>
      </c>
      <c r="C1349" s="46" t="str" cm="1">
        <f t="array" ref="C1349">IFERROR(INDEX(#REF!,MATCH(TRUE,ISNUMBER(FIND(SUBSTITUTE(SUBSTITUTE(UPPER(#REF!)," ",""),":",": "),SUBSTITUTE(SUBSTITUTE(UPPER(S1349)," ",""),":",": "))),0)),"Não encontrado")</f>
        <v>Não encontrado</v>
      </c>
      <c r="D1349" s="46" t="str" cm="1">
        <f t="array" ref="D1349">IFERROR(INDEX(#REF!,MATCH(TRUE,ISNUMBER(FIND(SUBSTITUTE(SUBSTITUTE(UPPER(#REF!)," ",""),":",": "),SUBSTITUTE(SUBSTITUTE(UPPER(S1349)," ",""),":",": "))),0)),"Não encontrado")</f>
        <v>Não encontrado</v>
      </c>
      <c r="E1349" s="42" t="str" cm="1">
        <f t="array" ref="E1349">IFERROR(INDEX({"IMPEDITIVO"},MATCH(TRUE,ISNUMBER(FIND(SUBSTITUTE(SUBSTITUTE(UPPER({"IMPEDITIVO"})," ",""),":",": "),SUBSTITUTE(SUBSTITUTE(UPPER(S1349)," ",""),":",": "))),0)),"-")</f>
        <v>-</v>
      </c>
      <c r="K1349" s="49"/>
    </row>
    <row r="1350" spans="1:11" x14ac:dyDescent="0.25">
      <c r="A1350" s="46" t="str" cm="1">
        <f t="array" ref="A1350">IFERROR(INDEX(#REF!,MATCH(TRUE,ISNUMBER(FIND(SUBSTITUTE(SUBSTITUTE(UPPER(#REF!)," ",""),":",": "),SUBSTITUTE(SUBSTITUTE(UPPER(S1350)," ",""),":",": "))),0)),"Undefined")</f>
        <v>Undefined</v>
      </c>
      <c r="B1350" s="42" t="str" cm="1">
        <f t="array" ref="B1350">IFERROR(INDEX({"URGENTE"},MATCH(TRUE,ISNUMBER(FIND(SUBSTITUTE(SUBSTITUTE(UPPER({"URGENTE"})," ",""),":",": "),SUBSTITUTE(SUBSTITUTE(UPPER(S1350)," ",""),":",": "))),0)),"-")</f>
        <v>-</v>
      </c>
      <c r="C1350" s="46" t="str" cm="1">
        <f t="array" ref="C1350">IFERROR(INDEX(#REF!,MATCH(TRUE,ISNUMBER(FIND(SUBSTITUTE(SUBSTITUTE(UPPER(#REF!)," ",""),":",": "),SUBSTITUTE(SUBSTITUTE(UPPER(S1350)," ",""),":",": "))),0)),"Não encontrado")</f>
        <v>Não encontrado</v>
      </c>
      <c r="D1350" s="46" t="str" cm="1">
        <f t="array" ref="D1350">IFERROR(INDEX(#REF!,MATCH(TRUE,ISNUMBER(FIND(SUBSTITUTE(SUBSTITUTE(UPPER(#REF!)," ",""),":",": "),SUBSTITUTE(SUBSTITUTE(UPPER(S1350)," ",""),":",": "))),0)),"Não encontrado")</f>
        <v>Não encontrado</v>
      </c>
      <c r="E1350" s="42" t="str" cm="1">
        <f t="array" ref="E1350">IFERROR(INDEX({"IMPEDITIVO"},MATCH(TRUE,ISNUMBER(FIND(SUBSTITUTE(SUBSTITUTE(UPPER({"IMPEDITIVO"})," ",""),":",": "),SUBSTITUTE(SUBSTITUTE(UPPER(S1350)," ",""),":",": "))),0)),"-")</f>
        <v>-</v>
      </c>
      <c r="K1350" s="49"/>
    </row>
    <row r="1351" spans="1:11" x14ac:dyDescent="0.25">
      <c r="A1351" s="46" t="str" cm="1">
        <f t="array" ref="A1351">IFERROR(INDEX(#REF!,MATCH(TRUE,ISNUMBER(FIND(SUBSTITUTE(SUBSTITUTE(UPPER(#REF!)," ",""),":",": "),SUBSTITUTE(SUBSTITUTE(UPPER(S1351)," ",""),":",": "))),0)),"Undefined")</f>
        <v>Undefined</v>
      </c>
      <c r="B1351" s="42" t="str" cm="1">
        <f t="array" ref="B1351">IFERROR(INDEX({"URGENTE"},MATCH(TRUE,ISNUMBER(FIND(SUBSTITUTE(SUBSTITUTE(UPPER({"URGENTE"})," ",""),":",": "),SUBSTITUTE(SUBSTITUTE(UPPER(S1351)," ",""),":",": "))),0)),"-")</f>
        <v>-</v>
      </c>
      <c r="C1351" s="46" t="str" cm="1">
        <f t="array" ref="C1351">IFERROR(INDEX(#REF!,MATCH(TRUE,ISNUMBER(FIND(SUBSTITUTE(SUBSTITUTE(UPPER(#REF!)," ",""),":",": "),SUBSTITUTE(SUBSTITUTE(UPPER(S1351)," ",""),":",": "))),0)),"Não encontrado")</f>
        <v>Não encontrado</v>
      </c>
      <c r="D1351" s="46" t="str" cm="1">
        <f t="array" ref="D1351">IFERROR(INDEX(#REF!,MATCH(TRUE,ISNUMBER(FIND(SUBSTITUTE(SUBSTITUTE(UPPER(#REF!)," ",""),":",": "),SUBSTITUTE(SUBSTITUTE(UPPER(S1351)," ",""),":",": "))),0)),"Não encontrado")</f>
        <v>Não encontrado</v>
      </c>
      <c r="E1351" s="42" t="str" cm="1">
        <f t="array" ref="E1351">IFERROR(INDEX({"IMPEDITIVO"},MATCH(TRUE,ISNUMBER(FIND(SUBSTITUTE(SUBSTITUTE(UPPER({"IMPEDITIVO"})," ",""),":",": "),SUBSTITUTE(SUBSTITUTE(UPPER(S1351)," ",""),":",": "))),0)),"-")</f>
        <v>-</v>
      </c>
      <c r="K1351" s="49"/>
    </row>
    <row r="1352" spans="1:11" x14ac:dyDescent="0.25">
      <c r="A1352" s="46" t="str" cm="1">
        <f t="array" ref="A1352">IFERROR(INDEX(#REF!,MATCH(TRUE,ISNUMBER(FIND(SUBSTITUTE(SUBSTITUTE(UPPER(#REF!)," ",""),":",": "),SUBSTITUTE(SUBSTITUTE(UPPER(S1352)," ",""),":",": "))),0)),"Undefined")</f>
        <v>Undefined</v>
      </c>
      <c r="B1352" s="42" t="str" cm="1">
        <f t="array" ref="B1352">IFERROR(INDEX({"URGENTE"},MATCH(TRUE,ISNUMBER(FIND(SUBSTITUTE(SUBSTITUTE(UPPER({"URGENTE"})," ",""),":",": "),SUBSTITUTE(SUBSTITUTE(UPPER(S1352)," ",""),":",": "))),0)),"-")</f>
        <v>-</v>
      </c>
      <c r="C1352" s="46" t="str" cm="1">
        <f t="array" ref="C1352">IFERROR(INDEX(#REF!,MATCH(TRUE,ISNUMBER(FIND(SUBSTITUTE(SUBSTITUTE(UPPER(#REF!)," ",""),":",": "),SUBSTITUTE(SUBSTITUTE(UPPER(S1352)," ",""),":",": "))),0)),"Não encontrado")</f>
        <v>Não encontrado</v>
      </c>
      <c r="D1352" s="46" t="str" cm="1">
        <f t="array" ref="D1352">IFERROR(INDEX(#REF!,MATCH(TRUE,ISNUMBER(FIND(SUBSTITUTE(SUBSTITUTE(UPPER(#REF!)," ",""),":",": "),SUBSTITUTE(SUBSTITUTE(UPPER(S1352)," ",""),":",": "))),0)),"Não encontrado")</f>
        <v>Não encontrado</v>
      </c>
      <c r="E1352" s="42" t="str" cm="1">
        <f t="array" ref="E1352">IFERROR(INDEX({"IMPEDITIVO"},MATCH(TRUE,ISNUMBER(FIND(SUBSTITUTE(SUBSTITUTE(UPPER({"IMPEDITIVO"})," ",""),":",": "),SUBSTITUTE(SUBSTITUTE(UPPER(S1352)," ",""),":",": "))),0)),"-")</f>
        <v>-</v>
      </c>
      <c r="K1352" s="49"/>
    </row>
    <row r="1353" spans="1:11" x14ac:dyDescent="0.25">
      <c r="A1353" s="46" t="str" cm="1">
        <f t="array" ref="A1353">IFERROR(INDEX(#REF!,MATCH(TRUE,ISNUMBER(FIND(SUBSTITUTE(SUBSTITUTE(UPPER(#REF!)," ",""),":",": "),SUBSTITUTE(SUBSTITUTE(UPPER(S1353)," ",""),":",": "))),0)),"Undefined")</f>
        <v>Undefined</v>
      </c>
      <c r="B1353" s="42" t="str" cm="1">
        <f t="array" ref="B1353">IFERROR(INDEX({"URGENTE"},MATCH(TRUE,ISNUMBER(FIND(SUBSTITUTE(SUBSTITUTE(UPPER({"URGENTE"})," ",""),":",": "),SUBSTITUTE(SUBSTITUTE(UPPER(S1353)," ",""),":",": "))),0)),"-")</f>
        <v>-</v>
      </c>
      <c r="C1353" s="46" t="str" cm="1">
        <f t="array" ref="C1353">IFERROR(INDEX(#REF!,MATCH(TRUE,ISNUMBER(FIND(SUBSTITUTE(SUBSTITUTE(UPPER(#REF!)," ",""),":",": "),SUBSTITUTE(SUBSTITUTE(UPPER(S1353)," ",""),":",": "))),0)),"Não encontrado")</f>
        <v>Não encontrado</v>
      </c>
      <c r="D1353" s="46" t="str" cm="1">
        <f t="array" ref="D1353">IFERROR(INDEX(#REF!,MATCH(TRUE,ISNUMBER(FIND(SUBSTITUTE(SUBSTITUTE(UPPER(#REF!)," ",""),":",": "),SUBSTITUTE(SUBSTITUTE(UPPER(S1353)," ",""),":",": "))),0)),"Não encontrado")</f>
        <v>Não encontrado</v>
      </c>
      <c r="E1353" s="42" t="str" cm="1">
        <f t="array" ref="E1353">IFERROR(INDEX({"IMPEDITIVO"},MATCH(TRUE,ISNUMBER(FIND(SUBSTITUTE(SUBSTITUTE(UPPER({"IMPEDITIVO"})," ",""),":",": "),SUBSTITUTE(SUBSTITUTE(UPPER(S1353)," ",""),":",": "))),0)),"-")</f>
        <v>-</v>
      </c>
      <c r="K1353" s="49"/>
    </row>
    <row r="1354" spans="1:11" x14ac:dyDescent="0.25">
      <c r="A1354" s="46" t="str" cm="1">
        <f t="array" ref="A1354">IFERROR(INDEX(#REF!,MATCH(TRUE,ISNUMBER(FIND(SUBSTITUTE(SUBSTITUTE(UPPER(#REF!)," ",""),":",": "),SUBSTITUTE(SUBSTITUTE(UPPER(S1354)," ",""),":",": "))),0)),"Undefined")</f>
        <v>Undefined</v>
      </c>
      <c r="B1354" s="42" t="str" cm="1">
        <f t="array" ref="B1354">IFERROR(INDEX({"URGENTE"},MATCH(TRUE,ISNUMBER(FIND(SUBSTITUTE(SUBSTITUTE(UPPER({"URGENTE"})," ",""),":",": "),SUBSTITUTE(SUBSTITUTE(UPPER(S1354)," ",""),":",": "))),0)),"-")</f>
        <v>-</v>
      </c>
      <c r="C1354" s="46" t="str" cm="1">
        <f t="array" ref="C1354">IFERROR(INDEX(#REF!,MATCH(TRUE,ISNUMBER(FIND(SUBSTITUTE(SUBSTITUTE(UPPER(#REF!)," ",""),":",": "),SUBSTITUTE(SUBSTITUTE(UPPER(S1354)," ",""),":",": "))),0)),"Não encontrado")</f>
        <v>Não encontrado</v>
      </c>
      <c r="D1354" s="46" t="str" cm="1">
        <f t="array" ref="D1354">IFERROR(INDEX(#REF!,MATCH(TRUE,ISNUMBER(FIND(SUBSTITUTE(SUBSTITUTE(UPPER(#REF!)," ",""),":",": "),SUBSTITUTE(SUBSTITUTE(UPPER(S1354)," ",""),":",": "))),0)),"Não encontrado")</f>
        <v>Não encontrado</v>
      </c>
      <c r="E1354" s="42" t="str" cm="1">
        <f t="array" ref="E1354">IFERROR(INDEX({"IMPEDITIVO"},MATCH(TRUE,ISNUMBER(FIND(SUBSTITUTE(SUBSTITUTE(UPPER({"IMPEDITIVO"})," ",""),":",": "),SUBSTITUTE(SUBSTITUTE(UPPER(S1354)," ",""),":",": "))),0)),"-")</f>
        <v>-</v>
      </c>
      <c r="K1354" s="49"/>
    </row>
    <row r="1355" spans="1:11" x14ac:dyDescent="0.25">
      <c r="A1355" s="46" t="str" cm="1">
        <f t="array" ref="A1355">IFERROR(INDEX(#REF!,MATCH(TRUE,ISNUMBER(FIND(SUBSTITUTE(SUBSTITUTE(UPPER(#REF!)," ",""),":",": "),SUBSTITUTE(SUBSTITUTE(UPPER(S1355)," ",""),":",": "))),0)),"Undefined")</f>
        <v>Undefined</v>
      </c>
      <c r="B1355" s="42" t="str" cm="1">
        <f t="array" ref="B1355">IFERROR(INDEX({"URGENTE"},MATCH(TRUE,ISNUMBER(FIND(SUBSTITUTE(SUBSTITUTE(UPPER({"URGENTE"})," ",""),":",": "),SUBSTITUTE(SUBSTITUTE(UPPER(S1355)," ",""),":",": "))),0)),"-")</f>
        <v>-</v>
      </c>
      <c r="C1355" s="46" t="str" cm="1">
        <f t="array" ref="C1355">IFERROR(INDEX(#REF!,MATCH(TRUE,ISNUMBER(FIND(SUBSTITUTE(SUBSTITUTE(UPPER(#REF!)," ",""),":",": "),SUBSTITUTE(SUBSTITUTE(UPPER(S1355)," ",""),":",": "))),0)),"Não encontrado")</f>
        <v>Não encontrado</v>
      </c>
      <c r="D1355" s="46" t="str" cm="1">
        <f t="array" ref="D1355">IFERROR(INDEX(#REF!,MATCH(TRUE,ISNUMBER(FIND(SUBSTITUTE(SUBSTITUTE(UPPER(#REF!)," ",""),":",": "),SUBSTITUTE(SUBSTITUTE(UPPER(S1355)," ",""),":",": "))),0)),"Não encontrado")</f>
        <v>Não encontrado</v>
      </c>
      <c r="E1355" s="42" t="str" cm="1">
        <f t="array" ref="E1355">IFERROR(INDEX({"IMPEDITIVO"},MATCH(TRUE,ISNUMBER(FIND(SUBSTITUTE(SUBSTITUTE(UPPER({"IMPEDITIVO"})," ",""),":",": "),SUBSTITUTE(SUBSTITUTE(UPPER(S1355)," ",""),":",": "))),0)),"-")</f>
        <v>-</v>
      </c>
      <c r="K1355" s="49"/>
    </row>
    <row r="1356" spans="1:11" x14ac:dyDescent="0.25">
      <c r="A1356" s="46" t="str" cm="1">
        <f t="array" ref="A1356">IFERROR(INDEX(#REF!,MATCH(TRUE,ISNUMBER(FIND(SUBSTITUTE(SUBSTITUTE(UPPER(#REF!)," ",""),":",": "),SUBSTITUTE(SUBSTITUTE(UPPER(S1356)," ",""),":",": "))),0)),"Undefined")</f>
        <v>Undefined</v>
      </c>
      <c r="B1356" s="42" t="str" cm="1">
        <f t="array" ref="B1356">IFERROR(INDEX({"URGENTE"},MATCH(TRUE,ISNUMBER(FIND(SUBSTITUTE(SUBSTITUTE(UPPER({"URGENTE"})," ",""),":",": "),SUBSTITUTE(SUBSTITUTE(UPPER(S1356)," ",""),":",": "))),0)),"-")</f>
        <v>-</v>
      </c>
      <c r="C1356" s="46" t="str" cm="1">
        <f t="array" ref="C1356">IFERROR(INDEX(#REF!,MATCH(TRUE,ISNUMBER(FIND(SUBSTITUTE(SUBSTITUTE(UPPER(#REF!)," ",""),":",": "),SUBSTITUTE(SUBSTITUTE(UPPER(S1356)," ",""),":",": "))),0)),"Não encontrado")</f>
        <v>Não encontrado</v>
      </c>
      <c r="D1356" s="46" t="str" cm="1">
        <f t="array" ref="D1356">IFERROR(INDEX(#REF!,MATCH(TRUE,ISNUMBER(FIND(SUBSTITUTE(SUBSTITUTE(UPPER(#REF!)," ",""),":",": "),SUBSTITUTE(SUBSTITUTE(UPPER(S1356)," ",""),":",": "))),0)),"Não encontrado")</f>
        <v>Não encontrado</v>
      </c>
      <c r="E1356" s="42" t="str" cm="1">
        <f t="array" ref="E1356">IFERROR(INDEX({"IMPEDITIVO"},MATCH(TRUE,ISNUMBER(FIND(SUBSTITUTE(SUBSTITUTE(UPPER({"IMPEDITIVO"})," ",""),":",": "),SUBSTITUTE(SUBSTITUTE(UPPER(S1356)," ",""),":",": "))),0)),"-")</f>
        <v>-</v>
      </c>
      <c r="K1356" s="49"/>
    </row>
    <row r="1357" spans="1:11" x14ac:dyDescent="0.25">
      <c r="A1357" s="46" t="str" cm="1">
        <f t="array" ref="A1357">IFERROR(INDEX(#REF!,MATCH(TRUE,ISNUMBER(FIND(SUBSTITUTE(SUBSTITUTE(UPPER(#REF!)," ",""),":",": "),SUBSTITUTE(SUBSTITUTE(UPPER(S1357)," ",""),":",": "))),0)),"Undefined")</f>
        <v>Undefined</v>
      </c>
      <c r="B1357" s="42" t="str" cm="1">
        <f t="array" ref="B1357">IFERROR(INDEX({"URGENTE"},MATCH(TRUE,ISNUMBER(FIND(SUBSTITUTE(SUBSTITUTE(UPPER({"URGENTE"})," ",""),":",": "),SUBSTITUTE(SUBSTITUTE(UPPER(S1357)," ",""),":",": "))),0)),"-")</f>
        <v>-</v>
      </c>
      <c r="C1357" s="46" t="str" cm="1">
        <f t="array" ref="C1357">IFERROR(INDEX(#REF!,MATCH(TRUE,ISNUMBER(FIND(SUBSTITUTE(SUBSTITUTE(UPPER(#REF!)," ",""),":",": "),SUBSTITUTE(SUBSTITUTE(UPPER(S1357)," ",""),":",": "))),0)),"Não encontrado")</f>
        <v>Não encontrado</v>
      </c>
      <c r="D1357" s="46" t="str" cm="1">
        <f t="array" ref="D1357">IFERROR(INDEX(#REF!,MATCH(TRUE,ISNUMBER(FIND(SUBSTITUTE(SUBSTITUTE(UPPER(#REF!)," ",""),":",": "),SUBSTITUTE(SUBSTITUTE(UPPER(S1357)," ",""),":",": "))),0)),"Não encontrado")</f>
        <v>Não encontrado</v>
      </c>
      <c r="E1357" s="42" t="str" cm="1">
        <f t="array" ref="E1357">IFERROR(INDEX({"IMPEDITIVO"},MATCH(TRUE,ISNUMBER(FIND(SUBSTITUTE(SUBSTITUTE(UPPER({"IMPEDITIVO"})," ",""),":",": "),SUBSTITUTE(SUBSTITUTE(UPPER(S1357)," ",""),":",": "))),0)),"-")</f>
        <v>-</v>
      </c>
      <c r="K1357" s="49"/>
    </row>
    <row r="1358" spans="1:11" x14ac:dyDescent="0.25">
      <c r="A1358" s="46" t="str" cm="1">
        <f t="array" ref="A1358">IFERROR(INDEX(#REF!,MATCH(TRUE,ISNUMBER(FIND(SUBSTITUTE(SUBSTITUTE(UPPER(#REF!)," ",""),":",": "),SUBSTITUTE(SUBSTITUTE(UPPER(S1358)," ",""),":",": "))),0)),"Undefined")</f>
        <v>Undefined</v>
      </c>
      <c r="B1358" s="42" t="str" cm="1">
        <f t="array" ref="B1358">IFERROR(INDEX({"URGENTE"},MATCH(TRUE,ISNUMBER(FIND(SUBSTITUTE(SUBSTITUTE(UPPER({"URGENTE"})," ",""),":",": "),SUBSTITUTE(SUBSTITUTE(UPPER(S1358)," ",""),":",": "))),0)),"-")</f>
        <v>-</v>
      </c>
      <c r="C1358" s="46" t="str" cm="1">
        <f t="array" ref="C1358">IFERROR(INDEX(#REF!,MATCH(TRUE,ISNUMBER(FIND(SUBSTITUTE(SUBSTITUTE(UPPER(#REF!)," ",""),":",": "),SUBSTITUTE(SUBSTITUTE(UPPER(S1358)," ",""),":",": "))),0)),"Não encontrado")</f>
        <v>Não encontrado</v>
      </c>
      <c r="D1358" s="46" t="str" cm="1">
        <f t="array" ref="D1358">IFERROR(INDEX(#REF!,MATCH(TRUE,ISNUMBER(FIND(SUBSTITUTE(SUBSTITUTE(UPPER(#REF!)," ",""),":",": "),SUBSTITUTE(SUBSTITUTE(UPPER(S1358)," ",""),":",": "))),0)),"Não encontrado")</f>
        <v>Não encontrado</v>
      </c>
      <c r="E1358" s="42" t="str" cm="1">
        <f t="array" ref="E1358">IFERROR(INDEX({"IMPEDITIVO"},MATCH(TRUE,ISNUMBER(FIND(SUBSTITUTE(SUBSTITUTE(UPPER({"IMPEDITIVO"})," ",""),":",": "),SUBSTITUTE(SUBSTITUTE(UPPER(S1358)," ",""),":",": "))),0)),"-")</f>
        <v>-</v>
      </c>
      <c r="K1358" s="49"/>
    </row>
    <row r="1359" spans="1:11" x14ac:dyDescent="0.25">
      <c r="A1359" s="46" t="str" cm="1">
        <f t="array" ref="A1359">IFERROR(INDEX(#REF!,MATCH(TRUE,ISNUMBER(FIND(SUBSTITUTE(SUBSTITUTE(UPPER(#REF!)," ",""),":",": "),SUBSTITUTE(SUBSTITUTE(UPPER(S1359)," ",""),":",": "))),0)),"Undefined")</f>
        <v>Undefined</v>
      </c>
      <c r="B1359" s="42" t="str" cm="1">
        <f t="array" ref="B1359">IFERROR(INDEX({"URGENTE"},MATCH(TRUE,ISNUMBER(FIND(SUBSTITUTE(SUBSTITUTE(UPPER({"URGENTE"})," ",""),":",": "),SUBSTITUTE(SUBSTITUTE(UPPER(S1359)," ",""),":",": "))),0)),"-")</f>
        <v>-</v>
      </c>
      <c r="C1359" s="46" t="str" cm="1">
        <f t="array" ref="C1359">IFERROR(INDEX(#REF!,MATCH(TRUE,ISNUMBER(FIND(SUBSTITUTE(SUBSTITUTE(UPPER(#REF!)," ",""),":",": "),SUBSTITUTE(SUBSTITUTE(UPPER(S1359)," ",""),":",": "))),0)),"Não encontrado")</f>
        <v>Não encontrado</v>
      </c>
      <c r="D1359" s="46" t="str" cm="1">
        <f t="array" ref="D1359">IFERROR(INDEX(#REF!,MATCH(TRUE,ISNUMBER(FIND(SUBSTITUTE(SUBSTITUTE(UPPER(#REF!)," ",""),":",": "),SUBSTITUTE(SUBSTITUTE(UPPER(S1359)," ",""),":",": "))),0)),"Não encontrado")</f>
        <v>Não encontrado</v>
      </c>
      <c r="E1359" s="42" t="str" cm="1">
        <f t="array" ref="E1359">IFERROR(INDEX({"IMPEDITIVO"},MATCH(TRUE,ISNUMBER(FIND(SUBSTITUTE(SUBSTITUTE(UPPER({"IMPEDITIVO"})," ",""),":",": "),SUBSTITUTE(SUBSTITUTE(UPPER(S1359)," ",""),":",": "))),0)),"-")</f>
        <v>-</v>
      </c>
      <c r="K1359" s="49"/>
    </row>
    <row r="1360" spans="1:11" x14ac:dyDescent="0.25">
      <c r="A1360" s="46" t="str" cm="1">
        <f t="array" ref="A1360">IFERROR(INDEX(#REF!,MATCH(TRUE,ISNUMBER(FIND(SUBSTITUTE(SUBSTITUTE(UPPER(#REF!)," ",""),":",": "),SUBSTITUTE(SUBSTITUTE(UPPER(S1360)," ",""),":",": "))),0)),"Undefined")</f>
        <v>Undefined</v>
      </c>
      <c r="B1360" s="42" t="str" cm="1">
        <f t="array" ref="B1360">IFERROR(INDEX({"URGENTE"},MATCH(TRUE,ISNUMBER(FIND(SUBSTITUTE(SUBSTITUTE(UPPER({"URGENTE"})," ",""),":",": "),SUBSTITUTE(SUBSTITUTE(UPPER(S1360)," ",""),":",": "))),0)),"-")</f>
        <v>-</v>
      </c>
      <c r="C1360" s="46" t="str" cm="1">
        <f t="array" ref="C1360">IFERROR(INDEX(#REF!,MATCH(TRUE,ISNUMBER(FIND(SUBSTITUTE(SUBSTITUTE(UPPER(#REF!)," ",""),":",": "),SUBSTITUTE(SUBSTITUTE(UPPER(S1360)," ",""),":",": "))),0)),"Não encontrado")</f>
        <v>Não encontrado</v>
      </c>
      <c r="D1360" s="46" t="str" cm="1">
        <f t="array" ref="D1360">IFERROR(INDEX(#REF!,MATCH(TRUE,ISNUMBER(FIND(SUBSTITUTE(SUBSTITUTE(UPPER(#REF!)," ",""),":",": "),SUBSTITUTE(SUBSTITUTE(UPPER(S1360)," ",""),":",": "))),0)),"Não encontrado")</f>
        <v>Não encontrado</v>
      </c>
      <c r="E1360" s="42" t="str" cm="1">
        <f t="array" ref="E1360">IFERROR(INDEX({"IMPEDITIVO"},MATCH(TRUE,ISNUMBER(FIND(SUBSTITUTE(SUBSTITUTE(UPPER({"IMPEDITIVO"})," ",""),":",": "),SUBSTITUTE(SUBSTITUTE(UPPER(S1360)," ",""),":",": "))),0)),"-")</f>
        <v>-</v>
      </c>
      <c r="K1360" s="49"/>
    </row>
    <row r="1361" spans="1:11" x14ac:dyDescent="0.25">
      <c r="A1361" s="46" t="str" cm="1">
        <f t="array" ref="A1361">IFERROR(INDEX(#REF!,MATCH(TRUE,ISNUMBER(FIND(SUBSTITUTE(SUBSTITUTE(UPPER(#REF!)," ",""),":",": "),SUBSTITUTE(SUBSTITUTE(UPPER(S1361)," ",""),":",": "))),0)),"Undefined")</f>
        <v>Undefined</v>
      </c>
      <c r="B1361" s="42" t="str" cm="1">
        <f t="array" ref="B1361">IFERROR(INDEX({"URGENTE"},MATCH(TRUE,ISNUMBER(FIND(SUBSTITUTE(SUBSTITUTE(UPPER({"URGENTE"})," ",""),":",": "),SUBSTITUTE(SUBSTITUTE(UPPER(S1361)," ",""),":",": "))),0)),"-")</f>
        <v>-</v>
      </c>
      <c r="C1361" s="46" t="str" cm="1">
        <f t="array" ref="C1361">IFERROR(INDEX(#REF!,MATCH(TRUE,ISNUMBER(FIND(SUBSTITUTE(SUBSTITUTE(UPPER(#REF!)," ",""),":",": "),SUBSTITUTE(SUBSTITUTE(UPPER(S1361)," ",""),":",": "))),0)),"Não encontrado")</f>
        <v>Não encontrado</v>
      </c>
      <c r="D1361" s="46" t="str" cm="1">
        <f t="array" ref="D1361">IFERROR(INDEX(#REF!,MATCH(TRUE,ISNUMBER(FIND(SUBSTITUTE(SUBSTITUTE(UPPER(#REF!)," ",""),":",": "),SUBSTITUTE(SUBSTITUTE(UPPER(S1361)," ",""),":",": "))),0)),"Não encontrado")</f>
        <v>Não encontrado</v>
      </c>
      <c r="E1361" s="42" t="str" cm="1">
        <f t="array" ref="E1361">IFERROR(INDEX({"IMPEDITIVO"},MATCH(TRUE,ISNUMBER(FIND(SUBSTITUTE(SUBSTITUTE(UPPER({"IMPEDITIVO"})," ",""),":",": "),SUBSTITUTE(SUBSTITUTE(UPPER(S1361)," ",""),":",": "))),0)),"-")</f>
        <v>-</v>
      </c>
      <c r="K1361" s="49"/>
    </row>
    <row r="1362" spans="1:11" x14ac:dyDescent="0.25">
      <c r="A1362" s="46" t="str" cm="1">
        <f t="array" ref="A1362">IFERROR(INDEX(#REF!,MATCH(TRUE,ISNUMBER(FIND(SUBSTITUTE(SUBSTITUTE(UPPER(#REF!)," ",""),":",": "),SUBSTITUTE(SUBSTITUTE(UPPER(S1362)," ",""),":",": "))),0)),"Undefined")</f>
        <v>Undefined</v>
      </c>
      <c r="B1362" s="42" t="str" cm="1">
        <f t="array" ref="B1362">IFERROR(INDEX({"URGENTE"},MATCH(TRUE,ISNUMBER(FIND(SUBSTITUTE(SUBSTITUTE(UPPER({"URGENTE"})," ",""),":",": "),SUBSTITUTE(SUBSTITUTE(UPPER(S1362)," ",""),":",": "))),0)),"-")</f>
        <v>-</v>
      </c>
      <c r="C1362" s="46" t="str" cm="1">
        <f t="array" ref="C1362">IFERROR(INDEX(#REF!,MATCH(TRUE,ISNUMBER(FIND(SUBSTITUTE(SUBSTITUTE(UPPER(#REF!)," ",""),":",": "),SUBSTITUTE(SUBSTITUTE(UPPER(S1362)," ",""),":",": "))),0)),"Não encontrado")</f>
        <v>Não encontrado</v>
      </c>
      <c r="D1362" s="46" t="str" cm="1">
        <f t="array" ref="D1362">IFERROR(INDEX(#REF!,MATCH(TRUE,ISNUMBER(FIND(SUBSTITUTE(SUBSTITUTE(UPPER(#REF!)," ",""),":",": "),SUBSTITUTE(SUBSTITUTE(UPPER(S1362)," ",""),":",": "))),0)),"Não encontrado")</f>
        <v>Não encontrado</v>
      </c>
      <c r="E1362" s="42" t="str" cm="1">
        <f t="array" ref="E1362">IFERROR(INDEX({"IMPEDITIVO"},MATCH(TRUE,ISNUMBER(FIND(SUBSTITUTE(SUBSTITUTE(UPPER({"IMPEDITIVO"})," ",""),":",": "),SUBSTITUTE(SUBSTITUTE(UPPER(S1362)," ",""),":",": "))),0)),"-")</f>
        <v>-</v>
      </c>
      <c r="K1362" s="49"/>
    </row>
    <row r="1363" spans="1:11" x14ac:dyDescent="0.25">
      <c r="A1363" s="46" t="str" cm="1">
        <f t="array" ref="A1363">IFERROR(INDEX(#REF!,MATCH(TRUE,ISNUMBER(FIND(SUBSTITUTE(SUBSTITUTE(UPPER(#REF!)," ",""),":",": "),SUBSTITUTE(SUBSTITUTE(UPPER(S1363)," ",""),":",": "))),0)),"Undefined")</f>
        <v>Undefined</v>
      </c>
      <c r="B1363" s="42" t="str" cm="1">
        <f t="array" ref="B1363">IFERROR(INDEX({"URGENTE"},MATCH(TRUE,ISNUMBER(FIND(SUBSTITUTE(SUBSTITUTE(UPPER({"URGENTE"})," ",""),":",": "),SUBSTITUTE(SUBSTITUTE(UPPER(S1363)," ",""),":",": "))),0)),"-")</f>
        <v>-</v>
      </c>
      <c r="C1363" s="46" t="str" cm="1">
        <f t="array" ref="C1363">IFERROR(INDEX(#REF!,MATCH(TRUE,ISNUMBER(FIND(SUBSTITUTE(SUBSTITUTE(UPPER(#REF!)," ",""),":",": "),SUBSTITUTE(SUBSTITUTE(UPPER(S1363)," ",""),":",": "))),0)),"Não encontrado")</f>
        <v>Não encontrado</v>
      </c>
      <c r="D1363" s="46" t="str" cm="1">
        <f t="array" ref="D1363">IFERROR(INDEX(#REF!,MATCH(TRUE,ISNUMBER(FIND(SUBSTITUTE(SUBSTITUTE(UPPER(#REF!)," ",""),":",": "),SUBSTITUTE(SUBSTITUTE(UPPER(S1363)," ",""),":",": "))),0)),"Não encontrado")</f>
        <v>Não encontrado</v>
      </c>
      <c r="E1363" s="42" t="str" cm="1">
        <f t="array" ref="E1363">IFERROR(INDEX({"IMPEDITIVO"},MATCH(TRUE,ISNUMBER(FIND(SUBSTITUTE(SUBSTITUTE(UPPER({"IMPEDITIVO"})," ",""),":",": "),SUBSTITUTE(SUBSTITUTE(UPPER(S1363)," ",""),":",": "))),0)),"-")</f>
        <v>-</v>
      </c>
      <c r="K1363" s="49"/>
    </row>
    <row r="1364" spans="1:11" x14ac:dyDescent="0.25">
      <c r="A1364" s="46" t="str" cm="1">
        <f t="array" ref="A1364">IFERROR(INDEX(#REF!,MATCH(TRUE,ISNUMBER(FIND(SUBSTITUTE(SUBSTITUTE(UPPER(#REF!)," ",""),":",": "),SUBSTITUTE(SUBSTITUTE(UPPER(S1364)," ",""),":",": "))),0)),"Undefined")</f>
        <v>Undefined</v>
      </c>
      <c r="B1364" s="42" t="str" cm="1">
        <f t="array" ref="B1364">IFERROR(INDEX({"URGENTE"},MATCH(TRUE,ISNUMBER(FIND(SUBSTITUTE(SUBSTITUTE(UPPER({"URGENTE"})," ",""),":",": "),SUBSTITUTE(SUBSTITUTE(UPPER(S1364)," ",""),":",": "))),0)),"-")</f>
        <v>-</v>
      </c>
      <c r="C1364" s="46" t="str" cm="1">
        <f t="array" ref="C1364">IFERROR(INDEX(#REF!,MATCH(TRUE,ISNUMBER(FIND(SUBSTITUTE(SUBSTITUTE(UPPER(#REF!)," ",""),":",": "),SUBSTITUTE(SUBSTITUTE(UPPER(S1364)," ",""),":",": "))),0)),"Não encontrado")</f>
        <v>Não encontrado</v>
      </c>
      <c r="D1364" s="46" t="str" cm="1">
        <f t="array" ref="D1364">IFERROR(INDEX(#REF!,MATCH(TRUE,ISNUMBER(FIND(SUBSTITUTE(SUBSTITUTE(UPPER(#REF!)," ",""),":",": "),SUBSTITUTE(SUBSTITUTE(UPPER(S1364)," ",""),":",": "))),0)),"Não encontrado")</f>
        <v>Não encontrado</v>
      </c>
      <c r="E1364" s="42" t="str" cm="1">
        <f t="array" ref="E1364">IFERROR(INDEX({"IMPEDITIVO"},MATCH(TRUE,ISNUMBER(FIND(SUBSTITUTE(SUBSTITUTE(UPPER({"IMPEDITIVO"})," ",""),":",": "),SUBSTITUTE(SUBSTITUTE(UPPER(S1364)," ",""),":",": "))),0)),"-")</f>
        <v>-</v>
      </c>
      <c r="K1364" s="49"/>
    </row>
    <row r="1365" spans="1:11" x14ac:dyDescent="0.25">
      <c r="A1365" s="46" t="str" cm="1">
        <f t="array" ref="A1365">IFERROR(INDEX(#REF!,MATCH(TRUE,ISNUMBER(FIND(SUBSTITUTE(SUBSTITUTE(UPPER(#REF!)," ",""),":",": "),SUBSTITUTE(SUBSTITUTE(UPPER(S1365)," ",""),":",": "))),0)),"Undefined")</f>
        <v>Undefined</v>
      </c>
      <c r="B1365" s="42" t="str" cm="1">
        <f t="array" ref="B1365">IFERROR(INDEX({"URGENTE"},MATCH(TRUE,ISNUMBER(FIND(SUBSTITUTE(SUBSTITUTE(UPPER({"URGENTE"})," ",""),":",": "),SUBSTITUTE(SUBSTITUTE(UPPER(S1365)," ",""),":",": "))),0)),"-")</f>
        <v>-</v>
      </c>
      <c r="C1365" s="46" t="str" cm="1">
        <f t="array" ref="C1365">IFERROR(INDEX(#REF!,MATCH(TRUE,ISNUMBER(FIND(SUBSTITUTE(SUBSTITUTE(UPPER(#REF!)," ",""),":",": "),SUBSTITUTE(SUBSTITUTE(UPPER(S1365)," ",""),":",": "))),0)),"Não encontrado")</f>
        <v>Não encontrado</v>
      </c>
      <c r="D1365" s="46" t="str" cm="1">
        <f t="array" ref="D1365">IFERROR(INDEX(#REF!,MATCH(TRUE,ISNUMBER(FIND(SUBSTITUTE(SUBSTITUTE(UPPER(#REF!)," ",""),":",": "),SUBSTITUTE(SUBSTITUTE(UPPER(S1365)," ",""),":",": "))),0)),"Não encontrado")</f>
        <v>Não encontrado</v>
      </c>
      <c r="E1365" s="42" t="str" cm="1">
        <f t="array" ref="E1365">IFERROR(INDEX({"IMPEDITIVO"},MATCH(TRUE,ISNUMBER(FIND(SUBSTITUTE(SUBSTITUTE(UPPER({"IMPEDITIVO"})," ",""),":",": "),SUBSTITUTE(SUBSTITUTE(UPPER(S1365)," ",""),":",": "))),0)),"-")</f>
        <v>-</v>
      </c>
      <c r="K1365" s="49"/>
    </row>
    <row r="1366" spans="1:11" x14ac:dyDescent="0.25">
      <c r="A1366" s="46" t="str" cm="1">
        <f t="array" ref="A1366">IFERROR(INDEX(#REF!,MATCH(TRUE,ISNUMBER(FIND(SUBSTITUTE(SUBSTITUTE(UPPER(#REF!)," ",""),":",": "),SUBSTITUTE(SUBSTITUTE(UPPER(S1366)," ",""),":",": "))),0)),"Undefined")</f>
        <v>Undefined</v>
      </c>
      <c r="B1366" s="42" t="str" cm="1">
        <f t="array" ref="B1366">IFERROR(INDEX({"URGENTE"},MATCH(TRUE,ISNUMBER(FIND(SUBSTITUTE(SUBSTITUTE(UPPER({"URGENTE"})," ",""),":",": "),SUBSTITUTE(SUBSTITUTE(UPPER(S1366)," ",""),":",": "))),0)),"-")</f>
        <v>-</v>
      </c>
      <c r="C1366" s="46" t="str" cm="1">
        <f t="array" ref="C1366">IFERROR(INDEX(#REF!,MATCH(TRUE,ISNUMBER(FIND(SUBSTITUTE(SUBSTITUTE(UPPER(#REF!)," ",""),":",": "),SUBSTITUTE(SUBSTITUTE(UPPER(S1366)," ",""),":",": "))),0)),"Não encontrado")</f>
        <v>Não encontrado</v>
      </c>
      <c r="D1366" s="46" t="str" cm="1">
        <f t="array" ref="D1366">IFERROR(INDEX(#REF!,MATCH(TRUE,ISNUMBER(FIND(SUBSTITUTE(SUBSTITUTE(UPPER(#REF!)," ",""),":",": "),SUBSTITUTE(SUBSTITUTE(UPPER(S1366)," ",""),":",": "))),0)),"Não encontrado")</f>
        <v>Não encontrado</v>
      </c>
      <c r="E1366" s="42" t="str" cm="1">
        <f t="array" ref="E1366">IFERROR(INDEX({"IMPEDITIVO"},MATCH(TRUE,ISNUMBER(FIND(SUBSTITUTE(SUBSTITUTE(UPPER({"IMPEDITIVO"})," ",""),":",": "),SUBSTITUTE(SUBSTITUTE(UPPER(S1366)," ",""),":",": "))),0)),"-")</f>
        <v>-</v>
      </c>
      <c r="K1366" s="49"/>
    </row>
    <row r="1367" spans="1:11" x14ac:dyDescent="0.25">
      <c r="A1367" s="46" t="str" cm="1">
        <f t="array" ref="A1367">IFERROR(INDEX(#REF!,MATCH(TRUE,ISNUMBER(FIND(SUBSTITUTE(SUBSTITUTE(UPPER(#REF!)," ",""),":",": "),SUBSTITUTE(SUBSTITUTE(UPPER(S1367)," ",""),":",": "))),0)),"Undefined")</f>
        <v>Undefined</v>
      </c>
      <c r="B1367" s="42" t="str" cm="1">
        <f t="array" ref="B1367">IFERROR(INDEX({"URGENTE"},MATCH(TRUE,ISNUMBER(FIND(SUBSTITUTE(SUBSTITUTE(UPPER({"URGENTE"})," ",""),":",": "),SUBSTITUTE(SUBSTITUTE(UPPER(S1367)," ",""),":",": "))),0)),"-")</f>
        <v>-</v>
      </c>
      <c r="C1367" s="46" t="str" cm="1">
        <f t="array" ref="C1367">IFERROR(INDEX(#REF!,MATCH(TRUE,ISNUMBER(FIND(SUBSTITUTE(SUBSTITUTE(UPPER(#REF!)," ",""),":",": "),SUBSTITUTE(SUBSTITUTE(UPPER(S1367)," ",""),":",": "))),0)),"Não encontrado")</f>
        <v>Não encontrado</v>
      </c>
      <c r="D1367" s="46" t="str" cm="1">
        <f t="array" ref="D1367">IFERROR(INDEX(#REF!,MATCH(TRUE,ISNUMBER(FIND(SUBSTITUTE(SUBSTITUTE(UPPER(#REF!)," ",""),":",": "),SUBSTITUTE(SUBSTITUTE(UPPER(S1367)," ",""),":",": "))),0)),"Não encontrado")</f>
        <v>Não encontrado</v>
      </c>
      <c r="E1367" s="42" t="str" cm="1">
        <f t="array" ref="E1367">IFERROR(INDEX({"IMPEDITIVO"},MATCH(TRUE,ISNUMBER(FIND(SUBSTITUTE(SUBSTITUTE(UPPER({"IMPEDITIVO"})," ",""),":",": "),SUBSTITUTE(SUBSTITUTE(UPPER(S1367)," ",""),":",": "))),0)),"-")</f>
        <v>-</v>
      </c>
      <c r="K1367" s="49"/>
    </row>
    <row r="1368" spans="1:11" x14ac:dyDescent="0.25">
      <c r="A1368" s="46" t="str" cm="1">
        <f t="array" ref="A1368">IFERROR(INDEX(#REF!,MATCH(TRUE,ISNUMBER(FIND(SUBSTITUTE(SUBSTITUTE(UPPER(#REF!)," ",""),":",": "),SUBSTITUTE(SUBSTITUTE(UPPER(S1368)," ",""),":",": "))),0)),"Undefined")</f>
        <v>Undefined</v>
      </c>
      <c r="B1368" s="42" t="str" cm="1">
        <f t="array" ref="B1368">IFERROR(INDEX({"URGENTE"},MATCH(TRUE,ISNUMBER(FIND(SUBSTITUTE(SUBSTITUTE(UPPER({"URGENTE"})," ",""),":",": "),SUBSTITUTE(SUBSTITUTE(UPPER(S1368)," ",""),":",": "))),0)),"-")</f>
        <v>-</v>
      </c>
      <c r="C1368" s="46" t="str" cm="1">
        <f t="array" ref="C1368">IFERROR(INDEX(#REF!,MATCH(TRUE,ISNUMBER(FIND(SUBSTITUTE(SUBSTITUTE(UPPER(#REF!)," ",""),":",": "),SUBSTITUTE(SUBSTITUTE(UPPER(S1368)," ",""),":",": "))),0)),"Não encontrado")</f>
        <v>Não encontrado</v>
      </c>
      <c r="D1368" s="46" t="str" cm="1">
        <f t="array" ref="D1368">IFERROR(INDEX(#REF!,MATCH(TRUE,ISNUMBER(FIND(SUBSTITUTE(SUBSTITUTE(UPPER(#REF!)," ",""),":",": "),SUBSTITUTE(SUBSTITUTE(UPPER(S1368)," ",""),":",": "))),0)),"Não encontrado")</f>
        <v>Não encontrado</v>
      </c>
      <c r="E1368" s="42" t="str" cm="1">
        <f t="array" ref="E1368">IFERROR(INDEX({"IMPEDITIVO"},MATCH(TRUE,ISNUMBER(FIND(SUBSTITUTE(SUBSTITUTE(UPPER({"IMPEDITIVO"})," ",""),":",": "),SUBSTITUTE(SUBSTITUTE(UPPER(S1368)," ",""),":",": "))),0)),"-")</f>
        <v>-</v>
      </c>
      <c r="K1368" s="49"/>
    </row>
    <row r="1369" spans="1:11" x14ac:dyDescent="0.25">
      <c r="A1369" s="46" t="str" cm="1">
        <f t="array" ref="A1369">IFERROR(INDEX(#REF!,MATCH(TRUE,ISNUMBER(FIND(SUBSTITUTE(SUBSTITUTE(UPPER(#REF!)," ",""),":",": "),SUBSTITUTE(SUBSTITUTE(UPPER(S1369)," ",""),":",": "))),0)),"Undefined")</f>
        <v>Undefined</v>
      </c>
      <c r="B1369" s="42" t="str" cm="1">
        <f t="array" ref="B1369">IFERROR(INDEX({"URGENTE"},MATCH(TRUE,ISNUMBER(FIND(SUBSTITUTE(SUBSTITUTE(UPPER({"URGENTE"})," ",""),":",": "),SUBSTITUTE(SUBSTITUTE(UPPER(S1369)," ",""),":",": "))),0)),"-")</f>
        <v>-</v>
      </c>
      <c r="C1369" s="46" t="str" cm="1">
        <f t="array" ref="C1369">IFERROR(INDEX(#REF!,MATCH(TRUE,ISNUMBER(FIND(SUBSTITUTE(SUBSTITUTE(UPPER(#REF!)," ",""),":",": "),SUBSTITUTE(SUBSTITUTE(UPPER(S1369)," ",""),":",": "))),0)),"Não encontrado")</f>
        <v>Não encontrado</v>
      </c>
      <c r="D1369" s="46" t="str" cm="1">
        <f t="array" ref="D1369">IFERROR(INDEX(#REF!,MATCH(TRUE,ISNUMBER(FIND(SUBSTITUTE(SUBSTITUTE(UPPER(#REF!)," ",""),":",": "),SUBSTITUTE(SUBSTITUTE(UPPER(S1369)," ",""),":",": "))),0)),"Não encontrado")</f>
        <v>Não encontrado</v>
      </c>
      <c r="E1369" s="42" t="str" cm="1">
        <f t="array" ref="E1369">IFERROR(INDEX({"IMPEDITIVO"},MATCH(TRUE,ISNUMBER(FIND(SUBSTITUTE(SUBSTITUTE(UPPER({"IMPEDITIVO"})," ",""),":",": "),SUBSTITUTE(SUBSTITUTE(UPPER(S1369)," ",""),":",": "))),0)),"-")</f>
        <v>-</v>
      </c>
      <c r="K1369" s="49"/>
    </row>
    <row r="1370" spans="1:11" x14ac:dyDescent="0.25">
      <c r="A1370" s="46" t="str" cm="1">
        <f t="array" ref="A1370">IFERROR(INDEX(#REF!,MATCH(TRUE,ISNUMBER(FIND(SUBSTITUTE(SUBSTITUTE(UPPER(#REF!)," ",""),":",": "),SUBSTITUTE(SUBSTITUTE(UPPER(S1370)," ",""),":",": "))),0)),"Undefined")</f>
        <v>Undefined</v>
      </c>
      <c r="B1370" s="42" t="str" cm="1">
        <f t="array" ref="B1370">IFERROR(INDEX({"URGENTE"},MATCH(TRUE,ISNUMBER(FIND(SUBSTITUTE(SUBSTITUTE(UPPER({"URGENTE"})," ",""),":",": "),SUBSTITUTE(SUBSTITUTE(UPPER(S1370)," ",""),":",": "))),0)),"-")</f>
        <v>-</v>
      </c>
      <c r="C1370" s="46" t="str" cm="1">
        <f t="array" ref="C1370">IFERROR(INDEX(#REF!,MATCH(TRUE,ISNUMBER(FIND(SUBSTITUTE(SUBSTITUTE(UPPER(#REF!)," ",""),":",": "),SUBSTITUTE(SUBSTITUTE(UPPER(S1370)," ",""),":",": "))),0)),"Não encontrado")</f>
        <v>Não encontrado</v>
      </c>
      <c r="D1370" s="46" t="str" cm="1">
        <f t="array" ref="D1370">IFERROR(INDEX(#REF!,MATCH(TRUE,ISNUMBER(FIND(SUBSTITUTE(SUBSTITUTE(UPPER(#REF!)," ",""),":",": "),SUBSTITUTE(SUBSTITUTE(UPPER(S1370)," ",""),":",": "))),0)),"Não encontrado")</f>
        <v>Não encontrado</v>
      </c>
      <c r="E1370" s="42" t="str" cm="1">
        <f t="array" ref="E1370">IFERROR(INDEX({"IMPEDITIVO"},MATCH(TRUE,ISNUMBER(FIND(SUBSTITUTE(SUBSTITUTE(UPPER({"IMPEDITIVO"})," ",""),":",": "),SUBSTITUTE(SUBSTITUTE(UPPER(S1370)," ",""),":",": "))),0)),"-")</f>
        <v>-</v>
      </c>
      <c r="K1370" s="49"/>
    </row>
    <row r="1371" spans="1:11" x14ac:dyDescent="0.25">
      <c r="A1371" s="46" t="str" cm="1">
        <f t="array" ref="A1371">IFERROR(INDEX(#REF!,MATCH(TRUE,ISNUMBER(FIND(SUBSTITUTE(SUBSTITUTE(UPPER(#REF!)," ",""),":",": "),SUBSTITUTE(SUBSTITUTE(UPPER(S1371)," ",""),":",": "))),0)),"Undefined")</f>
        <v>Undefined</v>
      </c>
      <c r="B1371" s="42" t="str" cm="1">
        <f t="array" ref="B1371">IFERROR(INDEX({"URGENTE"},MATCH(TRUE,ISNUMBER(FIND(SUBSTITUTE(SUBSTITUTE(UPPER({"URGENTE"})," ",""),":",": "),SUBSTITUTE(SUBSTITUTE(UPPER(S1371)," ",""),":",": "))),0)),"-")</f>
        <v>-</v>
      </c>
      <c r="C1371" s="46" t="str" cm="1">
        <f t="array" ref="C1371">IFERROR(INDEX(#REF!,MATCH(TRUE,ISNUMBER(FIND(SUBSTITUTE(SUBSTITUTE(UPPER(#REF!)," ",""),":",": "),SUBSTITUTE(SUBSTITUTE(UPPER(S1371)," ",""),":",": "))),0)),"Não encontrado")</f>
        <v>Não encontrado</v>
      </c>
      <c r="D1371" s="46" t="str" cm="1">
        <f t="array" ref="D1371">IFERROR(INDEX(#REF!,MATCH(TRUE,ISNUMBER(FIND(SUBSTITUTE(SUBSTITUTE(UPPER(#REF!)," ",""),":",": "),SUBSTITUTE(SUBSTITUTE(UPPER(S1371)," ",""),":",": "))),0)),"Não encontrado")</f>
        <v>Não encontrado</v>
      </c>
      <c r="E1371" s="42" t="str" cm="1">
        <f t="array" ref="E1371">IFERROR(INDEX({"IMPEDITIVO"},MATCH(TRUE,ISNUMBER(FIND(SUBSTITUTE(SUBSTITUTE(UPPER({"IMPEDITIVO"})," ",""),":",": "),SUBSTITUTE(SUBSTITUTE(UPPER(S1371)," ",""),":",": "))),0)),"-")</f>
        <v>-</v>
      </c>
      <c r="K1371" s="49"/>
    </row>
    <row r="1372" spans="1:11" x14ac:dyDescent="0.25">
      <c r="A1372" s="46" t="str" cm="1">
        <f t="array" ref="A1372">IFERROR(INDEX(#REF!,MATCH(TRUE,ISNUMBER(FIND(SUBSTITUTE(SUBSTITUTE(UPPER(#REF!)," ",""),":",": "),SUBSTITUTE(SUBSTITUTE(UPPER(S1372)," ",""),":",": "))),0)),"Undefined")</f>
        <v>Undefined</v>
      </c>
      <c r="B1372" s="42" t="str" cm="1">
        <f t="array" ref="B1372">IFERROR(INDEX({"URGENTE"},MATCH(TRUE,ISNUMBER(FIND(SUBSTITUTE(SUBSTITUTE(UPPER({"URGENTE"})," ",""),":",": "),SUBSTITUTE(SUBSTITUTE(UPPER(S1372)," ",""),":",": "))),0)),"-")</f>
        <v>-</v>
      </c>
      <c r="C1372" s="46" t="str" cm="1">
        <f t="array" ref="C1372">IFERROR(INDEX(#REF!,MATCH(TRUE,ISNUMBER(FIND(SUBSTITUTE(SUBSTITUTE(UPPER(#REF!)," ",""),":",": "),SUBSTITUTE(SUBSTITUTE(UPPER(S1372)," ",""),":",": "))),0)),"Não encontrado")</f>
        <v>Não encontrado</v>
      </c>
      <c r="D1372" s="46" t="str" cm="1">
        <f t="array" ref="D1372">IFERROR(INDEX(#REF!,MATCH(TRUE,ISNUMBER(FIND(SUBSTITUTE(SUBSTITUTE(UPPER(#REF!)," ",""),":",": "),SUBSTITUTE(SUBSTITUTE(UPPER(S1372)," ",""),":",": "))),0)),"Não encontrado")</f>
        <v>Não encontrado</v>
      </c>
      <c r="E1372" s="42" t="str" cm="1">
        <f t="array" ref="E1372">IFERROR(INDEX({"IMPEDITIVO"},MATCH(TRUE,ISNUMBER(FIND(SUBSTITUTE(SUBSTITUTE(UPPER({"IMPEDITIVO"})," ",""),":",": "),SUBSTITUTE(SUBSTITUTE(UPPER(S1372)," ",""),":",": "))),0)),"-")</f>
        <v>-</v>
      </c>
      <c r="K1372" s="49"/>
    </row>
    <row r="1373" spans="1:11" x14ac:dyDescent="0.25">
      <c r="A1373" s="46" t="str" cm="1">
        <f t="array" ref="A1373">IFERROR(INDEX(#REF!,MATCH(TRUE,ISNUMBER(FIND(SUBSTITUTE(SUBSTITUTE(UPPER(#REF!)," ",""),":",": "),SUBSTITUTE(SUBSTITUTE(UPPER(S1373)," ",""),":",": "))),0)),"Undefined")</f>
        <v>Undefined</v>
      </c>
      <c r="B1373" s="42" t="str" cm="1">
        <f t="array" ref="B1373">IFERROR(INDEX({"URGENTE"},MATCH(TRUE,ISNUMBER(FIND(SUBSTITUTE(SUBSTITUTE(UPPER({"URGENTE"})," ",""),":",": "),SUBSTITUTE(SUBSTITUTE(UPPER(S1373)," ",""),":",": "))),0)),"-")</f>
        <v>-</v>
      </c>
      <c r="C1373" s="46" t="str" cm="1">
        <f t="array" ref="C1373">IFERROR(INDEX(#REF!,MATCH(TRUE,ISNUMBER(FIND(SUBSTITUTE(SUBSTITUTE(UPPER(#REF!)," ",""),":",": "),SUBSTITUTE(SUBSTITUTE(UPPER(S1373)," ",""),":",": "))),0)),"Não encontrado")</f>
        <v>Não encontrado</v>
      </c>
      <c r="D1373" s="46" t="str" cm="1">
        <f t="array" ref="D1373">IFERROR(INDEX(#REF!,MATCH(TRUE,ISNUMBER(FIND(SUBSTITUTE(SUBSTITUTE(UPPER(#REF!)," ",""),":",": "),SUBSTITUTE(SUBSTITUTE(UPPER(S1373)," ",""),":",": "))),0)),"Não encontrado")</f>
        <v>Não encontrado</v>
      </c>
      <c r="E1373" s="42" t="str" cm="1">
        <f t="array" ref="E1373">IFERROR(INDEX({"IMPEDITIVO"},MATCH(TRUE,ISNUMBER(FIND(SUBSTITUTE(SUBSTITUTE(UPPER({"IMPEDITIVO"})," ",""),":",": "),SUBSTITUTE(SUBSTITUTE(UPPER(S1373)," ",""),":",": "))),0)),"-")</f>
        <v>-</v>
      </c>
      <c r="K1373" s="49"/>
    </row>
    <row r="1374" spans="1:11" x14ac:dyDescent="0.25">
      <c r="A1374" s="46" t="str" cm="1">
        <f t="array" ref="A1374">IFERROR(INDEX(#REF!,MATCH(TRUE,ISNUMBER(FIND(SUBSTITUTE(SUBSTITUTE(UPPER(#REF!)," ",""),":",": "),SUBSTITUTE(SUBSTITUTE(UPPER(S1374)," ",""),":",": "))),0)),"Undefined")</f>
        <v>Undefined</v>
      </c>
      <c r="B1374" s="42" t="str" cm="1">
        <f t="array" ref="B1374">IFERROR(INDEX({"URGENTE"},MATCH(TRUE,ISNUMBER(FIND(SUBSTITUTE(SUBSTITUTE(UPPER({"URGENTE"})," ",""),":",": "),SUBSTITUTE(SUBSTITUTE(UPPER(S1374)," ",""),":",": "))),0)),"-")</f>
        <v>-</v>
      </c>
      <c r="C1374" s="46" t="str" cm="1">
        <f t="array" ref="C1374">IFERROR(INDEX(#REF!,MATCH(TRUE,ISNUMBER(FIND(SUBSTITUTE(SUBSTITUTE(UPPER(#REF!)," ",""),":",": "),SUBSTITUTE(SUBSTITUTE(UPPER(S1374)," ",""),":",": "))),0)),"Não encontrado")</f>
        <v>Não encontrado</v>
      </c>
      <c r="D1374" s="46" t="str" cm="1">
        <f t="array" ref="D1374">IFERROR(INDEX(#REF!,MATCH(TRUE,ISNUMBER(FIND(SUBSTITUTE(SUBSTITUTE(UPPER(#REF!)," ",""),":",": "),SUBSTITUTE(SUBSTITUTE(UPPER(S1374)," ",""),":",": "))),0)),"Não encontrado")</f>
        <v>Não encontrado</v>
      </c>
      <c r="E1374" s="42" t="str" cm="1">
        <f t="array" ref="E1374">IFERROR(INDEX({"IMPEDITIVO"},MATCH(TRUE,ISNUMBER(FIND(SUBSTITUTE(SUBSTITUTE(UPPER({"IMPEDITIVO"})," ",""),":",": "),SUBSTITUTE(SUBSTITUTE(UPPER(S1374)," ",""),":",": "))),0)),"-")</f>
        <v>-</v>
      </c>
      <c r="K1374" s="49"/>
    </row>
    <row r="1375" spans="1:11" x14ac:dyDescent="0.25">
      <c r="A1375" s="46" t="str" cm="1">
        <f t="array" ref="A1375">IFERROR(INDEX(#REF!,MATCH(TRUE,ISNUMBER(FIND(SUBSTITUTE(SUBSTITUTE(UPPER(#REF!)," ",""),":",": "),SUBSTITUTE(SUBSTITUTE(UPPER(S1375)," ",""),":",": "))),0)),"Undefined")</f>
        <v>Undefined</v>
      </c>
      <c r="B1375" s="42" t="str" cm="1">
        <f t="array" ref="B1375">IFERROR(INDEX({"URGENTE"},MATCH(TRUE,ISNUMBER(FIND(SUBSTITUTE(SUBSTITUTE(UPPER({"URGENTE"})," ",""),":",": "),SUBSTITUTE(SUBSTITUTE(UPPER(S1375)," ",""),":",": "))),0)),"-")</f>
        <v>-</v>
      </c>
      <c r="C1375" s="46" t="str" cm="1">
        <f t="array" ref="C1375">IFERROR(INDEX(#REF!,MATCH(TRUE,ISNUMBER(FIND(SUBSTITUTE(SUBSTITUTE(UPPER(#REF!)," ",""),":",": "),SUBSTITUTE(SUBSTITUTE(UPPER(S1375)," ",""),":",": "))),0)),"Não encontrado")</f>
        <v>Não encontrado</v>
      </c>
      <c r="D1375" s="46" t="str" cm="1">
        <f t="array" ref="D1375">IFERROR(INDEX(#REF!,MATCH(TRUE,ISNUMBER(FIND(SUBSTITUTE(SUBSTITUTE(UPPER(#REF!)," ",""),":",": "),SUBSTITUTE(SUBSTITUTE(UPPER(S1375)," ",""),":",": "))),0)),"Não encontrado")</f>
        <v>Não encontrado</v>
      </c>
      <c r="E1375" s="42" t="str" cm="1">
        <f t="array" ref="E1375">IFERROR(INDEX({"IMPEDITIVO"},MATCH(TRUE,ISNUMBER(FIND(SUBSTITUTE(SUBSTITUTE(UPPER({"IMPEDITIVO"})," ",""),":",": "),SUBSTITUTE(SUBSTITUTE(UPPER(S1375)," ",""),":",": "))),0)),"-")</f>
        <v>-</v>
      </c>
      <c r="K1375" s="49"/>
    </row>
    <row r="1376" spans="1:11" x14ac:dyDescent="0.25">
      <c r="A1376" s="46" t="str" cm="1">
        <f t="array" ref="A1376">IFERROR(INDEX(#REF!,MATCH(TRUE,ISNUMBER(FIND(SUBSTITUTE(SUBSTITUTE(UPPER(#REF!)," ",""),":",": "),SUBSTITUTE(SUBSTITUTE(UPPER(S1376)," ",""),":",": "))),0)),"Undefined")</f>
        <v>Undefined</v>
      </c>
      <c r="B1376" s="42" t="str" cm="1">
        <f t="array" ref="B1376">IFERROR(INDEX({"URGENTE"},MATCH(TRUE,ISNUMBER(FIND(SUBSTITUTE(SUBSTITUTE(UPPER({"URGENTE"})," ",""),":",": "),SUBSTITUTE(SUBSTITUTE(UPPER(S1376)," ",""),":",": "))),0)),"-")</f>
        <v>-</v>
      </c>
      <c r="C1376" s="46" t="str" cm="1">
        <f t="array" ref="C1376">IFERROR(INDEX(#REF!,MATCH(TRUE,ISNUMBER(FIND(SUBSTITUTE(SUBSTITUTE(UPPER(#REF!)," ",""),":",": "),SUBSTITUTE(SUBSTITUTE(UPPER(S1376)," ",""),":",": "))),0)),"Não encontrado")</f>
        <v>Não encontrado</v>
      </c>
      <c r="D1376" s="46" t="str" cm="1">
        <f t="array" ref="D1376">IFERROR(INDEX(#REF!,MATCH(TRUE,ISNUMBER(FIND(SUBSTITUTE(SUBSTITUTE(UPPER(#REF!)," ",""),":",": "),SUBSTITUTE(SUBSTITUTE(UPPER(S1376)," ",""),":",": "))),0)),"Não encontrado")</f>
        <v>Não encontrado</v>
      </c>
      <c r="E1376" s="42" t="str" cm="1">
        <f t="array" ref="E1376">IFERROR(INDEX({"IMPEDITIVO"},MATCH(TRUE,ISNUMBER(FIND(SUBSTITUTE(SUBSTITUTE(UPPER({"IMPEDITIVO"})," ",""),":",": "),SUBSTITUTE(SUBSTITUTE(UPPER(S1376)," ",""),":",": "))),0)),"-")</f>
        <v>-</v>
      </c>
      <c r="K1376" s="49"/>
    </row>
    <row r="1377" spans="1:11" x14ac:dyDescent="0.25">
      <c r="A1377" s="46" t="str" cm="1">
        <f t="array" ref="A1377">IFERROR(INDEX(#REF!,MATCH(TRUE,ISNUMBER(FIND(SUBSTITUTE(SUBSTITUTE(UPPER(#REF!)," ",""),":",": "),SUBSTITUTE(SUBSTITUTE(UPPER(S1377)," ",""),":",": "))),0)),"Undefined")</f>
        <v>Undefined</v>
      </c>
      <c r="B1377" s="42" t="str" cm="1">
        <f t="array" ref="B1377">IFERROR(INDEX({"URGENTE"},MATCH(TRUE,ISNUMBER(FIND(SUBSTITUTE(SUBSTITUTE(UPPER({"URGENTE"})," ",""),":",": "),SUBSTITUTE(SUBSTITUTE(UPPER(S1377)," ",""),":",": "))),0)),"-")</f>
        <v>-</v>
      </c>
      <c r="C1377" s="46" t="str" cm="1">
        <f t="array" ref="C1377">IFERROR(INDEX(#REF!,MATCH(TRUE,ISNUMBER(FIND(SUBSTITUTE(SUBSTITUTE(UPPER(#REF!)," ",""),":",": "),SUBSTITUTE(SUBSTITUTE(UPPER(S1377)," ",""),":",": "))),0)),"Não encontrado")</f>
        <v>Não encontrado</v>
      </c>
      <c r="D1377" s="46" t="str" cm="1">
        <f t="array" ref="D1377">IFERROR(INDEX(#REF!,MATCH(TRUE,ISNUMBER(FIND(SUBSTITUTE(SUBSTITUTE(UPPER(#REF!)," ",""),":",": "),SUBSTITUTE(SUBSTITUTE(UPPER(S1377)," ",""),":",": "))),0)),"Não encontrado")</f>
        <v>Não encontrado</v>
      </c>
      <c r="E1377" s="42" t="str" cm="1">
        <f t="array" ref="E1377">IFERROR(INDEX({"IMPEDITIVO"},MATCH(TRUE,ISNUMBER(FIND(SUBSTITUTE(SUBSTITUTE(UPPER({"IMPEDITIVO"})," ",""),":",": "),SUBSTITUTE(SUBSTITUTE(UPPER(S1377)," ",""),":",": "))),0)),"-")</f>
        <v>-</v>
      </c>
      <c r="K1377" s="49"/>
    </row>
    <row r="1378" spans="1:11" x14ac:dyDescent="0.25">
      <c r="A1378" s="46" t="str" cm="1">
        <f t="array" ref="A1378">IFERROR(INDEX(#REF!,MATCH(TRUE,ISNUMBER(FIND(SUBSTITUTE(SUBSTITUTE(UPPER(#REF!)," ",""),":",": "),SUBSTITUTE(SUBSTITUTE(UPPER(S1378)," ",""),":",": "))),0)),"Undefined")</f>
        <v>Undefined</v>
      </c>
      <c r="B1378" s="42" t="str" cm="1">
        <f t="array" ref="B1378">IFERROR(INDEX({"URGENTE"},MATCH(TRUE,ISNUMBER(FIND(SUBSTITUTE(SUBSTITUTE(UPPER({"URGENTE"})," ",""),":",": "),SUBSTITUTE(SUBSTITUTE(UPPER(S1378)," ",""),":",": "))),0)),"-")</f>
        <v>-</v>
      </c>
      <c r="C1378" s="46" t="str" cm="1">
        <f t="array" ref="C1378">IFERROR(INDEX(#REF!,MATCH(TRUE,ISNUMBER(FIND(SUBSTITUTE(SUBSTITUTE(UPPER(#REF!)," ",""),":",": "),SUBSTITUTE(SUBSTITUTE(UPPER(S1378)," ",""),":",": "))),0)),"Não encontrado")</f>
        <v>Não encontrado</v>
      </c>
      <c r="D1378" s="46" t="str" cm="1">
        <f t="array" ref="D1378">IFERROR(INDEX(#REF!,MATCH(TRUE,ISNUMBER(FIND(SUBSTITUTE(SUBSTITUTE(UPPER(#REF!)," ",""),":",": "),SUBSTITUTE(SUBSTITUTE(UPPER(S1378)," ",""),":",": "))),0)),"Não encontrado")</f>
        <v>Não encontrado</v>
      </c>
      <c r="E1378" s="42" t="str" cm="1">
        <f t="array" ref="E1378">IFERROR(INDEX({"IMPEDITIVO"},MATCH(TRUE,ISNUMBER(FIND(SUBSTITUTE(SUBSTITUTE(UPPER({"IMPEDITIVO"})," ",""),":",": "),SUBSTITUTE(SUBSTITUTE(UPPER(S1378)," ",""),":",": "))),0)),"-")</f>
        <v>-</v>
      </c>
      <c r="K1378" s="49"/>
    </row>
    <row r="1379" spans="1:11" x14ac:dyDescent="0.25">
      <c r="A1379" s="46" t="str" cm="1">
        <f t="array" ref="A1379">IFERROR(INDEX(#REF!,MATCH(TRUE,ISNUMBER(FIND(SUBSTITUTE(SUBSTITUTE(UPPER(#REF!)," ",""),":",": "),SUBSTITUTE(SUBSTITUTE(UPPER(S1379)," ",""),":",": "))),0)),"Undefined")</f>
        <v>Undefined</v>
      </c>
      <c r="B1379" s="42" t="str" cm="1">
        <f t="array" ref="B1379">IFERROR(INDEX({"URGENTE"},MATCH(TRUE,ISNUMBER(FIND(SUBSTITUTE(SUBSTITUTE(UPPER({"URGENTE"})," ",""),":",": "),SUBSTITUTE(SUBSTITUTE(UPPER(S1379)," ",""),":",": "))),0)),"-")</f>
        <v>-</v>
      </c>
      <c r="C1379" s="46" t="str" cm="1">
        <f t="array" ref="C1379">IFERROR(INDEX(#REF!,MATCH(TRUE,ISNUMBER(FIND(SUBSTITUTE(SUBSTITUTE(UPPER(#REF!)," ",""),":",": "),SUBSTITUTE(SUBSTITUTE(UPPER(S1379)," ",""),":",": "))),0)),"Não encontrado")</f>
        <v>Não encontrado</v>
      </c>
      <c r="D1379" s="46" t="str" cm="1">
        <f t="array" ref="D1379">IFERROR(INDEX(#REF!,MATCH(TRUE,ISNUMBER(FIND(SUBSTITUTE(SUBSTITUTE(UPPER(#REF!)," ",""),":",": "),SUBSTITUTE(SUBSTITUTE(UPPER(S1379)," ",""),":",": "))),0)),"Não encontrado")</f>
        <v>Não encontrado</v>
      </c>
      <c r="E1379" s="42" t="str" cm="1">
        <f t="array" ref="E1379">IFERROR(INDEX({"IMPEDITIVO"},MATCH(TRUE,ISNUMBER(FIND(SUBSTITUTE(SUBSTITUTE(UPPER({"IMPEDITIVO"})," ",""),":",": "),SUBSTITUTE(SUBSTITUTE(UPPER(S1379)," ",""),":",": "))),0)),"-")</f>
        <v>-</v>
      </c>
      <c r="K1379" s="49"/>
    </row>
    <row r="1380" spans="1:11" x14ac:dyDescent="0.25">
      <c r="A1380" s="46" t="str" cm="1">
        <f t="array" ref="A1380">IFERROR(INDEX(#REF!,MATCH(TRUE,ISNUMBER(FIND(SUBSTITUTE(SUBSTITUTE(UPPER(#REF!)," ",""),":",": "),SUBSTITUTE(SUBSTITUTE(UPPER(S1380)," ",""),":",": "))),0)),"Undefined")</f>
        <v>Undefined</v>
      </c>
      <c r="B1380" s="42" t="str" cm="1">
        <f t="array" ref="B1380">IFERROR(INDEX({"URGENTE"},MATCH(TRUE,ISNUMBER(FIND(SUBSTITUTE(SUBSTITUTE(UPPER({"URGENTE"})," ",""),":",": "),SUBSTITUTE(SUBSTITUTE(UPPER(S1380)," ",""),":",": "))),0)),"-")</f>
        <v>-</v>
      </c>
      <c r="C1380" s="46" t="str" cm="1">
        <f t="array" ref="C1380">IFERROR(INDEX(#REF!,MATCH(TRUE,ISNUMBER(FIND(SUBSTITUTE(SUBSTITUTE(UPPER(#REF!)," ",""),":",": "),SUBSTITUTE(SUBSTITUTE(UPPER(S1380)," ",""),":",": "))),0)),"Não encontrado")</f>
        <v>Não encontrado</v>
      </c>
      <c r="D1380" s="46" t="str" cm="1">
        <f t="array" ref="D1380">IFERROR(INDEX(#REF!,MATCH(TRUE,ISNUMBER(FIND(SUBSTITUTE(SUBSTITUTE(UPPER(#REF!)," ",""),":",": "),SUBSTITUTE(SUBSTITUTE(UPPER(S1380)," ",""),":",": "))),0)),"Não encontrado")</f>
        <v>Não encontrado</v>
      </c>
      <c r="E1380" s="42" t="str" cm="1">
        <f t="array" ref="E1380">IFERROR(INDEX({"IMPEDITIVO"},MATCH(TRUE,ISNUMBER(FIND(SUBSTITUTE(SUBSTITUTE(UPPER({"IMPEDITIVO"})," ",""),":",": "),SUBSTITUTE(SUBSTITUTE(UPPER(S1380)," ",""),":",": "))),0)),"-")</f>
        <v>-</v>
      </c>
      <c r="K1380" s="49"/>
    </row>
    <row r="1381" spans="1:11" x14ac:dyDescent="0.25">
      <c r="A1381" s="46" t="str" cm="1">
        <f t="array" ref="A1381">IFERROR(INDEX(#REF!,MATCH(TRUE,ISNUMBER(FIND(SUBSTITUTE(SUBSTITUTE(UPPER(#REF!)," ",""),":",": "),SUBSTITUTE(SUBSTITUTE(UPPER(S1381)," ",""),":",": "))),0)),"Undefined")</f>
        <v>Undefined</v>
      </c>
      <c r="B1381" s="42" t="str" cm="1">
        <f t="array" ref="B1381">IFERROR(INDEX({"URGENTE"},MATCH(TRUE,ISNUMBER(FIND(SUBSTITUTE(SUBSTITUTE(UPPER({"URGENTE"})," ",""),":",": "),SUBSTITUTE(SUBSTITUTE(UPPER(S1381)," ",""),":",": "))),0)),"-")</f>
        <v>-</v>
      </c>
      <c r="C1381" s="46" t="str" cm="1">
        <f t="array" ref="C1381">IFERROR(INDEX(#REF!,MATCH(TRUE,ISNUMBER(FIND(SUBSTITUTE(SUBSTITUTE(UPPER(#REF!)," ",""),":",": "),SUBSTITUTE(SUBSTITUTE(UPPER(S1381)," ",""),":",": "))),0)),"Não encontrado")</f>
        <v>Não encontrado</v>
      </c>
      <c r="D1381" s="46" t="str" cm="1">
        <f t="array" ref="D1381">IFERROR(INDEX(#REF!,MATCH(TRUE,ISNUMBER(FIND(SUBSTITUTE(SUBSTITUTE(UPPER(#REF!)," ",""),":",": "),SUBSTITUTE(SUBSTITUTE(UPPER(S1381)," ",""),":",": "))),0)),"Não encontrado")</f>
        <v>Não encontrado</v>
      </c>
      <c r="E1381" s="42" t="str" cm="1">
        <f t="array" ref="E1381">IFERROR(INDEX({"IMPEDITIVO"},MATCH(TRUE,ISNUMBER(FIND(SUBSTITUTE(SUBSTITUTE(UPPER({"IMPEDITIVO"})," ",""),":",": "),SUBSTITUTE(SUBSTITUTE(UPPER(S1381)," ",""),":",": "))),0)),"-")</f>
        <v>-</v>
      </c>
      <c r="K1381" s="49"/>
    </row>
    <row r="1382" spans="1:11" x14ac:dyDescent="0.25">
      <c r="A1382" s="46" t="str" cm="1">
        <f t="array" ref="A1382">IFERROR(INDEX(#REF!,MATCH(TRUE,ISNUMBER(FIND(SUBSTITUTE(SUBSTITUTE(UPPER(#REF!)," ",""),":",": "),SUBSTITUTE(SUBSTITUTE(UPPER(S1382)," ",""),":",": "))),0)),"Undefined")</f>
        <v>Undefined</v>
      </c>
      <c r="B1382" s="42" t="str" cm="1">
        <f t="array" ref="B1382">IFERROR(INDEX({"URGENTE"},MATCH(TRUE,ISNUMBER(FIND(SUBSTITUTE(SUBSTITUTE(UPPER({"URGENTE"})," ",""),":",": "),SUBSTITUTE(SUBSTITUTE(UPPER(S1382)," ",""),":",": "))),0)),"-")</f>
        <v>-</v>
      </c>
      <c r="C1382" s="46" t="str" cm="1">
        <f t="array" ref="C1382">IFERROR(INDEX(#REF!,MATCH(TRUE,ISNUMBER(FIND(SUBSTITUTE(SUBSTITUTE(UPPER(#REF!)," ",""),":",": "),SUBSTITUTE(SUBSTITUTE(UPPER(S1382)," ",""),":",": "))),0)),"Não encontrado")</f>
        <v>Não encontrado</v>
      </c>
      <c r="D1382" s="46" t="str" cm="1">
        <f t="array" ref="D1382">IFERROR(INDEX(#REF!,MATCH(TRUE,ISNUMBER(FIND(SUBSTITUTE(SUBSTITUTE(UPPER(#REF!)," ",""),":",": "),SUBSTITUTE(SUBSTITUTE(UPPER(S1382)," ",""),":",": "))),0)),"Não encontrado")</f>
        <v>Não encontrado</v>
      </c>
      <c r="E1382" s="42" t="str" cm="1">
        <f t="array" ref="E1382">IFERROR(INDEX({"IMPEDITIVO"},MATCH(TRUE,ISNUMBER(FIND(SUBSTITUTE(SUBSTITUTE(UPPER({"IMPEDITIVO"})," ",""),":",": "),SUBSTITUTE(SUBSTITUTE(UPPER(S1382)," ",""),":",": "))),0)),"-")</f>
        <v>-</v>
      </c>
      <c r="K1382" s="49"/>
    </row>
    <row r="1383" spans="1:11" x14ac:dyDescent="0.25">
      <c r="A1383" s="46" t="str" cm="1">
        <f t="array" ref="A1383">IFERROR(INDEX(#REF!,MATCH(TRUE,ISNUMBER(FIND(SUBSTITUTE(SUBSTITUTE(UPPER(#REF!)," ",""),":",": "),SUBSTITUTE(SUBSTITUTE(UPPER(S1383)," ",""),":",": "))),0)),"Undefined")</f>
        <v>Undefined</v>
      </c>
      <c r="B1383" s="42" t="str" cm="1">
        <f t="array" ref="B1383">IFERROR(INDEX({"URGENTE"},MATCH(TRUE,ISNUMBER(FIND(SUBSTITUTE(SUBSTITUTE(UPPER({"URGENTE"})," ",""),":",": "),SUBSTITUTE(SUBSTITUTE(UPPER(S1383)," ",""),":",": "))),0)),"-")</f>
        <v>-</v>
      </c>
      <c r="C1383" s="46" t="str" cm="1">
        <f t="array" ref="C1383">IFERROR(INDEX(#REF!,MATCH(TRUE,ISNUMBER(FIND(SUBSTITUTE(SUBSTITUTE(UPPER(#REF!)," ",""),":",": "),SUBSTITUTE(SUBSTITUTE(UPPER(S1383)," ",""),":",": "))),0)),"Não encontrado")</f>
        <v>Não encontrado</v>
      </c>
      <c r="D1383" s="46" t="str" cm="1">
        <f t="array" ref="D1383">IFERROR(INDEX(#REF!,MATCH(TRUE,ISNUMBER(FIND(SUBSTITUTE(SUBSTITUTE(UPPER(#REF!)," ",""),":",": "),SUBSTITUTE(SUBSTITUTE(UPPER(S1383)," ",""),":",": "))),0)),"Não encontrado")</f>
        <v>Não encontrado</v>
      </c>
      <c r="E1383" s="42" t="str" cm="1">
        <f t="array" ref="E1383">IFERROR(INDEX({"IMPEDITIVO"},MATCH(TRUE,ISNUMBER(FIND(SUBSTITUTE(SUBSTITUTE(UPPER({"IMPEDITIVO"})," ",""),":",": "),SUBSTITUTE(SUBSTITUTE(UPPER(S1383)," ",""),":",": "))),0)),"-")</f>
        <v>-</v>
      </c>
      <c r="K1383" s="49"/>
    </row>
    <row r="1384" spans="1:11" x14ac:dyDescent="0.25">
      <c r="A1384" s="46" t="str" cm="1">
        <f t="array" ref="A1384">IFERROR(INDEX(#REF!,MATCH(TRUE,ISNUMBER(FIND(SUBSTITUTE(SUBSTITUTE(UPPER(#REF!)," ",""),":",": "),SUBSTITUTE(SUBSTITUTE(UPPER(S1384)," ",""),":",": "))),0)),"Undefined")</f>
        <v>Undefined</v>
      </c>
      <c r="B1384" s="42" t="str" cm="1">
        <f t="array" ref="B1384">IFERROR(INDEX({"URGENTE"},MATCH(TRUE,ISNUMBER(FIND(SUBSTITUTE(SUBSTITUTE(UPPER({"URGENTE"})," ",""),":",": "),SUBSTITUTE(SUBSTITUTE(UPPER(S1384)," ",""),":",": "))),0)),"-")</f>
        <v>-</v>
      </c>
      <c r="C1384" s="46" t="str" cm="1">
        <f t="array" ref="C1384">IFERROR(INDEX(#REF!,MATCH(TRUE,ISNUMBER(FIND(SUBSTITUTE(SUBSTITUTE(UPPER(#REF!)," ",""),":",": "),SUBSTITUTE(SUBSTITUTE(UPPER(S1384)," ",""),":",": "))),0)),"Não encontrado")</f>
        <v>Não encontrado</v>
      </c>
      <c r="D1384" s="46" t="str" cm="1">
        <f t="array" ref="D1384">IFERROR(INDEX(#REF!,MATCH(TRUE,ISNUMBER(FIND(SUBSTITUTE(SUBSTITUTE(UPPER(#REF!)," ",""),":",": "),SUBSTITUTE(SUBSTITUTE(UPPER(S1384)," ",""),":",": "))),0)),"Não encontrado")</f>
        <v>Não encontrado</v>
      </c>
      <c r="E1384" s="42" t="str" cm="1">
        <f t="array" ref="E1384">IFERROR(INDEX({"IMPEDITIVO"},MATCH(TRUE,ISNUMBER(FIND(SUBSTITUTE(SUBSTITUTE(UPPER({"IMPEDITIVO"})," ",""),":",": "),SUBSTITUTE(SUBSTITUTE(UPPER(S1384)," ",""),":",": "))),0)),"-")</f>
        <v>-</v>
      </c>
      <c r="K1384" s="49"/>
    </row>
    <row r="1385" spans="1:11" x14ac:dyDescent="0.25">
      <c r="A1385" s="46" t="str" cm="1">
        <f t="array" ref="A1385">IFERROR(INDEX(#REF!,MATCH(TRUE,ISNUMBER(FIND(SUBSTITUTE(SUBSTITUTE(UPPER(#REF!)," ",""),":",": "),SUBSTITUTE(SUBSTITUTE(UPPER(S1385)," ",""),":",": "))),0)),"Undefined")</f>
        <v>Undefined</v>
      </c>
      <c r="B1385" s="42" t="str" cm="1">
        <f t="array" ref="B1385">IFERROR(INDEX({"URGENTE"},MATCH(TRUE,ISNUMBER(FIND(SUBSTITUTE(SUBSTITUTE(UPPER({"URGENTE"})," ",""),":",": "),SUBSTITUTE(SUBSTITUTE(UPPER(S1385)," ",""),":",": "))),0)),"-")</f>
        <v>-</v>
      </c>
      <c r="C1385" s="46" t="str" cm="1">
        <f t="array" ref="C1385">IFERROR(INDEX(#REF!,MATCH(TRUE,ISNUMBER(FIND(SUBSTITUTE(SUBSTITUTE(UPPER(#REF!)," ",""),":",": "),SUBSTITUTE(SUBSTITUTE(UPPER(S1385)," ",""),":",": "))),0)),"Não encontrado")</f>
        <v>Não encontrado</v>
      </c>
      <c r="D1385" s="46" t="str" cm="1">
        <f t="array" ref="D1385">IFERROR(INDEX(#REF!,MATCH(TRUE,ISNUMBER(FIND(SUBSTITUTE(SUBSTITUTE(UPPER(#REF!)," ",""),":",": "),SUBSTITUTE(SUBSTITUTE(UPPER(S1385)," ",""),":",": "))),0)),"Não encontrado")</f>
        <v>Não encontrado</v>
      </c>
      <c r="E1385" s="42" t="str" cm="1">
        <f t="array" ref="E1385">IFERROR(INDEX({"IMPEDITIVO"},MATCH(TRUE,ISNUMBER(FIND(SUBSTITUTE(SUBSTITUTE(UPPER({"IMPEDITIVO"})," ",""),":",": "),SUBSTITUTE(SUBSTITUTE(UPPER(S1385)," ",""),":",": "))),0)),"-")</f>
        <v>-</v>
      </c>
      <c r="K1385" s="49"/>
    </row>
    <row r="1386" spans="1:11" x14ac:dyDescent="0.25">
      <c r="A1386" s="46" t="str" cm="1">
        <f t="array" ref="A1386">IFERROR(INDEX(#REF!,MATCH(TRUE,ISNUMBER(FIND(SUBSTITUTE(SUBSTITUTE(UPPER(#REF!)," ",""),":",": "),SUBSTITUTE(SUBSTITUTE(UPPER(S1386)," ",""),":",": "))),0)),"Undefined")</f>
        <v>Undefined</v>
      </c>
      <c r="B1386" s="42" t="str" cm="1">
        <f t="array" ref="B1386">IFERROR(INDEX({"URGENTE"},MATCH(TRUE,ISNUMBER(FIND(SUBSTITUTE(SUBSTITUTE(UPPER({"URGENTE"})," ",""),":",": "),SUBSTITUTE(SUBSTITUTE(UPPER(S1386)," ",""),":",": "))),0)),"-")</f>
        <v>-</v>
      </c>
      <c r="C1386" s="46" t="str" cm="1">
        <f t="array" ref="C1386">IFERROR(INDEX(#REF!,MATCH(TRUE,ISNUMBER(FIND(SUBSTITUTE(SUBSTITUTE(UPPER(#REF!)," ",""),":",": "),SUBSTITUTE(SUBSTITUTE(UPPER(S1386)," ",""),":",": "))),0)),"Não encontrado")</f>
        <v>Não encontrado</v>
      </c>
      <c r="D1386" s="46" t="str" cm="1">
        <f t="array" ref="D1386">IFERROR(INDEX(#REF!,MATCH(TRUE,ISNUMBER(FIND(SUBSTITUTE(SUBSTITUTE(UPPER(#REF!)," ",""),":",": "),SUBSTITUTE(SUBSTITUTE(UPPER(S1386)," ",""),":",": "))),0)),"Não encontrado")</f>
        <v>Não encontrado</v>
      </c>
      <c r="E1386" s="42" t="str" cm="1">
        <f t="array" ref="E1386">IFERROR(INDEX({"IMPEDITIVO"},MATCH(TRUE,ISNUMBER(FIND(SUBSTITUTE(SUBSTITUTE(UPPER({"IMPEDITIVO"})," ",""),":",": "),SUBSTITUTE(SUBSTITUTE(UPPER(S1386)," ",""),":",": "))),0)),"-")</f>
        <v>-</v>
      </c>
      <c r="K1386" s="49"/>
    </row>
    <row r="1387" spans="1:11" x14ac:dyDescent="0.25">
      <c r="A1387" s="46" t="str" cm="1">
        <f t="array" ref="A1387">IFERROR(INDEX(#REF!,MATCH(TRUE,ISNUMBER(FIND(SUBSTITUTE(SUBSTITUTE(UPPER(#REF!)," ",""),":",": "),SUBSTITUTE(SUBSTITUTE(UPPER(S1387)," ",""),":",": "))),0)),"Undefined")</f>
        <v>Undefined</v>
      </c>
      <c r="B1387" s="42" t="str" cm="1">
        <f t="array" ref="B1387">IFERROR(INDEX({"URGENTE"},MATCH(TRUE,ISNUMBER(FIND(SUBSTITUTE(SUBSTITUTE(UPPER({"URGENTE"})," ",""),":",": "),SUBSTITUTE(SUBSTITUTE(UPPER(S1387)," ",""),":",": "))),0)),"-")</f>
        <v>-</v>
      </c>
      <c r="C1387" s="46" t="str" cm="1">
        <f t="array" ref="C1387">IFERROR(INDEX(#REF!,MATCH(TRUE,ISNUMBER(FIND(SUBSTITUTE(SUBSTITUTE(UPPER(#REF!)," ",""),":",": "),SUBSTITUTE(SUBSTITUTE(UPPER(S1387)," ",""),":",": "))),0)),"Não encontrado")</f>
        <v>Não encontrado</v>
      </c>
      <c r="D1387" s="46" t="str" cm="1">
        <f t="array" ref="D1387">IFERROR(INDEX(#REF!,MATCH(TRUE,ISNUMBER(FIND(SUBSTITUTE(SUBSTITUTE(UPPER(#REF!)," ",""),":",": "),SUBSTITUTE(SUBSTITUTE(UPPER(S1387)," ",""),":",": "))),0)),"Não encontrado")</f>
        <v>Não encontrado</v>
      </c>
      <c r="E1387" s="42" t="str" cm="1">
        <f t="array" ref="E1387">IFERROR(INDEX({"IMPEDITIVO"},MATCH(TRUE,ISNUMBER(FIND(SUBSTITUTE(SUBSTITUTE(UPPER({"IMPEDITIVO"})," ",""),":",": "),SUBSTITUTE(SUBSTITUTE(UPPER(S1387)," ",""),":",": "))),0)),"-")</f>
        <v>-</v>
      </c>
      <c r="K1387" s="49"/>
    </row>
    <row r="1388" spans="1:11" x14ac:dyDescent="0.25">
      <c r="A1388" s="46" t="str" cm="1">
        <f t="array" ref="A1388">IFERROR(INDEX(#REF!,MATCH(TRUE,ISNUMBER(FIND(SUBSTITUTE(SUBSTITUTE(UPPER(#REF!)," ",""),":",": "),SUBSTITUTE(SUBSTITUTE(UPPER(S1388)," ",""),":",": "))),0)),"Undefined")</f>
        <v>Undefined</v>
      </c>
      <c r="B1388" s="42" t="str" cm="1">
        <f t="array" ref="B1388">IFERROR(INDEX({"URGENTE"},MATCH(TRUE,ISNUMBER(FIND(SUBSTITUTE(SUBSTITUTE(UPPER({"URGENTE"})," ",""),":",": "),SUBSTITUTE(SUBSTITUTE(UPPER(S1388)," ",""),":",": "))),0)),"-")</f>
        <v>-</v>
      </c>
      <c r="C1388" s="46" t="str" cm="1">
        <f t="array" ref="C1388">IFERROR(INDEX(#REF!,MATCH(TRUE,ISNUMBER(FIND(SUBSTITUTE(SUBSTITUTE(UPPER(#REF!)," ",""),":",": "),SUBSTITUTE(SUBSTITUTE(UPPER(S1388)," ",""),":",": "))),0)),"Não encontrado")</f>
        <v>Não encontrado</v>
      </c>
      <c r="D1388" s="46" t="str" cm="1">
        <f t="array" ref="D1388">IFERROR(INDEX(#REF!,MATCH(TRUE,ISNUMBER(FIND(SUBSTITUTE(SUBSTITUTE(UPPER(#REF!)," ",""),":",": "),SUBSTITUTE(SUBSTITUTE(UPPER(S1388)," ",""),":",": "))),0)),"Não encontrado")</f>
        <v>Não encontrado</v>
      </c>
      <c r="E1388" s="42" t="str" cm="1">
        <f t="array" ref="E1388">IFERROR(INDEX({"IMPEDITIVO"},MATCH(TRUE,ISNUMBER(FIND(SUBSTITUTE(SUBSTITUTE(UPPER({"IMPEDITIVO"})," ",""),":",": "),SUBSTITUTE(SUBSTITUTE(UPPER(S1388)," ",""),":",": "))),0)),"-")</f>
        <v>-</v>
      </c>
      <c r="K1388" s="49"/>
    </row>
    <row r="1389" spans="1:11" x14ac:dyDescent="0.25">
      <c r="A1389" s="46" t="str" cm="1">
        <f t="array" ref="A1389">IFERROR(INDEX(#REF!,MATCH(TRUE,ISNUMBER(FIND(SUBSTITUTE(SUBSTITUTE(UPPER(#REF!)," ",""),":",": "),SUBSTITUTE(SUBSTITUTE(UPPER(S1389)," ",""),":",": "))),0)),"Undefined")</f>
        <v>Undefined</v>
      </c>
      <c r="B1389" s="42" t="str" cm="1">
        <f t="array" ref="B1389">IFERROR(INDEX({"URGENTE"},MATCH(TRUE,ISNUMBER(FIND(SUBSTITUTE(SUBSTITUTE(UPPER({"URGENTE"})," ",""),":",": "),SUBSTITUTE(SUBSTITUTE(UPPER(S1389)," ",""),":",": "))),0)),"-")</f>
        <v>-</v>
      </c>
      <c r="C1389" s="46" t="str" cm="1">
        <f t="array" ref="C1389">IFERROR(INDEX(#REF!,MATCH(TRUE,ISNUMBER(FIND(SUBSTITUTE(SUBSTITUTE(UPPER(#REF!)," ",""),":",": "),SUBSTITUTE(SUBSTITUTE(UPPER(S1389)," ",""),":",": "))),0)),"Não encontrado")</f>
        <v>Não encontrado</v>
      </c>
      <c r="D1389" s="46" t="str" cm="1">
        <f t="array" ref="D1389">IFERROR(INDEX(#REF!,MATCH(TRUE,ISNUMBER(FIND(SUBSTITUTE(SUBSTITUTE(UPPER(#REF!)," ",""),":",": "),SUBSTITUTE(SUBSTITUTE(UPPER(S1389)," ",""),":",": "))),0)),"Não encontrado")</f>
        <v>Não encontrado</v>
      </c>
      <c r="E1389" s="42" t="str" cm="1">
        <f t="array" ref="E1389">IFERROR(INDEX({"IMPEDITIVO"},MATCH(TRUE,ISNUMBER(FIND(SUBSTITUTE(SUBSTITUTE(UPPER({"IMPEDITIVO"})," ",""),":",": "),SUBSTITUTE(SUBSTITUTE(UPPER(S1389)," ",""),":",": "))),0)),"-")</f>
        <v>-</v>
      </c>
      <c r="K1389" s="49"/>
    </row>
    <row r="1390" spans="1:11" x14ac:dyDescent="0.25">
      <c r="A1390" s="46" t="str" cm="1">
        <f t="array" ref="A1390">IFERROR(INDEX(#REF!,MATCH(TRUE,ISNUMBER(FIND(SUBSTITUTE(SUBSTITUTE(UPPER(#REF!)," ",""),":",": "),SUBSTITUTE(SUBSTITUTE(UPPER(S1390)," ",""),":",": "))),0)),"Undefined")</f>
        <v>Undefined</v>
      </c>
      <c r="B1390" s="42" t="str" cm="1">
        <f t="array" ref="B1390">IFERROR(INDEX({"URGENTE"},MATCH(TRUE,ISNUMBER(FIND(SUBSTITUTE(SUBSTITUTE(UPPER({"URGENTE"})," ",""),":",": "),SUBSTITUTE(SUBSTITUTE(UPPER(S1390)," ",""),":",": "))),0)),"-")</f>
        <v>-</v>
      </c>
      <c r="C1390" s="46" t="str" cm="1">
        <f t="array" ref="C1390">IFERROR(INDEX(#REF!,MATCH(TRUE,ISNUMBER(FIND(SUBSTITUTE(SUBSTITUTE(UPPER(#REF!)," ",""),":",": "),SUBSTITUTE(SUBSTITUTE(UPPER(S1390)," ",""),":",": "))),0)),"Não encontrado")</f>
        <v>Não encontrado</v>
      </c>
      <c r="D1390" s="46" t="str" cm="1">
        <f t="array" ref="D1390">IFERROR(INDEX(#REF!,MATCH(TRUE,ISNUMBER(FIND(SUBSTITUTE(SUBSTITUTE(UPPER(#REF!)," ",""),":",": "),SUBSTITUTE(SUBSTITUTE(UPPER(S1390)," ",""),":",": "))),0)),"Não encontrado")</f>
        <v>Não encontrado</v>
      </c>
      <c r="E1390" s="42" t="str" cm="1">
        <f t="array" ref="E1390">IFERROR(INDEX({"IMPEDITIVO"},MATCH(TRUE,ISNUMBER(FIND(SUBSTITUTE(SUBSTITUTE(UPPER({"IMPEDITIVO"})," ",""),":",": "),SUBSTITUTE(SUBSTITUTE(UPPER(S1390)," ",""),":",": "))),0)),"-")</f>
        <v>-</v>
      </c>
      <c r="K1390" s="49"/>
    </row>
    <row r="1391" spans="1:11" x14ac:dyDescent="0.25">
      <c r="A1391" s="46" t="str" cm="1">
        <f t="array" ref="A1391">IFERROR(INDEX(#REF!,MATCH(TRUE,ISNUMBER(FIND(SUBSTITUTE(SUBSTITUTE(UPPER(#REF!)," ",""),":",": "),SUBSTITUTE(SUBSTITUTE(UPPER(S1391)," ",""),":",": "))),0)),"Undefined")</f>
        <v>Undefined</v>
      </c>
      <c r="B1391" s="42" t="str" cm="1">
        <f t="array" ref="B1391">IFERROR(INDEX({"URGENTE"},MATCH(TRUE,ISNUMBER(FIND(SUBSTITUTE(SUBSTITUTE(UPPER({"URGENTE"})," ",""),":",": "),SUBSTITUTE(SUBSTITUTE(UPPER(S1391)," ",""),":",": "))),0)),"-")</f>
        <v>-</v>
      </c>
      <c r="C1391" s="46" t="str" cm="1">
        <f t="array" ref="C1391">IFERROR(INDEX(#REF!,MATCH(TRUE,ISNUMBER(FIND(SUBSTITUTE(SUBSTITUTE(UPPER(#REF!)," ",""),":",": "),SUBSTITUTE(SUBSTITUTE(UPPER(S1391)," ",""),":",": "))),0)),"Não encontrado")</f>
        <v>Não encontrado</v>
      </c>
      <c r="D1391" s="46" t="str" cm="1">
        <f t="array" ref="D1391">IFERROR(INDEX(#REF!,MATCH(TRUE,ISNUMBER(FIND(SUBSTITUTE(SUBSTITUTE(UPPER(#REF!)," ",""),":",": "),SUBSTITUTE(SUBSTITUTE(UPPER(S1391)," ",""),":",": "))),0)),"Não encontrado")</f>
        <v>Não encontrado</v>
      </c>
      <c r="E1391" s="42" t="str" cm="1">
        <f t="array" ref="E1391">IFERROR(INDEX({"IMPEDITIVO"},MATCH(TRUE,ISNUMBER(FIND(SUBSTITUTE(SUBSTITUTE(UPPER({"IMPEDITIVO"})," ",""),":",": "),SUBSTITUTE(SUBSTITUTE(UPPER(S1391)," ",""),":",": "))),0)),"-")</f>
        <v>-</v>
      </c>
      <c r="K1391" s="49"/>
    </row>
    <row r="1392" spans="1:11" x14ac:dyDescent="0.25">
      <c r="A1392" s="46" t="str" cm="1">
        <f t="array" ref="A1392">IFERROR(INDEX(#REF!,MATCH(TRUE,ISNUMBER(FIND(SUBSTITUTE(SUBSTITUTE(UPPER(#REF!)," ",""),":",": "),SUBSTITUTE(SUBSTITUTE(UPPER(S1392)," ",""),":",": "))),0)),"Undefined")</f>
        <v>Undefined</v>
      </c>
      <c r="B1392" s="42" t="str" cm="1">
        <f t="array" ref="B1392">IFERROR(INDEX({"URGENTE"},MATCH(TRUE,ISNUMBER(FIND(SUBSTITUTE(SUBSTITUTE(UPPER({"URGENTE"})," ",""),":",": "),SUBSTITUTE(SUBSTITUTE(UPPER(S1392)," ",""),":",": "))),0)),"-")</f>
        <v>-</v>
      </c>
      <c r="C1392" s="46" t="str" cm="1">
        <f t="array" ref="C1392">IFERROR(INDEX(#REF!,MATCH(TRUE,ISNUMBER(FIND(SUBSTITUTE(SUBSTITUTE(UPPER(#REF!)," ",""),":",": "),SUBSTITUTE(SUBSTITUTE(UPPER(S1392)," ",""),":",": "))),0)),"Não encontrado")</f>
        <v>Não encontrado</v>
      </c>
      <c r="D1392" s="46" t="str" cm="1">
        <f t="array" ref="D1392">IFERROR(INDEX(#REF!,MATCH(TRUE,ISNUMBER(FIND(SUBSTITUTE(SUBSTITUTE(UPPER(#REF!)," ",""),":",": "),SUBSTITUTE(SUBSTITUTE(UPPER(S1392)," ",""),":",": "))),0)),"Não encontrado")</f>
        <v>Não encontrado</v>
      </c>
      <c r="E1392" s="42" t="str" cm="1">
        <f t="array" ref="E1392">IFERROR(INDEX({"IMPEDITIVO"},MATCH(TRUE,ISNUMBER(FIND(SUBSTITUTE(SUBSTITUTE(UPPER({"IMPEDITIVO"})," ",""),":",": "),SUBSTITUTE(SUBSTITUTE(UPPER(S1392)," ",""),":",": "))),0)),"-")</f>
        <v>-</v>
      </c>
      <c r="K1392" s="49"/>
    </row>
    <row r="1393" spans="1:11" x14ac:dyDescent="0.25">
      <c r="A1393" s="46" t="str" cm="1">
        <f t="array" ref="A1393">IFERROR(INDEX(#REF!,MATCH(TRUE,ISNUMBER(FIND(SUBSTITUTE(SUBSTITUTE(UPPER(#REF!)," ",""),":",": "),SUBSTITUTE(SUBSTITUTE(UPPER(S1393)," ",""),":",": "))),0)),"Undefined")</f>
        <v>Undefined</v>
      </c>
      <c r="B1393" s="42" t="str" cm="1">
        <f t="array" ref="B1393">IFERROR(INDEX({"URGENTE"},MATCH(TRUE,ISNUMBER(FIND(SUBSTITUTE(SUBSTITUTE(UPPER({"URGENTE"})," ",""),":",": "),SUBSTITUTE(SUBSTITUTE(UPPER(S1393)," ",""),":",": "))),0)),"-")</f>
        <v>-</v>
      </c>
      <c r="C1393" s="46" t="str" cm="1">
        <f t="array" ref="C1393">IFERROR(INDEX(#REF!,MATCH(TRUE,ISNUMBER(FIND(SUBSTITUTE(SUBSTITUTE(UPPER(#REF!)," ",""),":",": "),SUBSTITUTE(SUBSTITUTE(UPPER(S1393)," ",""),":",": "))),0)),"Não encontrado")</f>
        <v>Não encontrado</v>
      </c>
      <c r="D1393" s="46" t="str" cm="1">
        <f t="array" ref="D1393">IFERROR(INDEX(#REF!,MATCH(TRUE,ISNUMBER(FIND(SUBSTITUTE(SUBSTITUTE(UPPER(#REF!)," ",""),":",": "),SUBSTITUTE(SUBSTITUTE(UPPER(S1393)," ",""),":",": "))),0)),"Não encontrado")</f>
        <v>Não encontrado</v>
      </c>
      <c r="E1393" s="42" t="str" cm="1">
        <f t="array" ref="E1393">IFERROR(INDEX({"IMPEDITIVO"},MATCH(TRUE,ISNUMBER(FIND(SUBSTITUTE(SUBSTITUTE(UPPER({"IMPEDITIVO"})," ",""),":",": "),SUBSTITUTE(SUBSTITUTE(UPPER(S1393)," ",""),":",": "))),0)),"-")</f>
        <v>-</v>
      </c>
      <c r="K1393" s="49"/>
    </row>
    <row r="1394" spans="1:11" x14ac:dyDescent="0.25">
      <c r="A1394" s="46" t="str" cm="1">
        <f t="array" ref="A1394">IFERROR(INDEX(#REF!,MATCH(TRUE,ISNUMBER(FIND(SUBSTITUTE(SUBSTITUTE(UPPER(#REF!)," ",""),":",": "),SUBSTITUTE(SUBSTITUTE(UPPER(S1394)," ",""),":",": "))),0)),"Undefined")</f>
        <v>Undefined</v>
      </c>
      <c r="B1394" s="42" t="str" cm="1">
        <f t="array" ref="B1394">IFERROR(INDEX({"URGENTE"},MATCH(TRUE,ISNUMBER(FIND(SUBSTITUTE(SUBSTITUTE(UPPER({"URGENTE"})," ",""),":",": "),SUBSTITUTE(SUBSTITUTE(UPPER(S1394)," ",""),":",": "))),0)),"-")</f>
        <v>-</v>
      </c>
      <c r="C1394" s="46" t="str" cm="1">
        <f t="array" ref="C1394">IFERROR(INDEX(#REF!,MATCH(TRUE,ISNUMBER(FIND(SUBSTITUTE(SUBSTITUTE(UPPER(#REF!)," ",""),":",": "),SUBSTITUTE(SUBSTITUTE(UPPER(S1394)," ",""),":",": "))),0)),"Não encontrado")</f>
        <v>Não encontrado</v>
      </c>
      <c r="D1394" s="46" t="str" cm="1">
        <f t="array" ref="D1394">IFERROR(INDEX(#REF!,MATCH(TRUE,ISNUMBER(FIND(SUBSTITUTE(SUBSTITUTE(UPPER(#REF!)," ",""),":",": "),SUBSTITUTE(SUBSTITUTE(UPPER(S1394)," ",""),":",": "))),0)),"Não encontrado")</f>
        <v>Não encontrado</v>
      </c>
      <c r="E1394" s="42" t="str" cm="1">
        <f t="array" ref="E1394">IFERROR(INDEX({"IMPEDITIVO"},MATCH(TRUE,ISNUMBER(FIND(SUBSTITUTE(SUBSTITUTE(UPPER({"IMPEDITIVO"})," ",""),":",": "),SUBSTITUTE(SUBSTITUTE(UPPER(S1394)," ",""),":",": "))),0)),"-")</f>
        <v>-</v>
      </c>
      <c r="K1394" s="49"/>
    </row>
    <row r="1395" spans="1:11" x14ac:dyDescent="0.25">
      <c r="A1395" s="46" t="str" cm="1">
        <f t="array" ref="A1395">IFERROR(INDEX(#REF!,MATCH(TRUE,ISNUMBER(FIND(SUBSTITUTE(SUBSTITUTE(UPPER(#REF!)," ",""),":",": "),SUBSTITUTE(SUBSTITUTE(UPPER(S1395)," ",""),":",": "))),0)),"Undefined")</f>
        <v>Undefined</v>
      </c>
      <c r="B1395" s="42" t="str" cm="1">
        <f t="array" ref="B1395">IFERROR(INDEX({"URGENTE"},MATCH(TRUE,ISNUMBER(FIND(SUBSTITUTE(SUBSTITUTE(UPPER({"URGENTE"})," ",""),":",": "),SUBSTITUTE(SUBSTITUTE(UPPER(S1395)," ",""),":",": "))),0)),"-")</f>
        <v>-</v>
      </c>
      <c r="C1395" s="46" t="str" cm="1">
        <f t="array" ref="C1395">IFERROR(INDEX(#REF!,MATCH(TRUE,ISNUMBER(FIND(SUBSTITUTE(SUBSTITUTE(UPPER(#REF!)," ",""),":",": "),SUBSTITUTE(SUBSTITUTE(UPPER(S1395)," ",""),":",": "))),0)),"Não encontrado")</f>
        <v>Não encontrado</v>
      </c>
      <c r="D1395" s="46" t="str" cm="1">
        <f t="array" ref="D1395">IFERROR(INDEX(#REF!,MATCH(TRUE,ISNUMBER(FIND(SUBSTITUTE(SUBSTITUTE(UPPER(#REF!)," ",""),":",": "),SUBSTITUTE(SUBSTITUTE(UPPER(S1395)," ",""),":",": "))),0)),"Não encontrado")</f>
        <v>Não encontrado</v>
      </c>
      <c r="E1395" s="42" t="str" cm="1">
        <f t="array" ref="E1395">IFERROR(INDEX({"IMPEDITIVO"},MATCH(TRUE,ISNUMBER(FIND(SUBSTITUTE(SUBSTITUTE(UPPER({"IMPEDITIVO"})," ",""),":",": "),SUBSTITUTE(SUBSTITUTE(UPPER(S1395)," ",""),":",": "))),0)),"-")</f>
        <v>-</v>
      </c>
      <c r="K1395" s="49"/>
    </row>
    <row r="1396" spans="1:11" x14ac:dyDescent="0.25">
      <c r="A1396" s="46" t="str" cm="1">
        <f t="array" ref="A1396">IFERROR(INDEX(#REF!,MATCH(TRUE,ISNUMBER(FIND(SUBSTITUTE(SUBSTITUTE(UPPER(#REF!)," ",""),":",": "),SUBSTITUTE(SUBSTITUTE(UPPER(S1396)," ",""),":",": "))),0)),"Undefined")</f>
        <v>Undefined</v>
      </c>
      <c r="B1396" s="42" t="str" cm="1">
        <f t="array" ref="B1396">IFERROR(INDEX({"URGENTE"},MATCH(TRUE,ISNUMBER(FIND(SUBSTITUTE(SUBSTITUTE(UPPER({"URGENTE"})," ",""),":",": "),SUBSTITUTE(SUBSTITUTE(UPPER(S1396)," ",""),":",": "))),0)),"-")</f>
        <v>-</v>
      </c>
      <c r="C1396" s="46" t="str" cm="1">
        <f t="array" ref="C1396">IFERROR(INDEX(#REF!,MATCH(TRUE,ISNUMBER(FIND(SUBSTITUTE(SUBSTITUTE(UPPER(#REF!)," ",""),":",": "),SUBSTITUTE(SUBSTITUTE(UPPER(S1396)," ",""),":",": "))),0)),"Não encontrado")</f>
        <v>Não encontrado</v>
      </c>
      <c r="D1396" s="46" t="str" cm="1">
        <f t="array" ref="D1396">IFERROR(INDEX(#REF!,MATCH(TRUE,ISNUMBER(FIND(SUBSTITUTE(SUBSTITUTE(UPPER(#REF!)," ",""),":",": "),SUBSTITUTE(SUBSTITUTE(UPPER(S1396)," ",""),":",": "))),0)),"Não encontrado")</f>
        <v>Não encontrado</v>
      </c>
      <c r="E1396" s="42" t="str" cm="1">
        <f t="array" ref="E1396">IFERROR(INDEX({"IMPEDITIVO"},MATCH(TRUE,ISNUMBER(FIND(SUBSTITUTE(SUBSTITUTE(UPPER({"IMPEDITIVO"})," ",""),":",": "),SUBSTITUTE(SUBSTITUTE(UPPER(S1396)," ",""),":",": "))),0)),"-")</f>
        <v>-</v>
      </c>
      <c r="K1396" s="49"/>
    </row>
    <row r="1397" spans="1:11" x14ac:dyDescent="0.25">
      <c r="A1397" s="46" t="str" cm="1">
        <f t="array" ref="A1397">IFERROR(INDEX(#REF!,MATCH(TRUE,ISNUMBER(FIND(SUBSTITUTE(SUBSTITUTE(UPPER(#REF!)," ",""),":",": "),SUBSTITUTE(SUBSTITUTE(UPPER(S1397)," ",""),":",": "))),0)),"Undefined")</f>
        <v>Undefined</v>
      </c>
      <c r="B1397" s="42" t="str" cm="1">
        <f t="array" ref="B1397">IFERROR(INDEX({"URGENTE"},MATCH(TRUE,ISNUMBER(FIND(SUBSTITUTE(SUBSTITUTE(UPPER({"URGENTE"})," ",""),":",": "),SUBSTITUTE(SUBSTITUTE(UPPER(S1397)," ",""),":",": "))),0)),"-")</f>
        <v>-</v>
      </c>
      <c r="C1397" s="46" t="str" cm="1">
        <f t="array" ref="C1397">IFERROR(INDEX(#REF!,MATCH(TRUE,ISNUMBER(FIND(SUBSTITUTE(SUBSTITUTE(UPPER(#REF!)," ",""),":",": "),SUBSTITUTE(SUBSTITUTE(UPPER(S1397)," ",""),":",": "))),0)),"Não encontrado")</f>
        <v>Não encontrado</v>
      </c>
      <c r="D1397" s="46" t="str" cm="1">
        <f t="array" ref="D1397">IFERROR(INDEX(#REF!,MATCH(TRUE,ISNUMBER(FIND(SUBSTITUTE(SUBSTITUTE(UPPER(#REF!)," ",""),":",": "),SUBSTITUTE(SUBSTITUTE(UPPER(S1397)," ",""),":",": "))),0)),"Não encontrado")</f>
        <v>Não encontrado</v>
      </c>
      <c r="E1397" s="42" t="str" cm="1">
        <f t="array" ref="E1397">IFERROR(INDEX({"IMPEDITIVO"},MATCH(TRUE,ISNUMBER(FIND(SUBSTITUTE(SUBSTITUTE(UPPER({"IMPEDITIVO"})," ",""),":",": "),SUBSTITUTE(SUBSTITUTE(UPPER(S1397)," ",""),":",": "))),0)),"-")</f>
        <v>-</v>
      </c>
      <c r="K1397" s="49"/>
    </row>
    <row r="1398" spans="1:11" x14ac:dyDescent="0.25">
      <c r="A1398" s="46" t="str" cm="1">
        <f t="array" ref="A1398">IFERROR(INDEX(#REF!,MATCH(TRUE,ISNUMBER(FIND(SUBSTITUTE(SUBSTITUTE(UPPER(#REF!)," ",""),":",": "),SUBSTITUTE(SUBSTITUTE(UPPER(S1398)," ",""),":",": "))),0)),"Undefined")</f>
        <v>Undefined</v>
      </c>
      <c r="B1398" s="42" t="str" cm="1">
        <f t="array" ref="B1398">IFERROR(INDEX({"URGENTE"},MATCH(TRUE,ISNUMBER(FIND(SUBSTITUTE(SUBSTITUTE(UPPER({"URGENTE"})," ",""),":",": "),SUBSTITUTE(SUBSTITUTE(UPPER(S1398)," ",""),":",": "))),0)),"-")</f>
        <v>-</v>
      </c>
      <c r="C1398" s="46" t="str" cm="1">
        <f t="array" ref="C1398">IFERROR(INDEX(#REF!,MATCH(TRUE,ISNUMBER(FIND(SUBSTITUTE(SUBSTITUTE(UPPER(#REF!)," ",""),":",": "),SUBSTITUTE(SUBSTITUTE(UPPER(S1398)," ",""),":",": "))),0)),"Não encontrado")</f>
        <v>Não encontrado</v>
      </c>
      <c r="D1398" s="46" t="str" cm="1">
        <f t="array" ref="D1398">IFERROR(INDEX(#REF!,MATCH(TRUE,ISNUMBER(FIND(SUBSTITUTE(SUBSTITUTE(UPPER(#REF!)," ",""),":",": "),SUBSTITUTE(SUBSTITUTE(UPPER(S1398)," ",""),":",": "))),0)),"Não encontrado")</f>
        <v>Não encontrado</v>
      </c>
      <c r="E1398" s="42" t="str" cm="1">
        <f t="array" ref="E1398">IFERROR(INDEX({"IMPEDITIVO"},MATCH(TRUE,ISNUMBER(FIND(SUBSTITUTE(SUBSTITUTE(UPPER({"IMPEDITIVO"})," ",""),":",": "),SUBSTITUTE(SUBSTITUTE(UPPER(S1398)," ",""),":",": "))),0)),"-")</f>
        <v>-</v>
      </c>
      <c r="K1398" s="49"/>
    </row>
    <row r="1399" spans="1:11" x14ac:dyDescent="0.25">
      <c r="A1399" s="46" t="str" cm="1">
        <f t="array" ref="A1399">IFERROR(INDEX(#REF!,MATCH(TRUE,ISNUMBER(FIND(SUBSTITUTE(SUBSTITUTE(UPPER(#REF!)," ",""),":",": "),SUBSTITUTE(SUBSTITUTE(UPPER(S1399)," ",""),":",": "))),0)),"Undefined")</f>
        <v>Undefined</v>
      </c>
      <c r="B1399" s="42" t="str" cm="1">
        <f t="array" ref="B1399">IFERROR(INDEX({"URGENTE"},MATCH(TRUE,ISNUMBER(FIND(SUBSTITUTE(SUBSTITUTE(UPPER({"URGENTE"})," ",""),":",": "),SUBSTITUTE(SUBSTITUTE(UPPER(S1399)," ",""),":",": "))),0)),"-")</f>
        <v>-</v>
      </c>
      <c r="C1399" s="46" t="str" cm="1">
        <f t="array" ref="C1399">IFERROR(INDEX(#REF!,MATCH(TRUE,ISNUMBER(FIND(SUBSTITUTE(SUBSTITUTE(UPPER(#REF!)," ",""),":",": "),SUBSTITUTE(SUBSTITUTE(UPPER(S1399)," ",""),":",": "))),0)),"Não encontrado")</f>
        <v>Não encontrado</v>
      </c>
      <c r="D1399" s="46" t="str" cm="1">
        <f t="array" ref="D1399">IFERROR(INDEX(#REF!,MATCH(TRUE,ISNUMBER(FIND(SUBSTITUTE(SUBSTITUTE(UPPER(#REF!)," ",""),":",": "),SUBSTITUTE(SUBSTITUTE(UPPER(S1399)," ",""),":",": "))),0)),"Não encontrado")</f>
        <v>Não encontrado</v>
      </c>
      <c r="E1399" s="42" t="str" cm="1">
        <f t="array" ref="E1399">IFERROR(INDEX({"IMPEDITIVO"},MATCH(TRUE,ISNUMBER(FIND(SUBSTITUTE(SUBSTITUTE(UPPER({"IMPEDITIVO"})," ",""),":",": "),SUBSTITUTE(SUBSTITUTE(UPPER(S1399)," ",""),":",": "))),0)),"-")</f>
        <v>-</v>
      </c>
      <c r="K1399" s="49"/>
    </row>
    <row r="1400" spans="1:11" x14ac:dyDescent="0.25">
      <c r="A1400" s="46" t="str" cm="1">
        <f t="array" ref="A1400">IFERROR(INDEX(#REF!,MATCH(TRUE,ISNUMBER(FIND(SUBSTITUTE(SUBSTITUTE(UPPER(#REF!)," ",""),":",": "),SUBSTITUTE(SUBSTITUTE(UPPER(S1400)," ",""),":",": "))),0)),"Undefined")</f>
        <v>Undefined</v>
      </c>
      <c r="B1400" s="42" t="str" cm="1">
        <f t="array" ref="B1400">IFERROR(INDEX({"URGENTE"},MATCH(TRUE,ISNUMBER(FIND(SUBSTITUTE(SUBSTITUTE(UPPER({"URGENTE"})," ",""),":",": "),SUBSTITUTE(SUBSTITUTE(UPPER(S1400)," ",""),":",": "))),0)),"-")</f>
        <v>-</v>
      </c>
      <c r="C1400" s="46" t="str" cm="1">
        <f t="array" ref="C1400">IFERROR(INDEX(#REF!,MATCH(TRUE,ISNUMBER(FIND(SUBSTITUTE(SUBSTITUTE(UPPER(#REF!)," ",""),":",": "),SUBSTITUTE(SUBSTITUTE(UPPER(S1400)," ",""),":",": "))),0)),"Não encontrado")</f>
        <v>Não encontrado</v>
      </c>
      <c r="D1400" s="46" t="str" cm="1">
        <f t="array" ref="D1400">IFERROR(INDEX(#REF!,MATCH(TRUE,ISNUMBER(FIND(SUBSTITUTE(SUBSTITUTE(UPPER(#REF!)," ",""),":",": "),SUBSTITUTE(SUBSTITUTE(UPPER(S1400)," ",""),":",": "))),0)),"Não encontrado")</f>
        <v>Não encontrado</v>
      </c>
      <c r="E1400" s="42" t="str" cm="1">
        <f t="array" ref="E1400">IFERROR(INDEX({"IMPEDITIVO"},MATCH(TRUE,ISNUMBER(FIND(SUBSTITUTE(SUBSTITUTE(UPPER({"IMPEDITIVO"})," ",""),":",": "),SUBSTITUTE(SUBSTITUTE(UPPER(S1400)," ",""),":",": "))),0)),"-")</f>
        <v>-</v>
      </c>
      <c r="K1400" s="49"/>
    </row>
    <row r="1401" spans="1:11" x14ac:dyDescent="0.25">
      <c r="A1401" s="46" t="str" cm="1">
        <f t="array" ref="A1401">IFERROR(INDEX(#REF!,MATCH(TRUE,ISNUMBER(FIND(SUBSTITUTE(SUBSTITUTE(UPPER(#REF!)," ",""),":",": "),SUBSTITUTE(SUBSTITUTE(UPPER(S1401)," ",""),":",": "))),0)),"Undefined")</f>
        <v>Undefined</v>
      </c>
      <c r="B1401" s="42" t="str" cm="1">
        <f t="array" ref="B1401">IFERROR(INDEX({"URGENTE"},MATCH(TRUE,ISNUMBER(FIND(SUBSTITUTE(SUBSTITUTE(UPPER({"URGENTE"})," ",""),":",": "),SUBSTITUTE(SUBSTITUTE(UPPER(S1401)," ",""),":",": "))),0)),"-")</f>
        <v>-</v>
      </c>
      <c r="C1401" s="46" t="str" cm="1">
        <f t="array" ref="C1401">IFERROR(INDEX(#REF!,MATCH(TRUE,ISNUMBER(FIND(SUBSTITUTE(SUBSTITUTE(UPPER(#REF!)," ",""),":",": "),SUBSTITUTE(SUBSTITUTE(UPPER(S1401)," ",""),":",": "))),0)),"Não encontrado")</f>
        <v>Não encontrado</v>
      </c>
      <c r="D1401" s="46" t="str" cm="1">
        <f t="array" ref="D1401">IFERROR(INDEX(#REF!,MATCH(TRUE,ISNUMBER(FIND(SUBSTITUTE(SUBSTITUTE(UPPER(#REF!)," ",""),":",": "),SUBSTITUTE(SUBSTITUTE(UPPER(S1401)," ",""),":",": "))),0)),"Não encontrado")</f>
        <v>Não encontrado</v>
      </c>
      <c r="E1401" s="42" t="str" cm="1">
        <f t="array" ref="E1401">IFERROR(INDEX({"IMPEDITIVO"},MATCH(TRUE,ISNUMBER(FIND(SUBSTITUTE(SUBSTITUTE(UPPER({"IMPEDITIVO"})," ",""),":",": "),SUBSTITUTE(SUBSTITUTE(UPPER(S1401)," ",""),":",": "))),0)),"-")</f>
        <v>-</v>
      </c>
      <c r="K1401" s="49"/>
    </row>
    <row r="1402" spans="1:11" x14ac:dyDescent="0.25">
      <c r="A1402" s="46" t="str" cm="1">
        <f t="array" ref="A1402">IFERROR(INDEX(#REF!,MATCH(TRUE,ISNUMBER(FIND(SUBSTITUTE(SUBSTITUTE(UPPER(#REF!)," ",""),":",": "),SUBSTITUTE(SUBSTITUTE(UPPER(S1402)," ",""),":",": "))),0)),"Undefined")</f>
        <v>Undefined</v>
      </c>
      <c r="B1402" s="42" t="str" cm="1">
        <f t="array" ref="B1402">IFERROR(INDEX({"URGENTE"},MATCH(TRUE,ISNUMBER(FIND(SUBSTITUTE(SUBSTITUTE(UPPER({"URGENTE"})," ",""),":",": "),SUBSTITUTE(SUBSTITUTE(UPPER(S1402)," ",""),":",": "))),0)),"-")</f>
        <v>-</v>
      </c>
      <c r="C1402" s="46" t="str" cm="1">
        <f t="array" ref="C1402">IFERROR(INDEX(#REF!,MATCH(TRUE,ISNUMBER(FIND(SUBSTITUTE(SUBSTITUTE(UPPER(#REF!)," ",""),":",": "),SUBSTITUTE(SUBSTITUTE(UPPER(S1402)," ",""),":",": "))),0)),"Não encontrado")</f>
        <v>Não encontrado</v>
      </c>
      <c r="D1402" s="46" t="str" cm="1">
        <f t="array" ref="D1402">IFERROR(INDEX(#REF!,MATCH(TRUE,ISNUMBER(FIND(SUBSTITUTE(SUBSTITUTE(UPPER(#REF!)," ",""),":",": "),SUBSTITUTE(SUBSTITUTE(UPPER(S1402)," ",""),":",": "))),0)),"Não encontrado")</f>
        <v>Não encontrado</v>
      </c>
      <c r="E1402" s="42" t="str" cm="1">
        <f t="array" ref="E1402">IFERROR(INDEX({"IMPEDITIVO"},MATCH(TRUE,ISNUMBER(FIND(SUBSTITUTE(SUBSTITUTE(UPPER({"IMPEDITIVO"})," ",""),":",": "),SUBSTITUTE(SUBSTITUTE(UPPER(S1402)," ",""),":",": "))),0)),"-")</f>
        <v>-</v>
      </c>
      <c r="K1402" s="49"/>
    </row>
    <row r="1403" spans="1:11" x14ac:dyDescent="0.25">
      <c r="A1403" s="46" t="str" cm="1">
        <f t="array" ref="A1403">IFERROR(INDEX(#REF!,MATCH(TRUE,ISNUMBER(FIND(SUBSTITUTE(SUBSTITUTE(UPPER(#REF!)," ",""),":",": "),SUBSTITUTE(SUBSTITUTE(UPPER(S1403)," ",""),":",": "))),0)),"Undefined")</f>
        <v>Undefined</v>
      </c>
      <c r="B1403" s="42" t="str" cm="1">
        <f t="array" ref="B1403">IFERROR(INDEX({"URGENTE"},MATCH(TRUE,ISNUMBER(FIND(SUBSTITUTE(SUBSTITUTE(UPPER({"URGENTE"})," ",""),":",": "),SUBSTITUTE(SUBSTITUTE(UPPER(S1403)," ",""),":",": "))),0)),"-")</f>
        <v>-</v>
      </c>
      <c r="C1403" s="46" t="str" cm="1">
        <f t="array" ref="C1403">IFERROR(INDEX(#REF!,MATCH(TRUE,ISNUMBER(FIND(SUBSTITUTE(SUBSTITUTE(UPPER(#REF!)," ",""),":",": "),SUBSTITUTE(SUBSTITUTE(UPPER(S1403)," ",""),":",": "))),0)),"Não encontrado")</f>
        <v>Não encontrado</v>
      </c>
      <c r="D1403" s="46" t="str" cm="1">
        <f t="array" ref="D1403">IFERROR(INDEX(#REF!,MATCH(TRUE,ISNUMBER(FIND(SUBSTITUTE(SUBSTITUTE(UPPER(#REF!)," ",""),":",": "),SUBSTITUTE(SUBSTITUTE(UPPER(S1403)," ",""),":",": "))),0)),"Não encontrado")</f>
        <v>Não encontrado</v>
      </c>
      <c r="E1403" s="42" t="str" cm="1">
        <f t="array" ref="E1403">IFERROR(INDEX({"IMPEDITIVO"},MATCH(TRUE,ISNUMBER(FIND(SUBSTITUTE(SUBSTITUTE(UPPER({"IMPEDITIVO"})," ",""),":",": "),SUBSTITUTE(SUBSTITUTE(UPPER(S1403)," ",""),":",": "))),0)),"-")</f>
        <v>-</v>
      </c>
      <c r="K1403" s="49"/>
    </row>
    <row r="1404" spans="1:11" x14ac:dyDescent="0.25">
      <c r="A1404" s="46" t="str" cm="1">
        <f t="array" ref="A1404">IFERROR(INDEX(#REF!,MATCH(TRUE,ISNUMBER(FIND(SUBSTITUTE(SUBSTITUTE(UPPER(#REF!)," ",""),":",": "),SUBSTITUTE(SUBSTITUTE(UPPER(S1404)," ",""),":",": "))),0)),"Undefined")</f>
        <v>Undefined</v>
      </c>
      <c r="B1404" s="42" t="str" cm="1">
        <f t="array" ref="B1404">IFERROR(INDEX({"URGENTE"},MATCH(TRUE,ISNUMBER(FIND(SUBSTITUTE(SUBSTITUTE(UPPER({"URGENTE"})," ",""),":",": "),SUBSTITUTE(SUBSTITUTE(UPPER(S1404)," ",""),":",": "))),0)),"-")</f>
        <v>-</v>
      </c>
      <c r="C1404" s="46" t="str" cm="1">
        <f t="array" ref="C1404">IFERROR(INDEX(#REF!,MATCH(TRUE,ISNUMBER(FIND(SUBSTITUTE(SUBSTITUTE(UPPER(#REF!)," ",""),":",": "),SUBSTITUTE(SUBSTITUTE(UPPER(S1404)," ",""),":",": "))),0)),"Não encontrado")</f>
        <v>Não encontrado</v>
      </c>
      <c r="D1404" s="46" t="str" cm="1">
        <f t="array" ref="D1404">IFERROR(INDEX(#REF!,MATCH(TRUE,ISNUMBER(FIND(SUBSTITUTE(SUBSTITUTE(UPPER(#REF!)," ",""),":",": "),SUBSTITUTE(SUBSTITUTE(UPPER(S1404)," ",""),":",": "))),0)),"Não encontrado")</f>
        <v>Não encontrado</v>
      </c>
      <c r="E1404" s="42" t="str" cm="1">
        <f t="array" ref="E1404">IFERROR(INDEX({"IMPEDITIVO"},MATCH(TRUE,ISNUMBER(FIND(SUBSTITUTE(SUBSTITUTE(UPPER({"IMPEDITIVO"})," ",""),":",": "),SUBSTITUTE(SUBSTITUTE(UPPER(S1404)," ",""),":",": "))),0)),"-")</f>
        <v>-</v>
      </c>
      <c r="K1404" s="49"/>
    </row>
    <row r="1405" spans="1:11" x14ac:dyDescent="0.25">
      <c r="A1405" s="46" t="str" cm="1">
        <f t="array" ref="A1405">IFERROR(INDEX(#REF!,MATCH(TRUE,ISNUMBER(FIND(SUBSTITUTE(SUBSTITUTE(UPPER(#REF!)," ",""),":",": "),SUBSTITUTE(SUBSTITUTE(UPPER(S1405)," ",""),":",": "))),0)),"Undefined")</f>
        <v>Undefined</v>
      </c>
      <c r="B1405" s="42" t="str" cm="1">
        <f t="array" ref="B1405">IFERROR(INDEX({"URGENTE"},MATCH(TRUE,ISNUMBER(FIND(SUBSTITUTE(SUBSTITUTE(UPPER({"URGENTE"})," ",""),":",": "),SUBSTITUTE(SUBSTITUTE(UPPER(S1405)," ",""),":",": "))),0)),"-")</f>
        <v>-</v>
      </c>
      <c r="C1405" s="46" t="str" cm="1">
        <f t="array" ref="C1405">IFERROR(INDEX(#REF!,MATCH(TRUE,ISNUMBER(FIND(SUBSTITUTE(SUBSTITUTE(UPPER(#REF!)," ",""),":",": "),SUBSTITUTE(SUBSTITUTE(UPPER(S1405)," ",""),":",": "))),0)),"Não encontrado")</f>
        <v>Não encontrado</v>
      </c>
      <c r="D1405" s="46" t="str" cm="1">
        <f t="array" ref="D1405">IFERROR(INDEX(#REF!,MATCH(TRUE,ISNUMBER(FIND(SUBSTITUTE(SUBSTITUTE(UPPER(#REF!)," ",""),":",": "),SUBSTITUTE(SUBSTITUTE(UPPER(S1405)," ",""),":",": "))),0)),"Não encontrado")</f>
        <v>Não encontrado</v>
      </c>
      <c r="E1405" s="42" t="str" cm="1">
        <f t="array" ref="E1405">IFERROR(INDEX({"IMPEDITIVO"},MATCH(TRUE,ISNUMBER(FIND(SUBSTITUTE(SUBSTITUTE(UPPER({"IMPEDITIVO"})," ",""),":",": "),SUBSTITUTE(SUBSTITUTE(UPPER(S1405)," ",""),":",": "))),0)),"-")</f>
        <v>-</v>
      </c>
      <c r="K1405" s="49"/>
    </row>
    <row r="1406" spans="1:11" x14ac:dyDescent="0.25">
      <c r="A1406" s="46" t="str" cm="1">
        <f t="array" ref="A1406">IFERROR(INDEX(#REF!,MATCH(TRUE,ISNUMBER(FIND(SUBSTITUTE(SUBSTITUTE(UPPER(#REF!)," ",""),":",": "),SUBSTITUTE(SUBSTITUTE(UPPER(S1406)," ",""),":",": "))),0)),"Undefined")</f>
        <v>Undefined</v>
      </c>
      <c r="B1406" s="42" t="str" cm="1">
        <f t="array" ref="B1406">IFERROR(INDEX({"URGENTE"},MATCH(TRUE,ISNUMBER(FIND(SUBSTITUTE(SUBSTITUTE(UPPER({"URGENTE"})," ",""),":",": "),SUBSTITUTE(SUBSTITUTE(UPPER(S1406)," ",""),":",": "))),0)),"-")</f>
        <v>-</v>
      </c>
      <c r="C1406" s="46" t="str" cm="1">
        <f t="array" ref="C1406">IFERROR(INDEX(#REF!,MATCH(TRUE,ISNUMBER(FIND(SUBSTITUTE(SUBSTITUTE(UPPER(#REF!)," ",""),":",": "),SUBSTITUTE(SUBSTITUTE(UPPER(S1406)," ",""),":",": "))),0)),"Não encontrado")</f>
        <v>Não encontrado</v>
      </c>
      <c r="D1406" s="46" t="str" cm="1">
        <f t="array" ref="D1406">IFERROR(INDEX(#REF!,MATCH(TRUE,ISNUMBER(FIND(SUBSTITUTE(SUBSTITUTE(UPPER(#REF!)," ",""),":",": "),SUBSTITUTE(SUBSTITUTE(UPPER(S1406)," ",""),":",": "))),0)),"Não encontrado")</f>
        <v>Não encontrado</v>
      </c>
      <c r="E1406" s="42" t="str" cm="1">
        <f t="array" ref="E1406">IFERROR(INDEX({"IMPEDITIVO"},MATCH(TRUE,ISNUMBER(FIND(SUBSTITUTE(SUBSTITUTE(UPPER({"IMPEDITIVO"})," ",""),":",": "),SUBSTITUTE(SUBSTITUTE(UPPER(S1406)," ",""),":",": "))),0)),"-")</f>
        <v>-</v>
      </c>
      <c r="K1406" s="49"/>
    </row>
    <row r="1407" spans="1:11" x14ac:dyDescent="0.25">
      <c r="A1407" s="46" t="str" cm="1">
        <f t="array" ref="A1407">IFERROR(INDEX(#REF!,MATCH(TRUE,ISNUMBER(FIND(SUBSTITUTE(SUBSTITUTE(UPPER(#REF!)," ",""),":",": "),SUBSTITUTE(SUBSTITUTE(UPPER(S1407)," ",""),":",": "))),0)),"Undefined")</f>
        <v>Undefined</v>
      </c>
      <c r="B1407" s="42" t="str" cm="1">
        <f t="array" ref="B1407">IFERROR(INDEX({"URGENTE"},MATCH(TRUE,ISNUMBER(FIND(SUBSTITUTE(SUBSTITUTE(UPPER({"URGENTE"})," ",""),":",": "),SUBSTITUTE(SUBSTITUTE(UPPER(S1407)," ",""),":",": "))),0)),"-")</f>
        <v>-</v>
      </c>
      <c r="C1407" s="46" t="str" cm="1">
        <f t="array" ref="C1407">IFERROR(INDEX(#REF!,MATCH(TRUE,ISNUMBER(FIND(SUBSTITUTE(SUBSTITUTE(UPPER(#REF!)," ",""),":",": "),SUBSTITUTE(SUBSTITUTE(UPPER(S1407)," ",""),":",": "))),0)),"Não encontrado")</f>
        <v>Não encontrado</v>
      </c>
      <c r="D1407" s="46" t="str" cm="1">
        <f t="array" ref="D1407">IFERROR(INDEX(#REF!,MATCH(TRUE,ISNUMBER(FIND(SUBSTITUTE(SUBSTITUTE(UPPER(#REF!)," ",""),":",": "),SUBSTITUTE(SUBSTITUTE(UPPER(S1407)," ",""),":",": "))),0)),"Não encontrado")</f>
        <v>Não encontrado</v>
      </c>
      <c r="E1407" s="42" t="str" cm="1">
        <f t="array" ref="E1407">IFERROR(INDEX({"IMPEDITIVO"},MATCH(TRUE,ISNUMBER(FIND(SUBSTITUTE(SUBSTITUTE(UPPER({"IMPEDITIVO"})," ",""),":",": "),SUBSTITUTE(SUBSTITUTE(UPPER(S1407)," ",""),":",": "))),0)),"-")</f>
        <v>-</v>
      </c>
      <c r="K1407" s="49"/>
    </row>
    <row r="1408" spans="1:11" x14ac:dyDescent="0.25">
      <c r="A1408" s="46" t="str" cm="1">
        <f t="array" ref="A1408">IFERROR(INDEX(#REF!,MATCH(TRUE,ISNUMBER(FIND(SUBSTITUTE(SUBSTITUTE(UPPER(#REF!)," ",""),":",": "),SUBSTITUTE(SUBSTITUTE(UPPER(S1408)," ",""),":",": "))),0)),"Undefined")</f>
        <v>Undefined</v>
      </c>
      <c r="B1408" s="42" t="str" cm="1">
        <f t="array" ref="B1408">IFERROR(INDEX({"URGENTE"},MATCH(TRUE,ISNUMBER(FIND(SUBSTITUTE(SUBSTITUTE(UPPER({"URGENTE"})," ",""),":",": "),SUBSTITUTE(SUBSTITUTE(UPPER(S1408)," ",""),":",": "))),0)),"-")</f>
        <v>-</v>
      </c>
      <c r="C1408" s="46" t="str" cm="1">
        <f t="array" ref="C1408">IFERROR(INDEX(#REF!,MATCH(TRUE,ISNUMBER(FIND(SUBSTITUTE(SUBSTITUTE(UPPER(#REF!)," ",""),":",": "),SUBSTITUTE(SUBSTITUTE(UPPER(S1408)," ",""),":",": "))),0)),"Não encontrado")</f>
        <v>Não encontrado</v>
      </c>
      <c r="D1408" s="46" t="str" cm="1">
        <f t="array" ref="D1408">IFERROR(INDEX(#REF!,MATCH(TRUE,ISNUMBER(FIND(SUBSTITUTE(SUBSTITUTE(UPPER(#REF!)," ",""),":",": "),SUBSTITUTE(SUBSTITUTE(UPPER(S1408)," ",""),":",": "))),0)),"Não encontrado")</f>
        <v>Não encontrado</v>
      </c>
      <c r="E1408" s="42" t="str" cm="1">
        <f t="array" ref="E1408">IFERROR(INDEX({"IMPEDITIVO"},MATCH(TRUE,ISNUMBER(FIND(SUBSTITUTE(SUBSTITUTE(UPPER({"IMPEDITIVO"})," ",""),":",": "),SUBSTITUTE(SUBSTITUTE(UPPER(S1408)," ",""),":",": "))),0)),"-")</f>
        <v>-</v>
      </c>
      <c r="K1408" s="49"/>
    </row>
    <row r="1409" spans="1:11" x14ac:dyDescent="0.25">
      <c r="A1409" s="46" t="str" cm="1">
        <f t="array" ref="A1409">IFERROR(INDEX(#REF!,MATCH(TRUE,ISNUMBER(FIND(SUBSTITUTE(SUBSTITUTE(UPPER(#REF!)," ",""),":",": "),SUBSTITUTE(SUBSTITUTE(UPPER(S1409)," ",""),":",": "))),0)),"Undefined")</f>
        <v>Undefined</v>
      </c>
      <c r="B1409" s="42" t="str" cm="1">
        <f t="array" ref="B1409">IFERROR(INDEX({"URGENTE"},MATCH(TRUE,ISNUMBER(FIND(SUBSTITUTE(SUBSTITUTE(UPPER({"URGENTE"})," ",""),":",": "),SUBSTITUTE(SUBSTITUTE(UPPER(S1409)," ",""),":",": "))),0)),"-")</f>
        <v>-</v>
      </c>
      <c r="C1409" s="46" t="str" cm="1">
        <f t="array" ref="C1409">IFERROR(INDEX(#REF!,MATCH(TRUE,ISNUMBER(FIND(SUBSTITUTE(SUBSTITUTE(UPPER(#REF!)," ",""),":",": "),SUBSTITUTE(SUBSTITUTE(UPPER(S1409)," ",""),":",": "))),0)),"Não encontrado")</f>
        <v>Não encontrado</v>
      </c>
      <c r="D1409" s="46" t="str" cm="1">
        <f t="array" ref="D1409">IFERROR(INDEX(#REF!,MATCH(TRUE,ISNUMBER(FIND(SUBSTITUTE(SUBSTITUTE(UPPER(#REF!)," ",""),":",": "),SUBSTITUTE(SUBSTITUTE(UPPER(S1409)," ",""),":",": "))),0)),"Não encontrado")</f>
        <v>Não encontrado</v>
      </c>
      <c r="E1409" s="42" t="str" cm="1">
        <f t="array" ref="E1409">IFERROR(INDEX({"IMPEDITIVO"},MATCH(TRUE,ISNUMBER(FIND(SUBSTITUTE(SUBSTITUTE(UPPER({"IMPEDITIVO"})," ",""),":",": "),SUBSTITUTE(SUBSTITUTE(UPPER(S1409)," ",""),":",": "))),0)),"-")</f>
        <v>-</v>
      </c>
      <c r="K1409" s="49"/>
    </row>
    <row r="1410" spans="1:11" x14ac:dyDescent="0.25">
      <c r="A1410" s="46" t="str" cm="1">
        <f t="array" ref="A1410">IFERROR(INDEX(#REF!,MATCH(TRUE,ISNUMBER(FIND(SUBSTITUTE(SUBSTITUTE(UPPER(#REF!)," ",""),":",": "),SUBSTITUTE(SUBSTITUTE(UPPER(S1410)," ",""),":",": "))),0)),"Undefined")</f>
        <v>Undefined</v>
      </c>
      <c r="B1410" s="42" t="str" cm="1">
        <f t="array" ref="B1410">IFERROR(INDEX({"URGENTE"},MATCH(TRUE,ISNUMBER(FIND(SUBSTITUTE(SUBSTITUTE(UPPER({"URGENTE"})," ",""),":",": "),SUBSTITUTE(SUBSTITUTE(UPPER(S1410)," ",""),":",": "))),0)),"-")</f>
        <v>-</v>
      </c>
      <c r="C1410" s="46" t="str" cm="1">
        <f t="array" ref="C1410">IFERROR(INDEX(#REF!,MATCH(TRUE,ISNUMBER(FIND(SUBSTITUTE(SUBSTITUTE(UPPER(#REF!)," ",""),":",": "),SUBSTITUTE(SUBSTITUTE(UPPER(S1410)," ",""),":",": "))),0)),"Não encontrado")</f>
        <v>Não encontrado</v>
      </c>
      <c r="D1410" s="46" t="str" cm="1">
        <f t="array" ref="D1410">IFERROR(INDEX(#REF!,MATCH(TRUE,ISNUMBER(FIND(SUBSTITUTE(SUBSTITUTE(UPPER(#REF!)," ",""),":",": "),SUBSTITUTE(SUBSTITUTE(UPPER(S1410)," ",""),":",": "))),0)),"Não encontrado")</f>
        <v>Não encontrado</v>
      </c>
      <c r="E1410" s="42" t="str" cm="1">
        <f t="array" ref="E1410">IFERROR(INDEX({"IMPEDITIVO"},MATCH(TRUE,ISNUMBER(FIND(SUBSTITUTE(SUBSTITUTE(UPPER({"IMPEDITIVO"})," ",""),":",": "),SUBSTITUTE(SUBSTITUTE(UPPER(S1410)," ",""),":",": "))),0)),"-")</f>
        <v>-</v>
      </c>
      <c r="K1410" s="49"/>
    </row>
    <row r="1411" spans="1:11" x14ac:dyDescent="0.25">
      <c r="A1411" s="46" t="str" cm="1">
        <f t="array" ref="A1411">IFERROR(INDEX(#REF!,MATCH(TRUE,ISNUMBER(FIND(SUBSTITUTE(SUBSTITUTE(UPPER(#REF!)," ",""),":",": "),SUBSTITUTE(SUBSTITUTE(UPPER(S1411)," ",""),":",": "))),0)),"Undefined")</f>
        <v>Undefined</v>
      </c>
      <c r="B1411" s="42" t="str" cm="1">
        <f t="array" ref="B1411">IFERROR(INDEX({"URGENTE"},MATCH(TRUE,ISNUMBER(FIND(SUBSTITUTE(SUBSTITUTE(UPPER({"URGENTE"})," ",""),":",": "),SUBSTITUTE(SUBSTITUTE(UPPER(S1411)," ",""),":",": "))),0)),"-")</f>
        <v>-</v>
      </c>
      <c r="C1411" s="46" t="str" cm="1">
        <f t="array" ref="C1411">IFERROR(INDEX(#REF!,MATCH(TRUE,ISNUMBER(FIND(SUBSTITUTE(SUBSTITUTE(UPPER(#REF!)," ",""),":",": "),SUBSTITUTE(SUBSTITUTE(UPPER(S1411)," ",""),":",": "))),0)),"Não encontrado")</f>
        <v>Não encontrado</v>
      </c>
      <c r="D1411" s="46" t="str" cm="1">
        <f t="array" ref="D1411">IFERROR(INDEX(#REF!,MATCH(TRUE,ISNUMBER(FIND(SUBSTITUTE(SUBSTITUTE(UPPER(#REF!)," ",""),":",": "),SUBSTITUTE(SUBSTITUTE(UPPER(S1411)," ",""),":",": "))),0)),"Não encontrado")</f>
        <v>Não encontrado</v>
      </c>
      <c r="E1411" s="42" t="str" cm="1">
        <f t="array" ref="E1411">IFERROR(INDEX({"IMPEDITIVO"},MATCH(TRUE,ISNUMBER(FIND(SUBSTITUTE(SUBSTITUTE(UPPER({"IMPEDITIVO"})," ",""),":",": "),SUBSTITUTE(SUBSTITUTE(UPPER(S1411)," ",""),":",": "))),0)),"-")</f>
        <v>-</v>
      </c>
      <c r="K1411" s="49"/>
    </row>
    <row r="1412" spans="1:11" x14ac:dyDescent="0.25">
      <c r="A1412" s="46" t="str" cm="1">
        <f t="array" ref="A1412">IFERROR(INDEX(#REF!,MATCH(TRUE,ISNUMBER(FIND(SUBSTITUTE(SUBSTITUTE(UPPER(#REF!)," ",""),":",": "),SUBSTITUTE(SUBSTITUTE(UPPER(S1412)," ",""),":",": "))),0)),"Undefined")</f>
        <v>Undefined</v>
      </c>
      <c r="B1412" s="42" t="str" cm="1">
        <f t="array" ref="B1412">IFERROR(INDEX({"URGENTE"},MATCH(TRUE,ISNUMBER(FIND(SUBSTITUTE(SUBSTITUTE(UPPER({"URGENTE"})," ",""),":",": "),SUBSTITUTE(SUBSTITUTE(UPPER(S1412)," ",""),":",": "))),0)),"-")</f>
        <v>-</v>
      </c>
      <c r="C1412" s="46" t="str" cm="1">
        <f t="array" ref="C1412">IFERROR(INDEX(#REF!,MATCH(TRUE,ISNUMBER(FIND(SUBSTITUTE(SUBSTITUTE(UPPER(#REF!)," ",""),":",": "),SUBSTITUTE(SUBSTITUTE(UPPER(S1412)," ",""),":",": "))),0)),"Não encontrado")</f>
        <v>Não encontrado</v>
      </c>
      <c r="D1412" s="46" t="str" cm="1">
        <f t="array" ref="D1412">IFERROR(INDEX(#REF!,MATCH(TRUE,ISNUMBER(FIND(SUBSTITUTE(SUBSTITUTE(UPPER(#REF!)," ",""),":",": "),SUBSTITUTE(SUBSTITUTE(UPPER(S1412)," ",""),":",": "))),0)),"Não encontrado")</f>
        <v>Não encontrado</v>
      </c>
      <c r="E1412" s="42" t="str" cm="1">
        <f t="array" ref="E1412">IFERROR(INDEX({"IMPEDITIVO"},MATCH(TRUE,ISNUMBER(FIND(SUBSTITUTE(SUBSTITUTE(UPPER({"IMPEDITIVO"})," ",""),":",": "),SUBSTITUTE(SUBSTITUTE(UPPER(S1412)," ",""),":",": "))),0)),"-")</f>
        <v>-</v>
      </c>
      <c r="K1412" s="49"/>
    </row>
    <row r="1413" spans="1:11" x14ac:dyDescent="0.25">
      <c r="A1413" s="46" t="str" cm="1">
        <f t="array" ref="A1413">IFERROR(INDEX(#REF!,MATCH(TRUE,ISNUMBER(FIND(SUBSTITUTE(SUBSTITUTE(UPPER(#REF!)," ",""),":",": "),SUBSTITUTE(SUBSTITUTE(UPPER(S1413)," ",""),":",": "))),0)),"Undefined")</f>
        <v>Undefined</v>
      </c>
      <c r="B1413" s="42" t="str" cm="1">
        <f t="array" ref="B1413">IFERROR(INDEX({"URGENTE"},MATCH(TRUE,ISNUMBER(FIND(SUBSTITUTE(SUBSTITUTE(UPPER({"URGENTE"})," ",""),":",": "),SUBSTITUTE(SUBSTITUTE(UPPER(S1413)," ",""),":",": "))),0)),"-")</f>
        <v>-</v>
      </c>
      <c r="C1413" s="46" t="str" cm="1">
        <f t="array" ref="C1413">IFERROR(INDEX(#REF!,MATCH(TRUE,ISNUMBER(FIND(SUBSTITUTE(SUBSTITUTE(UPPER(#REF!)," ",""),":",": "),SUBSTITUTE(SUBSTITUTE(UPPER(S1413)," ",""),":",": "))),0)),"Não encontrado")</f>
        <v>Não encontrado</v>
      </c>
      <c r="D1413" s="46" t="str" cm="1">
        <f t="array" ref="D1413">IFERROR(INDEX(#REF!,MATCH(TRUE,ISNUMBER(FIND(SUBSTITUTE(SUBSTITUTE(UPPER(#REF!)," ",""),":",": "),SUBSTITUTE(SUBSTITUTE(UPPER(S1413)," ",""),":",": "))),0)),"Não encontrado")</f>
        <v>Não encontrado</v>
      </c>
      <c r="E1413" s="42" t="str" cm="1">
        <f t="array" ref="E1413">IFERROR(INDEX({"IMPEDITIVO"},MATCH(TRUE,ISNUMBER(FIND(SUBSTITUTE(SUBSTITUTE(UPPER({"IMPEDITIVO"})," ",""),":",": "),SUBSTITUTE(SUBSTITUTE(UPPER(S1413)," ",""),":",": "))),0)),"-")</f>
        <v>-</v>
      </c>
      <c r="K1413" s="49"/>
    </row>
    <row r="1414" spans="1:11" x14ac:dyDescent="0.25">
      <c r="A1414" s="46" t="str" cm="1">
        <f t="array" ref="A1414">IFERROR(INDEX(#REF!,MATCH(TRUE,ISNUMBER(FIND(SUBSTITUTE(SUBSTITUTE(UPPER(#REF!)," ",""),":",": "),SUBSTITUTE(SUBSTITUTE(UPPER(S1414)," ",""),":",": "))),0)),"Undefined")</f>
        <v>Undefined</v>
      </c>
      <c r="B1414" s="42" t="str" cm="1">
        <f t="array" ref="B1414">IFERROR(INDEX({"URGENTE"},MATCH(TRUE,ISNUMBER(FIND(SUBSTITUTE(SUBSTITUTE(UPPER({"URGENTE"})," ",""),":",": "),SUBSTITUTE(SUBSTITUTE(UPPER(S1414)," ",""),":",": "))),0)),"-")</f>
        <v>-</v>
      </c>
      <c r="C1414" s="46" t="str" cm="1">
        <f t="array" ref="C1414">IFERROR(INDEX(#REF!,MATCH(TRUE,ISNUMBER(FIND(SUBSTITUTE(SUBSTITUTE(UPPER(#REF!)," ",""),":",": "),SUBSTITUTE(SUBSTITUTE(UPPER(S1414)," ",""),":",": "))),0)),"Não encontrado")</f>
        <v>Não encontrado</v>
      </c>
      <c r="D1414" s="46" t="str" cm="1">
        <f t="array" ref="D1414">IFERROR(INDEX(#REF!,MATCH(TRUE,ISNUMBER(FIND(SUBSTITUTE(SUBSTITUTE(UPPER(#REF!)," ",""),":",": "),SUBSTITUTE(SUBSTITUTE(UPPER(S1414)," ",""),":",": "))),0)),"Não encontrado")</f>
        <v>Não encontrado</v>
      </c>
      <c r="E1414" s="42" t="str" cm="1">
        <f t="array" ref="E1414">IFERROR(INDEX({"IMPEDITIVO"},MATCH(TRUE,ISNUMBER(FIND(SUBSTITUTE(SUBSTITUTE(UPPER({"IMPEDITIVO"})," ",""),":",": "),SUBSTITUTE(SUBSTITUTE(UPPER(S1414)," ",""),":",": "))),0)),"-")</f>
        <v>-</v>
      </c>
      <c r="K1414" s="49"/>
    </row>
    <row r="1415" spans="1:11" x14ac:dyDescent="0.25">
      <c r="A1415" s="46" t="str" cm="1">
        <f t="array" ref="A1415">IFERROR(INDEX(#REF!,MATCH(TRUE,ISNUMBER(FIND(SUBSTITUTE(SUBSTITUTE(UPPER(#REF!)," ",""),":",": "),SUBSTITUTE(SUBSTITUTE(UPPER(S1415)," ",""),":",": "))),0)),"Undefined")</f>
        <v>Undefined</v>
      </c>
      <c r="B1415" s="42" t="str" cm="1">
        <f t="array" ref="B1415">IFERROR(INDEX({"URGENTE"},MATCH(TRUE,ISNUMBER(FIND(SUBSTITUTE(SUBSTITUTE(UPPER({"URGENTE"})," ",""),":",": "),SUBSTITUTE(SUBSTITUTE(UPPER(S1415)," ",""),":",": "))),0)),"-")</f>
        <v>-</v>
      </c>
      <c r="C1415" s="46" t="str" cm="1">
        <f t="array" ref="C1415">IFERROR(INDEX(#REF!,MATCH(TRUE,ISNUMBER(FIND(SUBSTITUTE(SUBSTITUTE(UPPER(#REF!)," ",""),":",": "),SUBSTITUTE(SUBSTITUTE(UPPER(S1415)," ",""),":",": "))),0)),"Não encontrado")</f>
        <v>Não encontrado</v>
      </c>
      <c r="D1415" s="46" t="str" cm="1">
        <f t="array" ref="D1415">IFERROR(INDEX(#REF!,MATCH(TRUE,ISNUMBER(FIND(SUBSTITUTE(SUBSTITUTE(UPPER(#REF!)," ",""),":",": "),SUBSTITUTE(SUBSTITUTE(UPPER(S1415)," ",""),":",": "))),0)),"Não encontrado")</f>
        <v>Não encontrado</v>
      </c>
      <c r="E1415" s="42" t="str" cm="1">
        <f t="array" ref="E1415">IFERROR(INDEX({"IMPEDITIVO"},MATCH(TRUE,ISNUMBER(FIND(SUBSTITUTE(SUBSTITUTE(UPPER({"IMPEDITIVO"})," ",""),":",": "),SUBSTITUTE(SUBSTITUTE(UPPER(S1415)," ",""),":",": "))),0)),"-")</f>
        <v>-</v>
      </c>
      <c r="K1415" s="49"/>
    </row>
    <row r="1416" spans="1:11" x14ac:dyDescent="0.25">
      <c r="A1416" s="46" t="str" cm="1">
        <f t="array" ref="A1416">IFERROR(INDEX(#REF!,MATCH(TRUE,ISNUMBER(FIND(SUBSTITUTE(SUBSTITUTE(UPPER(#REF!)," ",""),":",": "),SUBSTITUTE(SUBSTITUTE(UPPER(S1416)," ",""),":",": "))),0)),"Undefined")</f>
        <v>Undefined</v>
      </c>
      <c r="B1416" s="42" t="str" cm="1">
        <f t="array" ref="B1416">IFERROR(INDEX({"URGENTE"},MATCH(TRUE,ISNUMBER(FIND(SUBSTITUTE(SUBSTITUTE(UPPER({"URGENTE"})," ",""),":",": "),SUBSTITUTE(SUBSTITUTE(UPPER(S1416)," ",""),":",": "))),0)),"-")</f>
        <v>-</v>
      </c>
      <c r="C1416" s="46" t="str" cm="1">
        <f t="array" ref="C1416">IFERROR(INDEX(#REF!,MATCH(TRUE,ISNUMBER(FIND(SUBSTITUTE(SUBSTITUTE(UPPER(#REF!)," ",""),":",": "),SUBSTITUTE(SUBSTITUTE(UPPER(S1416)," ",""),":",": "))),0)),"Não encontrado")</f>
        <v>Não encontrado</v>
      </c>
      <c r="D1416" s="46" t="str" cm="1">
        <f t="array" ref="D1416">IFERROR(INDEX(#REF!,MATCH(TRUE,ISNUMBER(FIND(SUBSTITUTE(SUBSTITUTE(UPPER(#REF!)," ",""),":",": "),SUBSTITUTE(SUBSTITUTE(UPPER(S1416)," ",""),":",": "))),0)),"Não encontrado")</f>
        <v>Não encontrado</v>
      </c>
      <c r="E1416" s="42" t="str" cm="1">
        <f t="array" ref="E1416">IFERROR(INDEX({"IMPEDITIVO"},MATCH(TRUE,ISNUMBER(FIND(SUBSTITUTE(SUBSTITUTE(UPPER({"IMPEDITIVO"})," ",""),":",": "),SUBSTITUTE(SUBSTITUTE(UPPER(S1416)," ",""),":",": "))),0)),"-")</f>
        <v>-</v>
      </c>
      <c r="K1416" s="49"/>
    </row>
    <row r="1417" spans="1:11" x14ac:dyDescent="0.25">
      <c r="A1417" s="46" t="str" cm="1">
        <f t="array" ref="A1417">IFERROR(INDEX(#REF!,MATCH(TRUE,ISNUMBER(FIND(SUBSTITUTE(SUBSTITUTE(UPPER(#REF!)," ",""),":",": "),SUBSTITUTE(SUBSTITUTE(UPPER(S1417)," ",""),":",": "))),0)),"Undefined")</f>
        <v>Undefined</v>
      </c>
      <c r="B1417" s="42" t="str" cm="1">
        <f t="array" ref="B1417">IFERROR(INDEX({"URGENTE"},MATCH(TRUE,ISNUMBER(FIND(SUBSTITUTE(SUBSTITUTE(UPPER({"URGENTE"})," ",""),":",": "),SUBSTITUTE(SUBSTITUTE(UPPER(S1417)," ",""),":",": "))),0)),"-")</f>
        <v>-</v>
      </c>
      <c r="C1417" s="46" t="str" cm="1">
        <f t="array" ref="C1417">IFERROR(INDEX(#REF!,MATCH(TRUE,ISNUMBER(FIND(SUBSTITUTE(SUBSTITUTE(UPPER(#REF!)," ",""),":",": "),SUBSTITUTE(SUBSTITUTE(UPPER(S1417)," ",""),":",": "))),0)),"Não encontrado")</f>
        <v>Não encontrado</v>
      </c>
      <c r="D1417" s="46" t="str" cm="1">
        <f t="array" ref="D1417">IFERROR(INDEX(#REF!,MATCH(TRUE,ISNUMBER(FIND(SUBSTITUTE(SUBSTITUTE(UPPER(#REF!)," ",""),":",": "),SUBSTITUTE(SUBSTITUTE(UPPER(S1417)," ",""),":",": "))),0)),"Não encontrado")</f>
        <v>Não encontrado</v>
      </c>
      <c r="E1417" s="42" t="str" cm="1">
        <f t="array" ref="E1417">IFERROR(INDEX({"IMPEDITIVO"},MATCH(TRUE,ISNUMBER(FIND(SUBSTITUTE(SUBSTITUTE(UPPER({"IMPEDITIVO"})," ",""),":",": "),SUBSTITUTE(SUBSTITUTE(UPPER(S1417)," ",""),":",": "))),0)),"-")</f>
        <v>-</v>
      </c>
      <c r="K1417" s="49"/>
    </row>
    <row r="1418" spans="1:11" x14ac:dyDescent="0.25">
      <c r="A1418" s="46" t="str" cm="1">
        <f t="array" ref="A1418">IFERROR(INDEX(#REF!,MATCH(TRUE,ISNUMBER(FIND(SUBSTITUTE(SUBSTITUTE(UPPER(#REF!)," ",""),":",": "),SUBSTITUTE(SUBSTITUTE(UPPER(S1418)," ",""),":",": "))),0)),"Undefined")</f>
        <v>Undefined</v>
      </c>
      <c r="B1418" s="42" t="str" cm="1">
        <f t="array" ref="B1418">IFERROR(INDEX({"URGENTE"},MATCH(TRUE,ISNUMBER(FIND(SUBSTITUTE(SUBSTITUTE(UPPER({"URGENTE"})," ",""),":",": "),SUBSTITUTE(SUBSTITUTE(UPPER(S1418)," ",""),":",": "))),0)),"-")</f>
        <v>-</v>
      </c>
      <c r="C1418" s="46" t="str" cm="1">
        <f t="array" ref="C1418">IFERROR(INDEX(#REF!,MATCH(TRUE,ISNUMBER(FIND(SUBSTITUTE(SUBSTITUTE(UPPER(#REF!)," ",""),":",": "),SUBSTITUTE(SUBSTITUTE(UPPER(S1418)," ",""),":",": "))),0)),"Não encontrado")</f>
        <v>Não encontrado</v>
      </c>
      <c r="D1418" s="46" t="str" cm="1">
        <f t="array" ref="D1418">IFERROR(INDEX(#REF!,MATCH(TRUE,ISNUMBER(FIND(SUBSTITUTE(SUBSTITUTE(UPPER(#REF!)," ",""),":",": "),SUBSTITUTE(SUBSTITUTE(UPPER(S1418)," ",""),":",": "))),0)),"Não encontrado")</f>
        <v>Não encontrado</v>
      </c>
      <c r="E1418" s="42" t="str" cm="1">
        <f t="array" ref="E1418">IFERROR(INDEX({"IMPEDITIVO"},MATCH(TRUE,ISNUMBER(FIND(SUBSTITUTE(SUBSTITUTE(UPPER({"IMPEDITIVO"})," ",""),":",": "),SUBSTITUTE(SUBSTITUTE(UPPER(S1418)," ",""),":",": "))),0)),"-")</f>
        <v>-</v>
      </c>
      <c r="K1418" s="49"/>
    </row>
    <row r="1419" spans="1:11" x14ac:dyDescent="0.25">
      <c r="A1419" s="46" t="str" cm="1">
        <f t="array" ref="A1419">IFERROR(INDEX(#REF!,MATCH(TRUE,ISNUMBER(FIND(SUBSTITUTE(SUBSTITUTE(UPPER(#REF!)," ",""),":",": "),SUBSTITUTE(SUBSTITUTE(UPPER(S1419)," ",""),":",": "))),0)),"Undefined")</f>
        <v>Undefined</v>
      </c>
      <c r="B1419" s="42" t="str" cm="1">
        <f t="array" ref="B1419">IFERROR(INDEX({"URGENTE"},MATCH(TRUE,ISNUMBER(FIND(SUBSTITUTE(SUBSTITUTE(UPPER({"URGENTE"})," ",""),":",": "),SUBSTITUTE(SUBSTITUTE(UPPER(S1419)," ",""),":",": "))),0)),"-")</f>
        <v>-</v>
      </c>
      <c r="C1419" s="46" t="str" cm="1">
        <f t="array" ref="C1419">IFERROR(INDEX(#REF!,MATCH(TRUE,ISNUMBER(FIND(SUBSTITUTE(SUBSTITUTE(UPPER(#REF!)," ",""),":",": "),SUBSTITUTE(SUBSTITUTE(UPPER(S1419)," ",""),":",": "))),0)),"Não encontrado")</f>
        <v>Não encontrado</v>
      </c>
      <c r="D1419" s="46" t="str" cm="1">
        <f t="array" ref="D1419">IFERROR(INDEX(#REF!,MATCH(TRUE,ISNUMBER(FIND(SUBSTITUTE(SUBSTITUTE(UPPER(#REF!)," ",""),":",": "),SUBSTITUTE(SUBSTITUTE(UPPER(S1419)," ",""),":",": "))),0)),"Não encontrado")</f>
        <v>Não encontrado</v>
      </c>
      <c r="E1419" s="42" t="str" cm="1">
        <f t="array" ref="E1419">IFERROR(INDEX({"IMPEDITIVO"},MATCH(TRUE,ISNUMBER(FIND(SUBSTITUTE(SUBSTITUTE(UPPER({"IMPEDITIVO"})," ",""),":",": "),SUBSTITUTE(SUBSTITUTE(UPPER(S1419)," ",""),":",": "))),0)),"-")</f>
        <v>-</v>
      </c>
      <c r="K1419" s="49"/>
    </row>
    <row r="1420" spans="1:11" x14ac:dyDescent="0.25">
      <c r="A1420" s="46" t="str" cm="1">
        <f t="array" ref="A1420">IFERROR(INDEX(#REF!,MATCH(TRUE,ISNUMBER(FIND(SUBSTITUTE(SUBSTITUTE(UPPER(#REF!)," ",""),":",": "),SUBSTITUTE(SUBSTITUTE(UPPER(S1420)," ",""),":",": "))),0)),"Undefined")</f>
        <v>Undefined</v>
      </c>
      <c r="B1420" s="42" t="str" cm="1">
        <f t="array" ref="B1420">IFERROR(INDEX({"URGENTE"},MATCH(TRUE,ISNUMBER(FIND(SUBSTITUTE(SUBSTITUTE(UPPER({"URGENTE"})," ",""),":",": "),SUBSTITUTE(SUBSTITUTE(UPPER(S1420)," ",""),":",": "))),0)),"-")</f>
        <v>-</v>
      </c>
      <c r="C1420" s="46" t="str" cm="1">
        <f t="array" ref="C1420">IFERROR(INDEX(#REF!,MATCH(TRUE,ISNUMBER(FIND(SUBSTITUTE(SUBSTITUTE(UPPER(#REF!)," ",""),":",": "),SUBSTITUTE(SUBSTITUTE(UPPER(S1420)," ",""),":",": "))),0)),"Não encontrado")</f>
        <v>Não encontrado</v>
      </c>
      <c r="D1420" s="46" t="str" cm="1">
        <f t="array" ref="D1420">IFERROR(INDEX(#REF!,MATCH(TRUE,ISNUMBER(FIND(SUBSTITUTE(SUBSTITUTE(UPPER(#REF!)," ",""),":",": "),SUBSTITUTE(SUBSTITUTE(UPPER(S1420)," ",""),":",": "))),0)),"Não encontrado")</f>
        <v>Não encontrado</v>
      </c>
      <c r="E1420" s="42" t="str" cm="1">
        <f t="array" ref="E1420">IFERROR(INDEX({"IMPEDITIVO"},MATCH(TRUE,ISNUMBER(FIND(SUBSTITUTE(SUBSTITUTE(UPPER({"IMPEDITIVO"})," ",""),":",": "),SUBSTITUTE(SUBSTITUTE(UPPER(S1420)," ",""),":",": "))),0)),"-")</f>
        <v>-</v>
      </c>
      <c r="K1420" s="49"/>
    </row>
    <row r="1421" spans="1:11" x14ac:dyDescent="0.25">
      <c r="A1421" s="46" t="str" cm="1">
        <f t="array" ref="A1421">IFERROR(INDEX(#REF!,MATCH(TRUE,ISNUMBER(FIND(SUBSTITUTE(SUBSTITUTE(UPPER(#REF!)," ",""),":",": "),SUBSTITUTE(SUBSTITUTE(UPPER(S1421)," ",""),":",": "))),0)),"Undefined")</f>
        <v>Undefined</v>
      </c>
      <c r="B1421" s="42" t="str" cm="1">
        <f t="array" ref="B1421">IFERROR(INDEX({"URGENTE"},MATCH(TRUE,ISNUMBER(FIND(SUBSTITUTE(SUBSTITUTE(UPPER({"URGENTE"})," ",""),":",": "),SUBSTITUTE(SUBSTITUTE(UPPER(S1421)," ",""),":",": "))),0)),"-")</f>
        <v>-</v>
      </c>
      <c r="C1421" s="46" t="str" cm="1">
        <f t="array" ref="C1421">IFERROR(INDEX(#REF!,MATCH(TRUE,ISNUMBER(FIND(SUBSTITUTE(SUBSTITUTE(UPPER(#REF!)," ",""),":",": "),SUBSTITUTE(SUBSTITUTE(UPPER(S1421)," ",""),":",": "))),0)),"Não encontrado")</f>
        <v>Não encontrado</v>
      </c>
      <c r="D1421" s="46" t="str" cm="1">
        <f t="array" ref="D1421">IFERROR(INDEX(#REF!,MATCH(TRUE,ISNUMBER(FIND(SUBSTITUTE(SUBSTITUTE(UPPER(#REF!)," ",""),":",": "),SUBSTITUTE(SUBSTITUTE(UPPER(S1421)," ",""),":",": "))),0)),"Não encontrado")</f>
        <v>Não encontrado</v>
      </c>
      <c r="E1421" s="42" t="str" cm="1">
        <f t="array" ref="E1421">IFERROR(INDEX({"IMPEDITIVO"},MATCH(TRUE,ISNUMBER(FIND(SUBSTITUTE(SUBSTITUTE(UPPER({"IMPEDITIVO"})," ",""),":",": "),SUBSTITUTE(SUBSTITUTE(UPPER(S1421)," ",""),":",": "))),0)),"-")</f>
        <v>-</v>
      </c>
      <c r="K1421" s="49"/>
    </row>
    <row r="1422" spans="1:11" x14ac:dyDescent="0.25">
      <c r="A1422" s="46" t="str" cm="1">
        <f t="array" ref="A1422">IFERROR(INDEX(#REF!,MATCH(TRUE,ISNUMBER(FIND(SUBSTITUTE(SUBSTITUTE(UPPER(#REF!)," ",""),":",": "),SUBSTITUTE(SUBSTITUTE(UPPER(S1422)," ",""),":",": "))),0)),"Undefined")</f>
        <v>Undefined</v>
      </c>
      <c r="B1422" s="42" t="str" cm="1">
        <f t="array" ref="B1422">IFERROR(INDEX({"URGENTE"},MATCH(TRUE,ISNUMBER(FIND(SUBSTITUTE(SUBSTITUTE(UPPER({"URGENTE"})," ",""),":",": "),SUBSTITUTE(SUBSTITUTE(UPPER(S1422)," ",""),":",": "))),0)),"-")</f>
        <v>-</v>
      </c>
      <c r="C1422" s="46" t="str" cm="1">
        <f t="array" ref="C1422">IFERROR(INDEX(#REF!,MATCH(TRUE,ISNUMBER(FIND(SUBSTITUTE(SUBSTITUTE(UPPER(#REF!)," ",""),":",": "),SUBSTITUTE(SUBSTITUTE(UPPER(S1422)," ",""),":",": "))),0)),"Não encontrado")</f>
        <v>Não encontrado</v>
      </c>
      <c r="D1422" s="46" t="str" cm="1">
        <f t="array" ref="D1422">IFERROR(INDEX(#REF!,MATCH(TRUE,ISNUMBER(FIND(SUBSTITUTE(SUBSTITUTE(UPPER(#REF!)," ",""),":",": "),SUBSTITUTE(SUBSTITUTE(UPPER(S1422)," ",""),":",": "))),0)),"Não encontrado")</f>
        <v>Não encontrado</v>
      </c>
      <c r="E1422" s="42" t="str" cm="1">
        <f t="array" ref="E1422">IFERROR(INDEX({"IMPEDITIVO"},MATCH(TRUE,ISNUMBER(FIND(SUBSTITUTE(SUBSTITUTE(UPPER({"IMPEDITIVO"})," ",""),":",": "),SUBSTITUTE(SUBSTITUTE(UPPER(S1422)," ",""),":",": "))),0)),"-")</f>
        <v>-</v>
      </c>
      <c r="K1422" s="49"/>
    </row>
    <row r="1423" spans="1:11" x14ac:dyDescent="0.25">
      <c r="A1423" s="46" t="str" cm="1">
        <f t="array" ref="A1423">IFERROR(INDEX(#REF!,MATCH(TRUE,ISNUMBER(FIND(SUBSTITUTE(SUBSTITUTE(UPPER(#REF!)," ",""),":",": "),SUBSTITUTE(SUBSTITUTE(UPPER(S1423)," ",""),":",": "))),0)),"Undefined")</f>
        <v>Undefined</v>
      </c>
      <c r="B1423" s="42" t="str" cm="1">
        <f t="array" ref="B1423">IFERROR(INDEX({"URGENTE"},MATCH(TRUE,ISNUMBER(FIND(SUBSTITUTE(SUBSTITUTE(UPPER({"URGENTE"})," ",""),":",": "),SUBSTITUTE(SUBSTITUTE(UPPER(S1423)," ",""),":",": "))),0)),"-")</f>
        <v>-</v>
      </c>
      <c r="C1423" s="46" t="str" cm="1">
        <f t="array" ref="C1423">IFERROR(INDEX(#REF!,MATCH(TRUE,ISNUMBER(FIND(SUBSTITUTE(SUBSTITUTE(UPPER(#REF!)," ",""),":",": "),SUBSTITUTE(SUBSTITUTE(UPPER(S1423)," ",""),":",": "))),0)),"Não encontrado")</f>
        <v>Não encontrado</v>
      </c>
      <c r="D1423" s="46" t="str" cm="1">
        <f t="array" ref="D1423">IFERROR(INDEX(#REF!,MATCH(TRUE,ISNUMBER(FIND(SUBSTITUTE(SUBSTITUTE(UPPER(#REF!)," ",""),":",": "),SUBSTITUTE(SUBSTITUTE(UPPER(S1423)," ",""),":",": "))),0)),"Não encontrado")</f>
        <v>Não encontrado</v>
      </c>
      <c r="E1423" s="42" t="str" cm="1">
        <f t="array" ref="E1423">IFERROR(INDEX({"IMPEDITIVO"},MATCH(TRUE,ISNUMBER(FIND(SUBSTITUTE(SUBSTITUTE(UPPER({"IMPEDITIVO"})," ",""),":",": "),SUBSTITUTE(SUBSTITUTE(UPPER(S1423)," ",""),":",": "))),0)),"-")</f>
        <v>-</v>
      </c>
      <c r="K1423" s="49"/>
    </row>
    <row r="1424" spans="1:11" x14ac:dyDescent="0.25">
      <c r="A1424" s="46" t="str" cm="1">
        <f t="array" ref="A1424">IFERROR(INDEX(#REF!,MATCH(TRUE,ISNUMBER(FIND(SUBSTITUTE(SUBSTITUTE(UPPER(#REF!)," ",""),":",": "),SUBSTITUTE(SUBSTITUTE(UPPER(S1424)," ",""),":",": "))),0)),"Undefined")</f>
        <v>Undefined</v>
      </c>
      <c r="B1424" s="42" t="str" cm="1">
        <f t="array" ref="B1424">IFERROR(INDEX({"URGENTE"},MATCH(TRUE,ISNUMBER(FIND(SUBSTITUTE(SUBSTITUTE(UPPER({"URGENTE"})," ",""),":",": "),SUBSTITUTE(SUBSTITUTE(UPPER(S1424)," ",""),":",": "))),0)),"-")</f>
        <v>-</v>
      </c>
      <c r="C1424" s="46" t="str" cm="1">
        <f t="array" ref="C1424">IFERROR(INDEX(#REF!,MATCH(TRUE,ISNUMBER(FIND(SUBSTITUTE(SUBSTITUTE(UPPER(#REF!)," ",""),":",": "),SUBSTITUTE(SUBSTITUTE(UPPER(S1424)," ",""),":",": "))),0)),"Não encontrado")</f>
        <v>Não encontrado</v>
      </c>
      <c r="D1424" s="46" t="str" cm="1">
        <f t="array" ref="D1424">IFERROR(INDEX(#REF!,MATCH(TRUE,ISNUMBER(FIND(SUBSTITUTE(SUBSTITUTE(UPPER(#REF!)," ",""),":",": "),SUBSTITUTE(SUBSTITUTE(UPPER(S1424)," ",""),":",": "))),0)),"Não encontrado")</f>
        <v>Não encontrado</v>
      </c>
      <c r="E1424" s="42" t="str" cm="1">
        <f t="array" ref="E1424">IFERROR(INDEX({"IMPEDITIVO"},MATCH(TRUE,ISNUMBER(FIND(SUBSTITUTE(SUBSTITUTE(UPPER({"IMPEDITIVO"})," ",""),":",": "),SUBSTITUTE(SUBSTITUTE(UPPER(S1424)," ",""),":",": "))),0)),"-")</f>
        <v>-</v>
      </c>
      <c r="K1424" s="49"/>
    </row>
    <row r="1425" spans="1:11" x14ac:dyDescent="0.25">
      <c r="A1425" s="46" t="str" cm="1">
        <f t="array" ref="A1425">IFERROR(INDEX(#REF!,MATCH(TRUE,ISNUMBER(FIND(SUBSTITUTE(SUBSTITUTE(UPPER(#REF!)," ",""),":",": "),SUBSTITUTE(SUBSTITUTE(UPPER(S1425)," ",""),":",": "))),0)),"Undefined")</f>
        <v>Undefined</v>
      </c>
      <c r="B1425" s="42" t="str" cm="1">
        <f t="array" ref="B1425">IFERROR(INDEX({"URGENTE"},MATCH(TRUE,ISNUMBER(FIND(SUBSTITUTE(SUBSTITUTE(UPPER({"URGENTE"})," ",""),":",": "),SUBSTITUTE(SUBSTITUTE(UPPER(S1425)," ",""),":",": "))),0)),"-")</f>
        <v>-</v>
      </c>
      <c r="C1425" s="46" t="str" cm="1">
        <f t="array" ref="C1425">IFERROR(INDEX(#REF!,MATCH(TRUE,ISNUMBER(FIND(SUBSTITUTE(SUBSTITUTE(UPPER(#REF!)," ",""),":",": "),SUBSTITUTE(SUBSTITUTE(UPPER(S1425)," ",""),":",": "))),0)),"Não encontrado")</f>
        <v>Não encontrado</v>
      </c>
      <c r="D1425" s="46" t="str" cm="1">
        <f t="array" ref="D1425">IFERROR(INDEX(#REF!,MATCH(TRUE,ISNUMBER(FIND(SUBSTITUTE(SUBSTITUTE(UPPER(#REF!)," ",""),":",": "),SUBSTITUTE(SUBSTITUTE(UPPER(S1425)," ",""),":",": "))),0)),"Não encontrado")</f>
        <v>Não encontrado</v>
      </c>
      <c r="E1425" s="42" t="str" cm="1">
        <f t="array" ref="E1425">IFERROR(INDEX({"IMPEDITIVO"},MATCH(TRUE,ISNUMBER(FIND(SUBSTITUTE(SUBSTITUTE(UPPER({"IMPEDITIVO"})," ",""),":",": "),SUBSTITUTE(SUBSTITUTE(UPPER(S1425)," ",""),":",": "))),0)),"-")</f>
        <v>-</v>
      </c>
      <c r="K1425" s="49"/>
    </row>
    <row r="1426" spans="1:11" x14ac:dyDescent="0.25">
      <c r="A1426" s="46" t="str" cm="1">
        <f t="array" ref="A1426">IFERROR(INDEX(#REF!,MATCH(TRUE,ISNUMBER(FIND(SUBSTITUTE(SUBSTITUTE(UPPER(#REF!)," ",""),":",": "),SUBSTITUTE(SUBSTITUTE(UPPER(S1426)," ",""),":",": "))),0)),"Undefined")</f>
        <v>Undefined</v>
      </c>
      <c r="B1426" s="42" t="str" cm="1">
        <f t="array" ref="B1426">IFERROR(INDEX({"URGENTE"},MATCH(TRUE,ISNUMBER(FIND(SUBSTITUTE(SUBSTITUTE(UPPER({"URGENTE"})," ",""),":",": "),SUBSTITUTE(SUBSTITUTE(UPPER(S1426)," ",""),":",": "))),0)),"-")</f>
        <v>-</v>
      </c>
      <c r="C1426" s="46" t="str" cm="1">
        <f t="array" ref="C1426">IFERROR(INDEX(#REF!,MATCH(TRUE,ISNUMBER(FIND(SUBSTITUTE(SUBSTITUTE(UPPER(#REF!)," ",""),":",": "),SUBSTITUTE(SUBSTITUTE(UPPER(S1426)," ",""),":",": "))),0)),"Não encontrado")</f>
        <v>Não encontrado</v>
      </c>
      <c r="D1426" s="46" t="str" cm="1">
        <f t="array" ref="D1426">IFERROR(INDEX(#REF!,MATCH(TRUE,ISNUMBER(FIND(SUBSTITUTE(SUBSTITUTE(UPPER(#REF!)," ",""),":",": "),SUBSTITUTE(SUBSTITUTE(UPPER(S1426)," ",""),":",": "))),0)),"Não encontrado")</f>
        <v>Não encontrado</v>
      </c>
      <c r="E1426" s="42" t="str" cm="1">
        <f t="array" ref="E1426">IFERROR(INDEX({"IMPEDITIVO"},MATCH(TRUE,ISNUMBER(FIND(SUBSTITUTE(SUBSTITUTE(UPPER({"IMPEDITIVO"})," ",""),":",": "),SUBSTITUTE(SUBSTITUTE(UPPER(S1426)," ",""),":",": "))),0)),"-")</f>
        <v>-</v>
      </c>
      <c r="K1426" s="49"/>
    </row>
    <row r="1427" spans="1:11" x14ac:dyDescent="0.25">
      <c r="A1427" s="46" t="str" cm="1">
        <f t="array" ref="A1427">IFERROR(INDEX(#REF!,MATCH(TRUE,ISNUMBER(FIND(SUBSTITUTE(SUBSTITUTE(UPPER(#REF!)," ",""),":",": "),SUBSTITUTE(SUBSTITUTE(UPPER(S1427)," ",""),":",": "))),0)),"Undefined")</f>
        <v>Undefined</v>
      </c>
      <c r="B1427" s="42" t="str" cm="1">
        <f t="array" ref="B1427">IFERROR(INDEX({"URGENTE"},MATCH(TRUE,ISNUMBER(FIND(SUBSTITUTE(SUBSTITUTE(UPPER({"URGENTE"})," ",""),":",": "),SUBSTITUTE(SUBSTITUTE(UPPER(S1427)," ",""),":",": "))),0)),"-")</f>
        <v>-</v>
      </c>
      <c r="C1427" s="46" t="str" cm="1">
        <f t="array" ref="C1427">IFERROR(INDEX(#REF!,MATCH(TRUE,ISNUMBER(FIND(SUBSTITUTE(SUBSTITUTE(UPPER(#REF!)," ",""),":",": "),SUBSTITUTE(SUBSTITUTE(UPPER(S1427)," ",""),":",": "))),0)),"Não encontrado")</f>
        <v>Não encontrado</v>
      </c>
      <c r="D1427" s="46" t="str" cm="1">
        <f t="array" ref="D1427">IFERROR(INDEX(#REF!,MATCH(TRUE,ISNUMBER(FIND(SUBSTITUTE(SUBSTITUTE(UPPER(#REF!)," ",""),":",": "),SUBSTITUTE(SUBSTITUTE(UPPER(S1427)," ",""),":",": "))),0)),"Não encontrado")</f>
        <v>Não encontrado</v>
      </c>
      <c r="E1427" s="42" t="str" cm="1">
        <f t="array" ref="E1427">IFERROR(INDEX({"IMPEDITIVO"},MATCH(TRUE,ISNUMBER(FIND(SUBSTITUTE(SUBSTITUTE(UPPER({"IMPEDITIVO"})," ",""),":",": "),SUBSTITUTE(SUBSTITUTE(UPPER(S1427)," ",""),":",": "))),0)),"-")</f>
        <v>-</v>
      </c>
      <c r="K1427" s="49"/>
    </row>
    <row r="1428" spans="1:11" x14ac:dyDescent="0.25">
      <c r="A1428" s="46" t="str" cm="1">
        <f t="array" ref="A1428">IFERROR(INDEX(#REF!,MATCH(TRUE,ISNUMBER(FIND(SUBSTITUTE(SUBSTITUTE(UPPER(#REF!)," ",""),":",": "),SUBSTITUTE(SUBSTITUTE(UPPER(S1428)," ",""),":",": "))),0)),"Undefined")</f>
        <v>Undefined</v>
      </c>
      <c r="B1428" s="42" t="str" cm="1">
        <f t="array" ref="B1428">IFERROR(INDEX({"URGENTE"},MATCH(TRUE,ISNUMBER(FIND(SUBSTITUTE(SUBSTITUTE(UPPER({"URGENTE"})," ",""),":",": "),SUBSTITUTE(SUBSTITUTE(UPPER(S1428)," ",""),":",": "))),0)),"-")</f>
        <v>-</v>
      </c>
      <c r="C1428" s="46" t="str" cm="1">
        <f t="array" ref="C1428">IFERROR(INDEX(#REF!,MATCH(TRUE,ISNUMBER(FIND(SUBSTITUTE(SUBSTITUTE(UPPER(#REF!)," ",""),":",": "),SUBSTITUTE(SUBSTITUTE(UPPER(S1428)," ",""),":",": "))),0)),"Não encontrado")</f>
        <v>Não encontrado</v>
      </c>
      <c r="D1428" s="46" t="str" cm="1">
        <f t="array" ref="D1428">IFERROR(INDEX(#REF!,MATCH(TRUE,ISNUMBER(FIND(SUBSTITUTE(SUBSTITUTE(UPPER(#REF!)," ",""),":",": "),SUBSTITUTE(SUBSTITUTE(UPPER(S1428)," ",""),":",": "))),0)),"Não encontrado")</f>
        <v>Não encontrado</v>
      </c>
      <c r="E1428" s="42" t="str" cm="1">
        <f t="array" ref="E1428">IFERROR(INDEX({"IMPEDITIVO"},MATCH(TRUE,ISNUMBER(FIND(SUBSTITUTE(SUBSTITUTE(UPPER({"IMPEDITIVO"})," ",""),":",": "),SUBSTITUTE(SUBSTITUTE(UPPER(S1428)," ",""),":",": "))),0)),"-")</f>
        <v>-</v>
      </c>
      <c r="K1428" s="49"/>
    </row>
    <row r="1429" spans="1:11" x14ac:dyDescent="0.25">
      <c r="A1429" s="46" t="str" cm="1">
        <f t="array" ref="A1429">IFERROR(INDEX(#REF!,MATCH(TRUE,ISNUMBER(FIND(SUBSTITUTE(SUBSTITUTE(UPPER(#REF!)," ",""),":",": "),SUBSTITUTE(SUBSTITUTE(UPPER(S1429)," ",""),":",": "))),0)),"Undefined")</f>
        <v>Undefined</v>
      </c>
      <c r="B1429" s="42" t="str" cm="1">
        <f t="array" ref="B1429">IFERROR(INDEX({"URGENTE"},MATCH(TRUE,ISNUMBER(FIND(SUBSTITUTE(SUBSTITUTE(UPPER({"URGENTE"})," ",""),":",": "),SUBSTITUTE(SUBSTITUTE(UPPER(S1429)," ",""),":",": "))),0)),"-")</f>
        <v>-</v>
      </c>
      <c r="C1429" s="46" t="str" cm="1">
        <f t="array" ref="C1429">IFERROR(INDEX(#REF!,MATCH(TRUE,ISNUMBER(FIND(SUBSTITUTE(SUBSTITUTE(UPPER(#REF!)," ",""),":",": "),SUBSTITUTE(SUBSTITUTE(UPPER(S1429)," ",""),":",": "))),0)),"Não encontrado")</f>
        <v>Não encontrado</v>
      </c>
      <c r="D1429" s="46" t="str" cm="1">
        <f t="array" ref="D1429">IFERROR(INDEX(#REF!,MATCH(TRUE,ISNUMBER(FIND(SUBSTITUTE(SUBSTITUTE(UPPER(#REF!)," ",""),":",": "),SUBSTITUTE(SUBSTITUTE(UPPER(S1429)," ",""),":",": "))),0)),"Não encontrado")</f>
        <v>Não encontrado</v>
      </c>
      <c r="E1429" s="42" t="str" cm="1">
        <f t="array" ref="E1429">IFERROR(INDEX({"IMPEDITIVO"},MATCH(TRUE,ISNUMBER(FIND(SUBSTITUTE(SUBSTITUTE(UPPER({"IMPEDITIVO"})," ",""),":",": "),SUBSTITUTE(SUBSTITUTE(UPPER(S1429)," ",""),":",": "))),0)),"-")</f>
        <v>-</v>
      </c>
      <c r="K1429" s="49"/>
    </row>
    <row r="1430" spans="1:11" x14ac:dyDescent="0.25">
      <c r="A1430" s="46" t="str" cm="1">
        <f t="array" ref="A1430">IFERROR(INDEX(#REF!,MATCH(TRUE,ISNUMBER(FIND(SUBSTITUTE(SUBSTITUTE(UPPER(#REF!)," ",""),":",": "),SUBSTITUTE(SUBSTITUTE(UPPER(S1430)," ",""),":",": "))),0)),"Undefined")</f>
        <v>Undefined</v>
      </c>
      <c r="B1430" s="42" t="str" cm="1">
        <f t="array" ref="B1430">IFERROR(INDEX({"URGENTE"},MATCH(TRUE,ISNUMBER(FIND(SUBSTITUTE(SUBSTITUTE(UPPER({"URGENTE"})," ",""),":",": "),SUBSTITUTE(SUBSTITUTE(UPPER(S1430)," ",""),":",": "))),0)),"-")</f>
        <v>-</v>
      </c>
      <c r="C1430" s="46" t="str" cm="1">
        <f t="array" ref="C1430">IFERROR(INDEX(#REF!,MATCH(TRUE,ISNUMBER(FIND(SUBSTITUTE(SUBSTITUTE(UPPER(#REF!)," ",""),":",": "),SUBSTITUTE(SUBSTITUTE(UPPER(S1430)," ",""),":",": "))),0)),"Não encontrado")</f>
        <v>Não encontrado</v>
      </c>
      <c r="D1430" s="46" t="str" cm="1">
        <f t="array" ref="D1430">IFERROR(INDEX(#REF!,MATCH(TRUE,ISNUMBER(FIND(SUBSTITUTE(SUBSTITUTE(UPPER(#REF!)," ",""),":",": "),SUBSTITUTE(SUBSTITUTE(UPPER(S1430)," ",""),":",": "))),0)),"Não encontrado")</f>
        <v>Não encontrado</v>
      </c>
      <c r="E1430" s="42" t="str" cm="1">
        <f t="array" ref="E1430">IFERROR(INDEX({"IMPEDITIVO"},MATCH(TRUE,ISNUMBER(FIND(SUBSTITUTE(SUBSTITUTE(UPPER({"IMPEDITIVO"})," ",""),":",": "),SUBSTITUTE(SUBSTITUTE(UPPER(S1430)," ",""),":",": "))),0)),"-")</f>
        <v>-</v>
      </c>
      <c r="K1430" s="49"/>
    </row>
    <row r="1431" spans="1:11" x14ac:dyDescent="0.25">
      <c r="A1431" s="46" t="str" cm="1">
        <f t="array" ref="A1431">IFERROR(INDEX(#REF!,MATCH(TRUE,ISNUMBER(FIND(SUBSTITUTE(SUBSTITUTE(UPPER(#REF!)," ",""),":",": "),SUBSTITUTE(SUBSTITUTE(UPPER(S1431)," ",""),":",": "))),0)),"Undefined")</f>
        <v>Undefined</v>
      </c>
      <c r="B1431" s="42" t="str" cm="1">
        <f t="array" ref="B1431">IFERROR(INDEX({"URGENTE"},MATCH(TRUE,ISNUMBER(FIND(SUBSTITUTE(SUBSTITUTE(UPPER({"URGENTE"})," ",""),":",": "),SUBSTITUTE(SUBSTITUTE(UPPER(S1431)," ",""),":",": "))),0)),"-")</f>
        <v>-</v>
      </c>
      <c r="C1431" s="46" t="str" cm="1">
        <f t="array" ref="C1431">IFERROR(INDEX(#REF!,MATCH(TRUE,ISNUMBER(FIND(SUBSTITUTE(SUBSTITUTE(UPPER(#REF!)," ",""),":",": "),SUBSTITUTE(SUBSTITUTE(UPPER(S1431)," ",""),":",": "))),0)),"Não encontrado")</f>
        <v>Não encontrado</v>
      </c>
      <c r="D1431" s="46" t="str" cm="1">
        <f t="array" ref="D1431">IFERROR(INDEX(#REF!,MATCH(TRUE,ISNUMBER(FIND(SUBSTITUTE(SUBSTITUTE(UPPER(#REF!)," ",""),":",": "),SUBSTITUTE(SUBSTITUTE(UPPER(S1431)," ",""),":",": "))),0)),"Não encontrado")</f>
        <v>Não encontrado</v>
      </c>
      <c r="E1431" s="42" t="str" cm="1">
        <f t="array" ref="E1431">IFERROR(INDEX({"IMPEDITIVO"},MATCH(TRUE,ISNUMBER(FIND(SUBSTITUTE(SUBSTITUTE(UPPER({"IMPEDITIVO"})," ",""),":",": "),SUBSTITUTE(SUBSTITUTE(UPPER(S1431)," ",""),":",": "))),0)),"-")</f>
        <v>-</v>
      </c>
      <c r="K1431" s="49"/>
    </row>
    <row r="1432" spans="1:11" x14ac:dyDescent="0.25">
      <c r="A1432" s="46" t="str" cm="1">
        <f t="array" ref="A1432">IFERROR(INDEX(#REF!,MATCH(TRUE,ISNUMBER(FIND(SUBSTITUTE(SUBSTITUTE(UPPER(#REF!)," ",""),":",": "),SUBSTITUTE(SUBSTITUTE(UPPER(S1432)," ",""),":",": "))),0)),"Undefined")</f>
        <v>Undefined</v>
      </c>
      <c r="B1432" s="42" t="str" cm="1">
        <f t="array" ref="B1432">IFERROR(INDEX({"URGENTE"},MATCH(TRUE,ISNUMBER(FIND(SUBSTITUTE(SUBSTITUTE(UPPER({"URGENTE"})," ",""),":",": "),SUBSTITUTE(SUBSTITUTE(UPPER(S1432)," ",""),":",": "))),0)),"-")</f>
        <v>-</v>
      </c>
      <c r="C1432" s="46" t="str" cm="1">
        <f t="array" ref="C1432">IFERROR(INDEX(#REF!,MATCH(TRUE,ISNUMBER(FIND(SUBSTITUTE(SUBSTITUTE(UPPER(#REF!)," ",""),":",": "),SUBSTITUTE(SUBSTITUTE(UPPER(S1432)," ",""),":",": "))),0)),"Não encontrado")</f>
        <v>Não encontrado</v>
      </c>
      <c r="D1432" s="46" t="str" cm="1">
        <f t="array" ref="D1432">IFERROR(INDEX(#REF!,MATCH(TRUE,ISNUMBER(FIND(SUBSTITUTE(SUBSTITUTE(UPPER(#REF!)," ",""),":",": "),SUBSTITUTE(SUBSTITUTE(UPPER(S1432)," ",""),":",": "))),0)),"Não encontrado")</f>
        <v>Não encontrado</v>
      </c>
      <c r="E1432" s="42" t="str" cm="1">
        <f t="array" ref="E1432">IFERROR(INDEX({"IMPEDITIVO"},MATCH(TRUE,ISNUMBER(FIND(SUBSTITUTE(SUBSTITUTE(UPPER({"IMPEDITIVO"})," ",""),":",": "),SUBSTITUTE(SUBSTITUTE(UPPER(S1432)," ",""),":",": "))),0)),"-")</f>
        <v>-</v>
      </c>
      <c r="K1432" s="49"/>
    </row>
    <row r="1433" spans="1:11" x14ac:dyDescent="0.25">
      <c r="A1433" s="46" t="str" cm="1">
        <f t="array" ref="A1433">IFERROR(INDEX(#REF!,MATCH(TRUE,ISNUMBER(FIND(SUBSTITUTE(SUBSTITUTE(UPPER(#REF!)," ",""),":",": "),SUBSTITUTE(SUBSTITUTE(UPPER(S1433)," ",""),":",": "))),0)),"Undefined")</f>
        <v>Undefined</v>
      </c>
      <c r="B1433" s="42" t="str" cm="1">
        <f t="array" ref="B1433">IFERROR(INDEX({"URGENTE"},MATCH(TRUE,ISNUMBER(FIND(SUBSTITUTE(SUBSTITUTE(UPPER({"URGENTE"})," ",""),":",": "),SUBSTITUTE(SUBSTITUTE(UPPER(S1433)," ",""),":",": "))),0)),"-")</f>
        <v>-</v>
      </c>
      <c r="C1433" s="46" t="str" cm="1">
        <f t="array" ref="C1433">IFERROR(INDEX(#REF!,MATCH(TRUE,ISNUMBER(FIND(SUBSTITUTE(SUBSTITUTE(UPPER(#REF!)," ",""),":",": "),SUBSTITUTE(SUBSTITUTE(UPPER(S1433)," ",""),":",": "))),0)),"Não encontrado")</f>
        <v>Não encontrado</v>
      </c>
      <c r="D1433" s="46" t="str" cm="1">
        <f t="array" ref="D1433">IFERROR(INDEX(#REF!,MATCH(TRUE,ISNUMBER(FIND(SUBSTITUTE(SUBSTITUTE(UPPER(#REF!)," ",""),":",": "),SUBSTITUTE(SUBSTITUTE(UPPER(S1433)," ",""),":",": "))),0)),"Não encontrado")</f>
        <v>Não encontrado</v>
      </c>
      <c r="E1433" s="42" t="str" cm="1">
        <f t="array" ref="E1433">IFERROR(INDEX({"IMPEDITIVO"},MATCH(TRUE,ISNUMBER(FIND(SUBSTITUTE(SUBSTITUTE(UPPER({"IMPEDITIVO"})," ",""),":",": "),SUBSTITUTE(SUBSTITUTE(UPPER(S1433)," ",""),":",": "))),0)),"-")</f>
        <v>-</v>
      </c>
      <c r="K1433" s="49"/>
    </row>
    <row r="1434" spans="1:11" x14ac:dyDescent="0.25">
      <c r="A1434" s="46" t="str" cm="1">
        <f t="array" ref="A1434">IFERROR(INDEX(#REF!,MATCH(TRUE,ISNUMBER(FIND(SUBSTITUTE(SUBSTITUTE(UPPER(#REF!)," ",""),":",": "),SUBSTITUTE(SUBSTITUTE(UPPER(S1434)," ",""),":",": "))),0)),"Undefined")</f>
        <v>Undefined</v>
      </c>
      <c r="B1434" s="42" t="str" cm="1">
        <f t="array" ref="B1434">IFERROR(INDEX({"URGENTE"},MATCH(TRUE,ISNUMBER(FIND(SUBSTITUTE(SUBSTITUTE(UPPER({"URGENTE"})," ",""),":",": "),SUBSTITUTE(SUBSTITUTE(UPPER(S1434)," ",""),":",": "))),0)),"-")</f>
        <v>-</v>
      </c>
      <c r="C1434" s="46" t="str" cm="1">
        <f t="array" ref="C1434">IFERROR(INDEX(#REF!,MATCH(TRUE,ISNUMBER(FIND(SUBSTITUTE(SUBSTITUTE(UPPER(#REF!)," ",""),":",": "),SUBSTITUTE(SUBSTITUTE(UPPER(S1434)," ",""),":",": "))),0)),"Não encontrado")</f>
        <v>Não encontrado</v>
      </c>
      <c r="D1434" s="46" t="str" cm="1">
        <f t="array" ref="D1434">IFERROR(INDEX(#REF!,MATCH(TRUE,ISNUMBER(FIND(SUBSTITUTE(SUBSTITUTE(UPPER(#REF!)," ",""),":",": "),SUBSTITUTE(SUBSTITUTE(UPPER(S1434)," ",""),":",": "))),0)),"Não encontrado")</f>
        <v>Não encontrado</v>
      </c>
      <c r="E1434" s="42" t="str" cm="1">
        <f t="array" ref="E1434">IFERROR(INDEX({"IMPEDITIVO"},MATCH(TRUE,ISNUMBER(FIND(SUBSTITUTE(SUBSTITUTE(UPPER({"IMPEDITIVO"})," ",""),":",": "),SUBSTITUTE(SUBSTITUTE(UPPER(S1434)," ",""),":",": "))),0)),"-")</f>
        <v>-</v>
      </c>
      <c r="K1434" s="49"/>
    </row>
    <row r="1435" spans="1:11" x14ac:dyDescent="0.25">
      <c r="A1435" s="46" t="str" cm="1">
        <f t="array" ref="A1435">IFERROR(INDEX(#REF!,MATCH(TRUE,ISNUMBER(FIND(SUBSTITUTE(SUBSTITUTE(UPPER(#REF!)," ",""),":",": "),SUBSTITUTE(SUBSTITUTE(UPPER(S1435)," ",""),":",": "))),0)),"Undefined")</f>
        <v>Undefined</v>
      </c>
      <c r="B1435" s="42" t="str" cm="1">
        <f t="array" ref="B1435">IFERROR(INDEX({"URGENTE"},MATCH(TRUE,ISNUMBER(FIND(SUBSTITUTE(SUBSTITUTE(UPPER({"URGENTE"})," ",""),":",": "),SUBSTITUTE(SUBSTITUTE(UPPER(S1435)," ",""),":",": "))),0)),"-")</f>
        <v>-</v>
      </c>
      <c r="C1435" s="46" t="str" cm="1">
        <f t="array" ref="C1435">IFERROR(INDEX(#REF!,MATCH(TRUE,ISNUMBER(FIND(SUBSTITUTE(SUBSTITUTE(UPPER(#REF!)," ",""),":",": "),SUBSTITUTE(SUBSTITUTE(UPPER(S1435)," ",""),":",": "))),0)),"Não encontrado")</f>
        <v>Não encontrado</v>
      </c>
      <c r="D1435" s="46" t="str" cm="1">
        <f t="array" ref="D1435">IFERROR(INDEX(#REF!,MATCH(TRUE,ISNUMBER(FIND(SUBSTITUTE(SUBSTITUTE(UPPER(#REF!)," ",""),":",": "),SUBSTITUTE(SUBSTITUTE(UPPER(S1435)," ",""),":",": "))),0)),"Não encontrado")</f>
        <v>Não encontrado</v>
      </c>
      <c r="E1435" s="42" t="str" cm="1">
        <f t="array" ref="E1435">IFERROR(INDEX({"IMPEDITIVO"},MATCH(TRUE,ISNUMBER(FIND(SUBSTITUTE(SUBSTITUTE(UPPER({"IMPEDITIVO"})," ",""),":",": "),SUBSTITUTE(SUBSTITUTE(UPPER(S1435)," ",""),":",": "))),0)),"-")</f>
        <v>-</v>
      </c>
      <c r="K1435" s="49"/>
    </row>
    <row r="1436" spans="1:11" x14ac:dyDescent="0.25">
      <c r="A1436" s="46" t="str" cm="1">
        <f t="array" ref="A1436">IFERROR(INDEX(#REF!,MATCH(TRUE,ISNUMBER(FIND(SUBSTITUTE(SUBSTITUTE(UPPER(#REF!)," ",""),":",": "),SUBSTITUTE(SUBSTITUTE(UPPER(S1436)," ",""),":",": "))),0)),"Undefined")</f>
        <v>Undefined</v>
      </c>
      <c r="B1436" s="42" t="str" cm="1">
        <f t="array" ref="B1436">IFERROR(INDEX({"URGENTE"},MATCH(TRUE,ISNUMBER(FIND(SUBSTITUTE(SUBSTITUTE(UPPER({"URGENTE"})," ",""),":",": "),SUBSTITUTE(SUBSTITUTE(UPPER(S1436)," ",""),":",": "))),0)),"-")</f>
        <v>-</v>
      </c>
      <c r="C1436" s="46" t="str" cm="1">
        <f t="array" ref="C1436">IFERROR(INDEX(#REF!,MATCH(TRUE,ISNUMBER(FIND(SUBSTITUTE(SUBSTITUTE(UPPER(#REF!)," ",""),":",": "),SUBSTITUTE(SUBSTITUTE(UPPER(S1436)," ",""),":",": "))),0)),"Não encontrado")</f>
        <v>Não encontrado</v>
      </c>
      <c r="D1436" s="46" t="str" cm="1">
        <f t="array" ref="D1436">IFERROR(INDEX(#REF!,MATCH(TRUE,ISNUMBER(FIND(SUBSTITUTE(SUBSTITUTE(UPPER(#REF!)," ",""),":",": "),SUBSTITUTE(SUBSTITUTE(UPPER(S1436)," ",""),":",": "))),0)),"Não encontrado")</f>
        <v>Não encontrado</v>
      </c>
      <c r="E1436" s="42" t="str" cm="1">
        <f t="array" ref="E1436">IFERROR(INDEX({"IMPEDITIVO"},MATCH(TRUE,ISNUMBER(FIND(SUBSTITUTE(SUBSTITUTE(UPPER({"IMPEDITIVO"})," ",""),":",": "),SUBSTITUTE(SUBSTITUTE(UPPER(S1436)," ",""),":",": "))),0)),"-")</f>
        <v>-</v>
      </c>
      <c r="K1436" s="49"/>
    </row>
    <row r="1437" spans="1:11" x14ac:dyDescent="0.25">
      <c r="A1437" s="46" t="str" cm="1">
        <f t="array" ref="A1437">IFERROR(INDEX(#REF!,MATCH(TRUE,ISNUMBER(FIND(SUBSTITUTE(SUBSTITUTE(UPPER(#REF!)," ",""),":",": "),SUBSTITUTE(SUBSTITUTE(UPPER(S1437)," ",""),":",": "))),0)),"Undefined")</f>
        <v>Undefined</v>
      </c>
      <c r="B1437" s="42" t="str" cm="1">
        <f t="array" ref="B1437">IFERROR(INDEX({"URGENTE"},MATCH(TRUE,ISNUMBER(FIND(SUBSTITUTE(SUBSTITUTE(UPPER({"URGENTE"})," ",""),":",": "),SUBSTITUTE(SUBSTITUTE(UPPER(S1437)," ",""),":",": "))),0)),"-")</f>
        <v>-</v>
      </c>
      <c r="C1437" s="46" t="str" cm="1">
        <f t="array" ref="C1437">IFERROR(INDEX(#REF!,MATCH(TRUE,ISNUMBER(FIND(SUBSTITUTE(SUBSTITUTE(UPPER(#REF!)," ",""),":",": "),SUBSTITUTE(SUBSTITUTE(UPPER(S1437)," ",""),":",": "))),0)),"Não encontrado")</f>
        <v>Não encontrado</v>
      </c>
      <c r="D1437" s="46" t="str" cm="1">
        <f t="array" ref="D1437">IFERROR(INDEX(#REF!,MATCH(TRUE,ISNUMBER(FIND(SUBSTITUTE(SUBSTITUTE(UPPER(#REF!)," ",""),":",": "),SUBSTITUTE(SUBSTITUTE(UPPER(S1437)," ",""),":",": "))),0)),"Não encontrado")</f>
        <v>Não encontrado</v>
      </c>
      <c r="E1437" s="42" t="str" cm="1">
        <f t="array" ref="E1437">IFERROR(INDEX({"IMPEDITIVO"},MATCH(TRUE,ISNUMBER(FIND(SUBSTITUTE(SUBSTITUTE(UPPER({"IMPEDITIVO"})," ",""),":",": "),SUBSTITUTE(SUBSTITUTE(UPPER(S1437)," ",""),":",": "))),0)),"-")</f>
        <v>-</v>
      </c>
      <c r="K1437" s="49"/>
    </row>
    <row r="1438" spans="1:11" x14ac:dyDescent="0.25">
      <c r="A1438" s="46" t="str" cm="1">
        <f t="array" ref="A1438">IFERROR(INDEX(#REF!,MATCH(TRUE,ISNUMBER(FIND(SUBSTITUTE(SUBSTITUTE(UPPER(#REF!)," ",""),":",": "),SUBSTITUTE(SUBSTITUTE(UPPER(S1438)," ",""),":",": "))),0)),"Undefined")</f>
        <v>Undefined</v>
      </c>
      <c r="B1438" s="42" t="str" cm="1">
        <f t="array" ref="B1438">IFERROR(INDEX({"URGENTE"},MATCH(TRUE,ISNUMBER(FIND(SUBSTITUTE(SUBSTITUTE(UPPER({"URGENTE"})," ",""),":",": "),SUBSTITUTE(SUBSTITUTE(UPPER(S1438)," ",""),":",": "))),0)),"-")</f>
        <v>-</v>
      </c>
      <c r="C1438" s="46" t="str" cm="1">
        <f t="array" ref="C1438">IFERROR(INDEX(#REF!,MATCH(TRUE,ISNUMBER(FIND(SUBSTITUTE(SUBSTITUTE(UPPER(#REF!)," ",""),":",": "),SUBSTITUTE(SUBSTITUTE(UPPER(S1438)," ",""),":",": "))),0)),"Não encontrado")</f>
        <v>Não encontrado</v>
      </c>
      <c r="D1438" s="46" t="str" cm="1">
        <f t="array" ref="D1438">IFERROR(INDEX(#REF!,MATCH(TRUE,ISNUMBER(FIND(SUBSTITUTE(SUBSTITUTE(UPPER(#REF!)," ",""),":",": "),SUBSTITUTE(SUBSTITUTE(UPPER(S1438)," ",""),":",": "))),0)),"Não encontrado")</f>
        <v>Não encontrado</v>
      </c>
      <c r="E1438" s="42" t="str" cm="1">
        <f t="array" ref="E1438">IFERROR(INDEX({"IMPEDITIVO"},MATCH(TRUE,ISNUMBER(FIND(SUBSTITUTE(SUBSTITUTE(UPPER({"IMPEDITIVO"})," ",""),":",": "),SUBSTITUTE(SUBSTITUTE(UPPER(S1438)," ",""),":",": "))),0)),"-")</f>
        <v>-</v>
      </c>
      <c r="K1438" s="49"/>
    </row>
    <row r="1439" spans="1:11" x14ac:dyDescent="0.25">
      <c r="A1439" s="46" t="str" cm="1">
        <f t="array" ref="A1439">IFERROR(INDEX(#REF!,MATCH(TRUE,ISNUMBER(FIND(SUBSTITUTE(SUBSTITUTE(UPPER(#REF!)," ",""),":",": "),SUBSTITUTE(SUBSTITUTE(UPPER(S1439)," ",""),":",": "))),0)),"Undefined")</f>
        <v>Undefined</v>
      </c>
      <c r="B1439" s="42" t="str" cm="1">
        <f t="array" ref="B1439">IFERROR(INDEX({"URGENTE"},MATCH(TRUE,ISNUMBER(FIND(SUBSTITUTE(SUBSTITUTE(UPPER({"URGENTE"})," ",""),":",": "),SUBSTITUTE(SUBSTITUTE(UPPER(S1439)," ",""),":",": "))),0)),"-")</f>
        <v>-</v>
      </c>
      <c r="C1439" s="46" t="str" cm="1">
        <f t="array" ref="C1439">IFERROR(INDEX(#REF!,MATCH(TRUE,ISNUMBER(FIND(SUBSTITUTE(SUBSTITUTE(UPPER(#REF!)," ",""),":",": "),SUBSTITUTE(SUBSTITUTE(UPPER(S1439)," ",""),":",": "))),0)),"Não encontrado")</f>
        <v>Não encontrado</v>
      </c>
      <c r="D1439" s="46" t="str" cm="1">
        <f t="array" ref="D1439">IFERROR(INDEX(#REF!,MATCH(TRUE,ISNUMBER(FIND(SUBSTITUTE(SUBSTITUTE(UPPER(#REF!)," ",""),":",": "),SUBSTITUTE(SUBSTITUTE(UPPER(S1439)," ",""),":",": "))),0)),"Não encontrado")</f>
        <v>Não encontrado</v>
      </c>
      <c r="E1439" s="42" t="str" cm="1">
        <f t="array" ref="E1439">IFERROR(INDEX({"IMPEDITIVO"},MATCH(TRUE,ISNUMBER(FIND(SUBSTITUTE(SUBSTITUTE(UPPER({"IMPEDITIVO"})," ",""),":",": "),SUBSTITUTE(SUBSTITUTE(UPPER(S1439)," ",""),":",": "))),0)),"-")</f>
        <v>-</v>
      </c>
      <c r="K1439" s="49"/>
    </row>
    <row r="1440" spans="1:11" x14ac:dyDescent="0.25">
      <c r="A1440" s="46" t="str" cm="1">
        <f t="array" ref="A1440">IFERROR(INDEX(#REF!,MATCH(TRUE,ISNUMBER(FIND(SUBSTITUTE(SUBSTITUTE(UPPER(#REF!)," ",""),":",": "),SUBSTITUTE(SUBSTITUTE(UPPER(S1440)," ",""),":",": "))),0)),"Undefined")</f>
        <v>Undefined</v>
      </c>
      <c r="B1440" s="42" t="str" cm="1">
        <f t="array" ref="B1440">IFERROR(INDEX({"URGENTE"},MATCH(TRUE,ISNUMBER(FIND(SUBSTITUTE(SUBSTITUTE(UPPER({"URGENTE"})," ",""),":",": "),SUBSTITUTE(SUBSTITUTE(UPPER(S1440)," ",""),":",": "))),0)),"-")</f>
        <v>-</v>
      </c>
      <c r="C1440" s="46" t="str" cm="1">
        <f t="array" ref="C1440">IFERROR(INDEX(#REF!,MATCH(TRUE,ISNUMBER(FIND(SUBSTITUTE(SUBSTITUTE(UPPER(#REF!)," ",""),":",": "),SUBSTITUTE(SUBSTITUTE(UPPER(S1440)," ",""),":",": "))),0)),"Não encontrado")</f>
        <v>Não encontrado</v>
      </c>
      <c r="D1440" s="46" t="str" cm="1">
        <f t="array" ref="D1440">IFERROR(INDEX(#REF!,MATCH(TRUE,ISNUMBER(FIND(SUBSTITUTE(SUBSTITUTE(UPPER(#REF!)," ",""),":",": "),SUBSTITUTE(SUBSTITUTE(UPPER(S1440)," ",""),":",": "))),0)),"Não encontrado")</f>
        <v>Não encontrado</v>
      </c>
      <c r="E1440" s="42" t="str" cm="1">
        <f t="array" ref="E1440">IFERROR(INDEX({"IMPEDITIVO"},MATCH(TRUE,ISNUMBER(FIND(SUBSTITUTE(SUBSTITUTE(UPPER({"IMPEDITIVO"})," ",""),":",": "),SUBSTITUTE(SUBSTITUTE(UPPER(S1440)," ",""),":",": "))),0)),"-")</f>
        <v>-</v>
      </c>
      <c r="K1440" s="49"/>
    </row>
    <row r="1441" spans="1:11" x14ac:dyDescent="0.25">
      <c r="A1441" s="46" t="str" cm="1">
        <f t="array" ref="A1441">IFERROR(INDEX(#REF!,MATCH(TRUE,ISNUMBER(FIND(SUBSTITUTE(SUBSTITUTE(UPPER(#REF!)," ",""),":",": "),SUBSTITUTE(SUBSTITUTE(UPPER(S1441)," ",""),":",": "))),0)),"Undefined")</f>
        <v>Undefined</v>
      </c>
      <c r="B1441" s="42" t="str" cm="1">
        <f t="array" ref="B1441">IFERROR(INDEX({"URGENTE"},MATCH(TRUE,ISNUMBER(FIND(SUBSTITUTE(SUBSTITUTE(UPPER({"URGENTE"})," ",""),":",": "),SUBSTITUTE(SUBSTITUTE(UPPER(S1441)," ",""),":",": "))),0)),"-")</f>
        <v>-</v>
      </c>
      <c r="C1441" s="46" t="str" cm="1">
        <f t="array" ref="C1441">IFERROR(INDEX(#REF!,MATCH(TRUE,ISNUMBER(FIND(SUBSTITUTE(SUBSTITUTE(UPPER(#REF!)," ",""),":",": "),SUBSTITUTE(SUBSTITUTE(UPPER(S1441)," ",""),":",": "))),0)),"Não encontrado")</f>
        <v>Não encontrado</v>
      </c>
      <c r="D1441" s="46" t="str" cm="1">
        <f t="array" ref="D1441">IFERROR(INDEX(#REF!,MATCH(TRUE,ISNUMBER(FIND(SUBSTITUTE(SUBSTITUTE(UPPER(#REF!)," ",""),":",": "),SUBSTITUTE(SUBSTITUTE(UPPER(S1441)," ",""),":",": "))),0)),"Não encontrado")</f>
        <v>Não encontrado</v>
      </c>
      <c r="E1441" s="42" t="str" cm="1">
        <f t="array" ref="E1441">IFERROR(INDEX({"IMPEDITIVO"},MATCH(TRUE,ISNUMBER(FIND(SUBSTITUTE(SUBSTITUTE(UPPER({"IMPEDITIVO"})," ",""),":",": "),SUBSTITUTE(SUBSTITUTE(UPPER(S1441)," ",""),":",": "))),0)),"-")</f>
        <v>-</v>
      </c>
      <c r="K1441" s="49"/>
    </row>
    <row r="1442" spans="1:11" x14ac:dyDescent="0.25">
      <c r="A1442" s="46" t="str" cm="1">
        <f t="array" ref="A1442">IFERROR(INDEX(#REF!,MATCH(TRUE,ISNUMBER(FIND(SUBSTITUTE(SUBSTITUTE(UPPER(#REF!)," ",""),":",": "),SUBSTITUTE(SUBSTITUTE(UPPER(S1442)," ",""),":",": "))),0)),"Undefined")</f>
        <v>Undefined</v>
      </c>
      <c r="B1442" s="42" t="str" cm="1">
        <f t="array" ref="B1442">IFERROR(INDEX({"URGENTE"},MATCH(TRUE,ISNUMBER(FIND(SUBSTITUTE(SUBSTITUTE(UPPER({"URGENTE"})," ",""),":",": "),SUBSTITUTE(SUBSTITUTE(UPPER(S1442)," ",""),":",": "))),0)),"-")</f>
        <v>-</v>
      </c>
      <c r="C1442" s="46" t="str" cm="1">
        <f t="array" ref="C1442">IFERROR(INDEX(#REF!,MATCH(TRUE,ISNUMBER(FIND(SUBSTITUTE(SUBSTITUTE(UPPER(#REF!)," ",""),":",": "),SUBSTITUTE(SUBSTITUTE(UPPER(S1442)," ",""),":",": "))),0)),"Não encontrado")</f>
        <v>Não encontrado</v>
      </c>
      <c r="D1442" s="46" t="str" cm="1">
        <f t="array" ref="D1442">IFERROR(INDEX(#REF!,MATCH(TRUE,ISNUMBER(FIND(SUBSTITUTE(SUBSTITUTE(UPPER(#REF!)," ",""),":",": "),SUBSTITUTE(SUBSTITUTE(UPPER(S1442)," ",""),":",": "))),0)),"Não encontrado")</f>
        <v>Não encontrado</v>
      </c>
      <c r="E1442" s="42" t="str" cm="1">
        <f t="array" ref="E1442">IFERROR(INDEX({"IMPEDITIVO"},MATCH(TRUE,ISNUMBER(FIND(SUBSTITUTE(SUBSTITUTE(UPPER({"IMPEDITIVO"})," ",""),":",": "),SUBSTITUTE(SUBSTITUTE(UPPER(S1442)," ",""),":",": "))),0)),"-")</f>
        <v>-</v>
      </c>
      <c r="K1442" s="49"/>
    </row>
    <row r="1443" spans="1:11" x14ac:dyDescent="0.25">
      <c r="A1443" s="46" t="str" cm="1">
        <f t="array" ref="A1443">IFERROR(INDEX(#REF!,MATCH(TRUE,ISNUMBER(FIND(SUBSTITUTE(SUBSTITUTE(UPPER(#REF!)," ",""),":",": "),SUBSTITUTE(SUBSTITUTE(UPPER(S1443)," ",""),":",": "))),0)),"Undefined")</f>
        <v>Undefined</v>
      </c>
      <c r="B1443" s="42" t="str" cm="1">
        <f t="array" ref="B1443">IFERROR(INDEX({"URGENTE"},MATCH(TRUE,ISNUMBER(FIND(SUBSTITUTE(SUBSTITUTE(UPPER({"URGENTE"})," ",""),":",": "),SUBSTITUTE(SUBSTITUTE(UPPER(S1443)," ",""),":",": "))),0)),"-")</f>
        <v>-</v>
      </c>
      <c r="C1443" s="46" t="str" cm="1">
        <f t="array" ref="C1443">IFERROR(INDEX(#REF!,MATCH(TRUE,ISNUMBER(FIND(SUBSTITUTE(SUBSTITUTE(UPPER(#REF!)," ",""),":",": "),SUBSTITUTE(SUBSTITUTE(UPPER(S1443)," ",""),":",": "))),0)),"Não encontrado")</f>
        <v>Não encontrado</v>
      </c>
      <c r="D1443" s="46" t="str" cm="1">
        <f t="array" ref="D1443">IFERROR(INDEX(#REF!,MATCH(TRUE,ISNUMBER(FIND(SUBSTITUTE(SUBSTITUTE(UPPER(#REF!)," ",""),":",": "),SUBSTITUTE(SUBSTITUTE(UPPER(S1443)," ",""),":",": "))),0)),"Não encontrado")</f>
        <v>Não encontrado</v>
      </c>
      <c r="E1443" s="42" t="str" cm="1">
        <f t="array" ref="E1443">IFERROR(INDEX({"IMPEDITIVO"},MATCH(TRUE,ISNUMBER(FIND(SUBSTITUTE(SUBSTITUTE(UPPER({"IMPEDITIVO"})," ",""),":",": "),SUBSTITUTE(SUBSTITUTE(UPPER(S1443)," ",""),":",": "))),0)),"-")</f>
        <v>-</v>
      </c>
      <c r="K1443" s="49"/>
    </row>
    <row r="1444" spans="1:11" x14ac:dyDescent="0.25">
      <c r="A1444" s="46" t="str" cm="1">
        <f t="array" ref="A1444">IFERROR(INDEX(#REF!,MATCH(TRUE,ISNUMBER(FIND(SUBSTITUTE(SUBSTITUTE(UPPER(#REF!)," ",""),":",": "),SUBSTITUTE(SUBSTITUTE(UPPER(S1444)," ",""),":",": "))),0)),"Undefined")</f>
        <v>Undefined</v>
      </c>
      <c r="B1444" s="42" t="str" cm="1">
        <f t="array" ref="B1444">IFERROR(INDEX({"URGENTE"},MATCH(TRUE,ISNUMBER(FIND(SUBSTITUTE(SUBSTITUTE(UPPER({"URGENTE"})," ",""),":",": "),SUBSTITUTE(SUBSTITUTE(UPPER(S1444)," ",""),":",": "))),0)),"-")</f>
        <v>-</v>
      </c>
      <c r="C1444" s="46" t="str" cm="1">
        <f t="array" ref="C1444">IFERROR(INDEX(#REF!,MATCH(TRUE,ISNUMBER(FIND(SUBSTITUTE(SUBSTITUTE(UPPER(#REF!)," ",""),":",": "),SUBSTITUTE(SUBSTITUTE(UPPER(S1444)," ",""),":",": "))),0)),"Não encontrado")</f>
        <v>Não encontrado</v>
      </c>
      <c r="D1444" s="46" t="str" cm="1">
        <f t="array" ref="D1444">IFERROR(INDEX(#REF!,MATCH(TRUE,ISNUMBER(FIND(SUBSTITUTE(SUBSTITUTE(UPPER(#REF!)," ",""),":",": "),SUBSTITUTE(SUBSTITUTE(UPPER(S1444)," ",""),":",": "))),0)),"Não encontrado")</f>
        <v>Não encontrado</v>
      </c>
      <c r="E1444" s="42" t="str" cm="1">
        <f t="array" ref="E1444">IFERROR(INDEX({"IMPEDITIVO"},MATCH(TRUE,ISNUMBER(FIND(SUBSTITUTE(SUBSTITUTE(UPPER({"IMPEDITIVO"})," ",""),":",": "),SUBSTITUTE(SUBSTITUTE(UPPER(S1444)," ",""),":",": "))),0)),"-")</f>
        <v>-</v>
      </c>
      <c r="K1444" s="49"/>
    </row>
    <row r="1445" spans="1:11" x14ac:dyDescent="0.25">
      <c r="A1445" s="46" t="str" cm="1">
        <f t="array" ref="A1445">IFERROR(INDEX(#REF!,MATCH(TRUE,ISNUMBER(FIND(SUBSTITUTE(SUBSTITUTE(UPPER(#REF!)," ",""),":",": "),SUBSTITUTE(SUBSTITUTE(UPPER(S1445)," ",""),":",": "))),0)),"Undefined")</f>
        <v>Undefined</v>
      </c>
      <c r="B1445" s="42" t="str" cm="1">
        <f t="array" ref="B1445">IFERROR(INDEX({"URGENTE"},MATCH(TRUE,ISNUMBER(FIND(SUBSTITUTE(SUBSTITUTE(UPPER({"URGENTE"})," ",""),":",": "),SUBSTITUTE(SUBSTITUTE(UPPER(S1445)," ",""),":",": "))),0)),"-")</f>
        <v>-</v>
      </c>
      <c r="C1445" s="46" t="str" cm="1">
        <f t="array" ref="C1445">IFERROR(INDEX(#REF!,MATCH(TRUE,ISNUMBER(FIND(SUBSTITUTE(SUBSTITUTE(UPPER(#REF!)," ",""),":",": "),SUBSTITUTE(SUBSTITUTE(UPPER(S1445)," ",""),":",": "))),0)),"Não encontrado")</f>
        <v>Não encontrado</v>
      </c>
      <c r="D1445" s="46" t="str" cm="1">
        <f t="array" ref="D1445">IFERROR(INDEX(#REF!,MATCH(TRUE,ISNUMBER(FIND(SUBSTITUTE(SUBSTITUTE(UPPER(#REF!)," ",""),":",": "),SUBSTITUTE(SUBSTITUTE(UPPER(S1445)," ",""),":",": "))),0)),"Não encontrado")</f>
        <v>Não encontrado</v>
      </c>
      <c r="E1445" s="42" t="str" cm="1">
        <f t="array" ref="E1445">IFERROR(INDEX({"IMPEDITIVO"},MATCH(TRUE,ISNUMBER(FIND(SUBSTITUTE(SUBSTITUTE(UPPER({"IMPEDITIVO"})," ",""),":",": "),SUBSTITUTE(SUBSTITUTE(UPPER(S1445)," ",""),":",": "))),0)),"-")</f>
        <v>-</v>
      </c>
      <c r="K1445" s="49"/>
    </row>
    <row r="1446" spans="1:11" x14ac:dyDescent="0.25">
      <c r="A1446" s="46" t="str" cm="1">
        <f t="array" ref="A1446">IFERROR(INDEX(#REF!,MATCH(TRUE,ISNUMBER(FIND(SUBSTITUTE(SUBSTITUTE(UPPER(#REF!)," ",""),":",": "),SUBSTITUTE(SUBSTITUTE(UPPER(S1446)," ",""),":",": "))),0)),"Undefined")</f>
        <v>Undefined</v>
      </c>
      <c r="B1446" s="42" t="str" cm="1">
        <f t="array" ref="B1446">IFERROR(INDEX({"URGENTE"},MATCH(TRUE,ISNUMBER(FIND(SUBSTITUTE(SUBSTITUTE(UPPER({"URGENTE"})," ",""),":",": "),SUBSTITUTE(SUBSTITUTE(UPPER(S1446)," ",""),":",": "))),0)),"-")</f>
        <v>-</v>
      </c>
      <c r="C1446" s="46" t="str" cm="1">
        <f t="array" ref="C1446">IFERROR(INDEX(#REF!,MATCH(TRUE,ISNUMBER(FIND(SUBSTITUTE(SUBSTITUTE(UPPER(#REF!)," ",""),":",": "),SUBSTITUTE(SUBSTITUTE(UPPER(S1446)," ",""),":",": "))),0)),"Não encontrado")</f>
        <v>Não encontrado</v>
      </c>
      <c r="D1446" s="46" t="str" cm="1">
        <f t="array" ref="D1446">IFERROR(INDEX(#REF!,MATCH(TRUE,ISNUMBER(FIND(SUBSTITUTE(SUBSTITUTE(UPPER(#REF!)," ",""),":",": "),SUBSTITUTE(SUBSTITUTE(UPPER(S1446)," ",""),":",": "))),0)),"Não encontrado")</f>
        <v>Não encontrado</v>
      </c>
      <c r="E1446" s="42" t="str" cm="1">
        <f t="array" ref="E1446">IFERROR(INDEX({"IMPEDITIVO"},MATCH(TRUE,ISNUMBER(FIND(SUBSTITUTE(SUBSTITUTE(UPPER({"IMPEDITIVO"})," ",""),":",": "),SUBSTITUTE(SUBSTITUTE(UPPER(S1446)," ",""),":",": "))),0)),"-")</f>
        <v>-</v>
      </c>
      <c r="K1446" s="49"/>
    </row>
    <row r="1447" spans="1:11" x14ac:dyDescent="0.25">
      <c r="A1447" s="46" t="str" cm="1">
        <f t="array" ref="A1447">IFERROR(INDEX(#REF!,MATCH(TRUE,ISNUMBER(FIND(SUBSTITUTE(SUBSTITUTE(UPPER(#REF!)," ",""),":",": "),SUBSTITUTE(SUBSTITUTE(UPPER(S1447)," ",""),":",": "))),0)),"Undefined")</f>
        <v>Undefined</v>
      </c>
      <c r="B1447" s="42" t="str" cm="1">
        <f t="array" ref="B1447">IFERROR(INDEX({"URGENTE"},MATCH(TRUE,ISNUMBER(FIND(SUBSTITUTE(SUBSTITUTE(UPPER({"URGENTE"})," ",""),":",": "),SUBSTITUTE(SUBSTITUTE(UPPER(S1447)," ",""),":",": "))),0)),"-")</f>
        <v>-</v>
      </c>
      <c r="C1447" s="46" t="str" cm="1">
        <f t="array" ref="C1447">IFERROR(INDEX(#REF!,MATCH(TRUE,ISNUMBER(FIND(SUBSTITUTE(SUBSTITUTE(UPPER(#REF!)," ",""),":",": "),SUBSTITUTE(SUBSTITUTE(UPPER(S1447)," ",""),":",": "))),0)),"Não encontrado")</f>
        <v>Não encontrado</v>
      </c>
      <c r="D1447" s="46" t="str" cm="1">
        <f t="array" ref="D1447">IFERROR(INDEX(#REF!,MATCH(TRUE,ISNUMBER(FIND(SUBSTITUTE(SUBSTITUTE(UPPER(#REF!)," ",""),":",": "),SUBSTITUTE(SUBSTITUTE(UPPER(S1447)," ",""),":",": "))),0)),"Não encontrado")</f>
        <v>Não encontrado</v>
      </c>
      <c r="E1447" s="42" t="str" cm="1">
        <f t="array" ref="E1447">IFERROR(INDEX({"IMPEDITIVO"},MATCH(TRUE,ISNUMBER(FIND(SUBSTITUTE(SUBSTITUTE(UPPER({"IMPEDITIVO"})," ",""),":",": "),SUBSTITUTE(SUBSTITUTE(UPPER(S1447)," ",""),":",": "))),0)),"-")</f>
        <v>-</v>
      </c>
      <c r="K1447" s="49"/>
    </row>
    <row r="1448" spans="1:11" x14ac:dyDescent="0.25">
      <c r="A1448" s="46" t="str" cm="1">
        <f t="array" ref="A1448">IFERROR(INDEX(#REF!,MATCH(TRUE,ISNUMBER(FIND(SUBSTITUTE(SUBSTITUTE(UPPER(#REF!)," ",""),":",": "),SUBSTITUTE(SUBSTITUTE(UPPER(S1448)," ",""),":",": "))),0)),"Undefined")</f>
        <v>Undefined</v>
      </c>
      <c r="B1448" s="42" t="str" cm="1">
        <f t="array" ref="B1448">IFERROR(INDEX({"URGENTE"},MATCH(TRUE,ISNUMBER(FIND(SUBSTITUTE(SUBSTITUTE(UPPER({"URGENTE"})," ",""),":",": "),SUBSTITUTE(SUBSTITUTE(UPPER(S1448)," ",""),":",": "))),0)),"-")</f>
        <v>-</v>
      </c>
      <c r="C1448" s="46" t="str" cm="1">
        <f t="array" ref="C1448">IFERROR(INDEX(#REF!,MATCH(TRUE,ISNUMBER(FIND(SUBSTITUTE(SUBSTITUTE(UPPER(#REF!)," ",""),":",": "),SUBSTITUTE(SUBSTITUTE(UPPER(S1448)," ",""),":",": "))),0)),"Não encontrado")</f>
        <v>Não encontrado</v>
      </c>
      <c r="D1448" s="46" t="str" cm="1">
        <f t="array" ref="D1448">IFERROR(INDEX(#REF!,MATCH(TRUE,ISNUMBER(FIND(SUBSTITUTE(SUBSTITUTE(UPPER(#REF!)," ",""),":",": "),SUBSTITUTE(SUBSTITUTE(UPPER(S1448)," ",""),":",": "))),0)),"Não encontrado")</f>
        <v>Não encontrado</v>
      </c>
      <c r="E1448" s="42" t="str" cm="1">
        <f t="array" ref="E1448">IFERROR(INDEX({"IMPEDITIVO"},MATCH(TRUE,ISNUMBER(FIND(SUBSTITUTE(SUBSTITUTE(UPPER({"IMPEDITIVO"})," ",""),":",": "),SUBSTITUTE(SUBSTITUTE(UPPER(S1448)," ",""),":",": "))),0)),"-")</f>
        <v>-</v>
      </c>
      <c r="K1448" s="49"/>
    </row>
    <row r="1449" spans="1:11" x14ac:dyDescent="0.25">
      <c r="A1449" s="46" t="str" cm="1">
        <f t="array" ref="A1449">IFERROR(INDEX(#REF!,MATCH(TRUE,ISNUMBER(FIND(SUBSTITUTE(SUBSTITUTE(UPPER(#REF!)," ",""),":",": "),SUBSTITUTE(SUBSTITUTE(UPPER(S1449)," ",""),":",": "))),0)),"Undefined")</f>
        <v>Undefined</v>
      </c>
      <c r="B1449" s="42" t="str" cm="1">
        <f t="array" ref="B1449">IFERROR(INDEX({"URGENTE"},MATCH(TRUE,ISNUMBER(FIND(SUBSTITUTE(SUBSTITUTE(UPPER({"URGENTE"})," ",""),":",": "),SUBSTITUTE(SUBSTITUTE(UPPER(S1449)," ",""),":",": "))),0)),"-")</f>
        <v>-</v>
      </c>
      <c r="C1449" s="46" t="str" cm="1">
        <f t="array" ref="C1449">IFERROR(INDEX(#REF!,MATCH(TRUE,ISNUMBER(FIND(SUBSTITUTE(SUBSTITUTE(UPPER(#REF!)," ",""),":",": "),SUBSTITUTE(SUBSTITUTE(UPPER(S1449)," ",""),":",": "))),0)),"Não encontrado")</f>
        <v>Não encontrado</v>
      </c>
      <c r="D1449" s="46" t="str" cm="1">
        <f t="array" ref="D1449">IFERROR(INDEX(#REF!,MATCH(TRUE,ISNUMBER(FIND(SUBSTITUTE(SUBSTITUTE(UPPER(#REF!)," ",""),":",": "),SUBSTITUTE(SUBSTITUTE(UPPER(S1449)," ",""),":",": "))),0)),"Não encontrado")</f>
        <v>Não encontrado</v>
      </c>
      <c r="E1449" s="42" t="str" cm="1">
        <f t="array" ref="E1449">IFERROR(INDEX({"IMPEDITIVO"},MATCH(TRUE,ISNUMBER(FIND(SUBSTITUTE(SUBSTITUTE(UPPER({"IMPEDITIVO"})," ",""),":",": "),SUBSTITUTE(SUBSTITUTE(UPPER(S1449)," ",""),":",": "))),0)),"-")</f>
        <v>-</v>
      </c>
      <c r="K1449" s="49"/>
    </row>
    <row r="1450" spans="1:11" x14ac:dyDescent="0.25">
      <c r="A1450" s="46" t="str" cm="1">
        <f t="array" ref="A1450">IFERROR(INDEX(#REF!,MATCH(TRUE,ISNUMBER(FIND(SUBSTITUTE(SUBSTITUTE(UPPER(#REF!)," ",""),":",": "),SUBSTITUTE(SUBSTITUTE(UPPER(S1450)," ",""),":",": "))),0)),"Undefined")</f>
        <v>Undefined</v>
      </c>
      <c r="B1450" s="42" t="str" cm="1">
        <f t="array" ref="B1450">IFERROR(INDEX({"URGENTE"},MATCH(TRUE,ISNUMBER(FIND(SUBSTITUTE(SUBSTITUTE(UPPER({"URGENTE"})," ",""),":",": "),SUBSTITUTE(SUBSTITUTE(UPPER(S1450)," ",""),":",": "))),0)),"-")</f>
        <v>-</v>
      </c>
      <c r="C1450" s="46" t="str" cm="1">
        <f t="array" ref="C1450">IFERROR(INDEX(#REF!,MATCH(TRUE,ISNUMBER(FIND(SUBSTITUTE(SUBSTITUTE(UPPER(#REF!)," ",""),":",": "),SUBSTITUTE(SUBSTITUTE(UPPER(S1450)," ",""),":",": "))),0)),"Não encontrado")</f>
        <v>Não encontrado</v>
      </c>
      <c r="D1450" s="46" t="str" cm="1">
        <f t="array" ref="D1450">IFERROR(INDEX(#REF!,MATCH(TRUE,ISNUMBER(FIND(SUBSTITUTE(SUBSTITUTE(UPPER(#REF!)," ",""),":",": "),SUBSTITUTE(SUBSTITUTE(UPPER(S1450)," ",""),":",": "))),0)),"Não encontrado")</f>
        <v>Não encontrado</v>
      </c>
      <c r="E1450" s="42" t="str" cm="1">
        <f t="array" ref="E1450">IFERROR(INDEX({"IMPEDITIVO"},MATCH(TRUE,ISNUMBER(FIND(SUBSTITUTE(SUBSTITUTE(UPPER({"IMPEDITIVO"})," ",""),":",": "),SUBSTITUTE(SUBSTITUTE(UPPER(S1450)," ",""),":",": "))),0)),"-")</f>
        <v>-</v>
      </c>
      <c r="K1450" s="49"/>
    </row>
    <row r="1451" spans="1:11" x14ac:dyDescent="0.25">
      <c r="A1451" s="46" t="str" cm="1">
        <f t="array" ref="A1451">IFERROR(INDEX(#REF!,MATCH(TRUE,ISNUMBER(FIND(SUBSTITUTE(SUBSTITUTE(UPPER(#REF!)," ",""),":",": "),SUBSTITUTE(SUBSTITUTE(UPPER(S1451)," ",""),":",": "))),0)),"Undefined")</f>
        <v>Undefined</v>
      </c>
      <c r="B1451" s="42" t="str" cm="1">
        <f t="array" ref="B1451">IFERROR(INDEX({"URGENTE"},MATCH(TRUE,ISNUMBER(FIND(SUBSTITUTE(SUBSTITUTE(UPPER({"URGENTE"})," ",""),":",": "),SUBSTITUTE(SUBSTITUTE(UPPER(S1451)," ",""),":",": "))),0)),"-")</f>
        <v>-</v>
      </c>
      <c r="C1451" s="46" t="str" cm="1">
        <f t="array" ref="C1451">IFERROR(INDEX(#REF!,MATCH(TRUE,ISNUMBER(FIND(SUBSTITUTE(SUBSTITUTE(UPPER(#REF!)," ",""),":",": "),SUBSTITUTE(SUBSTITUTE(UPPER(S1451)," ",""),":",": "))),0)),"Não encontrado")</f>
        <v>Não encontrado</v>
      </c>
      <c r="D1451" s="46" t="str" cm="1">
        <f t="array" ref="D1451">IFERROR(INDEX(#REF!,MATCH(TRUE,ISNUMBER(FIND(SUBSTITUTE(SUBSTITUTE(UPPER(#REF!)," ",""),":",": "),SUBSTITUTE(SUBSTITUTE(UPPER(S1451)," ",""),":",": "))),0)),"Não encontrado")</f>
        <v>Não encontrado</v>
      </c>
      <c r="E1451" s="42" t="str" cm="1">
        <f t="array" ref="E1451">IFERROR(INDEX({"IMPEDITIVO"},MATCH(TRUE,ISNUMBER(FIND(SUBSTITUTE(SUBSTITUTE(UPPER({"IMPEDITIVO"})," ",""),":",": "),SUBSTITUTE(SUBSTITUTE(UPPER(S1451)," ",""),":",": "))),0)),"-")</f>
        <v>-</v>
      </c>
      <c r="K1451" s="49"/>
    </row>
    <row r="1452" spans="1:11" x14ac:dyDescent="0.25">
      <c r="A1452" s="46" t="str" cm="1">
        <f t="array" ref="A1452">IFERROR(INDEX(#REF!,MATCH(TRUE,ISNUMBER(FIND(SUBSTITUTE(SUBSTITUTE(UPPER(#REF!)," ",""),":",": "),SUBSTITUTE(SUBSTITUTE(UPPER(S1452)," ",""),":",": "))),0)),"Undefined")</f>
        <v>Undefined</v>
      </c>
      <c r="B1452" s="42" t="str" cm="1">
        <f t="array" ref="B1452">IFERROR(INDEX({"URGENTE"},MATCH(TRUE,ISNUMBER(FIND(SUBSTITUTE(SUBSTITUTE(UPPER({"URGENTE"})," ",""),":",": "),SUBSTITUTE(SUBSTITUTE(UPPER(S1452)," ",""),":",": "))),0)),"-")</f>
        <v>-</v>
      </c>
      <c r="C1452" s="46" t="str" cm="1">
        <f t="array" ref="C1452">IFERROR(INDEX(#REF!,MATCH(TRUE,ISNUMBER(FIND(SUBSTITUTE(SUBSTITUTE(UPPER(#REF!)," ",""),":",": "),SUBSTITUTE(SUBSTITUTE(UPPER(S1452)," ",""),":",": "))),0)),"Não encontrado")</f>
        <v>Não encontrado</v>
      </c>
      <c r="D1452" s="46" t="str" cm="1">
        <f t="array" ref="D1452">IFERROR(INDEX(#REF!,MATCH(TRUE,ISNUMBER(FIND(SUBSTITUTE(SUBSTITUTE(UPPER(#REF!)," ",""),":",": "),SUBSTITUTE(SUBSTITUTE(UPPER(S1452)," ",""),":",": "))),0)),"Não encontrado")</f>
        <v>Não encontrado</v>
      </c>
      <c r="E1452" s="42" t="str" cm="1">
        <f t="array" ref="E1452">IFERROR(INDEX({"IMPEDITIVO"},MATCH(TRUE,ISNUMBER(FIND(SUBSTITUTE(SUBSTITUTE(UPPER({"IMPEDITIVO"})," ",""),":",": "),SUBSTITUTE(SUBSTITUTE(UPPER(S1452)," ",""),":",": "))),0)),"-")</f>
        <v>-</v>
      </c>
      <c r="K1452" s="49"/>
    </row>
    <row r="1453" spans="1:11" x14ac:dyDescent="0.25">
      <c r="A1453" s="46" t="str" cm="1">
        <f t="array" ref="A1453">IFERROR(INDEX(#REF!,MATCH(TRUE,ISNUMBER(FIND(SUBSTITUTE(SUBSTITUTE(UPPER(#REF!)," ",""),":",": "),SUBSTITUTE(SUBSTITUTE(UPPER(S1453)," ",""),":",": "))),0)),"Undefined")</f>
        <v>Undefined</v>
      </c>
      <c r="B1453" s="42" t="str" cm="1">
        <f t="array" ref="B1453">IFERROR(INDEX({"URGENTE"},MATCH(TRUE,ISNUMBER(FIND(SUBSTITUTE(SUBSTITUTE(UPPER({"URGENTE"})," ",""),":",": "),SUBSTITUTE(SUBSTITUTE(UPPER(S1453)," ",""),":",": "))),0)),"-")</f>
        <v>-</v>
      </c>
      <c r="C1453" s="46" t="str" cm="1">
        <f t="array" ref="C1453">IFERROR(INDEX(#REF!,MATCH(TRUE,ISNUMBER(FIND(SUBSTITUTE(SUBSTITUTE(UPPER(#REF!)," ",""),":",": "),SUBSTITUTE(SUBSTITUTE(UPPER(S1453)," ",""),":",": "))),0)),"Não encontrado")</f>
        <v>Não encontrado</v>
      </c>
      <c r="D1453" s="46" t="str" cm="1">
        <f t="array" ref="D1453">IFERROR(INDEX(#REF!,MATCH(TRUE,ISNUMBER(FIND(SUBSTITUTE(SUBSTITUTE(UPPER(#REF!)," ",""),":",": "),SUBSTITUTE(SUBSTITUTE(UPPER(S1453)," ",""),":",": "))),0)),"Não encontrado")</f>
        <v>Não encontrado</v>
      </c>
      <c r="E1453" s="42" t="str" cm="1">
        <f t="array" ref="E1453">IFERROR(INDEX({"IMPEDITIVO"},MATCH(TRUE,ISNUMBER(FIND(SUBSTITUTE(SUBSTITUTE(UPPER({"IMPEDITIVO"})," ",""),":",": "),SUBSTITUTE(SUBSTITUTE(UPPER(S1453)," ",""),":",": "))),0)),"-")</f>
        <v>-</v>
      </c>
      <c r="K1453" s="49"/>
    </row>
    <row r="1454" spans="1:11" x14ac:dyDescent="0.25">
      <c r="A1454" s="46" t="str" cm="1">
        <f t="array" ref="A1454">IFERROR(INDEX(#REF!,MATCH(TRUE,ISNUMBER(FIND(SUBSTITUTE(SUBSTITUTE(UPPER(#REF!)," ",""),":",": "),SUBSTITUTE(SUBSTITUTE(UPPER(S1454)," ",""),":",": "))),0)),"Undefined")</f>
        <v>Undefined</v>
      </c>
      <c r="B1454" s="42" t="str" cm="1">
        <f t="array" ref="B1454">IFERROR(INDEX({"URGENTE"},MATCH(TRUE,ISNUMBER(FIND(SUBSTITUTE(SUBSTITUTE(UPPER({"URGENTE"})," ",""),":",": "),SUBSTITUTE(SUBSTITUTE(UPPER(S1454)," ",""),":",": "))),0)),"-")</f>
        <v>-</v>
      </c>
      <c r="C1454" s="46" t="str" cm="1">
        <f t="array" ref="C1454">IFERROR(INDEX(#REF!,MATCH(TRUE,ISNUMBER(FIND(SUBSTITUTE(SUBSTITUTE(UPPER(#REF!)," ",""),":",": "),SUBSTITUTE(SUBSTITUTE(UPPER(S1454)," ",""),":",": "))),0)),"Não encontrado")</f>
        <v>Não encontrado</v>
      </c>
      <c r="D1454" s="46" t="str" cm="1">
        <f t="array" ref="D1454">IFERROR(INDEX(#REF!,MATCH(TRUE,ISNUMBER(FIND(SUBSTITUTE(SUBSTITUTE(UPPER(#REF!)," ",""),":",": "),SUBSTITUTE(SUBSTITUTE(UPPER(S1454)," ",""),":",": "))),0)),"Não encontrado")</f>
        <v>Não encontrado</v>
      </c>
      <c r="E1454" s="42" t="str" cm="1">
        <f t="array" ref="E1454">IFERROR(INDEX({"IMPEDITIVO"},MATCH(TRUE,ISNUMBER(FIND(SUBSTITUTE(SUBSTITUTE(UPPER({"IMPEDITIVO"})," ",""),":",": "),SUBSTITUTE(SUBSTITUTE(UPPER(S1454)," ",""),":",": "))),0)),"-")</f>
        <v>-</v>
      </c>
      <c r="K1454" s="49"/>
    </row>
    <row r="1455" spans="1:11" x14ac:dyDescent="0.25">
      <c r="A1455" s="46" t="str" cm="1">
        <f t="array" ref="A1455">IFERROR(INDEX(#REF!,MATCH(TRUE,ISNUMBER(FIND(SUBSTITUTE(SUBSTITUTE(UPPER(#REF!)," ",""),":",": "),SUBSTITUTE(SUBSTITUTE(UPPER(S1455)," ",""),":",": "))),0)),"Undefined")</f>
        <v>Undefined</v>
      </c>
      <c r="B1455" s="42" t="str" cm="1">
        <f t="array" ref="B1455">IFERROR(INDEX({"URGENTE"},MATCH(TRUE,ISNUMBER(FIND(SUBSTITUTE(SUBSTITUTE(UPPER({"URGENTE"})," ",""),":",": "),SUBSTITUTE(SUBSTITUTE(UPPER(S1455)," ",""),":",": "))),0)),"-")</f>
        <v>-</v>
      </c>
      <c r="C1455" s="46" t="str" cm="1">
        <f t="array" ref="C1455">IFERROR(INDEX(#REF!,MATCH(TRUE,ISNUMBER(FIND(SUBSTITUTE(SUBSTITUTE(UPPER(#REF!)," ",""),":",": "),SUBSTITUTE(SUBSTITUTE(UPPER(S1455)," ",""),":",": "))),0)),"Não encontrado")</f>
        <v>Não encontrado</v>
      </c>
      <c r="D1455" s="46" t="str" cm="1">
        <f t="array" ref="D1455">IFERROR(INDEX(#REF!,MATCH(TRUE,ISNUMBER(FIND(SUBSTITUTE(SUBSTITUTE(UPPER(#REF!)," ",""),":",": "),SUBSTITUTE(SUBSTITUTE(UPPER(S1455)," ",""),":",": "))),0)),"Não encontrado")</f>
        <v>Não encontrado</v>
      </c>
      <c r="E1455" s="42" t="str" cm="1">
        <f t="array" ref="E1455">IFERROR(INDEX({"IMPEDITIVO"},MATCH(TRUE,ISNUMBER(FIND(SUBSTITUTE(SUBSTITUTE(UPPER({"IMPEDITIVO"})," ",""),":",": "),SUBSTITUTE(SUBSTITUTE(UPPER(S1455)," ",""),":",": "))),0)),"-")</f>
        <v>-</v>
      </c>
      <c r="K1455" s="49"/>
    </row>
    <row r="1456" spans="1:11" x14ac:dyDescent="0.25">
      <c r="A1456" s="46" t="str" cm="1">
        <f t="array" ref="A1456">IFERROR(INDEX(#REF!,MATCH(TRUE,ISNUMBER(FIND(SUBSTITUTE(SUBSTITUTE(UPPER(#REF!)," ",""),":",": "),SUBSTITUTE(SUBSTITUTE(UPPER(S1456)," ",""),":",": "))),0)),"Undefined")</f>
        <v>Undefined</v>
      </c>
      <c r="B1456" s="42" t="str" cm="1">
        <f t="array" ref="B1456">IFERROR(INDEX({"URGENTE"},MATCH(TRUE,ISNUMBER(FIND(SUBSTITUTE(SUBSTITUTE(UPPER({"URGENTE"})," ",""),":",": "),SUBSTITUTE(SUBSTITUTE(UPPER(S1456)," ",""),":",": "))),0)),"-")</f>
        <v>-</v>
      </c>
      <c r="C1456" s="46" t="str" cm="1">
        <f t="array" ref="C1456">IFERROR(INDEX(#REF!,MATCH(TRUE,ISNUMBER(FIND(SUBSTITUTE(SUBSTITUTE(UPPER(#REF!)," ",""),":",": "),SUBSTITUTE(SUBSTITUTE(UPPER(S1456)," ",""),":",": "))),0)),"Não encontrado")</f>
        <v>Não encontrado</v>
      </c>
      <c r="D1456" s="46" t="str" cm="1">
        <f t="array" ref="D1456">IFERROR(INDEX(#REF!,MATCH(TRUE,ISNUMBER(FIND(SUBSTITUTE(SUBSTITUTE(UPPER(#REF!)," ",""),":",": "),SUBSTITUTE(SUBSTITUTE(UPPER(S1456)," ",""),":",": "))),0)),"Não encontrado")</f>
        <v>Não encontrado</v>
      </c>
      <c r="E1456" s="42" t="str" cm="1">
        <f t="array" ref="E1456">IFERROR(INDEX({"IMPEDITIVO"},MATCH(TRUE,ISNUMBER(FIND(SUBSTITUTE(SUBSTITUTE(UPPER({"IMPEDITIVO"})," ",""),":",": "),SUBSTITUTE(SUBSTITUTE(UPPER(S1456)," ",""),":",": "))),0)),"-")</f>
        <v>-</v>
      </c>
      <c r="K1456" s="49"/>
    </row>
    <row r="1457" spans="1:11" x14ac:dyDescent="0.25">
      <c r="A1457" s="46" t="str" cm="1">
        <f t="array" ref="A1457">IFERROR(INDEX(#REF!,MATCH(TRUE,ISNUMBER(FIND(SUBSTITUTE(SUBSTITUTE(UPPER(#REF!)," ",""),":",": "),SUBSTITUTE(SUBSTITUTE(UPPER(S1457)," ",""),":",": "))),0)),"Undefined")</f>
        <v>Undefined</v>
      </c>
      <c r="B1457" s="42" t="str" cm="1">
        <f t="array" ref="B1457">IFERROR(INDEX({"URGENTE"},MATCH(TRUE,ISNUMBER(FIND(SUBSTITUTE(SUBSTITUTE(UPPER({"URGENTE"})," ",""),":",": "),SUBSTITUTE(SUBSTITUTE(UPPER(S1457)," ",""),":",": "))),0)),"-")</f>
        <v>-</v>
      </c>
      <c r="C1457" s="46" t="str" cm="1">
        <f t="array" ref="C1457">IFERROR(INDEX(#REF!,MATCH(TRUE,ISNUMBER(FIND(SUBSTITUTE(SUBSTITUTE(UPPER(#REF!)," ",""),":",": "),SUBSTITUTE(SUBSTITUTE(UPPER(S1457)," ",""),":",": "))),0)),"Não encontrado")</f>
        <v>Não encontrado</v>
      </c>
      <c r="D1457" s="46" t="str" cm="1">
        <f t="array" ref="D1457">IFERROR(INDEX(#REF!,MATCH(TRUE,ISNUMBER(FIND(SUBSTITUTE(SUBSTITUTE(UPPER(#REF!)," ",""),":",": "),SUBSTITUTE(SUBSTITUTE(UPPER(S1457)," ",""),":",": "))),0)),"Não encontrado")</f>
        <v>Não encontrado</v>
      </c>
      <c r="E1457" s="42" t="str" cm="1">
        <f t="array" ref="E1457">IFERROR(INDEX({"IMPEDITIVO"},MATCH(TRUE,ISNUMBER(FIND(SUBSTITUTE(SUBSTITUTE(UPPER({"IMPEDITIVO"})," ",""),":",": "),SUBSTITUTE(SUBSTITUTE(UPPER(S1457)," ",""),":",": "))),0)),"-")</f>
        <v>-</v>
      </c>
      <c r="K1457" s="49"/>
    </row>
    <row r="1458" spans="1:11" x14ac:dyDescent="0.25">
      <c r="A1458" s="46" t="str" cm="1">
        <f t="array" ref="A1458">IFERROR(INDEX(#REF!,MATCH(TRUE,ISNUMBER(FIND(SUBSTITUTE(SUBSTITUTE(UPPER(#REF!)," ",""),":",": "),SUBSTITUTE(SUBSTITUTE(UPPER(S1458)," ",""),":",": "))),0)),"Undefined")</f>
        <v>Undefined</v>
      </c>
      <c r="B1458" s="42" t="str" cm="1">
        <f t="array" ref="B1458">IFERROR(INDEX({"URGENTE"},MATCH(TRUE,ISNUMBER(FIND(SUBSTITUTE(SUBSTITUTE(UPPER({"URGENTE"})," ",""),":",": "),SUBSTITUTE(SUBSTITUTE(UPPER(S1458)," ",""),":",": "))),0)),"-")</f>
        <v>-</v>
      </c>
      <c r="C1458" s="46" t="str" cm="1">
        <f t="array" ref="C1458">IFERROR(INDEX(#REF!,MATCH(TRUE,ISNUMBER(FIND(SUBSTITUTE(SUBSTITUTE(UPPER(#REF!)," ",""),":",": "),SUBSTITUTE(SUBSTITUTE(UPPER(S1458)," ",""),":",": "))),0)),"Não encontrado")</f>
        <v>Não encontrado</v>
      </c>
      <c r="D1458" s="46" t="str" cm="1">
        <f t="array" ref="D1458">IFERROR(INDEX(#REF!,MATCH(TRUE,ISNUMBER(FIND(SUBSTITUTE(SUBSTITUTE(UPPER(#REF!)," ",""),":",": "),SUBSTITUTE(SUBSTITUTE(UPPER(S1458)," ",""),":",": "))),0)),"Não encontrado")</f>
        <v>Não encontrado</v>
      </c>
      <c r="E1458" s="42" t="str" cm="1">
        <f t="array" ref="E1458">IFERROR(INDEX({"IMPEDITIVO"},MATCH(TRUE,ISNUMBER(FIND(SUBSTITUTE(SUBSTITUTE(UPPER({"IMPEDITIVO"})," ",""),":",": "),SUBSTITUTE(SUBSTITUTE(UPPER(S1458)," ",""),":",": "))),0)),"-")</f>
        <v>-</v>
      </c>
      <c r="K1458" s="49"/>
    </row>
    <row r="1459" spans="1:11" x14ac:dyDescent="0.25">
      <c r="A1459" s="46" t="str" cm="1">
        <f t="array" ref="A1459">IFERROR(INDEX(#REF!,MATCH(TRUE,ISNUMBER(FIND(SUBSTITUTE(SUBSTITUTE(UPPER(#REF!)," ",""),":",": "),SUBSTITUTE(SUBSTITUTE(UPPER(S1459)," ",""),":",": "))),0)),"Undefined")</f>
        <v>Undefined</v>
      </c>
      <c r="B1459" s="42" t="str" cm="1">
        <f t="array" ref="B1459">IFERROR(INDEX({"URGENTE"},MATCH(TRUE,ISNUMBER(FIND(SUBSTITUTE(SUBSTITUTE(UPPER({"URGENTE"})," ",""),":",": "),SUBSTITUTE(SUBSTITUTE(UPPER(S1459)," ",""),":",": "))),0)),"-")</f>
        <v>-</v>
      </c>
      <c r="C1459" s="46" t="str" cm="1">
        <f t="array" ref="C1459">IFERROR(INDEX(#REF!,MATCH(TRUE,ISNUMBER(FIND(SUBSTITUTE(SUBSTITUTE(UPPER(#REF!)," ",""),":",": "),SUBSTITUTE(SUBSTITUTE(UPPER(S1459)," ",""),":",": "))),0)),"Não encontrado")</f>
        <v>Não encontrado</v>
      </c>
      <c r="D1459" s="46" t="str" cm="1">
        <f t="array" ref="D1459">IFERROR(INDEX(#REF!,MATCH(TRUE,ISNUMBER(FIND(SUBSTITUTE(SUBSTITUTE(UPPER(#REF!)," ",""),":",": "),SUBSTITUTE(SUBSTITUTE(UPPER(S1459)," ",""),":",": "))),0)),"Não encontrado")</f>
        <v>Não encontrado</v>
      </c>
      <c r="E1459" s="42" t="str" cm="1">
        <f t="array" ref="E1459">IFERROR(INDEX({"IMPEDITIVO"},MATCH(TRUE,ISNUMBER(FIND(SUBSTITUTE(SUBSTITUTE(UPPER({"IMPEDITIVO"})," ",""),":",": "),SUBSTITUTE(SUBSTITUTE(UPPER(S1459)," ",""),":",": "))),0)),"-")</f>
        <v>-</v>
      </c>
      <c r="K1459" s="49"/>
    </row>
    <row r="1460" spans="1:11" x14ac:dyDescent="0.25">
      <c r="A1460" s="46" t="str" cm="1">
        <f t="array" ref="A1460">IFERROR(INDEX(#REF!,MATCH(TRUE,ISNUMBER(FIND(SUBSTITUTE(SUBSTITUTE(UPPER(#REF!)," ",""),":",": "),SUBSTITUTE(SUBSTITUTE(UPPER(S1460)," ",""),":",": "))),0)),"Undefined")</f>
        <v>Undefined</v>
      </c>
      <c r="B1460" s="42" t="str" cm="1">
        <f t="array" ref="B1460">IFERROR(INDEX({"URGENTE"},MATCH(TRUE,ISNUMBER(FIND(SUBSTITUTE(SUBSTITUTE(UPPER({"URGENTE"})," ",""),":",": "),SUBSTITUTE(SUBSTITUTE(UPPER(S1460)," ",""),":",": "))),0)),"-")</f>
        <v>-</v>
      </c>
      <c r="C1460" s="46" t="str" cm="1">
        <f t="array" ref="C1460">IFERROR(INDEX(#REF!,MATCH(TRUE,ISNUMBER(FIND(SUBSTITUTE(SUBSTITUTE(UPPER(#REF!)," ",""),":",": "),SUBSTITUTE(SUBSTITUTE(UPPER(S1460)," ",""),":",": "))),0)),"Não encontrado")</f>
        <v>Não encontrado</v>
      </c>
      <c r="D1460" s="46" t="str" cm="1">
        <f t="array" ref="D1460">IFERROR(INDEX(#REF!,MATCH(TRUE,ISNUMBER(FIND(SUBSTITUTE(SUBSTITUTE(UPPER(#REF!)," ",""),":",": "),SUBSTITUTE(SUBSTITUTE(UPPER(S1460)," ",""),":",": "))),0)),"Não encontrado")</f>
        <v>Não encontrado</v>
      </c>
      <c r="E1460" s="42" t="str" cm="1">
        <f t="array" ref="E1460">IFERROR(INDEX({"IMPEDITIVO"},MATCH(TRUE,ISNUMBER(FIND(SUBSTITUTE(SUBSTITUTE(UPPER({"IMPEDITIVO"})," ",""),":",": "),SUBSTITUTE(SUBSTITUTE(UPPER(S1460)," ",""),":",": "))),0)),"-")</f>
        <v>-</v>
      </c>
      <c r="K1460" s="49"/>
    </row>
    <row r="1461" spans="1:11" x14ac:dyDescent="0.25">
      <c r="A1461" s="46" t="str" cm="1">
        <f t="array" ref="A1461">IFERROR(INDEX(#REF!,MATCH(TRUE,ISNUMBER(FIND(SUBSTITUTE(SUBSTITUTE(UPPER(#REF!)," ",""),":",": "),SUBSTITUTE(SUBSTITUTE(UPPER(S1461)," ",""),":",": "))),0)),"Undefined")</f>
        <v>Undefined</v>
      </c>
      <c r="B1461" s="42" t="str" cm="1">
        <f t="array" ref="B1461">IFERROR(INDEX({"URGENTE"},MATCH(TRUE,ISNUMBER(FIND(SUBSTITUTE(SUBSTITUTE(UPPER({"URGENTE"})," ",""),":",": "),SUBSTITUTE(SUBSTITUTE(UPPER(S1461)," ",""),":",": "))),0)),"-")</f>
        <v>-</v>
      </c>
      <c r="C1461" s="46" t="str" cm="1">
        <f t="array" ref="C1461">IFERROR(INDEX(#REF!,MATCH(TRUE,ISNUMBER(FIND(SUBSTITUTE(SUBSTITUTE(UPPER(#REF!)," ",""),":",": "),SUBSTITUTE(SUBSTITUTE(UPPER(S1461)," ",""),":",": "))),0)),"Não encontrado")</f>
        <v>Não encontrado</v>
      </c>
      <c r="D1461" s="46" t="str" cm="1">
        <f t="array" ref="D1461">IFERROR(INDEX(#REF!,MATCH(TRUE,ISNUMBER(FIND(SUBSTITUTE(SUBSTITUTE(UPPER(#REF!)," ",""),":",": "),SUBSTITUTE(SUBSTITUTE(UPPER(S1461)," ",""),":",": "))),0)),"Não encontrado")</f>
        <v>Não encontrado</v>
      </c>
      <c r="E1461" s="42" t="str" cm="1">
        <f t="array" ref="E1461">IFERROR(INDEX({"IMPEDITIVO"},MATCH(TRUE,ISNUMBER(FIND(SUBSTITUTE(SUBSTITUTE(UPPER({"IMPEDITIVO"})," ",""),":",": "),SUBSTITUTE(SUBSTITUTE(UPPER(S1461)," ",""),":",": "))),0)),"-")</f>
        <v>-</v>
      </c>
      <c r="K1461" s="49"/>
    </row>
    <row r="1462" spans="1:11" x14ac:dyDescent="0.25">
      <c r="A1462" s="46" t="str" cm="1">
        <f t="array" ref="A1462">IFERROR(INDEX(#REF!,MATCH(TRUE,ISNUMBER(FIND(SUBSTITUTE(SUBSTITUTE(UPPER(#REF!)," ",""),":",": "),SUBSTITUTE(SUBSTITUTE(UPPER(S1462)," ",""),":",": "))),0)),"Undefined")</f>
        <v>Undefined</v>
      </c>
      <c r="B1462" s="42" t="str" cm="1">
        <f t="array" ref="B1462">IFERROR(INDEX({"URGENTE"},MATCH(TRUE,ISNUMBER(FIND(SUBSTITUTE(SUBSTITUTE(UPPER({"URGENTE"})," ",""),":",": "),SUBSTITUTE(SUBSTITUTE(UPPER(S1462)," ",""),":",": "))),0)),"-")</f>
        <v>-</v>
      </c>
      <c r="C1462" s="46" t="str" cm="1">
        <f t="array" ref="C1462">IFERROR(INDEX(#REF!,MATCH(TRUE,ISNUMBER(FIND(SUBSTITUTE(SUBSTITUTE(UPPER(#REF!)," ",""),":",": "),SUBSTITUTE(SUBSTITUTE(UPPER(S1462)," ",""),":",": "))),0)),"Não encontrado")</f>
        <v>Não encontrado</v>
      </c>
      <c r="D1462" s="46" t="str" cm="1">
        <f t="array" ref="D1462">IFERROR(INDEX(#REF!,MATCH(TRUE,ISNUMBER(FIND(SUBSTITUTE(SUBSTITUTE(UPPER(#REF!)," ",""),":",": "),SUBSTITUTE(SUBSTITUTE(UPPER(S1462)," ",""),":",": "))),0)),"Não encontrado")</f>
        <v>Não encontrado</v>
      </c>
      <c r="E1462" s="42" t="str" cm="1">
        <f t="array" ref="E1462">IFERROR(INDEX({"IMPEDITIVO"},MATCH(TRUE,ISNUMBER(FIND(SUBSTITUTE(SUBSTITUTE(UPPER({"IMPEDITIVO"})," ",""),":",": "),SUBSTITUTE(SUBSTITUTE(UPPER(S1462)," ",""),":",": "))),0)),"-")</f>
        <v>-</v>
      </c>
      <c r="K1462" s="49"/>
    </row>
    <row r="1463" spans="1:11" x14ac:dyDescent="0.25">
      <c r="A1463" s="46" t="str" cm="1">
        <f t="array" ref="A1463">IFERROR(INDEX(#REF!,MATCH(TRUE,ISNUMBER(FIND(SUBSTITUTE(SUBSTITUTE(UPPER(#REF!)," ",""),":",": "),SUBSTITUTE(SUBSTITUTE(UPPER(S1463)," ",""),":",": "))),0)),"Undefined")</f>
        <v>Undefined</v>
      </c>
      <c r="B1463" s="42" t="str" cm="1">
        <f t="array" ref="B1463">IFERROR(INDEX({"URGENTE"},MATCH(TRUE,ISNUMBER(FIND(SUBSTITUTE(SUBSTITUTE(UPPER({"URGENTE"})," ",""),":",": "),SUBSTITUTE(SUBSTITUTE(UPPER(S1463)," ",""),":",": "))),0)),"-")</f>
        <v>-</v>
      </c>
      <c r="C1463" s="46" t="str" cm="1">
        <f t="array" ref="C1463">IFERROR(INDEX(#REF!,MATCH(TRUE,ISNUMBER(FIND(SUBSTITUTE(SUBSTITUTE(UPPER(#REF!)," ",""),":",": "),SUBSTITUTE(SUBSTITUTE(UPPER(S1463)," ",""),":",": "))),0)),"Não encontrado")</f>
        <v>Não encontrado</v>
      </c>
      <c r="D1463" s="46" t="str" cm="1">
        <f t="array" ref="D1463">IFERROR(INDEX(#REF!,MATCH(TRUE,ISNUMBER(FIND(SUBSTITUTE(SUBSTITUTE(UPPER(#REF!)," ",""),":",": "),SUBSTITUTE(SUBSTITUTE(UPPER(S1463)," ",""),":",": "))),0)),"Não encontrado")</f>
        <v>Não encontrado</v>
      </c>
      <c r="E1463" s="42" t="str" cm="1">
        <f t="array" ref="E1463">IFERROR(INDEX({"IMPEDITIVO"},MATCH(TRUE,ISNUMBER(FIND(SUBSTITUTE(SUBSTITUTE(UPPER({"IMPEDITIVO"})," ",""),":",": "),SUBSTITUTE(SUBSTITUTE(UPPER(S1463)," ",""),":",": "))),0)),"-")</f>
        <v>-</v>
      </c>
      <c r="K1463" s="49"/>
    </row>
    <row r="1464" spans="1:11" x14ac:dyDescent="0.25">
      <c r="A1464" s="46" t="str" cm="1">
        <f t="array" ref="A1464">IFERROR(INDEX(#REF!,MATCH(TRUE,ISNUMBER(FIND(SUBSTITUTE(SUBSTITUTE(UPPER(#REF!)," ",""),":",": "),SUBSTITUTE(SUBSTITUTE(UPPER(S1464)," ",""),":",": "))),0)),"Undefined")</f>
        <v>Undefined</v>
      </c>
      <c r="B1464" s="42" t="str" cm="1">
        <f t="array" ref="B1464">IFERROR(INDEX({"URGENTE"},MATCH(TRUE,ISNUMBER(FIND(SUBSTITUTE(SUBSTITUTE(UPPER({"URGENTE"})," ",""),":",": "),SUBSTITUTE(SUBSTITUTE(UPPER(S1464)," ",""),":",": "))),0)),"-")</f>
        <v>-</v>
      </c>
      <c r="C1464" s="46" t="str" cm="1">
        <f t="array" ref="C1464">IFERROR(INDEX(#REF!,MATCH(TRUE,ISNUMBER(FIND(SUBSTITUTE(SUBSTITUTE(UPPER(#REF!)," ",""),":",": "),SUBSTITUTE(SUBSTITUTE(UPPER(S1464)," ",""),":",": "))),0)),"Não encontrado")</f>
        <v>Não encontrado</v>
      </c>
      <c r="D1464" s="46" t="str" cm="1">
        <f t="array" ref="D1464">IFERROR(INDEX(#REF!,MATCH(TRUE,ISNUMBER(FIND(SUBSTITUTE(SUBSTITUTE(UPPER(#REF!)," ",""),":",": "),SUBSTITUTE(SUBSTITUTE(UPPER(S1464)," ",""),":",": "))),0)),"Não encontrado")</f>
        <v>Não encontrado</v>
      </c>
      <c r="E1464" s="42" t="str" cm="1">
        <f t="array" ref="E1464">IFERROR(INDEX({"IMPEDITIVO"},MATCH(TRUE,ISNUMBER(FIND(SUBSTITUTE(SUBSTITUTE(UPPER({"IMPEDITIVO"})," ",""),":",": "),SUBSTITUTE(SUBSTITUTE(UPPER(S1464)," ",""),":",": "))),0)),"-")</f>
        <v>-</v>
      </c>
      <c r="K1464" s="49"/>
    </row>
    <row r="1465" spans="1:11" x14ac:dyDescent="0.25">
      <c r="A1465" s="46" t="str" cm="1">
        <f t="array" ref="A1465">IFERROR(INDEX(#REF!,MATCH(TRUE,ISNUMBER(FIND(SUBSTITUTE(SUBSTITUTE(UPPER(#REF!)," ",""),":",": "),SUBSTITUTE(SUBSTITUTE(UPPER(S1465)," ",""),":",": "))),0)),"Undefined")</f>
        <v>Undefined</v>
      </c>
      <c r="B1465" s="42" t="str" cm="1">
        <f t="array" ref="B1465">IFERROR(INDEX({"URGENTE"},MATCH(TRUE,ISNUMBER(FIND(SUBSTITUTE(SUBSTITUTE(UPPER({"URGENTE"})," ",""),":",": "),SUBSTITUTE(SUBSTITUTE(UPPER(S1465)," ",""),":",": "))),0)),"-")</f>
        <v>-</v>
      </c>
      <c r="C1465" s="46" t="str" cm="1">
        <f t="array" ref="C1465">IFERROR(INDEX(#REF!,MATCH(TRUE,ISNUMBER(FIND(SUBSTITUTE(SUBSTITUTE(UPPER(#REF!)," ",""),":",": "),SUBSTITUTE(SUBSTITUTE(UPPER(S1465)," ",""),":",": "))),0)),"Não encontrado")</f>
        <v>Não encontrado</v>
      </c>
      <c r="D1465" s="46" t="str" cm="1">
        <f t="array" ref="D1465">IFERROR(INDEX(#REF!,MATCH(TRUE,ISNUMBER(FIND(SUBSTITUTE(SUBSTITUTE(UPPER(#REF!)," ",""),":",": "),SUBSTITUTE(SUBSTITUTE(UPPER(S1465)," ",""),":",": "))),0)),"Não encontrado")</f>
        <v>Não encontrado</v>
      </c>
      <c r="E1465" s="42" t="str" cm="1">
        <f t="array" ref="E1465">IFERROR(INDEX({"IMPEDITIVO"},MATCH(TRUE,ISNUMBER(FIND(SUBSTITUTE(SUBSTITUTE(UPPER({"IMPEDITIVO"})," ",""),":",": "),SUBSTITUTE(SUBSTITUTE(UPPER(S1465)," ",""),":",": "))),0)),"-")</f>
        <v>-</v>
      </c>
      <c r="K1465" s="49"/>
    </row>
    <row r="1466" spans="1:11" x14ac:dyDescent="0.25">
      <c r="A1466" s="46" t="str" cm="1">
        <f t="array" ref="A1466">IFERROR(INDEX(#REF!,MATCH(TRUE,ISNUMBER(FIND(SUBSTITUTE(SUBSTITUTE(UPPER(#REF!)," ",""),":",": "),SUBSTITUTE(SUBSTITUTE(UPPER(S1466)," ",""),":",": "))),0)),"Undefined")</f>
        <v>Undefined</v>
      </c>
      <c r="B1466" s="42" t="str" cm="1">
        <f t="array" ref="B1466">IFERROR(INDEX({"URGENTE"},MATCH(TRUE,ISNUMBER(FIND(SUBSTITUTE(SUBSTITUTE(UPPER({"URGENTE"})," ",""),":",": "),SUBSTITUTE(SUBSTITUTE(UPPER(S1466)," ",""),":",": "))),0)),"-")</f>
        <v>-</v>
      </c>
      <c r="C1466" s="46" t="str" cm="1">
        <f t="array" ref="C1466">IFERROR(INDEX(#REF!,MATCH(TRUE,ISNUMBER(FIND(SUBSTITUTE(SUBSTITUTE(UPPER(#REF!)," ",""),":",": "),SUBSTITUTE(SUBSTITUTE(UPPER(S1466)," ",""),":",": "))),0)),"Não encontrado")</f>
        <v>Não encontrado</v>
      </c>
      <c r="D1466" s="46" t="str" cm="1">
        <f t="array" ref="D1466">IFERROR(INDEX(#REF!,MATCH(TRUE,ISNUMBER(FIND(SUBSTITUTE(SUBSTITUTE(UPPER(#REF!)," ",""),":",": "),SUBSTITUTE(SUBSTITUTE(UPPER(S1466)," ",""),":",": "))),0)),"Não encontrado")</f>
        <v>Não encontrado</v>
      </c>
      <c r="E1466" s="42" t="str" cm="1">
        <f t="array" ref="E1466">IFERROR(INDEX({"IMPEDITIVO"},MATCH(TRUE,ISNUMBER(FIND(SUBSTITUTE(SUBSTITUTE(UPPER({"IMPEDITIVO"})," ",""),":",": "),SUBSTITUTE(SUBSTITUTE(UPPER(S1466)," ",""),":",": "))),0)),"-")</f>
        <v>-</v>
      </c>
      <c r="K1466" s="49"/>
    </row>
    <row r="1467" spans="1:11" x14ac:dyDescent="0.25">
      <c r="A1467" s="46" t="str" cm="1">
        <f t="array" ref="A1467">IFERROR(INDEX(#REF!,MATCH(TRUE,ISNUMBER(FIND(SUBSTITUTE(SUBSTITUTE(UPPER(#REF!)," ",""),":",": "),SUBSTITUTE(SUBSTITUTE(UPPER(S1467)," ",""),":",": "))),0)),"Undefined")</f>
        <v>Undefined</v>
      </c>
      <c r="B1467" s="42" t="str" cm="1">
        <f t="array" ref="B1467">IFERROR(INDEX({"URGENTE"},MATCH(TRUE,ISNUMBER(FIND(SUBSTITUTE(SUBSTITUTE(UPPER({"URGENTE"})," ",""),":",": "),SUBSTITUTE(SUBSTITUTE(UPPER(S1467)," ",""),":",": "))),0)),"-")</f>
        <v>-</v>
      </c>
      <c r="C1467" s="46" t="str" cm="1">
        <f t="array" ref="C1467">IFERROR(INDEX(#REF!,MATCH(TRUE,ISNUMBER(FIND(SUBSTITUTE(SUBSTITUTE(UPPER(#REF!)," ",""),":",": "),SUBSTITUTE(SUBSTITUTE(UPPER(S1467)," ",""),":",": "))),0)),"Não encontrado")</f>
        <v>Não encontrado</v>
      </c>
      <c r="D1467" s="46" t="str" cm="1">
        <f t="array" ref="D1467">IFERROR(INDEX(#REF!,MATCH(TRUE,ISNUMBER(FIND(SUBSTITUTE(SUBSTITUTE(UPPER(#REF!)," ",""),":",": "),SUBSTITUTE(SUBSTITUTE(UPPER(S1467)," ",""),":",": "))),0)),"Não encontrado")</f>
        <v>Não encontrado</v>
      </c>
      <c r="E1467" s="42" t="str" cm="1">
        <f t="array" ref="E1467">IFERROR(INDEX({"IMPEDITIVO"},MATCH(TRUE,ISNUMBER(FIND(SUBSTITUTE(SUBSTITUTE(UPPER({"IMPEDITIVO"})," ",""),":",": "),SUBSTITUTE(SUBSTITUTE(UPPER(S1467)," ",""),":",": "))),0)),"-")</f>
        <v>-</v>
      </c>
      <c r="K1467" s="49"/>
    </row>
    <row r="1468" spans="1:11" x14ac:dyDescent="0.25">
      <c r="A1468" s="46" t="str" cm="1">
        <f t="array" ref="A1468">IFERROR(INDEX(#REF!,MATCH(TRUE,ISNUMBER(FIND(SUBSTITUTE(SUBSTITUTE(UPPER(#REF!)," ",""),":",": "),SUBSTITUTE(SUBSTITUTE(UPPER(S1468)," ",""),":",": "))),0)),"Undefined")</f>
        <v>Undefined</v>
      </c>
      <c r="B1468" s="42" t="str" cm="1">
        <f t="array" ref="B1468">IFERROR(INDEX({"URGENTE"},MATCH(TRUE,ISNUMBER(FIND(SUBSTITUTE(SUBSTITUTE(UPPER({"URGENTE"})," ",""),":",": "),SUBSTITUTE(SUBSTITUTE(UPPER(S1468)," ",""),":",": "))),0)),"-")</f>
        <v>-</v>
      </c>
      <c r="C1468" s="46" t="str" cm="1">
        <f t="array" ref="C1468">IFERROR(INDEX(#REF!,MATCH(TRUE,ISNUMBER(FIND(SUBSTITUTE(SUBSTITUTE(UPPER(#REF!)," ",""),":",": "),SUBSTITUTE(SUBSTITUTE(UPPER(S1468)," ",""),":",": "))),0)),"Não encontrado")</f>
        <v>Não encontrado</v>
      </c>
      <c r="D1468" s="46" t="str" cm="1">
        <f t="array" ref="D1468">IFERROR(INDEX(#REF!,MATCH(TRUE,ISNUMBER(FIND(SUBSTITUTE(SUBSTITUTE(UPPER(#REF!)," ",""),":",": "),SUBSTITUTE(SUBSTITUTE(UPPER(S1468)," ",""),":",": "))),0)),"Não encontrado")</f>
        <v>Não encontrado</v>
      </c>
      <c r="E1468" s="42" t="str" cm="1">
        <f t="array" ref="E1468">IFERROR(INDEX({"IMPEDITIVO"},MATCH(TRUE,ISNUMBER(FIND(SUBSTITUTE(SUBSTITUTE(UPPER({"IMPEDITIVO"})," ",""),":",": "),SUBSTITUTE(SUBSTITUTE(UPPER(S1468)," ",""),":",": "))),0)),"-")</f>
        <v>-</v>
      </c>
      <c r="K1468" s="49"/>
    </row>
    <row r="1469" spans="1:11" x14ac:dyDescent="0.25">
      <c r="A1469" s="46" t="str" cm="1">
        <f t="array" ref="A1469">IFERROR(INDEX(#REF!,MATCH(TRUE,ISNUMBER(FIND(SUBSTITUTE(SUBSTITUTE(UPPER(#REF!)," ",""),":",": "),SUBSTITUTE(SUBSTITUTE(UPPER(S1469)," ",""),":",": "))),0)),"Undefined")</f>
        <v>Undefined</v>
      </c>
      <c r="B1469" s="42" t="str" cm="1">
        <f t="array" ref="B1469">IFERROR(INDEX({"URGENTE"},MATCH(TRUE,ISNUMBER(FIND(SUBSTITUTE(SUBSTITUTE(UPPER({"URGENTE"})," ",""),":",": "),SUBSTITUTE(SUBSTITUTE(UPPER(S1469)," ",""),":",": "))),0)),"-")</f>
        <v>-</v>
      </c>
      <c r="C1469" s="46" t="str" cm="1">
        <f t="array" ref="C1469">IFERROR(INDEX(#REF!,MATCH(TRUE,ISNUMBER(FIND(SUBSTITUTE(SUBSTITUTE(UPPER(#REF!)," ",""),":",": "),SUBSTITUTE(SUBSTITUTE(UPPER(S1469)," ",""),":",": "))),0)),"Não encontrado")</f>
        <v>Não encontrado</v>
      </c>
      <c r="D1469" s="46" t="str" cm="1">
        <f t="array" ref="D1469">IFERROR(INDEX(#REF!,MATCH(TRUE,ISNUMBER(FIND(SUBSTITUTE(SUBSTITUTE(UPPER(#REF!)," ",""),":",": "),SUBSTITUTE(SUBSTITUTE(UPPER(S1469)," ",""),":",": "))),0)),"Não encontrado")</f>
        <v>Não encontrado</v>
      </c>
      <c r="E1469" s="42" t="str" cm="1">
        <f t="array" ref="E1469">IFERROR(INDEX({"IMPEDITIVO"},MATCH(TRUE,ISNUMBER(FIND(SUBSTITUTE(SUBSTITUTE(UPPER({"IMPEDITIVO"})," ",""),":",": "),SUBSTITUTE(SUBSTITUTE(UPPER(S1469)," ",""),":",": "))),0)),"-")</f>
        <v>-</v>
      </c>
      <c r="K1469" s="49"/>
    </row>
    <row r="1470" spans="1:11" x14ac:dyDescent="0.25">
      <c r="A1470" s="46" t="str" cm="1">
        <f t="array" ref="A1470">IFERROR(INDEX(#REF!,MATCH(TRUE,ISNUMBER(FIND(SUBSTITUTE(SUBSTITUTE(UPPER(#REF!)," ",""),":",": "),SUBSTITUTE(SUBSTITUTE(UPPER(S1470)," ",""),":",": "))),0)),"Undefined")</f>
        <v>Undefined</v>
      </c>
      <c r="B1470" s="42" t="str" cm="1">
        <f t="array" ref="B1470">IFERROR(INDEX({"URGENTE"},MATCH(TRUE,ISNUMBER(FIND(SUBSTITUTE(SUBSTITUTE(UPPER({"URGENTE"})," ",""),":",": "),SUBSTITUTE(SUBSTITUTE(UPPER(S1470)," ",""),":",": "))),0)),"-")</f>
        <v>-</v>
      </c>
      <c r="C1470" s="46" t="str" cm="1">
        <f t="array" ref="C1470">IFERROR(INDEX(#REF!,MATCH(TRUE,ISNUMBER(FIND(SUBSTITUTE(SUBSTITUTE(UPPER(#REF!)," ",""),":",": "),SUBSTITUTE(SUBSTITUTE(UPPER(S1470)," ",""),":",": "))),0)),"Não encontrado")</f>
        <v>Não encontrado</v>
      </c>
      <c r="D1470" s="46" t="str" cm="1">
        <f t="array" ref="D1470">IFERROR(INDEX(#REF!,MATCH(TRUE,ISNUMBER(FIND(SUBSTITUTE(SUBSTITUTE(UPPER(#REF!)," ",""),":",": "),SUBSTITUTE(SUBSTITUTE(UPPER(S1470)," ",""),":",": "))),0)),"Não encontrado")</f>
        <v>Não encontrado</v>
      </c>
      <c r="E1470" s="42" t="str" cm="1">
        <f t="array" ref="E1470">IFERROR(INDEX({"IMPEDITIVO"},MATCH(TRUE,ISNUMBER(FIND(SUBSTITUTE(SUBSTITUTE(UPPER({"IMPEDITIVO"})," ",""),":",": "),SUBSTITUTE(SUBSTITUTE(UPPER(S1470)," ",""),":",": "))),0)),"-")</f>
        <v>-</v>
      </c>
      <c r="K1470" s="49"/>
    </row>
    <row r="1471" spans="1:11" x14ac:dyDescent="0.25">
      <c r="A1471" s="46" t="str" cm="1">
        <f t="array" ref="A1471">IFERROR(INDEX(#REF!,MATCH(TRUE,ISNUMBER(FIND(SUBSTITUTE(SUBSTITUTE(UPPER(#REF!)," ",""),":",": "),SUBSTITUTE(SUBSTITUTE(UPPER(S1471)," ",""),":",": "))),0)),"Undefined")</f>
        <v>Undefined</v>
      </c>
      <c r="B1471" s="42" t="str" cm="1">
        <f t="array" ref="B1471">IFERROR(INDEX({"URGENTE"},MATCH(TRUE,ISNUMBER(FIND(SUBSTITUTE(SUBSTITUTE(UPPER({"URGENTE"})," ",""),":",": "),SUBSTITUTE(SUBSTITUTE(UPPER(S1471)," ",""),":",": "))),0)),"-")</f>
        <v>-</v>
      </c>
      <c r="C1471" s="46" t="str" cm="1">
        <f t="array" ref="C1471">IFERROR(INDEX(#REF!,MATCH(TRUE,ISNUMBER(FIND(SUBSTITUTE(SUBSTITUTE(UPPER(#REF!)," ",""),":",": "),SUBSTITUTE(SUBSTITUTE(UPPER(S1471)," ",""),":",": "))),0)),"Não encontrado")</f>
        <v>Não encontrado</v>
      </c>
      <c r="D1471" s="46" t="str" cm="1">
        <f t="array" ref="D1471">IFERROR(INDEX(#REF!,MATCH(TRUE,ISNUMBER(FIND(SUBSTITUTE(SUBSTITUTE(UPPER(#REF!)," ",""),":",": "),SUBSTITUTE(SUBSTITUTE(UPPER(S1471)," ",""),":",": "))),0)),"Não encontrado")</f>
        <v>Não encontrado</v>
      </c>
      <c r="E1471" s="42" t="str" cm="1">
        <f t="array" ref="E1471">IFERROR(INDEX({"IMPEDITIVO"},MATCH(TRUE,ISNUMBER(FIND(SUBSTITUTE(SUBSTITUTE(UPPER({"IMPEDITIVO"})," ",""),":",": "),SUBSTITUTE(SUBSTITUTE(UPPER(S1471)," ",""),":",": "))),0)),"-")</f>
        <v>-</v>
      </c>
      <c r="K1471" s="49"/>
    </row>
    <row r="1472" spans="1:11" x14ac:dyDescent="0.25">
      <c r="A1472" s="46" t="str" cm="1">
        <f t="array" ref="A1472">IFERROR(INDEX(#REF!,MATCH(TRUE,ISNUMBER(FIND(SUBSTITUTE(SUBSTITUTE(UPPER(#REF!)," ",""),":",": "),SUBSTITUTE(SUBSTITUTE(UPPER(S1472)," ",""),":",": "))),0)),"Undefined")</f>
        <v>Undefined</v>
      </c>
      <c r="B1472" s="42" t="str" cm="1">
        <f t="array" ref="B1472">IFERROR(INDEX({"URGENTE"},MATCH(TRUE,ISNUMBER(FIND(SUBSTITUTE(SUBSTITUTE(UPPER({"URGENTE"})," ",""),":",": "),SUBSTITUTE(SUBSTITUTE(UPPER(S1472)," ",""),":",": "))),0)),"-")</f>
        <v>-</v>
      </c>
      <c r="C1472" s="46" t="str" cm="1">
        <f t="array" ref="C1472">IFERROR(INDEX(#REF!,MATCH(TRUE,ISNUMBER(FIND(SUBSTITUTE(SUBSTITUTE(UPPER(#REF!)," ",""),":",": "),SUBSTITUTE(SUBSTITUTE(UPPER(S1472)," ",""),":",": "))),0)),"Não encontrado")</f>
        <v>Não encontrado</v>
      </c>
      <c r="D1472" s="46" t="str" cm="1">
        <f t="array" ref="D1472">IFERROR(INDEX(#REF!,MATCH(TRUE,ISNUMBER(FIND(SUBSTITUTE(SUBSTITUTE(UPPER(#REF!)," ",""),":",": "),SUBSTITUTE(SUBSTITUTE(UPPER(S1472)," ",""),":",": "))),0)),"Não encontrado")</f>
        <v>Não encontrado</v>
      </c>
      <c r="E1472" s="42" t="str" cm="1">
        <f t="array" ref="E1472">IFERROR(INDEX({"IMPEDITIVO"},MATCH(TRUE,ISNUMBER(FIND(SUBSTITUTE(SUBSTITUTE(UPPER({"IMPEDITIVO"})," ",""),":",": "),SUBSTITUTE(SUBSTITUTE(UPPER(S1472)," ",""),":",": "))),0)),"-")</f>
        <v>-</v>
      </c>
      <c r="K1472" s="49"/>
    </row>
    <row r="1473" spans="1:11" x14ac:dyDescent="0.25">
      <c r="A1473" s="46" t="str" cm="1">
        <f t="array" ref="A1473">IFERROR(INDEX(#REF!,MATCH(TRUE,ISNUMBER(FIND(SUBSTITUTE(SUBSTITUTE(UPPER(#REF!)," ",""),":",": "),SUBSTITUTE(SUBSTITUTE(UPPER(S1473)," ",""),":",": "))),0)),"Undefined")</f>
        <v>Undefined</v>
      </c>
      <c r="B1473" s="42" t="str" cm="1">
        <f t="array" ref="B1473">IFERROR(INDEX({"URGENTE"},MATCH(TRUE,ISNUMBER(FIND(SUBSTITUTE(SUBSTITUTE(UPPER({"URGENTE"})," ",""),":",": "),SUBSTITUTE(SUBSTITUTE(UPPER(S1473)," ",""),":",": "))),0)),"-")</f>
        <v>-</v>
      </c>
      <c r="C1473" s="46" t="str" cm="1">
        <f t="array" ref="C1473">IFERROR(INDEX(#REF!,MATCH(TRUE,ISNUMBER(FIND(SUBSTITUTE(SUBSTITUTE(UPPER(#REF!)," ",""),":",": "),SUBSTITUTE(SUBSTITUTE(UPPER(S1473)," ",""),":",": "))),0)),"Não encontrado")</f>
        <v>Não encontrado</v>
      </c>
      <c r="D1473" s="46" t="str" cm="1">
        <f t="array" ref="D1473">IFERROR(INDEX(#REF!,MATCH(TRUE,ISNUMBER(FIND(SUBSTITUTE(SUBSTITUTE(UPPER(#REF!)," ",""),":",": "),SUBSTITUTE(SUBSTITUTE(UPPER(S1473)," ",""),":",": "))),0)),"Não encontrado")</f>
        <v>Não encontrado</v>
      </c>
      <c r="E1473" s="42" t="str" cm="1">
        <f t="array" ref="E1473">IFERROR(INDEX({"IMPEDITIVO"},MATCH(TRUE,ISNUMBER(FIND(SUBSTITUTE(SUBSTITUTE(UPPER({"IMPEDITIVO"})," ",""),":",": "),SUBSTITUTE(SUBSTITUTE(UPPER(S1473)," ",""),":",": "))),0)),"-")</f>
        <v>-</v>
      </c>
      <c r="K1473" s="49"/>
    </row>
    <row r="1474" spans="1:11" x14ac:dyDescent="0.25">
      <c r="A1474" s="46" t="str" cm="1">
        <f t="array" ref="A1474">IFERROR(INDEX(#REF!,MATCH(TRUE,ISNUMBER(FIND(SUBSTITUTE(SUBSTITUTE(UPPER(#REF!)," ",""),":",": "),SUBSTITUTE(SUBSTITUTE(UPPER(S1474)," ",""),":",": "))),0)),"Undefined")</f>
        <v>Undefined</v>
      </c>
      <c r="B1474" s="42" t="str" cm="1">
        <f t="array" ref="B1474">IFERROR(INDEX({"URGENTE"},MATCH(TRUE,ISNUMBER(FIND(SUBSTITUTE(SUBSTITUTE(UPPER({"URGENTE"})," ",""),":",": "),SUBSTITUTE(SUBSTITUTE(UPPER(S1474)," ",""),":",": "))),0)),"-")</f>
        <v>-</v>
      </c>
      <c r="C1474" s="46" t="str" cm="1">
        <f t="array" ref="C1474">IFERROR(INDEX(#REF!,MATCH(TRUE,ISNUMBER(FIND(SUBSTITUTE(SUBSTITUTE(UPPER(#REF!)," ",""),":",": "),SUBSTITUTE(SUBSTITUTE(UPPER(S1474)," ",""),":",": "))),0)),"Não encontrado")</f>
        <v>Não encontrado</v>
      </c>
      <c r="D1474" s="46" t="str" cm="1">
        <f t="array" ref="D1474">IFERROR(INDEX(#REF!,MATCH(TRUE,ISNUMBER(FIND(SUBSTITUTE(SUBSTITUTE(UPPER(#REF!)," ",""),":",": "),SUBSTITUTE(SUBSTITUTE(UPPER(S1474)," ",""),":",": "))),0)),"Não encontrado")</f>
        <v>Não encontrado</v>
      </c>
      <c r="E1474" s="42" t="str" cm="1">
        <f t="array" ref="E1474">IFERROR(INDEX({"IMPEDITIVO"},MATCH(TRUE,ISNUMBER(FIND(SUBSTITUTE(SUBSTITUTE(UPPER({"IMPEDITIVO"})," ",""),":",": "),SUBSTITUTE(SUBSTITUTE(UPPER(S1474)," ",""),":",": "))),0)),"-")</f>
        <v>-</v>
      </c>
      <c r="K1474" s="49"/>
    </row>
    <row r="1475" spans="1:11" x14ac:dyDescent="0.25">
      <c r="A1475" s="46" t="str" cm="1">
        <f t="array" ref="A1475">IFERROR(INDEX(#REF!,MATCH(TRUE,ISNUMBER(FIND(SUBSTITUTE(SUBSTITUTE(UPPER(#REF!)," ",""),":",": "),SUBSTITUTE(SUBSTITUTE(UPPER(S1475)," ",""),":",": "))),0)),"Undefined")</f>
        <v>Undefined</v>
      </c>
      <c r="B1475" s="42" t="str" cm="1">
        <f t="array" ref="B1475">IFERROR(INDEX({"URGENTE"},MATCH(TRUE,ISNUMBER(FIND(SUBSTITUTE(SUBSTITUTE(UPPER({"URGENTE"})," ",""),":",": "),SUBSTITUTE(SUBSTITUTE(UPPER(S1475)," ",""),":",": "))),0)),"-")</f>
        <v>-</v>
      </c>
      <c r="C1475" s="46" t="str" cm="1">
        <f t="array" ref="C1475">IFERROR(INDEX(#REF!,MATCH(TRUE,ISNUMBER(FIND(SUBSTITUTE(SUBSTITUTE(UPPER(#REF!)," ",""),":",": "),SUBSTITUTE(SUBSTITUTE(UPPER(S1475)," ",""),":",": "))),0)),"Não encontrado")</f>
        <v>Não encontrado</v>
      </c>
      <c r="D1475" s="46" t="str" cm="1">
        <f t="array" ref="D1475">IFERROR(INDEX(#REF!,MATCH(TRUE,ISNUMBER(FIND(SUBSTITUTE(SUBSTITUTE(UPPER(#REF!)," ",""),":",": "),SUBSTITUTE(SUBSTITUTE(UPPER(S1475)," ",""),":",": "))),0)),"Não encontrado")</f>
        <v>Não encontrado</v>
      </c>
      <c r="E1475" s="42" t="str" cm="1">
        <f t="array" ref="E1475">IFERROR(INDEX({"IMPEDITIVO"},MATCH(TRUE,ISNUMBER(FIND(SUBSTITUTE(SUBSTITUTE(UPPER({"IMPEDITIVO"})," ",""),":",": "),SUBSTITUTE(SUBSTITUTE(UPPER(S1475)," ",""),":",": "))),0)),"-")</f>
        <v>-</v>
      </c>
      <c r="K1475" s="49"/>
    </row>
    <row r="1476" spans="1:11" x14ac:dyDescent="0.25">
      <c r="A1476" s="46" t="str" cm="1">
        <f t="array" ref="A1476">IFERROR(INDEX(#REF!,MATCH(TRUE,ISNUMBER(FIND(SUBSTITUTE(SUBSTITUTE(UPPER(#REF!)," ",""),":",": "),SUBSTITUTE(SUBSTITUTE(UPPER(S1476)," ",""),":",": "))),0)),"Undefined")</f>
        <v>Undefined</v>
      </c>
      <c r="B1476" s="42" t="str" cm="1">
        <f t="array" ref="B1476">IFERROR(INDEX({"URGENTE"},MATCH(TRUE,ISNUMBER(FIND(SUBSTITUTE(SUBSTITUTE(UPPER({"URGENTE"})," ",""),":",": "),SUBSTITUTE(SUBSTITUTE(UPPER(S1476)," ",""),":",": "))),0)),"-")</f>
        <v>-</v>
      </c>
      <c r="C1476" s="46" t="str" cm="1">
        <f t="array" ref="C1476">IFERROR(INDEX(#REF!,MATCH(TRUE,ISNUMBER(FIND(SUBSTITUTE(SUBSTITUTE(UPPER(#REF!)," ",""),":",": "),SUBSTITUTE(SUBSTITUTE(UPPER(S1476)," ",""),":",": "))),0)),"Não encontrado")</f>
        <v>Não encontrado</v>
      </c>
      <c r="D1476" s="46" t="str" cm="1">
        <f t="array" ref="D1476">IFERROR(INDEX(#REF!,MATCH(TRUE,ISNUMBER(FIND(SUBSTITUTE(SUBSTITUTE(UPPER(#REF!)," ",""),":",": "),SUBSTITUTE(SUBSTITUTE(UPPER(S1476)," ",""),":",": "))),0)),"Não encontrado")</f>
        <v>Não encontrado</v>
      </c>
      <c r="E1476" s="42" t="str" cm="1">
        <f t="array" ref="E1476">IFERROR(INDEX({"IMPEDITIVO"},MATCH(TRUE,ISNUMBER(FIND(SUBSTITUTE(SUBSTITUTE(UPPER({"IMPEDITIVO"})," ",""),":",": "),SUBSTITUTE(SUBSTITUTE(UPPER(S1476)," ",""),":",": "))),0)),"-")</f>
        <v>-</v>
      </c>
      <c r="K1476" s="49"/>
    </row>
    <row r="1477" spans="1:11" x14ac:dyDescent="0.25">
      <c r="A1477" s="46" t="str" cm="1">
        <f t="array" ref="A1477">IFERROR(INDEX(#REF!,MATCH(TRUE,ISNUMBER(FIND(SUBSTITUTE(SUBSTITUTE(UPPER(#REF!)," ",""),":",": "),SUBSTITUTE(SUBSTITUTE(UPPER(S1477)," ",""),":",": "))),0)),"Undefined")</f>
        <v>Undefined</v>
      </c>
      <c r="B1477" s="42" t="str" cm="1">
        <f t="array" ref="B1477">IFERROR(INDEX({"URGENTE"},MATCH(TRUE,ISNUMBER(FIND(SUBSTITUTE(SUBSTITUTE(UPPER({"URGENTE"})," ",""),":",": "),SUBSTITUTE(SUBSTITUTE(UPPER(S1477)," ",""),":",": "))),0)),"-")</f>
        <v>-</v>
      </c>
      <c r="C1477" s="46" t="str" cm="1">
        <f t="array" ref="C1477">IFERROR(INDEX(#REF!,MATCH(TRUE,ISNUMBER(FIND(SUBSTITUTE(SUBSTITUTE(UPPER(#REF!)," ",""),":",": "),SUBSTITUTE(SUBSTITUTE(UPPER(S1477)," ",""),":",": "))),0)),"Não encontrado")</f>
        <v>Não encontrado</v>
      </c>
      <c r="D1477" s="46" t="str" cm="1">
        <f t="array" ref="D1477">IFERROR(INDEX(#REF!,MATCH(TRUE,ISNUMBER(FIND(SUBSTITUTE(SUBSTITUTE(UPPER(#REF!)," ",""),":",": "),SUBSTITUTE(SUBSTITUTE(UPPER(S1477)," ",""),":",": "))),0)),"Não encontrado")</f>
        <v>Não encontrado</v>
      </c>
      <c r="E1477" s="42" t="str" cm="1">
        <f t="array" ref="E1477">IFERROR(INDEX({"IMPEDITIVO"},MATCH(TRUE,ISNUMBER(FIND(SUBSTITUTE(SUBSTITUTE(UPPER({"IMPEDITIVO"})," ",""),":",": "),SUBSTITUTE(SUBSTITUTE(UPPER(S1477)," ",""),":",": "))),0)),"-")</f>
        <v>-</v>
      </c>
      <c r="K1477" s="49"/>
    </row>
    <row r="1478" spans="1:11" x14ac:dyDescent="0.25">
      <c r="A1478" s="46" t="str" cm="1">
        <f t="array" ref="A1478">IFERROR(INDEX(#REF!,MATCH(TRUE,ISNUMBER(FIND(SUBSTITUTE(SUBSTITUTE(UPPER(#REF!)," ",""),":",": "),SUBSTITUTE(SUBSTITUTE(UPPER(S1478)," ",""),":",": "))),0)),"Undefined")</f>
        <v>Undefined</v>
      </c>
      <c r="B1478" s="42" t="str" cm="1">
        <f t="array" ref="B1478">IFERROR(INDEX({"URGENTE"},MATCH(TRUE,ISNUMBER(FIND(SUBSTITUTE(SUBSTITUTE(UPPER({"URGENTE"})," ",""),":",": "),SUBSTITUTE(SUBSTITUTE(UPPER(S1478)," ",""),":",": "))),0)),"-")</f>
        <v>-</v>
      </c>
      <c r="C1478" s="46" t="str" cm="1">
        <f t="array" ref="C1478">IFERROR(INDEX(#REF!,MATCH(TRUE,ISNUMBER(FIND(SUBSTITUTE(SUBSTITUTE(UPPER(#REF!)," ",""),":",": "),SUBSTITUTE(SUBSTITUTE(UPPER(S1478)," ",""),":",": "))),0)),"Não encontrado")</f>
        <v>Não encontrado</v>
      </c>
      <c r="D1478" s="46" t="str" cm="1">
        <f t="array" ref="D1478">IFERROR(INDEX(#REF!,MATCH(TRUE,ISNUMBER(FIND(SUBSTITUTE(SUBSTITUTE(UPPER(#REF!)," ",""),":",": "),SUBSTITUTE(SUBSTITUTE(UPPER(S1478)," ",""),":",": "))),0)),"Não encontrado")</f>
        <v>Não encontrado</v>
      </c>
      <c r="E1478" s="42" t="str" cm="1">
        <f t="array" ref="E1478">IFERROR(INDEX({"IMPEDITIVO"},MATCH(TRUE,ISNUMBER(FIND(SUBSTITUTE(SUBSTITUTE(UPPER({"IMPEDITIVO"})," ",""),":",": "),SUBSTITUTE(SUBSTITUTE(UPPER(S1478)," ",""),":",": "))),0)),"-")</f>
        <v>-</v>
      </c>
      <c r="K1478" s="49"/>
    </row>
    <row r="1479" spans="1:11" x14ac:dyDescent="0.25">
      <c r="A1479" s="46" t="str" cm="1">
        <f t="array" ref="A1479">IFERROR(INDEX(#REF!,MATCH(TRUE,ISNUMBER(FIND(SUBSTITUTE(SUBSTITUTE(UPPER(#REF!)," ",""),":",": "),SUBSTITUTE(SUBSTITUTE(UPPER(S1479)," ",""),":",": "))),0)),"Undefined")</f>
        <v>Undefined</v>
      </c>
      <c r="B1479" s="42" t="str" cm="1">
        <f t="array" ref="B1479">IFERROR(INDEX({"URGENTE"},MATCH(TRUE,ISNUMBER(FIND(SUBSTITUTE(SUBSTITUTE(UPPER({"URGENTE"})," ",""),":",": "),SUBSTITUTE(SUBSTITUTE(UPPER(S1479)," ",""),":",": "))),0)),"-")</f>
        <v>-</v>
      </c>
      <c r="C1479" s="46" t="str" cm="1">
        <f t="array" ref="C1479">IFERROR(INDEX(#REF!,MATCH(TRUE,ISNUMBER(FIND(SUBSTITUTE(SUBSTITUTE(UPPER(#REF!)," ",""),":",": "),SUBSTITUTE(SUBSTITUTE(UPPER(S1479)," ",""),":",": "))),0)),"Não encontrado")</f>
        <v>Não encontrado</v>
      </c>
      <c r="D1479" s="46" t="str" cm="1">
        <f t="array" ref="D1479">IFERROR(INDEX(#REF!,MATCH(TRUE,ISNUMBER(FIND(SUBSTITUTE(SUBSTITUTE(UPPER(#REF!)," ",""),":",": "),SUBSTITUTE(SUBSTITUTE(UPPER(S1479)," ",""),":",": "))),0)),"Não encontrado")</f>
        <v>Não encontrado</v>
      </c>
      <c r="E1479" s="42" t="str" cm="1">
        <f t="array" ref="E1479">IFERROR(INDEX({"IMPEDITIVO"},MATCH(TRUE,ISNUMBER(FIND(SUBSTITUTE(SUBSTITUTE(UPPER({"IMPEDITIVO"})," ",""),":",": "),SUBSTITUTE(SUBSTITUTE(UPPER(S1479)," ",""),":",": "))),0)),"-")</f>
        <v>-</v>
      </c>
      <c r="K1479" s="49"/>
    </row>
    <row r="1480" spans="1:11" x14ac:dyDescent="0.25">
      <c r="A1480" s="46" t="str" cm="1">
        <f t="array" ref="A1480">IFERROR(INDEX(#REF!,MATCH(TRUE,ISNUMBER(FIND(SUBSTITUTE(SUBSTITUTE(UPPER(#REF!)," ",""),":",": "),SUBSTITUTE(SUBSTITUTE(UPPER(S1480)," ",""),":",": "))),0)),"Undefined")</f>
        <v>Undefined</v>
      </c>
      <c r="B1480" s="42" t="str" cm="1">
        <f t="array" ref="B1480">IFERROR(INDEX({"URGENTE"},MATCH(TRUE,ISNUMBER(FIND(SUBSTITUTE(SUBSTITUTE(UPPER({"URGENTE"})," ",""),":",": "),SUBSTITUTE(SUBSTITUTE(UPPER(S1480)," ",""),":",": "))),0)),"-")</f>
        <v>-</v>
      </c>
      <c r="C1480" s="46" t="str" cm="1">
        <f t="array" ref="C1480">IFERROR(INDEX(#REF!,MATCH(TRUE,ISNUMBER(FIND(SUBSTITUTE(SUBSTITUTE(UPPER(#REF!)," ",""),":",": "),SUBSTITUTE(SUBSTITUTE(UPPER(S1480)," ",""),":",": "))),0)),"Não encontrado")</f>
        <v>Não encontrado</v>
      </c>
      <c r="D1480" s="46" t="str" cm="1">
        <f t="array" ref="D1480">IFERROR(INDEX(#REF!,MATCH(TRUE,ISNUMBER(FIND(SUBSTITUTE(SUBSTITUTE(UPPER(#REF!)," ",""),":",": "),SUBSTITUTE(SUBSTITUTE(UPPER(S1480)," ",""),":",": "))),0)),"Não encontrado")</f>
        <v>Não encontrado</v>
      </c>
      <c r="E1480" s="42" t="str" cm="1">
        <f t="array" ref="E1480">IFERROR(INDEX({"IMPEDITIVO"},MATCH(TRUE,ISNUMBER(FIND(SUBSTITUTE(SUBSTITUTE(UPPER({"IMPEDITIVO"})," ",""),":",": "),SUBSTITUTE(SUBSTITUTE(UPPER(S1480)," ",""),":",": "))),0)),"-")</f>
        <v>-</v>
      </c>
      <c r="K1480" s="49"/>
    </row>
    <row r="1481" spans="1:11" x14ac:dyDescent="0.25">
      <c r="A1481" s="46" t="str" cm="1">
        <f t="array" ref="A1481">IFERROR(INDEX(#REF!,MATCH(TRUE,ISNUMBER(FIND(SUBSTITUTE(SUBSTITUTE(UPPER(#REF!)," ",""),":",": "),SUBSTITUTE(SUBSTITUTE(UPPER(S1481)," ",""),":",": "))),0)),"Undefined")</f>
        <v>Undefined</v>
      </c>
      <c r="B1481" s="42" t="str" cm="1">
        <f t="array" ref="B1481">IFERROR(INDEX({"URGENTE"},MATCH(TRUE,ISNUMBER(FIND(SUBSTITUTE(SUBSTITUTE(UPPER({"URGENTE"})," ",""),":",": "),SUBSTITUTE(SUBSTITUTE(UPPER(S1481)," ",""),":",": "))),0)),"-")</f>
        <v>-</v>
      </c>
      <c r="C1481" s="46" t="str" cm="1">
        <f t="array" ref="C1481">IFERROR(INDEX(#REF!,MATCH(TRUE,ISNUMBER(FIND(SUBSTITUTE(SUBSTITUTE(UPPER(#REF!)," ",""),":",": "),SUBSTITUTE(SUBSTITUTE(UPPER(S1481)," ",""),":",": "))),0)),"Não encontrado")</f>
        <v>Não encontrado</v>
      </c>
      <c r="D1481" s="46" t="str" cm="1">
        <f t="array" ref="D1481">IFERROR(INDEX(#REF!,MATCH(TRUE,ISNUMBER(FIND(SUBSTITUTE(SUBSTITUTE(UPPER(#REF!)," ",""),":",": "),SUBSTITUTE(SUBSTITUTE(UPPER(S1481)," ",""),":",": "))),0)),"Não encontrado")</f>
        <v>Não encontrado</v>
      </c>
      <c r="E1481" s="42" t="str" cm="1">
        <f t="array" ref="E1481">IFERROR(INDEX({"IMPEDITIVO"},MATCH(TRUE,ISNUMBER(FIND(SUBSTITUTE(SUBSTITUTE(UPPER({"IMPEDITIVO"})," ",""),":",": "),SUBSTITUTE(SUBSTITUTE(UPPER(S1481)," ",""),":",": "))),0)),"-")</f>
        <v>-</v>
      </c>
      <c r="K1481" s="49"/>
    </row>
    <row r="1482" spans="1:11" x14ac:dyDescent="0.25">
      <c r="A1482" s="46" t="str" cm="1">
        <f t="array" ref="A1482">IFERROR(INDEX(#REF!,MATCH(TRUE,ISNUMBER(FIND(SUBSTITUTE(SUBSTITUTE(UPPER(#REF!)," ",""),":",": "),SUBSTITUTE(SUBSTITUTE(UPPER(S1482)," ",""),":",": "))),0)),"Undefined")</f>
        <v>Undefined</v>
      </c>
      <c r="B1482" s="42" t="str" cm="1">
        <f t="array" ref="B1482">IFERROR(INDEX({"URGENTE"},MATCH(TRUE,ISNUMBER(FIND(SUBSTITUTE(SUBSTITUTE(UPPER({"URGENTE"})," ",""),":",": "),SUBSTITUTE(SUBSTITUTE(UPPER(S1482)," ",""),":",": "))),0)),"-")</f>
        <v>-</v>
      </c>
      <c r="C1482" s="46" t="str" cm="1">
        <f t="array" ref="C1482">IFERROR(INDEX(#REF!,MATCH(TRUE,ISNUMBER(FIND(SUBSTITUTE(SUBSTITUTE(UPPER(#REF!)," ",""),":",": "),SUBSTITUTE(SUBSTITUTE(UPPER(S1482)," ",""),":",": "))),0)),"Não encontrado")</f>
        <v>Não encontrado</v>
      </c>
      <c r="D1482" s="46" t="str" cm="1">
        <f t="array" ref="D1482">IFERROR(INDEX(#REF!,MATCH(TRUE,ISNUMBER(FIND(SUBSTITUTE(SUBSTITUTE(UPPER(#REF!)," ",""),":",": "),SUBSTITUTE(SUBSTITUTE(UPPER(S1482)," ",""),":",": "))),0)),"Não encontrado")</f>
        <v>Não encontrado</v>
      </c>
      <c r="E1482" s="42" t="str" cm="1">
        <f t="array" ref="E1482">IFERROR(INDEX({"IMPEDITIVO"},MATCH(TRUE,ISNUMBER(FIND(SUBSTITUTE(SUBSTITUTE(UPPER({"IMPEDITIVO"})," ",""),":",": "),SUBSTITUTE(SUBSTITUTE(UPPER(S1482)," ",""),":",": "))),0)),"-")</f>
        <v>-</v>
      </c>
      <c r="K1482" s="49"/>
    </row>
    <row r="1483" spans="1:11" x14ac:dyDescent="0.25">
      <c r="A1483" s="46" t="str" cm="1">
        <f t="array" ref="A1483">IFERROR(INDEX(#REF!,MATCH(TRUE,ISNUMBER(FIND(SUBSTITUTE(SUBSTITUTE(UPPER(#REF!)," ",""),":",": "),SUBSTITUTE(SUBSTITUTE(UPPER(S1483)," ",""),":",": "))),0)),"Undefined")</f>
        <v>Undefined</v>
      </c>
      <c r="B1483" s="42" t="str" cm="1">
        <f t="array" ref="B1483">IFERROR(INDEX({"URGENTE"},MATCH(TRUE,ISNUMBER(FIND(SUBSTITUTE(SUBSTITUTE(UPPER({"URGENTE"})," ",""),":",": "),SUBSTITUTE(SUBSTITUTE(UPPER(S1483)," ",""),":",": "))),0)),"-")</f>
        <v>-</v>
      </c>
      <c r="C1483" s="46" t="str" cm="1">
        <f t="array" ref="C1483">IFERROR(INDEX(#REF!,MATCH(TRUE,ISNUMBER(FIND(SUBSTITUTE(SUBSTITUTE(UPPER(#REF!)," ",""),":",": "),SUBSTITUTE(SUBSTITUTE(UPPER(S1483)," ",""),":",": "))),0)),"Não encontrado")</f>
        <v>Não encontrado</v>
      </c>
      <c r="D1483" s="46" t="str" cm="1">
        <f t="array" ref="D1483">IFERROR(INDEX(#REF!,MATCH(TRUE,ISNUMBER(FIND(SUBSTITUTE(SUBSTITUTE(UPPER(#REF!)," ",""),":",": "),SUBSTITUTE(SUBSTITUTE(UPPER(S1483)," ",""),":",": "))),0)),"Não encontrado")</f>
        <v>Não encontrado</v>
      </c>
      <c r="E1483" s="42" t="str" cm="1">
        <f t="array" ref="E1483">IFERROR(INDEX({"IMPEDITIVO"},MATCH(TRUE,ISNUMBER(FIND(SUBSTITUTE(SUBSTITUTE(UPPER({"IMPEDITIVO"})," ",""),":",": "),SUBSTITUTE(SUBSTITUTE(UPPER(S1483)," ",""),":",": "))),0)),"-")</f>
        <v>-</v>
      </c>
      <c r="K1483" s="49"/>
    </row>
    <row r="1484" spans="1:11" x14ac:dyDescent="0.25">
      <c r="A1484" s="46" t="str" cm="1">
        <f t="array" ref="A1484">IFERROR(INDEX(#REF!,MATCH(TRUE,ISNUMBER(FIND(SUBSTITUTE(SUBSTITUTE(UPPER(#REF!)," ",""),":",": "),SUBSTITUTE(SUBSTITUTE(UPPER(S1484)," ",""),":",": "))),0)),"Undefined")</f>
        <v>Undefined</v>
      </c>
      <c r="B1484" s="42" t="str" cm="1">
        <f t="array" ref="B1484">IFERROR(INDEX({"URGENTE"},MATCH(TRUE,ISNUMBER(FIND(SUBSTITUTE(SUBSTITUTE(UPPER({"URGENTE"})," ",""),":",": "),SUBSTITUTE(SUBSTITUTE(UPPER(S1484)," ",""),":",": "))),0)),"-")</f>
        <v>-</v>
      </c>
      <c r="C1484" s="46" t="str" cm="1">
        <f t="array" ref="C1484">IFERROR(INDEX(#REF!,MATCH(TRUE,ISNUMBER(FIND(SUBSTITUTE(SUBSTITUTE(UPPER(#REF!)," ",""),":",": "),SUBSTITUTE(SUBSTITUTE(UPPER(S1484)," ",""),":",": "))),0)),"Não encontrado")</f>
        <v>Não encontrado</v>
      </c>
      <c r="D1484" s="46" t="str" cm="1">
        <f t="array" ref="D1484">IFERROR(INDEX(#REF!,MATCH(TRUE,ISNUMBER(FIND(SUBSTITUTE(SUBSTITUTE(UPPER(#REF!)," ",""),":",": "),SUBSTITUTE(SUBSTITUTE(UPPER(S1484)," ",""),":",": "))),0)),"Não encontrado")</f>
        <v>Não encontrado</v>
      </c>
      <c r="E1484" s="42" t="str" cm="1">
        <f t="array" ref="E1484">IFERROR(INDEX({"IMPEDITIVO"},MATCH(TRUE,ISNUMBER(FIND(SUBSTITUTE(SUBSTITUTE(UPPER({"IMPEDITIVO"})," ",""),":",": "),SUBSTITUTE(SUBSTITUTE(UPPER(S1484)," ",""),":",": "))),0)),"-")</f>
        <v>-</v>
      </c>
      <c r="K1484" s="49"/>
    </row>
    <row r="1485" spans="1:11" x14ac:dyDescent="0.25">
      <c r="A1485" s="46" t="str" cm="1">
        <f t="array" ref="A1485">IFERROR(INDEX(#REF!,MATCH(TRUE,ISNUMBER(FIND(SUBSTITUTE(SUBSTITUTE(UPPER(#REF!)," ",""),":",": "),SUBSTITUTE(SUBSTITUTE(UPPER(S1485)," ",""),":",": "))),0)),"Undefined")</f>
        <v>Undefined</v>
      </c>
      <c r="B1485" s="42" t="str" cm="1">
        <f t="array" ref="B1485">IFERROR(INDEX({"URGENTE"},MATCH(TRUE,ISNUMBER(FIND(SUBSTITUTE(SUBSTITUTE(UPPER({"URGENTE"})," ",""),":",": "),SUBSTITUTE(SUBSTITUTE(UPPER(S1485)," ",""),":",": "))),0)),"-")</f>
        <v>-</v>
      </c>
      <c r="C1485" s="46" t="str" cm="1">
        <f t="array" ref="C1485">IFERROR(INDEX(#REF!,MATCH(TRUE,ISNUMBER(FIND(SUBSTITUTE(SUBSTITUTE(UPPER(#REF!)," ",""),":",": "),SUBSTITUTE(SUBSTITUTE(UPPER(S1485)," ",""),":",": "))),0)),"Não encontrado")</f>
        <v>Não encontrado</v>
      </c>
      <c r="D1485" s="46" t="str" cm="1">
        <f t="array" ref="D1485">IFERROR(INDEX(#REF!,MATCH(TRUE,ISNUMBER(FIND(SUBSTITUTE(SUBSTITUTE(UPPER(#REF!)," ",""),":",": "),SUBSTITUTE(SUBSTITUTE(UPPER(S1485)," ",""),":",": "))),0)),"Não encontrado")</f>
        <v>Não encontrado</v>
      </c>
      <c r="E1485" s="42" t="str" cm="1">
        <f t="array" ref="E1485">IFERROR(INDEX({"IMPEDITIVO"},MATCH(TRUE,ISNUMBER(FIND(SUBSTITUTE(SUBSTITUTE(UPPER({"IMPEDITIVO"})," ",""),":",": "),SUBSTITUTE(SUBSTITUTE(UPPER(S1485)," ",""),":",": "))),0)),"-")</f>
        <v>-</v>
      </c>
      <c r="K1485" s="49"/>
    </row>
    <row r="1486" spans="1:11" x14ac:dyDescent="0.25">
      <c r="A1486" s="46" t="str" cm="1">
        <f t="array" ref="A1486">IFERROR(INDEX(#REF!,MATCH(TRUE,ISNUMBER(FIND(SUBSTITUTE(SUBSTITUTE(UPPER(#REF!)," ",""),":",": "),SUBSTITUTE(SUBSTITUTE(UPPER(S1486)," ",""),":",": "))),0)),"Undefined")</f>
        <v>Undefined</v>
      </c>
      <c r="B1486" s="42" t="str" cm="1">
        <f t="array" ref="B1486">IFERROR(INDEX({"URGENTE"},MATCH(TRUE,ISNUMBER(FIND(SUBSTITUTE(SUBSTITUTE(UPPER({"URGENTE"})," ",""),":",": "),SUBSTITUTE(SUBSTITUTE(UPPER(S1486)," ",""),":",": "))),0)),"-")</f>
        <v>-</v>
      </c>
      <c r="C1486" s="46" t="str" cm="1">
        <f t="array" ref="C1486">IFERROR(INDEX(#REF!,MATCH(TRUE,ISNUMBER(FIND(SUBSTITUTE(SUBSTITUTE(UPPER(#REF!)," ",""),":",": "),SUBSTITUTE(SUBSTITUTE(UPPER(S1486)," ",""),":",": "))),0)),"Não encontrado")</f>
        <v>Não encontrado</v>
      </c>
      <c r="D1486" s="46" t="str" cm="1">
        <f t="array" ref="D1486">IFERROR(INDEX(#REF!,MATCH(TRUE,ISNUMBER(FIND(SUBSTITUTE(SUBSTITUTE(UPPER(#REF!)," ",""),":",": "),SUBSTITUTE(SUBSTITUTE(UPPER(S1486)," ",""),":",": "))),0)),"Não encontrado")</f>
        <v>Não encontrado</v>
      </c>
      <c r="E1486" s="42" t="str" cm="1">
        <f t="array" ref="E1486">IFERROR(INDEX({"IMPEDITIVO"},MATCH(TRUE,ISNUMBER(FIND(SUBSTITUTE(SUBSTITUTE(UPPER({"IMPEDITIVO"})," ",""),":",": "),SUBSTITUTE(SUBSTITUTE(UPPER(S1486)," ",""),":",": "))),0)),"-")</f>
        <v>-</v>
      </c>
      <c r="K1486" s="49"/>
    </row>
    <row r="1487" spans="1:11" x14ac:dyDescent="0.25">
      <c r="A1487" s="46" t="str" cm="1">
        <f t="array" ref="A1487">IFERROR(INDEX(#REF!,MATCH(TRUE,ISNUMBER(FIND(SUBSTITUTE(SUBSTITUTE(UPPER(#REF!)," ",""),":",": "),SUBSTITUTE(SUBSTITUTE(UPPER(S1487)," ",""),":",": "))),0)),"Undefined")</f>
        <v>Undefined</v>
      </c>
      <c r="B1487" s="42" t="str" cm="1">
        <f t="array" ref="B1487">IFERROR(INDEX({"URGENTE"},MATCH(TRUE,ISNUMBER(FIND(SUBSTITUTE(SUBSTITUTE(UPPER({"URGENTE"})," ",""),":",": "),SUBSTITUTE(SUBSTITUTE(UPPER(S1487)," ",""),":",": "))),0)),"-")</f>
        <v>-</v>
      </c>
      <c r="C1487" s="46" t="str" cm="1">
        <f t="array" ref="C1487">IFERROR(INDEX(#REF!,MATCH(TRUE,ISNUMBER(FIND(SUBSTITUTE(SUBSTITUTE(UPPER(#REF!)," ",""),":",": "),SUBSTITUTE(SUBSTITUTE(UPPER(S1487)," ",""),":",": "))),0)),"Não encontrado")</f>
        <v>Não encontrado</v>
      </c>
      <c r="D1487" s="46" t="str" cm="1">
        <f t="array" ref="D1487">IFERROR(INDEX(#REF!,MATCH(TRUE,ISNUMBER(FIND(SUBSTITUTE(SUBSTITUTE(UPPER(#REF!)," ",""),":",": "),SUBSTITUTE(SUBSTITUTE(UPPER(S1487)," ",""),":",": "))),0)),"Não encontrado")</f>
        <v>Não encontrado</v>
      </c>
      <c r="E1487" s="42" t="str" cm="1">
        <f t="array" ref="E1487">IFERROR(INDEX({"IMPEDITIVO"},MATCH(TRUE,ISNUMBER(FIND(SUBSTITUTE(SUBSTITUTE(UPPER({"IMPEDITIVO"})," ",""),":",": "),SUBSTITUTE(SUBSTITUTE(UPPER(S1487)," ",""),":",": "))),0)),"-")</f>
        <v>-</v>
      </c>
      <c r="K1487" s="49"/>
    </row>
    <row r="1488" spans="1:11" x14ac:dyDescent="0.25">
      <c r="A1488" s="46" t="str" cm="1">
        <f t="array" ref="A1488">IFERROR(INDEX(#REF!,MATCH(TRUE,ISNUMBER(FIND(SUBSTITUTE(SUBSTITUTE(UPPER(#REF!)," ",""),":",": "),SUBSTITUTE(SUBSTITUTE(UPPER(S1488)," ",""),":",": "))),0)),"Undefined")</f>
        <v>Undefined</v>
      </c>
      <c r="B1488" s="42" t="str" cm="1">
        <f t="array" ref="B1488">IFERROR(INDEX({"URGENTE"},MATCH(TRUE,ISNUMBER(FIND(SUBSTITUTE(SUBSTITUTE(UPPER({"URGENTE"})," ",""),":",": "),SUBSTITUTE(SUBSTITUTE(UPPER(S1488)," ",""),":",": "))),0)),"-")</f>
        <v>-</v>
      </c>
      <c r="C1488" s="46" t="str" cm="1">
        <f t="array" ref="C1488">IFERROR(INDEX(#REF!,MATCH(TRUE,ISNUMBER(FIND(SUBSTITUTE(SUBSTITUTE(UPPER(#REF!)," ",""),":",": "),SUBSTITUTE(SUBSTITUTE(UPPER(S1488)," ",""),":",": "))),0)),"Não encontrado")</f>
        <v>Não encontrado</v>
      </c>
      <c r="D1488" s="46" t="str" cm="1">
        <f t="array" ref="D1488">IFERROR(INDEX(#REF!,MATCH(TRUE,ISNUMBER(FIND(SUBSTITUTE(SUBSTITUTE(UPPER(#REF!)," ",""),":",": "),SUBSTITUTE(SUBSTITUTE(UPPER(S1488)," ",""),":",": "))),0)),"Não encontrado")</f>
        <v>Não encontrado</v>
      </c>
      <c r="E1488" s="42" t="str" cm="1">
        <f t="array" ref="E1488">IFERROR(INDEX({"IMPEDITIVO"},MATCH(TRUE,ISNUMBER(FIND(SUBSTITUTE(SUBSTITUTE(UPPER({"IMPEDITIVO"})," ",""),":",": "),SUBSTITUTE(SUBSTITUTE(UPPER(S1488)," ",""),":",": "))),0)),"-")</f>
        <v>-</v>
      </c>
      <c r="K1488" s="49"/>
    </row>
    <row r="1489" spans="1:11" x14ac:dyDescent="0.25">
      <c r="A1489" s="46" t="str" cm="1">
        <f t="array" ref="A1489">IFERROR(INDEX(#REF!,MATCH(TRUE,ISNUMBER(FIND(SUBSTITUTE(SUBSTITUTE(UPPER(#REF!)," ",""),":",": "),SUBSTITUTE(SUBSTITUTE(UPPER(S1489)," ",""),":",": "))),0)),"Undefined")</f>
        <v>Undefined</v>
      </c>
      <c r="B1489" s="42" t="str" cm="1">
        <f t="array" ref="B1489">IFERROR(INDEX({"URGENTE"},MATCH(TRUE,ISNUMBER(FIND(SUBSTITUTE(SUBSTITUTE(UPPER({"URGENTE"})," ",""),":",": "),SUBSTITUTE(SUBSTITUTE(UPPER(S1489)," ",""),":",": "))),0)),"-")</f>
        <v>-</v>
      </c>
      <c r="C1489" s="46" t="str" cm="1">
        <f t="array" ref="C1489">IFERROR(INDEX(#REF!,MATCH(TRUE,ISNUMBER(FIND(SUBSTITUTE(SUBSTITUTE(UPPER(#REF!)," ",""),":",": "),SUBSTITUTE(SUBSTITUTE(UPPER(S1489)," ",""),":",": "))),0)),"Não encontrado")</f>
        <v>Não encontrado</v>
      </c>
      <c r="D1489" s="46" t="str" cm="1">
        <f t="array" ref="D1489">IFERROR(INDEX(#REF!,MATCH(TRUE,ISNUMBER(FIND(SUBSTITUTE(SUBSTITUTE(UPPER(#REF!)," ",""),":",": "),SUBSTITUTE(SUBSTITUTE(UPPER(S1489)," ",""),":",": "))),0)),"Não encontrado")</f>
        <v>Não encontrado</v>
      </c>
      <c r="E1489" s="42" t="str" cm="1">
        <f t="array" ref="E1489">IFERROR(INDEX({"IMPEDITIVO"},MATCH(TRUE,ISNUMBER(FIND(SUBSTITUTE(SUBSTITUTE(UPPER({"IMPEDITIVO"})," ",""),":",": "),SUBSTITUTE(SUBSTITUTE(UPPER(S1489)," ",""),":",": "))),0)),"-")</f>
        <v>-</v>
      </c>
      <c r="K1489" s="49"/>
    </row>
    <row r="1490" spans="1:11" x14ac:dyDescent="0.25">
      <c r="A1490" s="46" t="str" cm="1">
        <f t="array" ref="A1490">IFERROR(INDEX(#REF!,MATCH(TRUE,ISNUMBER(FIND(SUBSTITUTE(SUBSTITUTE(UPPER(#REF!)," ",""),":",": "),SUBSTITUTE(SUBSTITUTE(UPPER(S1490)," ",""),":",": "))),0)),"Undefined")</f>
        <v>Undefined</v>
      </c>
      <c r="B1490" s="42" t="str" cm="1">
        <f t="array" ref="B1490">IFERROR(INDEX({"URGENTE"},MATCH(TRUE,ISNUMBER(FIND(SUBSTITUTE(SUBSTITUTE(UPPER({"URGENTE"})," ",""),":",": "),SUBSTITUTE(SUBSTITUTE(UPPER(S1490)," ",""),":",": "))),0)),"-")</f>
        <v>-</v>
      </c>
      <c r="C1490" s="46" t="str" cm="1">
        <f t="array" ref="C1490">IFERROR(INDEX(#REF!,MATCH(TRUE,ISNUMBER(FIND(SUBSTITUTE(SUBSTITUTE(UPPER(#REF!)," ",""),":",": "),SUBSTITUTE(SUBSTITUTE(UPPER(S1490)," ",""),":",": "))),0)),"Não encontrado")</f>
        <v>Não encontrado</v>
      </c>
      <c r="D1490" s="46" t="str" cm="1">
        <f t="array" ref="D1490">IFERROR(INDEX(#REF!,MATCH(TRUE,ISNUMBER(FIND(SUBSTITUTE(SUBSTITUTE(UPPER(#REF!)," ",""),":",": "),SUBSTITUTE(SUBSTITUTE(UPPER(S1490)," ",""),":",": "))),0)),"Não encontrado")</f>
        <v>Não encontrado</v>
      </c>
      <c r="E1490" s="42" t="str" cm="1">
        <f t="array" ref="E1490">IFERROR(INDEX({"IMPEDITIVO"},MATCH(TRUE,ISNUMBER(FIND(SUBSTITUTE(SUBSTITUTE(UPPER({"IMPEDITIVO"})," ",""),":",": "),SUBSTITUTE(SUBSTITUTE(UPPER(S1490)," ",""),":",": "))),0)),"-")</f>
        <v>-</v>
      </c>
      <c r="K1490" s="49"/>
    </row>
    <row r="1491" spans="1:11" x14ac:dyDescent="0.25">
      <c r="A1491" s="46" t="str" cm="1">
        <f t="array" ref="A1491">IFERROR(INDEX(#REF!,MATCH(TRUE,ISNUMBER(FIND(SUBSTITUTE(SUBSTITUTE(UPPER(#REF!)," ",""),":",": "),SUBSTITUTE(SUBSTITUTE(UPPER(S1491)," ",""),":",": "))),0)),"Undefined")</f>
        <v>Undefined</v>
      </c>
      <c r="B1491" s="42" t="str" cm="1">
        <f t="array" ref="B1491">IFERROR(INDEX({"URGENTE"},MATCH(TRUE,ISNUMBER(FIND(SUBSTITUTE(SUBSTITUTE(UPPER({"URGENTE"})," ",""),":",": "),SUBSTITUTE(SUBSTITUTE(UPPER(S1491)," ",""),":",": "))),0)),"-")</f>
        <v>-</v>
      </c>
      <c r="C1491" s="46" t="str" cm="1">
        <f t="array" ref="C1491">IFERROR(INDEX(#REF!,MATCH(TRUE,ISNUMBER(FIND(SUBSTITUTE(SUBSTITUTE(UPPER(#REF!)," ",""),":",": "),SUBSTITUTE(SUBSTITUTE(UPPER(S1491)," ",""),":",": "))),0)),"Não encontrado")</f>
        <v>Não encontrado</v>
      </c>
      <c r="D1491" s="46" t="str" cm="1">
        <f t="array" ref="D1491">IFERROR(INDEX(#REF!,MATCH(TRUE,ISNUMBER(FIND(SUBSTITUTE(SUBSTITUTE(UPPER(#REF!)," ",""),":",": "),SUBSTITUTE(SUBSTITUTE(UPPER(S1491)," ",""),":",": "))),0)),"Não encontrado")</f>
        <v>Não encontrado</v>
      </c>
      <c r="E1491" s="42" t="str" cm="1">
        <f t="array" ref="E1491">IFERROR(INDEX({"IMPEDITIVO"},MATCH(TRUE,ISNUMBER(FIND(SUBSTITUTE(SUBSTITUTE(UPPER({"IMPEDITIVO"})," ",""),":",": "),SUBSTITUTE(SUBSTITUTE(UPPER(S1491)," ",""),":",": "))),0)),"-")</f>
        <v>-</v>
      </c>
      <c r="K1491" s="49"/>
    </row>
    <row r="1492" spans="1:11" x14ac:dyDescent="0.25">
      <c r="A1492" s="46" t="str" cm="1">
        <f t="array" ref="A1492">IFERROR(INDEX(#REF!,MATCH(TRUE,ISNUMBER(FIND(SUBSTITUTE(SUBSTITUTE(UPPER(#REF!)," ",""),":",": "),SUBSTITUTE(SUBSTITUTE(UPPER(S1492)," ",""),":",": "))),0)),"Undefined")</f>
        <v>Undefined</v>
      </c>
      <c r="B1492" s="42" t="str" cm="1">
        <f t="array" ref="B1492">IFERROR(INDEX({"URGENTE"},MATCH(TRUE,ISNUMBER(FIND(SUBSTITUTE(SUBSTITUTE(UPPER({"URGENTE"})," ",""),":",": "),SUBSTITUTE(SUBSTITUTE(UPPER(S1492)," ",""),":",": "))),0)),"-")</f>
        <v>-</v>
      </c>
      <c r="C1492" s="46" t="str" cm="1">
        <f t="array" ref="C1492">IFERROR(INDEX(#REF!,MATCH(TRUE,ISNUMBER(FIND(SUBSTITUTE(SUBSTITUTE(UPPER(#REF!)," ",""),":",": "),SUBSTITUTE(SUBSTITUTE(UPPER(S1492)," ",""),":",": "))),0)),"Não encontrado")</f>
        <v>Não encontrado</v>
      </c>
      <c r="D1492" s="46" t="str" cm="1">
        <f t="array" ref="D1492">IFERROR(INDEX(#REF!,MATCH(TRUE,ISNUMBER(FIND(SUBSTITUTE(SUBSTITUTE(UPPER(#REF!)," ",""),":",": "),SUBSTITUTE(SUBSTITUTE(UPPER(S1492)," ",""),":",": "))),0)),"Não encontrado")</f>
        <v>Não encontrado</v>
      </c>
      <c r="E1492" s="42" t="str" cm="1">
        <f t="array" ref="E1492">IFERROR(INDEX({"IMPEDITIVO"},MATCH(TRUE,ISNUMBER(FIND(SUBSTITUTE(SUBSTITUTE(UPPER({"IMPEDITIVO"})," ",""),":",": "),SUBSTITUTE(SUBSTITUTE(UPPER(S1492)," ",""),":",": "))),0)),"-")</f>
        <v>-</v>
      </c>
      <c r="K1492" s="49"/>
    </row>
    <row r="1493" spans="1:11" x14ac:dyDescent="0.25">
      <c r="A1493" s="46" t="str" cm="1">
        <f t="array" ref="A1493">IFERROR(INDEX(#REF!,MATCH(TRUE,ISNUMBER(FIND(SUBSTITUTE(SUBSTITUTE(UPPER(#REF!)," ",""),":",": "),SUBSTITUTE(SUBSTITUTE(UPPER(S1493)," ",""),":",": "))),0)),"Undefined")</f>
        <v>Undefined</v>
      </c>
      <c r="B1493" s="42" t="str" cm="1">
        <f t="array" ref="B1493">IFERROR(INDEX({"URGENTE"},MATCH(TRUE,ISNUMBER(FIND(SUBSTITUTE(SUBSTITUTE(UPPER({"URGENTE"})," ",""),":",": "),SUBSTITUTE(SUBSTITUTE(UPPER(S1493)," ",""),":",": "))),0)),"-")</f>
        <v>-</v>
      </c>
      <c r="C1493" s="46" t="str" cm="1">
        <f t="array" ref="C1493">IFERROR(INDEX(#REF!,MATCH(TRUE,ISNUMBER(FIND(SUBSTITUTE(SUBSTITUTE(UPPER(#REF!)," ",""),":",": "),SUBSTITUTE(SUBSTITUTE(UPPER(S1493)," ",""),":",": "))),0)),"Não encontrado")</f>
        <v>Não encontrado</v>
      </c>
      <c r="D1493" s="46" t="str" cm="1">
        <f t="array" ref="D1493">IFERROR(INDEX(#REF!,MATCH(TRUE,ISNUMBER(FIND(SUBSTITUTE(SUBSTITUTE(UPPER(#REF!)," ",""),":",": "),SUBSTITUTE(SUBSTITUTE(UPPER(S1493)," ",""),":",": "))),0)),"Não encontrado")</f>
        <v>Não encontrado</v>
      </c>
      <c r="E1493" s="42" t="str" cm="1">
        <f t="array" ref="E1493">IFERROR(INDEX({"IMPEDITIVO"},MATCH(TRUE,ISNUMBER(FIND(SUBSTITUTE(SUBSTITUTE(UPPER({"IMPEDITIVO"})," ",""),":",": "),SUBSTITUTE(SUBSTITUTE(UPPER(S1493)," ",""),":",": "))),0)),"-")</f>
        <v>-</v>
      </c>
      <c r="K1493" s="49"/>
    </row>
    <row r="1494" spans="1:11" x14ac:dyDescent="0.25">
      <c r="A1494" s="46" t="str" cm="1">
        <f t="array" ref="A1494">IFERROR(INDEX(#REF!,MATCH(TRUE,ISNUMBER(FIND(SUBSTITUTE(SUBSTITUTE(UPPER(#REF!)," ",""),":",": "),SUBSTITUTE(SUBSTITUTE(UPPER(S1494)," ",""),":",": "))),0)),"Undefined")</f>
        <v>Undefined</v>
      </c>
      <c r="B1494" s="42" t="str" cm="1">
        <f t="array" ref="B1494">IFERROR(INDEX({"URGENTE"},MATCH(TRUE,ISNUMBER(FIND(SUBSTITUTE(SUBSTITUTE(UPPER({"URGENTE"})," ",""),":",": "),SUBSTITUTE(SUBSTITUTE(UPPER(S1494)," ",""),":",": "))),0)),"-")</f>
        <v>-</v>
      </c>
      <c r="C1494" s="46" t="str" cm="1">
        <f t="array" ref="C1494">IFERROR(INDEX(#REF!,MATCH(TRUE,ISNUMBER(FIND(SUBSTITUTE(SUBSTITUTE(UPPER(#REF!)," ",""),":",": "),SUBSTITUTE(SUBSTITUTE(UPPER(S1494)," ",""),":",": "))),0)),"Não encontrado")</f>
        <v>Não encontrado</v>
      </c>
      <c r="D1494" s="46" t="str" cm="1">
        <f t="array" ref="D1494">IFERROR(INDEX(#REF!,MATCH(TRUE,ISNUMBER(FIND(SUBSTITUTE(SUBSTITUTE(UPPER(#REF!)," ",""),":",": "),SUBSTITUTE(SUBSTITUTE(UPPER(S1494)," ",""),":",": "))),0)),"Não encontrado")</f>
        <v>Não encontrado</v>
      </c>
      <c r="E1494" s="42" t="str" cm="1">
        <f t="array" ref="E1494">IFERROR(INDEX({"IMPEDITIVO"},MATCH(TRUE,ISNUMBER(FIND(SUBSTITUTE(SUBSTITUTE(UPPER({"IMPEDITIVO"})," ",""),":",": "),SUBSTITUTE(SUBSTITUTE(UPPER(S1494)," ",""),":",": "))),0)),"-")</f>
        <v>-</v>
      </c>
      <c r="K1494" s="49"/>
    </row>
    <row r="1495" spans="1:11" x14ac:dyDescent="0.25">
      <c r="A1495" s="46" t="str" cm="1">
        <f t="array" ref="A1495">IFERROR(INDEX(#REF!,MATCH(TRUE,ISNUMBER(FIND(SUBSTITUTE(SUBSTITUTE(UPPER(#REF!)," ",""),":",": "),SUBSTITUTE(SUBSTITUTE(UPPER(S1495)," ",""),":",": "))),0)),"Undefined")</f>
        <v>Undefined</v>
      </c>
      <c r="B1495" s="42" t="str" cm="1">
        <f t="array" ref="B1495">IFERROR(INDEX({"URGENTE"},MATCH(TRUE,ISNUMBER(FIND(SUBSTITUTE(SUBSTITUTE(UPPER({"URGENTE"})," ",""),":",": "),SUBSTITUTE(SUBSTITUTE(UPPER(S1495)," ",""),":",": "))),0)),"-")</f>
        <v>-</v>
      </c>
      <c r="C1495" s="46" t="str" cm="1">
        <f t="array" ref="C1495">IFERROR(INDEX(#REF!,MATCH(TRUE,ISNUMBER(FIND(SUBSTITUTE(SUBSTITUTE(UPPER(#REF!)," ",""),":",": "),SUBSTITUTE(SUBSTITUTE(UPPER(S1495)," ",""),":",": "))),0)),"Não encontrado")</f>
        <v>Não encontrado</v>
      </c>
      <c r="D1495" s="46" t="str" cm="1">
        <f t="array" ref="D1495">IFERROR(INDEX(#REF!,MATCH(TRUE,ISNUMBER(FIND(SUBSTITUTE(SUBSTITUTE(UPPER(#REF!)," ",""),":",": "),SUBSTITUTE(SUBSTITUTE(UPPER(S1495)," ",""),":",": "))),0)),"Não encontrado")</f>
        <v>Não encontrado</v>
      </c>
      <c r="E1495" s="42" t="str" cm="1">
        <f t="array" ref="E1495">IFERROR(INDEX({"IMPEDITIVO"},MATCH(TRUE,ISNUMBER(FIND(SUBSTITUTE(SUBSTITUTE(UPPER({"IMPEDITIVO"})," ",""),":",": "),SUBSTITUTE(SUBSTITUTE(UPPER(S1495)," ",""),":",": "))),0)),"-")</f>
        <v>-</v>
      </c>
      <c r="K1495" s="49"/>
    </row>
    <row r="1496" spans="1:11" x14ac:dyDescent="0.25">
      <c r="A1496" s="46" t="str" cm="1">
        <f t="array" ref="A1496">IFERROR(INDEX(#REF!,MATCH(TRUE,ISNUMBER(FIND(SUBSTITUTE(SUBSTITUTE(UPPER(#REF!)," ",""),":",": "),SUBSTITUTE(SUBSTITUTE(UPPER(S1496)," ",""),":",": "))),0)),"Undefined")</f>
        <v>Undefined</v>
      </c>
      <c r="B1496" s="42" t="str" cm="1">
        <f t="array" ref="B1496">IFERROR(INDEX({"URGENTE"},MATCH(TRUE,ISNUMBER(FIND(SUBSTITUTE(SUBSTITUTE(UPPER({"URGENTE"})," ",""),":",": "),SUBSTITUTE(SUBSTITUTE(UPPER(S1496)," ",""),":",": "))),0)),"-")</f>
        <v>-</v>
      </c>
      <c r="C1496" s="46" t="str" cm="1">
        <f t="array" ref="C1496">IFERROR(INDEX(#REF!,MATCH(TRUE,ISNUMBER(FIND(SUBSTITUTE(SUBSTITUTE(UPPER(#REF!)," ",""),":",": "),SUBSTITUTE(SUBSTITUTE(UPPER(S1496)," ",""),":",": "))),0)),"Não encontrado")</f>
        <v>Não encontrado</v>
      </c>
      <c r="D1496" s="46" t="str" cm="1">
        <f t="array" ref="D1496">IFERROR(INDEX(#REF!,MATCH(TRUE,ISNUMBER(FIND(SUBSTITUTE(SUBSTITUTE(UPPER(#REF!)," ",""),":",": "),SUBSTITUTE(SUBSTITUTE(UPPER(S1496)," ",""),":",": "))),0)),"Não encontrado")</f>
        <v>Não encontrado</v>
      </c>
      <c r="E1496" s="42" t="str" cm="1">
        <f t="array" ref="E1496">IFERROR(INDEX({"IMPEDITIVO"},MATCH(TRUE,ISNUMBER(FIND(SUBSTITUTE(SUBSTITUTE(UPPER({"IMPEDITIVO"})," ",""),":",": "),SUBSTITUTE(SUBSTITUTE(UPPER(S1496)," ",""),":",": "))),0)),"-")</f>
        <v>-</v>
      </c>
      <c r="K1496" s="49"/>
    </row>
    <row r="1497" spans="1:11" x14ac:dyDescent="0.25">
      <c r="A1497" s="46" t="str" cm="1">
        <f t="array" ref="A1497">IFERROR(INDEX(#REF!,MATCH(TRUE,ISNUMBER(FIND(SUBSTITUTE(SUBSTITUTE(UPPER(#REF!)," ",""),":",": "),SUBSTITUTE(SUBSTITUTE(UPPER(S1497)," ",""),":",": "))),0)),"Undefined")</f>
        <v>Undefined</v>
      </c>
      <c r="B1497" s="42" t="str" cm="1">
        <f t="array" ref="B1497">IFERROR(INDEX({"URGENTE"},MATCH(TRUE,ISNUMBER(FIND(SUBSTITUTE(SUBSTITUTE(UPPER({"URGENTE"})," ",""),":",": "),SUBSTITUTE(SUBSTITUTE(UPPER(S1497)," ",""),":",": "))),0)),"-")</f>
        <v>-</v>
      </c>
      <c r="C1497" s="46" t="str" cm="1">
        <f t="array" ref="C1497">IFERROR(INDEX(#REF!,MATCH(TRUE,ISNUMBER(FIND(SUBSTITUTE(SUBSTITUTE(UPPER(#REF!)," ",""),":",": "),SUBSTITUTE(SUBSTITUTE(UPPER(S1497)," ",""),":",": "))),0)),"Não encontrado")</f>
        <v>Não encontrado</v>
      </c>
      <c r="D1497" s="46" t="str" cm="1">
        <f t="array" ref="D1497">IFERROR(INDEX(#REF!,MATCH(TRUE,ISNUMBER(FIND(SUBSTITUTE(SUBSTITUTE(UPPER(#REF!)," ",""),":",": "),SUBSTITUTE(SUBSTITUTE(UPPER(S1497)," ",""),":",": "))),0)),"Não encontrado")</f>
        <v>Não encontrado</v>
      </c>
      <c r="E1497" s="42" t="str" cm="1">
        <f t="array" ref="E1497">IFERROR(INDEX({"IMPEDITIVO"},MATCH(TRUE,ISNUMBER(FIND(SUBSTITUTE(SUBSTITUTE(UPPER({"IMPEDITIVO"})," ",""),":",": "),SUBSTITUTE(SUBSTITUTE(UPPER(S1497)," ",""),":",": "))),0)),"-")</f>
        <v>-</v>
      </c>
      <c r="K1497" s="49"/>
    </row>
    <row r="1498" spans="1:11" x14ac:dyDescent="0.25">
      <c r="A1498" s="46" t="str" cm="1">
        <f t="array" ref="A1498">IFERROR(INDEX(#REF!,MATCH(TRUE,ISNUMBER(FIND(SUBSTITUTE(SUBSTITUTE(UPPER(#REF!)," ",""),":",": "),SUBSTITUTE(SUBSTITUTE(UPPER(S1498)," ",""),":",": "))),0)),"Undefined")</f>
        <v>Undefined</v>
      </c>
      <c r="B1498" s="42" t="str" cm="1">
        <f t="array" ref="B1498">IFERROR(INDEX({"URGENTE"},MATCH(TRUE,ISNUMBER(FIND(SUBSTITUTE(SUBSTITUTE(UPPER({"URGENTE"})," ",""),":",": "),SUBSTITUTE(SUBSTITUTE(UPPER(S1498)," ",""),":",": "))),0)),"-")</f>
        <v>-</v>
      </c>
      <c r="C1498" s="46" t="str" cm="1">
        <f t="array" ref="C1498">IFERROR(INDEX(#REF!,MATCH(TRUE,ISNUMBER(FIND(SUBSTITUTE(SUBSTITUTE(UPPER(#REF!)," ",""),":",": "),SUBSTITUTE(SUBSTITUTE(UPPER(S1498)," ",""),":",": "))),0)),"Não encontrado")</f>
        <v>Não encontrado</v>
      </c>
      <c r="D1498" s="46" t="str" cm="1">
        <f t="array" ref="D1498">IFERROR(INDEX(#REF!,MATCH(TRUE,ISNUMBER(FIND(SUBSTITUTE(SUBSTITUTE(UPPER(#REF!)," ",""),":",": "),SUBSTITUTE(SUBSTITUTE(UPPER(S1498)," ",""),":",": "))),0)),"Não encontrado")</f>
        <v>Não encontrado</v>
      </c>
      <c r="E1498" s="42" t="str" cm="1">
        <f t="array" ref="E1498">IFERROR(INDEX({"IMPEDITIVO"},MATCH(TRUE,ISNUMBER(FIND(SUBSTITUTE(SUBSTITUTE(UPPER({"IMPEDITIVO"})," ",""),":",": "),SUBSTITUTE(SUBSTITUTE(UPPER(S1498)," ",""),":",": "))),0)),"-")</f>
        <v>-</v>
      </c>
      <c r="K1498" s="49"/>
    </row>
    <row r="1499" spans="1:11" x14ac:dyDescent="0.25">
      <c r="A1499" s="46" t="str" cm="1">
        <f t="array" ref="A1499">IFERROR(INDEX(#REF!,MATCH(TRUE,ISNUMBER(FIND(SUBSTITUTE(SUBSTITUTE(UPPER(#REF!)," ",""),":",": "),SUBSTITUTE(SUBSTITUTE(UPPER(S1499)," ",""),":",": "))),0)),"Undefined")</f>
        <v>Undefined</v>
      </c>
      <c r="B1499" s="42" t="str" cm="1">
        <f t="array" ref="B1499">IFERROR(INDEX({"URGENTE"},MATCH(TRUE,ISNUMBER(FIND(SUBSTITUTE(SUBSTITUTE(UPPER({"URGENTE"})," ",""),":",": "),SUBSTITUTE(SUBSTITUTE(UPPER(S1499)," ",""),":",": "))),0)),"-")</f>
        <v>-</v>
      </c>
      <c r="C1499" s="46" t="str" cm="1">
        <f t="array" ref="C1499">IFERROR(INDEX(#REF!,MATCH(TRUE,ISNUMBER(FIND(SUBSTITUTE(SUBSTITUTE(UPPER(#REF!)," ",""),":",": "),SUBSTITUTE(SUBSTITUTE(UPPER(S1499)," ",""),":",": "))),0)),"Não encontrado")</f>
        <v>Não encontrado</v>
      </c>
      <c r="D1499" s="46" t="str" cm="1">
        <f t="array" ref="D1499">IFERROR(INDEX(#REF!,MATCH(TRUE,ISNUMBER(FIND(SUBSTITUTE(SUBSTITUTE(UPPER(#REF!)," ",""),":",": "),SUBSTITUTE(SUBSTITUTE(UPPER(S1499)," ",""),":",": "))),0)),"Não encontrado")</f>
        <v>Não encontrado</v>
      </c>
      <c r="E1499" s="42" t="str" cm="1">
        <f t="array" ref="E1499">IFERROR(INDEX({"IMPEDITIVO"},MATCH(TRUE,ISNUMBER(FIND(SUBSTITUTE(SUBSTITUTE(UPPER({"IMPEDITIVO"})," ",""),":",": "),SUBSTITUTE(SUBSTITUTE(UPPER(S1499)," ",""),":",": "))),0)),"-")</f>
        <v>-</v>
      </c>
      <c r="K1499" s="49"/>
    </row>
    <row r="1500" spans="1:11" x14ac:dyDescent="0.25">
      <c r="A1500" s="46" t="str" cm="1">
        <f t="array" ref="A1500">IFERROR(INDEX(#REF!,MATCH(TRUE,ISNUMBER(FIND(SUBSTITUTE(SUBSTITUTE(UPPER(#REF!)," ",""),":",": "),SUBSTITUTE(SUBSTITUTE(UPPER(S1500)," ",""),":",": "))),0)),"Undefined")</f>
        <v>Undefined</v>
      </c>
      <c r="B1500" s="42" t="str" cm="1">
        <f t="array" ref="B1500">IFERROR(INDEX({"URGENTE"},MATCH(TRUE,ISNUMBER(FIND(SUBSTITUTE(SUBSTITUTE(UPPER({"URGENTE"})," ",""),":",": "),SUBSTITUTE(SUBSTITUTE(UPPER(S1500)," ",""),":",": "))),0)),"-")</f>
        <v>-</v>
      </c>
      <c r="C1500" s="46" t="str" cm="1">
        <f t="array" ref="C1500">IFERROR(INDEX(#REF!,MATCH(TRUE,ISNUMBER(FIND(SUBSTITUTE(SUBSTITUTE(UPPER(#REF!)," ",""),":",": "),SUBSTITUTE(SUBSTITUTE(UPPER(S1500)," ",""),":",": "))),0)),"Não encontrado")</f>
        <v>Não encontrado</v>
      </c>
      <c r="D1500" s="46" t="str" cm="1">
        <f t="array" ref="D1500">IFERROR(INDEX(#REF!,MATCH(TRUE,ISNUMBER(FIND(SUBSTITUTE(SUBSTITUTE(UPPER(#REF!)," ",""),":",": "),SUBSTITUTE(SUBSTITUTE(UPPER(S1500)," ",""),":",": "))),0)),"Não encontrado")</f>
        <v>Não encontrado</v>
      </c>
      <c r="E1500" s="42" t="str" cm="1">
        <f t="array" ref="E1500">IFERROR(INDEX({"IMPEDITIVO"},MATCH(TRUE,ISNUMBER(FIND(SUBSTITUTE(SUBSTITUTE(UPPER({"IMPEDITIVO"})," ",""),":",": "),SUBSTITUTE(SUBSTITUTE(UPPER(S1500)," ",""),":",": "))),0)),"-")</f>
        <v>-</v>
      </c>
      <c r="K1500" s="49"/>
    </row>
    <row r="1501" spans="1:11" x14ac:dyDescent="0.25">
      <c r="A1501" s="46" t="str" cm="1">
        <f t="array" ref="A1501">IFERROR(INDEX(#REF!,MATCH(TRUE,ISNUMBER(FIND(SUBSTITUTE(SUBSTITUTE(UPPER(#REF!)," ",""),":",": "),SUBSTITUTE(SUBSTITUTE(UPPER(S1501)," ",""),":",": "))),0)),"Undefined")</f>
        <v>Undefined</v>
      </c>
      <c r="B1501" s="42" t="str" cm="1">
        <f t="array" ref="B1501">IFERROR(INDEX({"URGENTE"},MATCH(TRUE,ISNUMBER(FIND(SUBSTITUTE(SUBSTITUTE(UPPER({"URGENTE"})," ",""),":",": "),SUBSTITUTE(SUBSTITUTE(UPPER(S1501)," ",""),":",": "))),0)),"-")</f>
        <v>-</v>
      </c>
      <c r="C1501" s="46" t="str" cm="1">
        <f t="array" ref="C1501">IFERROR(INDEX(#REF!,MATCH(TRUE,ISNUMBER(FIND(SUBSTITUTE(SUBSTITUTE(UPPER(#REF!)," ",""),":",": "),SUBSTITUTE(SUBSTITUTE(UPPER(S1501)," ",""),":",": "))),0)),"Não encontrado")</f>
        <v>Não encontrado</v>
      </c>
      <c r="D1501" s="46" t="str" cm="1">
        <f t="array" ref="D1501">IFERROR(INDEX(#REF!,MATCH(TRUE,ISNUMBER(FIND(SUBSTITUTE(SUBSTITUTE(UPPER(#REF!)," ",""),":",": "),SUBSTITUTE(SUBSTITUTE(UPPER(S1501)," ",""),":",": "))),0)),"Não encontrado")</f>
        <v>Não encontrado</v>
      </c>
      <c r="E1501" s="42" t="str" cm="1">
        <f t="array" ref="E1501">IFERROR(INDEX({"IMPEDITIVO"},MATCH(TRUE,ISNUMBER(FIND(SUBSTITUTE(SUBSTITUTE(UPPER({"IMPEDITIVO"})," ",""),":",": "),SUBSTITUTE(SUBSTITUTE(UPPER(S1501)," ",""),":",": "))),0)),"-")</f>
        <v>-</v>
      </c>
      <c r="K1501" s="49"/>
    </row>
    <row r="1502" spans="1:11" x14ac:dyDescent="0.25">
      <c r="A1502" s="46" t="str" cm="1">
        <f t="array" ref="A1502">IFERROR(INDEX(#REF!,MATCH(TRUE,ISNUMBER(FIND(SUBSTITUTE(SUBSTITUTE(UPPER(#REF!)," ",""),":",": "),SUBSTITUTE(SUBSTITUTE(UPPER(S1502)," ",""),":",": "))),0)),"Undefined")</f>
        <v>Undefined</v>
      </c>
      <c r="B1502" s="42" t="str" cm="1">
        <f t="array" ref="B1502">IFERROR(INDEX({"URGENTE"},MATCH(TRUE,ISNUMBER(FIND(SUBSTITUTE(SUBSTITUTE(UPPER({"URGENTE"})," ",""),":",": "),SUBSTITUTE(SUBSTITUTE(UPPER(S1502)," ",""),":",": "))),0)),"-")</f>
        <v>-</v>
      </c>
      <c r="C1502" s="46" t="str" cm="1">
        <f t="array" ref="C1502">IFERROR(INDEX(#REF!,MATCH(TRUE,ISNUMBER(FIND(SUBSTITUTE(SUBSTITUTE(UPPER(#REF!)," ",""),":",": "),SUBSTITUTE(SUBSTITUTE(UPPER(S1502)," ",""),":",": "))),0)),"Não encontrado")</f>
        <v>Não encontrado</v>
      </c>
      <c r="D1502" s="46" t="str" cm="1">
        <f t="array" ref="D1502">IFERROR(INDEX(#REF!,MATCH(TRUE,ISNUMBER(FIND(SUBSTITUTE(SUBSTITUTE(UPPER(#REF!)," ",""),":",": "),SUBSTITUTE(SUBSTITUTE(UPPER(S1502)," ",""),":",": "))),0)),"Não encontrado")</f>
        <v>Não encontrado</v>
      </c>
      <c r="E1502" s="42" t="str" cm="1">
        <f t="array" ref="E1502">IFERROR(INDEX({"IMPEDITIVO"},MATCH(TRUE,ISNUMBER(FIND(SUBSTITUTE(SUBSTITUTE(UPPER({"IMPEDITIVO"})," ",""),":",": "),SUBSTITUTE(SUBSTITUTE(UPPER(S1502)," ",""),":",": "))),0)),"-")</f>
        <v>-</v>
      </c>
      <c r="K1502" s="49"/>
    </row>
    <row r="1503" spans="1:11" x14ac:dyDescent="0.25">
      <c r="A1503" s="46" t="str" cm="1">
        <f t="array" ref="A1503">IFERROR(INDEX(#REF!,MATCH(TRUE,ISNUMBER(FIND(SUBSTITUTE(SUBSTITUTE(UPPER(#REF!)," ",""),":",": "),SUBSTITUTE(SUBSTITUTE(UPPER(S1503)," ",""),":",": "))),0)),"Undefined")</f>
        <v>Undefined</v>
      </c>
      <c r="B1503" s="42" t="str" cm="1">
        <f t="array" ref="B1503">IFERROR(INDEX({"URGENTE"},MATCH(TRUE,ISNUMBER(FIND(SUBSTITUTE(SUBSTITUTE(UPPER({"URGENTE"})," ",""),":",": "),SUBSTITUTE(SUBSTITUTE(UPPER(S1503)," ",""),":",": "))),0)),"-")</f>
        <v>-</v>
      </c>
      <c r="C1503" s="46" t="str" cm="1">
        <f t="array" ref="C1503">IFERROR(INDEX(#REF!,MATCH(TRUE,ISNUMBER(FIND(SUBSTITUTE(SUBSTITUTE(UPPER(#REF!)," ",""),":",": "),SUBSTITUTE(SUBSTITUTE(UPPER(S1503)," ",""),":",": "))),0)),"Não encontrado")</f>
        <v>Não encontrado</v>
      </c>
      <c r="D1503" s="46" t="str" cm="1">
        <f t="array" ref="D1503">IFERROR(INDEX(#REF!,MATCH(TRUE,ISNUMBER(FIND(SUBSTITUTE(SUBSTITUTE(UPPER(#REF!)," ",""),":",": "),SUBSTITUTE(SUBSTITUTE(UPPER(S1503)," ",""),":",": "))),0)),"Não encontrado")</f>
        <v>Não encontrado</v>
      </c>
      <c r="E1503" s="42" t="str" cm="1">
        <f t="array" ref="E1503">IFERROR(INDEX({"IMPEDITIVO"},MATCH(TRUE,ISNUMBER(FIND(SUBSTITUTE(SUBSTITUTE(UPPER({"IMPEDITIVO"})," ",""),":",": "),SUBSTITUTE(SUBSTITUTE(UPPER(S1503)," ",""),":",": "))),0)),"-")</f>
        <v>-</v>
      </c>
      <c r="K1503" s="49"/>
    </row>
    <row r="1504" spans="1:11" x14ac:dyDescent="0.25">
      <c r="A1504" s="46" t="str" cm="1">
        <f t="array" ref="A1504">IFERROR(INDEX(#REF!,MATCH(TRUE,ISNUMBER(FIND(SUBSTITUTE(SUBSTITUTE(UPPER(#REF!)," ",""),":",": "),SUBSTITUTE(SUBSTITUTE(UPPER(S1504)," ",""),":",": "))),0)),"Undefined")</f>
        <v>Undefined</v>
      </c>
      <c r="B1504" s="42" t="str" cm="1">
        <f t="array" ref="B1504">IFERROR(INDEX({"URGENTE"},MATCH(TRUE,ISNUMBER(FIND(SUBSTITUTE(SUBSTITUTE(UPPER({"URGENTE"})," ",""),":",": "),SUBSTITUTE(SUBSTITUTE(UPPER(S1504)," ",""),":",": "))),0)),"-")</f>
        <v>-</v>
      </c>
      <c r="C1504" s="46" t="str" cm="1">
        <f t="array" ref="C1504">IFERROR(INDEX(#REF!,MATCH(TRUE,ISNUMBER(FIND(SUBSTITUTE(SUBSTITUTE(UPPER(#REF!)," ",""),":",": "),SUBSTITUTE(SUBSTITUTE(UPPER(S1504)," ",""),":",": "))),0)),"Não encontrado")</f>
        <v>Não encontrado</v>
      </c>
      <c r="D1504" s="46" t="str" cm="1">
        <f t="array" ref="D1504">IFERROR(INDEX(#REF!,MATCH(TRUE,ISNUMBER(FIND(SUBSTITUTE(SUBSTITUTE(UPPER(#REF!)," ",""),":",": "),SUBSTITUTE(SUBSTITUTE(UPPER(S1504)," ",""),":",": "))),0)),"Não encontrado")</f>
        <v>Não encontrado</v>
      </c>
      <c r="E1504" s="42" t="str" cm="1">
        <f t="array" ref="E1504">IFERROR(INDEX({"IMPEDITIVO"},MATCH(TRUE,ISNUMBER(FIND(SUBSTITUTE(SUBSTITUTE(UPPER({"IMPEDITIVO"})," ",""),":",": "),SUBSTITUTE(SUBSTITUTE(UPPER(S1504)," ",""),":",": "))),0)),"-")</f>
        <v>-</v>
      </c>
      <c r="K1504" s="49"/>
    </row>
    <row r="1505" spans="1:11" x14ac:dyDescent="0.25">
      <c r="A1505" s="46" t="str" cm="1">
        <f t="array" ref="A1505">IFERROR(INDEX(#REF!,MATCH(TRUE,ISNUMBER(FIND(SUBSTITUTE(SUBSTITUTE(UPPER(#REF!)," ",""),":",": "),SUBSTITUTE(SUBSTITUTE(UPPER(S1505)," ",""),":",": "))),0)),"Undefined")</f>
        <v>Undefined</v>
      </c>
      <c r="B1505" s="42" t="str" cm="1">
        <f t="array" ref="B1505">IFERROR(INDEX({"URGENTE"},MATCH(TRUE,ISNUMBER(FIND(SUBSTITUTE(SUBSTITUTE(UPPER({"URGENTE"})," ",""),":",": "),SUBSTITUTE(SUBSTITUTE(UPPER(S1505)," ",""),":",": "))),0)),"-")</f>
        <v>-</v>
      </c>
      <c r="C1505" s="46" t="str" cm="1">
        <f t="array" ref="C1505">IFERROR(INDEX(#REF!,MATCH(TRUE,ISNUMBER(FIND(SUBSTITUTE(SUBSTITUTE(UPPER(#REF!)," ",""),":",": "),SUBSTITUTE(SUBSTITUTE(UPPER(S1505)," ",""),":",": "))),0)),"Não encontrado")</f>
        <v>Não encontrado</v>
      </c>
      <c r="D1505" s="46" t="str" cm="1">
        <f t="array" ref="D1505">IFERROR(INDEX(#REF!,MATCH(TRUE,ISNUMBER(FIND(SUBSTITUTE(SUBSTITUTE(UPPER(#REF!)," ",""),":",": "),SUBSTITUTE(SUBSTITUTE(UPPER(S1505)," ",""),":",": "))),0)),"Não encontrado")</f>
        <v>Não encontrado</v>
      </c>
      <c r="E1505" s="42" t="str" cm="1">
        <f t="array" ref="E1505">IFERROR(INDEX({"IMPEDITIVO"},MATCH(TRUE,ISNUMBER(FIND(SUBSTITUTE(SUBSTITUTE(UPPER({"IMPEDITIVO"})," ",""),":",": "),SUBSTITUTE(SUBSTITUTE(UPPER(S1505)," ",""),":",": "))),0)),"-")</f>
        <v>-</v>
      </c>
      <c r="K1505" s="49"/>
    </row>
    <row r="1506" spans="1:11" x14ac:dyDescent="0.25">
      <c r="A1506" s="46" t="str" cm="1">
        <f t="array" ref="A1506">IFERROR(INDEX(#REF!,MATCH(TRUE,ISNUMBER(FIND(SUBSTITUTE(SUBSTITUTE(UPPER(#REF!)," ",""),":",": "),SUBSTITUTE(SUBSTITUTE(UPPER(S1506)," ",""),":",": "))),0)),"Undefined")</f>
        <v>Undefined</v>
      </c>
      <c r="B1506" s="42" t="str" cm="1">
        <f t="array" ref="B1506">IFERROR(INDEX({"URGENTE"},MATCH(TRUE,ISNUMBER(FIND(SUBSTITUTE(SUBSTITUTE(UPPER({"URGENTE"})," ",""),":",": "),SUBSTITUTE(SUBSTITUTE(UPPER(S1506)," ",""),":",": "))),0)),"-")</f>
        <v>-</v>
      </c>
      <c r="C1506" s="46" t="str" cm="1">
        <f t="array" ref="C1506">IFERROR(INDEX(#REF!,MATCH(TRUE,ISNUMBER(FIND(SUBSTITUTE(SUBSTITUTE(UPPER(#REF!)," ",""),":",": "),SUBSTITUTE(SUBSTITUTE(UPPER(S1506)," ",""),":",": "))),0)),"Não encontrado")</f>
        <v>Não encontrado</v>
      </c>
      <c r="D1506" s="46" t="str" cm="1">
        <f t="array" ref="D1506">IFERROR(INDEX(#REF!,MATCH(TRUE,ISNUMBER(FIND(SUBSTITUTE(SUBSTITUTE(UPPER(#REF!)," ",""),":",": "),SUBSTITUTE(SUBSTITUTE(UPPER(S1506)," ",""),":",": "))),0)),"Não encontrado")</f>
        <v>Não encontrado</v>
      </c>
      <c r="E1506" s="42" t="str" cm="1">
        <f t="array" ref="E1506">IFERROR(INDEX({"IMPEDITIVO"},MATCH(TRUE,ISNUMBER(FIND(SUBSTITUTE(SUBSTITUTE(UPPER({"IMPEDITIVO"})," ",""),":",": "),SUBSTITUTE(SUBSTITUTE(UPPER(S1506)," ",""),":",": "))),0)),"-")</f>
        <v>-</v>
      </c>
      <c r="K1506" s="49"/>
    </row>
    <row r="1507" spans="1:11" x14ac:dyDescent="0.25">
      <c r="A1507" s="46" t="str" cm="1">
        <f t="array" ref="A1507">IFERROR(INDEX(#REF!,MATCH(TRUE,ISNUMBER(FIND(SUBSTITUTE(SUBSTITUTE(UPPER(#REF!)," ",""),":",": "),SUBSTITUTE(SUBSTITUTE(UPPER(S1507)," ",""),":",": "))),0)),"Undefined")</f>
        <v>Undefined</v>
      </c>
      <c r="B1507" s="42" t="str" cm="1">
        <f t="array" ref="B1507">IFERROR(INDEX({"URGENTE"},MATCH(TRUE,ISNUMBER(FIND(SUBSTITUTE(SUBSTITUTE(UPPER({"URGENTE"})," ",""),":",": "),SUBSTITUTE(SUBSTITUTE(UPPER(S1507)," ",""),":",": "))),0)),"-")</f>
        <v>-</v>
      </c>
      <c r="C1507" s="46" t="str" cm="1">
        <f t="array" ref="C1507">IFERROR(INDEX(#REF!,MATCH(TRUE,ISNUMBER(FIND(SUBSTITUTE(SUBSTITUTE(UPPER(#REF!)," ",""),":",": "),SUBSTITUTE(SUBSTITUTE(UPPER(S1507)," ",""),":",": "))),0)),"Não encontrado")</f>
        <v>Não encontrado</v>
      </c>
      <c r="D1507" s="46" t="str" cm="1">
        <f t="array" ref="D1507">IFERROR(INDEX(#REF!,MATCH(TRUE,ISNUMBER(FIND(SUBSTITUTE(SUBSTITUTE(UPPER(#REF!)," ",""),":",": "),SUBSTITUTE(SUBSTITUTE(UPPER(S1507)," ",""),":",": "))),0)),"Não encontrado")</f>
        <v>Não encontrado</v>
      </c>
      <c r="E1507" s="42" t="str" cm="1">
        <f t="array" ref="E1507">IFERROR(INDEX({"IMPEDITIVO"},MATCH(TRUE,ISNUMBER(FIND(SUBSTITUTE(SUBSTITUTE(UPPER({"IMPEDITIVO"})," ",""),":",": "),SUBSTITUTE(SUBSTITUTE(UPPER(S1507)," ",""),":",": "))),0)),"-")</f>
        <v>-</v>
      </c>
      <c r="K1507" s="49"/>
    </row>
    <row r="1508" spans="1:11" x14ac:dyDescent="0.25">
      <c r="A1508" s="46" t="str" cm="1">
        <f t="array" ref="A1508">IFERROR(INDEX(#REF!,MATCH(TRUE,ISNUMBER(FIND(SUBSTITUTE(SUBSTITUTE(UPPER(#REF!)," ",""),":",": "),SUBSTITUTE(SUBSTITUTE(UPPER(S1508)," ",""),":",": "))),0)),"Undefined")</f>
        <v>Undefined</v>
      </c>
      <c r="B1508" s="42" t="str" cm="1">
        <f t="array" ref="B1508">IFERROR(INDEX({"URGENTE"},MATCH(TRUE,ISNUMBER(FIND(SUBSTITUTE(SUBSTITUTE(UPPER({"URGENTE"})," ",""),":",": "),SUBSTITUTE(SUBSTITUTE(UPPER(S1508)," ",""),":",": "))),0)),"-")</f>
        <v>-</v>
      </c>
      <c r="C1508" s="46" t="str" cm="1">
        <f t="array" ref="C1508">IFERROR(INDEX(#REF!,MATCH(TRUE,ISNUMBER(FIND(SUBSTITUTE(SUBSTITUTE(UPPER(#REF!)," ",""),":",": "),SUBSTITUTE(SUBSTITUTE(UPPER(S1508)," ",""),":",": "))),0)),"Não encontrado")</f>
        <v>Não encontrado</v>
      </c>
      <c r="D1508" s="46" t="str" cm="1">
        <f t="array" ref="D1508">IFERROR(INDEX(#REF!,MATCH(TRUE,ISNUMBER(FIND(SUBSTITUTE(SUBSTITUTE(UPPER(#REF!)," ",""),":",": "),SUBSTITUTE(SUBSTITUTE(UPPER(S1508)," ",""),":",": "))),0)),"Não encontrado")</f>
        <v>Não encontrado</v>
      </c>
      <c r="E1508" s="42" t="str" cm="1">
        <f t="array" ref="E1508">IFERROR(INDEX({"IMPEDITIVO"},MATCH(TRUE,ISNUMBER(FIND(SUBSTITUTE(SUBSTITUTE(UPPER({"IMPEDITIVO"})," ",""),":",": "),SUBSTITUTE(SUBSTITUTE(UPPER(S1508)," ",""),":",": "))),0)),"-")</f>
        <v>-</v>
      </c>
      <c r="K1508" s="49"/>
    </row>
    <row r="1509" spans="1:11" x14ac:dyDescent="0.25">
      <c r="A1509" s="46" t="str" cm="1">
        <f t="array" ref="A1509">IFERROR(INDEX(#REF!,MATCH(TRUE,ISNUMBER(FIND(SUBSTITUTE(SUBSTITUTE(UPPER(#REF!)," ",""),":",": "),SUBSTITUTE(SUBSTITUTE(UPPER(S1509)," ",""),":",": "))),0)),"Undefined")</f>
        <v>Undefined</v>
      </c>
      <c r="B1509" s="42" t="str" cm="1">
        <f t="array" ref="B1509">IFERROR(INDEX({"URGENTE"},MATCH(TRUE,ISNUMBER(FIND(SUBSTITUTE(SUBSTITUTE(UPPER({"URGENTE"})," ",""),":",": "),SUBSTITUTE(SUBSTITUTE(UPPER(S1509)," ",""),":",": "))),0)),"-")</f>
        <v>-</v>
      </c>
      <c r="C1509" s="46" t="str" cm="1">
        <f t="array" ref="C1509">IFERROR(INDEX(#REF!,MATCH(TRUE,ISNUMBER(FIND(SUBSTITUTE(SUBSTITUTE(UPPER(#REF!)," ",""),":",": "),SUBSTITUTE(SUBSTITUTE(UPPER(S1509)," ",""),":",": "))),0)),"Não encontrado")</f>
        <v>Não encontrado</v>
      </c>
      <c r="D1509" s="46" t="str" cm="1">
        <f t="array" ref="D1509">IFERROR(INDEX(#REF!,MATCH(TRUE,ISNUMBER(FIND(SUBSTITUTE(SUBSTITUTE(UPPER(#REF!)," ",""),":",": "),SUBSTITUTE(SUBSTITUTE(UPPER(S1509)," ",""),":",": "))),0)),"Não encontrado")</f>
        <v>Não encontrado</v>
      </c>
      <c r="E1509" s="42" t="str" cm="1">
        <f t="array" ref="E1509">IFERROR(INDEX({"IMPEDITIVO"},MATCH(TRUE,ISNUMBER(FIND(SUBSTITUTE(SUBSTITUTE(UPPER({"IMPEDITIVO"})," ",""),":",": "),SUBSTITUTE(SUBSTITUTE(UPPER(S1509)," ",""),":",": "))),0)),"-")</f>
        <v>-</v>
      </c>
      <c r="K1509" s="49"/>
    </row>
    <row r="1510" spans="1:11" x14ac:dyDescent="0.25">
      <c r="A1510" s="46" t="str" cm="1">
        <f t="array" ref="A1510">IFERROR(INDEX(#REF!,MATCH(TRUE,ISNUMBER(FIND(SUBSTITUTE(SUBSTITUTE(UPPER(#REF!)," ",""),":",": "),SUBSTITUTE(SUBSTITUTE(UPPER(S1510)," ",""),":",": "))),0)),"Undefined")</f>
        <v>Undefined</v>
      </c>
      <c r="B1510" s="42" t="str" cm="1">
        <f t="array" ref="B1510">IFERROR(INDEX({"URGENTE"},MATCH(TRUE,ISNUMBER(FIND(SUBSTITUTE(SUBSTITUTE(UPPER({"URGENTE"})," ",""),":",": "),SUBSTITUTE(SUBSTITUTE(UPPER(S1510)," ",""),":",": "))),0)),"-")</f>
        <v>-</v>
      </c>
      <c r="C1510" s="46" t="str" cm="1">
        <f t="array" ref="C1510">IFERROR(INDEX(#REF!,MATCH(TRUE,ISNUMBER(FIND(SUBSTITUTE(SUBSTITUTE(UPPER(#REF!)," ",""),":",": "),SUBSTITUTE(SUBSTITUTE(UPPER(S1510)," ",""),":",": "))),0)),"Não encontrado")</f>
        <v>Não encontrado</v>
      </c>
      <c r="D1510" s="46" t="str" cm="1">
        <f t="array" ref="D1510">IFERROR(INDEX(#REF!,MATCH(TRUE,ISNUMBER(FIND(SUBSTITUTE(SUBSTITUTE(UPPER(#REF!)," ",""),":",": "),SUBSTITUTE(SUBSTITUTE(UPPER(S1510)," ",""),":",": "))),0)),"Não encontrado")</f>
        <v>Não encontrado</v>
      </c>
      <c r="E1510" s="42" t="str" cm="1">
        <f t="array" ref="E1510">IFERROR(INDEX({"IMPEDITIVO"},MATCH(TRUE,ISNUMBER(FIND(SUBSTITUTE(SUBSTITUTE(UPPER({"IMPEDITIVO"})," ",""),":",": "),SUBSTITUTE(SUBSTITUTE(UPPER(S1510)," ",""),":",": "))),0)),"-")</f>
        <v>-</v>
      </c>
      <c r="K1510" s="49"/>
    </row>
    <row r="1511" spans="1:11" x14ac:dyDescent="0.25">
      <c r="A1511" s="46" t="str" cm="1">
        <f t="array" ref="A1511">IFERROR(INDEX(#REF!,MATCH(TRUE,ISNUMBER(FIND(SUBSTITUTE(SUBSTITUTE(UPPER(#REF!)," ",""),":",": "),SUBSTITUTE(SUBSTITUTE(UPPER(S1511)," ",""),":",": "))),0)),"Undefined")</f>
        <v>Undefined</v>
      </c>
      <c r="B1511" s="42" t="str" cm="1">
        <f t="array" ref="B1511">IFERROR(INDEX({"URGENTE"},MATCH(TRUE,ISNUMBER(FIND(SUBSTITUTE(SUBSTITUTE(UPPER({"URGENTE"})," ",""),":",": "),SUBSTITUTE(SUBSTITUTE(UPPER(S1511)," ",""),":",": "))),0)),"-")</f>
        <v>-</v>
      </c>
      <c r="C1511" s="46" t="str" cm="1">
        <f t="array" ref="C1511">IFERROR(INDEX(#REF!,MATCH(TRUE,ISNUMBER(FIND(SUBSTITUTE(SUBSTITUTE(UPPER(#REF!)," ",""),":",": "),SUBSTITUTE(SUBSTITUTE(UPPER(S1511)," ",""),":",": "))),0)),"Não encontrado")</f>
        <v>Não encontrado</v>
      </c>
      <c r="D1511" s="46" t="str" cm="1">
        <f t="array" ref="D1511">IFERROR(INDEX(#REF!,MATCH(TRUE,ISNUMBER(FIND(SUBSTITUTE(SUBSTITUTE(UPPER(#REF!)," ",""),":",": "),SUBSTITUTE(SUBSTITUTE(UPPER(S1511)," ",""),":",": "))),0)),"Não encontrado")</f>
        <v>Não encontrado</v>
      </c>
      <c r="E1511" s="42" t="str" cm="1">
        <f t="array" ref="E1511">IFERROR(INDEX({"IMPEDITIVO"},MATCH(TRUE,ISNUMBER(FIND(SUBSTITUTE(SUBSTITUTE(UPPER({"IMPEDITIVO"})," ",""),":",": "),SUBSTITUTE(SUBSTITUTE(UPPER(S1511)," ",""),":",": "))),0)),"-")</f>
        <v>-</v>
      </c>
      <c r="K1511" s="49"/>
    </row>
    <row r="1512" spans="1:11" x14ac:dyDescent="0.25">
      <c r="A1512" s="46" t="str" cm="1">
        <f t="array" ref="A1512">IFERROR(INDEX(#REF!,MATCH(TRUE,ISNUMBER(FIND(SUBSTITUTE(SUBSTITUTE(UPPER(#REF!)," ",""),":",": "),SUBSTITUTE(SUBSTITUTE(UPPER(S1512)," ",""),":",": "))),0)),"Undefined")</f>
        <v>Undefined</v>
      </c>
      <c r="B1512" s="42" t="str" cm="1">
        <f t="array" ref="B1512">IFERROR(INDEX({"URGENTE"},MATCH(TRUE,ISNUMBER(FIND(SUBSTITUTE(SUBSTITUTE(UPPER({"URGENTE"})," ",""),":",": "),SUBSTITUTE(SUBSTITUTE(UPPER(S1512)," ",""),":",": "))),0)),"-")</f>
        <v>-</v>
      </c>
      <c r="C1512" s="46" t="str" cm="1">
        <f t="array" ref="C1512">IFERROR(INDEX(#REF!,MATCH(TRUE,ISNUMBER(FIND(SUBSTITUTE(SUBSTITUTE(UPPER(#REF!)," ",""),":",": "),SUBSTITUTE(SUBSTITUTE(UPPER(S1512)," ",""),":",": "))),0)),"Não encontrado")</f>
        <v>Não encontrado</v>
      </c>
      <c r="D1512" s="46" t="str" cm="1">
        <f t="array" ref="D1512">IFERROR(INDEX(#REF!,MATCH(TRUE,ISNUMBER(FIND(SUBSTITUTE(SUBSTITUTE(UPPER(#REF!)," ",""),":",": "),SUBSTITUTE(SUBSTITUTE(UPPER(S1512)," ",""),":",": "))),0)),"Não encontrado")</f>
        <v>Não encontrado</v>
      </c>
      <c r="E1512" s="42" t="str" cm="1">
        <f t="array" ref="E1512">IFERROR(INDEX({"IMPEDITIVO"},MATCH(TRUE,ISNUMBER(FIND(SUBSTITUTE(SUBSTITUTE(UPPER({"IMPEDITIVO"})," ",""),":",": "),SUBSTITUTE(SUBSTITUTE(UPPER(S1512)," ",""),":",": "))),0)),"-")</f>
        <v>-</v>
      </c>
      <c r="K1512" s="49"/>
    </row>
    <row r="1513" spans="1:11" x14ac:dyDescent="0.25">
      <c r="A1513" s="46" t="str" cm="1">
        <f t="array" ref="A1513">IFERROR(INDEX(#REF!,MATCH(TRUE,ISNUMBER(FIND(SUBSTITUTE(SUBSTITUTE(UPPER(#REF!)," ",""),":",": "),SUBSTITUTE(SUBSTITUTE(UPPER(S1513)," ",""),":",": "))),0)),"Undefined")</f>
        <v>Undefined</v>
      </c>
      <c r="B1513" s="42" t="str" cm="1">
        <f t="array" ref="B1513">IFERROR(INDEX({"URGENTE"},MATCH(TRUE,ISNUMBER(FIND(SUBSTITUTE(SUBSTITUTE(UPPER({"URGENTE"})," ",""),":",": "),SUBSTITUTE(SUBSTITUTE(UPPER(S1513)," ",""),":",": "))),0)),"-")</f>
        <v>-</v>
      </c>
      <c r="C1513" s="46" t="str" cm="1">
        <f t="array" ref="C1513">IFERROR(INDEX(#REF!,MATCH(TRUE,ISNUMBER(FIND(SUBSTITUTE(SUBSTITUTE(UPPER(#REF!)," ",""),":",": "),SUBSTITUTE(SUBSTITUTE(UPPER(S1513)," ",""),":",": "))),0)),"Não encontrado")</f>
        <v>Não encontrado</v>
      </c>
      <c r="D1513" s="46" t="str" cm="1">
        <f t="array" ref="D1513">IFERROR(INDEX(#REF!,MATCH(TRUE,ISNUMBER(FIND(SUBSTITUTE(SUBSTITUTE(UPPER(#REF!)," ",""),":",": "),SUBSTITUTE(SUBSTITUTE(UPPER(S1513)," ",""),":",": "))),0)),"Não encontrado")</f>
        <v>Não encontrado</v>
      </c>
      <c r="E1513" s="42" t="str" cm="1">
        <f t="array" ref="E1513">IFERROR(INDEX({"IMPEDITIVO"},MATCH(TRUE,ISNUMBER(FIND(SUBSTITUTE(SUBSTITUTE(UPPER({"IMPEDITIVO"})," ",""),":",": "),SUBSTITUTE(SUBSTITUTE(UPPER(S1513)," ",""),":",": "))),0)),"-")</f>
        <v>-</v>
      </c>
      <c r="K1513" s="49"/>
    </row>
    <row r="1514" spans="1:11" x14ac:dyDescent="0.25">
      <c r="A1514" s="46" t="str" cm="1">
        <f t="array" ref="A1514">IFERROR(INDEX(#REF!,MATCH(TRUE,ISNUMBER(FIND(SUBSTITUTE(SUBSTITUTE(UPPER(#REF!)," ",""),":",": "),SUBSTITUTE(SUBSTITUTE(UPPER(S1514)," ",""),":",": "))),0)),"Undefined")</f>
        <v>Undefined</v>
      </c>
      <c r="B1514" s="42" t="str" cm="1">
        <f t="array" ref="B1514">IFERROR(INDEX({"URGENTE"},MATCH(TRUE,ISNUMBER(FIND(SUBSTITUTE(SUBSTITUTE(UPPER({"URGENTE"})," ",""),":",": "),SUBSTITUTE(SUBSTITUTE(UPPER(S1514)," ",""),":",": "))),0)),"-")</f>
        <v>-</v>
      </c>
      <c r="C1514" s="46" t="str" cm="1">
        <f t="array" ref="C1514">IFERROR(INDEX(#REF!,MATCH(TRUE,ISNUMBER(FIND(SUBSTITUTE(SUBSTITUTE(UPPER(#REF!)," ",""),":",": "),SUBSTITUTE(SUBSTITUTE(UPPER(S1514)," ",""),":",": "))),0)),"Não encontrado")</f>
        <v>Não encontrado</v>
      </c>
      <c r="D1514" s="46" t="str" cm="1">
        <f t="array" ref="D1514">IFERROR(INDEX(#REF!,MATCH(TRUE,ISNUMBER(FIND(SUBSTITUTE(SUBSTITUTE(UPPER(#REF!)," ",""),":",": "),SUBSTITUTE(SUBSTITUTE(UPPER(S1514)," ",""),":",": "))),0)),"Não encontrado")</f>
        <v>Não encontrado</v>
      </c>
      <c r="E1514" s="42" t="str" cm="1">
        <f t="array" ref="E1514">IFERROR(INDEX({"IMPEDITIVO"},MATCH(TRUE,ISNUMBER(FIND(SUBSTITUTE(SUBSTITUTE(UPPER({"IMPEDITIVO"})," ",""),":",": "),SUBSTITUTE(SUBSTITUTE(UPPER(S1514)," ",""),":",": "))),0)),"-")</f>
        <v>-</v>
      </c>
      <c r="K1514" s="49"/>
    </row>
    <row r="1515" spans="1:11" x14ac:dyDescent="0.25">
      <c r="A1515" s="46" t="str" cm="1">
        <f t="array" ref="A1515">IFERROR(INDEX(#REF!,MATCH(TRUE,ISNUMBER(FIND(SUBSTITUTE(SUBSTITUTE(UPPER(#REF!)," ",""),":",": "),SUBSTITUTE(SUBSTITUTE(UPPER(S1515)," ",""),":",": "))),0)),"Undefined")</f>
        <v>Undefined</v>
      </c>
      <c r="B1515" s="42" t="str" cm="1">
        <f t="array" ref="B1515">IFERROR(INDEX({"URGENTE"},MATCH(TRUE,ISNUMBER(FIND(SUBSTITUTE(SUBSTITUTE(UPPER({"URGENTE"})," ",""),":",": "),SUBSTITUTE(SUBSTITUTE(UPPER(S1515)," ",""),":",": "))),0)),"-")</f>
        <v>-</v>
      </c>
      <c r="C1515" s="46" t="str" cm="1">
        <f t="array" ref="C1515">IFERROR(INDEX(#REF!,MATCH(TRUE,ISNUMBER(FIND(SUBSTITUTE(SUBSTITUTE(UPPER(#REF!)," ",""),":",": "),SUBSTITUTE(SUBSTITUTE(UPPER(S1515)," ",""),":",": "))),0)),"Não encontrado")</f>
        <v>Não encontrado</v>
      </c>
      <c r="D1515" s="46" t="str" cm="1">
        <f t="array" ref="D1515">IFERROR(INDEX(#REF!,MATCH(TRUE,ISNUMBER(FIND(SUBSTITUTE(SUBSTITUTE(UPPER(#REF!)," ",""),":",": "),SUBSTITUTE(SUBSTITUTE(UPPER(S1515)," ",""),":",": "))),0)),"Não encontrado")</f>
        <v>Não encontrado</v>
      </c>
      <c r="E1515" s="42" t="str" cm="1">
        <f t="array" ref="E1515">IFERROR(INDEX({"IMPEDITIVO"},MATCH(TRUE,ISNUMBER(FIND(SUBSTITUTE(SUBSTITUTE(UPPER({"IMPEDITIVO"})," ",""),":",": "),SUBSTITUTE(SUBSTITUTE(UPPER(S1515)," ",""),":",": "))),0)),"-")</f>
        <v>-</v>
      </c>
      <c r="K1515" s="49"/>
    </row>
    <row r="1516" spans="1:11" x14ac:dyDescent="0.25">
      <c r="A1516" s="46" t="str" cm="1">
        <f t="array" ref="A1516">IFERROR(INDEX(#REF!,MATCH(TRUE,ISNUMBER(FIND(SUBSTITUTE(SUBSTITUTE(UPPER(#REF!)," ",""),":",": "),SUBSTITUTE(SUBSTITUTE(UPPER(S1516)," ",""),":",": "))),0)),"Undefined")</f>
        <v>Undefined</v>
      </c>
      <c r="B1516" s="42" t="str" cm="1">
        <f t="array" ref="B1516">IFERROR(INDEX({"URGENTE"},MATCH(TRUE,ISNUMBER(FIND(SUBSTITUTE(SUBSTITUTE(UPPER({"URGENTE"})," ",""),":",": "),SUBSTITUTE(SUBSTITUTE(UPPER(S1516)," ",""),":",": "))),0)),"-")</f>
        <v>-</v>
      </c>
      <c r="C1516" s="46" t="str" cm="1">
        <f t="array" ref="C1516">IFERROR(INDEX(#REF!,MATCH(TRUE,ISNUMBER(FIND(SUBSTITUTE(SUBSTITUTE(UPPER(#REF!)," ",""),":",": "),SUBSTITUTE(SUBSTITUTE(UPPER(S1516)," ",""),":",": "))),0)),"Não encontrado")</f>
        <v>Não encontrado</v>
      </c>
      <c r="D1516" s="46" t="str" cm="1">
        <f t="array" ref="D1516">IFERROR(INDEX(#REF!,MATCH(TRUE,ISNUMBER(FIND(SUBSTITUTE(SUBSTITUTE(UPPER(#REF!)," ",""),":",": "),SUBSTITUTE(SUBSTITUTE(UPPER(S1516)," ",""),":",": "))),0)),"Não encontrado")</f>
        <v>Não encontrado</v>
      </c>
      <c r="E1516" s="42" t="str" cm="1">
        <f t="array" ref="E1516">IFERROR(INDEX({"IMPEDITIVO"},MATCH(TRUE,ISNUMBER(FIND(SUBSTITUTE(SUBSTITUTE(UPPER({"IMPEDITIVO"})," ",""),":",": "),SUBSTITUTE(SUBSTITUTE(UPPER(S1516)," ",""),":",": "))),0)),"-")</f>
        <v>-</v>
      </c>
      <c r="K1516" s="49"/>
    </row>
    <row r="1517" spans="1:11" x14ac:dyDescent="0.25">
      <c r="A1517" s="46" t="str" cm="1">
        <f t="array" ref="A1517">IFERROR(INDEX(#REF!,MATCH(TRUE,ISNUMBER(FIND(SUBSTITUTE(SUBSTITUTE(UPPER(#REF!)," ",""),":",": "),SUBSTITUTE(SUBSTITUTE(UPPER(S1517)," ",""),":",": "))),0)),"Undefined")</f>
        <v>Undefined</v>
      </c>
      <c r="B1517" s="42" t="str" cm="1">
        <f t="array" ref="B1517">IFERROR(INDEX({"URGENTE"},MATCH(TRUE,ISNUMBER(FIND(SUBSTITUTE(SUBSTITUTE(UPPER({"URGENTE"})," ",""),":",": "),SUBSTITUTE(SUBSTITUTE(UPPER(S1517)," ",""),":",": "))),0)),"-")</f>
        <v>-</v>
      </c>
      <c r="C1517" s="46" t="str" cm="1">
        <f t="array" ref="C1517">IFERROR(INDEX(#REF!,MATCH(TRUE,ISNUMBER(FIND(SUBSTITUTE(SUBSTITUTE(UPPER(#REF!)," ",""),":",": "),SUBSTITUTE(SUBSTITUTE(UPPER(S1517)," ",""),":",": "))),0)),"Não encontrado")</f>
        <v>Não encontrado</v>
      </c>
      <c r="D1517" s="46" t="str" cm="1">
        <f t="array" ref="D1517">IFERROR(INDEX(#REF!,MATCH(TRUE,ISNUMBER(FIND(SUBSTITUTE(SUBSTITUTE(UPPER(#REF!)," ",""),":",": "),SUBSTITUTE(SUBSTITUTE(UPPER(S1517)," ",""),":",": "))),0)),"Não encontrado")</f>
        <v>Não encontrado</v>
      </c>
      <c r="E1517" s="42" t="str" cm="1">
        <f t="array" ref="E1517">IFERROR(INDEX({"IMPEDITIVO"},MATCH(TRUE,ISNUMBER(FIND(SUBSTITUTE(SUBSTITUTE(UPPER({"IMPEDITIVO"})," ",""),":",": "),SUBSTITUTE(SUBSTITUTE(UPPER(S1517)," ",""),":",": "))),0)),"-")</f>
        <v>-</v>
      </c>
      <c r="K1517" s="49"/>
    </row>
    <row r="1518" spans="1:11" x14ac:dyDescent="0.25">
      <c r="A1518" s="46" t="str" cm="1">
        <f t="array" ref="A1518">IFERROR(INDEX(#REF!,MATCH(TRUE,ISNUMBER(FIND(SUBSTITUTE(SUBSTITUTE(UPPER(#REF!)," ",""),":",": "),SUBSTITUTE(SUBSTITUTE(UPPER(S1518)," ",""),":",": "))),0)),"Undefined")</f>
        <v>Undefined</v>
      </c>
      <c r="B1518" s="42" t="str" cm="1">
        <f t="array" ref="B1518">IFERROR(INDEX({"URGENTE"},MATCH(TRUE,ISNUMBER(FIND(SUBSTITUTE(SUBSTITUTE(UPPER({"URGENTE"})," ",""),":",": "),SUBSTITUTE(SUBSTITUTE(UPPER(S1518)," ",""),":",": "))),0)),"-")</f>
        <v>-</v>
      </c>
      <c r="C1518" s="46" t="str" cm="1">
        <f t="array" ref="C1518">IFERROR(INDEX(#REF!,MATCH(TRUE,ISNUMBER(FIND(SUBSTITUTE(SUBSTITUTE(UPPER(#REF!)," ",""),":",": "),SUBSTITUTE(SUBSTITUTE(UPPER(S1518)," ",""),":",": "))),0)),"Não encontrado")</f>
        <v>Não encontrado</v>
      </c>
      <c r="D1518" s="46" t="str" cm="1">
        <f t="array" ref="D1518">IFERROR(INDEX(#REF!,MATCH(TRUE,ISNUMBER(FIND(SUBSTITUTE(SUBSTITUTE(UPPER(#REF!)," ",""),":",": "),SUBSTITUTE(SUBSTITUTE(UPPER(S1518)," ",""),":",": "))),0)),"Não encontrado")</f>
        <v>Não encontrado</v>
      </c>
      <c r="E1518" s="42" t="str" cm="1">
        <f t="array" ref="E1518">IFERROR(INDEX({"IMPEDITIVO"},MATCH(TRUE,ISNUMBER(FIND(SUBSTITUTE(SUBSTITUTE(UPPER({"IMPEDITIVO"})," ",""),":",": "),SUBSTITUTE(SUBSTITUTE(UPPER(S1518)," ",""),":",": "))),0)),"-")</f>
        <v>-</v>
      </c>
      <c r="K1518" s="49"/>
    </row>
    <row r="1519" spans="1:11" x14ac:dyDescent="0.25">
      <c r="A1519" s="46" t="str" cm="1">
        <f t="array" ref="A1519">IFERROR(INDEX(#REF!,MATCH(TRUE,ISNUMBER(FIND(SUBSTITUTE(SUBSTITUTE(UPPER(#REF!)," ",""),":",": "),SUBSTITUTE(SUBSTITUTE(UPPER(S1519)," ",""),":",": "))),0)),"Undefined")</f>
        <v>Undefined</v>
      </c>
      <c r="B1519" s="42" t="str" cm="1">
        <f t="array" ref="B1519">IFERROR(INDEX({"URGENTE"},MATCH(TRUE,ISNUMBER(FIND(SUBSTITUTE(SUBSTITUTE(UPPER({"URGENTE"})," ",""),":",": "),SUBSTITUTE(SUBSTITUTE(UPPER(S1519)," ",""),":",": "))),0)),"-")</f>
        <v>-</v>
      </c>
      <c r="C1519" s="46" t="str" cm="1">
        <f t="array" ref="C1519">IFERROR(INDEX(#REF!,MATCH(TRUE,ISNUMBER(FIND(SUBSTITUTE(SUBSTITUTE(UPPER(#REF!)," ",""),":",": "),SUBSTITUTE(SUBSTITUTE(UPPER(S1519)," ",""),":",": "))),0)),"Não encontrado")</f>
        <v>Não encontrado</v>
      </c>
      <c r="D1519" s="46" t="str" cm="1">
        <f t="array" ref="D1519">IFERROR(INDEX(#REF!,MATCH(TRUE,ISNUMBER(FIND(SUBSTITUTE(SUBSTITUTE(UPPER(#REF!)," ",""),":",": "),SUBSTITUTE(SUBSTITUTE(UPPER(S1519)," ",""),":",": "))),0)),"Não encontrado")</f>
        <v>Não encontrado</v>
      </c>
      <c r="E1519" s="42" t="str" cm="1">
        <f t="array" ref="E1519">IFERROR(INDEX({"IMPEDITIVO"},MATCH(TRUE,ISNUMBER(FIND(SUBSTITUTE(SUBSTITUTE(UPPER({"IMPEDITIVO"})," ",""),":",": "),SUBSTITUTE(SUBSTITUTE(UPPER(S1519)," ",""),":",": "))),0)),"-")</f>
        <v>-</v>
      </c>
      <c r="K1519" s="49"/>
    </row>
    <row r="1520" spans="1:11" x14ac:dyDescent="0.25">
      <c r="A1520" s="46" t="str" cm="1">
        <f t="array" ref="A1520">IFERROR(INDEX(#REF!,MATCH(TRUE,ISNUMBER(FIND(SUBSTITUTE(SUBSTITUTE(UPPER(#REF!)," ",""),":",": "),SUBSTITUTE(SUBSTITUTE(UPPER(S1520)," ",""),":",": "))),0)),"Undefined")</f>
        <v>Undefined</v>
      </c>
      <c r="B1520" s="42" t="str" cm="1">
        <f t="array" ref="B1520">IFERROR(INDEX({"URGENTE"},MATCH(TRUE,ISNUMBER(FIND(SUBSTITUTE(SUBSTITUTE(UPPER({"URGENTE"})," ",""),":",": "),SUBSTITUTE(SUBSTITUTE(UPPER(S1520)," ",""),":",": "))),0)),"-")</f>
        <v>-</v>
      </c>
      <c r="C1520" s="46" t="str" cm="1">
        <f t="array" ref="C1520">IFERROR(INDEX(#REF!,MATCH(TRUE,ISNUMBER(FIND(SUBSTITUTE(SUBSTITUTE(UPPER(#REF!)," ",""),":",": "),SUBSTITUTE(SUBSTITUTE(UPPER(S1520)," ",""),":",": "))),0)),"Não encontrado")</f>
        <v>Não encontrado</v>
      </c>
      <c r="D1520" s="46" t="str" cm="1">
        <f t="array" ref="D1520">IFERROR(INDEX(#REF!,MATCH(TRUE,ISNUMBER(FIND(SUBSTITUTE(SUBSTITUTE(UPPER(#REF!)," ",""),":",": "),SUBSTITUTE(SUBSTITUTE(UPPER(S1520)," ",""),":",": "))),0)),"Não encontrado")</f>
        <v>Não encontrado</v>
      </c>
      <c r="E1520" s="42" t="str" cm="1">
        <f t="array" ref="E1520">IFERROR(INDEX({"IMPEDITIVO"},MATCH(TRUE,ISNUMBER(FIND(SUBSTITUTE(SUBSTITUTE(UPPER({"IMPEDITIVO"})," ",""),":",": "),SUBSTITUTE(SUBSTITUTE(UPPER(S1520)," ",""),":",": "))),0)),"-")</f>
        <v>-</v>
      </c>
      <c r="K1520" s="49"/>
    </row>
    <row r="1521" spans="1:11" x14ac:dyDescent="0.25">
      <c r="A1521" s="46" t="str" cm="1">
        <f t="array" ref="A1521">IFERROR(INDEX(#REF!,MATCH(TRUE,ISNUMBER(FIND(SUBSTITUTE(SUBSTITUTE(UPPER(#REF!)," ",""),":",": "),SUBSTITUTE(SUBSTITUTE(UPPER(S1521)," ",""),":",": "))),0)),"Undefined")</f>
        <v>Undefined</v>
      </c>
      <c r="B1521" s="42" t="str" cm="1">
        <f t="array" ref="B1521">IFERROR(INDEX({"URGENTE"},MATCH(TRUE,ISNUMBER(FIND(SUBSTITUTE(SUBSTITUTE(UPPER({"URGENTE"})," ",""),":",": "),SUBSTITUTE(SUBSTITUTE(UPPER(S1521)," ",""),":",": "))),0)),"-")</f>
        <v>-</v>
      </c>
      <c r="C1521" s="46" t="str" cm="1">
        <f t="array" ref="C1521">IFERROR(INDEX(#REF!,MATCH(TRUE,ISNUMBER(FIND(SUBSTITUTE(SUBSTITUTE(UPPER(#REF!)," ",""),":",": "),SUBSTITUTE(SUBSTITUTE(UPPER(S1521)," ",""),":",": "))),0)),"Não encontrado")</f>
        <v>Não encontrado</v>
      </c>
      <c r="D1521" s="46" t="str" cm="1">
        <f t="array" ref="D1521">IFERROR(INDEX(#REF!,MATCH(TRUE,ISNUMBER(FIND(SUBSTITUTE(SUBSTITUTE(UPPER(#REF!)," ",""),":",": "),SUBSTITUTE(SUBSTITUTE(UPPER(S1521)," ",""),":",": "))),0)),"Não encontrado")</f>
        <v>Não encontrado</v>
      </c>
      <c r="E1521" s="42" t="str" cm="1">
        <f t="array" ref="E1521">IFERROR(INDEX({"IMPEDITIVO"},MATCH(TRUE,ISNUMBER(FIND(SUBSTITUTE(SUBSTITUTE(UPPER({"IMPEDITIVO"})," ",""),":",": "),SUBSTITUTE(SUBSTITUTE(UPPER(S1521)," ",""),":",": "))),0)),"-")</f>
        <v>-</v>
      </c>
      <c r="K1521" s="49"/>
    </row>
    <row r="1522" spans="1:11" x14ac:dyDescent="0.25">
      <c r="A1522" s="46" t="str" cm="1">
        <f t="array" ref="A1522">IFERROR(INDEX(#REF!,MATCH(TRUE,ISNUMBER(FIND(SUBSTITUTE(SUBSTITUTE(UPPER(#REF!)," ",""),":",": "),SUBSTITUTE(SUBSTITUTE(UPPER(S1522)," ",""),":",": "))),0)),"Undefined")</f>
        <v>Undefined</v>
      </c>
      <c r="B1522" s="42" t="str" cm="1">
        <f t="array" ref="B1522">IFERROR(INDEX({"URGENTE"},MATCH(TRUE,ISNUMBER(FIND(SUBSTITUTE(SUBSTITUTE(UPPER({"URGENTE"})," ",""),":",": "),SUBSTITUTE(SUBSTITUTE(UPPER(S1522)," ",""),":",": "))),0)),"-")</f>
        <v>-</v>
      </c>
      <c r="C1522" s="46" t="str" cm="1">
        <f t="array" ref="C1522">IFERROR(INDEX(#REF!,MATCH(TRUE,ISNUMBER(FIND(SUBSTITUTE(SUBSTITUTE(UPPER(#REF!)," ",""),":",": "),SUBSTITUTE(SUBSTITUTE(UPPER(S1522)," ",""),":",": "))),0)),"Não encontrado")</f>
        <v>Não encontrado</v>
      </c>
      <c r="D1522" s="46" t="str" cm="1">
        <f t="array" ref="D1522">IFERROR(INDEX(#REF!,MATCH(TRUE,ISNUMBER(FIND(SUBSTITUTE(SUBSTITUTE(UPPER(#REF!)," ",""),":",": "),SUBSTITUTE(SUBSTITUTE(UPPER(S1522)," ",""),":",": "))),0)),"Não encontrado")</f>
        <v>Não encontrado</v>
      </c>
      <c r="E1522" s="42" t="str" cm="1">
        <f t="array" ref="E1522">IFERROR(INDEX({"IMPEDITIVO"},MATCH(TRUE,ISNUMBER(FIND(SUBSTITUTE(SUBSTITUTE(UPPER({"IMPEDITIVO"})," ",""),":",": "),SUBSTITUTE(SUBSTITUTE(UPPER(S1522)," ",""),":",": "))),0)),"-")</f>
        <v>-</v>
      </c>
      <c r="K1522" s="49"/>
    </row>
    <row r="1523" spans="1:11" x14ac:dyDescent="0.25">
      <c r="A1523" s="46" t="str" cm="1">
        <f t="array" ref="A1523">IFERROR(INDEX(#REF!,MATCH(TRUE,ISNUMBER(FIND(SUBSTITUTE(SUBSTITUTE(UPPER(#REF!)," ",""),":",": "),SUBSTITUTE(SUBSTITUTE(UPPER(S1523)," ",""),":",": "))),0)),"Undefined")</f>
        <v>Undefined</v>
      </c>
      <c r="B1523" s="42" t="str" cm="1">
        <f t="array" ref="B1523">IFERROR(INDEX({"URGENTE"},MATCH(TRUE,ISNUMBER(FIND(SUBSTITUTE(SUBSTITUTE(UPPER({"URGENTE"})," ",""),":",": "),SUBSTITUTE(SUBSTITUTE(UPPER(S1523)," ",""),":",": "))),0)),"-")</f>
        <v>-</v>
      </c>
      <c r="C1523" s="46" t="str" cm="1">
        <f t="array" ref="C1523">IFERROR(INDEX(#REF!,MATCH(TRUE,ISNUMBER(FIND(SUBSTITUTE(SUBSTITUTE(UPPER(#REF!)," ",""),":",": "),SUBSTITUTE(SUBSTITUTE(UPPER(S1523)," ",""),":",": "))),0)),"Não encontrado")</f>
        <v>Não encontrado</v>
      </c>
      <c r="D1523" s="46" t="str" cm="1">
        <f t="array" ref="D1523">IFERROR(INDEX(#REF!,MATCH(TRUE,ISNUMBER(FIND(SUBSTITUTE(SUBSTITUTE(UPPER(#REF!)," ",""),":",": "),SUBSTITUTE(SUBSTITUTE(UPPER(S1523)," ",""),":",": "))),0)),"Não encontrado")</f>
        <v>Não encontrado</v>
      </c>
      <c r="E1523" s="42" t="str" cm="1">
        <f t="array" ref="E1523">IFERROR(INDEX({"IMPEDITIVO"},MATCH(TRUE,ISNUMBER(FIND(SUBSTITUTE(SUBSTITUTE(UPPER({"IMPEDITIVO"})," ",""),":",": "),SUBSTITUTE(SUBSTITUTE(UPPER(S1523)," ",""),":",": "))),0)),"-")</f>
        <v>-</v>
      </c>
      <c r="K1523" s="49"/>
    </row>
    <row r="1524" spans="1:11" x14ac:dyDescent="0.25">
      <c r="A1524" s="46" t="str" cm="1">
        <f t="array" ref="A1524">IFERROR(INDEX(#REF!,MATCH(TRUE,ISNUMBER(FIND(SUBSTITUTE(SUBSTITUTE(UPPER(#REF!)," ",""),":",": "),SUBSTITUTE(SUBSTITUTE(UPPER(S1524)," ",""),":",": "))),0)),"Undefined")</f>
        <v>Undefined</v>
      </c>
      <c r="B1524" s="42" t="str" cm="1">
        <f t="array" ref="B1524">IFERROR(INDEX({"URGENTE"},MATCH(TRUE,ISNUMBER(FIND(SUBSTITUTE(SUBSTITUTE(UPPER({"URGENTE"})," ",""),":",": "),SUBSTITUTE(SUBSTITUTE(UPPER(S1524)," ",""),":",": "))),0)),"-")</f>
        <v>-</v>
      </c>
      <c r="C1524" s="46" t="str" cm="1">
        <f t="array" ref="C1524">IFERROR(INDEX(#REF!,MATCH(TRUE,ISNUMBER(FIND(SUBSTITUTE(SUBSTITUTE(UPPER(#REF!)," ",""),":",": "),SUBSTITUTE(SUBSTITUTE(UPPER(S1524)," ",""),":",": "))),0)),"Não encontrado")</f>
        <v>Não encontrado</v>
      </c>
      <c r="D1524" s="46" t="str" cm="1">
        <f t="array" ref="D1524">IFERROR(INDEX(#REF!,MATCH(TRUE,ISNUMBER(FIND(SUBSTITUTE(SUBSTITUTE(UPPER(#REF!)," ",""),":",": "),SUBSTITUTE(SUBSTITUTE(UPPER(S1524)," ",""),":",": "))),0)),"Não encontrado")</f>
        <v>Não encontrado</v>
      </c>
      <c r="E1524" s="42" t="str" cm="1">
        <f t="array" ref="E1524">IFERROR(INDEX({"IMPEDITIVO"},MATCH(TRUE,ISNUMBER(FIND(SUBSTITUTE(SUBSTITUTE(UPPER({"IMPEDITIVO"})," ",""),":",": "),SUBSTITUTE(SUBSTITUTE(UPPER(S1524)," ",""),":",": "))),0)),"-")</f>
        <v>-</v>
      </c>
      <c r="K1524" s="49"/>
    </row>
    <row r="1525" spans="1:11" x14ac:dyDescent="0.25">
      <c r="A1525" s="46" t="str" cm="1">
        <f t="array" ref="A1525">IFERROR(INDEX(#REF!,MATCH(TRUE,ISNUMBER(FIND(SUBSTITUTE(SUBSTITUTE(UPPER(#REF!)," ",""),":",": "),SUBSTITUTE(SUBSTITUTE(UPPER(S1525)," ",""),":",": "))),0)),"Undefined")</f>
        <v>Undefined</v>
      </c>
      <c r="B1525" s="42" t="str" cm="1">
        <f t="array" ref="B1525">IFERROR(INDEX({"URGENTE"},MATCH(TRUE,ISNUMBER(FIND(SUBSTITUTE(SUBSTITUTE(UPPER({"URGENTE"})," ",""),":",": "),SUBSTITUTE(SUBSTITUTE(UPPER(S1525)," ",""),":",": "))),0)),"-")</f>
        <v>-</v>
      </c>
      <c r="C1525" s="46" t="str" cm="1">
        <f t="array" ref="C1525">IFERROR(INDEX(#REF!,MATCH(TRUE,ISNUMBER(FIND(SUBSTITUTE(SUBSTITUTE(UPPER(#REF!)," ",""),":",": "),SUBSTITUTE(SUBSTITUTE(UPPER(S1525)," ",""),":",": "))),0)),"Não encontrado")</f>
        <v>Não encontrado</v>
      </c>
      <c r="D1525" s="46" t="str" cm="1">
        <f t="array" ref="D1525">IFERROR(INDEX(#REF!,MATCH(TRUE,ISNUMBER(FIND(SUBSTITUTE(SUBSTITUTE(UPPER(#REF!)," ",""),":",": "),SUBSTITUTE(SUBSTITUTE(UPPER(S1525)," ",""),":",": "))),0)),"Não encontrado")</f>
        <v>Não encontrado</v>
      </c>
      <c r="E1525" s="42" t="str" cm="1">
        <f t="array" ref="E1525">IFERROR(INDEX({"IMPEDITIVO"},MATCH(TRUE,ISNUMBER(FIND(SUBSTITUTE(SUBSTITUTE(UPPER({"IMPEDITIVO"})," ",""),":",": "),SUBSTITUTE(SUBSTITUTE(UPPER(S1525)," ",""),":",": "))),0)),"-")</f>
        <v>-</v>
      </c>
      <c r="K1525" s="49"/>
    </row>
    <row r="1526" spans="1:11" x14ac:dyDescent="0.25">
      <c r="A1526" s="46" t="str" cm="1">
        <f t="array" ref="A1526">IFERROR(INDEX(#REF!,MATCH(TRUE,ISNUMBER(FIND(SUBSTITUTE(SUBSTITUTE(UPPER(#REF!)," ",""),":",": "),SUBSTITUTE(SUBSTITUTE(UPPER(S1526)," ",""),":",": "))),0)),"Undefined")</f>
        <v>Undefined</v>
      </c>
      <c r="B1526" s="42" t="str" cm="1">
        <f t="array" ref="B1526">IFERROR(INDEX({"URGENTE"},MATCH(TRUE,ISNUMBER(FIND(SUBSTITUTE(SUBSTITUTE(UPPER({"URGENTE"})," ",""),":",": "),SUBSTITUTE(SUBSTITUTE(UPPER(S1526)," ",""),":",": "))),0)),"-")</f>
        <v>-</v>
      </c>
      <c r="C1526" s="46" t="str" cm="1">
        <f t="array" ref="C1526">IFERROR(INDEX(#REF!,MATCH(TRUE,ISNUMBER(FIND(SUBSTITUTE(SUBSTITUTE(UPPER(#REF!)," ",""),":",": "),SUBSTITUTE(SUBSTITUTE(UPPER(S1526)," ",""),":",": "))),0)),"Não encontrado")</f>
        <v>Não encontrado</v>
      </c>
      <c r="D1526" s="46" t="str" cm="1">
        <f t="array" ref="D1526">IFERROR(INDEX(#REF!,MATCH(TRUE,ISNUMBER(FIND(SUBSTITUTE(SUBSTITUTE(UPPER(#REF!)," ",""),":",": "),SUBSTITUTE(SUBSTITUTE(UPPER(S1526)," ",""),":",": "))),0)),"Não encontrado")</f>
        <v>Não encontrado</v>
      </c>
      <c r="E1526" s="42" t="str" cm="1">
        <f t="array" ref="E1526">IFERROR(INDEX({"IMPEDITIVO"},MATCH(TRUE,ISNUMBER(FIND(SUBSTITUTE(SUBSTITUTE(UPPER({"IMPEDITIVO"})," ",""),":",": "),SUBSTITUTE(SUBSTITUTE(UPPER(S1526)," ",""),":",": "))),0)),"-")</f>
        <v>-</v>
      </c>
      <c r="K1526" s="49"/>
    </row>
    <row r="1527" spans="1:11" x14ac:dyDescent="0.25">
      <c r="A1527" s="46" t="str" cm="1">
        <f t="array" ref="A1527">IFERROR(INDEX(#REF!,MATCH(TRUE,ISNUMBER(FIND(SUBSTITUTE(SUBSTITUTE(UPPER(#REF!)," ",""),":",": "),SUBSTITUTE(SUBSTITUTE(UPPER(S1527)," ",""),":",": "))),0)),"Undefined")</f>
        <v>Undefined</v>
      </c>
      <c r="B1527" s="42" t="str" cm="1">
        <f t="array" ref="B1527">IFERROR(INDEX({"URGENTE"},MATCH(TRUE,ISNUMBER(FIND(SUBSTITUTE(SUBSTITUTE(UPPER({"URGENTE"})," ",""),":",": "),SUBSTITUTE(SUBSTITUTE(UPPER(S1527)," ",""),":",": "))),0)),"-")</f>
        <v>-</v>
      </c>
      <c r="C1527" s="46" t="str" cm="1">
        <f t="array" ref="C1527">IFERROR(INDEX(#REF!,MATCH(TRUE,ISNUMBER(FIND(SUBSTITUTE(SUBSTITUTE(UPPER(#REF!)," ",""),":",": "),SUBSTITUTE(SUBSTITUTE(UPPER(S1527)," ",""),":",": "))),0)),"Não encontrado")</f>
        <v>Não encontrado</v>
      </c>
      <c r="D1527" s="46" t="str" cm="1">
        <f t="array" ref="D1527">IFERROR(INDEX(#REF!,MATCH(TRUE,ISNUMBER(FIND(SUBSTITUTE(SUBSTITUTE(UPPER(#REF!)," ",""),":",": "),SUBSTITUTE(SUBSTITUTE(UPPER(S1527)," ",""),":",": "))),0)),"Não encontrado")</f>
        <v>Não encontrado</v>
      </c>
      <c r="E1527" s="42" t="str" cm="1">
        <f t="array" ref="E1527">IFERROR(INDEX({"IMPEDITIVO"},MATCH(TRUE,ISNUMBER(FIND(SUBSTITUTE(SUBSTITUTE(UPPER({"IMPEDITIVO"})," ",""),":",": "),SUBSTITUTE(SUBSTITUTE(UPPER(S1527)," ",""),":",": "))),0)),"-")</f>
        <v>-</v>
      </c>
      <c r="K1527" s="49"/>
    </row>
    <row r="1528" spans="1:11" x14ac:dyDescent="0.25">
      <c r="A1528" s="46" t="str" cm="1">
        <f t="array" ref="A1528">IFERROR(INDEX(#REF!,MATCH(TRUE,ISNUMBER(FIND(SUBSTITUTE(SUBSTITUTE(UPPER(#REF!)," ",""),":",": "),SUBSTITUTE(SUBSTITUTE(UPPER(S1528)," ",""),":",": "))),0)),"Undefined")</f>
        <v>Undefined</v>
      </c>
      <c r="B1528" s="42" t="str" cm="1">
        <f t="array" ref="B1528">IFERROR(INDEX({"URGENTE"},MATCH(TRUE,ISNUMBER(FIND(SUBSTITUTE(SUBSTITUTE(UPPER({"URGENTE"})," ",""),":",": "),SUBSTITUTE(SUBSTITUTE(UPPER(S1528)," ",""),":",": "))),0)),"-")</f>
        <v>-</v>
      </c>
      <c r="C1528" s="46" t="str" cm="1">
        <f t="array" ref="C1528">IFERROR(INDEX(#REF!,MATCH(TRUE,ISNUMBER(FIND(SUBSTITUTE(SUBSTITUTE(UPPER(#REF!)," ",""),":",": "),SUBSTITUTE(SUBSTITUTE(UPPER(S1528)," ",""),":",": "))),0)),"Não encontrado")</f>
        <v>Não encontrado</v>
      </c>
      <c r="D1528" s="46" t="str" cm="1">
        <f t="array" ref="D1528">IFERROR(INDEX(#REF!,MATCH(TRUE,ISNUMBER(FIND(SUBSTITUTE(SUBSTITUTE(UPPER(#REF!)," ",""),":",": "),SUBSTITUTE(SUBSTITUTE(UPPER(S1528)," ",""),":",": "))),0)),"Não encontrado")</f>
        <v>Não encontrado</v>
      </c>
      <c r="E1528" s="42" t="str" cm="1">
        <f t="array" ref="E1528">IFERROR(INDEX({"IMPEDITIVO"},MATCH(TRUE,ISNUMBER(FIND(SUBSTITUTE(SUBSTITUTE(UPPER({"IMPEDITIVO"})," ",""),":",": "),SUBSTITUTE(SUBSTITUTE(UPPER(S1528)," ",""),":",": "))),0)),"-")</f>
        <v>-</v>
      </c>
      <c r="K1528" s="49"/>
    </row>
    <row r="1529" spans="1:11" x14ac:dyDescent="0.25">
      <c r="A1529" s="46" t="str" cm="1">
        <f t="array" ref="A1529">IFERROR(INDEX(#REF!,MATCH(TRUE,ISNUMBER(FIND(SUBSTITUTE(SUBSTITUTE(UPPER(#REF!)," ",""),":",": "),SUBSTITUTE(SUBSTITUTE(UPPER(S1529)," ",""),":",": "))),0)),"Undefined")</f>
        <v>Undefined</v>
      </c>
      <c r="B1529" s="42" t="str" cm="1">
        <f t="array" ref="B1529">IFERROR(INDEX({"URGENTE"},MATCH(TRUE,ISNUMBER(FIND(SUBSTITUTE(SUBSTITUTE(UPPER({"URGENTE"})," ",""),":",": "),SUBSTITUTE(SUBSTITUTE(UPPER(S1529)," ",""),":",": "))),0)),"-")</f>
        <v>-</v>
      </c>
      <c r="C1529" s="46" t="str" cm="1">
        <f t="array" ref="C1529">IFERROR(INDEX(#REF!,MATCH(TRUE,ISNUMBER(FIND(SUBSTITUTE(SUBSTITUTE(UPPER(#REF!)," ",""),":",": "),SUBSTITUTE(SUBSTITUTE(UPPER(S1529)," ",""),":",": "))),0)),"Não encontrado")</f>
        <v>Não encontrado</v>
      </c>
      <c r="D1529" s="46" t="str" cm="1">
        <f t="array" ref="D1529">IFERROR(INDEX(#REF!,MATCH(TRUE,ISNUMBER(FIND(SUBSTITUTE(SUBSTITUTE(UPPER(#REF!)," ",""),":",": "),SUBSTITUTE(SUBSTITUTE(UPPER(S1529)," ",""),":",": "))),0)),"Não encontrado")</f>
        <v>Não encontrado</v>
      </c>
      <c r="E1529" s="42" t="str" cm="1">
        <f t="array" ref="E1529">IFERROR(INDEX({"IMPEDITIVO"},MATCH(TRUE,ISNUMBER(FIND(SUBSTITUTE(SUBSTITUTE(UPPER({"IMPEDITIVO"})," ",""),":",": "),SUBSTITUTE(SUBSTITUTE(UPPER(S1529)," ",""),":",": "))),0)),"-")</f>
        <v>-</v>
      </c>
      <c r="K1529" s="49"/>
    </row>
    <row r="1530" spans="1:11" x14ac:dyDescent="0.25">
      <c r="A1530" s="46" t="str" cm="1">
        <f t="array" ref="A1530">IFERROR(INDEX(#REF!,MATCH(TRUE,ISNUMBER(FIND(SUBSTITUTE(SUBSTITUTE(UPPER(#REF!)," ",""),":",": "),SUBSTITUTE(SUBSTITUTE(UPPER(S1530)," ",""),":",": "))),0)),"Undefined")</f>
        <v>Undefined</v>
      </c>
      <c r="B1530" s="42" t="str" cm="1">
        <f t="array" ref="B1530">IFERROR(INDEX({"URGENTE"},MATCH(TRUE,ISNUMBER(FIND(SUBSTITUTE(SUBSTITUTE(UPPER({"URGENTE"})," ",""),":",": "),SUBSTITUTE(SUBSTITUTE(UPPER(S1530)," ",""),":",": "))),0)),"-")</f>
        <v>-</v>
      </c>
      <c r="C1530" s="46" t="str" cm="1">
        <f t="array" ref="C1530">IFERROR(INDEX(#REF!,MATCH(TRUE,ISNUMBER(FIND(SUBSTITUTE(SUBSTITUTE(UPPER(#REF!)," ",""),":",": "),SUBSTITUTE(SUBSTITUTE(UPPER(S1530)," ",""),":",": "))),0)),"Não encontrado")</f>
        <v>Não encontrado</v>
      </c>
      <c r="D1530" s="46" t="str" cm="1">
        <f t="array" ref="D1530">IFERROR(INDEX(#REF!,MATCH(TRUE,ISNUMBER(FIND(SUBSTITUTE(SUBSTITUTE(UPPER(#REF!)," ",""),":",": "),SUBSTITUTE(SUBSTITUTE(UPPER(S1530)," ",""),":",": "))),0)),"Não encontrado")</f>
        <v>Não encontrado</v>
      </c>
      <c r="E1530" s="42" t="str" cm="1">
        <f t="array" ref="E1530">IFERROR(INDEX({"IMPEDITIVO"},MATCH(TRUE,ISNUMBER(FIND(SUBSTITUTE(SUBSTITUTE(UPPER({"IMPEDITIVO"})," ",""),":",": "),SUBSTITUTE(SUBSTITUTE(UPPER(S1530)," ",""),":",": "))),0)),"-")</f>
        <v>-</v>
      </c>
      <c r="K1530" s="49"/>
    </row>
    <row r="1531" spans="1:11" x14ac:dyDescent="0.25">
      <c r="A1531" s="46" t="str" cm="1">
        <f t="array" ref="A1531">IFERROR(INDEX(#REF!,MATCH(TRUE,ISNUMBER(FIND(SUBSTITUTE(SUBSTITUTE(UPPER(#REF!)," ",""),":",": "),SUBSTITUTE(SUBSTITUTE(UPPER(S1531)," ",""),":",": "))),0)),"Undefined")</f>
        <v>Undefined</v>
      </c>
      <c r="B1531" s="42" t="str" cm="1">
        <f t="array" ref="B1531">IFERROR(INDEX({"URGENTE"},MATCH(TRUE,ISNUMBER(FIND(SUBSTITUTE(SUBSTITUTE(UPPER({"URGENTE"})," ",""),":",": "),SUBSTITUTE(SUBSTITUTE(UPPER(S1531)," ",""),":",": "))),0)),"-")</f>
        <v>-</v>
      </c>
      <c r="C1531" s="46" t="str" cm="1">
        <f t="array" ref="C1531">IFERROR(INDEX(#REF!,MATCH(TRUE,ISNUMBER(FIND(SUBSTITUTE(SUBSTITUTE(UPPER(#REF!)," ",""),":",": "),SUBSTITUTE(SUBSTITUTE(UPPER(S1531)," ",""),":",": "))),0)),"Não encontrado")</f>
        <v>Não encontrado</v>
      </c>
      <c r="D1531" s="46" t="str" cm="1">
        <f t="array" ref="D1531">IFERROR(INDEX(#REF!,MATCH(TRUE,ISNUMBER(FIND(SUBSTITUTE(SUBSTITUTE(UPPER(#REF!)," ",""),":",": "),SUBSTITUTE(SUBSTITUTE(UPPER(S1531)," ",""),":",": "))),0)),"Não encontrado")</f>
        <v>Não encontrado</v>
      </c>
      <c r="E1531" s="42" t="str" cm="1">
        <f t="array" ref="E1531">IFERROR(INDEX({"IMPEDITIVO"},MATCH(TRUE,ISNUMBER(FIND(SUBSTITUTE(SUBSTITUTE(UPPER({"IMPEDITIVO"})," ",""),":",": "),SUBSTITUTE(SUBSTITUTE(UPPER(S1531)," ",""),":",": "))),0)),"-")</f>
        <v>-</v>
      </c>
      <c r="K1531" s="49"/>
    </row>
    <row r="1532" spans="1:11" x14ac:dyDescent="0.25">
      <c r="A1532" s="46" t="str" cm="1">
        <f t="array" ref="A1532">IFERROR(INDEX(#REF!,MATCH(TRUE,ISNUMBER(FIND(SUBSTITUTE(SUBSTITUTE(UPPER(#REF!)," ",""),":",": "),SUBSTITUTE(SUBSTITUTE(UPPER(S1532)," ",""),":",": "))),0)),"Undefined")</f>
        <v>Undefined</v>
      </c>
      <c r="B1532" s="42" t="str" cm="1">
        <f t="array" ref="B1532">IFERROR(INDEX({"URGENTE"},MATCH(TRUE,ISNUMBER(FIND(SUBSTITUTE(SUBSTITUTE(UPPER({"URGENTE"})," ",""),":",": "),SUBSTITUTE(SUBSTITUTE(UPPER(S1532)," ",""),":",": "))),0)),"-")</f>
        <v>-</v>
      </c>
      <c r="C1532" s="46" t="str" cm="1">
        <f t="array" ref="C1532">IFERROR(INDEX(#REF!,MATCH(TRUE,ISNUMBER(FIND(SUBSTITUTE(SUBSTITUTE(UPPER(#REF!)," ",""),":",": "),SUBSTITUTE(SUBSTITUTE(UPPER(S1532)," ",""),":",": "))),0)),"Não encontrado")</f>
        <v>Não encontrado</v>
      </c>
      <c r="D1532" s="46" t="str" cm="1">
        <f t="array" ref="D1532">IFERROR(INDEX(#REF!,MATCH(TRUE,ISNUMBER(FIND(SUBSTITUTE(SUBSTITUTE(UPPER(#REF!)," ",""),":",": "),SUBSTITUTE(SUBSTITUTE(UPPER(S1532)," ",""),":",": "))),0)),"Não encontrado")</f>
        <v>Não encontrado</v>
      </c>
      <c r="E1532" s="42" t="str" cm="1">
        <f t="array" ref="E1532">IFERROR(INDEX({"IMPEDITIVO"},MATCH(TRUE,ISNUMBER(FIND(SUBSTITUTE(SUBSTITUTE(UPPER({"IMPEDITIVO"})," ",""),":",": "),SUBSTITUTE(SUBSTITUTE(UPPER(S1532)," ",""),":",": "))),0)),"-")</f>
        <v>-</v>
      </c>
      <c r="K1532" s="49"/>
    </row>
    <row r="1533" spans="1:11" x14ac:dyDescent="0.25">
      <c r="A1533" s="46" t="str" cm="1">
        <f t="array" ref="A1533">IFERROR(INDEX(#REF!,MATCH(TRUE,ISNUMBER(FIND(SUBSTITUTE(SUBSTITUTE(UPPER(#REF!)," ",""),":",": "),SUBSTITUTE(SUBSTITUTE(UPPER(S1533)," ",""),":",": "))),0)),"Undefined")</f>
        <v>Undefined</v>
      </c>
      <c r="B1533" s="42" t="str" cm="1">
        <f t="array" ref="B1533">IFERROR(INDEX({"URGENTE"},MATCH(TRUE,ISNUMBER(FIND(SUBSTITUTE(SUBSTITUTE(UPPER({"URGENTE"})," ",""),":",": "),SUBSTITUTE(SUBSTITUTE(UPPER(S1533)," ",""),":",": "))),0)),"-")</f>
        <v>-</v>
      </c>
      <c r="C1533" s="46" t="str" cm="1">
        <f t="array" ref="C1533">IFERROR(INDEX(#REF!,MATCH(TRUE,ISNUMBER(FIND(SUBSTITUTE(SUBSTITUTE(UPPER(#REF!)," ",""),":",": "),SUBSTITUTE(SUBSTITUTE(UPPER(S1533)," ",""),":",": "))),0)),"Não encontrado")</f>
        <v>Não encontrado</v>
      </c>
      <c r="D1533" s="46" t="str" cm="1">
        <f t="array" ref="D1533">IFERROR(INDEX(#REF!,MATCH(TRUE,ISNUMBER(FIND(SUBSTITUTE(SUBSTITUTE(UPPER(#REF!)," ",""),":",": "),SUBSTITUTE(SUBSTITUTE(UPPER(S1533)," ",""),":",": "))),0)),"Não encontrado")</f>
        <v>Não encontrado</v>
      </c>
      <c r="E1533" s="42" t="str" cm="1">
        <f t="array" ref="E1533">IFERROR(INDEX({"IMPEDITIVO"},MATCH(TRUE,ISNUMBER(FIND(SUBSTITUTE(SUBSTITUTE(UPPER({"IMPEDITIVO"})," ",""),":",": "),SUBSTITUTE(SUBSTITUTE(UPPER(S1533)," ",""),":",": "))),0)),"-")</f>
        <v>-</v>
      </c>
      <c r="K1533" s="49"/>
    </row>
    <row r="1534" spans="1:11" x14ac:dyDescent="0.25">
      <c r="A1534" s="46" t="str" cm="1">
        <f t="array" ref="A1534">IFERROR(INDEX(#REF!,MATCH(TRUE,ISNUMBER(FIND(SUBSTITUTE(SUBSTITUTE(UPPER(#REF!)," ",""),":",": "),SUBSTITUTE(SUBSTITUTE(UPPER(S1534)," ",""),":",": "))),0)),"Undefined")</f>
        <v>Undefined</v>
      </c>
      <c r="B1534" s="42" t="str" cm="1">
        <f t="array" ref="B1534">IFERROR(INDEX({"URGENTE"},MATCH(TRUE,ISNUMBER(FIND(SUBSTITUTE(SUBSTITUTE(UPPER({"URGENTE"})," ",""),":",": "),SUBSTITUTE(SUBSTITUTE(UPPER(S1534)," ",""),":",": "))),0)),"-")</f>
        <v>-</v>
      </c>
      <c r="C1534" s="46" t="str" cm="1">
        <f t="array" ref="C1534">IFERROR(INDEX(#REF!,MATCH(TRUE,ISNUMBER(FIND(SUBSTITUTE(SUBSTITUTE(UPPER(#REF!)," ",""),":",": "),SUBSTITUTE(SUBSTITUTE(UPPER(S1534)," ",""),":",": "))),0)),"Não encontrado")</f>
        <v>Não encontrado</v>
      </c>
      <c r="D1534" s="46" t="str" cm="1">
        <f t="array" ref="D1534">IFERROR(INDEX(#REF!,MATCH(TRUE,ISNUMBER(FIND(SUBSTITUTE(SUBSTITUTE(UPPER(#REF!)," ",""),":",": "),SUBSTITUTE(SUBSTITUTE(UPPER(S1534)," ",""),":",": "))),0)),"Não encontrado")</f>
        <v>Não encontrado</v>
      </c>
      <c r="E1534" s="42" t="str" cm="1">
        <f t="array" ref="E1534">IFERROR(INDEX({"IMPEDITIVO"},MATCH(TRUE,ISNUMBER(FIND(SUBSTITUTE(SUBSTITUTE(UPPER({"IMPEDITIVO"})," ",""),":",": "),SUBSTITUTE(SUBSTITUTE(UPPER(S1534)," ",""),":",": "))),0)),"-")</f>
        <v>-</v>
      </c>
      <c r="K1534" s="49"/>
    </row>
    <row r="1535" spans="1:11" x14ac:dyDescent="0.25">
      <c r="A1535" s="46" t="str" cm="1">
        <f t="array" ref="A1535">IFERROR(INDEX(#REF!,MATCH(TRUE,ISNUMBER(FIND(SUBSTITUTE(SUBSTITUTE(UPPER(#REF!)," ",""),":",": "),SUBSTITUTE(SUBSTITUTE(UPPER(S1535)," ",""),":",": "))),0)),"Undefined")</f>
        <v>Undefined</v>
      </c>
      <c r="B1535" s="42" t="str" cm="1">
        <f t="array" ref="B1535">IFERROR(INDEX({"URGENTE"},MATCH(TRUE,ISNUMBER(FIND(SUBSTITUTE(SUBSTITUTE(UPPER({"URGENTE"})," ",""),":",": "),SUBSTITUTE(SUBSTITUTE(UPPER(S1535)," ",""),":",": "))),0)),"-")</f>
        <v>-</v>
      </c>
      <c r="C1535" s="46" t="str" cm="1">
        <f t="array" ref="C1535">IFERROR(INDEX(#REF!,MATCH(TRUE,ISNUMBER(FIND(SUBSTITUTE(SUBSTITUTE(UPPER(#REF!)," ",""),":",": "),SUBSTITUTE(SUBSTITUTE(UPPER(S1535)," ",""),":",": "))),0)),"Não encontrado")</f>
        <v>Não encontrado</v>
      </c>
      <c r="D1535" s="46" t="str" cm="1">
        <f t="array" ref="D1535">IFERROR(INDEX(#REF!,MATCH(TRUE,ISNUMBER(FIND(SUBSTITUTE(SUBSTITUTE(UPPER(#REF!)," ",""),":",": "),SUBSTITUTE(SUBSTITUTE(UPPER(S1535)," ",""),":",": "))),0)),"Não encontrado")</f>
        <v>Não encontrado</v>
      </c>
      <c r="E1535" s="42" t="str" cm="1">
        <f t="array" ref="E1535">IFERROR(INDEX({"IMPEDITIVO"},MATCH(TRUE,ISNUMBER(FIND(SUBSTITUTE(SUBSTITUTE(UPPER({"IMPEDITIVO"})," ",""),":",": "),SUBSTITUTE(SUBSTITUTE(UPPER(S1535)," ",""),":",": "))),0)),"-")</f>
        <v>-</v>
      </c>
      <c r="K1535" s="49"/>
    </row>
    <row r="1536" spans="1:11" x14ac:dyDescent="0.25">
      <c r="A1536" s="46" t="str" cm="1">
        <f t="array" ref="A1536">IFERROR(INDEX(#REF!,MATCH(TRUE,ISNUMBER(FIND(SUBSTITUTE(SUBSTITUTE(UPPER(#REF!)," ",""),":",": "),SUBSTITUTE(SUBSTITUTE(UPPER(S1536)," ",""),":",": "))),0)),"Undefined")</f>
        <v>Undefined</v>
      </c>
      <c r="B1536" s="42" t="str" cm="1">
        <f t="array" ref="B1536">IFERROR(INDEX({"URGENTE"},MATCH(TRUE,ISNUMBER(FIND(SUBSTITUTE(SUBSTITUTE(UPPER({"URGENTE"})," ",""),":",": "),SUBSTITUTE(SUBSTITUTE(UPPER(S1536)," ",""),":",": "))),0)),"-")</f>
        <v>-</v>
      </c>
      <c r="C1536" s="46" t="str" cm="1">
        <f t="array" ref="C1536">IFERROR(INDEX(#REF!,MATCH(TRUE,ISNUMBER(FIND(SUBSTITUTE(SUBSTITUTE(UPPER(#REF!)," ",""),":",": "),SUBSTITUTE(SUBSTITUTE(UPPER(S1536)," ",""),":",": "))),0)),"Não encontrado")</f>
        <v>Não encontrado</v>
      </c>
      <c r="D1536" s="46" t="str" cm="1">
        <f t="array" ref="D1536">IFERROR(INDEX(#REF!,MATCH(TRUE,ISNUMBER(FIND(SUBSTITUTE(SUBSTITUTE(UPPER(#REF!)," ",""),":",": "),SUBSTITUTE(SUBSTITUTE(UPPER(S1536)," ",""),":",": "))),0)),"Não encontrado")</f>
        <v>Não encontrado</v>
      </c>
      <c r="E1536" s="42" t="str" cm="1">
        <f t="array" ref="E1536">IFERROR(INDEX({"IMPEDITIVO"},MATCH(TRUE,ISNUMBER(FIND(SUBSTITUTE(SUBSTITUTE(UPPER({"IMPEDITIVO"})," ",""),":",": "),SUBSTITUTE(SUBSTITUTE(UPPER(S1536)," ",""),":",": "))),0)),"-")</f>
        <v>-</v>
      </c>
      <c r="K1536" s="49"/>
    </row>
    <row r="1537" spans="1:11" x14ac:dyDescent="0.25">
      <c r="A1537" s="46" t="str" cm="1">
        <f t="array" ref="A1537">IFERROR(INDEX(#REF!,MATCH(TRUE,ISNUMBER(FIND(SUBSTITUTE(SUBSTITUTE(UPPER(#REF!)," ",""),":",": "),SUBSTITUTE(SUBSTITUTE(UPPER(S1537)," ",""),":",": "))),0)),"Undefined")</f>
        <v>Undefined</v>
      </c>
      <c r="B1537" s="42" t="str" cm="1">
        <f t="array" ref="B1537">IFERROR(INDEX({"URGENTE"},MATCH(TRUE,ISNUMBER(FIND(SUBSTITUTE(SUBSTITUTE(UPPER({"URGENTE"})," ",""),":",": "),SUBSTITUTE(SUBSTITUTE(UPPER(S1537)," ",""),":",": "))),0)),"-")</f>
        <v>-</v>
      </c>
      <c r="C1537" s="46" t="str" cm="1">
        <f t="array" ref="C1537">IFERROR(INDEX(#REF!,MATCH(TRUE,ISNUMBER(FIND(SUBSTITUTE(SUBSTITUTE(UPPER(#REF!)," ",""),":",": "),SUBSTITUTE(SUBSTITUTE(UPPER(S1537)," ",""),":",": "))),0)),"Não encontrado")</f>
        <v>Não encontrado</v>
      </c>
      <c r="D1537" s="46" t="str" cm="1">
        <f t="array" ref="D1537">IFERROR(INDEX(#REF!,MATCH(TRUE,ISNUMBER(FIND(SUBSTITUTE(SUBSTITUTE(UPPER(#REF!)," ",""),":",": "),SUBSTITUTE(SUBSTITUTE(UPPER(S1537)," ",""),":",": "))),0)),"Não encontrado")</f>
        <v>Não encontrado</v>
      </c>
      <c r="E1537" s="42" t="str" cm="1">
        <f t="array" ref="E1537">IFERROR(INDEX({"IMPEDITIVO"},MATCH(TRUE,ISNUMBER(FIND(SUBSTITUTE(SUBSTITUTE(UPPER({"IMPEDITIVO"})," ",""),":",": "),SUBSTITUTE(SUBSTITUTE(UPPER(S1537)," ",""),":",": "))),0)),"-")</f>
        <v>-</v>
      </c>
      <c r="K1537" s="49"/>
    </row>
    <row r="1538" spans="1:11" x14ac:dyDescent="0.25">
      <c r="A1538" s="46" t="str" cm="1">
        <f t="array" ref="A1538">IFERROR(INDEX(#REF!,MATCH(TRUE,ISNUMBER(FIND(SUBSTITUTE(SUBSTITUTE(UPPER(#REF!)," ",""),":",": "),SUBSTITUTE(SUBSTITUTE(UPPER(S1538)," ",""),":",": "))),0)),"Undefined")</f>
        <v>Undefined</v>
      </c>
      <c r="B1538" s="42" t="str" cm="1">
        <f t="array" ref="B1538">IFERROR(INDEX({"URGENTE"},MATCH(TRUE,ISNUMBER(FIND(SUBSTITUTE(SUBSTITUTE(UPPER({"URGENTE"})," ",""),":",": "),SUBSTITUTE(SUBSTITUTE(UPPER(S1538)," ",""),":",": "))),0)),"-")</f>
        <v>-</v>
      </c>
      <c r="C1538" s="46" t="str" cm="1">
        <f t="array" ref="C1538">IFERROR(INDEX(#REF!,MATCH(TRUE,ISNUMBER(FIND(SUBSTITUTE(SUBSTITUTE(UPPER(#REF!)," ",""),":",": "),SUBSTITUTE(SUBSTITUTE(UPPER(S1538)," ",""),":",": "))),0)),"Não encontrado")</f>
        <v>Não encontrado</v>
      </c>
      <c r="D1538" s="46" t="str" cm="1">
        <f t="array" ref="D1538">IFERROR(INDEX(#REF!,MATCH(TRUE,ISNUMBER(FIND(SUBSTITUTE(SUBSTITUTE(UPPER(#REF!)," ",""),":",": "),SUBSTITUTE(SUBSTITUTE(UPPER(S1538)," ",""),":",": "))),0)),"Não encontrado")</f>
        <v>Não encontrado</v>
      </c>
      <c r="E1538" s="42" t="str" cm="1">
        <f t="array" ref="E1538">IFERROR(INDEX({"IMPEDITIVO"},MATCH(TRUE,ISNUMBER(FIND(SUBSTITUTE(SUBSTITUTE(UPPER({"IMPEDITIVO"})," ",""),":",": "),SUBSTITUTE(SUBSTITUTE(UPPER(S1538)," ",""),":",": "))),0)),"-")</f>
        <v>-</v>
      </c>
      <c r="K1538" s="49"/>
    </row>
    <row r="1539" spans="1:11" x14ac:dyDescent="0.25">
      <c r="A1539" s="46" t="str" cm="1">
        <f t="array" ref="A1539">IFERROR(INDEX(#REF!,MATCH(TRUE,ISNUMBER(FIND(SUBSTITUTE(SUBSTITUTE(UPPER(#REF!)," ",""),":",": "),SUBSTITUTE(SUBSTITUTE(UPPER(S1539)," ",""),":",": "))),0)),"Undefined")</f>
        <v>Undefined</v>
      </c>
      <c r="B1539" s="42" t="str" cm="1">
        <f t="array" ref="B1539">IFERROR(INDEX({"URGENTE"},MATCH(TRUE,ISNUMBER(FIND(SUBSTITUTE(SUBSTITUTE(UPPER({"URGENTE"})," ",""),":",": "),SUBSTITUTE(SUBSTITUTE(UPPER(S1539)," ",""),":",": "))),0)),"-")</f>
        <v>-</v>
      </c>
      <c r="C1539" s="46" t="str" cm="1">
        <f t="array" ref="C1539">IFERROR(INDEX(#REF!,MATCH(TRUE,ISNUMBER(FIND(SUBSTITUTE(SUBSTITUTE(UPPER(#REF!)," ",""),":",": "),SUBSTITUTE(SUBSTITUTE(UPPER(S1539)," ",""),":",": "))),0)),"Não encontrado")</f>
        <v>Não encontrado</v>
      </c>
      <c r="D1539" s="46" t="str" cm="1">
        <f t="array" ref="D1539">IFERROR(INDEX(#REF!,MATCH(TRUE,ISNUMBER(FIND(SUBSTITUTE(SUBSTITUTE(UPPER(#REF!)," ",""),":",": "),SUBSTITUTE(SUBSTITUTE(UPPER(S1539)," ",""),":",": "))),0)),"Não encontrado")</f>
        <v>Não encontrado</v>
      </c>
      <c r="E1539" s="42" t="str" cm="1">
        <f t="array" ref="E1539">IFERROR(INDEX({"IMPEDITIVO"},MATCH(TRUE,ISNUMBER(FIND(SUBSTITUTE(SUBSTITUTE(UPPER({"IMPEDITIVO"})," ",""),":",": "),SUBSTITUTE(SUBSTITUTE(UPPER(S1539)," ",""),":",": "))),0)),"-")</f>
        <v>-</v>
      </c>
      <c r="K1539" s="49"/>
    </row>
    <row r="1540" spans="1:11" x14ac:dyDescent="0.25">
      <c r="A1540" s="46" t="str" cm="1">
        <f t="array" ref="A1540">IFERROR(INDEX(#REF!,MATCH(TRUE,ISNUMBER(FIND(SUBSTITUTE(SUBSTITUTE(UPPER(#REF!)," ",""),":",": "),SUBSTITUTE(SUBSTITUTE(UPPER(S1540)," ",""),":",": "))),0)),"Undefined")</f>
        <v>Undefined</v>
      </c>
      <c r="B1540" s="42" t="str" cm="1">
        <f t="array" ref="B1540">IFERROR(INDEX({"URGENTE"},MATCH(TRUE,ISNUMBER(FIND(SUBSTITUTE(SUBSTITUTE(UPPER({"URGENTE"})," ",""),":",": "),SUBSTITUTE(SUBSTITUTE(UPPER(S1540)," ",""),":",": "))),0)),"-")</f>
        <v>-</v>
      </c>
      <c r="C1540" s="46" t="str" cm="1">
        <f t="array" ref="C1540">IFERROR(INDEX(#REF!,MATCH(TRUE,ISNUMBER(FIND(SUBSTITUTE(SUBSTITUTE(UPPER(#REF!)," ",""),":",": "),SUBSTITUTE(SUBSTITUTE(UPPER(S1540)," ",""),":",": "))),0)),"Não encontrado")</f>
        <v>Não encontrado</v>
      </c>
      <c r="D1540" s="46" t="str" cm="1">
        <f t="array" ref="D1540">IFERROR(INDEX(#REF!,MATCH(TRUE,ISNUMBER(FIND(SUBSTITUTE(SUBSTITUTE(UPPER(#REF!)," ",""),":",": "),SUBSTITUTE(SUBSTITUTE(UPPER(S1540)," ",""),":",": "))),0)),"Não encontrado")</f>
        <v>Não encontrado</v>
      </c>
      <c r="E1540" s="42" t="str" cm="1">
        <f t="array" ref="E1540">IFERROR(INDEX({"IMPEDITIVO"},MATCH(TRUE,ISNUMBER(FIND(SUBSTITUTE(SUBSTITUTE(UPPER({"IMPEDITIVO"})," ",""),":",": "),SUBSTITUTE(SUBSTITUTE(UPPER(S1540)," ",""),":",": "))),0)),"-")</f>
        <v>-</v>
      </c>
      <c r="K1540" s="49"/>
    </row>
    <row r="1541" spans="1:11" x14ac:dyDescent="0.25">
      <c r="A1541" s="46" t="str" cm="1">
        <f t="array" ref="A1541">IFERROR(INDEX(#REF!,MATCH(TRUE,ISNUMBER(FIND(SUBSTITUTE(SUBSTITUTE(UPPER(#REF!)," ",""),":",": "),SUBSTITUTE(SUBSTITUTE(UPPER(S1541)," ",""),":",": "))),0)),"Undefined")</f>
        <v>Undefined</v>
      </c>
      <c r="B1541" s="42" t="str" cm="1">
        <f t="array" ref="B1541">IFERROR(INDEX({"URGENTE"},MATCH(TRUE,ISNUMBER(FIND(SUBSTITUTE(SUBSTITUTE(UPPER({"URGENTE"})," ",""),":",": "),SUBSTITUTE(SUBSTITUTE(UPPER(S1541)," ",""),":",": "))),0)),"-")</f>
        <v>-</v>
      </c>
      <c r="C1541" s="46" t="str" cm="1">
        <f t="array" ref="C1541">IFERROR(INDEX(#REF!,MATCH(TRUE,ISNUMBER(FIND(SUBSTITUTE(SUBSTITUTE(UPPER(#REF!)," ",""),":",": "),SUBSTITUTE(SUBSTITUTE(UPPER(S1541)," ",""),":",": "))),0)),"Não encontrado")</f>
        <v>Não encontrado</v>
      </c>
      <c r="D1541" s="46" t="str" cm="1">
        <f t="array" ref="D1541">IFERROR(INDEX(#REF!,MATCH(TRUE,ISNUMBER(FIND(SUBSTITUTE(SUBSTITUTE(UPPER(#REF!)," ",""),":",": "),SUBSTITUTE(SUBSTITUTE(UPPER(S1541)," ",""),":",": "))),0)),"Não encontrado")</f>
        <v>Não encontrado</v>
      </c>
      <c r="E1541" s="42" t="str" cm="1">
        <f t="array" ref="E1541">IFERROR(INDEX({"IMPEDITIVO"},MATCH(TRUE,ISNUMBER(FIND(SUBSTITUTE(SUBSTITUTE(UPPER({"IMPEDITIVO"})," ",""),":",": "),SUBSTITUTE(SUBSTITUTE(UPPER(S1541)," ",""),":",": "))),0)),"-")</f>
        <v>-</v>
      </c>
      <c r="K1541" s="49"/>
    </row>
    <row r="1542" spans="1:11" x14ac:dyDescent="0.25">
      <c r="A1542" s="46" t="str" cm="1">
        <f t="array" ref="A1542">IFERROR(INDEX(#REF!,MATCH(TRUE,ISNUMBER(FIND(SUBSTITUTE(SUBSTITUTE(UPPER(#REF!)," ",""),":",": "),SUBSTITUTE(SUBSTITUTE(UPPER(S1542)," ",""),":",": "))),0)),"Undefined")</f>
        <v>Undefined</v>
      </c>
      <c r="B1542" s="42" t="str" cm="1">
        <f t="array" ref="B1542">IFERROR(INDEX({"URGENTE"},MATCH(TRUE,ISNUMBER(FIND(SUBSTITUTE(SUBSTITUTE(UPPER({"URGENTE"})," ",""),":",": "),SUBSTITUTE(SUBSTITUTE(UPPER(S1542)," ",""),":",": "))),0)),"-")</f>
        <v>-</v>
      </c>
      <c r="C1542" s="46" t="str" cm="1">
        <f t="array" ref="C1542">IFERROR(INDEX(#REF!,MATCH(TRUE,ISNUMBER(FIND(SUBSTITUTE(SUBSTITUTE(UPPER(#REF!)," ",""),":",": "),SUBSTITUTE(SUBSTITUTE(UPPER(S1542)," ",""),":",": "))),0)),"Não encontrado")</f>
        <v>Não encontrado</v>
      </c>
      <c r="D1542" s="46" t="str" cm="1">
        <f t="array" ref="D1542">IFERROR(INDEX(#REF!,MATCH(TRUE,ISNUMBER(FIND(SUBSTITUTE(SUBSTITUTE(UPPER(#REF!)," ",""),":",": "),SUBSTITUTE(SUBSTITUTE(UPPER(S1542)," ",""),":",": "))),0)),"Não encontrado")</f>
        <v>Não encontrado</v>
      </c>
      <c r="E1542" s="42" t="str" cm="1">
        <f t="array" ref="E1542">IFERROR(INDEX({"IMPEDITIVO"},MATCH(TRUE,ISNUMBER(FIND(SUBSTITUTE(SUBSTITUTE(UPPER({"IMPEDITIVO"})," ",""),":",": "),SUBSTITUTE(SUBSTITUTE(UPPER(S1542)," ",""),":",": "))),0)),"-")</f>
        <v>-</v>
      </c>
      <c r="K1542" s="49"/>
    </row>
    <row r="1543" spans="1:11" x14ac:dyDescent="0.25">
      <c r="A1543" s="46" t="str" cm="1">
        <f t="array" ref="A1543">IFERROR(INDEX(#REF!,MATCH(TRUE,ISNUMBER(FIND(SUBSTITUTE(SUBSTITUTE(UPPER(#REF!)," ",""),":",": "),SUBSTITUTE(SUBSTITUTE(UPPER(S1543)," ",""),":",": "))),0)),"Undefined")</f>
        <v>Undefined</v>
      </c>
      <c r="B1543" s="42" t="str" cm="1">
        <f t="array" ref="B1543">IFERROR(INDEX({"URGENTE"},MATCH(TRUE,ISNUMBER(FIND(SUBSTITUTE(SUBSTITUTE(UPPER({"URGENTE"})," ",""),":",": "),SUBSTITUTE(SUBSTITUTE(UPPER(S1543)," ",""),":",": "))),0)),"-")</f>
        <v>-</v>
      </c>
      <c r="C1543" s="46" t="str" cm="1">
        <f t="array" ref="C1543">IFERROR(INDEX(#REF!,MATCH(TRUE,ISNUMBER(FIND(SUBSTITUTE(SUBSTITUTE(UPPER(#REF!)," ",""),":",": "),SUBSTITUTE(SUBSTITUTE(UPPER(S1543)," ",""),":",": "))),0)),"Não encontrado")</f>
        <v>Não encontrado</v>
      </c>
      <c r="D1543" s="46" t="str" cm="1">
        <f t="array" ref="D1543">IFERROR(INDEX(#REF!,MATCH(TRUE,ISNUMBER(FIND(SUBSTITUTE(SUBSTITUTE(UPPER(#REF!)," ",""),":",": "),SUBSTITUTE(SUBSTITUTE(UPPER(S1543)," ",""),":",": "))),0)),"Não encontrado")</f>
        <v>Não encontrado</v>
      </c>
      <c r="E1543" s="42" t="str" cm="1">
        <f t="array" ref="E1543">IFERROR(INDEX({"IMPEDITIVO"},MATCH(TRUE,ISNUMBER(FIND(SUBSTITUTE(SUBSTITUTE(UPPER({"IMPEDITIVO"})," ",""),":",": "),SUBSTITUTE(SUBSTITUTE(UPPER(S1543)," ",""),":",": "))),0)),"-")</f>
        <v>-</v>
      </c>
      <c r="K1543" s="49"/>
    </row>
    <row r="1544" spans="1:11" x14ac:dyDescent="0.25">
      <c r="A1544" s="46" t="str" cm="1">
        <f t="array" ref="A1544">IFERROR(INDEX(#REF!,MATCH(TRUE,ISNUMBER(FIND(SUBSTITUTE(SUBSTITUTE(UPPER(#REF!)," ",""),":",": "),SUBSTITUTE(SUBSTITUTE(UPPER(S1544)," ",""),":",": "))),0)),"Undefined")</f>
        <v>Undefined</v>
      </c>
      <c r="B1544" s="42" t="str" cm="1">
        <f t="array" ref="B1544">IFERROR(INDEX({"URGENTE"},MATCH(TRUE,ISNUMBER(FIND(SUBSTITUTE(SUBSTITUTE(UPPER({"URGENTE"})," ",""),":",": "),SUBSTITUTE(SUBSTITUTE(UPPER(S1544)," ",""),":",": "))),0)),"-")</f>
        <v>-</v>
      </c>
      <c r="C1544" s="46" t="str" cm="1">
        <f t="array" ref="C1544">IFERROR(INDEX(#REF!,MATCH(TRUE,ISNUMBER(FIND(SUBSTITUTE(SUBSTITUTE(UPPER(#REF!)," ",""),":",": "),SUBSTITUTE(SUBSTITUTE(UPPER(S1544)," ",""),":",": "))),0)),"Não encontrado")</f>
        <v>Não encontrado</v>
      </c>
      <c r="D1544" s="46" t="str" cm="1">
        <f t="array" ref="D1544">IFERROR(INDEX(#REF!,MATCH(TRUE,ISNUMBER(FIND(SUBSTITUTE(SUBSTITUTE(UPPER(#REF!)," ",""),":",": "),SUBSTITUTE(SUBSTITUTE(UPPER(S1544)," ",""),":",": "))),0)),"Não encontrado")</f>
        <v>Não encontrado</v>
      </c>
      <c r="E1544" s="42" t="str" cm="1">
        <f t="array" ref="E1544">IFERROR(INDEX({"IMPEDITIVO"},MATCH(TRUE,ISNUMBER(FIND(SUBSTITUTE(SUBSTITUTE(UPPER({"IMPEDITIVO"})," ",""),":",": "),SUBSTITUTE(SUBSTITUTE(UPPER(S1544)," ",""),":",": "))),0)),"-")</f>
        <v>-</v>
      </c>
      <c r="K1544" s="49"/>
    </row>
    <row r="1545" spans="1:11" x14ac:dyDescent="0.25">
      <c r="A1545" s="46" t="str" cm="1">
        <f t="array" ref="A1545">IFERROR(INDEX(#REF!,MATCH(TRUE,ISNUMBER(FIND(SUBSTITUTE(SUBSTITUTE(UPPER(#REF!)," ",""),":",": "),SUBSTITUTE(SUBSTITUTE(UPPER(S1545)," ",""),":",": "))),0)),"Undefined")</f>
        <v>Undefined</v>
      </c>
      <c r="B1545" s="42" t="str" cm="1">
        <f t="array" ref="B1545">IFERROR(INDEX({"URGENTE"},MATCH(TRUE,ISNUMBER(FIND(SUBSTITUTE(SUBSTITUTE(UPPER({"URGENTE"})," ",""),":",": "),SUBSTITUTE(SUBSTITUTE(UPPER(S1545)," ",""),":",": "))),0)),"-")</f>
        <v>-</v>
      </c>
      <c r="C1545" s="46" t="str" cm="1">
        <f t="array" ref="C1545">IFERROR(INDEX(#REF!,MATCH(TRUE,ISNUMBER(FIND(SUBSTITUTE(SUBSTITUTE(UPPER(#REF!)," ",""),":",": "),SUBSTITUTE(SUBSTITUTE(UPPER(S1545)," ",""),":",": "))),0)),"Não encontrado")</f>
        <v>Não encontrado</v>
      </c>
      <c r="D1545" s="46" t="str" cm="1">
        <f t="array" ref="D1545">IFERROR(INDEX(#REF!,MATCH(TRUE,ISNUMBER(FIND(SUBSTITUTE(SUBSTITUTE(UPPER(#REF!)," ",""),":",": "),SUBSTITUTE(SUBSTITUTE(UPPER(S1545)," ",""),":",": "))),0)),"Não encontrado")</f>
        <v>Não encontrado</v>
      </c>
      <c r="E1545" s="42" t="str" cm="1">
        <f t="array" ref="E1545">IFERROR(INDEX({"IMPEDITIVO"},MATCH(TRUE,ISNUMBER(FIND(SUBSTITUTE(SUBSTITUTE(UPPER({"IMPEDITIVO"})," ",""),":",": "),SUBSTITUTE(SUBSTITUTE(UPPER(S1545)," ",""),":",": "))),0)),"-")</f>
        <v>-</v>
      </c>
      <c r="K1545" s="49"/>
    </row>
    <row r="1546" spans="1:11" x14ac:dyDescent="0.25">
      <c r="A1546" s="46" t="str" cm="1">
        <f t="array" ref="A1546">IFERROR(INDEX(#REF!,MATCH(TRUE,ISNUMBER(FIND(SUBSTITUTE(SUBSTITUTE(UPPER(#REF!)," ",""),":",": "),SUBSTITUTE(SUBSTITUTE(UPPER(S1546)," ",""),":",": "))),0)),"Undefined")</f>
        <v>Undefined</v>
      </c>
      <c r="B1546" s="42" t="str" cm="1">
        <f t="array" ref="B1546">IFERROR(INDEX({"URGENTE"},MATCH(TRUE,ISNUMBER(FIND(SUBSTITUTE(SUBSTITUTE(UPPER({"URGENTE"})," ",""),":",": "),SUBSTITUTE(SUBSTITUTE(UPPER(S1546)," ",""),":",": "))),0)),"-")</f>
        <v>-</v>
      </c>
      <c r="C1546" s="46" t="str" cm="1">
        <f t="array" ref="C1546">IFERROR(INDEX(#REF!,MATCH(TRUE,ISNUMBER(FIND(SUBSTITUTE(SUBSTITUTE(UPPER(#REF!)," ",""),":",": "),SUBSTITUTE(SUBSTITUTE(UPPER(S1546)," ",""),":",": "))),0)),"Não encontrado")</f>
        <v>Não encontrado</v>
      </c>
      <c r="D1546" s="46" t="str" cm="1">
        <f t="array" ref="D1546">IFERROR(INDEX(#REF!,MATCH(TRUE,ISNUMBER(FIND(SUBSTITUTE(SUBSTITUTE(UPPER(#REF!)," ",""),":",": "),SUBSTITUTE(SUBSTITUTE(UPPER(S1546)," ",""),":",": "))),0)),"Não encontrado")</f>
        <v>Não encontrado</v>
      </c>
      <c r="E1546" s="42" t="str" cm="1">
        <f t="array" ref="E1546">IFERROR(INDEX({"IMPEDITIVO"},MATCH(TRUE,ISNUMBER(FIND(SUBSTITUTE(SUBSTITUTE(UPPER({"IMPEDITIVO"})," ",""),":",": "),SUBSTITUTE(SUBSTITUTE(UPPER(S1546)," ",""),":",": "))),0)),"-")</f>
        <v>-</v>
      </c>
      <c r="K1546" s="49"/>
    </row>
    <row r="1547" spans="1:11" x14ac:dyDescent="0.25">
      <c r="A1547" s="46" t="str" cm="1">
        <f t="array" ref="A1547">IFERROR(INDEX(#REF!,MATCH(TRUE,ISNUMBER(FIND(SUBSTITUTE(SUBSTITUTE(UPPER(#REF!)," ",""),":",": "),SUBSTITUTE(SUBSTITUTE(UPPER(S1547)," ",""),":",": "))),0)),"Undefined")</f>
        <v>Undefined</v>
      </c>
      <c r="B1547" s="42" t="str" cm="1">
        <f t="array" ref="B1547">IFERROR(INDEX({"URGENTE"},MATCH(TRUE,ISNUMBER(FIND(SUBSTITUTE(SUBSTITUTE(UPPER({"URGENTE"})," ",""),":",": "),SUBSTITUTE(SUBSTITUTE(UPPER(S1547)," ",""),":",": "))),0)),"-")</f>
        <v>-</v>
      </c>
      <c r="C1547" s="46" t="str" cm="1">
        <f t="array" ref="C1547">IFERROR(INDEX(#REF!,MATCH(TRUE,ISNUMBER(FIND(SUBSTITUTE(SUBSTITUTE(UPPER(#REF!)," ",""),":",": "),SUBSTITUTE(SUBSTITUTE(UPPER(S1547)," ",""),":",": "))),0)),"Não encontrado")</f>
        <v>Não encontrado</v>
      </c>
      <c r="D1547" s="46" t="str" cm="1">
        <f t="array" ref="D1547">IFERROR(INDEX(#REF!,MATCH(TRUE,ISNUMBER(FIND(SUBSTITUTE(SUBSTITUTE(UPPER(#REF!)," ",""),":",": "),SUBSTITUTE(SUBSTITUTE(UPPER(S1547)," ",""),":",": "))),0)),"Não encontrado")</f>
        <v>Não encontrado</v>
      </c>
      <c r="E1547" s="42" t="str" cm="1">
        <f t="array" ref="E1547">IFERROR(INDEX({"IMPEDITIVO"},MATCH(TRUE,ISNUMBER(FIND(SUBSTITUTE(SUBSTITUTE(UPPER({"IMPEDITIVO"})," ",""),":",": "),SUBSTITUTE(SUBSTITUTE(UPPER(S1547)," ",""),":",": "))),0)),"-")</f>
        <v>-</v>
      </c>
      <c r="K1547" s="49"/>
    </row>
    <row r="1548" spans="1:11" x14ac:dyDescent="0.25">
      <c r="A1548" s="46" t="str" cm="1">
        <f t="array" ref="A1548">IFERROR(INDEX(#REF!,MATCH(TRUE,ISNUMBER(FIND(SUBSTITUTE(SUBSTITUTE(UPPER(#REF!)," ",""),":",": "),SUBSTITUTE(SUBSTITUTE(UPPER(S1548)," ",""),":",": "))),0)),"Undefined")</f>
        <v>Undefined</v>
      </c>
      <c r="B1548" s="42" t="str" cm="1">
        <f t="array" ref="B1548">IFERROR(INDEX({"URGENTE"},MATCH(TRUE,ISNUMBER(FIND(SUBSTITUTE(SUBSTITUTE(UPPER({"URGENTE"})," ",""),":",": "),SUBSTITUTE(SUBSTITUTE(UPPER(S1548)," ",""),":",": "))),0)),"-")</f>
        <v>-</v>
      </c>
      <c r="C1548" s="46" t="str" cm="1">
        <f t="array" ref="C1548">IFERROR(INDEX(#REF!,MATCH(TRUE,ISNUMBER(FIND(SUBSTITUTE(SUBSTITUTE(UPPER(#REF!)," ",""),":",": "),SUBSTITUTE(SUBSTITUTE(UPPER(S1548)," ",""),":",": "))),0)),"Não encontrado")</f>
        <v>Não encontrado</v>
      </c>
      <c r="D1548" s="46" t="str" cm="1">
        <f t="array" ref="D1548">IFERROR(INDEX(#REF!,MATCH(TRUE,ISNUMBER(FIND(SUBSTITUTE(SUBSTITUTE(UPPER(#REF!)," ",""),":",": "),SUBSTITUTE(SUBSTITUTE(UPPER(S1548)," ",""),":",": "))),0)),"Não encontrado")</f>
        <v>Não encontrado</v>
      </c>
      <c r="E1548" s="42" t="str" cm="1">
        <f t="array" ref="E1548">IFERROR(INDEX({"IMPEDITIVO"},MATCH(TRUE,ISNUMBER(FIND(SUBSTITUTE(SUBSTITUTE(UPPER({"IMPEDITIVO"})," ",""),":",": "),SUBSTITUTE(SUBSTITUTE(UPPER(S1548)," ",""),":",": "))),0)),"-")</f>
        <v>-</v>
      </c>
      <c r="K1548" s="49"/>
    </row>
    <row r="1549" spans="1:11" x14ac:dyDescent="0.25">
      <c r="A1549" s="46" t="str" cm="1">
        <f t="array" ref="A1549">IFERROR(INDEX(#REF!,MATCH(TRUE,ISNUMBER(FIND(SUBSTITUTE(SUBSTITUTE(UPPER(#REF!)," ",""),":",": "),SUBSTITUTE(SUBSTITUTE(UPPER(S1549)," ",""),":",": "))),0)),"Undefined")</f>
        <v>Undefined</v>
      </c>
      <c r="B1549" s="42" t="str" cm="1">
        <f t="array" ref="B1549">IFERROR(INDEX({"URGENTE"},MATCH(TRUE,ISNUMBER(FIND(SUBSTITUTE(SUBSTITUTE(UPPER({"URGENTE"})," ",""),":",": "),SUBSTITUTE(SUBSTITUTE(UPPER(S1549)," ",""),":",": "))),0)),"-")</f>
        <v>-</v>
      </c>
      <c r="C1549" s="46" t="str" cm="1">
        <f t="array" ref="C1549">IFERROR(INDEX(#REF!,MATCH(TRUE,ISNUMBER(FIND(SUBSTITUTE(SUBSTITUTE(UPPER(#REF!)," ",""),":",": "),SUBSTITUTE(SUBSTITUTE(UPPER(S1549)," ",""),":",": "))),0)),"Não encontrado")</f>
        <v>Não encontrado</v>
      </c>
      <c r="D1549" s="46" t="str" cm="1">
        <f t="array" ref="D1549">IFERROR(INDEX(#REF!,MATCH(TRUE,ISNUMBER(FIND(SUBSTITUTE(SUBSTITUTE(UPPER(#REF!)," ",""),":",": "),SUBSTITUTE(SUBSTITUTE(UPPER(S1549)," ",""),":",": "))),0)),"Não encontrado")</f>
        <v>Não encontrado</v>
      </c>
      <c r="E1549" s="42" t="str" cm="1">
        <f t="array" ref="E1549">IFERROR(INDEX({"IMPEDITIVO"},MATCH(TRUE,ISNUMBER(FIND(SUBSTITUTE(SUBSTITUTE(UPPER({"IMPEDITIVO"})," ",""),":",": "),SUBSTITUTE(SUBSTITUTE(UPPER(S1549)," ",""),":",": "))),0)),"-")</f>
        <v>-</v>
      </c>
      <c r="K1549" s="49"/>
    </row>
    <row r="1550" spans="1:11" x14ac:dyDescent="0.25">
      <c r="A1550" s="46" t="str" cm="1">
        <f t="array" ref="A1550">IFERROR(INDEX(#REF!,MATCH(TRUE,ISNUMBER(FIND(SUBSTITUTE(SUBSTITUTE(UPPER(#REF!)," ",""),":",": "),SUBSTITUTE(SUBSTITUTE(UPPER(S1550)," ",""),":",": "))),0)),"Undefined")</f>
        <v>Undefined</v>
      </c>
      <c r="B1550" s="42" t="str" cm="1">
        <f t="array" ref="B1550">IFERROR(INDEX({"URGENTE"},MATCH(TRUE,ISNUMBER(FIND(SUBSTITUTE(SUBSTITUTE(UPPER({"URGENTE"})," ",""),":",": "),SUBSTITUTE(SUBSTITUTE(UPPER(S1550)," ",""),":",": "))),0)),"-")</f>
        <v>-</v>
      </c>
      <c r="C1550" s="46" t="str" cm="1">
        <f t="array" ref="C1550">IFERROR(INDEX(#REF!,MATCH(TRUE,ISNUMBER(FIND(SUBSTITUTE(SUBSTITUTE(UPPER(#REF!)," ",""),":",": "),SUBSTITUTE(SUBSTITUTE(UPPER(S1550)," ",""),":",": "))),0)),"Não encontrado")</f>
        <v>Não encontrado</v>
      </c>
      <c r="D1550" s="46" t="str" cm="1">
        <f t="array" ref="D1550">IFERROR(INDEX(#REF!,MATCH(TRUE,ISNUMBER(FIND(SUBSTITUTE(SUBSTITUTE(UPPER(#REF!)," ",""),":",": "),SUBSTITUTE(SUBSTITUTE(UPPER(S1550)," ",""),":",": "))),0)),"Não encontrado")</f>
        <v>Não encontrado</v>
      </c>
      <c r="E1550" s="42" t="str" cm="1">
        <f t="array" ref="E1550">IFERROR(INDEX({"IMPEDITIVO"},MATCH(TRUE,ISNUMBER(FIND(SUBSTITUTE(SUBSTITUTE(UPPER({"IMPEDITIVO"})," ",""),":",": "),SUBSTITUTE(SUBSTITUTE(UPPER(S1550)," ",""),":",": "))),0)),"-")</f>
        <v>-</v>
      </c>
      <c r="K1550" s="49"/>
    </row>
    <row r="1551" spans="1:11" x14ac:dyDescent="0.25">
      <c r="A1551" s="46" t="str" cm="1">
        <f t="array" ref="A1551">IFERROR(INDEX(#REF!,MATCH(TRUE,ISNUMBER(FIND(SUBSTITUTE(SUBSTITUTE(UPPER(#REF!)," ",""),":",": "),SUBSTITUTE(SUBSTITUTE(UPPER(S1551)," ",""),":",": "))),0)),"Undefined")</f>
        <v>Undefined</v>
      </c>
      <c r="B1551" s="42" t="str" cm="1">
        <f t="array" ref="B1551">IFERROR(INDEX({"URGENTE"},MATCH(TRUE,ISNUMBER(FIND(SUBSTITUTE(SUBSTITUTE(UPPER({"URGENTE"})," ",""),":",": "),SUBSTITUTE(SUBSTITUTE(UPPER(S1551)," ",""),":",": "))),0)),"-")</f>
        <v>-</v>
      </c>
      <c r="C1551" s="46" t="str" cm="1">
        <f t="array" ref="C1551">IFERROR(INDEX(#REF!,MATCH(TRUE,ISNUMBER(FIND(SUBSTITUTE(SUBSTITUTE(UPPER(#REF!)," ",""),":",": "),SUBSTITUTE(SUBSTITUTE(UPPER(S1551)," ",""),":",": "))),0)),"Não encontrado")</f>
        <v>Não encontrado</v>
      </c>
      <c r="D1551" s="46" t="str" cm="1">
        <f t="array" ref="D1551">IFERROR(INDEX(#REF!,MATCH(TRUE,ISNUMBER(FIND(SUBSTITUTE(SUBSTITUTE(UPPER(#REF!)," ",""),":",": "),SUBSTITUTE(SUBSTITUTE(UPPER(S1551)," ",""),":",": "))),0)),"Não encontrado")</f>
        <v>Não encontrado</v>
      </c>
      <c r="E1551" s="42" t="str" cm="1">
        <f t="array" ref="E1551">IFERROR(INDEX({"IMPEDITIVO"},MATCH(TRUE,ISNUMBER(FIND(SUBSTITUTE(SUBSTITUTE(UPPER({"IMPEDITIVO"})," ",""),":",": "),SUBSTITUTE(SUBSTITUTE(UPPER(S1551)," ",""),":",": "))),0)),"-")</f>
        <v>-</v>
      </c>
      <c r="K1551" s="49"/>
    </row>
    <row r="1552" spans="1:11" x14ac:dyDescent="0.25">
      <c r="A1552" s="46" t="str" cm="1">
        <f t="array" ref="A1552">IFERROR(INDEX(#REF!,MATCH(TRUE,ISNUMBER(FIND(SUBSTITUTE(SUBSTITUTE(UPPER(#REF!)," ",""),":",": "),SUBSTITUTE(SUBSTITUTE(UPPER(S1552)," ",""),":",": "))),0)),"Undefined")</f>
        <v>Undefined</v>
      </c>
      <c r="B1552" s="42" t="str" cm="1">
        <f t="array" ref="B1552">IFERROR(INDEX({"URGENTE"},MATCH(TRUE,ISNUMBER(FIND(SUBSTITUTE(SUBSTITUTE(UPPER({"URGENTE"})," ",""),":",": "),SUBSTITUTE(SUBSTITUTE(UPPER(S1552)," ",""),":",": "))),0)),"-")</f>
        <v>-</v>
      </c>
      <c r="C1552" s="46" t="str" cm="1">
        <f t="array" ref="C1552">IFERROR(INDEX(#REF!,MATCH(TRUE,ISNUMBER(FIND(SUBSTITUTE(SUBSTITUTE(UPPER(#REF!)," ",""),":",": "),SUBSTITUTE(SUBSTITUTE(UPPER(S1552)," ",""),":",": "))),0)),"Não encontrado")</f>
        <v>Não encontrado</v>
      </c>
      <c r="D1552" s="46" t="str" cm="1">
        <f t="array" ref="D1552">IFERROR(INDEX(#REF!,MATCH(TRUE,ISNUMBER(FIND(SUBSTITUTE(SUBSTITUTE(UPPER(#REF!)," ",""),":",": "),SUBSTITUTE(SUBSTITUTE(UPPER(S1552)," ",""),":",": "))),0)),"Não encontrado")</f>
        <v>Não encontrado</v>
      </c>
      <c r="E1552" s="42" t="str" cm="1">
        <f t="array" ref="E1552">IFERROR(INDEX({"IMPEDITIVO"},MATCH(TRUE,ISNUMBER(FIND(SUBSTITUTE(SUBSTITUTE(UPPER({"IMPEDITIVO"})," ",""),":",": "),SUBSTITUTE(SUBSTITUTE(UPPER(S1552)," ",""),":",": "))),0)),"-")</f>
        <v>-</v>
      </c>
      <c r="K1552" s="49"/>
    </row>
    <row r="1553" spans="1:11" x14ac:dyDescent="0.25">
      <c r="A1553" s="46" t="str" cm="1">
        <f t="array" ref="A1553">IFERROR(INDEX(#REF!,MATCH(TRUE,ISNUMBER(FIND(SUBSTITUTE(SUBSTITUTE(UPPER(#REF!)," ",""),":",": "),SUBSTITUTE(SUBSTITUTE(UPPER(S1553)," ",""),":",": "))),0)),"Undefined")</f>
        <v>Undefined</v>
      </c>
      <c r="B1553" s="42" t="str" cm="1">
        <f t="array" ref="B1553">IFERROR(INDEX({"URGENTE"},MATCH(TRUE,ISNUMBER(FIND(SUBSTITUTE(SUBSTITUTE(UPPER({"URGENTE"})," ",""),":",": "),SUBSTITUTE(SUBSTITUTE(UPPER(S1553)," ",""),":",": "))),0)),"-")</f>
        <v>-</v>
      </c>
      <c r="C1553" s="46" t="str" cm="1">
        <f t="array" ref="C1553">IFERROR(INDEX(#REF!,MATCH(TRUE,ISNUMBER(FIND(SUBSTITUTE(SUBSTITUTE(UPPER(#REF!)," ",""),":",": "),SUBSTITUTE(SUBSTITUTE(UPPER(S1553)," ",""),":",": "))),0)),"Não encontrado")</f>
        <v>Não encontrado</v>
      </c>
      <c r="D1553" s="46" t="str" cm="1">
        <f t="array" ref="D1553">IFERROR(INDEX(#REF!,MATCH(TRUE,ISNUMBER(FIND(SUBSTITUTE(SUBSTITUTE(UPPER(#REF!)," ",""),":",": "),SUBSTITUTE(SUBSTITUTE(UPPER(S1553)," ",""),":",": "))),0)),"Não encontrado")</f>
        <v>Não encontrado</v>
      </c>
      <c r="E1553" s="42" t="str" cm="1">
        <f t="array" ref="E1553">IFERROR(INDEX({"IMPEDITIVO"},MATCH(TRUE,ISNUMBER(FIND(SUBSTITUTE(SUBSTITUTE(UPPER({"IMPEDITIVO"})," ",""),":",": "),SUBSTITUTE(SUBSTITUTE(UPPER(S1553)," ",""),":",": "))),0)),"-")</f>
        <v>-</v>
      </c>
      <c r="K1553" s="49"/>
    </row>
    <row r="1554" spans="1:11" x14ac:dyDescent="0.25">
      <c r="A1554" s="46" t="str" cm="1">
        <f t="array" ref="A1554">IFERROR(INDEX(#REF!,MATCH(TRUE,ISNUMBER(FIND(SUBSTITUTE(SUBSTITUTE(UPPER(#REF!)," ",""),":",": "),SUBSTITUTE(SUBSTITUTE(UPPER(S1554)," ",""),":",": "))),0)),"Undefined")</f>
        <v>Undefined</v>
      </c>
      <c r="B1554" s="42" t="str" cm="1">
        <f t="array" ref="B1554">IFERROR(INDEX({"URGENTE"},MATCH(TRUE,ISNUMBER(FIND(SUBSTITUTE(SUBSTITUTE(UPPER({"URGENTE"})," ",""),":",": "),SUBSTITUTE(SUBSTITUTE(UPPER(S1554)," ",""),":",": "))),0)),"-")</f>
        <v>-</v>
      </c>
      <c r="C1554" s="46" t="str" cm="1">
        <f t="array" ref="C1554">IFERROR(INDEX(#REF!,MATCH(TRUE,ISNUMBER(FIND(SUBSTITUTE(SUBSTITUTE(UPPER(#REF!)," ",""),":",": "),SUBSTITUTE(SUBSTITUTE(UPPER(S1554)," ",""),":",": "))),0)),"Não encontrado")</f>
        <v>Não encontrado</v>
      </c>
      <c r="D1554" s="46" t="str" cm="1">
        <f t="array" ref="D1554">IFERROR(INDEX(#REF!,MATCH(TRUE,ISNUMBER(FIND(SUBSTITUTE(SUBSTITUTE(UPPER(#REF!)," ",""),":",": "),SUBSTITUTE(SUBSTITUTE(UPPER(S1554)," ",""),":",": "))),0)),"Não encontrado")</f>
        <v>Não encontrado</v>
      </c>
      <c r="E1554" s="42" t="str" cm="1">
        <f t="array" ref="E1554">IFERROR(INDEX({"IMPEDITIVO"},MATCH(TRUE,ISNUMBER(FIND(SUBSTITUTE(SUBSTITUTE(UPPER({"IMPEDITIVO"})," ",""),":",": "),SUBSTITUTE(SUBSTITUTE(UPPER(S1554)," ",""),":",": "))),0)),"-")</f>
        <v>-</v>
      </c>
      <c r="K1554" s="49"/>
    </row>
    <row r="1555" spans="1:11" x14ac:dyDescent="0.25">
      <c r="A1555" s="46" t="str" cm="1">
        <f t="array" ref="A1555">IFERROR(INDEX(#REF!,MATCH(TRUE,ISNUMBER(FIND(SUBSTITUTE(SUBSTITUTE(UPPER(#REF!)," ",""),":",": "),SUBSTITUTE(SUBSTITUTE(UPPER(S1555)," ",""),":",": "))),0)),"Undefined")</f>
        <v>Undefined</v>
      </c>
      <c r="B1555" s="42" t="str" cm="1">
        <f t="array" ref="B1555">IFERROR(INDEX({"URGENTE"},MATCH(TRUE,ISNUMBER(FIND(SUBSTITUTE(SUBSTITUTE(UPPER({"URGENTE"})," ",""),":",": "),SUBSTITUTE(SUBSTITUTE(UPPER(S1555)," ",""),":",": "))),0)),"-")</f>
        <v>-</v>
      </c>
      <c r="C1555" s="46" t="str" cm="1">
        <f t="array" ref="C1555">IFERROR(INDEX(#REF!,MATCH(TRUE,ISNUMBER(FIND(SUBSTITUTE(SUBSTITUTE(UPPER(#REF!)," ",""),":",": "),SUBSTITUTE(SUBSTITUTE(UPPER(S1555)," ",""),":",": "))),0)),"Não encontrado")</f>
        <v>Não encontrado</v>
      </c>
      <c r="D1555" s="46" t="str" cm="1">
        <f t="array" ref="D1555">IFERROR(INDEX(#REF!,MATCH(TRUE,ISNUMBER(FIND(SUBSTITUTE(SUBSTITUTE(UPPER(#REF!)," ",""),":",": "),SUBSTITUTE(SUBSTITUTE(UPPER(S1555)," ",""),":",": "))),0)),"Não encontrado")</f>
        <v>Não encontrado</v>
      </c>
      <c r="E1555" s="42" t="str" cm="1">
        <f t="array" ref="E1555">IFERROR(INDEX({"IMPEDITIVO"},MATCH(TRUE,ISNUMBER(FIND(SUBSTITUTE(SUBSTITUTE(UPPER({"IMPEDITIVO"})," ",""),":",": "),SUBSTITUTE(SUBSTITUTE(UPPER(S1555)," ",""),":",": "))),0)),"-")</f>
        <v>-</v>
      </c>
      <c r="K1555" s="49"/>
    </row>
    <row r="1556" spans="1:11" x14ac:dyDescent="0.25">
      <c r="A1556" s="46" t="str" cm="1">
        <f t="array" ref="A1556">IFERROR(INDEX(#REF!,MATCH(TRUE,ISNUMBER(FIND(SUBSTITUTE(SUBSTITUTE(UPPER(#REF!)," ",""),":",": "),SUBSTITUTE(SUBSTITUTE(UPPER(S1556)," ",""),":",": "))),0)),"Undefined")</f>
        <v>Undefined</v>
      </c>
      <c r="B1556" s="42" t="str" cm="1">
        <f t="array" ref="B1556">IFERROR(INDEX({"URGENTE"},MATCH(TRUE,ISNUMBER(FIND(SUBSTITUTE(SUBSTITUTE(UPPER({"URGENTE"})," ",""),":",": "),SUBSTITUTE(SUBSTITUTE(UPPER(S1556)," ",""),":",": "))),0)),"-")</f>
        <v>-</v>
      </c>
      <c r="C1556" s="46" t="str" cm="1">
        <f t="array" ref="C1556">IFERROR(INDEX(#REF!,MATCH(TRUE,ISNUMBER(FIND(SUBSTITUTE(SUBSTITUTE(UPPER(#REF!)," ",""),":",": "),SUBSTITUTE(SUBSTITUTE(UPPER(S1556)," ",""),":",": "))),0)),"Não encontrado")</f>
        <v>Não encontrado</v>
      </c>
      <c r="D1556" s="46" t="str" cm="1">
        <f t="array" ref="D1556">IFERROR(INDEX(#REF!,MATCH(TRUE,ISNUMBER(FIND(SUBSTITUTE(SUBSTITUTE(UPPER(#REF!)," ",""),":",": "),SUBSTITUTE(SUBSTITUTE(UPPER(S1556)," ",""),":",": "))),0)),"Não encontrado")</f>
        <v>Não encontrado</v>
      </c>
      <c r="E1556" s="42" t="str" cm="1">
        <f t="array" ref="E1556">IFERROR(INDEX({"IMPEDITIVO"},MATCH(TRUE,ISNUMBER(FIND(SUBSTITUTE(SUBSTITUTE(UPPER({"IMPEDITIVO"})," ",""),":",": "),SUBSTITUTE(SUBSTITUTE(UPPER(S1556)," ",""),":",": "))),0)),"-")</f>
        <v>-</v>
      </c>
      <c r="K1556" s="49"/>
    </row>
    <row r="1557" spans="1:11" x14ac:dyDescent="0.25">
      <c r="A1557" s="46" t="str" cm="1">
        <f t="array" ref="A1557">IFERROR(INDEX(#REF!,MATCH(TRUE,ISNUMBER(FIND(SUBSTITUTE(SUBSTITUTE(UPPER(#REF!)," ",""),":",": "),SUBSTITUTE(SUBSTITUTE(UPPER(S1557)," ",""),":",": "))),0)),"Undefined")</f>
        <v>Undefined</v>
      </c>
      <c r="B1557" s="42" t="str" cm="1">
        <f t="array" ref="B1557">IFERROR(INDEX({"URGENTE"},MATCH(TRUE,ISNUMBER(FIND(SUBSTITUTE(SUBSTITUTE(UPPER({"URGENTE"})," ",""),":",": "),SUBSTITUTE(SUBSTITUTE(UPPER(S1557)," ",""),":",": "))),0)),"-")</f>
        <v>-</v>
      </c>
      <c r="C1557" s="46" t="str" cm="1">
        <f t="array" ref="C1557">IFERROR(INDEX(#REF!,MATCH(TRUE,ISNUMBER(FIND(SUBSTITUTE(SUBSTITUTE(UPPER(#REF!)," ",""),":",": "),SUBSTITUTE(SUBSTITUTE(UPPER(S1557)," ",""),":",": "))),0)),"Não encontrado")</f>
        <v>Não encontrado</v>
      </c>
      <c r="D1557" s="46" t="str" cm="1">
        <f t="array" ref="D1557">IFERROR(INDEX(#REF!,MATCH(TRUE,ISNUMBER(FIND(SUBSTITUTE(SUBSTITUTE(UPPER(#REF!)," ",""),":",": "),SUBSTITUTE(SUBSTITUTE(UPPER(S1557)," ",""),":",": "))),0)),"Não encontrado")</f>
        <v>Não encontrado</v>
      </c>
      <c r="E1557" s="42" t="str" cm="1">
        <f t="array" ref="E1557">IFERROR(INDEX({"IMPEDITIVO"},MATCH(TRUE,ISNUMBER(FIND(SUBSTITUTE(SUBSTITUTE(UPPER({"IMPEDITIVO"})," ",""),":",": "),SUBSTITUTE(SUBSTITUTE(UPPER(S1557)," ",""),":",": "))),0)),"-")</f>
        <v>-</v>
      </c>
      <c r="K1557" s="49"/>
    </row>
    <row r="1558" spans="1:11" x14ac:dyDescent="0.25">
      <c r="A1558" s="46" t="str" cm="1">
        <f t="array" ref="A1558">IFERROR(INDEX(#REF!,MATCH(TRUE,ISNUMBER(FIND(SUBSTITUTE(SUBSTITUTE(UPPER(#REF!)," ",""),":",": "),SUBSTITUTE(SUBSTITUTE(UPPER(S1558)," ",""),":",": "))),0)),"Undefined")</f>
        <v>Undefined</v>
      </c>
      <c r="B1558" s="42" t="str" cm="1">
        <f t="array" ref="B1558">IFERROR(INDEX({"URGENTE"},MATCH(TRUE,ISNUMBER(FIND(SUBSTITUTE(SUBSTITUTE(UPPER({"URGENTE"})," ",""),":",": "),SUBSTITUTE(SUBSTITUTE(UPPER(S1558)," ",""),":",": "))),0)),"-")</f>
        <v>-</v>
      </c>
      <c r="C1558" s="46" t="str" cm="1">
        <f t="array" ref="C1558">IFERROR(INDEX(#REF!,MATCH(TRUE,ISNUMBER(FIND(SUBSTITUTE(SUBSTITUTE(UPPER(#REF!)," ",""),":",": "),SUBSTITUTE(SUBSTITUTE(UPPER(S1558)," ",""),":",": "))),0)),"Não encontrado")</f>
        <v>Não encontrado</v>
      </c>
      <c r="D1558" s="46" t="str" cm="1">
        <f t="array" ref="D1558">IFERROR(INDEX(#REF!,MATCH(TRUE,ISNUMBER(FIND(SUBSTITUTE(SUBSTITUTE(UPPER(#REF!)," ",""),":",": "),SUBSTITUTE(SUBSTITUTE(UPPER(S1558)," ",""),":",": "))),0)),"Não encontrado")</f>
        <v>Não encontrado</v>
      </c>
      <c r="E1558" s="42" t="str" cm="1">
        <f t="array" ref="E1558">IFERROR(INDEX({"IMPEDITIVO"},MATCH(TRUE,ISNUMBER(FIND(SUBSTITUTE(SUBSTITUTE(UPPER({"IMPEDITIVO"})," ",""),":",": "),SUBSTITUTE(SUBSTITUTE(UPPER(S1558)," ",""),":",": "))),0)),"-")</f>
        <v>-</v>
      </c>
      <c r="K1558" s="49"/>
    </row>
    <row r="1559" spans="1:11" x14ac:dyDescent="0.25">
      <c r="A1559" s="46" t="str" cm="1">
        <f t="array" ref="A1559">IFERROR(INDEX(#REF!,MATCH(TRUE,ISNUMBER(FIND(SUBSTITUTE(SUBSTITUTE(UPPER(#REF!)," ",""),":",": "),SUBSTITUTE(SUBSTITUTE(UPPER(S1559)," ",""),":",": "))),0)),"Undefined")</f>
        <v>Undefined</v>
      </c>
      <c r="B1559" s="42" t="str" cm="1">
        <f t="array" ref="B1559">IFERROR(INDEX({"URGENTE"},MATCH(TRUE,ISNUMBER(FIND(SUBSTITUTE(SUBSTITUTE(UPPER({"URGENTE"})," ",""),":",": "),SUBSTITUTE(SUBSTITUTE(UPPER(S1559)," ",""),":",": "))),0)),"-")</f>
        <v>-</v>
      </c>
      <c r="C1559" s="46" t="str" cm="1">
        <f t="array" ref="C1559">IFERROR(INDEX(#REF!,MATCH(TRUE,ISNUMBER(FIND(SUBSTITUTE(SUBSTITUTE(UPPER(#REF!)," ",""),":",": "),SUBSTITUTE(SUBSTITUTE(UPPER(S1559)," ",""),":",": "))),0)),"Não encontrado")</f>
        <v>Não encontrado</v>
      </c>
      <c r="D1559" s="46" t="str" cm="1">
        <f t="array" ref="D1559">IFERROR(INDEX(#REF!,MATCH(TRUE,ISNUMBER(FIND(SUBSTITUTE(SUBSTITUTE(UPPER(#REF!)," ",""),":",": "),SUBSTITUTE(SUBSTITUTE(UPPER(S1559)," ",""),":",": "))),0)),"Não encontrado")</f>
        <v>Não encontrado</v>
      </c>
      <c r="E1559" s="42" t="str" cm="1">
        <f t="array" ref="E1559">IFERROR(INDEX({"IMPEDITIVO"},MATCH(TRUE,ISNUMBER(FIND(SUBSTITUTE(SUBSTITUTE(UPPER({"IMPEDITIVO"})," ",""),":",": "),SUBSTITUTE(SUBSTITUTE(UPPER(S1559)," ",""),":",": "))),0)),"-")</f>
        <v>-</v>
      </c>
      <c r="K1559" s="49"/>
    </row>
    <row r="1560" spans="1:11" x14ac:dyDescent="0.25">
      <c r="A1560" s="46" t="str" cm="1">
        <f t="array" ref="A1560">IFERROR(INDEX(#REF!,MATCH(TRUE,ISNUMBER(FIND(SUBSTITUTE(SUBSTITUTE(UPPER(#REF!)," ",""),":",": "),SUBSTITUTE(SUBSTITUTE(UPPER(S1560)," ",""),":",": "))),0)),"Undefined")</f>
        <v>Undefined</v>
      </c>
      <c r="B1560" s="42" t="str" cm="1">
        <f t="array" ref="B1560">IFERROR(INDEX({"URGENTE"},MATCH(TRUE,ISNUMBER(FIND(SUBSTITUTE(SUBSTITUTE(UPPER({"URGENTE"})," ",""),":",": "),SUBSTITUTE(SUBSTITUTE(UPPER(S1560)," ",""),":",": "))),0)),"-")</f>
        <v>-</v>
      </c>
      <c r="C1560" s="46" t="str" cm="1">
        <f t="array" ref="C1560">IFERROR(INDEX(#REF!,MATCH(TRUE,ISNUMBER(FIND(SUBSTITUTE(SUBSTITUTE(UPPER(#REF!)," ",""),":",": "),SUBSTITUTE(SUBSTITUTE(UPPER(S1560)," ",""),":",": "))),0)),"Não encontrado")</f>
        <v>Não encontrado</v>
      </c>
      <c r="D1560" s="46" t="str" cm="1">
        <f t="array" ref="D1560">IFERROR(INDEX(#REF!,MATCH(TRUE,ISNUMBER(FIND(SUBSTITUTE(SUBSTITUTE(UPPER(#REF!)," ",""),":",": "),SUBSTITUTE(SUBSTITUTE(UPPER(S1560)," ",""),":",": "))),0)),"Não encontrado")</f>
        <v>Não encontrado</v>
      </c>
      <c r="E1560" s="42" t="str" cm="1">
        <f t="array" ref="E1560">IFERROR(INDEX({"IMPEDITIVO"},MATCH(TRUE,ISNUMBER(FIND(SUBSTITUTE(SUBSTITUTE(UPPER({"IMPEDITIVO"})," ",""),":",": "),SUBSTITUTE(SUBSTITUTE(UPPER(S1560)," ",""),":",": "))),0)),"-")</f>
        <v>-</v>
      </c>
      <c r="K1560" s="49"/>
    </row>
    <row r="1561" spans="1:11" x14ac:dyDescent="0.25">
      <c r="A1561" s="46" t="str" cm="1">
        <f t="array" ref="A1561">IFERROR(INDEX(#REF!,MATCH(TRUE,ISNUMBER(FIND(SUBSTITUTE(SUBSTITUTE(UPPER(#REF!)," ",""),":",": "),SUBSTITUTE(SUBSTITUTE(UPPER(S1561)," ",""),":",": "))),0)),"Undefined")</f>
        <v>Undefined</v>
      </c>
      <c r="B1561" s="42" t="str" cm="1">
        <f t="array" ref="B1561">IFERROR(INDEX({"URGENTE"},MATCH(TRUE,ISNUMBER(FIND(SUBSTITUTE(SUBSTITUTE(UPPER({"URGENTE"})," ",""),":",": "),SUBSTITUTE(SUBSTITUTE(UPPER(S1561)," ",""),":",": "))),0)),"-")</f>
        <v>-</v>
      </c>
      <c r="C1561" s="46" t="str" cm="1">
        <f t="array" ref="C1561">IFERROR(INDEX(#REF!,MATCH(TRUE,ISNUMBER(FIND(SUBSTITUTE(SUBSTITUTE(UPPER(#REF!)," ",""),":",": "),SUBSTITUTE(SUBSTITUTE(UPPER(S1561)," ",""),":",": "))),0)),"Não encontrado")</f>
        <v>Não encontrado</v>
      </c>
      <c r="D1561" s="46" t="str" cm="1">
        <f t="array" ref="D1561">IFERROR(INDEX(#REF!,MATCH(TRUE,ISNUMBER(FIND(SUBSTITUTE(SUBSTITUTE(UPPER(#REF!)," ",""),":",": "),SUBSTITUTE(SUBSTITUTE(UPPER(S1561)," ",""),":",": "))),0)),"Não encontrado")</f>
        <v>Não encontrado</v>
      </c>
      <c r="E1561" s="42" t="str" cm="1">
        <f t="array" ref="E1561">IFERROR(INDEX({"IMPEDITIVO"},MATCH(TRUE,ISNUMBER(FIND(SUBSTITUTE(SUBSTITUTE(UPPER({"IMPEDITIVO"})," ",""),":",": "),SUBSTITUTE(SUBSTITUTE(UPPER(S1561)," ",""),":",": "))),0)),"-")</f>
        <v>-</v>
      </c>
      <c r="K1561" s="49"/>
    </row>
    <row r="1562" spans="1:11" x14ac:dyDescent="0.25">
      <c r="A1562" s="46" t="str" cm="1">
        <f t="array" ref="A1562">IFERROR(INDEX(#REF!,MATCH(TRUE,ISNUMBER(FIND(SUBSTITUTE(SUBSTITUTE(UPPER(#REF!)," ",""),":",": "),SUBSTITUTE(SUBSTITUTE(UPPER(S1562)," ",""),":",": "))),0)),"Undefined")</f>
        <v>Undefined</v>
      </c>
      <c r="B1562" s="42" t="str" cm="1">
        <f t="array" ref="B1562">IFERROR(INDEX({"URGENTE"},MATCH(TRUE,ISNUMBER(FIND(SUBSTITUTE(SUBSTITUTE(UPPER({"URGENTE"})," ",""),":",": "),SUBSTITUTE(SUBSTITUTE(UPPER(S1562)," ",""),":",": "))),0)),"-")</f>
        <v>-</v>
      </c>
      <c r="C1562" s="46" t="str" cm="1">
        <f t="array" ref="C1562">IFERROR(INDEX(#REF!,MATCH(TRUE,ISNUMBER(FIND(SUBSTITUTE(SUBSTITUTE(UPPER(#REF!)," ",""),":",": "),SUBSTITUTE(SUBSTITUTE(UPPER(S1562)," ",""),":",": "))),0)),"Não encontrado")</f>
        <v>Não encontrado</v>
      </c>
      <c r="D1562" s="46" t="str" cm="1">
        <f t="array" ref="D1562">IFERROR(INDEX(#REF!,MATCH(TRUE,ISNUMBER(FIND(SUBSTITUTE(SUBSTITUTE(UPPER(#REF!)," ",""),":",": "),SUBSTITUTE(SUBSTITUTE(UPPER(S1562)," ",""),":",": "))),0)),"Não encontrado")</f>
        <v>Não encontrado</v>
      </c>
      <c r="E1562" s="42" t="str" cm="1">
        <f t="array" ref="E1562">IFERROR(INDEX({"IMPEDITIVO"},MATCH(TRUE,ISNUMBER(FIND(SUBSTITUTE(SUBSTITUTE(UPPER({"IMPEDITIVO"})," ",""),":",": "),SUBSTITUTE(SUBSTITUTE(UPPER(S1562)," ",""),":",": "))),0)),"-")</f>
        <v>-</v>
      </c>
      <c r="K1562" s="49"/>
    </row>
    <row r="1563" spans="1:11" x14ac:dyDescent="0.25">
      <c r="A1563" s="46" t="str" cm="1">
        <f t="array" ref="A1563">IFERROR(INDEX(#REF!,MATCH(TRUE,ISNUMBER(FIND(SUBSTITUTE(SUBSTITUTE(UPPER(#REF!)," ",""),":",": "),SUBSTITUTE(SUBSTITUTE(UPPER(S1563)," ",""),":",": "))),0)),"Undefined")</f>
        <v>Undefined</v>
      </c>
      <c r="B1563" s="42" t="str" cm="1">
        <f t="array" ref="B1563">IFERROR(INDEX({"URGENTE"},MATCH(TRUE,ISNUMBER(FIND(SUBSTITUTE(SUBSTITUTE(UPPER({"URGENTE"})," ",""),":",": "),SUBSTITUTE(SUBSTITUTE(UPPER(S1563)," ",""),":",": "))),0)),"-")</f>
        <v>-</v>
      </c>
      <c r="C1563" s="46" t="str" cm="1">
        <f t="array" ref="C1563">IFERROR(INDEX(#REF!,MATCH(TRUE,ISNUMBER(FIND(SUBSTITUTE(SUBSTITUTE(UPPER(#REF!)," ",""),":",": "),SUBSTITUTE(SUBSTITUTE(UPPER(S1563)," ",""),":",": "))),0)),"Não encontrado")</f>
        <v>Não encontrado</v>
      </c>
      <c r="D1563" s="46" t="str" cm="1">
        <f t="array" ref="D1563">IFERROR(INDEX(#REF!,MATCH(TRUE,ISNUMBER(FIND(SUBSTITUTE(SUBSTITUTE(UPPER(#REF!)," ",""),":",": "),SUBSTITUTE(SUBSTITUTE(UPPER(S1563)," ",""),":",": "))),0)),"Não encontrado")</f>
        <v>Não encontrado</v>
      </c>
      <c r="E1563" s="42" t="str" cm="1">
        <f t="array" ref="E1563">IFERROR(INDEX({"IMPEDITIVO"},MATCH(TRUE,ISNUMBER(FIND(SUBSTITUTE(SUBSTITUTE(UPPER({"IMPEDITIVO"})," ",""),":",": "),SUBSTITUTE(SUBSTITUTE(UPPER(S1563)," ",""),":",": "))),0)),"-")</f>
        <v>-</v>
      </c>
      <c r="K1563" s="49"/>
    </row>
    <row r="1564" spans="1:11" x14ac:dyDescent="0.25">
      <c r="A1564" s="46" t="str" cm="1">
        <f t="array" ref="A1564">IFERROR(INDEX(#REF!,MATCH(TRUE,ISNUMBER(FIND(SUBSTITUTE(SUBSTITUTE(UPPER(#REF!)," ",""),":",": "),SUBSTITUTE(SUBSTITUTE(UPPER(S1564)," ",""),":",": "))),0)),"Undefined")</f>
        <v>Undefined</v>
      </c>
      <c r="B1564" s="42" t="str" cm="1">
        <f t="array" ref="B1564">IFERROR(INDEX({"URGENTE"},MATCH(TRUE,ISNUMBER(FIND(SUBSTITUTE(SUBSTITUTE(UPPER({"URGENTE"})," ",""),":",": "),SUBSTITUTE(SUBSTITUTE(UPPER(S1564)," ",""),":",": "))),0)),"-")</f>
        <v>-</v>
      </c>
      <c r="C1564" s="46" t="str" cm="1">
        <f t="array" ref="C1564">IFERROR(INDEX(#REF!,MATCH(TRUE,ISNUMBER(FIND(SUBSTITUTE(SUBSTITUTE(UPPER(#REF!)," ",""),":",": "),SUBSTITUTE(SUBSTITUTE(UPPER(S1564)," ",""),":",": "))),0)),"Não encontrado")</f>
        <v>Não encontrado</v>
      </c>
      <c r="D1564" s="46" t="str" cm="1">
        <f t="array" ref="D1564">IFERROR(INDEX(#REF!,MATCH(TRUE,ISNUMBER(FIND(SUBSTITUTE(SUBSTITUTE(UPPER(#REF!)," ",""),":",": "),SUBSTITUTE(SUBSTITUTE(UPPER(S1564)," ",""),":",": "))),0)),"Não encontrado")</f>
        <v>Não encontrado</v>
      </c>
      <c r="E1564" s="42" t="str" cm="1">
        <f t="array" ref="E1564">IFERROR(INDEX({"IMPEDITIVO"},MATCH(TRUE,ISNUMBER(FIND(SUBSTITUTE(SUBSTITUTE(UPPER({"IMPEDITIVO"})," ",""),":",": "),SUBSTITUTE(SUBSTITUTE(UPPER(S1564)," ",""),":",": "))),0)),"-")</f>
        <v>-</v>
      </c>
      <c r="K1564" s="49"/>
    </row>
    <row r="1565" spans="1:11" x14ac:dyDescent="0.25">
      <c r="A1565" s="46" t="str" cm="1">
        <f t="array" ref="A1565">IFERROR(INDEX(#REF!,MATCH(TRUE,ISNUMBER(FIND(SUBSTITUTE(SUBSTITUTE(UPPER(#REF!)," ",""),":",": "),SUBSTITUTE(SUBSTITUTE(UPPER(S1565)," ",""),":",": "))),0)),"Undefined")</f>
        <v>Undefined</v>
      </c>
      <c r="B1565" s="42" t="str" cm="1">
        <f t="array" ref="B1565">IFERROR(INDEX({"URGENTE"},MATCH(TRUE,ISNUMBER(FIND(SUBSTITUTE(SUBSTITUTE(UPPER({"URGENTE"})," ",""),":",": "),SUBSTITUTE(SUBSTITUTE(UPPER(S1565)," ",""),":",": "))),0)),"-")</f>
        <v>-</v>
      </c>
      <c r="C1565" s="46" t="str" cm="1">
        <f t="array" ref="C1565">IFERROR(INDEX(#REF!,MATCH(TRUE,ISNUMBER(FIND(SUBSTITUTE(SUBSTITUTE(UPPER(#REF!)," ",""),":",": "),SUBSTITUTE(SUBSTITUTE(UPPER(S1565)," ",""),":",": "))),0)),"Não encontrado")</f>
        <v>Não encontrado</v>
      </c>
      <c r="D1565" s="46" t="str" cm="1">
        <f t="array" ref="D1565">IFERROR(INDEX(#REF!,MATCH(TRUE,ISNUMBER(FIND(SUBSTITUTE(SUBSTITUTE(UPPER(#REF!)," ",""),":",": "),SUBSTITUTE(SUBSTITUTE(UPPER(S1565)," ",""),":",": "))),0)),"Não encontrado")</f>
        <v>Não encontrado</v>
      </c>
      <c r="E1565" s="42" t="str" cm="1">
        <f t="array" ref="E1565">IFERROR(INDEX({"IMPEDITIVO"},MATCH(TRUE,ISNUMBER(FIND(SUBSTITUTE(SUBSTITUTE(UPPER({"IMPEDITIVO"})," ",""),":",": "),SUBSTITUTE(SUBSTITUTE(UPPER(S1565)," ",""),":",": "))),0)),"-")</f>
        <v>-</v>
      </c>
      <c r="K1565" s="49"/>
    </row>
    <row r="1566" spans="1:11" x14ac:dyDescent="0.25">
      <c r="A1566" s="46" t="str" cm="1">
        <f t="array" ref="A1566">IFERROR(INDEX(#REF!,MATCH(TRUE,ISNUMBER(FIND(SUBSTITUTE(SUBSTITUTE(UPPER(#REF!)," ",""),":",": "),SUBSTITUTE(SUBSTITUTE(UPPER(S1566)," ",""),":",": "))),0)),"Undefined")</f>
        <v>Undefined</v>
      </c>
      <c r="B1566" s="42" t="str" cm="1">
        <f t="array" ref="B1566">IFERROR(INDEX({"URGENTE"},MATCH(TRUE,ISNUMBER(FIND(SUBSTITUTE(SUBSTITUTE(UPPER({"URGENTE"})," ",""),":",": "),SUBSTITUTE(SUBSTITUTE(UPPER(S1566)," ",""),":",": "))),0)),"-")</f>
        <v>-</v>
      </c>
      <c r="C1566" s="46" t="str" cm="1">
        <f t="array" ref="C1566">IFERROR(INDEX(#REF!,MATCH(TRUE,ISNUMBER(FIND(SUBSTITUTE(SUBSTITUTE(UPPER(#REF!)," ",""),":",": "),SUBSTITUTE(SUBSTITUTE(UPPER(S1566)," ",""),":",": "))),0)),"Não encontrado")</f>
        <v>Não encontrado</v>
      </c>
      <c r="D1566" s="46" t="str" cm="1">
        <f t="array" ref="D1566">IFERROR(INDEX(#REF!,MATCH(TRUE,ISNUMBER(FIND(SUBSTITUTE(SUBSTITUTE(UPPER(#REF!)," ",""),":",": "),SUBSTITUTE(SUBSTITUTE(UPPER(S1566)," ",""),":",": "))),0)),"Não encontrado")</f>
        <v>Não encontrado</v>
      </c>
      <c r="E1566" s="42" t="str" cm="1">
        <f t="array" ref="E1566">IFERROR(INDEX({"IMPEDITIVO"},MATCH(TRUE,ISNUMBER(FIND(SUBSTITUTE(SUBSTITUTE(UPPER({"IMPEDITIVO"})," ",""),":",": "),SUBSTITUTE(SUBSTITUTE(UPPER(S1566)," ",""),":",": "))),0)),"-")</f>
        <v>-</v>
      </c>
      <c r="K1566" s="49"/>
    </row>
    <row r="1567" spans="1:11" x14ac:dyDescent="0.25">
      <c r="A1567" s="46" t="str" cm="1">
        <f t="array" ref="A1567">IFERROR(INDEX(#REF!,MATCH(TRUE,ISNUMBER(FIND(SUBSTITUTE(SUBSTITUTE(UPPER(#REF!)," ",""),":",": "),SUBSTITUTE(SUBSTITUTE(UPPER(S1567)," ",""),":",": "))),0)),"Undefined")</f>
        <v>Undefined</v>
      </c>
      <c r="B1567" s="42" t="str" cm="1">
        <f t="array" ref="B1567">IFERROR(INDEX({"URGENTE"},MATCH(TRUE,ISNUMBER(FIND(SUBSTITUTE(SUBSTITUTE(UPPER({"URGENTE"})," ",""),":",": "),SUBSTITUTE(SUBSTITUTE(UPPER(S1567)," ",""),":",": "))),0)),"-")</f>
        <v>-</v>
      </c>
      <c r="C1567" s="46" t="str" cm="1">
        <f t="array" ref="C1567">IFERROR(INDEX(#REF!,MATCH(TRUE,ISNUMBER(FIND(SUBSTITUTE(SUBSTITUTE(UPPER(#REF!)," ",""),":",": "),SUBSTITUTE(SUBSTITUTE(UPPER(S1567)," ",""),":",": "))),0)),"Não encontrado")</f>
        <v>Não encontrado</v>
      </c>
      <c r="D1567" s="46" t="str" cm="1">
        <f t="array" ref="D1567">IFERROR(INDEX(#REF!,MATCH(TRUE,ISNUMBER(FIND(SUBSTITUTE(SUBSTITUTE(UPPER(#REF!)," ",""),":",": "),SUBSTITUTE(SUBSTITUTE(UPPER(S1567)," ",""),":",": "))),0)),"Não encontrado")</f>
        <v>Não encontrado</v>
      </c>
      <c r="E1567" s="42" t="str" cm="1">
        <f t="array" ref="E1567">IFERROR(INDEX({"IMPEDITIVO"},MATCH(TRUE,ISNUMBER(FIND(SUBSTITUTE(SUBSTITUTE(UPPER({"IMPEDITIVO"})," ",""),":",": "),SUBSTITUTE(SUBSTITUTE(UPPER(S1567)," ",""),":",": "))),0)),"-")</f>
        <v>-</v>
      </c>
      <c r="K1567" s="49"/>
    </row>
    <row r="1568" spans="1:11" x14ac:dyDescent="0.25">
      <c r="A1568" s="46" t="str" cm="1">
        <f t="array" ref="A1568">IFERROR(INDEX(#REF!,MATCH(TRUE,ISNUMBER(FIND(SUBSTITUTE(SUBSTITUTE(UPPER(#REF!)," ",""),":",": "),SUBSTITUTE(SUBSTITUTE(UPPER(S1568)," ",""),":",": "))),0)),"Undefined")</f>
        <v>Undefined</v>
      </c>
      <c r="B1568" s="42" t="str" cm="1">
        <f t="array" ref="B1568">IFERROR(INDEX({"URGENTE"},MATCH(TRUE,ISNUMBER(FIND(SUBSTITUTE(SUBSTITUTE(UPPER({"URGENTE"})," ",""),":",": "),SUBSTITUTE(SUBSTITUTE(UPPER(S1568)," ",""),":",": "))),0)),"-")</f>
        <v>-</v>
      </c>
      <c r="C1568" s="46" t="str" cm="1">
        <f t="array" ref="C1568">IFERROR(INDEX(#REF!,MATCH(TRUE,ISNUMBER(FIND(SUBSTITUTE(SUBSTITUTE(UPPER(#REF!)," ",""),":",": "),SUBSTITUTE(SUBSTITUTE(UPPER(S1568)," ",""),":",": "))),0)),"Não encontrado")</f>
        <v>Não encontrado</v>
      </c>
      <c r="D1568" s="46" t="str" cm="1">
        <f t="array" ref="D1568">IFERROR(INDEX(#REF!,MATCH(TRUE,ISNUMBER(FIND(SUBSTITUTE(SUBSTITUTE(UPPER(#REF!)," ",""),":",": "),SUBSTITUTE(SUBSTITUTE(UPPER(S1568)," ",""),":",": "))),0)),"Não encontrado")</f>
        <v>Não encontrado</v>
      </c>
      <c r="E1568" s="42" t="str" cm="1">
        <f t="array" ref="E1568">IFERROR(INDEX({"IMPEDITIVO"},MATCH(TRUE,ISNUMBER(FIND(SUBSTITUTE(SUBSTITUTE(UPPER({"IMPEDITIVO"})," ",""),":",": "),SUBSTITUTE(SUBSTITUTE(UPPER(S1568)," ",""),":",": "))),0)),"-")</f>
        <v>-</v>
      </c>
      <c r="K1568" s="49"/>
    </row>
    <row r="1569" spans="1:11" x14ac:dyDescent="0.25">
      <c r="A1569" s="46" t="str" cm="1">
        <f t="array" ref="A1569">IFERROR(INDEX(#REF!,MATCH(TRUE,ISNUMBER(FIND(SUBSTITUTE(SUBSTITUTE(UPPER(#REF!)," ",""),":",": "),SUBSTITUTE(SUBSTITUTE(UPPER(S1569)," ",""),":",": "))),0)),"Undefined")</f>
        <v>Undefined</v>
      </c>
      <c r="B1569" s="42" t="str" cm="1">
        <f t="array" ref="B1569">IFERROR(INDEX({"URGENTE"},MATCH(TRUE,ISNUMBER(FIND(SUBSTITUTE(SUBSTITUTE(UPPER({"URGENTE"})," ",""),":",": "),SUBSTITUTE(SUBSTITUTE(UPPER(S1569)," ",""),":",": "))),0)),"-")</f>
        <v>-</v>
      </c>
      <c r="C1569" s="46" t="str" cm="1">
        <f t="array" ref="C1569">IFERROR(INDEX(#REF!,MATCH(TRUE,ISNUMBER(FIND(SUBSTITUTE(SUBSTITUTE(UPPER(#REF!)," ",""),":",": "),SUBSTITUTE(SUBSTITUTE(UPPER(S1569)," ",""),":",": "))),0)),"Não encontrado")</f>
        <v>Não encontrado</v>
      </c>
      <c r="D1569" s="46" t="str" cm="1">
        <f t="array" ref="D1569">IFERROR(INDEX(#REF!,MATCH(TRUE,ISNUMBER(FIND(SUBSTITUTE(SUBSTITUTE(UPPER(#REF!)," ",""),":",": "),SUBSTITUTE(SUBSTITUTE(UPPER(S1569)," ",""),":",": "))),0)),"Não encontrado")</f>
        <v>Não encontrado</v>
      </c>
      <c r="E1569" s="42" t="str" cm="1">
        <f t="array" ref="E1569">IFERROR(INDEX({"IMPEDITIVO"},MATCH(TRUE,ISNUMBER(FIND(SUBSTITUTE(SUBSTITUTE(UPPER({"IMPEDITIVO"})," ",""),":",": "),SUBSTITUTE(SUBSTITUTE(UPPER(S1569)," ",""),":",": "))),0)),"-")</f>
        <v>-</v>
      </c>
      <c r="K1569" s="49"/>
    </row>
    <row r="1570" spans="1:11" x14ac:dyDescent="0.25">
      <c r="A1570" s="46" t="str" cm="1">
        <f t="array" ref="A1570">IFERROR(INDEX(#REF!,MATCH(TRUE,ISNUMBER(FIND(SUBSTITUTE(SUBSTITUTE(UPPER(#REF!)," ",""),":",": "),SUBSTITUTE(SUBSTITUTE(UPPER(S1570)," ",""),":",": "))),0)),"Undefined")</f>
        <v>Undefined</v>
      </c>
      <c r="B1570" s="42" t="str" cm="1">
        <f t="array" ref="B1570">IFERROR(INDEX({"URGENTE"},MATCH(TRUE,ISNUMBER(FIND(SUBSTITUTE(SUBSTITUTE(UPPER({"URGENTE"})," ",""),":",": "),SUBSTITUTE(SUBSTITUTE(UPPER(S1570)," ",""),":",": "))),0)),"-")</f>
        <v>-</v>
      </c>
      <c r="C1570" s="46" t="str" cm="1">
        <f t="array" ref="C1570">IFERROR(INDEX(#REF!,MATCH(TRUE,ISNUMBER(FIND(SUBSTITUTE(SUBSTITUTE(UPPER(#REF!)," ",""),":",": "),SUBSTITUTE(SUBSTITUTE(UPPER(S1570)," ",""),":",": "))),0)),"Não encontrado")</f>
        <v>Não encontrado</v>
      </c>
      <c r="D1570" s="46" t="str" cm="1">
        <f t="array" ref="D1570">IFERROR(INDEX(#REF!,MATCH(TRUE,ISNUMBER(FIND(SUBSTITUTE(SUBSTITUTE(UPPER(#REF!)," ",""),":",": "),SUBSTITUTE(SUBSTITUTE(UPPER(S1570)," ",""),":",": "))),0)),"Não encontrado")</f>
        <v>Não encontrado</v>
      </c>
      <c r="E1570" s="42" t="str" cm="1">
        <f t="array" ref="E1570">IFERROR(INDEX({"IMPEDITIVO"},MATCH(TRUE,ISNUMBER(FIND(SUBSTITUTE(SUBSTITUTE(UPPER({"IMPEDITIVO"})," ",""),":",": "),SUBSTITUTE(SUBSTITUTE(UPPER(S1570)," ",""),":",": "))),0)),"-")</f>
        <v>-</v>
      </c>
      <c r="K1570" s="49"/>
    </row>
    <row r="1571" spans="1:11" x14ac:dyDescent="0.25">
      <c r="A1571" s="46" t="str" cm="1">
        <f t="array" ref="A1571">IFERROR(INDEX(#REF!,MATCH(TRUE,ISNUMBER(FIND(SUBSTITUTE(SUBSTITUTE(UPPER(#REF!)," ",""),":",": "),SUBSTITUTE(SUBSTITUTE(UPPER(S1571)," ",""),":",": "))),0)),"Undefined")</f>
        <v>Undefined</v>
      </c>
      <c r="B1571" s="42" t="str" cm="1">
        <f t="array" ref="B1571">IFERROR(INDEX({"URGENTE"},MATCH(TRUE,ISNUMBER(FIND(SUBSTITUTE(SUBSTITUTE(UPPER({"URGENTE"})," ",""),":",": "),SUBSTITUTE(SUBSTITUTE(UPPER(S1571)," ",""),":",": "))),0)),"-")</f>
        <v>-</v>
      </c>
      <c r="C1571" s="46" t="str" cm="1">
        <f t="array" ref="C1571">IFERROR(INDEX(#REF!,MATCH(TRUE,ISNUMBER(FIND(SUBSTITUTE(SUBSTITUTE(UPPER(#REF!)," ",""),":",": "),SUBSTITUTE(SUBSTITUTE(UPPER(S1571)," ",""),":",": "))),0)),"Não encontrado")</f>
        <v>Não encontrado</v>
      </c>
      <c r="D1571" s="46" t="str" cm="1">
        <f t="array" ref="D1571">IFERROR(INDEX(#REF!,MATCH(TRUE,ISNUMBER(FIND(SUBSTITUTE(SUBSTITUTE(UPPER(#REF!)," ",""),":",": "),SUBSTITUTE(SUBSTITUTE(UPPER(S1571)," ",""),":",": "))),0)),"Não encontrado")</f>
        <v>Não encontrado</v>
      </c>
      <c r="E1571" s="42" t="str" cm="1">
        <f t="array" ref="E1571">IFERROR(INDEX({"IMPEDITIVO"},MATCH(TRUE,ISNUMBER(FIND(SUBSTITUTE(SUBSTITUTE(UPPER({"IMPEDITIVO"})," ",""),":",": "),SUBSTITUTE(SUBSTITUTE(UPPER(S1571)," ",""),":",": "))),0)),"-")</f>
        <v>-</v>
      </c>
      <c r="K1571" s="49"/>
    </row>
    <row r="1572" spans="1:11" x14ac:dyDescent="0.25">
      <c r="A1572" s="46" t="str" cm="1">
        <f t="array" ref="A1572">IFERROR(INDEX(#REF!,MATCH(TRUE,ISNUMBER(FIND(SUBSTITUTE(SUBSTITUTE(UPPER(#REF!)," ",""),":",": "),SUBSTITUTE(SUBSTITUTE(UPPER(S1572)," ",""),":",": "))),0)),"Undefined")</f>
        <v>Undefined</v>
      </c>
      <c r="B1572" s="42" t="str" cm="1">
        <f t="array" ref="B1572">IFERROR(INDEX({"URGENTE"},MATCH(TRUE,ISNUMBER(FIND(SUBSTITUTE(SUBSTITUTE(UPPER({"URGENTE"})," ",""),":",": "),SUBSTITUTE(SUBSTITUTE(UPPER(S1572)," ",""),":",": "))),0)),"-")</f>
        <v>-</v>
      </c>
      <c r="C1572" s="46" t="str" cm="1">
        <f t="array" ref="C1572">IFERROR(INDEX(#REF!,MATCH(TRUE,ISNUMBER(FIND(SUBSTITUTE(SUBSTITUTE(UPPER(#REF!)," ",""),":",": "),SUBSTITUTE(SUBSTITUTE(UPPER(S1572)," ",""),":",": "))),0)),"Não encontrado")</f>
        <v>Não encontrado</v>
      </c>
      <c r="D1572" s="46" t="str" cm="1">
        <f t="array" ref="D1572">IFERROR(INDEX(#REF!,MATCH(TRUE,ISNUMBER(FIND(SUBSTITUTE(SUBSTITUTE(UPPER(#REF!)," ",""),":",": "),SUBSTITUTE(SUBSTITUTE(UPPER(S1572)," ",""),":",": "))),0)),"Não encontrado")</f>
        <v>Não encontrado</v>
      </c>
      <c r="E1572" s="42" t="str" cm="1">
        <f t="array" ref="E1572">IFERROR(INDEX({"IMPEDITIVO"},MATCH(TRUE,ISNUMBER(FIND(SUBSTITUTE(SUBSTITUTE(UPPER({"IMPEDITIVO"})," ",""),":",": "),SUBSTITUTE(SUBSTITUTE(UPPER(S1572)," ",""),":",": "))),0)),"-")</f>
        <v>-</v>
      </c>
      <c r="K1572" s="49"/>
    </row>
    <row r="1573" spans="1:11" x14ac:dyDescent="0.25">
      <c r="A1573" s="46" t="str" cm="1">
        <f t="array" ref="A1573">IFERROR(INDEX(#REF!,MATCH(TRUE,ISNUMBER(FIND(SUBSTITUTE(SUBSTITUTE(UPPER(#REF!)," ",""),":",": "),SUBSTITUTE(SUBSTITUTE(UPPER(S1573)," ",""),":",": "))),0)),"Undefined")</f>
        <v>Undefined</v>
      </c>
      <c r="B1573" s="42" t="str" cm="1">
        <f t="array" ref="B1573">IFERROR(INDEX({"URGENTE"},MATCH(TRUE,ISNUMBER(FIND(SUBSTITUTE(SUBSTITUTE(UPPER({"URGENTE"})," ",""),":",": "),SUBSTITUTE(SUBSTITUTE(UPPER(S1573)," ",""),":",": "))),0)),"-")</f>
        <v>-</v>
      </c>
      <c r="C1573" s="46" t="str" cm="1">
        <f t="array" ref="C1573">IFERROR(INDEX(#REF!,MATCH(TRUE,ISNUMBER(FIND(SUBSTITUTE(SUBSTITUTE(UPPER(#REF!)," ",""),":",": "),SUBSTITUTE(SUBSTITUTE(UPPER(S1573)," ",""),":",": "))),0)),"Não encontrado")</f>
        <v>Não encontrado</v>
      </c>
      <c r="D1573" s="46" t="str" cm="1">
        <f t="array" ref="D1573">IFERROR(INDEX(#REF!,MATCH(TRUE,ISNUMBER(FIND(SUBSTITUTE(SUBSTITUTE(UPPER(#REF!)," ",""),":",": "),SUBSTITUTE(SUBSTITUTE(UPPER(S1573)," ",""),":",": "))),0)),"Não encontrado")</f>
        <v>Não encontrado</v>
      </c>
      <c r="E1573" s="42" t="str" cm="1">
        <f t="array" ref="E1573">IFERROR(INDEX({"IMPEDITIVO"},MATCH(TRUE,ISNUMBER(FIND(SUBSTITUTE(SUBSTITUTE(UPPER({"IMPEDITIVO"})," ",""),":",": "),SUBSTITUTE(SUBSTITUTE(UPPER(S1573)," ",""),":",": "))),0)),"-")</f>
        <v>-</v>
      </c>
      <c r="K1573" s="49"/>
    </row>
    <row r="1574" spans="1:11" x14ac:dyDescent="0.25">
      <c r="A1574" s="46" t="str" cm="1">
        <f t="array" ref="A1574">IFERROR(INDEX(#REF!,MATCH(TRUE,ISNUMBER(FIND(SUBSTITUTE(SUBSTITUTE(UPPER(#REF!)," ",""),":",": "),SUBSTITUTE(SUBSTITUTE(UPPER(S1574)," ",""),":",": "))),0)),"Undefined")</f>
        <v>Undefined</v>
      </c>
      <c r="B1574" s="42" t="str" cm="1">
        <f t="array" ref="B1574">IFERROR(INDEX({"URGENTE"},MATCH(TRUE,ISNUMBER(FIND(SUBSTITUTE(SUBSTITUTE(UPPER({"URGENTE"})," ",""),":",": "),SUBSTITUTE(SUBSTITUTE(UPPER(S1574)," ",""),":",": "))),0)),"-")</f>
        <v>-</v>
      </c>
      <c r="C1574" s="46" t="str" cm="1">
        <f t="array" ref="C1574">IFERROR(INDEX(#REF!,MATCH(TRUE,ISNUMBER(FIND(SUBSTITUTE(SUBSTITUTE(UPPER(#REF!)," ",""),":",": "),SUBSTITUTE(SUBSTITUTE(UPPER(S1574)," ",""),":",": "))),0)),"Não encontrado")</f>
        <v>Não encontrado</v>
      </c>
      <c r="D1574" s="46" t="str" cm="1">
        <f t="array" ref="D1574">IFERROR(INDEX(#REF!,MATCH(TRUE,ISNUMBER(FIND(SUBSTITUTE(SUBSTITUTE(UPPER(#REF!)," ",""),":",": "),SUBSTITUTE(SUBSTITUTE(UPPER(S1574)," ",""),":",": "))),0)),"Não encontrado")</f>
        <v>Não encontrado</v>
      </c>
      <c r="E1574" s="42" t="str" cm="1">
        <f t="array" ref="E1574">IFERROR(INDEX({"IMPEDITIVO"},MATCH(TRUE,ISNUMBER(FIND(SUBSTITUTE(SUBSTITUTE(UPPER({"IMPEDITIVO"})," ",""),":",": "),SUBSTITUTE(SUBSTITUTE(UPPER(S1574)," ",""),":",": "))),0)),"-")</f>
        <v>-</v>
      </c>
      <c r="K1574" s="49"/>
    </row>
    <row r="1575" spans="1:11" x14ac:dyDescent="0.25">
      <c r="A1575" s="46" t="str" cm="1">
        <f t="array" ref="A1575">IFERROR(INDEX(#REF!,MATCH(TRUE,ISNUMBER(FIND(SUBSTITUTE(SUBSTITUTE(UPPER(#REF!)," ",""),":",": "),SUBSTITUTE(SUBSTITUTE(UPPER(S1575)," ",""),":",": "))),0)),"Undefined")</f>
        <v>Undefined</v>
      </c>
      <c r="B1575" s="42" t="str" cm="1">
        <f t="array" ref="B1575">IFERROR(INDEX({"URGENTE"},MATCH(TRUE,ISNUMBER(FIND(SUBSTITUTE(SUBSTITUTE(UPPER({"URGENTE"})," ",""),":",": "),SUBSTITUTE(SUBSTITUTE(UPPER(S1575)," ",""),":",": "))),0)),"-")</f>
        <v>-</v>
      </c>
      <c r="C1575" s="46" t="str" cm="1">
        <f t="array" ref="C1575">IFERROR(INDEX(#REF!,MATCH(TRUE,ISNUMBER(FIND(SUBSTITUTE(SUBSTITUTE(UPPER(#REF!)," ",""),":",": "),SUBSTITUTE(SUBSTITUTE(UPPER(S1575)," ",""),":",": "))),0)),"Não encontrado")</f>
        <v>Não encontrado</v>
      </c>
      <c r="D1575" s="46" t="str" cm="1">
        <f t="array" ref="D1575">IFERROR(INDEX(#REF!,MATCH(TRUE,ISNUMBER(FIND(SUBSTITUTE(SUBSTITUTE(UPPER(#REF!)," ",""),":",": "),SUBSTITUTE(SUBSTITUTE(UPPER(S1575)," ",""),":",": "))),0)),"Não encontrado")</f>
        <v>Não encontrado</v>
      </c>
      <c r="E1575" s="42" t="str" cm="1">
        <f t="array" ref="E1575">IFERROR(INDEX({"IMPEDITIVO"},MATCH(TRUE,ISNUMBER(FIND(SUBSTITUTE(SUBSTITUTE(UPPER({"IMPEDITIVO"})," ",""),":",": "),SUBSTITUTE(SUBSTITUTE(UPPER(S1575)," ",""),":",": "))),0)),"-")</f>
        <v>-</v>
      </c>
      <c r="K1575" s="49"/>
    </row>
    <row r="1576" spans="1:11" x14ac:dyDescent="0.25">
      <c r="A1576" s="46" t="str" cm="1">
        <f t="array" ref="A1576">IFERROR(INDEX(#REF!,MATCH(TRUE,ISNUMBER(FIND(SUBSTITUTE(SUBSTITUTE(UPPER(#REF!)," ",""),":",": "),SUBSTITUTE(SUBSTITUTE(UPPER(S1576)," ",""),":",": "))),0)),"Undefined")</f>
        <v>Undefined</v>
      </c>
      <c r="B1576" s="42" t="str" cm="1">
        <f t="array" ref="B1576">IFERROR(INDEX({"URGENTE"},MATCH(TRUE,ISNUMBER(FIND(SUBSTITUTE(SUBSTITUTE(UPPER({"URGENTE"})," ",""),":",": "),SUBSTITUTE(SUBSTITUTE(UPPER(S1576)," ",""),":",": "))),0)),"-")</f>
        <v>-</v>
      </c>
      <c r="C1576" s="46" t="str" cm="1">
        <f t="array" ref="C1576">IFERROR(INDEX(#REF!,MATCH(TRUE,ISNUMBER(FIND(SUBSTITUTE(SUBSTITUTE(UPPER(#REF!)," ",""),":",": "),SUBSTITUTE(SUBSTITUTE(UPPER(S1576)," ",""),":",": "))),0)),"Não encontrado")</f>
        <v>Não encontrado</v>
      </c>
      <c r="D1576" s="46" t="str" cm="1">
        <f t="array" ref="D1576">IFERROR(INDEX(#REF!,MATCH(TRUE,ISNUMBER(FIND(SUBSTITUTE(SUBSTITUTE(UPPER(#REF!)," ",""),":",": "),SUBSTITUTE(SUBSTITUTE(UPPER(S1576)," ",""),":",": "))),0)),"Não encontrado")</f>
        <v>Não encontrado</v>
      </c>
      <c r="E1576" s="42" t="str" cm="1">
        <f t="array" ref="E1576">IFERROR(INDEX({"IMPEDITIVO"},MATCH(TRUE,ISNUMBER(FIND(SUBSTITUTE(SUBSTITUTE(UPPER({"IMPEDITIVO"})," ",""),":",": "),SUBSTITUTE(SUBSTITUTE(UPPER(S1576)," ",""),":",": "))),0)),"-")</f>
        <v>-</v>
      </c>
      <c r="K1576" s="49"/>
    </row>
    <row r="1577" spans="1:11" x14ac:dyDescent="0.25">
      <c r="A1577" s="46" t="str" cm="1">
        <f t="array" ref="A1577">IFERROR(INDEX(#REF!,MATCH(TRUE,ISNUMBER(FIND(SUBSTITUTE(SUBSTITUTE(UPPER(#REF!)," ",""),":",": "),SUBSTITUTE(SUBSTITUTE(UPPER(S1577)," ",""),":",": "))),0)),"Undefined")</f>
        <v>Undefined</v>
      </c>
      <c r="B1577" s="42" t="str" cm="1">
        <f t="array" ref="B1577">IFERROR(INDEX({"URGENTE"},MATCH(TRUE,ISNUMBER(FIND(SUBSTITUTE(SUBSTITUTE(UPPER({"URGENTE"})," ",""),":",": "),SUBSTITUTE(SUBSTITUTE(UPPER(S1577)," ",""),":",": "))),0)),"-")</f>
        <v>-</v>
      </c>
      <c r="C1577" s="46" t="str" cm="1">
        <f t="array" ref="C1577">IFERROR(INDEX(#REF!,MATCH(TRUE,ISNUMBER(FIND(SUBSTITUTE(SUBSTITUTE(UPPER(#REF!)," ",""),":",": "),SUBSTITUTE(SUBSTITUTE(UPPER(S1577)," ",""),":",": "))),0)),"Não encontrado")</f>
        <v>Não encontrado</v>
      </c>
      <c r="D1577" s="46" t="str" cm="1">
        <f t="array" ref="D1577">IFERROR(INDEX(#REF!,MATCH(TRUE,ISNUMBER(FIND(SUBSTITUTE(SUBSTITUTE(UPPER(#REF!)," ",""),":",": "),SUBSTITUTE(SUBSTITUTE(UPPER(S1577)," ",""),":",": "))),0)),"Não encontrado")</f>
        <v>Não encontrado</v>
      </c>
      <c r="E1577" s="42" t="str" cm="1">
        <f t="array" ref="E1577">IFERROR(INDEX({"IMPEDITIVO"},MATCH(TRUE,ISNUMBER(FIND(SUBSTITUTE(SUBSTITUTE(UPPER({"IMPEDITIVO"})," ",""),":",": "),SUBSTITUTE(SUBSTITUTE(UPPER(S1577)," ",""),":",": "))),0)),"-")</f>
        <v>-</v>
      </c>
      <c r="K1577" s="49"/>
    </row>
    <row r="1578" spans="1:11" x14ac:dyDescent="0.25">
      <c r="A1578" s="46" t="str" cm="1">
        <f t="array" ref="A1578">IFERROR(INDEX(#REF!,MATCH(TRUE,ISNUMBER(FIND(SUBSTITUTE(SUBSTITUTE(UPPER(#REF!)," ",""),":",": "),SUBSTITUTE(SUBSTITUTE(UPPER(S1578)," ",""),":",": "))),0)),"Undefined")</f>
        <v>Undefined</v>
      </c>
      <c r="B1578" s="42" t="str" cm="1">
        <f t="array" ref="B1578">IFERROR(INDEX({"URGENTE"},MATCH(TRUE,ISNUMBER(FIND(SUBSTITUTE(SUBSTITUTE(UPPER({"URGENTE"})," ",""),":",": "),SUBSTITUTE(SUBSTITUTE(UPPER(S1578)," ",""),":",": "))),0)),"-")</f>
        <v>-</v>
      </c>
      <c r="C1578" s="46" t="str" cm="1">
        <f t="array" ref="C1578">IFERROR(INDEX(#REF!,MATCH(TRUE,ISNUMBER(FIND(SUBSTITUTE(SUBSTITUTE(UPPER(#REF!)," ",""),":",": "),SUBSTITUTE(SUBSTITUTE(UPPER(S1578)," ",""),":",": "))),0)),"Não encontrado")</f>
        <v>Não encontrado</v>
      </c>
      <c r="D1578" s="46" t="str" cm="1">
        <f t="array" ref="D1578">IFERROR(INDEX(#REF!,MATCH(TRUE,ISNUMBER(FIND(SUBSTITUTE(SUBSTITUTE(UPPER(#REF!)," ",""),":",": "),SUBSTITUTE(SUBSTITUTE(UPPER(S1578)," ",""),":",": "))),0)),"Não encontrado")</f>
        <v>Não encontrado</v>
      </c>
      <c r="E1578" s="42" t="str" cm="1">
        <f t="array" ref="E1578">IFERROR(INDEX({"IMPEDITIVO"},MATCH(TRUE,ISNUMBER(FIND(SUBSTITUTE(SUBSTITUTE(UPPER({"IMPEDITIVO"})," ",""),":",": "),SUBSTITUTE(SUBSTITUTE(UPPER(S1578)," ",""),":",": "))),0)),"-")</f>
        <v>-</v>
      </c>
      <c r="K1578" s="49"/>
    </row>
    <row r="1579" spans="1:11" x14ac:dyDescent="0.25">
      <c r="A1579" s="46" t="str" cm="1">
        <f t="array" ref="A1579">IFERROR(INDEX(#REF!,MATCH(TRUE,ISNUMBER(FIND(SUBSTITUTE(SUBSTITUTE(UPPER(#REF!)," ",""),":",": "),SUBSTITUTE(SUBSTITUTE(UPPER(S1579)," ",""),":",": "))),0)),"Undefined")</f>
        <v>Undefined</v>
      </c>
      <c r="B1579" s="42" t="str" cm="1">
        <f t="array" ref="B1579">IFERROR(INDEX({"URGENTE"},MATCH(TRUE,ISNUMBER(FIND(SUBSTITUTE(SUBSTITUTE(UPPER({"URGENTE"})," ",""),":",": "),SUBSTITUTE(SUBSTITUTE(UPPER(S1579)," ",""),":",": "))),0)),"-")</f>
        <v>-</v>
      </c>
      <c r="C1579" s="46" t="str" cm="1">
        <f t="array" ref="C1579">IFERROR(INDEX(#REF!,MATCH(TRUE,ISNUMBER(FIND(SUBSTITUTE(SUBSTITUTE(UPPER(#REF!)," ",""),":",": "),SUBSTITUTE(SUBSTITUTE(UPPER(S1579)," ",""),":",": "))),0)),"Não encontrado")</f>
        <v>Não encontrado</v>
      </c>
      <c r="D1579" s="46" t="str" cm="1">
        <f t="array" ref="D1579">IFERROR(INDEX(#REF!,MATCH(TRUE,ISNUMBER(FIND(SUBSTITUTE(SUBSTITUTE(UPPER(#REF!)," ",""),":",": "),SUBSTITUTE(SUBSTITUTE(UPPER(S1579)," ",""),":",": "))),0)),"Não encontrado")</f>
        <v>Não encontrado</v>
      </c>
      <c r="E1579" s="42" t="str" cm="1">
        <f t="array" ref="E1579">IFERROR(INDEX({"IMPEDITIVO"},MATCH(TRUE,ISNUMBER(FIND(SUBSTITUTE(SUBSTITUTE(UPPER({"IMPEDITIVO"})," ",""),":",": "),SUBSTITUTE(SUBSTITUTE(UPPER(S1579)," ",""),":",": "))),0)),"-")</f>
        <v>-</v>
      </c>
      <c r="K1579" s="49"/>
    </row>
    <row r="1580" spans="1:11" x14ac:dyDescent="0.25">
      <c r="A1580" s="46" t="str" cm="1">
        <f t="array" ref="A1580">IFERROR(INDEX(#REF!,MATCH(TRUE,ISNUMBER(FIND(SUBSTITUTE(SUBSTITUTE(UPPER(#REF!)," ",""),":",": "),SUBSTITUTE(SUBSTITUTE(UPPER(S1580)," ",""),":",": "))),0)),"Undefined")</f>
        <v>Undefined</v>
      </c>
      <c r="B1580" s="42" t="str" cm="1">
        <f t="array" ref="B1580">IFERROR(INDEX({"URGENTE"},MATCH(TRUE,ISNUMBER(FIND(SUBSTITUTE(SUBSTITUTE(UPPER({"URGENTE"})," ",""),":",": "),SUBSTITUTE(SUBSTITUTE(UPPER(S1580)," ",""),":",": "))),0)),"-")</f>
        <v>-</v>
      </c>
      <c r="C1580" s="46" t="str" cm="1">
        <f t="array" ref="C1580">IFERROR(INDEX(#REF!,MATCH(TRUE,ISNUMBER(FIND(SUBSTITUTE(SUBSTITUTE(UPPER(#REF!)," ",""),":",": "),SUBSTITUTE(SUBSTITUTE(UPPER(S1580)," ",""),":",": "))),0)),"Não encontrado")</f>
        <v>Não encontrado</v>
      </c>
      <c r="D1580" s="46" t="str" cm="1">
        <f t="array" ref="D1580">IFERROR(INDEX(#REF!,MATCH(TRUE,ISNUMBER(FIND(SUBSTITUTE(SUBSTITUTE(UPPER(#REF!)," ",""),":",": "),SUBSTITUTE(SUBSTITUTE(UPPER(S1580)," ",""),":",": "))),0)),"Não encontrado")</f>
        <v>Não encontrado</v>
      </c>
      <c r="E1580" s="42" t="str" cm="1">
        <f t="array" ref="E1580">IFERROR(INDEX({"IMPEDITIVO"},MATCH(TRUE,ISNUMBER(FIND(SUBSTITUTE(SUBSTITUTE(UPPER({"IMPEDITIVO"})," ",""),":",": "),SUBSTITUTE(SUBSTITUTE(UPPER(S1580)," ",""),":",": "))),0)),"-")</f>
        <v>-</v>
      </c>
      <c r="K1580" s="49"/>
    </row>
    <row r="1581" spans="1:11" x14ac:dyDescent="0.25">
      <c r="A1581" s="46" t="str" cm="1">
        <f t="array" ref="A1581">IFERROR(INDEX(#REF!,MATCH(TRUE,ISNUMBER(FIND(SUBSTITUTE(SUBSTITUTE(UPPER(#REF!)," ",""),":",": "),SUBSTITUTE(SUBSTITUTE(UPPER(S1581)," ",""),":",": "))),0)),"Undefined")</f>
        <v>Undefined</v>
      </c>
      <c r="B1581" s="42" t="str" cm="1">
        <f t="array" ref="B1581">IFERROR(INDEX({"URGENTE"},MATCH(TRUE,ISNUMBER(FIND(SUBSTITUTE(SUBSTITUTE(UPPER({"URGENTE"})," ",""),":",": "),SUBSTITUTE(SUBSTITUTE(UPPER(S1581)," ",""),":",": "))),0)),"-")</f>
        <v>-</v>
      </c>
      <c r="C1581" s="46" t="str" cm="1">
        <f t="array" ref="C1581">IFERROR(INDEX(#REF!,MATCH(TRUE,ISNUMBER(FIND(SUBSTITUTE(SUBSTITUTE(UPPER(#REF!)," ",""),":",": "),SUBSTITUTE(SUBSTITUTE(UPPER(S1581)," ",""),":",": "))),0)),"Não encontrado")</f>
        <v>Não encontrado</v>
      </c>
      <c r="D1581" s="46" t="str" cm="1">
        <f t="array" ref="D1581">IFERROR(INDEX(#REF!,MATCH(TRUE,ISNUMBER(FIND(SUBSTITUTE(SUBSTITUTE(UPPER(#REF!)," ",""),":",": "),SUBSTITUTE(SUBSTITUTE(UPPER(S1581)," ",""),":",": "))),0)),"Não encontrado")</f>
        <v>Não encontrado</v>
      </c>
      <c r="E1581" s="42" t="str" cm="1">
        <f t="array" ref="E1581">IFERROR(INDEX({"IMPEDITIVO"},MATCH(TRUE,ISNUMBER(FIND(SUBSTITUTE(SUBSTITUTE(UPPER({"IMPEDITIVO"})," ",""),":",": "),SUBSTITUTE(SUBSTITUTE(UPPER(S1581)," ",""),":",": "))),0)),"-")</f>
        <v>-</v>
      </c>
      <c r="K1581" s="49"/>
    </row>
    <row r="1582" spans="1:11" x14ac:dyDescent="0.25">
      <c r="A1582" s="46" t="str" cm="1">
        <f t="array" ref="A1582">IFERROR(INDEX(#REF!,MATCH(TRUE,ISNUMBER(FIND(SUBSTITUTE(SUBSTITUTE(UPPER(#REF!)," ",""),":",": "),SUBSTITUTE(SUBSTITUTE(UPPER(S1582)," ",""),":",": "))),0)),"Undefined")</f>
        <v>Undefined</v>
      </c>
      <c r="B1582" s="42" t="str" cm="1">
        <f t="array" ref="B1582">IFERROR(INDEX({"URGENTE"},MATCH(TRUE,ISNUMBER(FIND(SUBSTITUTE(SUBSTITUTE(UPPER({"URGENTE"})," ",""),":",": "),SUBSTITUTE(SUBSTITUTE(UPPER(S1582)," ",""),":",": "))),0)),"-")</f>
        <v>-</v>
      </c>
      <c r="C1582" s="46" t="str" cm="1">
        <f t="array" ref="C1582">IFERROR(INDEX(#REF!,MATCH(TRUE,ISNUMBER(FIND(SUBSTITUTE(SUBSTITUTE(UPPER(#REF!)," ",""),":",": "),SUBSTITUTE(SUBSTITUTE(UPPER(S1582)," ",""),":",": "))),0)),"Não encontrado")</f>
        <v>Não encontrado</v>
      </c>
      <c r="D1582" s="46" t="str" cm="1">
        <f t="array" ref="D1582">IFERROR(INDEX(#REF!,MATCH(TRUE,ISNUMBER(FIND(SUBSTITUTE(SUBSTITUTE(UPPER(#REF!)," ",""),":",": "),SUBSTITUTE(SUBSTITUTE(UPPER(S1582)," ",""),":",": "))),0)),"Não encontrado")</f>
        <v>Não encontrado</v>
      </c>
      <c r="E1582" s="42" t="str" cm="1">
        <f t="array" ref="E1582">IFERROR(INDEX({"IMPEDITIVO"},MATCH(TRUE,ISNUMBER(FIND(SUBSTITUTE(SUBSTITUTE(UPPER({"IMPEDITIVO"})," ",""),":",": "),SUBSTITUTE(SUBSTITUTE(UPPER(S1582)," ",""),":",": "))),0)),"-")</f>
        <v>-</v>
      </c>
      <c r="K1582" s="49"/>
    </row>
    <row r="1583" spans="1:11" x14ac:dyDescent="0.25">
      <c r="A1583" s="46" t="str" cm="1">
        <f t="array" ref="A1583">IFERROR(INDEX(#REF!,MATCH(TRUE,ISNUMBER(FIND(SUBSTITUTE(SUBSTITUTE(UPPER(#REF!)," ",""),":",": "),SUBSTITUTE(SUBSTITUTE(UPPER(S1583)," ",""),":",": "))),0)),"Undefined")</f>
        <v>Undefined</v>
      </c>
      <c r="B1583" s="42" t="str" cm="1">
        <f t="array" ref="B1583">IFERROR(INDEX({"URGENTE"},MATCH(TRUE,ISNUMBER(FIND(SUBSTITUTE(SUBSTITUTE(UPPER({"URGENTE"})," ",""),":",": "),SUBSTITUTE(SUBSTITUTE(UPPER(S1583)," ",""),":",": "))),0)),"-")</f>
        <v>-</v>
      </c>
      <c r="C1583" s="46" t="str" cm="1">
        <f t="array" ref="C1583">IFERROR(INDEX(#REF!,MATCH(TRUE,ISNUMBER(FIND(SUBSTITUTE(SUBSTITUTE(UPPER(#REF!)," ",""),":",": "),SUBSTITUTE(SUBSTITUTE(UPPER(S1583)," ",""),":",": "))),0)),"Não encontrado")</f>
        <v>Não encontrado</v>
      </c>
      <c r="D1583" s="46" t="str" cm="1">
        <f t="array" ref="D1583">IFERROR(INDEX(#REF!,MATCH(TRUE,ISNUMBER(FIND(SUBSTITUTE(SUBSTITUTE(UPPER(#REF!)," ",""),":",": "),SUBSTITUTE(SUBSTITUTE(UPPER(S1583)," ",""),":",": "))),0)),"Não encontrado")</f>
        <v>Não encontrado</v>
      </c>
      <c r="E1583" s="42" t="str" cm="1">
        <f t="array" ref="E1583">IFERROR(INDEX({"IMPEDITIVO"},MATCH(TRUE,ISNUMBER(FIND(SUBSTITUTE(SUBSTITUTE(UPPER({"IMPEDITIVO"})," ",""),":",": "),SUBSTITUTE(SUBSTITUTE(UPPER(S1583)," ",""),":",": "))),0)),"-")</f>
        <v>-</v>
      </c>
      <c r="K1583" s="49"/>
    </row>
    <row r="1584" spans="1:11" x14ac:dyDescent="0.25">
      <c r="A1584" s="46" t="str" cm="1">
        <f t="array" ref="A1584">IFERROR(INDEX(#REF!,MATCH(TRUE,ISNUMBER(FIND(SUBSTITUTE(SUBSTITUTE(UPPER(#REF!)," ",""),":",": "),SUBSTITUTE(SUBSTITUTE(UPPER(S1584)," ",""),":",": "))),0)),"Undefined")</f>
        <v>Undefined</v>
      </c>
      <c r="B1584" s="42" t="str" cm="1">
        <f t="array" ref="B1584">IFERROR(INDEX({"URGENTE"},MATCH(TRUE,ISNUMBER(FIND(SUBSTITUTE(SUBSTITUTE(UPPER({"URGENTE"})," ",""),":",": "),SUBSTITUTE(SUBSTITUTE(UPPER(S1584)," ",""),":",": "))),0)),"-")</f>
        <v>-</v>
      </c>
      <c r="C1584" s="46" t="str" cm="1">
        <f t="array" ref="C1584">IFERROR(INDEX(#REF!,MATCH(TRUE,ISNUMBER(FIND(SUBSTITUTE(SUBSTITUTE(UPPER(#REF!)," ",""),":",": "),SUBSTITUTE(SUBSTITUTE(UPPER(S1584)," ",""),":",": "))),0)),"Não encontrado")</f>
        <v>Não encontrado</v>
      </c>
      <c r="D1584" s="46" t="str" cm="1">
        <f t="array" ref="D1584">IFERROR(INDEX(#REF!,MATCH(TRUE,ISNUMBER(FIND(SUBSTITUTE(SUBSTITUTE(UPPER(#REF!)," ",""),":",": "),SUBSTITUTE(SUBSTITUTE(UPPER(S1584)," ",""),":",": "))),0)),"Não encontrado")</f>
        <v>Não encontrado</v>
      </c>
      <c r="E1584" s="42" t="str" cm="1">
        <f t="array" ref="E1584">IFERROR(INDEX({"IMPEDITIVO"},MATCH(TRUE,ISNUMBER(FIND(SUBSTITUTE(SUBSTITUTE(UPPER({"IMPEDITIVO"})," ",""),":",": "),SUBSTITUTE(SUBSTITUTE(UPPER(S1584)," ",""),":",": "))),0)),"-")</f>
        <v>-</v>
      </c>
      <c r="K1584" s="49"/>
    </row>
    <row r="1585" spans="1:11" x14ac:dyDescent="0.25">
      <c r="A1585" s="46" t="str" cm="1">
        <f t="array" ref="A1585">IFERROR(INDEX(#REF!,MATCH(TRUE,ISNUMBER(FIND(SUBSTITUTE(SUBSTITUTE(UPPER(#REF!)," ",""),":",": "),SUBSTITUTE(SUBSTITUTE(UPPER(S1585)," ",""),":",": "))),0)),"Undefined")</f>
        <v>Undefined</v>
      </c>
      <c r="B1585" s="42" t="str" cm="1">
        <f t="array" ref="B1585">IFERROR(INDEX({"URGENTE"},MATCH(TRUE,ISNUMBER(FIND(SUBSTITUTE(SUBSTITUTE(UPPER({"URGENTE"})," ",""),":",": "),SUBSTITUTE(SUBSTITUTE(UPPER(S1585)," ",""),":",": "))),0)),"-")</f>
        <v>-</v>
      </c>
      <c r="C1585" s="46" t="str" cm="1">
        <f t="array" ref="C1585">IFERROR(INDEX(#REF!,MATCH(TRUE,ISNUMBER(FIND(SUBSTITUTE(SUBSTITUTE(UPPER(#REF!)," ",""),":",": "),SUBSTITUTE(SUBSTITUTE(UPPER(S1585)," ",""),":",": "))),0)),"Não encontrado")</f>
        <v>Não encontrado</v>
      </c>
      <c r="D1585" s="46" t="str" cm="1">
        <f t="array" ref="D1585">IFERROR(INDEX(#REF!,MATCH(TRUE,ISNUMBER(FIND(SUBSTITUTE(SUBSTITUTE(UPPER(#REF!)," ",""),":",": "),SUBSTITUTE(SUBSTITUTE(UPPER(S1585)," ",""),":",": "))),0)),"Não encontrado")</f>
        <v>Não encontrado</v>
      </c>
      <c r="E1585" s="42" t="str" cm="1">
        <f t="array" ref="E1585">IFERROR(INDEX({"IMPEDITIVO"},MATCH(TRUE,ISNUMBER(FIND(SUBSTITUTE(SUBSTITUTE(UPPER({"IMPEDITIVO"})," ",""),":",": "),SUBSTITUTE(SUBSTITUTE(UPPER(S1585)," ",""),":",": "))),0)),"-")</f>
        <v>-</v>
      </c>
      <c r="K1585" s="49"/>
    </row>
    <row r="1586" spans="1:11" x14ac:dyDescent="0.25">
      <c r="A1586" s="46" t="str" cm="1">
        <f t="array" ref="A1586">IFERROR(INDEX(#REF!,MATCH(TRUE,ISNUMBER(FIND(SUBSTITUTE(SUBSTITUTE(UPPER(#REF!)," ",""),":",": "),SUBSTITUTE(SUBSTITUTE(UPPER(S1586)," ",""),":",": "))),0)),"Undefined")</f>
        <v>Undefined</v>
      </c>
      <c r="B1586" s="42" t="str" cm="1">
        <f t="array" ref="B1586">IFERROR(INDEX({"URGENTE"},MATCH(TRUE,ISNUMBER(FIND(SUBSTITUTE(SUBSTITUTE(UPPER({"URGENTE"})," ",""),":",": "),SUBSTITUTE(SUBSTITUTE(UPPER(S1586)," ",""),":",": "))),0)),"-")</f>
        <v>-</v>
      </c>
      <c r="C1586" s="46" t="str" cm="1">
        <f t="array" ref="C1586">IFERROR(INDEX(#REF!,MATCH(TRUE,ISNUMBER(FIND(SUBSTITUTE(SUBSTITUTE(UPPER(#REF!)," ",""),":",": "),SUBSTITUTE(SUBSTITUTE(UPPER(S1586)," ",""),":",": "))),0)),"Não encontrado")</f>
        <v>Não encontrado</v>
      </c>
      <c r="D1586" s="46" t="str" cm="1">
        <f t="array" ref="D1586">IFERROR(INDEX(#REF!,MATCH(TRUE,ISNUMBER(FIND(SUBSTITUTE(SUBSTITUTE(UPPER(#REF!)," ",""),":",": "),SUBSTITUTE(SUBSTITUTE(UPPER(S1586)," ",""),":",": "))),0)),"Não encontrado")</f>
        <v>Não encontrado</v>
      </c>
      <c r="E1586" s="42" t="str" cm="1">
        <f t="array" ref="E1586">IFERROR(INDEX({"IMPEDITIVO"},MATCH(TRUE,ISNUMBER(FIND(SUBSTITUTE(SUBSTITUTE(UPPER({"IMPEDITIVO"})," ",""),":",": "),SUBSTITUTE(SUBSTITUTE(UPPER(S1586)," ",""),":",": "))),0)),"-")</f>
        <v>-</v>
      </c>
      <c r="K1586" s="49"/>
    </row>
    <row r="1587" spans="1:11" x14ac:dyDescent="0.25">
      <c r="A1587" s="46" t="str" cm="1">
        <f t="array" ref="A1587">IFERROR(INDEX(#REF!,MATCH(TRUE,ISNUMBER(FIND(SUBSTITUTE(SUBSTITUTE(UPPER(#REF!)," ",""),":",": "),SUBSTITUTE(SUBSTITUTE(UPPER(S1587)," ",""),":",": "))),0)),"Undefined")</f>
        <v>Undefined</v>
      </c>
      <c r="B1587" s="42" t="str" cm="1">
        <f t="array" ref="B1587">IFERROR(INDEX({"URGENTE"},MATCH(TRUE,ISNUMBER(FIND(SUBSTITUTE(SUBSTITUTE(UPPER({"URGENTE"})," ",""),":",": "),SUBSTITUTE(SUBSTITUTE(UPPER(S1587)," ",""),":",": "))),0)),"-")</f>
        <v>-</v>
      </c>
      <c r="C1587" s="46" t="str" cm="1">
        <f t="array" ref="C1587">IFERROR(INDEX(#REF!,MATCH(TRUE,ISNUMBER(FIND(SUBSTITUTE(SUBSTITUTE(UPPER(#REF!)," ",""),":",": "),SUBSTITUTE(SUBSTITUTE(UPPER(S1587)," ",""),":",": "))),0)),"Não encontrado")</f>
        <v>Não encontrado</v>
      </c>
      <c r="D1587" s="46" t="str" cm="1">
        <f t="array" ref="D1587">IFERROR(INDEX(#REF!,MATCH(TRUE,ISNUMBER(FIND(SUBSTITUTE(SUBSTITUTE(UPPER(#REF!)," ",""),":",": "),SUBSTITUTE(SUBSTITUTE(UPPER(S1587)," ",""),":",": "))),0)),"Não encontrado")</f>
        <v>Não encontrado</v>
      </c>
      <c r="E1587" s="42" t="str" cm="1">
        <f t="array" ref="E1587">IFERROR(INDEX({"IMPEDITIVO"},MATCH(TRUE,ISNUMBER(FIND(SUBSTITUTE(SUBSTITUTE(UPPER({"IMPEDITIVO"})," ",""),":",": "),SUBSTITUTE(SUBSTITUTE(UPPER(S1587)," ",""),":",": "))),0)),"-")</f>
        <v>-</v>
      </c>
      <c r="K1587" s="49"/>
    </row>
    <row r="1588" spans="1:11" x14ac:dyDescent="0.25">
      <c r="A1588" s="46" t="str" cm="1">
        <f t="array" ref="A1588">IFERROR(INDEX(#REF!,MATCH(TRUE,ISNUMBER(FIND(SUBSTITUTE(SUBSTITUTE(UPPER(#REF!)," ",""),":",": "),SUBSTITUTE(SUBSTITUTE(UPPER(S1588)," ",""),":",": "))),0)),"Undefined")</f>
        <v>Undefined</v>
      </c>
      <c r="B1588" s="42" t="str" cm="1">
        <f t="array" ref="B1588">IFERROR(INDEX({"URGENTE"},MATCH(TRUE,ISNUMBER(FIND(SUBSTITUTE(SUBSTITUTE(UPPER({"URGENTE"})," ",""),":",": "),SUBSTITUTE(SUBSTITUTE(UPPER(S1588)," ",""),":",": "))),0)),"-")</f>
        <v>-</v>
      </c>
      <c r="C1588" s="46" t="str" cm="1">
        <f t="array" ref="C1588">IFERROR(INDEX(#REF!,MATCH(TRUE,ISNUMBER(FIND(SUBSTITUTE(SUBSTITUTE(UPPER(#REF!)," ",""),":",": "),SUBSTITUTE(SUBSTITUTE(UPPER(S1588)," ",""),":",": "))),0)),"Não encontrado")</f>
        <v>Não encontrado</v>
      </c>
      <c r="D1588" s="46" t="str" cm="1">
        <f t="array" ref="D1588">IFERROR(INDEX(#REF!,MATCH(TRUE,ISNUMBER(FIND(SUBSTITUTE(SUBSTITUTE(UPPER(#REF!)," ",""),":",": "),SUBSTITUTE(SUBSTITUTE(UPPER(S1588)," ",""),":",": "))),0)),"Não encontrado")</f>
        <v>Não encontrado</v>
      </c>
      <c r="E1588" s="42" t="str" cm="1">
        <f t="array" ref="E1588">IFERROR(INDEX({"IMPEDITIVO"},MATCH(TRUE,ISNUMBER(FIND(SUBSTITUTE(SUBSTITUTE(UPPER({"IMPEDITIVO"})," ",""),":",": "),SUBSTITUTE(SUBSTITUTE(UPPER(S1588)," ",""),":",": "))),0)),"-")</f>
        <v>-</v>
      </c>
      <c r="K1588" s="49"/>
    </row>
    <row r="1589" spans="1:11" x14ac:dyDescent="0.25">
      <c r="A1589" s="46" t="str" cm="1">
        <f t="array" ref="A1589">IFERROR(INDEX(#REF!,MATCH(TRUE,ISNUMBER(FIND(SUBSTITUTE(SUBSTITUTE(UPPER(#REF!)," ",""),":",": "),SUBSTITUTE(SUBSTITUTE(UPPER(S1589)," ",""),":",": "))),0)),"Undefined")</f>
        <v>Undefined</v>
      </c>
      <c r="B1589" s="42" t="str" cm="1">
        <f t="array" ref="B1589">IFERROR(INDEX({"URGENTE"},MATCH(TRUE,ISNUMBER(FIND(SUBSTITUTE(SUBSTITUTE(UPPER({"URGENTE"})," ",""),":",": "),SUBSTITUTE(SUBSTITUTE(UPPER(S1589)," ",""),":",": "))),0)),"-")</f>
        <v>-</v>
      </c>
      <c r="C1589" s="46" t="str" cm="1">
        <f t="array" ref="C1589">IFERROR(INDEX(#REF!,MATCH(TRUE,ISNUMBER(FIND(SUBSTITUTE(SUBSTITUTE(UPPER(#REF!)," ",""),":",": "),SUBSTITUTE(SUBSTITUTE(UPPER(S1589)," ",""),":",": "))),0)),"Não encontrado")</f>
        <v>Não encontrado</v>
      </c>
      <c r="D1589" s="46" t="str" cm="1">
        <f t="array" ref="D1589">IFERROR(INDEX(#REF!,MATCH(TRUE,ISNUMBER(FIND(SUBSTITUTE(SUBSTITUTE(UPPER(#REF!)," ",""),":",": "),SUBSTITUTE(SUBSTITUTE(UPPER(S1589)," ",""),":",": "))),0)),"Não encontrado")</f>
        <v>Não encontrado</v>
      </c>
      <c r="E1589" s="42" t="str" cm="1">
        <f t="array" ref="E1589">IFERROR(INDEX({"IMPEDITIVO"},MATCH(TRUE,ISNUMBER(FIND(SUBSTITUTE(SUBSTITUTE(UPPER({"IMPEDITIVO"})," ",""),":",": "),SUBSTITUTE(SUBSTITUTE(UPPER(S1589)," ",""),":",": "))),0)),"-")</f>
        <v>-</v>
      </c>
      <c r="K1589" s="49"/>
    </row>
    <row r="1590" spans="1:11" x14ac:dyDescent="0.25">
      <c r="A1590" s="46" t="str" cm="1">
        <f t="array" ref="A1590">IFERROR(INDEX(#REF!,MATCH(TRUE,ISNUMBER(FIND(SUBSTITUTE(SUBSTITUTE(UPPER(#REF!)," ",""),":",": "),SUBSTITUTE(SUBSTITUTE(UPPER(S1590)," ",""),":",": "))),0)),"Undefined")</f>
        <v>Undefined</v>
      </c>
      <c r="B1590" s="42" t="str" cm="1">
        <f t="array" ref="B1590">IFERROR(INDEX({"URGENTE"},MATCH(TRUE,ISNUMBER(FIND(SUBSTITUTE(SUBSTITUTE(UPPER({"URGENTE"})," ",""),":",": "),SUBSTITUTE(SUBSTITUTE(UPPER(S1590)," ",""),":",": "))),0)),"-")</f>
        <v>-</v>
      </c>
      <c r="C1590" s="46" t="str" cm="1">
        <f t="array" ref="C1590">IFERROR(INDEX(#REF!,MATCH(TRUE,ISNUMBER(FIND(SUBSTITUTE(SUBSTITUTE(UPPER(#REF!)," ",""),":",": "),SUBSTITUTE(SUBSTITUTE(UPPER(S1590)," ",""),":",": "))),0)),"Não encontrado")</f>
        <v>Não encontrado</v>
      </c>
      <c r="D1590" s="46" t="str" cm="1">
        <f t="array" ref="D1590">IFERROR(INDEX(#REF!,MATCH(TRUE,ISNUMBER(FIND(SUBSTITUTE(SUBSTITUTE(UPPER(#REF!)," ",""),":",": "),SUBSTITUTE(SUBSTITUTE(UPPER(S1590)," ",""),":",": "))),0)),"Não encontrado")</f>
        <v>Não encontrado</v>
      </c>
      <c r="E1590" s="42" t="str" cm="1">
        <f t="array" ref="E1590">IFERROR(INDEX({"IMPEDITIVO"},MATCH(TRUE,ISNUMBER(FIND(SUBSTITUTE(SUBSTITUTE(UPPER({"IMPEDITIVO"})," ",""),":",": "),SUBSTITUTE(SUBSTITUTE(UPPER(S1590)," ",""),":",": "))),0)),"-")</f>
        <v>-</v>
      </c>
      <c r="K1590" s="49"/>
    </row>
    <row r="1591" spans="1:11" x14ac:dyDescent="0.25">
      <c r="A1591" s="46" t="str" cm="1">
        <f t="array" ref="A1591">IFERROR(INDEX(#REF!,MATCH(TRUE,ISNUMBER(FIND(SUBSTITUTE(SUBSTITUTE(UPPER(#REF!)," ",""),":",": "),SUBSTITUTE(SUBSTITUTE(UPPER(S1591)," ",""),":",": "))),0)),"Undefined")</f>
        <v>Undefined</v>
      </c>
      <c r="B1591" s="42" t="str" cm="1">
        <f t="array" ref="B1591">IFERROR(INDEX({"URGENTE"},MATCH(TRUE,ISNUMBER(FIND(SUBSTITUTE(SUBSTITUTE(UPPER({"URGENTE"})," ",""),":",": "),SUBSTITUTE(SUBSTITUTE(UPPER(S1591)," ",""),":",": "))),0)),"-")</f>
        <v>-</v>
      </c>
      <c r="C1591" s="46" t="str" cm="1">
        <f t="array" ref="C1591">IFERROR(INDEX(#REF!,MATCH(TRUE,ISNUMBER(FIND(SUBSTITUTE(SUBSTITUTE(UPPER(#REF!)," ",""),":",": "),SUBSTITUTE(SUBSTITUTE(UPPER(S1591)," ",""),":",": "))),0)),"Não encontrado")</f>
        <v>Não encontrado</v>
      </c>
      <c r="D1591" s="46" t="str" cm="1">
        <f t="array" ref="D1591">IFERROR(INDEX(#REF!,MATCH(TRUE,ISNUMBER(FIND(SUBSTITUTE(SUBSTITUTE(UPPER(#REF!)," ",""),":",": "),SUBSTITUTE(SUBSTITUTE(UPPER(S1591)," ",""),":",": "))),0)),"Não encontrado")</f>
        <v>Não encontrado</v>
      </c>
      <c r="E1591" s="42" t="str" cm="1">
        <f t="array" ref="E1591">IFERROR(INDEX({"IMPEDITIVO"},MATCH(TRUE,ISNUMBER(FIND(SUBSTITUTE(SUBSTITUTE(UPPER({"IMPEDITIVO"})," ",""),":",": "),SUBSTITUTE(SUBSTITUTE(UPPER(S1591)," ",""),":",": "))),0)),"-")</f>
        <v>-</v>
      </c>
      <c r="K1591" s="49"/>
    </row>
    <row r="1592" spans="1:11" x14ac:dyDescent="0.25">
      <c r="A1592" s="46" t="str" cm="1">
        <f t="array" ref="A1592">IFERROR(INDEX(#REF!,MATCH(TRUE,ISNUMBER(FIND(SUBSTITUTE(SUBSTITUTE(UPPER(#REF!)," ",""),":",": "),SUBSTITUTE(SUBSTITUTE(UPPER(S1592)," ",""),":",": "))),0)),"Undefined")</f>
        <v>Undefined</v>
      </c>
      <c r="B1592" s="42" t="str" cm="1">
        <f t="array" ref="B1592">IFERROR(INDEX({"URGENTE"},MATCH(TRUE,ISNUMBER(FIND(SUBSTITUTE(SUBSTITUTE(UPPER({"URGENTE"})," ",""),":",": "),SUBSTITUTE(SUBSTITUTE(UPPER(S1592)," ",""),":",": "))),0)),"-")</f>
        <v>-</v>
      </c>
      <c r="C1592" s="46" t="str" cm="1">
        <f t="array" ref="C1592">IFERROR(INDEX(#REF!,MATCH(TRUE,ISNUMBER(FIND(SUBSTITUTE(SUBSTITUTE(UPPER(#REF!)," ",""),":",": "),SUBSTITUTE(SUBSTITUTE(UPPER(S1592)," ",""),":",": "))),0)),"Não encontrado")</f>
        <v>Não encontrado</v>
      </c>
      <c r="D1592" s="46" t="str" cm="1">
        <f t="array" ref="D1592">IFERROR(INDEX(#REF!,MATCH(TRUE,ISNUMBER(FIND(SUBSTITUTE(SUBSTITUTE(UPPER(#REF!)," ",""),":",": "),SUBSTITUTE(SUBSTITUTE(UPPER(S1592)," ",""),":",": "))),0)),"Não encontrado")</f>
        <v>Não encontrado</v>
      </c>
      <c r="E1592" s="42" t="str" cm="1">
        <f t="array" ref="E1592">IFERROR(INDEX({"IMPEDITIVO"},MATCH(TRUE,ISNUMBER(FIND(SUBSTITUTE(SUBSTITUTE(UPPER({"IMPEDITIVO"})," ",""),":",": "),SUBSTITUTE(SUBSTITUTE(UPPER(S1592)," ",""),":",": "))),0)),"-")</f>
        <v>-</v>
      </c>
      <c r="K1592" s="49"/>
    </row>
    <row r="1593" spans="1:11" x14ac:dyDescent="0.25">
      <c r="A1593" s="46" t="str" cm="1">
        <f t="array" ref="A1593">IFERROR(INDEX(#REF!,MATCH(TRUE,ISNUMBER(FIND(SUBSTITUTE(SUBSTITUTE(UPPER(#REF!)," ",""),":",": "),SUBSTITUTE(SUBSTITUTE(UPPER(S1593)," ",""),":",": "))),0)),"Undefined")</f>
        <v>Undefined</v>
      </c>
      <c r="B1593" s="42" t="str" cm="1">
        <f t="array" ref="B1593">IFERROR(INDEX({"URGENTE"},MATCH(TRUE,ISNUMBER(FIND(SUBSTITUTE(SUBSTITUTE(UPPER({"URGENTE"})," ",""),":",": "),SUBSTITUTE(SUBSTITUTE(UPPER(S1593)," ",""),":",": "))),0)),"-")</f>
        <v>-</v>
      </c>
      <c r="C1593" s="46" t="str" cm="1">
        <f t="array" ref="C1593">IFERROR(INDEX(#REF!,MATCH(TRUE,ISNUMBER(FIND(SUBSTITUTE(SUBSTITUTE(UPPER(#REF!)," ",""),":",": "),SUBSTITUTE(SUBSTITUTE(UPPER(S1593)," ",""),":",": "))),0)),"Não encontrado")</f>
        <v>Não encontrado</v>
      </c>
      <c r="D1593" s="46" t="str" cm="1">
        <f t="array" ref="D1593">IFERROR(INDEX(#REF!,MATCH(TRUE,ISNUMBER(FIND(SUBSTITUTE(SUBSTITUTE(UPPER(#REF!)," ",""),":",": "),SUBSTITUTE(SUBSTITUTE(UPPER(S1593)," ",""),":",": "))),0)),"Não encontrado")</f>
        <v>Não encontrado</v>
      </c>
      <c r="E1593" s="42" t="str" cm="1">
        <f t="array" ref="E1593">IFERROR(INDEX({"IMPEDITIVO"},MATCH(TRUE,ISNUMBER(FIND(SUBSTITUTE(SUBSTITUTE(UPPER({"IMPEDITIVO"})," ",""),":",": "),SUBSTITUTE(SUBSTITUTE(UPPER(S1593)," ",""),":",": "))),0)),"-")</f>
        <v>-</v>
      </c>
      <c r="K1593" s="49"/>
    </row>
    <row r="1594" spans="1:11" x14ac:dyDescent="0.25">
      <c r="A1594" s="46" t="str" cm="1">
        <f t="array" ref="A1594">IFERROR(INDEX(#REF!,MATCH(TRUE,ISNUMBER(FIND(SUBSTITUTE(SUBSTITUTE(UPPER(#REF!)," ",""),":",": "),SUBSTITUTE(SUBSTITUTE(UPPER(S1594)," ",""),":",": "))),0)),"Undefined")</f>
        <v>Undefined</v>
      </c>
      <c r="B1594" s="42" t="str" cm="1">
        <f t="array" ref="B1594">IFERROR(INDEX({"URGENTE"},MATCH(TRUE,ISNUMBER(FIND(SUBSTITUTE(SUBSTITUTE(UPPER({"URGENTE"})," ",""),":",": "),SUBSTITUTE(SUBSTITUTE(UPPER(S1594)," ",""),":",": "))),0)),"-")</f>
        <v>-</v>
      </c>
      <c r="C1594" s="46" t="str" cm="1">
        <f t="array" ref="C1594">IFERROR(INDEX(#REF!,MATCH(TRUE,ISNUMBER(FIND(SUBSTITUTE(SUBSTITUTE(UPPER(#REF!)," ",""),":",": "),SUBSTITUTE(SUBSTITUTE(UPPER(S1594)," ",""),":",": "))),0)),"Não encontrado")</f>
        <v>Não encontrado</v>
      </c>
      <c r="D1594" s="46" t="str" cm="1">
        <f t="array" ref="D1594">IFERROR(INDEX(#REF!,MATCH(TRUE,ISNUMBER(FIND(SUBSTITUTE(SUBSTITUTE(UPPER(#REF!)," ",""),":",": "),SUBSTITUTE(SUBSTITUTE(UPPER(S1594)," ",""),":",": "))),0)),"Não encontrado")</f>
        <v>Não encontrado</v>
      </c>
      <c r="E1594" s="42" t="str" cm="1">
        <f t="array" ref="E1594">IFERROR(INDEX({"IMPEDITIVO"},MATCH(TRUE,ISNUMBER(FIND(SUBSTITUTE(SUBSTITUTE(UPPER({"IMPEDITIVO"})," ",""),":",": "),SUBSTITUTE(SUBSTITUTE(UPPER(S1594)," ",""),":",": "))),0)),"-")</f>
        <v>-</v>
      </c>
      <c r="K1594" s="49"/>
    </row>
    <row r="1595" spans="1:11" x14ac:dyDescent="0.25">
      <c r="A1595" s="46" t="str" cm="1">
        <f t="array" ref="A1595">IFERROR(INDEX(#REF!,MATCH(TRUE,ISNUMBER(FIND(SUBSTITUTE(SUBSTITUTE(UPPER(#REF!)," ",""),":",": "),SUBSTITUTE(SUBSTITUTE(UPPER(S1595)," ",""),":",": "))),0)),"Undefined")</f>
        <v>Undefined</v>
      </c>
      <c r="B1595" s="42" t="str" cm="1">
        <f t="array" ref="B1595">IFERROR(INDEX({"URGENTE"},MATCH(TRUE,ISNUMBER(FIND(SUBSTITUTE(SUBSTITUTE(UPPER({"URGENTE"})," ",""),":",": "),SUBSTITUTE(SUBSTITUTE(UPPER(S1595)," ",""),":",": "))),0)),"-")</f>
        <v>-</v>
      </c>
      <c r="C1595" s="46" t="str" cm="1">
        <f t="array" ref="C1595">IFERROR(INDEX(#REF!,MATCH(TRUE,ISNUMBER(FIND(SUBSTITUTE(SUBSTITUTE(UPPER(#REF!)," ",""),":",": "),SUBSTITUTE(SUBSTITUTE(UPPER(S1595)," ",""),":",": "))),0)),"Não encontrado")</f>
        <v>Não encontrado</v>
      </c>
      <c r="D1595" s="46" t="str" cm="1">
        <f t="array" ref="D1595">IFERROR(INDEX(#REF!,MATCH(TRUE,ISNUMBER(FIND(SUBSTITUTE(SUBSTITUTE(UPPER(#REF!)," ",""),":",": "),SUBSTITUTE(SUBSTITUTE(UPPER(S1595)," ",""),":",": "))),0)),"Não encontrado")</f>
        <v>Não encontrado</v>
      </c>
      <c r="E1595" s="42" t="str" cm="1">
        <f t="array" ref="E1595">IFERROR(INDEX({"IMPEDITIVO"},MATCH(TRUE,ISNUMBER(FIND(SUBSTITUTE(SUBSTITUTE(UPPER({"IMPEDITIVO"})," ",""),":",": "),SUBSTITUTE(SUBSTITUTE(UPPER(S1595)," ",""),":",": "))),0)),"-")</f>
        <v>-</v>
      </c>
      <c r="K1595" s="49"/>
    </row>
    <row r="1596" spans="1:11" x14ac:dyDescent="0.25">
      <c r="A1596" s="46" t="str" cm="1">
        <f t="array" ref="A1596">IFERROR(INDEX(#REF!,MATCH(TRUE,ISNUMBER(FIND(SUBSTITUTE(SUBSTITUTE(UPPER(#REF!)," ",""),":",": "),SUBSTITUTE(SUBSTITUTE(UPPER(S1596)," ",""),":",": "))),0)),"Undefined")</f>
        <v>Undefined</v>
      </c>
      <c r="B1596" s="42" t="str" cm="1">
        <f t="array" ref="B1596">IFERROR(INDEX({"URGENTE"},MATCH(TRUE,ISNUMBER(FIND(SUBSTITUTE(SUBSTITUTE(UPPER({"URGENTE"})," ",""),":",": "),SUBSTITUTE(SUBSTITUTE(UPPER(S1596)," ",""),":",": "))),0)),"-")</f>
        <v>-</v>
      </c>
      <c r="C1596" s="46" t="str" cm="1">
        <f t="array" ref="C1596">IFERROR(INDEX(#REF!,MATCH(TRUE,ISNUMBER(FIND(SUBSTITUTE(SUBSTITUTE(UPPER(#REF!)," ",""),":",": "),SUBSTITUTE(SUBSTITUTE(UPPER(S1596)," ",""),":",": "))),0)),"Não encontrado")</f>
        <v>Não encontrado</v>
      </c>
      <c r="D1596" s="46" t="str" cm="1">
        <f t="array" ref="D1596">IFERROR(INDEX(#REF!,MATCH(TRUE,ISNUMBER(FIND(SUBSTITUTE(SUBSTITUTE(UPPER(#REF!)," ",""),":",": "),SUBSTITUTE(SUBSTITUTE(UPPER(S1596)," ",""),":",": "))),0)),"Não encontrado")</f>
        <v>Não encontrado</v>
      </c>
      <c r="E1596" s="42" t="str" cm="1">
        <f t="array" ref="E1596">IFERROR(INDEX({"IMPEDITIVO"},MATCH(TRUE,ISNUMBER(FIND(SUBSTITUTE(SUBSTITUTE(UPPER({"IMPEDITIVO"})," ",""),":",": "),SUBSTITUTE(SUBSTITUTE(UPPER(S1596)," ",""),":",": "))),0)),"-")</f>
        <v>-</v>
      </c>
      <c r="K1596" s="49"/>
    </row>
    <row r="1597" spans="1:11" x14ac:dyDescent="0.25">
      <c r="A1597" s="46" t="str" cm="1">
        <f t="array" ref="A1597">IFERROR(INDEX(#REF!,MATCH(TRUE,ISNUMBER(FIND(SUBSTITUTE(SUBSTITUTE(UPPER(#REF!)," ",""),":",": "),SUBSTITUTE(SUBSTITUTE(UPPER(S1597)," ",""),":",": "))),0)),"Undefined")</f>
        <v>Undefined</v>
      </c>
      <c r="B1597" s="42" t="str" cm="1">
        <f t="array" ref="B1597">IFERROR(INDEX({"URGENTE"},MATCH(TRUE,ISNUMBER(FIND(SUBSTITUTE(SUBSTITUTE(UPPER({"URGENTE"})," ",""),":",": "),SUBSTITUTE(SUBSTITUTE(UPPER(S1597)," ",""),":",": "))),0)),"-")</f>
        <v>-</v>
      </c>
      <c r="C1597" s="46" t="str" cm="1">
        <f t="array" ref="C1597">IFERROR(INDEX(#REF!,MATCH(TRUE,ISNUMBER(FIND(SUBSTITUTE(SUBSTITUTE(UPPER(#REF!)," ",""),":",": "),SUBSTITUTE(SUBSTITUTE(UPPER(S1597)," ",""),":",": "))),0)),"Não encontrado")</f>
        <v>Não encontrado</v>
      </c>
      <c r="D1597" s="46" t="str" cm="1">
        <f t="array" ref="D1597">IFERROR(INDEX(#REF!,MATCH(TRUE,ISNUMBER(FIND(SUBSTITUTE(SUBSTITUTE(UPPER(#REF!)," ",""),":",": "),SUBSTITUTE(SUBSTITUTE(UPPER(S1597)," ",""),":",": "))),0)),"Não encontrado")</f>
        <v>Não encontrado</v>
      </c>
      <c r="E1597" s="42" t="str" cm="1">
        <f t="array" ref="E1597">IFERROR(INDEX({"IMPEDITIVO"},MATCH(TRUE,ISNUMBER(FIND(SUBSTITUTE(SUBSTITUTE(UPPER({"IMPEDITIVO"})," ",""),":",": "),SUBSTITUTE(SUBSTITUTE(UPPER(S1597)," ",""),":",": "))),0)),"-")</f>
        <v>-</v>
      </c>
      <c r="K1597" s="49"/>
    </row>
    <row r="1598" spans="1:11" x14ac:dyDescent="0.25">
      <c r="A1598" s="46" t="str" cm="1">
        <f t="array" ref="A1598">IFERROR(INDEX(#REF!,MATCH(TRUE,ISNUMBER(FIND(SUBSTITUTE(SUBSTITUTE(UPPER(#REF!)," ",""),":",": "),SUBSTITUTE(SUBSTITUTE(UPPER(S1598)," ",""),":",": "))),0)),"Undefined")</f>
        <v>Undefined</v>
      </c>
      <c r="B1598" s="42" t="str" cm="1">
        <f t="array" ref="B1598">IFERROR(INDEX({"URGENTE"},MATCH(TRUE,ISNUMBER(FIND(SUBSTITUTE(SUBSTITUTE(UPPER({"URGENTE"})," ",""),":",": "),SUBSTITUTE(SUBSTITUTE(UPPER(S1598)," ",""),":",": "))),0)),"-")</f>
        <v>-</v>
      </c>
      <c r="C1598" s="46" t="str" cm="1">
        <f t="array" ref="C1598">IFERROR(INDEX(#REF!,MATCH(TRUE,ISNUMBER(FIND(SUBSTITUTE(SUBSTITUTE(UPPER(#REF!)," ",""),":",": "),SUBSTITUTE(SUBSTITUTE(UPPER(S1598)," ",""),":",": "))),0)),"Não encontrado")</f>
        <v>Não encontrado</v>
      </c>
      <c r="D1598" s="46" t="str" cm="1">
        <f t="array" ref="D1598">IFERROR(INDEX(#REF!,MATCH(TRUE,ISNUMBER(FIND(SUBSTITUTE(SUBSTITUTE(UPPER(#REF!)," ",""),":",": "),SUBSTITUTE(SUBSTITUTE(UPPER(S1598)," ",""),":",": "))),0)),"Não encontrado")</f>
        <v>Não encontrado</v>
      </c>
      <c r="E1598" s="42" t="str" cm="1">
        <f t="array" ref="E1598">IFERROR(INDEX({"IMPEDITIVO"},MATCH(TRUE,ISNUMBER(FIND(SUBSTITUTE(SUBSTITUTE(UPPER({"IMPEDITIVO"})," ",""),":",": "),SUBSTITUTE(SUBSTITUTE(UPPER(S1598)," ",""),":",": "))),0)),"-")</f>
        <v>-</v>
      </c>
      <c r="K1598" s="49"/>
    </row>
    <row r="1599" spans="1:11" x14ac:dyDescent="0.25">
      <c r="A1599" s="46" t="str" cm="1">
        <f t="array" ref="A1599">IFERROR(INDEX(#REF!,MATCH(TRUE,ISNUMBER(FIND(SUBSTITUTE(SUBSTITUTE(UPPER(#REF!)," ",""),":",": "),SUBSTITUTE(SUBSTITUTE(UPPER(S1599)," ",""),":",": "))),0)),"Undefined")</f>
        <v>Undefined</v>
      </c>
      <c r="B1599" s="42" t="str" cm="1">
        <f t="array" ref="B1599">IFERROR(INDEX({"URGENTE"},MATCH(TRUE,ISNUMBER(FIND(SUBSTITUTE(SUBSTITUTE(UPPER({"URGENTE"})," ",""),":",": "),SUBSTITUTE(SUBSTITUTE(UPPER(S1599)," ",""),":",": "))),0)),"-")</f>
        <v>-</v>
      </c>
      <c r="C1599" s="46" t="str" cm="1">
        <f t="array" ref="C1599">IFERROR(INDEX(#REF!,MATCH(TRUE,ISNUMBER(FIND(SUBSTITUTE(SUBSTITUTE(UPPER(#REF!)," ",""),":",": "),SUBSTITUTE(SUBSTITUTE(UPPER(S1599)," ",""),":",": "))),0)),"Não encontrado")</f>
        <v>Não encontrado</v>
      </c>
      <c r="D1599" s="46" t="str" cm="1">
        <f t="array" ref="D1599">IFERROR(INDEX(#REF!,MATCH(TRUE,ISNUMBER(FIND(SUBSTITUTE(SUBSTITUTE(UPPER(#REF!)," ",""),":",": "),SUBSTITUTE(SUBSTITUTE(UPPER(S1599)," ",""),":",": "))),0)),"Não encontrado")</f>
        <v>Não encontrado</v>
      </c>
      <c r="E1599" s="42" t="str" cm="1">
        <f t="array" ref="E1599">IFERROR(INDEX({"IMPEDITIVO"},MATCH(TRUE,ISNUMBER(FIND(SUBSTITUTE(SUBSTITUTE(UPPER({"IMPEDITIVO"})," ",""),":",": "),SUBSTITUTE(SUBSTITUTE(UPPER(S1599)," ",""),":",": "))),0)),"-")</f>
        <v>-</v>
      </c>
      <c r="K1599" s="49"/>
    </row>
    <row r="1600" spans="1:11" x14ac:dyDescent="0.25">
      <c r="A1600" s="46" t="str" cm="1">
        <f t="array" ref="A1600">IFERROR(INDEX(#REF!,MATCH(TRUE,ISNUMBER(FIND(SUBSTITUTE(SUBSTITUTE(UPPER(#REF!)," ",""),":",": "),SUBSTITUTE(SUBSTITUTE(UPPER(S1600)," ",""),":",": "))),0)),"Undefined")</f>
        <v>Undefined</v>
      </c>
      <c r="B1600" s="42" t="str" cm="1">
        <f t="array" ref="B1600">IFERROR(INDEX({"URGENTE"},MATCH(TRUE,ISNUMBER(FIND(SUBSTITUTE(SUBSTITUTE(UPPER({"URGENTE"})," ",""),":",": "),SUBSTITUTE(SUBSTITUTE(UPPER(S1600)," ",""),":",": "))),0)),"-")</f>
        <v>-</v>
      </c>
      <c r="C1600" s="46" t="str" cm="1">
        <f t="array" ref="C1600">IFERROR(INDEX(#REF!,MATCH(TRUE,ISNUMBER(FIND(SUBSTITUTE(SUBSTITUTE(UPPER(#REF!)," ",""),":",": "),SUBSTITUTE(SUBSTITUTE(UPPER(S1600)," ",""),":",": "))),0)),"Não encontrado")</f>
        <v>Não encontrado</v>
      </c>
      <c r="D1600" s="46" t="str" cm="1">
        <f t="array" ref="D1600">IFERROR(INDEX(#REF!,MATCH(TRUE,ISNUMBER(FIND(SUBSTITUTE(SUBSTITUTE(UPPER(#REF!)," ",""),":",": "),SUBSTITUTE(SUBSTITUTE(UPPER(S1600)," ",""),":",": "))),0)),"Não encontrado")</f>
        <v>Não encontrado</v>
      </c>
      <c r="E1600" s="42" t="str" cm="1">
        <f t="array" ref="E1600">IFERROR(INDEX({"IMPEDITIVO"},MATCH(TRUE,ISNUMBER(FIND(SUBSTITUTE(SUBSTITUTE(UPPER({"IMPEDITIVO"})," ",""),":",": "),SUBSTITUTE(SUBSTITUTE(UPPER(S1600)," ",""),":",": "))),0)),"-")</f>
        <v>-</v>
      </c>
      <c r="K1600" s="49"/>
    </row>
    <row r="1601" spans="1:11" x14ac:dyDescent="0.25">
      <c r="A1601" s="46" t="str" cm="1">
        <f t="array" ref="A1601">IFERROR(INDEX(#REF!,MATCH(TRUE,ISNUMBER(FIND(SUBSTITUTE(SUBSTITUTE(UPPER(#REF!)," ",""),":",": "),SUBSTITUTE(SUBSTITUTE(UPPER(S1601)," ",""),":",": "))),0)),"Undefined")</f>
        <v>Undefined</v>
      </c>
      <c r="B1601" s="42" t="str" cm="1">
        <f t="array" ref="B1601">IFERROR(INDEX({"URGENTE"},MATCH(TRUE,ISNUMBER(FIND(SUBSTITUTE(SUBSTITUTE(UPPER({"URGENTE"})," ",""),":",": "),SUBSTITUTE(SUBSTITUTE(UPPER(S1601)," ",""),":",": "))),0)),"-")</f>
        <v>-</v>
      </c>
      <c r="C1601" s="46" t="str" cm="1">
        <f t="array" ref="C1601">IFERROR(INDEX(#REF!,MATCH(TRUE,ISNUMBER(FIND(SUBSTITUTE(SUBSTITUTE(UPPER(#REF!)," ",""),":",": "),SUBSTITUTE(SUBSTITUTE(UPPER(S1601)," ",""),":",": "))),0)),"Não encontrado")</f>
        <v>Não encontrado</v>
      </c>
      <c r="D1601" s="46" t="str" cm="1">
        <f t="array" ref="D1601">IFERROR(INDEX(#REF!,MATCH(TRUE,ISNUMBER(FIND(SUBSTITUTE(SUBSTITUTE(UPPER(#REF!)," ",""),":",": "),SUBSTITUTE(SUBSTITUTE(UPPER(S1601)," ",""),":",": "))),0)),"Não encontrado")</f>
        <v>Não encontrado</v>
      </c>
      <c r="E1601" s="42" t="str" cm="1">
        <f t="array" ref="E1601">IFERROR(INDEX({"IMPEDITIVO"},MATCH(TRUE,ISNUMBER(FIND(SUBSTITUTE(SUBSTITUTE(UPPER({"IMPEDITIVO"})," ",""),":",": "),SUBSTITUTE(SUBSTITUTE(UPPER(S1601)," ",""),":",": "))),0)),"-")</f>
        <v>-</v>
      </c>
      <c r="K1601" s="49"/>
    </row>
    <row r="1602" spans="1:11" x14ac:dyDescent="0.25">
      <c r="A1602" s="46" t="str" cm="1">
        <f t="array" ref="A1602">IFERROR(INDEX(#REF!,MATCH(TRUE,ISNUMBER(FIND(SUBSTITUTE(SUBSTITUTE(UPPER(#REF!)," ",""),":",": "),SUBSTITUTE(SUBSTITUTE(UPPER(S1602)," ",""),":",": "))),0)),"Undefined")</f>
        <v>Undefined</v>
      </c>
      <c r="B1602" s="42" t="str" cm="1">
        <f t="array" ref="B1602">IFERROR(INDEX({"URGENTE"},MATCH(TRUE,ISNUMBER(FIND(SUBSTITUTE(SUBSTITUTE(UPPER({"URGENTE"})," ",""),":",": "),SUBSTITUTE(SUBSTITUTE(UPPER(S1602)," ",""),":",": "))),0)),"-")</f>
        <v>-</v>
      </c>
      <c r="C1602" s="46" t="str" cm="1">
        <f t="array" ref="C1602">IFERROR(INDEX(#REF!,MATCH(TRUE,ISNUMBER(FIND(SUBSTITUTE(SUBSTITUTE(UPPER(#REF!)," ",""),":",": "),SUBSTITUTE(SUBSTITUTE(UPPER(S1602)," ",""),":",": "))),0)),"Não encontrado")</f>
        <v>Não encontrado</v>
      </c>
      <c r="D1602" s="46" t="str" cm="1">
        <f t="array" ref="D1602">IFERROR(INDEX(#REF!,MATCH(TRUE,ISNUMBER(FIND(SUBSTITUTE(SUBSTITUTE(UPPER(#REF!)," ",""),":",": "),SUBSTITUTE(SUBSTITUTE(UPPER(S1602)," ",""),":",": "))),0)),"Não encontrado")</f>
        <v>Não encontrado</v>
      </c>
      <c r="E1602" s="42" t="str" cm="1">
        <f t="array" ref="E1602">IFERROR(INDEX({"IMPEDITIVO"},MATCH(TRUE,ISNUMBER(FIND(SUBSTITUTE(SUBSTITUTE(UPPER({"IMPEDITIVO"})," ",""),":",": "),SUBSTITUTE(SUBSTITUTE(UPPER(S1602)," ",""),":",": "))),0)),"-")</f>
        <v>-</v>
      </c>
      <c r="K1602" s="49"/>
    </row>
    <row r="1603" spans="1:11" x14ac:dyDescent="0.25">
      <c r="A1603" s="46" t="str" cm="1">
        <f t="array" ref="A1603">IFERROR(INDEX(#REF!,MATCH(TRUE,ISNUMBER(FIND(SUBSTITUTE(SUBSTITUTE(UPPER(#REF!)," ",""),":",": "),SUBSTITUTE(SUBSTITUTE(UPPER(S1603)," ",""),":",": "))),0)),"Undefined")</f>
        <v>Undefined</v>
      </c>
      <c r="B1603" s="42" t="str" cm="1">
        <f t="array" ref="B1603">IFERROR(INDEX({"URGENTE"},MATCH(TRUE,ISNUMBER(FIND(SUBSTITUTE(SUBSTITUTE(UPPER({"URGENTE"})," ",""),":",": "),SUBSTITUTE(SUBSTITUTE(UPPER(S1603)," ",""),":",": "))),0)),"-")</f>
        <v>-</v>
      </c>
      <c r="C1603" s="46" t="str" cm="1">
        <f t="array" ref="C1603">IFERROR(INDEX(#REF!,MATCH(TRUE,ISNUMBER(FIND(SUBSTITUTE(SUBSTITUTE(UPPER(#REF!)," ",""),":",": "),SUBSTITUTE(SUBSTITUTE(UPPER(S1603)," ",""),":",": "))),0)),"Não encontrado")</f>
        <v>Não encontrado</v>
      </c>
      <c r="D1603" s="46" t="str" cm="1">
        <f t="array" ref="D1603">IFERROR(INDEX(#REF!,MATCH(TRUE,ISNUMBER(FIND(SUBSTITUTE(SUBSTITUTE(UPPER(#REF!)," ",""),":",": "),SUBSTITUTE(SUBSTITUTE(UPPER(S1603)," ",""),":",": "))),0)),"Não encontrado")</f>
        <v>Não encontrado</v>
      </c>
      <c r="E1603" s="42" t="str" cm="1">
        <f t="array" ref="E1603">IFERROR(INDEX({"IMPEDITIVO"},MATCH(TRUE,ISNUMBER(FIND(SUBSTITUTE(SUBSTITUTE(UPPER({"IMPEDITIVO"})," ",""),":",": "),SUBSTITUTE(SUBSTITUTE(UPPER(S1603)," ",""),":",": "))),0)),"-")</f>
        <v>-</v>
      </c>
      <c r="K1603" s="49"/>
    </row>
    <row r="1604" spans="1:11" x14ac:dyDescent="0.25">
      <c r="A1604" s="46" t="str" cm="1">
        <f t="array" ref="A1604">IFERROR(INDEX(#REF!,MATCH(TRUE,ISNUMBER(FIND(SUBSTITUTE(SUBSTITUTE(UPPER(#REF!)," ",""),":",": "),SUBSTITUTE(SUBSTITUTE(UPPER(S1604)," ",""),":",": "))),0)),"Undefined")</f>
        <v>Undefined</v>
      </c>
      <c r="B1604" s="42" t="str" cm="1">
        <f t="array" ref="B1604">IFERROR(INDEX({"URGENTE"},MATCH(TRUE,ISNUMBER(FIND(SUBSTITUTE(SUBSTITUTE(UPPER({"URGENTE"})," ",""),":",": "),SUBSTITUTE(SUBSTITUTE(UPPER(S1604)," ",""),":",": "))),0)),"-")</f>
        <v>-</v>
      </c>
      <c r="C1604" s="46" t="str" cm="1">
        <f t="array" ref="C1604">IFERROR(INDEX(#REF!,MATCH(TRUE,ISNUMBER(FIND(SUBSTITUTE(SUBSTITUTE(UPPER(#REF!)," ",""),":",": "),SUBSTITUTE(SUBSTITUTE(UPPER(S1604)," ",""),":",": "))),0)),"Não encontrado")</f>
        <v>Não encontrado</v>
      </c>
      <c r="D1604" s="46" t="str" cm="1">
        <f t="array" ref="D1604">IFERROR(INDEX(#REF!,MATCH(TRUE,ISNUMBER(FIND(SUBSTITUTE(SUBSTITUTE(UPPER(#REF!)," ",""),":",": "),SUBSTITUTE(SUBSTITUTE(UPPER(S1604)," ",""),":",": "))),0)),"Não encontrado")</f>
        <v>Não encontrado</v>
      </c>
      <c r="E1604" s="42" t="str" cm="1">
        <f t="array" ref="E1604">IFERROR(INDEX({"IMPEDITIVO"},MATCH(TRUE,ISNUMBER(FIND(SUBSTITUTE(SUBSTITUTE(UPPER({"IMPEDITIVO"})," ",""),":",": "),SUBSTITUTE(SUBSTITUTE(UPPER(S1604)," ",""),":",": "))),0)),"-")</f>
        <v>-</v>
      </c>
      <c r="K1604" s="49"/>
    </row>
    <row r="1605" spans="1:11" x14ac:dyDescent="0.25">
      <c r="A1605" s="46" t="str" cm="1">
        <f t="array" ref="A1605">IFERROR(INDEX(#REF!,MATCH(TRUE,ISNUMBER(FIND(SUBSTITUTE(SUBSTITUTE(UPPER(#REF!)," ",""),":",": "),SUBSTITUTE(SUBSTITUTE(UPPER(S1605)," ",""),":",": "))),0)),"Undefined")</f>
        <v>Undefined</v>
      </c>
      <c r="B1605" s="42" t="str" cm="1">
        <f t="array" ref="B1605">IFERROR(INDEX({"URGENTE"},MATCH(TRUE,ISNUMBER(FIND(SUBSTITUTE(SUBSTITUTE(UPPER({"URGENTE"})," ",""),":",": "),SUBSTITUTE(SUBSTITUTE(UPPER(S1605)," ",""),":",": "))),0)),"-")</f>
        <v>-</v>
      </c>
      <c r="C1605" s="46" t="str" cm="1">
        <f t="array" ref="C1605">IFERROR(INDEX(#REF!,MATCH(TRUE,ISNUMBER(FIND(SUBSTITUTE(SUBSTITUTE(UPPER(#REF!)," ",""),":",": "),SUBSTITUTE(SUBSTITUTE(UPPER(S1605)," ",""),":",": "))),0)),"Não encontrado")</f>
        <v>Não encontrado</v>
      </c>
      <c r="D1605" s="46" t="str" cm="1">
        <f t="array" ref="D1605">IFERROR(INDEX(#REF!,MATCH(TRUE,ISNUMBER(FIND(SUBSTITUTE(SUBSTITUTE(UPPER(#REF!)," ",""),":",": "),SUBSTITUTE(SUBSTITUTE(UPPER(S1605)," ",""),":",": "))),0)),"Não encontrado")</f>
        <v>Não encontrado</v>
      </c>
      <c r="E1605" s="42" t="str" cm="1">
        <f t="array" ref="E1605">IFERROR(INDEX({"IMPEDITIVO"},MATCH(TRUE,ISNUMBER(FIND(SUBSTITUTE(SUBSTITUTE(UPPER({"IMPEDITIVO"})," ",""),":",": "),SUBSTITUTE(SUBSTITUTE(UPPER(S1605)," ",""),":",": "))),0)),"-")</f>
        <v>-</v>
      </c>
      <c r="K1605" s="49"/>
    </row>
    <row r="1606" spans="1:11" x14ac:dyDescent="0.25">
      <c r="A1606" s="46" t="str" cm="1">
        <f t="array" ref="A1606">IFERROR(INDEX(#REF!,MATCH(TRUE,ISNUMBER(FIND(SUBSTITUTE(SUBSTITUTE(UPPER(#REF!)," ",""),":",": "),SUBSTITUTE(SUBSTITUTE(UPPER(S1606)," ",""),":",": "))),0)),"Undefined")</f>
        <v>Undefined</v>
      </c>
      <c r="B1606" s="42" t="str" cm="1">
        <f t="array" ref="B1606">IFERROR(INDEX({"URGENTE"},MATCH(TRUE,ISNUMBER(FIND(SUBSTITUTE(SUBSTITUTE(UPPER({"URGENTE"})," ",""),":",": "),SUBSTITUTE(SUBSTITUTE(UPPER(S1606)," ",""),":",": "))),0)),"-")</f>
        <v>-</v>
      </c>
      <c r="C1606" s="46" t="str" cm="1">
        <f t="array" ref="C1606">IFERROR(INDEX(#REF!,MATCH(TRUE,ISNUMBER(FIND(SUBSTITUTE(SUBSTITUTE(UPPER(#REF!)," ",""),":",": "),SUBSTITUTE(SUBSTITUTE(UPPER(S1606)," ",""),":",": "))),0)),"Não encontrado")</f>
        <v>Não encontrado</v>
      </c>
      <c r="D1606" s="46" t="str" cm="1">
        <f t="array" ref="D1606">IFERROR(INDEX(#REF!,MATCH(TRUE,ISNUMBER(FIND(SUBSTITUTE(SUBSTITUTE(UPPER(#REF!)," ",""),":",": "),SUBSTITUTE(SUBSTITUTE(UPPER(S1606)," ",""),":",": "))),0)),"Não encontrado")</f>
        <v>Não encontrado</v>
      </c>
      <c r="E1606" s="42" t="str" cm="1">
        <f t="array" ref="E1606">IFERROR(INDEX({"IMPEDITIVO"},MATCH(TRUE,ISNUMBER(FIND(SUBSTITUTE(SUBSTITUTE(UPPER({"IMPEDITIVO"})," ",""),":",": "),SUBSTITUTE(SUBSTITUTE(UPPER(S1606)," ",""),":",": "))),0)),"-")</f>
        <v>-</v>
      </c>
      <c r="K1606" s="49"/>
    </row>
    <row r="1607" spans="1:11" x14ac:dyDescent="0.25">
      <c r="A1607" s="46" t="str" cm="1">
        <f t="array" ref="A1607">IFERROR(INDEX(#REF!,MATCH(TRUE,ISNUMBER(FIND(SUBSTITUTE(SUBSTITUTE(UPPER(#REF!)," ",""),":",": "),SUBSTITUTE(SUBSTITUTE(UPPER(S1607)," ",""),":",": "))),0)),"Undefined")</f>
        <v>Undefined</v>
      </c>
      <c r="B1607" s="42" t="str" cm="1">
        <f t="array" ref="B1607">IFERROR(INDEX({"URGENTE"},MATCH(TRUE,ISNUMBER(FIND(SUBSTITUTE(SUBSTITUTE(UPPER({"URGENTE"})," ",""),":",": "),SUBSTITUTE(SUBSTITUTE(UPPER(S1607)," ",""),":",": "))),0)),"-")</f>
        <v>-</v>
      </c>
      <c r="C1607" s="46" t="str" cm="1">
        <f t="array" ref="C1607">IFERROR(INDEX(#REF!,MATCH(TRUE,ISNUMBER(FIND(SUBSTITUTE(SUBSTITUTE(UPPER(#REF!)," ",""),":",": "),SUBSTITUTE(SUBSTITUTE(UPPER(S1607)," ",""),":",": "))),0)),"Não encontrado")</f>
        <v>Não encontrado</v>
      </c>
      <c r="D1607" s="46" t="str" cm="1">
        <f t="array" ref="D1607">IFERROR(INDEX(#REF!,MATCH(TRUE,ISNUMBER(FIND(SUBSTITUTE(SUBSTITUTE(UPPER(#REF!)," ",""),":",": "),SUBSTITUTE(SUBSTITUTE(UPPER(S1607)," ",""),":",": "))),0)),"Não encontrado")</f>
        <v>Não encontrado</v>
      </c>
      <c r="E1607" s="42" t="str" cm="1">
        <f t="array" ref="E1607">IFERROR(INDEX({"IMPEDITIVO"},MATCH(TRUE,ISNUMBER(FIND(SUBSTITUTE(SUBSTITUTE(UPPER({"IMPEDITIVO"})," ",""),":",": "),SUBSTITUTE(SUBSTITUTE(UPPER(S1607)," ",""),":",": "))),0)),"-")</f>
        <v>-</v>
      </c>
      <c r="K1607" s="49"/>
    </row>
    <row r="1608" spans="1:11" x14ac:dyDescent="0.25">
      <c r="A1608" s="46" t="str" cm="1">
        <f t="array" ref="A1608">IFERROR(INDEX(#REF!,MATCH(TRUE,ISNUMBER(FIND(SUBSTITUTE(SUBSTITUTE(UPPER(#REF!)," ",""),":",": "),SUBSTITUTE(SUBSTITUTE(UPPER(S1608)," ",""),":",": "))),0)),"Undefined")</f>
        <v>Undefined</v>
      </c>
      <c r="B1608" s="42" t="str" cm="1">
        <f t="array" ref="B1608">IFERROR(INDEX({"URGENTE"},MATCH(TRUE,ISNUMBER(FIND(SUBSTITUTE(SUBSTITUTE(UPPER({"URGENTE"})," ",""),":",": "),SUBSTITUTE(SUBSTITUTE(UPPER(S1608)," ",""),":",": "))),0)),"-")</f>
        <v>-</v>
      </c>
      <c r="C1608" s="46" t="str" cm="1">
        <f t="array" ref="C1608">IFERROR(INDEX(#REF!,MATCH(TRUE,ISNUMBER(FIND(SUBSTITUTE(SUBSTITUTE(UPPER(#REF!)," ",""),":",": "),SUBSTITUTE(SUBSTITUTE(UPPER(S1608)," ",""),":",": "))),0)),"Não encontrado")</f>
        <v>Não encontrado</v>
      </c>
      <c r="D1608" s="46" t="str" cm="1">
        <f t="array" ref="D1608">IFERROR(INDEX(#REF!,MATCH(TRUE,ISNUMBER(FIND(SUBSTITUTE(SUBSTITUTE(UPPER(#REF!)," ",""),":",": "),SUBSTITUTE(SUBSTITUTE(UPPER(S1608)," ",""),":",": "))),0)),"Não encontrado")</f>
        <v>Não encontrado</v>
      </c>
      <c r="E1608" s="42" t="str" cm="1">
        <f t="array" ref="E1608">IFERROR(INDEX({"IMPEDITIVO"},MATCH(TRUE,ISNUMBER(FIND(SUBSTITUTE(SUBSTITUTE(UPPER({"IMPEDITIVO"})," ",""),":",": "),SUBSTITUTE(SUBSTITUTE(UPPER(S1608)," ",""),":",": "))),0)),"-")</f>
        <v>-</v>
      </c>
      <c r="K1608" s="49"/>
    </row>
    <row r="1609" spans="1:11" x14ac:dyDescent="0.25">
      <c r="A1609" s="46" t="str" cm="1">
        <f t="array" ref="A1609">IFERROR(INDEX(#REF!,MATCH(TRUE,ISNUMBER(FIND(SUBSTITUTE(SUBSTITUTE(UPPER(#REF!)," ",""),":",": "),SUBSTITUTE(SUBSTITUTE(UPPER(S1609)," ",""),":",": "))),0)),"Undefined")</f>
        <v>Undefined</v>
      </c>
      <c r="B1609" s="42" t="str" cm="1">
        <f t="array" ref="B1609">IFERROR(INDEX({"URGENTE"},MATCH(TRUE,ISNUMBER(FIND(SUBSTITUTE(SUBSTITUTE(UPPER({"URGENTE"})," ",""),":",": "),SUBSTITUTE(SUBSTITUTE(UPPER(S1609)," ",""),":",": "))),0)),"-")</f>
        <v>-</v>
      </c>
      <c r="C1609" s="46" t="str" cm="1">
        <f t="array" ref="C1609">IFERROR(INDEX(#REF!,MATCH(TRUE,ISNUMBER(FIND(SUBSTITUTE(SUBSTITUTE(UPPER(#REF!)," ",""),":",": "),SUBSTITUTE(SUBSTITUTE(UPPER(S1609)," ",""),":",": "))),0)),"Não encontrado")</f>
        <v>Não encontrado</v>
      </c>
      <c r="D1609" s="46" t="str" cm="1">
        <f t="array" ref="D1609">IFERROR(INDEX(#REF!,MATCH(TRUE,ISNUMBER(FIND(SUBSTITUTE(SUBSTITUTE(UPPER(#REF!)," ",""),":",": "),SUBSTITUTE(SUBSTITUTE(UPPER(S1609)," ",""),":",": "))),0)),"Não encontrado")</f>
        <v>Não encontrado</v>
      </c>
      <c r="E1609" s="42" t="str" cm="1">
        <f t="array" ref="E1609">IFERROR(INDEX({"IMPEDITIVO"},MATCH(TRUE,ISNUMBER(FIND(SUBSTITUTE(SUBSTITUTE(UPPER({"IMPEDITIVO"})," ",""),":",": "),SUBSTITUTE(SUBSTITUTE(UPPER(S1609)," ",""),":",": "))),0)),"-")</f>
        <v>-</v>
      </c>
      <c r="K1609" s="49"/>
    </row>
    <row r="1610" spans="1:11" x14ac:dyDescent="0.25">
      <c r="A1610" s="46" t="str" cm="1">
        <f t="array" ref="A1610">IFERROR(INDEX(#REF!,MATCH(TRUE,ISNUMBER(FIND(SUBSTITUTE(SUBSTITUTE(UPPER(#REF!)," ",""),":",": "),SUBSTITUTE(SUBSTITUTE(UPPER(S1610)," ",""),":",": "))),0)),"Undefined")</f>
        <v>Undefined</v>
      </c>
      <c r="B1610" s="42" t="str" cm="1">
        <f t="array" ref="B1610">IFERROR(INDEX({"URGENTE"},MATCH(TRUE,ISNUMBER(FIND(SUBSTITUTE(SUBSTITUTE(UPPER({"URGENTE"})," ",""),":",": "),SUBSTITUTE(SUBSTITUTE(UPPER(S1610)," ",""),":",": "))),0)),"-")</f>
        <v>-</v>
      </c>
      <c r="C1610" s="46" t="str" cm="1">
        <f t="array" ref="C1610">IFERROR(INDEX(#REF!,MATCH(TRUE,ISNUMBER(FIND(SUBSTITUTE(SUBSTITUTE(UPPER(#REF!)," ",""),":",": "),SUBSTITUTE(SUBSTITUTE(UPPER(S1610)," ",""),":",": "))),0)),"Não encontrado")</f>
        <v>Não encontrado</v>
      </c>
      <c r="D1610" s="46" t="str" cm="1">
        <f t="array" ref="D1610">IFERROR(INDEX(#REF!,MATCH(TRUE,ISNUMBER(FIND(SUBSTITUTE(SUBSTITUTE(UPPER(#REF!)," ",""),":",": "),SUBSTITUTE(SUBSTITUTE(UPPER(S1610)," ",""),":",": "))),0)),"Não encontrado")</f>
        <v>Não encontrado</v>
      </c>
      <c r="E1610" s="42" t="str" cm="1">
        <f t="array" ref="E1610">IFERROR(INDEX({"IMPEDITIVO"},MATCH(TRUE,ISNUMBER(FIND(SUBSTITUTE(SUBSTITUTE(UPPER({"IMPEDITIVO"})," ",""),":",": "),SUBSTITUTE(SUBSTITUTE(UPPER(S1610)," ",""),":",": "))),0)),"-")</f>
        <v>-</v>
      </c>
      <c r="K1610" s="49"/>
    </row>
    <row r="1611" spans="1:11" x14ac:dyDescent="0.25">
      <c r="A1611" s="46" t="str" cm="1">
        <f t="array" ref="A1611">IFERROR(INDEX(#REF!,MATCH(TRUE,ISNUMBER(FIND(SUBSTITUTE(SUBSTITUTE(UPPER(#REF!)," ",""),":",": "),SUBSTITUTE(SUBSTITUTE(UPPER(S1611)," ",""),":",": "))),0)),"Undefined")</f>
        <v>Undefined</v>
      </c>
      <c r="B1611" s="42" t="str" cm="1">
        <f t="array" ref="B1611">IFERROR(INDEX({"URGENTE"},MATCH(TRUE,ISNUMBER(FIND(SUBSTITUTE(SUBSTITUTE(UPPER({"URGENTE"})," ",""),":",": "),SUBSTITUTE(SUBSTITUTE(UPPER(S1611)," ",""),":",": "))),0)),"-")</f>
        <v>-</v>
      </c>
      <c r="C1611" s="46" t="str" cm="1">
        <f t="array" ref="C1611">IFERROR(INDEX(#REF!,MATCH(TRUE,ISNUMBER(FIND(SUBSTITUTE(SUBSTITUTE(UPPER(#REF!)," ",""),":",": "),SUBSTITUTE(SUBSTITUTE(UPPER(S1611)," ",""),":",": "))),0)),"Não encontrado")</f>
        <v>Não encontrado</v>
      </c>
      <c r="D1611" s="46" t="str" cm="1">
        <f t="array" ref="D1611">IFERROR(INDEX(#REF!,MATCH(TRUE,ISNUMBER(FIND(SUBSTITUTE(SUBSTITUTE(UPPER(#REF!)," ",""),":",": "),SUBSTITUTE(SUBSTITUTE(UPPER(S1611)," ",""),":",": "))),0)),"Não encontrado")</f>
        <v>Não encontrado</v>
      </c>
      <c r="E1611" s="42" t="str" cm="1">
        <f t="array" ref="E1611">IFERROR(INDEX({"IMPEDITIVO"},MATCH(TRUE,ISNUMBER(FIND(SUBSTITUTE(SUBSTITUTE(UPPER({"IMPEDITIVO"})," ",""),":",": "),SUBSTITUTE(SUBSTITUTE(UPPER(S1611)," ",""),":",": "))),0)),"-")</f>
        <v>-</v>
      </c>
      <c r="K1611" s="49"/>
    </row>
    <row r="1612" spans="1:11" x14ac:dyDescent="0.25">
      <c r="A1612" s="46" t="str" cm="1">
        <f t="array" ref="A1612">IFERROR(INDEX(#REF!,MATCH(TRUE,ISNUMBER(FIND(SUBSTITUTE(SUBSTITUTE(UPPER(#REF!)," ",""),":",": "),SUBSTITUTE(SUBSTITUTE(UPPER(S1612)," ",""),":",": "))),0)),"Undefined")</f>
        <v>Undefined</v>
      </c>
      <c r="B1612" s="42" t="str" cm="1">
        <f t="array" ref="B1612">IFERROR(INDEX({"URGENTE"},MATCH(TRUE,ISNUMBER(FIND(SUBSTITUTE(SUBSTITUTE(UPPER({"URGENTE"})," ",""),":",": "),SUBSTITUTE(SUBSTITUTE(UPPER(S1612)," ",""),":",": "))),0)),"-")</f>
        <v>-</v>
      </c>
      <c r="C1612" s="46" t="str" cm="1">
        <f t="array" ref="C1612">IFERROR(INDEX(#REF!,MATCH(TRUE,ISNUMBER(FIND(SUBSTITUTE(SUBSTITUTE(UPPER(#REF!)," ",""),":",": "),SUBSTITUTE(SUBSTITUTE(UPPER(S1612)," ",""),":",": "))),0)),"Não encontrado")</f>
        <v>Não encontrado</v>
      </c>
      <c r="D1612" s="46" t="str" cm="1">
        <f t="array" ref="D1612">IFERROR(INDEX(#REF!,MATCH(TRUE,ISNUMBER(FIND(SUBSTITUTE(SUBSTITUTE(UPPER(#REF!)," ",""),":",": "),SUBSTITUTE(SUBSTITUTE(UPPER(S1612)," ",""),":",": "))),0)),"Não encontrado")</f>
        <v>Não encontrado</v>
      </c>
      <c r="E1612" s="42" t="str" cm="1">
        <f t="array" ref="E1612">IFERROR(INDEX({"IMPEDITIVO"},MATCH(TRUE,ISNUMBER(FIND(SUBSTITUTE(SUBSTITUTE(UPPER({"IMPEDITIVO"})," ",""),":",": "),SUBSTITUTE(SUBSTITUTE(UPPER(S1612)," ",""),":",": "))),0)),"-")</f>
        <v>-</v>
      </c>
      <c r="K1612" s="49"/>
    </row>
    <row r="1613" spans="1:11" x14ac:dyDescent="0.25">
      <c r="A1613" s="46" t="str" cm="1">
        <f t="array" ref="A1613">IFERROR(INDEX(#REF!,MATCH(TRUE,ISNUMBER(FIND(SUBSTITUTE(SUBSTITUTE(UPPER(#REF!)," ",""),":",": "),SUBSTITUTE(SUBSTITUTE(UPPER(S1613)," ",""),":",": "))),0)),"Undefined")</f>
        <v>Undefined</v>
      </c>
      <c r="B1613" s="42" t="str" cm="1">
        <f t="array" ref="B1613">IFERROR(INDEX({"URGENTE"},MATCH(TRUE,ISNUMBER(FIND(SUBSTITUTE(SUBSTITUTE(UPPER({"URGENTE"})," ",""),":",": "),SUBSTITUTE(SUBSTITUTE(UPPER(S1613)," ",""),":",": "))),0)),"-")</f>
        <v>-</v>
      </c>
      <c r="C1613" s="46" t="str" cm="1">
        <f t="array" ref="C1613">IFERROR(INDEX(#REF!,MATCH(TRUE,ISNUMBER(FIND(SUBSTITUTE(SUBSTITUTE(UPPER(#REF!)," ",""),":",": "),SUBSTITUTE(SUBSTITUTE(UPPER(S1613)," ",""),":",": "))),0)),"Não encontrado")</f>
        <v>Não encontrado</v>
      </c>
      <c r="D1613" s="46" t="str" cm="1">
        <f t="array" ref="D1613">IFERROR(INDEX(#REF!,MATCH(TRUE,ISNUMBER(FIND(SUBSTITUTE(SUBSTITUTE(UPPER(#REF!)," ",""),":",": "),SUBSTITUTE(SUBSTITUTE(UPPER(S1613)," ",""),":",": "))),0)),"Não encontrado")</f>
        <v>Não encontrado</v>
      </c>
      <c r="E1613" s="42" t="str" cm="1">
        <f t="array" ref="E1613">IFERROR(INDEX({"IMPEDITIVO"},MATCH(TRUE,ISNUMBER(FIND(SUBSTITUTE(SUBSTITUTE(UPPER({"IMPEDITIVO"})," ",""),":",": "),SUBSTITUTE(SUBSTITUTE(UPPER(S1613)," ",""),":",": "))),0)),"-")</f>
        <v>-</v>
      </c>
      <c r="K1613" s="49"/>
    </row>
    <row r="1614" spans="1:11" x14ac:dyDescent="0.25">
      <c r="A1614" s="46" t="str" cm="1">
        <f t="array" ref="A1614">IFERROR(INDEX(#REF!,MATCH(TRUE,ISNUMBER(FIND(SUBSTITUTE(SUBSTITUTE(UPPER(#REF!)," ",""),":",": "),SUBSTITUTE(SUBSTITUTE(UPPER(S1614)," ",""),":",": "))),0)),"Undefined")</f>
        <v>Undefined</v>
      </c>
      <c r="B1614" s="42" t="str" cm="1">
        <f t="array" ref="B1614">IFERROR(INDEX({"URGENTE"},MATCH(TRUE,ISNUMBER(FIND(SUBSTITUTE(SUBSTITUTE(UPPER({"URGENTE"})," ",""),":",": "),SUBSTITUTE(SUBSTITUTE(UPPER(S1614)," ",""),":",": "))),0)),"-")</f>
        <v>-</v>
      </c>
      <c r="C1614" s="46" t="str" cm="1">
        <f t="array" ref="C1614">IFERROR(INDEX(#REF!,MATCH(TRUE,ISNUMBER(FIND(SUBSTITUTE(SUBSTITUTE(UPPER(#REF!)," ",""),":",": "),SUBSTITUTE(SUBSTITUTE(UPPER(S1614)," ",""),":",": "))),0)),"Não encontrado")</f>
        <v>Não encontrado</v>
      </c>
      <c r="D1614" s="46" t="str" cm="1">
        <f t="array" ref="D1614">IFERROR(INDEX(#REF!,MATCH(TRUE,ISNUMBER(FIND(SUBSTITUTE(SUBSTITUTE(UPPER(#REF!)," ",""),":",": "),SUBSTITUTE(SUBSTITUTE(UPPER(S1614)," ",""),":",": "))),0)),"Não encontrado")</f>
        <v>Não encontrado</v>
      </c>
      <c r="E1614" s="42" t="str" cm="1">
        <f t="array" ref="E1614">IFERROR(INDEX({"IMPEDITIVO"},MATCH(TRUE,ISNUMBER(FIND(SUBSTITUTE(SUBSTITUTE(UPPER({"IMPEDITIVO"})," ",""),":",": "),SUBSTITUTE(SUBSTITUTE(UPPER(S1614)," ",""),":",": "))),0)),"-")</f>
        <v>-</v>
      </c>
      <c r="K1614" s="49"/>
    </row>
    <row r="1615" spans="1:11" x14ac:dyDescent="0.25">
      <c r="A1615" s="46" t="str" cm="1">
        <f t="array" ref="A1615">IFERROR(INDEX(#REF!,MATCH(TRUE,ISNUMBER(FIND(SUBSTITUTE(SUBSTITUTE(UPPER(#REF!)," ",""),":",": "),SUBSTITUTE(SUBSTITUTE(UPPER(S1615)," ",""),":",": "))),0)),"Undefined")</f>
        <v>Undefined</v>
      </c>
      <c r="B1615" s="42" t="str" cm="1">
        <f t="array" ref="B1615">IFERROR(INDEX({"URGENTE"},MATCH(TRUE,ISNUMBER(FIND(SUBSTITUTE(SUBSTITUTE(UPPER({"URGENTE"})," ",""),":",": "),SUBSTITUTE(SUBSTITUTE(UPPER(S1615)," ",""),":",": "))),0)),"-")</f>
        <v>-</v>
      </c>
      <c r="C1615" s="46" t="str" cm="1">
        <f t="array" ref="C1615">IFERROR(INDEX(#REF!,MATCH(TRUE,ISNUMBER(FIND(SUBSTITUTE(SUBSTITUTE(UPPER(#REF!)," ",""),":",": "),SUBSTITUTE(SUBSTITUTE(UPPER(S1615)," ",""),":",": "))),0)),"Não encontrado")</f>
        <v>Não encontrado</v>
      </c>
      <c r="D1615" s="46" t="str" cm="1">
        <f t="array" ref="D1615">IFERROR(INDEX(#REF!,MATCH(TRUE,ISNUMBER(FIND(SUBSTITUTE(SUBSTITUTE(UPPER(#REF!)," ",""),":",": "),SUBSTITUTE(SUBSTITUTE(UPPER(S1615)," ",""),":",": "))),0)),"Não encontrado")</f>
        <v>Não encontrado</v>
      </c>
      <c r="E1615" s="42" t="str" cm="1">
        <f t="array" ref="E1615">IFERROR(INDEX({"IMPEDITIVO"},MATCH(TRUE,ISNUMBER(FIND(SUBSTITUTE(SUBSTITUTE(UPPER({"IMPEDITIVO"})," ",""),":",": "),SUBSTITUTE(SUBSTITUTE(UPPER(S1615)," ",""),":",": "))),0)),"-")</f>
        <v>-</v>
      </c>
      <c r="K1615" s="49"/>
    </row>
    <row r="1616" spans="1:11" x14ac:dyDescent="0.25">
      <c r="A1616" s="46" t="str" cm="1">
        <f t="array" ref="A1616">IFERROR(INDEX(#REF!,MATCH(TRUE,ISNUMBER(FIND(SUBSTITUTE(SUBSTITUTE(UPPER(#REF!)," ",""),":",": "),SUBSTITUTE(SUBSTITUTE(UPPER(S1616)," ",""),":",": "))),0)),"Undefined")</f>
        <v>Undefined</v>
      </c>
      <c r="B1616" s="42" t="str" cm="1">
        <f t="array" ref="B1616">IFERROR(INDEX({"URGENTE"},MATCH(TRUE,ISNUMBER(FIND(SUBSTITUTE(SUBSTITUTE(UPPER({"URGENTE"})," ",""),":",": "),SUBSTITUTE(SUBSTITUTE(UPPER(S1616)," ",""),":",": "))),0)),"-")</f>
        <v>-</v>
      </c>
      <c r="C1616" s="46" t="str" cm="1">
        <f t="array" ref="C1616">IFERROR(INDEX(#REF!,MATCH(TRUE,ISNUMBER(FIND(SUBSTITUTE(SUBSTITUTE(UPPER(#REF!)," ",""),":",": "),SUBSTITUTE(SUBSTITUTE(UPPER(S1616)," ",""),":",": "))),0)),"Não encontrado")</f>
        <v>Não encontrado</v>
      </c>
      <c r="D1616" s="46" t="str" cm="1">
        <f t="array" ref="D1616">IFERROR(INDEX(#REF!,MATCH(TRUE,ISNUMBER(FIND(SUBSTITUTE(SUBSTITUTE(UPPER(#REF!)," ",""),":",": "),SUBSTITUTE(SUBSTITUTE(UPPER(S1616)," ",""),":",": "))),0)),"Não encontrado")</f>
        <v>Não encontrado</v>
      </c>
      <c r="E1616" s="42" t="str" cm="1">
        <f t="array" ref="E1616">IFERROR(INDEX({"IMPEDITIVO"},MATCH(TRUE,ISNUMBER(FIND(SUBSTITUTE(SUBSTITUTE(UPPER({"IMPEDITIVO"})," ",""),":",": "),SUBSTITUTE(SUBSTITUTE(UPPER(S1616)," ",""),":",": "))),0)),"-")</f>
        <v>-</v>
      </c>
      <c r="K1616" s="49"/>
    </row>
    <row r="1617" spans="1:11" x14ac:dyDescent="0.25">
      <c r="A1617" s="46" t="str" cm="1">
        <f t="array" ref="A1617">IFERROR(INDEX(#REF!,MATCH(TRUE,ISNUMBER(FIND(SUBSTITUTE(SUBSTITUTE(UPPER(#REF!)," ",""),":",": "),SUBSTITUTE(SUBSTITUTE(UPPER(S1617)," ",""),":",": "))),0)),"Undefined")</f>
        <v>Undefined</v>
      </c>
      <c r="B1617" s="42" t="str" cm="1">
        <f t="array" ref="B1617">IFERROR(INDEX({"URGENTE"},MATCH(TRUE,ISNUMBER(FIND(SUBSTITUTE(SUBSTITUTE(UPPER({"URGENTE"})," ",""),":",": "),SUBSTITUTE(SUBSTITUTE(UPPER(S1617)," ",""),":",": "))),0)),"-")</f>
        <v>-</v>
      </c>
      <c r="C1617" s="46" t="str" cm="1">
        <f t="array" ref="C1617">IFERROR(INDEX(#REF!,MATCH(TRUE,ISNUMBER(FIND(SUBSTITUTE(SUBSTITUTE(UPPER(#REF!)," ",""),":",": "),SUBSTITUTE(SUBSTITUTE(UPPER(S1617)," ",""),":",": "))),0)),"Não encontrado")</f>
        <v>Não encontrado</v>
      </c>
      <c r="D1617" s="46" t="str" cm="1">
        <f t="array" ref="D1617">IFERROR(INDEX(#REF!,MATCH(TRUE,ISNUMBER(FIND(SUBSTITUTE(SUBSTITUTE(UPPER(#REF!)," ",""),":",": "),SUBSTITUTE(SUBSTITUTE(UPPER(S1617)," ",""),":",": "))),0)),"Não encontrado")</f>
        <v>Não encontrado</v>
      </c>
      <c r="E1617" s="42" t="str" cm="1">
        <f t="array" ref="E1617">IFERROR(INDEX({"IMPEDITIVO"},MATCH(TRUE,ISNUMBER(FIND(SUBSTITUTE(SUBSTITUTE(UPPER({"IMPEDITIVO"})," ",""),":",": "),SUBSTITUTE(SUBSTITUTE(UPPER(S1617)," ",""),":",": "))),0)),"-")</f>
        <v>-</v>
      </c>
      <c r="K1617" s="49"/>
    </row>
    <row r="1618" spans="1:11" x14ac:dyDescent="0.25">
      <c r="A1618" s="46" t="str" cm="1">
        <f t="array" ref="A1618">IFERROR(INDEX(#REF!,MATCH(TRUE,ISNUMBER(FIND(SUBSTITUTE(SUBSTITUTE(UPPER(#REF!)," ",""),":",": "),SUBSTITUTE(SUBSTITUTE(UPPER(S1618)," ",""),":",": "))),0)),"Undefined")</f>
        <v>Undefined</v>
      </c>
      <c r="B1618" s="42" t="str" cm="1">
        <f t="array" ref="B1618">IFERROR(INDEX({"URGENTE"},MATCH(TRUE,ISNUMBER(FIND(SUBSTITUTE(SUBSTITUTE(UPPER({"URGENTE"})," ",""),":",": "),SUBSTITUTE(SUBSTITUTE(UPPER(S1618)," ",""),":",": "))),0)),"-")</f>
        <v>-</v>
      </c>
      <c r="C1618" s="46" t="str" cm="1">
        <f t="array" ref="C1618">IFERROR(INDEX(#REF!,MATCH(TRUE,ISNUMBER(FIND(SUBSTITUTE(SUBSTITUTE(UPPER(#REF!)," ",""),":",": "),SUBSTITUTE(SUBSTITUTE(UPPER(S1618)," ",""),":",": "))),0)),"Não encontrado")</f>
        <v>Não encontrado</v>
      </c>
      <c r="D1618" s="46" t="str" cm="1">
        <f t="array" ref="D1618">IFERROR(INDEX(#REF!,MATCH(TRUE,ISNUMBER(FIND(SUBSTITUTE(SUBSTITUTE(UPPER(#REF!)," ",""),":",": "),SUBSTITUTE(SUBSTITUTE(UPPER(S1618)," ",""),":",": "))),0)),"Não encontrado")</f>
        <v>Não encontrado</v>
      </c>
      <c r="E1618" s="42" t="str" cm="1">
        <f t="array" ref="E1618">IFERROR(INDEX({"IMPEDITIVO"},MATCH(TRUE,ISNUMBER(FIND(SUBSTITUTE(SUBSTITUTE(UPPER({"IMPEDITIVO"})," ",""),":",": "),SUBSTITUTE(SUBSTITUTE(UPPER(S1618)," ",""),":",": "))),0)),"-")</f>
        <v>-</v>
      </c>
      <c r="K1618" s="49"/>
    </row>
    <row r="1619" spans="1:11" x14ac:dyDescent="0.25">
      <c r="A1619" s="46" t="str" cm="1">
        <f t="array" ref="A1619">IFERROR(INDEX(#REF!,MATCH(TRUE,ISNUMBER(FIND(SUBSTITUTE(SUBSTITUTE(UPPER(#REF!)," ",""),":",": "),SUBSTITUTE(SUBSTITUTE(UPPER(S1619)," ",""),":",": "))),0)),"Undefined")</f>
        <v>Undefined</v>
      </c>
      <c r="B1619" s="42" t="str" cm="1">
        <f t="array" ref="B1619">IFERROR(INDEX({"URGENTE"},MATCH(TRUE,ISNUMBER(FIND(SUBSTITUTE(SUBSTITUTE(UPPER({"URGENTE"})," ",""),":",": "),SUBSTITUTE(SUBSTITUTE(UPPER(S1619)," ",""),":",": "))),0)),"-")</f>
        <v>-</v>
      </c>
      <c r="C1619" s="46" t="str" cm="1">
        <f t="array" ref="C1619">IFERROR(INDEX(#REF!,MATCH(TRUE,ISNUMBER(FIND(SUBSTITUTE(SUBSTITUTE(UPPER(#REF!)," ",""),":",": "),SUBSTITUTE(SUBSTITUTE(UPPER(S1619)," ",""),":",": "))),0)),"Não encontrado")</f>
        <v>Não encontrado</v>
      </c>
      <c r="D1619" s="46" t="str" cm="1">
        <f t="array" ref="D1619">IFERROR(INDEX(#REF!,MATCH(TRUE,ISNUMBER(FIND(SUBSTITUTE(SUBSTITUTE(UPPER(#REF!)," ",""),":",": "),SUBSTITUTE(SUBSTITUTE(UPPER(S1619)," ",""),":",": "))),0)),"Não encontrado")</f>
        <v>Não encontrado</v>
      </c>
      <c r="E1619" s="42" t="str" cm="1">
        <f t="array" ref="E1619">IFERROR(INDEX({"IMPEDITIVO"},MATCH(TRUE,ISNUMBER(FIND(SUBSTITUTE(SUBSTITUTE(UPPER({"IMPEDITIVO"})," ",""),":",": "),SUBSTITUTE(SUBSTITUTE(UPPER(S1619)," ",""),":",": "))),0)),"-")</f>
        <v>-</v>
      </c>
      <c r="K1619" s="49"/>
    </row>
    <row r="1620" spans="1:11" x14ac:dyDescent="0.25">
      <c r="A1620" s="46" t="str" cm="1">
        <f t="array" ref="A1620">IFERROR(INDEX(#REF!,MATCH(TRUE,ISNUMBER(FIND(SUBSTITUTE(SUBSTITUTE(UPPER(#REF!)," ",""),":",": "),SUBSTITUTE(SUBSTITUTE(UPPER(S1620)," ",""),":",": "))),0)),"Undefined")</f>
        <v>Undefined</v>
      </c>
      <c r="B1620" s="42" t="str" cm="1">
        <f t="array" ref="B1620">IFERROR(INDEX({"URGENTE"},MATCH(TRUE,ISNUMBER(FIND(SUBSTITUTE(SUBSTITUTE(UPPER({"URGENTE"})," ",""),":",": "),SUBSTITUTE(SUBSTITUTE(UPPER(S1620)," ",""),":",": "))),0)),"-")</f>
        <v>-</v>
      </c>
      <c r="C1620" s="46" t="str" cm="1">
        <f t="array" ref="C1620">IFERROR(INDEX(#REF!,MATCH(TRUE,ISNUMBER(FIND(SUBSTITUTE(SUBSTITUTE(UPPER(#REF!)," ",""),":",": "),SUBSTITUTE(SUBSTITUTE(UPPER(S1620)," ",""),":",": "))),0)),"Não encontrado")</f>
        <v>Não encontrado</v>
      </c>
      <c r="D1620" s="46" t="str" cm="1">
        <f t="array" ref="D1620">IFERROR(INDEX(#REF!,MATCH(TRUE,ISNUMBER(FIND(SUBSTITUTE(SUBSTITUTE(UPPER(#REF!)," ",""),":",": "),SUBSTITUTE(SUBSTITUTE(UPPER(S1620)," ",""),":",": "))),0)),"Não encontrado")</f>
        <v>Não encontrado</v>
      </c>
      <c r="E1620" s="42" t="str" cm="1">
        <f t="array" ref="E1620">IFERROR(INDEX({"IMPEDITIVO"},MATCH(TRUE,ISNUMBER(FIND(SUBSTITUTE(SUBSTITUTE(UPPER({"IMPEDITIVO"})," ",""),":",": "),SUBSTITUTE(SUBSTITUTE(UPPER(S1620)," ",""),":",": "))),0)),"-")</f>
        <v>-</v>
      </c>
      <c r="K1620" s="49"/>
    </row>
    <row r="1621" spans="1:11" x14ac:dyDescent="0.25">
      <c r="A1621" s="46" t="str" cm="1">
        <f t="array" ref="A1621">IFERROR(INDEX(#REF!,MATCH(TRUE,ISNUMBER(FIND(SUBSTITUTE(SUBSTITUTE(UPPER(#REF!)," ",""),":",": "),SUBSTITUTE(SUBSTITUTE(UPPER(S1621)," ",""),":",": "))),0)),"Undefined")</f>
        <v>Undefined</v>
      </c>
      <c r="B1621" s="42" t="str" cm="1">
        <f t="array" ref="B1621">IFERROR(INDEX({"URGENTE"},MATCH(TRUE,ISNUMBER(FIND(SUBSTITUTE(SUBSTITUTE(UPPER({"URGENTE"})," ",""),":",": "),SUBSTITUTE(SUBSTITUTE(UPPER(S1621)," ",""),":",": "))),0)),"-")</f>
        <v>-</v>
      </c>
      <c r="C1621" s="46" t="str" cm="1">
        <f t="array" ref="C1621">IFERROR(INDEX(#REF!,MATCH(TRUE,ISNUMBER(FIND(SUBSTITUTE(SUBSTITUTE(UPPER(#REF!)," ",""),":",": "),SUBSTITUTE(SUBSTITUTE(UPPER(S1621)," ",""),":",": "))),0)),"Não encontrado")</f>
        <v>Não encontrado</v>
      </c>
      <c r="D1621" s="46" t="str" cm="1">
        <f t="array" ref="D1621">IFERROR(INDEX(#REF!,MATCH(TRUE,ISNUMBER(FIND(SUBSTITUTE(SUBSTITUTE(UPPER(#REF!)," ",""),":",": "),SUBSTITUTE(SUBSTITUTE(UPPER(S1621)," ",""),":",": "))),0)),"Não encontrado")</f>
        <v>Não encontrado</v>
      </c>
      <c r="E1621" s="42" t="str" cm="1">
        <f t="array" ref="E1621">IFERROR(INDEX({"IMPEDITIVO"},MATCH(TRUE,ISNUMBER(FIND(SUBSTITUTE(SUBSTITUTE(UPPER({"IMPEDITIVO"})," ",""),":",": "),SUBSTITUTE(SUBSTITUTE(UPPER(S1621)," ",""),":",": "))),0)),"-")</f>
        <v>-</v>
      </c>
      <c r="K1621" s="49"/>
    </row>
    <row r="1622" spans="1:11" x14ac:dyDescent="0.25">
      <c r="A1622" s="46" t="str" cm="1">
        <f t="array" ref="A1622">IFERROR(INDEX(#REF!,MATCH(TRUE,ISNUMBER(FIND(SUBSTITUTE(SUBSTITUTE(UPPER(#REF!)," ",""),":",": "),SUBSTITUTE(SUBSTITUTE(UPPER(S1622)," ",""),":",": "))),0)),"Undefined")</f>
        <v>Undefined</v>
      </c>
      <c r="B1622" s="42" t="str" cm="1">
        <f t="array" ref="B1622">IFERROR(INDEX({"URGENTE"},MATCH(TRUE,ISNUMBER(FIND(SUBSTITUTE(SUBSTITUTE(UPPER({"URGENTE"})," ",""),":",": "),SUBSTITUTE(SUBSTITUTE(UPPER(S1622)," ",""),":",": "))),0)),"-")</f>
        <v>-</v>
      </c>
      <c r="C1622" s="46" t="str" cm="1">
        <f t="array" ref="C1622">IFERROR(INDEX(#REF!,MATCH(TRUE,ISNUMBER(FIND(SUBSTITUTE(SUBSTITUTE(UPPER(#REF!)," ",""),":",": "),SUBSTITUTE(SUBSTITUTE(UPPER(S1622)," ",""),":",": "))),0)),"Não encontrado")</f>
        <v>Não encontrado</v>
      </c>
      <c r="D1622" s="46" t="str" cm="1">
        <f t="array" ref="D1622">IFERROR(INDEX(#REF!,MATCH(TRUE,ISNUMBER(FIND(SUBSTITUTE(SUBSTITUTE(UPPER(#REF!)," ",""),":",": "),SUBSTITUTE(SUBSTITUTE(UPPER(S1622)," ",""),":",": "))),0)),"Não encontrado")</f>
        <v>Não encontrado</v>
      </c>
      <c r="E1622" s="42" t="str" cm="1">
        <f t="array" ref="E1622">IFERROR(INDEX({"IMPEDITIVO"},MATCH(TRUE,ISNUMBER(FIND(SUBSTITUTE(SUBSTITUTE(UPPER({"IMPEDITIVO"})," ",""),":",": "),SUBSTITUTE(SUBSTITUTE(UPPER(S1622)," ",""),":",": "))),0)),"-")</f>
        <v>-</v>
      </c>
      <c r="K1622" s="49"/>
    </row>
    <row r="1623" spans="1:11" x14ac:dyDescent="0.25">
      <c r="A1623" s="46" t="str" cm="1">
        <f t="array" ref="A1623">IFERROR(INDEX(#REF!,MATCH(TRUE,ISNUMBER(FIND(SUBSTITUTE(SUBSTITUTE(UPPER(#REF!)," ",""),":",": "),SUBSTITUTE(SUBSTITUTE(UPPER(S1623)," ",""),":",": "))),0)),"Undefined")</f>
        <v>Undefined</v>
      </c>
      <c r="B1623" s="42" t="str" cm="1">
        <f t="array" ref="B1623">IFERROR(INDEX({"URGENTE"},MATCH(TRUE,ISNUMBER(FIND(SUBSTITUTE(SUBSTITUTE(UPPER({"URGENTE"})," ",""),":",": "),SUBSTITUTE(SUBSTITUTE(UPPER(S1623)," ",""),":",": "))),0)),"-")</f>
        <v>-</v>
      </c>
      <c r="C1623" s="46" t="str" cm="1">
        <f t="array" ref="C1623">IFERROR(INDEX(#REF!,MATCH(TRUE,ISNUMBER(FIND(SUBSTITUTE(SUBSTITUTE(UPPER(#REF!)," ",""),":",": "),SUBSTITUTE(SUBSTITUTE(UPPER(S1623)," ",""),":",": "))),0)),"Não encontrado")</f>
        <v>Não encontrado</v>
      </c>
      <c r="D1623" s="46" t="str" cm="1">
        <f t="array" ref="D1623">IFERROR(INDEX(#REF!,MATCH(TRUE,ISNUMBER(FIND(SUBSTITUTE(SUBSTITUTE(UPPER(#REF!)," ",""),":",": "),SUBSTITUTE(SUBSTITUTE(UPPER(S1623)," ",""),":",": "))),0)),"Não encontrado")</f>
        <v>Não encontrado</v>
      </c>
      <c r="E1623" s="42" t="str" cm="1">
        <f t="array" ref="E1623">IFERROR(INDEX({"IMPEDITIVO"},MATCH(TRUE,ISNUMBER(FIND(SUBSTITUTE(SUBSTITUTE(UPPER({"IMPEDITIVO"})," ",""),":",": "),SUBSTITUTE(SUBSTITUTE(UPPER(S1623)," ",""),":",": "))),0)),"-")</f>
        <v>-</v>
      </c>
      <c r="K1623" s="49"/>
    </row>
    <row r="1624" spans="1:11" x14ac:dyDescent="0.25">
      <c r="A1624" s="46" t="str" cm="1">
        <f t="array" ref="A1624">IFERROR(INDEX(#REF!,MATCH(TRUE,ISNUMBER(FIND(SUBSTITUTE(SUBSTITUTE(UPPER(#REF!)," ",""),":",": "),SUBSTITUTE(SUBSTITUTE(UPPER(S1624)," ",""),":",": "))),0)),"Undefined")</f>
        <v>Undefined</v>
      </c>
      <c r="B1624" s="42" t="str" cm="1">
        <f t="array" ref="B1624">IFERROR(INDEX({"URGENTE"},MATCH(TRUE,ISNUMBER(FIND(SUBSTITUTE(SUBSTITUTE(UPPER({"URGENTE"})," ",""),":",": "),SUBSTITUTE(SUBSTITUTE(UPPER(S1624)," ",""),":",": "))),0)),"-")</f>
        <v>-</v>
      </c>
      <c r="C1624" s="46" t="str" cm="1">
        <f t="array" ref="C1624">IFERROR(INDEX(#REF!,MATCH(TRUE,ISNUMBER(FIND(SUBSTITUTE(SUBSTITUTE(UPPER(#REF!)," ",""),":",": "),SUBSTITUTE(SUBSTITUTE(UPPER(S1624)," ",""),":",": "))),0)),"Não encontrado")</f>
        <v>Não encontrado</v>
      </c>
      <c r="D1624" s="46" t="str" cm="1">
        <f t="array" ref="D1624">IFERROR(INDEX(#REF!,MATCH(TRUE,ISNUMBER(FIND(SUBSTITUTE(SUBSTITUTE(UPPER(#REF!)," ",""),":",": "),SUBSTITUTE(SUBSTITUTE(UPPER(S1624)," ",""),":",": "))),0)),"Não encontrado")</f>
        <v>Não encontrado</v>
      </c>
      <c r="E1624" s="42" t="str" cm="1">
        <f t="array" ref="E1624">IFERROR(INDEX({"IMPEDITIVO"},MATCH(TRUE,ISNUMBER(FIND(SUBSTITUTE(SUBSTITUTE(UPPER({"IMPEDITIVO"})," ",""),":",": "),SUBSTITUTE(SUBSTITUTE(UPPER(S1624)," ",""),":",": "))),0)),"-")</f>
        <v>-</v>
      </c>
      <c r="K1624" s="49"/>
    </row>
    <row r="1625" spans="1:11" x14ac:dyDescent="0.25">
      <c r="A1625" s="46" t="str" cm="1">
        <f t="array" ref="A1625">IFERROR(INDEX(#REF!,MATCH(TRUE,ISNUMBER(FIND(SUBSTITUTE(SUBSTITUTE(UPPER(#REF!)," ",""),":",": "),SUBSTITUTE(SUBSTITUTE(UPPER(S1625)," ",""),":",": "))),0)),"Undefined")</f>
        <v>Undefined</v>
      </c>
      <c r="B1625" s="42" t="str" cm="1">
        <f t="array" ref="B1625">IFERROR(INDEX({"URGENTE"},MATCH(TRUE,ISNUMBER(FIND(SUBSTITUTE(SUBSTITUTE(UPPER({"URGENTE"})," ",""),":",": "),SUBSTITUTE(SUBSTITUTE(UPPER(S1625)," ",""),":",": "))),0)),"-")</f>
        <v>-</v>
      </c>
      <c r="C1625" s="46" t="str" cm="1">
        <f t="array" ref="C1625">IFERROR(INDEX(#REF!,MATCH(TRUE,ISNUMBER(FIND(SUBSTITUTE(SUBSTITUTE(UPPER(#REF!)," ",""),":",": "),SUBSTITUTE(SUBSTITUTE(UPPER(S1625)," ",""),":",": "))),0)),"Não encontrado")</f>
        <v>Não encontrado</v>
      </c>
      <c r="D1625" s="46" t="str" cm="1">
        <f t="array" ref="D1625">IFERROR(INDEX(#REF!,MATCH(TRUE,ISNUMBER(FIND(SUBSTITUTE(SUBSTITUTE(UPPER(#REF!)," ",""),":",": "),SUBSTITUTE(SUBSTITUTE(UPPER(S1625)," ",""),":",": "))),0)),"Não encontrado")</f>
        <v>Não encontrado</v>
      </c>
      <c r="E1625" s="42" t="str" cm="1">
        <f t="array" ref="E1625">IFERROR(INDEX({"IMPEDITIVO"},MATCH(TRUE,ISNUMBER(FIND(SUBSTITUTE(SUBSTITUTE(UPPER({"IMPEDITIVO"})," ",""),":",": "),SUBSTITUTE(SUBSTITUTE(UPPER(S1625)," ",""),":",": "))),0)),"-")</f>
        <v>-</v>
      </c>
      <c r="K1625" s="49"/>
    </row>
    <row r="1626" spans="1:11" x14ac:dyDescent="0.25">
      <c r="A1626" s="46" t="str" cm="1">
        <f t="array" ref="A1626">IFERROR(INDEX(#REF!,MATCH(TRUE,ISNUMBER(FIND(SUBSTITUTE(SUBSTITUTE(UPPER(#REF!)," ",""),":",": "),SUBSTITUTE(SUBSTITUTE(UPPER(S1626)," ",""),":",": "))),0)),"Undefined")</f>
        <v>Undefined</v>
      </c>
      <c r="B1626" s="42" t="str" cm="1">
        <f t="array" ref="B1626">IFERROR(INDEX({"URGENTE"},MATCH(TRUE,ISNUMBER(FIND(SUBSTITUTE(SUBSTITUTE(UPPER({"URGENTE"})," ",""),":",": "),SUBSTITUTE(SUBSTITUTE(UPPER(S1626)," ",""),":",": "))),0)),"-")</f>
        <v>-</v>
      </c>
      <c r="C1626" s="46" t="str" cm="1">
        <f t="array" ref="C1626">IFERROR(INDEX(#REF!,MATCH(TRUE,ISNUMBER(FIND(SUBSTITUTE(SUBSTITUTE(UPPER(#REF!)," ",""),":",": "),SUBSTITUTE(SUBSTITUTE(UPPER(S1626)," ",""),":",": "))),0)),"Não encontrado")</f>
        <v>Não encontrado</v>
      </c>
      <c r="D1626" s="46" t="str" cm="1">
        <f t="array" ref="D1626">IFERROR(INDEX(#REF!,MATCH(TRUE,ISNUMBER(FIND(SUBSTITUTE(SUBSTITUTE(UPPER(#REF!)," ",""),":",": "),SUBSTITUTE(SUBSTITUTE(UPPER(S1626)," ",""),":",": "))),0)),"Não encontrado")</f>
        <v>Não encontrado</v>
      </c>
      <c r="E1626" s="42" t="str" cm="1">
        <f t="array" ref="E1626">IFERROR(INDEX({"IMPEDITIVO"},MATCH(TRUE,ISNUMBER(FIND(SUBSTITUTE(SUBSTITUTE(UPPER({"IMPEDITIVO"})," ",""),":",": "),SUBSTITUTE(SUBSTITUTE(UPPER(S1626)," ",""),":",": "))),0)),"-")</f>
        <v>-</v>
      </c>
      <c r="K1626" s="49"/>
    </row>
    <row r="1627" spans="1:11" x14ac:dyDescent="0.25">
      <c r="A1627" s="46" t="str" cm="1">
        <f t="array" ref="A1627">IFERROR(INDEX(#REF!,MATCH(TRUE,ISNUMBER(FIND(SUBSTITUTE(SUBSTITUTE(UPPER(#REF!)," ",""),":",": "),SUBSTITUTE(SUBSTITUTE(UPPER(S1627)," ",""),":",": "))),0)),"Undefined")</f>
        <v>Undefined</v>
      </c>
      <c r="B1627" s="42" t="str" cm="1">
        <f t="array" ref="B1627">IFERROR(INDEX({"URGENTE"},MATCH(TRUE,ISNUMBER(FIND(SUBSTITUTE(SUBSTITUTE(UPPER({"URGENTE"})," ",""),":",": "),SUBSTITUTE(SUBSTITUTE(UPPER(S1627)," ",""),":",": "))),0)),"-")</f>
        <v>-</v>
      </c>
      <c r="C1627" s="46" t="str" cm="1">
        <f t="array" ref="C1627">IFERROR(INDEX(#REF!,MATCH(TRUE,ISNUMBER(FIND(SUBSTITUTE(SUBSTITUTE(UPPER(#REF!)," ",""),":",": "),SUBSTITUTE(SUBSTITUTE(UPPER(S1627)," ",""),":",": "))),0)),"Não encontrado")</f>
        <v>Não encontrado</v>
      </c>
      <c r="D1627" s="46" t="str" cm="1">
        <f t="array" ref="D1627">IFERROR(INDEX(#REF!,MATCH(TRUE,ISNUMBER(FIND(SUBSTITUTE(SUBSTITUTE(UPPER(#REF!)," ",""),":",": "),SUBSTITUTE(SUBSTITUTE(UPPER(S1627)," ",""),":",": "))),0)),"Não encontrado")</f>
        <v>Não encontrado</v>
      </c>
      <c r="E1627" s="42" t="str" cm="1">
        <f t="array" ref="E1627">IFERROR(INDEX({"IMPEDITIVO"},MATCH(TRUE,ISNUMBER(FIND(SUBSTITUTE(SUBSTITUTE(UPPER({"IMPEDITIVO"})," ",""),":",": "),SUBSTITUTE(SUBSTITUTE(UPPER(S1627)," ",""),":",": "))),0)),"-")</f>
        <v>-</v>
      </c>
      <c r="K1627" s="49"/>
    </row>
    <row r="1628" spans="1:11" x14ac:dyDescent="0.25">
      <c r="A1628" s="46" t="str" cm="1">
        <f t="array" ref="A1628">IFERROR(INDEX(#REF!,MATCH(TRUE,ISNUMBER(FIND(SUBSTITUTE(SUBSTITUTE(UPPER(#REF!)," ",""),":",": "),SUBSTITUTE(SUBSTITUTE(UPPER(S1628)," ",""),":",": "))),0)),"Undefined")</f>
        <v>Undefined</v>
      </c>
      <c r="B1628" s="42" t="str" cm="1">
        <f t="array" ref="B1628">IFERROR(INDEX({"URGENTE"},MATCH(TRUE,ISNUMBER(FIND(SUBSTITUTE(SUBSTITUTE(UPPER({"URGENTE"})," ",""),":",": "),SUBSTITUTE(SUBSTITUTE(UPPER(S1628)," ",""),":",": "))),0)),"-")</f>
        <v>-</v>
      </c>
      <c r="C1628" s="46" t="str" cm="1">
        <f t="array" ref="C1628">IFERROR(INDEX(#REF!,MATCH(TRUE,ISNUMBER(FIND(SUBSTITUTE(SUBSTITUTE(UPPER(#REF!)," ",""),":",": "),SUBSTITUTE(SUBSTITUTE(UPPER(S1628)," ",""),":",": "))),0)),"Não encontrado")</f>
        <v>Não encontrado</v>
      </c>
      <c r="D1628" s="46" t="str" cm="1">
        <f t="array" ref="D1628">IFERROR(INDEX(#REF!,MATCH(TRUE,ISNUMBER(FIND(SUBSTITUTE(SUBSTITUTE(UPPER(#REF!)," ",""),":",": "),SUBSTITUTE(SUBSTITUTE(UPPER(S1628)," ",""),":",": "))),0)),"Não encontrado")</f>
        <v>Não encontrado</v>
      </c>
      <c r="E1628" s="42" t="str" cm="1">
        <f t="array" ref="E1628">IFERROR(INDEX({"IMPEDITIVO"},MATCH(TRUE,ISNUMBER(FIND(SUBSTITUTE(SUBSTITUTE(UPPER({"IMPEDITIVO"})," ",""),":",": "),SUBSTITUTE(SUBSTITUTE(UPPER(S1628)," ",""),":",": "))),0)),"-")</f>
        <v>-</v>
      </c>
      <c r="K1628" s="49"/>
    </row>
    <row r="1629" spans="1:11" x14ac:dyDescent="0.25">
      <c r="A1629" s="46" t="str" cm="1">
        <f t="array" ref="A1629">IFERROR(INDEX(#REF!,MATCH(TRUE,ISNUMBER(FIND(SUBSTITUTE(SUBSTITUTE(UPPER(#REF!)," ",""),":",": "),SUBSTITUTE(SUBSTITUTE(UPPER(S1629)," ",""),":",": "))),0)),"Undefined")</f>
        <v>Undefined</v>
      </c>
      <c r="B1629" s="42" t="str" cm="1">
        <f t="array" ref="B1629">IFERROR(INDEX({"URGENTE"},MATCH(TRUE,ISNUMBER(FIND(SUBSTITUTE(SUBSTITUTE(UPPER({"URGENTE"})," ",""),":",": "),SUBSTITUTE(SUBSTITUTE(UPPER(S1629)," ",""),":",": "))),0)),"-")</f>
        <v>-</v>
      </c>
      <c r="C1629" s="46" t="str" cm="1">
        <f t="array" ref="C1629">IFERROR(INDEX(#REF!,MATCH(TRUE,ISNUMBER(FIND(SUBSTITUTE(SUBSTITUTE(UPPER(#REF!)," ",""),":",": "),SUBSTITUTE(SUBSTITUTE(UPPER(S1629)," ",""),":",": "))),0)),"Não encontrado")</f>
        <v>Não encontrado</v>
      </c>
      <c r="D1629" s="46" t="str" cm="1">
        <f t="array" ref="D1629">IFERROR(INDEX(#REF!,MATCH(TRUE,ISNUMBER(FIND(SUBSTITUTE(SUBSTITUTE(UPPER(#REF!)," ",""),":",": "),SUBSTITUTE(SUBSTITUTE(UPPER(S1629)," ",""),":",": "))),0)),"Não encontrado")</f>
        <v>Não encontrado</v>
      </c>
      <c r="E1629" s="42" t="str" cm="1">
        <f t="array" ref="E1629">IFERROR(INDEX({"IMPEDITIVO"},MATCH(TRUE,ISNUMBER(FIND(SUBSTITUTE(SUBSTITUTE(UPPER({"IMPEDITIVO"})," ",""),":",": "),SUBSTITUTE(SUBSTITUTE(UPPER(S1629)," ",""),":",": "))),0)),"-")</f>
        <v>-</v>
      </c>
      <c r="K1629" s="49"/>
    </row>
    <row r="1630" spans="1:11" x14ac:dyDescent="0.25">
      <c r="A1630" s="46" t="str" cm="1">
        <f t="array" ref="A1630">IFERROR(INDEX(#REF!,MATCH(TRUE,ISNUMBER(FIND(SUBSTITUTE(SUBSTITUTE(UPPER(#REF!)," ",""),":",": "),SUBSTITUTE(SUBSTITUTE(UPPER(S1630)," ",""),":",": "))),0)),"Undefined")</f>
        <v>Undefined</v>
      </c>
      <c r="B1630" s="42" t="str" cm="1">
        <f t="array" ref="B1630">IFERROR(INDEX({"URGENTE"},MATCH(TRUE,ISNUMBER(FIND(SUBSTITUTE(SUBSTITUTE(UPPER({"URGENTE"})," ",""),":",": "),SUBSTITUTE(SUBSTITUTE(UPPER(S1630)," ",""),":",": "))),0)),"-")</f>
        <v>-</v>
      </c>
      <c r="C1630" s="46" t="str" cm="1">
        <f t="array" ref="C1630">IFERROR(INDEX(#REF!,MATCH(TRUE,ISNUMBER(FIND(SUBSTITUTE(SUBSTITUTE(UPPER(#REF!)," ",""),":",": "),SUBSTITUTE(SUBSTITUTE(UPPER(S1630)," ",""),":",": "))),0)),"Não encontrado")</f>
        <v>Não encontrado</v>
      </c>
      <c r="D1630" s="46" t="str" cm="1">
        <f t="array" ref="D1630">IFERROR(INDEX(#REF!,MATCH(TRUE,ISNUMBER(FIND(SUBSTITUTE(SUBSTITUTE(UPPER(#REF!)," ",""),":",": "),SUBSTITUTE(SUBSTITUTE(UPPER(S1630)," ",""),":",": "))),0)),"Não encontrado")</f>
        <v>Não encontrado</v>
      </c>
      <c r="E1630" s="42" t="str" cm="1">
        <f t="array" ref="E1630">IFERROR(INDEX({"IMPEDITIVO"},MATCH(TRUE,ISNUMBER(FIND(SUBSTITUTE(SUBSTITUTE(UPPER({"IMPEDITIVO"})," ",""),":",": "),SUBSTITUTE(SUBSTITUTE(UPPER(S1630)," ",""),":",": "))),0)),"-")</f>
        <v>-</v>
      </c>
      <c r="K1630" s="49"/>
    </row>
    <row r="1631" spans="1:11" x14ac:dyDescent="0.25">
      <c r="A1631" s="46" t="str" cm="1">
        <f t="array" ref="A1631">IFERROR(INDEX(#REF!,MATCH(TRUE,ISNUMBER(FIND(SUBSTITUTE(SUBSTITUTE(UPPER(#REF!)," ",""),":",": "),SUBSTITUTE(SUBSTITUTE(UPPER(S1631)," ",""),":",": "))),0)),"Undefined")</f>
        <v>Undefined</v>
      </c>
      <c r="B1631" s="42" t="str" cm="1">
        <f t="array" ref="B1631">IFERROR(INDEX({"URGENTE"},MATCH(TRUE,ISNUMBER(FIND(SUBSTITUTE(SUBSTITUTE(UPPER({"URGENTE"})," ",""),":",": "),SUBSTITUTE(SUBSTITUTE(UPPER(S1631)," ",""),":",": "))),0)),"-")</f>
        <v>-</v>
      </c>
      <c r="C1631" s="46" t="str" cm="1">
        <f t="array" ref="C1631">IFERROR(INDEX(#REF!,MATCH(TRUE,ISNUMBER(FIND(SUBSTITUTE(SUBSTITUTE(UPPER(#REF!)," ",""),":",": "),SUBSTITUTE(SUBSTITUTE(UPPER(S1631)," ",""),":",": "))),0)),"Não encontrado")</f>
        <v>Não encontrado</v>
      </c>
      <c r="D1631" s="46" t="str" cm="1">
        <f t="array" ref="D1631">IFERROR(INDEX(#REF!,MATCH(TRUE,ISNUMBER(FIND(SUBSTITUTE(SUBSTITUTE(UPPER(#REF!)," ",""),":",": "),SUBSTITUTE(SUBSTITUTE(UPPER(S1631)," ",""),":",": "))),0)),"Não encontrado")</f>
        <v>Não encontrado</v>
      </c>
      <c r="E1631" s="42" t="str" cm="1">
        <f t="array" ref="E1631">IFERROR(INDEX({"IMPEDITIVO"},MATCH(TRUE,ISNUMBER(FIND(SUBSTITUTE(SUBSTITUTE(UPPER({"IMPEDITIVO"})," ",""),":",": "),SUBSTITUTE(SUBSTITUTE(UPPER(S1631)," ",""),":",": "))),0)),"-")</f>
        <v>-</v>
      </c>
      <c r="K1631" s="49"/>
    </row>
    <row r="1632" spans="1:11" x14ac:dyDescent="0.25">
      <c r="A1632" s="46" t="str" cm="1">
        <f t="array" ref="A1632">IFERROR(INDEX(#REF!,MATCH(TRUE,ISNUMBER(FIND(SUBSTITUTE(SUBSTITUTE(UPPER(#REF!)," ",""),":",": "),SUBSTITUTE(SUBSTITUTE(UPPER(S1632)," ",""),":",": "))),0)),"Undefined")</f>
        <v>Undefined</v>
      </c>
      <c r="B1632" s="42" t="str" cm="1">
        <f t="array" ref="B1632">IFERROR(INDEX({"URGENTE"},MATCH(TRUE,ISNUMBER(FIND(SUBSTITUTE(SUBSTITUTE(UPPER({"URGENTE"})," ",""),":",": "),SUBSTITUTE(SUBSTITUTE(UPPER(S1632)," ",""),":",": "))),0)),"-")</f>
        <v>-</v>
      </c>
      <c r="C1632" s="46" t="str" cm="1">
        <f t="array" ref="C1632">IFERROR(INDEX(#REF!,MATCH(TRUE,ISNUMBER(FIND(SUBSTITUTE(SUBSTITUTE(UPPER(#REF!)," ",""),":",": "),SUBSTITUTE(SUBSTITUTE(UPPER(S1632)," ",""),":",": "))),0)),"Não encontrado")</f>
        <v>Não encontrado</v>
      </c>
      <c r="D1632" s="46" t="str" cm="1">
        <f t="array" ref="D1632">IFERROR(INDEX(#REF!,MATCH(TRUE,ISNUMBER(FIND(SUBSTITUTE(SUBSTITUTE(UPPER(#REF!)," ",""),":",": "),SUBSTITUTE(SUBSTITUTE(UPPER(S1632)," ",""),":",": "))),0)),"Não encontrado")</f>
        <v>Não encontrado</v>
      </c>
      <c r="E1632" s="42" t="str" cm="1">
        <f t="array" ref="E1632">IFERROR(INDEX({"IMPEDITIVO"},MATCH(TRUE,ISNUMBER(FIND(SUBSTITUTE(SUBSTITUTE(UPPER({"IMPEDITIVO"})," ",""),":",": "),SUBSTITUTE(SUBSTITUTE(UPPER(S1632)," ",""),":",": "))),0)),"-")</f>
        <v>-</v>
      </c>
      <c r="K1632" s="49"/>
    </row>
    <row r="1633" spans="1:11" x14ac:dyDescent="0.25">
      <c r="A1633" s="46" t="str" cm="1">
        <f t="array" ref="A1633">IFERROR(INDEX(#REF!,MATCH(TRUE,ISNUMBER(FIND(SUBSTITUTE(SUBSTITUTE(UPPER(#REF!)," ",""),":",": "),SUBSTITUTE(SUBSTITUTE(UPPER(S1633)," ",""),":",": "))),0)),"Undefined")</f>
        <v>Undefined</v>
      </c>
      <c r="B1633" s="42" t="str" cm="1">
        <f t="array" ref="B1633">IFERROR(INDEX({"URGENTE"},MATCH(TRUE,ISNUMBER(FIND(SUBSTITUTE(SUBSTITUTE(UPPER({"URGENTE"})," ",""),":",": "),SUBSTITUTE(SUBSTITUTE(UPPER(S1633)," ",""),":",": "))),0)),"-")</f>
        <v>-</v>
      </c>
      <c r="C1633" s="46" t="str" cm="1">
        <f t="array" ref="C1633">IFERROR(INDEX(#REF!,MATCH(TRUE,ISNUMBER(FIND(SUBSTITUTE(SUBSTITUTE(UPPER(#REF!)," ",""),":",": "),SUBSTITUTE(SUBSTITUTE(UPPER(S1633)," ",""),":",": "))),0)),"Não encontrado")</f>
        <v>Não encontrado</v>
      </c>
      <c r="D1633" s="46" t="str" cm="1">
        <f t="array" ref="D1633">IFERROR(INDEX(#REF!,MATCH(TRUE,ISNUMBER(FIND(SUBSTITUTE(SUBSTITUTE(UPPER(#REF!)," ",""),":",": "),SUBSTITUTE(SUBSTITUTE(UPPER(S1633)," ",""),":",": "))),0)),"Não encontrado")</f>
        <v>Não encontrado</v>
      </c>
      <c r="E1633" s="42" t="str" cm="1">
        <f t="array" ref="E1633">IFERROR(INDEX({"IMPEDITIVO"},MATCH(TRUE,ISNUMBER(FIND(SUBSTITUTE(SUBSTITUTE(UPPER({"IMPEDITIVO"})," ",""),":",": "),SUBSTITUTE(SUBSTITUTE(UPPER(S1633)," ",""),":",": "))),0)),"-")</f>
        <v>-</v>
      </c>
      <c r="K1633" s="49"/>
    </row>
    <row r="1634" spans="1:11" x14ac:dyDescent="0.25">
      <c r="A1634" s="46" t="str" cm="1">
        <f t="array" ref="A1634">IFERROR(INDEX(#REF!,MATCH(TRUE,ISNUMBER(FIND(SUBSTITUTE(SUBSTITUTE(UPPER(#REF!)," ",""),":",": "),SUBSTITUTE(SUBSTITUTE(UPPER(S1634)," ",""),":",": "))),0)),"Undefined")</f>
        <v>Undefined</v>
      </c>
      <c r="B1634" s="42" t="str" cm="1">
        <f t="array" ref="B1634">IFERROR(INDEX({"URGENTE"},MATCH(TRUE,ISNUMBER(FIND(SUBSTITUTE(SUBSTITUTE(UPPER({"URGENTE"})," ",""),":",": "),SUBSTITUTE(SUBSTITUTE(UPPER(S1634)," ",""),":",": "))),0)),"-")</f>
        <v>-</v>
      </c>
      <c r="C1634" s="46" t="str" cm="1">
        <f t="array" ref="C1634">IFERROR(INDEX(#REF!,MATCH(TRUE,ISNUMBER(FIND(SUBSTITUTE(SUBSTITUTE(UPPER(#REF!)," ",""),":",": "),SUBSTITUTE(SUBSTITUTE(UPPER(S1634)," ",""),":",": "))),0)),"Não encontrado")</f>
        <v>Não encontrado</v>
      </c>
      <c r="D1634" s="46" t="str" cm="1">
        <f t="array" ref="D1634">IFERROR(INDEX(#REF!,MATCH(TRUE,ISNUMBER(FIND(SUBSTITUTE(SUBSTITUTE(UPPER(#REF!)," ",""),":",": "),SUBSTITUTE(SUBSTITUTE(UPPER(S1634)," ",""),":",": "))),0)),"Não encontrado")</f>
        <v>Não encontrado</v>
      </c>
      <c r="E1634" s="42" t="str" cm="1">
        <f t="array" ref="E1634">IFERROR(INDEX({"IMPEDITIVO"},MATCH(TRUE,ISNUMBER(FIND(SUBSTITUTE(SUBSTITUTE(UPPER({"IMPEDITIVO"})," ",""),":",": "),SUBSTITUTE(SUBSTITUTE(UPPER(S1634)," ",""),":",": "))),0)),"-")</f>
        <v>-</v>
      </c>
      <c r="K1634" s="49"/>
    </row>
    <row r="1635" spans="1:11" x14ac:dyDescent="0.25">
      <c r="A1635" s="46" t="str" cm="1">
        <f t="array" ref="A1635">IFERROR(INDEX(#REF!,MATCH(TRUE,ISNUMBER(FIND(SUBSTITUTE(SUBSTITUTE(UPPER(#REF!)," ",""),":",": "),SUBSTITUTE(SUBSTITUTE(UPPER(S1635)," ",""),":",": "))),0)),"Undefined")</f>
        <v>Undefined</v>
      </c>
      <c r="B1635" s="42" t="str" cm="1">
        <f t="array" ref="B1635">IFERROR(INDEX({"URGENTE"},MATCH(TRUE,ISNUMBER(FIND(SUBSTITUTE(SUBSTITUTE(UPPER({"URGENTE"})," ",""),":",": "),SUBSTITUTE(SUBSTITUTE(UPPER(S1635)," ",""),":",": "))),0)),"-")</f>
        <v>-</v>
      </c>
      <c r="C1635" s="46" t="str" cm="1">
        <f t="array" ref="C1635">IFERROR(INDEX(#REF!,MATCH(TRUE,ISNUMBER(FIND(SUBSTITUTE(SUBSTITUTE(UPPER(#REF!)," ",""),":",": "),SUBSTITUTE(SUBSTITUTE(UPPER(S1635)," ",""),":",": "))),0)),"Não encontrado")</f>
        <v>Não encontrado</v>
      </c>
      <c r="D1635" s="46" t="str" cm="1">
        <f t="array" ref="D1635">IFERROR(INDEX(#REF!,MATCH(TRUE,ISNUMBER(FIND(SUBSTITUTE(SUBSTITUTE(UPPER(#REF!)," ",""),":",": "),SUBSTITUTE(SUBSTITUTE(UPPER(S1635)," ",""),":",": "))),0)),"Não encontrado")</f>
        <v>Não encontrado</v>
      </c>
      <c r="E1635" s="42" t="str" cm="1">
        <f t="array" ref="E1635">IFERROR(INDEX({"IMPEDITIVO"},MATCH(TRUE,ISNUMBER(FIND(SUBSTITUTE(SUBSTITUTE(UPPER({"IMPEDITIVO"})," ",""),":",": "),SUBSTITUTE(SUBSTITUTE(UPPER(S1635)," ",""),":",": "))),0)),"-")</f>
        <v>-</v>
      </c>
      <c r="K1635" s="49"/>
    </row>
    <row r="1636" spans="1:11" x14ac:dyDescent="0.25">
      <c r="A1636" s="46" t="str" cm="1">
        <f t="array" ref="A1636">IFERROR(INDEX(#REF!,MATCH(TRUE,ISNUMBER(FIND(SUBSTITUTE(SUBSTITUTE(UPPER(#REF!)," ",""),":",": "),SUBSTITUTE(SUBSTITUTE(UPPER(S1636)," ",""),":",": "))),0)),"Undefined")</f>
        <v>Undefined</v>
      </c>
      <c r="B1636" s="42" t="str" cm="1">
        <f t="array" ref="B1636">IFERROR(INDEX({"URGENTE"},MATCH(TRUE,ISNUMBER(FIND(SUBSTITUTE(SUBSTITUTE(UPPER({"URGENTE"})," ",""),":",": "),SUBSTITUTE(SUBSTITUTE(UPPER(S1636)," ",""),":",": "))),0)),"-")</f>
        <v>-</v>
      </c>
      <c r="C1636" s="46" t="str" cm="1">
        <f t="array" ref="C1636">IFERROR(INDEX(#REF!,MATCH(TRUE,ISNUMBER(FIND(SUBSTITUTE(SUBSTITUTE(UPPER(#REF!)," ",""),":",": "),SUBSTITUTE(SUBSTITUTE(UPPER(S1636)," ",""),":",": "))),0)),"Não encontrado")</f>
        <v>Não encontrado</v>
      </c>
      <c r="D1636" s="46" t="str" cm="1">
        <f t="array" ref="D1636">IFERROR(INDEX(#REF!,MATCH(TRUE,ISNUMBER(FIND(SUBSTITUTE(SUBSTITUTE(UPPER(#REF!)," ",""),":",": "),SUBSTITUTE(SUBSTITUTE(UPPER(S1636)," ",""),":",": "))),0)),"Não encontrado")</f>
        <v>Não encontrado</v>
      </c>
      <c r="E1636" s="42" t="str" cm="1">
        <f t="array" ref="E1636">IFERROR(INDEX({"IMPEDITIVO"},MATCH(TRUE,ISNUMBER(FIND(SUBSTITUTE(SUBSTITUTE(UPPER({"IMPEDITIVO"})," ",""),":",": "),SUBSTITUTE(SUBSTITUTE(UPPER(S1636)," ",""),":",": "))),0)),"-")</f>
        <v>-</v>
      </c>
      <c r="K1636" s="49"/>
    </row>
    <row r="1637" spans="1:11" x14ac:dyDescent="0.25">
      <c r="A1637" s="46" t="str" cm="1">
        <f t="array" ref="A1637">IFERROR(INDEX(#REF!,MATCH(TRUE,ISNUMBER(FIND(SUBSTITUTE(SUBSTITUTE(UPPER(#REF!)," ",""),":",": "),SUBSTITUTE(SUBSTITUTE(UPPER(S1637)," ",""),":",": "))),0)),"Undefined")</f>
        <v>Undefined</v>
      </c>
      <c r="B1637" s="42" t="str" cm="1">
        <f t="array" ref="B1637">IFERROR(INDEX({"URGENTE"},MATCH(TRUE,ISNUMBER(FIND(SUBSTITUTE(SUBSTITUTE(UPPER({"URGENTE"})," ",""),":",": "),SUBSTITUTE(SUBSTITUTE(UPPER(S1637)," ",""),":",": "))),0)),"-")</f>
        <v>-</v>
      </c>
      <c r="C1637" s="46" t="str" cm="1">
        <f t="array" ref="C1637">IFERROR(INDEX(#REF!,MATCH(TRUE,ISNUMBER(FIND(SUBSTITUTE(SUBSTITUTE(UPPER(#REF!)," ",""),":",": "),SUBSTITUTE(SUBSTITUTE(UPPER(S1637)," ",""),":",": "))),0)),"Não encontrado")</f>
        <v>Não encontrado</v>
      </c>
      <c r="D1637" s="46" t="str" cm="1">
        <f t="array" ref="D1637">IFERROR(INDEX(#REF!,MATCH(TRUE,ISNUMBER(FIND(SUBSTITUTE(SUBSTITUTE(UPPER(#REF!)," ",""),":",": "),SUBSTITUTE(SUBSTITUTE(UPPER(S1637)," ",""),":",": "))),0)),"Não encontrado")</f>
        <v>Não encontrado</v>
      </c>
      <c r="E1637" s="42" t="str" cm="1">
        <f t="array" ref="E1637">IFERROR(INDEX({"IMPEDITIVO"},MATCH(TRUE,ISNUMBER(FIND(SUBSTITUTE(SUBSTITUTE(UPPER({"IMPEDITIVO"})," ",""),":",": "),SUBSTITUTE(SUBSTITUTE(UPPER(S1637)," ",""),":",": "))),0)),"-")</f>
        <v>-</v>
      </c>
      <c r="K1637" s="49"/>
    </row>
    <row r="1638" spans="1:11" x14ac:dyDescent="0.25">
      <c r="A1638" s="46" t="str" cm="1">
        <f t="array" ref="A1638">IFERROR(INDEX(#REF!,MATCH(TRUE,ISNUMBER(FIND(SUBSTITUTE(SUBSTITUTE(UPPER(#REF!)," ",""),":",": "),SUBSTITUTE(SUBSTITUTE(UPPER(S1638)," ",""),":",": "))),0)),"Undefined")</f>
        <v>Undefined</v>
      </c>
      <c r="B1638" s="42" t="str" cm="1">
        <f t="array" ref="B1638">IFERROR(INDEX({"URGENTE"},MATCH(TRUE,ISNUMBER(FIND(SUBSTITUTE(SUBSTITUTE(UPPER({"URGENTE"})," ",""),":",": "),SUBSTITUTE(SUBSTITUTE(UPPER(S1638)," ",""),":",": "))),0)),"-")</f>
        <v>-</v>
      </c>
      <c r="C1638" s="46" t="str" cm="1">
        <f t="array" ref="C1638">IFERROR(INDEX(#REF!,MATCH(TRUE,ISNUMBER(FIND(SUBSTITUTE(SUBSTITUTE(UPPER(#REF!)," ",""),":",": "),SUBSTITUTE(SUBSTITUTE(UPPER(S1638)," ",""),":",": "))),0)),"Não encontrado")</f>
        <v>Não encontrado</v>
      </c>
      <c r="D1638" s="46" t="str" cm="1">
        <f t="array" ref="D1638">IFERROR(INDEX(#REF!,MATCH(TRUE,ISNUMBER(FIND(SUBSTITUTE(SUBSTITUTE(UPPER(#REF!)," ",""),":",": "),SUBSTITUTE(SUBSTITUTE(UPPER(S1638)," ",""),":",": "))),0)),"Não encontrado")</f>
        <v>Não encontrado</v>
      </c>
      <c r="E1638" s="42" t="str" cm="1">
        <f t="array" ref="E1638">IFERROR(INDEX({"IMPEDITIVO"},MATCH(TRUE,ISNUMBER(FIND(SUBSTITUTE(SUBSTITUTE(UPPER({"IMPEDITIVO"})," ",""),":",": "),SUBSTITUTE(SUBSTITUTE(UPPER(S1638)," ",""),":",": "))),0)),"-")</f>
        <v>-</v>
      </c>
      <c r="K1638" s="49"/>
    </row>
    <row r="1639" spans="1:11" x14ac:dyDescent="0.25">
      <c r="A1639" s="46" t="str" cm="1">
        <f t="array" ref="A1639">IFERROR(INDEX(#REF!,MATCH(TRUE,ISNUMBER(FIND(SUBSTITUTE(SUBSTITUTE(UPPER(#REF!)," ",""),":",": "),SUBSTITUTE(SUBSTITUTE(UPPER(S1639)," ",""),":",": "))),0)),"Undefined")</f>
        <v>Undefined</v>
      </c>
      <c r="B1639" s="42" t="str" cm="1">
        <f t="array" ref="B1639">IFERROR(INDEX({"URGENTE"},MATCH(TRUE,ISNUMBER(FIND(SUBSTITUTE(SUBSTITUTE(UPPER({"URGENTE"})," ",""),":",": "),SUBSTITUTE(SUBSTITUTE(UPPER(S1639)," ",""),":",": "))),0)),"-")</f>
        <v>-</v>
      </c>
      <c r="C1639" s="46" t="str" cm="1">
        <f t="array" ref="C1639">IFERROR(INDEX(#REF!,MATCH(TRUE,ISNUMBER(FIND(SUBSTITUTE(SUBSTITUTE(UPPER(#REF!)," ",""),":",": "),SUBSTITUTE(SUBSTITUTE(UPPER(S1639)," ",""),":",": "))),0)),"Não encontrado")</f>
        <v>Não encontrado</v>
      </c>
      <c r="D1639" s="46" t="str" cm="1">
        <f t="array" ref="D1639">IFERROR(INDEX(#REF!,MATCH(TRUE,ISNUMBER(FIND(SUBSTITUTE(SUBSTITUTE(UPPER(#REF!)," ",""),":",": "),SUBSTITUTE(SUBSTITUTE(UPPER(S1639)," ",""),":",": "))),0)),"Não encontrado")</f>
        <v>Não encontrado</v>
      </c>
      <c r="E1639" s="42" t="str" cm="1">
        <f t="array" ref="E1639">IFERROR(INDEX({"IMPEDITIVO"},MATCH(TRUE,ISNUMBER(FIND(SUBSTITUTE(SUBSTITUTE(UPPER({"IMPEDITIVO"})," ",""),":",": "),SUBSTITUTE(SUBSTITUTE(UPPER(S1639)," ",""),":",": "))),0)),"-")</f>
        <v>-</v>
      </c>
      <c r="K1639" s="49"/>
    </row>
    <row r="1640" spans="1:11" x14ac:dyDescent="0.25">
      <c r="A1640" s="46" t="str" cm="1">
        <f t="array" ref="A1640">IFERROR(INDEX(#REF!,MATCH(TRUE,ISNUMBER(FIND(SUBSTITUTE(SUBSTITUTE(UPPER(#REF!)," ",""),":",": "),SUBSTITUTE(SUBSTITUTE(UPPER(S1640)," ",""),":",": "))),0)),"Undefined")</f>
        <v>Undefined</v>
      </c>
      <c r="B1640" s="42" t="str" cm="1">
        <f t="array" ref="B1640">IFERROR(INDEX({"URGENTE"},MATCH(TRUE,ISNUMBER(FIND(SUBSTITUTE(SUBSTITUTE(UPPER({"URGENTE"})," ",""),":",": "),SUBSTITUTE(SUBSTITUTE(UPPER(S1640)," ",""),":",": "))),0)),"-")</f>
        <v>-</v>
      </c>
      <c r="C1640" s="46" t="str" cm="1">
        <f t="array" ref="C1640">IFERROR(INDEX(#REF!,MATCH(TRUE,ISNUMBER(FIND(SUBSTITUTE(SUBSTITUTE(UPPER(#REF!)," ",""),":",": "),SUBSTITUTE(SUBSTITUTE(UPPER(S1640)," ",""),":",": "))),0)),"Não encontrado")</f>
        <v>Não encontrado</v>
      </c>
      <c r="D1640" s="46" t="str" cm="1">
        <f t="array" ref="D1640">IFERROR(INDEX(#REF!,MATCH(TRUE,ISNUMBER(FIND(SUBSTITUTE(SUBSTITUTE(UPPER(#REF!)," ",""),":",": "),SUBSTITUTE(SUBSTITUTE(UPPER(S1640)," ",""),":",": "))),0)),"Não encontrado")</f>
        <v>Não encontrado</v>
      </c>
      <c r="E1640" s="42" t="str" cm="1">
        <f t="array" ref="E1640">IFERROR(INDEX({"IMPEDITIVO"},MATCH(TRUE,ISNUMBER(FIND(SUBSTITUTE(SUBSTITUTE(UPPER({"IMPEDITIVO"})," ",""),":",": "),SUBSTITUTE(SUBSTITUTE(UPPER(S1640)," ",""),":",": "))),0)),"-")</f>
        <v>-</v>
      </c>
      <c r="K1640" s="49"/>
    </row>
    <row r="1641" spans="1:11" x14ac:dyDescent="0.25">
      <c r="A1641" s="46" t="str" cm="1">
        <f t="array" ref="A1641">IFERROR(INDEX(#REF!,MATCH(TRUE,ISNUMBER(FIND(SUBSTITUTE(SUBSTITUTE(UPPER(#REF!)," ",""),":",": "),SUBSTITUTE(SUBSTITUTE(UPPER(S1641)," ",""),":",": "))),0)),"Undefined")</f>
        <v>Undefined</v>
      </c>
      <c r="B1641" s="42" t="str" cm="1">
        <f t="array" ref="B1641">IFERROR(INDEX({"URGENTE"},MATCH(TRUE,ISNUMBER(FIND(SUBSTITUTE(SUBSTITUTE(UPPER({"URGENTE"})," ",""),":",": "),SUBSTITUTE(SUBSTITUTE(UPPER(S1641)," ",""),":",": "))),0)),"-")</f>
        <v>-</v>
      </c>
      <c r="C1641" s="46" t="str" cm="1">
        <f t="array" ref="C1641">IFERROR(INDEX(#REF!,MATCH(TRUE,ISNUMBER(FIND(SUBSTITUTE(SUBSTITUTE(UPPER(#REF!)," ",""),":",": "),SUBSTITUTE(SUBSTITUTE(UPPER(S1641)," ",""),":",": "))),0)),"Não encontrado")</f>
        <v>Não encontrado</v>
      </c>
      <c r="D1641" s="46" t="str" cm="1">
        <f t="array" ref="D1641">IFERROR(INDEX(#REF!,MATCH(TRUE,ISNUMBER(FIND(SUBSTITUTE(SUBSTITUTE(UPPER(#REF!)," ",""),":",": "),SUBSTITUTE(SUBSTITUTE(UPPER(S1641)," ",""),":",": "))),0)),"Não encontrado")</f>
        <v>Não encontrado</v>
      </c>
      <c r="E1641" s="42" t="str" cm="1">
        <f t="array" ref="E1641">IFERROR(INDEX({"IMPEDITIVO"},MATCH(TRUE,ISNUMBER(FIND(SUBSTITUTE(SUBSTITUTE(UPPER({"IMPEDITIVO"})," ",""),":",": "),SUBSTITUTE(SUBSTITUTE(UPPER(S1641)," ",""),":",": "))),0)),"-")</f>
        <v>-</v>
      </c>
      <c r="K1641" s="49"/>
    </row>
    <row r="1642" spans="1:11" x14ac:dyDescent="0.25">
      <c r="A1642" s="46" t="str" cm="1">
        <f t="array" ref="A1642">IFERROR(INDEX(#REF!,MATCH(TRUE,ISNUMBER(FIND(SUBSTITUTE(SUBSTITUTE(UPPER(#REF!)," ",""),":",": "),SUBSTITUTE(SUBSTITUTE(UPPER(S1642)," ",""),":",": "))),0)),"Undefined")</f>
        <v>Undefined</v>
      </c>
      <c r="B1642" s="42" t="str" cm="1">
        <f t="array" ref="B1642">IFERROR(INDEX({"URGENTE"},MATCH(TRUE,ISNUMBER(FIND(SUBSTITUTE(SUBSTITUTE(UPPER({"URGENTE"})," ",""),":",": "),SUBSTITUTE(SUBSTITUTE(UPPER(S1642)," ",""),":",": "))),0)),"-")</f>
        <v>-</v>
      </c>
      <c r="C1642" s="46" t="str" cm="1">
        <f t="array" ref="C1642">IFERROR(INDEX(#REF!,MATCH(TRUE,ISNUMBER(FIND(SUBSTITUTE(SUBSTITUTE(UPPER(#REF!)," ",""),":",": "),SUBSTITUTE(SUBSTITUTE(UPPER(S1642)," ",""),":",": "))),0)),"Não encontrado")</f>
        <v>Não encontrado</v>
      </c>
      <c r="D1642" s="46" t="str" cm="1">
        <f t="array" ref="D1642">IFERROR(INDEX(#REF!,MATCH(TRUE,ISNUMBER(FIND(SUBSTITUTE(SUBSTITUTE(UPPER(#REF!)," ",""),":",": "),SUBSTITUTE(SUBSTITUTE(UPPER(S1642)," ",""),":",": "))),0)),"Não encontrado")</f>
        <v>Não encontrado</v>
      </c>
      <c r="E1642" s="42" t="str" cm="1">
        <f t="array" ref="E1642">IFERROR(INDEX({"IMPEDITIVO"},MATCH(TRUE,ISNUMBER(FIND(SUBSTITUTE(SUBSTITUTE(UPPER({"IMPEDITIVO"})," ",""),":",": "),SUBSTITUTE(SUBSTITUTE(UPPER(S1642)," ",""),":",": "))),0)),"-")</f>
        <v>-</v>
      </c>
      <c r="K1642" s="49"/>
    </row>
    <row r="1643" spans="1:11" x14ac:dyDescent="0.25">
      <c r="A1643" s="46" t="str" cm="1">
        <f t="array" ref="A1643">IFERROR(INDEX(#REF!,MATCH(TRUE,ISNUMBER(FIND(SUBSTITUTE(SUBSTITUTE(UPPER(#REF!)," ",""),":",": "),SUBSTITUTE(SUBSTITUTE(UPPER(S1643)," ",""),":",": "))),0)),"Undefined")</f>
        <v>Undefined</v>
      </c>
      <c r="B1643" s="42" t="str" cm="1">
        <f t="array" ref="B1643">IFERROR(INDEX({"URGENTE"},MATCH(TRUE,ISNUMBER(FIND(SUBSTITUTE(SUBSTITUTE(UPPER({"URGENTE"})," ",""),":",": "),SUBSTITUTE(SUBSTITUTE(UPPER(S1643)," ",""),":",": "))),0)),"-")</f>
        <v>-</v>
      </c>
      <c r="C1643" s="46" t="str" cm="1">
        <f t="array" ref="C1643">IFERROR(INDEX(#REF!,MATCH(TRUE,ISNUMBER(FIND(SUBSTITUTE(SUBSTITUTE(UPPER(#REF!)," ",""),":",": "),SUBSTITUTE(SUBSTITUTE(UPPER(S1643)," ",""),":",": "))),0)),"Não encontrado")</f>
        <v>Não encontrado</v>
      </c>
      <c r="D1643" s="46" t="str" cm="1">
        <f t="array" ref="D1643">IFERROR(INDEX(#REF!,MATCH(TRUE,ISNUMBER(FIND(SUBSTITUTE(SUBSTITUTE(UPPER(#REF!)," ",""),":",": "),SUBSTITUTE(SUBSTITUTE(UPPER(S1643)," ",""),":",": "))),0)),"Não encontrado")</f>
        <v>Não encontrado</v>
      </c>
      <c r="E1643" s="42" t="str" cm="1">
        <f t="array" ref="E1643">IFERROR(INDEX({"IMPEDITIVO"},MATCH(TRUE,ISNUMBER(FIND(SUBSTITUTE(SUBSTITUTE(UPPER({"IMPEDITIVO"})," ",""),":",": "),SUBSTITUTE(SUBSTITUTE(UPPER(S1643)," ",""),":",": "))),0)),"-")</f>
        <v>-</v>
      </c>
      <c r="K1643" s="49"/>
    </row>
    <row r="1644" spans="1:11" x14ac:dyDescent="0.25">
      <c r="A1644" s="46" t="str" cm="1">
        <f t="array" ref="A1644">IFERROR(INDEX(#REF!,MATCH(TRUE,ISNUMBER(FIND(SUBSTITUTE(SUBSTITUTE(UPPER(#REF!)," ",""),":",": "),SUBSTITUTE(SUBSTITUTE(UPPER(S1644)," ",""),":",": "))),0)),"Undefined")</f>
        <v>Undefined</v>
      </c>
      <c r="B1644" s="42" t="str" cm="1">
        <f t="array" ref="B1644">IFERROR(INDEX({"URGENTE"},MATCH(TRUE,ISNUMBER(FIND(SUBSTITUTE(SUBSTITUTE(UPPER({"URGENTE"})," ",""),":",": "),SUBSTITUTE(SUBSTITUTE(UPPER(S1644)," ",""),":",": "))),0)),"-")</f>
        <v>-</v>
      </c>
      <c r="C1644" s="46" t="str" cm="1">
        <f t="array" ref="C1644">IFERROR(INDEX(#REF!,MATCH(TRUE,ISNUMBER(FIND(SUBSTITUTE(SUBSTITUTE(UPPER(#REF!)," ",""),":",": "),SUBSTITUTE(SUBSTITUTE(UPPER(S1644)," ",""),":",": "))),0)),"Não encontrado")</f>
        <v>Não encontrado</v>
      </c>
      <c r="D1644" s="46" t="str" cm="1">
        <f t="array" ref="D1644">IFERROR(INDEX(#REF!,MATCH(TRUE,ISNUMBER(FIND(SUBSTITUTE(SUBSTITUTE(UPPER(#REF!)," ",""),":",": "),SUBSTITUTE(SUBSTITUTE(UPPER(S1644)," ",""),":",": "))),0)),"Não encontrado")</f>
        <v>Não encontrado</v>
      </c>
      <c r="E1644" s="42" t="str" cm="1">
        <f t="array" ref="E1644">IFERROR(INDEX({"IMPEDITIVO"},MATCH(TRUE,ISNUMBER(FIND(SUBSTITUTE(SUBSTITUTE(UPPER({"IMPEDITIVO"})," ",""),":",": "),SUBSTITUTE(SUBSTITUTE(UPPER(S1644)," ",""),":",": "))),0)),"-")</f>
        <v>-</v>
      </c>
      <c r="K1644" s="49"/>
    </row>
    <row r="1645" spans="1:11" x14ac:dyDescent="0.25">
      <c r="A1645" s="46" t="str" cm="1">
        <f t="array" ref="A1645">IFERROR(INDEX(#REF!,MATCH(TRUE,ISNUMBER(FIND(SUBSTITUTE(SUBSTITUTE(UPPER(#REF!)," ",""),":",": "),SUBSTITUTE(SUBSTITUTE(UPPER(S1645)," ",""),":",": "))),0)),"Undefined")</f>
        <v>Undefined</v>
      </c>
      <c r="B1645" s="42" t="str" cm="1">
        <f t="array" ref="B1645">IFERROR(INDEX({"URGENTE"},MATCH(TRUE,ISNUMBER(FIND(SUBSTITUTE(SUBSTITUTE(UPPER({"URGENTE"})," ",""),":",": "),SUBSTITUTE(SUBSTITUTE(UPPER(S1645)," ",""),":",": "))),0)),"-")</f>
        <v>-</v>
      </c>
      <c r="C1645" s="46" t="str" cm="1">
        <f t="array" ref="C1645">IFERROR(INDEX(#REF!,MATCH(TRUE,ISNUMBER(FIND(SUBSTITUTE(SUBSTITUTE(UPPER(#REF!)," ",""),":",": "),SUBSTITUTE(SUBSTITUTE(UPPER(S1645)," ",""),":",": "))),0)),"Não encontrado")</f>
        <v>Não encontrado</v>
      </c>
      <c r="D1645" s="46" t="str" cm="1">
        <f t="array" ref="D1645">IFERROR(INDEX(#REF!,MATCH(TRUE,ISNUMBER(FIND(SUBSTITUTE(SUBSTITUTE(UPPER(#REF!)," ",""),":",": "),SUBSTITUTE(SUBSTITUTE(UPPER(S1645)," ",""),":",": "))),0)),"Não encontrado")</f>
        <v>Não encontrado</v>
      </c>
      <c r="E1645" s="42" t="str" cm="1">
        <f t="array" ref="E1645">IFERROR(INDEX({"IMPEDITIVO"},MATCH(TRUE,ISNUMBER(FIND(SUBSTITUTE(SUBSTITUTE(UPPER({"IMPEDITIVO"})," ",""),":",": "),SUBSTITUTE(SUBSTITUTE(UPPER(S1645)," ",""),":",": "))),0)),"-")</f>
        <v>-</v>
      </c>
      <c r="K1645" s="49"/>
    </row>
    <row r="1646" spans="1:11" x14ac:dyDescent="0.25">
      <c r="A1646" s="46" t="str" cm="1">
        <f t="array" ref="A1646">IFERROR(INDEX(#REF!,MATCH(TRUE,ISNUMBER(FIND(SUBSTITUTE(SUBSTITUTE(UPPER(#REF!)," ",""),":",": "),SUBSTITUTE(SUBSTITUTE(UPPER(S1646)," ",""),":",": "))),0)),"Undefined")</f>
        <v>Undefined</v>
      </c>
      <c r="B1646" s="42" t="str" cm="1">
        <f t="array" ref="B1646">IFERROR(INDEX({"URGENTE"},MATCH(TRUE,ISNUMBER(FIND(SUBSTITUTE(SUBSTITUTE(UPPER({"URGENTE"})," ",""),":",": "),SUBSTITUTE(SUBSTITUTE(UPPER(S1646)," ",""),":",": "))),0)),"-")</f>
        <v>-</v>
      </c>
      <c r="C1646" s="46" t="str" cm="1">
        <f t="array" ref="C1646">IFERROR(INDEX(#REF!,MATCH(TRUE,ISNUMBER(FIND(SUBSTITUTE(SUBSTITUTE(UPPER(#REF!)," ",""),":",": "),SUBSTITUTE(SUBSTITUTE(UPPER(S1646)," ",""),":",": "))),0)),"Não encontrado")</f>
        <v>Não encontrado</v>
      </c>
      <c r="D1646" s="46" t="str" cm="1">
        <f t="array" ref="D1646">IFERROR(INDEX(#REF!,MATCH(TRUE,ISNUMBER(FIND(SUBSTITUTE(SUBSTITUTE(UPPER(#REF!)," ",""),":",": "),SUBSTITUTE(SUBSTITUTE(UPPER(S1646)," ",""),":",": "))),0)),"Não encontrado")</f>
        <v>Não encontrado</v>
      </c>
      <c r="E1646" s="42" t="str" cm="1">
        <f t="array" ref="E1646">IFERROR(INDEX({"IMPEDITIVO"},MATCH(TRUE,ISNUMBER(FIND(SUBSTITUTE(SUBSTITUTE(UPPER({"IMPEDITIVO"})," ",""),":",": "),SUBSTITUTE(SUBSTITUTE(UPPER(S1646)," ",""),":",": "))),0)),"-")</f>
        <v>-</v>
      </c>
      <c r="K1646" s="49"/>
    </row>
    <row r="1647" spans="1:11" x14ac:dyDescent="0.25">
      <c r="A1647" s="46" t="str" cm="1">
        <f t="array" ref="A1647">IFERROR(INDEX(#REF!,MATCH(TRUE,ISNUMBER(FIND(SUBSTITUTE(SUBSTITUTE(UPPER(#REF!)," ",""),":",": "),SUBSTITUTE(SUBSTITUTE(UPPER(S1647)," ",""),":",": "))),0)),"Undefined")</f>
        <v>Undefined</v>
      </c>
      <c r="B1647" s="42" t="str" cm="1">
        <f t="array" ref="B1647">IFERROR(INDEX({"URGENTE"},MATCH(TRUE,ISNUMBER(FIND(SUBSTITUTE(SUBSTITUTE(UPPER({"URGENTE"})," ",""),":",": "),SUBSTITUTE(SUBSTITUTE(UPPER(S1647)," ",""),":",": "))),0)),"-")</f>
        <v>-</v>
      </c>
      <c r="C1647" s="46" t="str" cm="1">
        <f t="array" ref="C1647">IFERROR(INDEX(#REF!,MATCH(TRUE,ISNUMBER(FIND(SUBSTITUTE(SUBSTITUTE(UPPER(#REF!)," ",""),":",": "),SUBSTITUTE(SUBSTITUTE(UPPER(S1647)," ",""),":",": "))),0)),"Não encontrado")</f>
        <v>Não encontrado</v>
      </c>
      <c r="D1647" s="46" t="str" cm="1">
        <f t="array" ref="D1647">IFERROR(INDEX(#REF!,MATCH(TRUE,ISNUMBER(FIND(SUBSTITUTE(SUBSTITUTE(UPPER(#REF!)," ",""),":",": "),SUBSTITUTE(SUBSTITUTE(UPPER(S1647)," ",""),":",": "))),0)),"Não encontrado")</f>
        <v>Não encontrado</v>
      </c>
      <c r="E1647" s="42" t="str" cm="1">
        <f t="array" ref="E1647">IFERROR(INDEX({"IMPEDITIVO"},MATCH(TRUE,ISNUMBER(FIND(SUBSTITUTE(SUBSTITUTE(UPPER({"IMPEDITIVO"})," ",""),":",": "),SUBSTITUTE(SUBSTITUTE(UPPER(S1647)," ",""),":",": "))),0)),"-")</f>
        <v>-</v>
      </c>
      <c r="K1647" s="49"/>
    </row>
    <row r="1648" spans="1:11" x14ac:dyDescent="0.25">
      <c r="A1648" s="46" t="str" cm="1">
        <f t="array" ref="A1648">IFERROR(INDEX(#REF!,MATCH(TRUE,ISNUMBER(FIND(SUBSTITUTE(SUBSTITUTE(UPPER(#REF!)," ",""),":",": "),SUBSTITUTE(SUBSTITUTE(UPPER(S1648)," ",""),":",": "))),0)),"Undefined")</f>
        <v>Undefined</v>
      </c>
      <c r="B1648" s="42" t="str" cm="1">
        <f t="array" ref="B1648">IFERROR(INDEX({"URGENTE"},MATCH(TRUE,ISNUMBER(FIND(SUBSTITUTE(SUBSTITUTE(UPPER({"URGENTE"})," ",""),":",": "),SUBSTITUTE(SUBSTITUTE(UPPER(S1648)," ",""),":",": "))),0)),"-")</f>
        <v>-</v>
      </c>
      <c r="C1648" s="46" t="str" cm="1">
        <f t="array" ref="C1648">IFERROR(INDEX(#REF!,MATCH(TRUE,ISNUMBER(FIND(SUBSTITUTE(SUBSTITUTE(UPPER(#REF!)," ",""),":",": "),SUBSTITUTE(SUBSTITUTE(UPPER(S1648)," ",""),":",": "))),0)),"Não encontrado")</f>
        <v>Não encontrado</v>
      </c>
      <c r="D1648" s="46" t="str" cm="1">
        <f t="array" ref="D1648">IFERROR(INDEX(#REF!,MATCH(TRUE,ISNUMBER(FIND(SUBSTITUTE(SUBSTITUTE(UPPER(#REF!)," ",""),":",": "),SUBSTITUTE(SUBSTITUTE(UPPER(S1648)," ",""),":",": "))),0)),"Não encontrado")</f>
        <v>Não encontrado</v>
      </c>
      <c r="E1648" s="42" t="str" cm="1">
        <f t="array" ref="E1648">IFERROR(INDEX({"IMPEDITIVO"},MATCH(TRUE,ISNUMBER(FIND(SUBSTITUTE(SUBSTITUTE(UPPER({"IMPEDITIVO"})," ",""),":",": "),SUBSTITUTE(SUBSTITUTE(UPPER(S1648)," ",""),":",": "))),0)),"-")</f>
        <v>-</v>
      </c>
      <c r="K1648" s="49"/>
    </row>
    <row r="1649" spans="1:11" x14ac:dyDescent="0.25">
      <c r="A1649" s="46" t="str" cm="1">
        <f t="array" ref="A1649">IFERROR(INDEX(#REF!,MATCH(TRUE,ISNUMBER(FIND(SUBSTITUTE(SUBSTITUTE(UPPER(#REF!)," ",""),":",": "),SUBSTITUTE(SUBSTITUTE(UPPER(S1649)," ",""),":",": "))),0)),"Undefined")</f>
        <v>Undefined</v>
      </c>
      <c r="B1649" s="42" t="str" cm="1">
        <f t="array" ref="B1649">IFERROR(INDEX({"URGENTE"},MATCH(TRUE,ISNUMBER(FIND(SUBSTITUTE(SUBSTITUTE(UPPER({"URGENTE"})," ",""),":",": "),SUBSTITUTE(SUBSTITUTE(UPPER(S1649)," ",""),":",": "))),0)),"-")</f>
        <v>-</v>
      </c>
      <c r="C1649" s="46" t="str" cm="1">
        <f t="array" ref="C1649">IFERROR(INDEX(#REF!,MATCH(TRUE,ISNUMBER(FIND(SUBSTITUTE(SUBSTITUTE(UPPER(#REF!)," ",""),":",": "),SUBSTITUTE(SUBSTITUTE(UPPER(S1649)," ",""),":",": "))),0)),"Não encontrado")</f>
        <v>Não encontrado</v>
      </c>
      <c r="D1649" s="46" t="str" cm="1">
        <f t="array" ref="D1649">IFERROR(INDEX(#REF!,MATCH(TRUE,ISNUMBER(FIND(SUBSTITUTE(SUBSTITUTE(UPPER(#REF!)," ",""),":",": "),SUBSTITUTE(SUBSTITUTE(UPPER(S1649)," ",""),":",": "))),0)),"Não encontrado")</f>
        <v>Não encontrado</v>
      </c>
      <c r="E1649" s="42" t="str" cm="1">
        <f t="array" ref="E1649">IFERROR(INDEX({"IMPEDITIVO"},MATCH(TRUE,ISNUMBER(FIND(SUBSTITUTE(SUBSTITUTE(UPPER({"IMPEDITIVO"})," ",""),":",": "),SUBSTITUTE(SUBSTITUTE(UPPER(S1649)," ",""),":",": "))),0)),"-")</f>
        <v>-</v>
      </c>
      <c r="K1649" s="49"/>
    </row>
    <row r="1650" spans="1:11" x14ac:dyDescent="0.25">
      <c r="A1650" s="46" t="str" cm="1">
        <f t="array" ref="A1650">IFERROR(INDEX(#REF!,MATCH(TRUE,ISNUMBER(FIND(SUBSTITUTE(SUBSTITUTE(UPPER(#REF!)," ",""),":",": "),SUBSTITUTE(SUBSTITUTE(UPPER(S1650)," ",""),":",": "))),0)),"Undefined")</f>
        <v>Undefined</v>
      </c>
      <c r="B1650" s="42" t="str" cm="1">
        <f t="array" ref="B1650">IFERROR(INDEX({"URGENTE"},MATCH(TRUE,ISNUMBER(FIND(SUBSTITUTE(SUBSTITUTE(UPPER({"URGENTE"})," ",""),":",": "),SUBSTITUTE(SUBSTITUTE(UPPER(S1650)," ",""),":",": "))),0)),"-")</f>
        <v>-</v>
      </c>
      <c r="C1650" s="46" t="str" cm="1">
        <f t="array" ref="C1650">IFERROR(INDEX(#REF!,MATCH(TRUE,ISNUMBER(FIND(SUBSTITUTE(SUBSTITUTE(UPPER(#REF!)," ",""),":",": "),SUBSTITUTE(SUBSTITUTE(UPPER(S1650)," ",""),":",": "))),0)),"Não encontrado")</f>
        <v>Não encontrado</v>
      </c>
      <c r="D1650" s="46" t="str" cm="1">
        <f t="array" ref="D1650">IFERROR(INDEX(#REF!,MATCH(TRUE,ISNUMBER(FIND(SUBSTITUTE(SUBSTITUTE(UPPER(#REF!)," ",""),":",": "),SUBSTITUTE(SUBSTITUTE(UPPER(S1650)," ",""),":",": "))),0)),"Não encontrado")</f>
        <v>Não encontrado</v>
      </c>
      <c r="E1650" s="42" t="str" cm="1">
        <f t="array" ref="E1650">IFERROR(INDEX({"IMPEDITIVO"},MATCH(TRUE,ISNUMBER(FIND(SUBSTITUTE(SUBSTITUTE(UPPER({"IMPEDITIVO"})," ",""),":",": "),SUBSTITUTE(SUBSTITUTE(UPPER(S1650)," ",""),":",": "))),0)),"-")</f>
        <v>-</v>
      </c>
      <c r="K1650" s="49"/>
    </row>
    <row r="1651" spans="1:11" x14ac:dyDescent="0.25">
      <c r="A1651" s="46" t="str" cm="1">
        <f t="array" ref="A1651">IFERROR(INDEX(#REF!,MATCH(TRUE,ISNUMBER(FIND(SUBSTITUTE(SUBSTITUTE(UPPER(#REF!)," ",""),":",": "),SUBSTITUTE(SUBSTITUTE(UPPER(S1651)," ",""),":",": "))),0)),"Undefined")</f>
        <v>Undefined</v>
      </c>
      <c r="B1651" s="42" t="str" cm="1">
        <f t="array" ref="B1651">IFERROR(INDEX({"URGENTE"},MATCH(TRUE,ISNUMBER(FIND(SUBSTITUTE(SUBSTITUTE(UPPER({"URGENTE"})," ",""),":",": "),SUBSTITUTE(SUBSTITUTE(UPPER(S1651)," ",""),":",": "))),0)),"-")</f>
        <v>-</v>
      </c>
      <c r="C1651" s="46" t="str" cm="1">
        <f t="array" ref="C1651">IFERROR(INDEX(#REF!,MATCH(TRUE,ISNUMBER(FIND(SUBSTITUTE(SUBSTITUTE(UPPER(#REF!)," ",""),":",": "),SUBSTITUTE(SUBSTITUTE(UPPER(S1651)," ",""),":",": "))),0)),"Não encontrado")</f>
        <v>Não encontrado</v>
      </c>
      <c r="D1651" s="46" t="str" cm="1">
        <f t="array" ref="D1651">IFERROR(INDEX(#REF!,MATCH(TRUE,ISNUMBER(FIND(SUBSTITUTE(SUBSTITUTE(UPPER(#REF!)," ",""),":",": "),SUBSTITUTE(SUBSTITUTE(UPPER(S1651)," ",""),":",": "))),0)),"Não encontrado")</f>
        <v>Não encontrado</v>
      </c>
      <c r="E1651" s="42" t="str" cm="1">
        <f t="array" ref="E1651">IFERROR(INDEX({"IMPEDITIVO"},MATCH(TRUE,ISNUMBER(FIND(SUBSTITUTE(SUBSTITUTE(UPPER({"IMPEDITIVO"})," ",""),":",": "),SUBSTITUTE(SUBSTITUTE(UPPER(S1651)," ",""),":",": "))),0)),"-")</f>
        <v>-</v>
      </c>
      <c r="K1651" s="49"/>
    </row>
    <row r="1652" spans="1:11" x14ac:dyDescent="0.25">
      <c r="A1652" s="46" t="str" cm="1">
        <f t="array" ref="A1652">IFERROR(INDEX(#REF!,MATCH(TRUE,ISNUMBER(FIND(SUBSTITUTE(SUBSTITUTE(UPPER(#REF!)," ",""),":",": "),SUBSTITUTE(SUBSTITUTE(UPPER(S1652)," ",""),":",": "))),0)),"Undefined")</f>
        <v>Undefined</v>
      </c>
      <c r="B1652" s="42" t="str" cm="1">
        <f t="array" ref="B1652">IFERROR(INDEX({"URGENTE"},MATCH(TRUE,ISNUMBER(FIND(SUBSTITUTE(SUBSTITUTE(UPPER({"URGENTE"})," ",""),":",": "),SUBSTITUTE(SUBSTITUTE(UPPER(S1652)," ",""),":",": "))),0)),"-")</f>
        <v>-</v>
      </c>
      <c r="C1652" s="46" t="str" cm="1">
        <f t="array" ref="C1652">IFERROR(INDEX(#REF!,MATCH(TRUE,ISNUMBER(FIND(SUBSTITUTE(SUBSTITUTE(UPPER(#REF!)," ",""),":",": "),SUBSTITUTE(SUBSTITUTE(UPPER(S1652)," ",""),":",": "))),0)),"Não encontrado")</f>
        <v>Não encontrado</v>
      </c>
      <c r="D1652" s="46" t="str" cm="1">
        <f t="array" ref="D1652">IFERROR(INDEX(#REF!,MATCH(TRUE,ISNUMBER(FIND(SUBSTITUTE(SUBSTITUTE(UPPER(#REF!)," ",""),":",": "),SUBSTITUTE(SUBSTITUTE(UPPER(S1652)," ",""),":",": "))),0)),"Não encontrado")</f>
        <v>Não encontrado</v>
      </c>
      <c r="E1652" s="42" t="str" cm="1">
        <f t="array" ref="E1652">IFERROR(INDEX({"IMPEDITIVO"},MATCH(TRUE,ISNUMBER(FIND(SUBSTITUTE(SUBSTITUTE(UPPER({"IMPEDITIVO"})," ",""),":",": "),SUBSTITUTE(SUBSTITUTE(UPPER(S1652)," ",""),":",": "))),0)),"-")</f>
        <v>-</v>
      </c>
      <c r="K1652" s="49"/>
    </row>
    <row r="1653" spans="1:11" x14ac:dyDescent="0.25">
      <c r="A1653" s="46" t="str" cm="1">
        <f t="array" ref="A1653">IFERROR(INDEX(#REF!,MATCH(TRUE,ISNUMBER(FIND(SUBSTITUTE(SUBSTITUTE(UPPER(#REF!)," ",""),":",": "),SUBSTITUTE(SUBSTITUTE(UPPER(S1653)," ",""),":",": "))),0)),"Undefined")</f>
        <v>Undefined</v>
      </c>
      <c r="B1653" s="42" t="str" cm="1">
        <f t="array" ref="B1653">IFERROR(INDEX({"URGENTE"},MATCH(TRUE,ISNUMBER(FIND(SUBSTITUTE(SUBSTITUTE(UPPER({"URGENTE"})," ",""),":",": "),SUBSTITUTE(SUBSTITUTE(UPPER(S1653)," ",""),":",": "))),0)),"-")</f>
        <v>-</v>
      </c>
      <c r="C1653" s="46" t="str" cm="1">
        <f t="array" ref="C1653">IFERROR(INDEX(#REF!,MATCH(TRUE,ISNUMBER(FIND(SUBSTITUTE(SUBSTITUTE(UPPER(#REF!)," ",""),":",": "),SUBSTITUTE(SUBSTITUTE(UPPER(S1653)," ",""),":",": "))),0)),"Não encontrado")</f>
        <v>Não encontrado</v>
      </c>
      <c r="D1653" s="46" t="str" cm="1">
        <f t="array" ref="D1653">IFERROR(INDEX(#REF!,MATCH(TRUE,ISNUMBER(FIND(SUBSTITUTE(SUBSTITUTE(UPPER(#REF!)," ",""),":",": "),SUBSTITUTE(SUBSTITUTE(UPPER(S1653)," ",""),":",": "))),0)),"Não encontrado")</f>
        <v>Não encontrado</v>
      </c>
      <c r="E1653" s="42" t="str" cm="1">
        <f t="array" ref="E1653">IFERROR(INDEX({"IMPEDITIVO"},MATCH(TRUE,ISNUMBER(FIND(SUBSTITUTE(SUBSTITUTE(UPPER({"IMPEDITIVO"})," ",""),":",": "),SUBSTITUTE(SUBSTITUTE(UPPER(S1653)," ",""),":",": "))),0)),"-")</f>
        <v>-</v>
      </c>
      <c r="K1653" s="49"/>
    </row>
    <row r="1654" spans="1:11" x14ac:dyDescent="0.25">
      <c r="A1654" s="46" t="str" cm="1">
        <f t="array" ref="A1654">IFERROR(INDEX(#REF!,MATCH(TRUE,ISNUMBER(FIND(SUBSTITUTE(SUBSTITUTE(UPPER(#REF!)," ",""),":",": "),SUBSTITUTE(SUBSTITUTE(UPPER(S1654)," ",""),":",": "))),0)),"Undefined")</f>
        <v>Undefined</v>
      </c>
      <c r="B1654" s="42" t="str" cm="1">
        <f t="array" ref="B1654">IFERROR(INDEX({"URGENTE"},MATCH(TRUE,ISNUMBER(FIND(SUBSTITUTE(SUBSTITUTE(UPPER({"URGENTE"})," ",""),":",": "),SUBSTITUTE(SUBSTITUTE(UPPER(S1654)," ",""),":",": "))),0)),"-")</f>
        <v>-</v>
      </c>
      <c r="C1654" s="46" t="str" cm="1">
        <f t="array" ref="C1654">IFERROR(INDEX(#REF!,MATCH(TRUE,ISNUMBER(FIND(SUBSTITUTE(SUBSTITUTE(UPPER(#REF!)," ",""),":",": "),SUBSTITUTE(SUBSTITUTE(UPPER(S1654)," ",""),":",": "))),0)),"Não encontrado")</f>
        <v>Não encontrado</v>
      </c>
      <c r="D1654" s="46" t="str" cm="1">
        <f t="array" ref="D1654">IFERROR(INDEX(#REF!,MATCH(TRUE,ISNUMBER(FIND(SUBSTITUTE(SUBSTITUTE(UPPER(#REF!)," ",""),":",": "),SUBSTITUTE(SUBSTITUTE(UPPER(S1654)," ",""),":",": "))),0)),"Não encontrado")</f>
        <v>Não encontrado</v>
      </c>
      <c r="E1654" s="42" t="str" cm="1">
        <f t="array" ref="E1654">IFERROR(INDEX({"IMPEDITIVO"},MATCH(TRUE,ISNUMBER(FIND(SUBSTITUTE(SUBSTITUTE(UPPER({"IMPEDITIVO"})," ",""),":",": "),SUBSTITUTE(SUBSTITUTE(UPPER(S1654)," ",""),":",": "))),0)),"-")</f>
        <v>-</v>
      </c>
      <c r="K1654" s="49"/>
    </row>
    <row r="1655" spans="1:11" x14ac:dyDescent="0.25">
      <c r="A1655" s="46" t="str" cm="1">
        <f t="array" ref="A1655">IFERROR(INDEX(#REF!,MATCH(TRUE,ISNUMBER(FIND(SUBSTITUTE(SUBSTITUTE(UPPER(#REF!)," ",""),":",": "),SUBSTITUTE(SUBSTITUTE(UPPER(S1655)," ",""),":",": "))),0)),"Undefined")</f>
        <v>Undefined</v>
      </c>
      <c r="B1655" s="42" t="str" cm="1">
        <f t="array" ref="B1655">IFERROR(INDEX({"URGENTE"},MATCH(TRUE,ISNUMBER(FIND(SUBSTITUTE(SUBSTITUTE(UPPER({"URGENTE"})," ",""),":",": "),SUBSTITUTE(SUBSTITUTE(UPPER(S1655)," ",""),":",": "))),0)),"-")</f>
        <v>-</v>
      </c>
      <c r="C1655" s="46" t="str" cm="1">
        <f t="array" ref="C1655">IFERROR(INDEX(#REF!,MATCH(TRUE,ISNUMBER(FIND(SUBSTITUTE(SUBSTITUTE(UPPER(#REF!)," ",""),":",": "),SUBSTITUTE(SUBSTITUTE(UPPER(S1655)," ",""),":",": "))),0)),"Não encontrado")</f>
        <v>Não encontrado</v>
      </c>
      <c r="D1655" s="46" t="str" cm="1">
        <f t="array" ref="D1655">IFERROR(INDEX(#REF!,MATCH(TRUE,ISNUMBER(FIND(SUBSTITUTE(SUBSTITUTE(UPPER(#REF!)," ",""),":",": "),SUBSTITUTE(SUBSTITUTE(UPPER(S1655)," ",""),":",": "))),0)),"Não encontrado")</f>
        <v>Não encontrado</v>
      </c>
      <c r="E1655" s="42" t="str" cm="1">
        <f t="array" ref="E1655">IFERROR(INDEX({"IMPEDITIVO"},MATCH(TRUE,ISNUMBER(FIND(SUBSTITUTE(SUBSTITUTE(UPPER({"IMPEDITIVO"})," ",""),":",": "),SUBSTITUTE(SUBSTITUTE(UPPER(S1655)," ",""),":",": "))),0)),"-")</f>
        <v>-</v>
      </c>
      <c r="K1655" s="49"/>
    </row>
    <row r="1656" spans="1:11" x14ac:dyDescent="0.25">
      <c r="A1656" s="46" t="str" cm="1">
        <f t="array" ref="A1656">IFERROR(INDEX(#REF!,MATCH(TRUE,ISNUMBER(FIND(SUBSTITUTE(SUBSTITUTE(UPPER(#REF!)," ",""),":",": "),SUBSTITUTE(SUBSTITUTE(UPPER(S1656)," ",""),":",": "))),0)),"Undefined")</f>
        <v>Undefined</v>
      </c>
      <c r="B1656" s="42" t="str" cm="1">
        <f t="array" ref="B1656">IFERROR(INDEX({"URGENTE"},MATCH(TRUE,ISNUMBER(FIND(SUBSTITUTE(SUBSTITUTE(UPPER({"URGENTE"})," ",""),":",": "),SUBSTITUTE(SUBSTITUTE(UPPER(S1656)," ",""),":",": "))),0)),"-")</f>
        <v>-</v>
      </c>
      <c r="C1656" s="46" t="str" cm="1">
        <f t="array" ref="C1656">IFERROR(INDEX(#REF!,MATCH(TRUE,ISNUMBER(FIND(SUBSTITUTE(SUBSTITUTE(UPPER(#REF!)," ",""),":",": "),SUBSTITUTE(SUBSTITUTE(UPPER(S1656)," ",""),":",": "))),0)),"Não encontrado")</f>
        <v>Não encontrado</v>
      </c>
      <c r="D1656" s="46" t="str" cm="1">
        <f t="array" ref="D1656">IFERROR(INDEX(#REF!,MATCH(TRUE,ISNUMBER(FIND(SUBSTITUTE(SUBSTITUTE(UPPER(#REF!)," ",""),":",": "),SUBSTITUTE(SUBSTITUTE(UPPER(S1656)," ",""),":",": "))),0)),"Não encontrado")</f>
        <v>Não encontrado</v>
      </c>
      <c r="E1656" s="42" t="str" cm="1">
        <f t="array" ref="E1656">IFERROR(INDEX({"IMPEDITIVO"},MATCH(TRUE,ISNUMBER(FIND(SUBSTITUTE(SUBSTITUTE(UPPER({"IMPEDITIVO"})," ",""),":",": "),SUBSTITUTE(SUBSTITUTE(UPPER(S1656)," ",""),":",": "))),0)),"-")</f>
        <v>-</v>
      </c>
      <c r="K1656" s="49"/>
    </row>
    <row r="1657" spans="1:11" x14ac:dyDescent="0.25">
      <c r="A1657" s="46" t="str" cm="1">
        <f t="array" ref="A1657">IFERROR(INDEX(#REF!,MATCH(TRUE,ISNUMBER(FIND(SUBSTITUTE(SUBSTITUTE(UPPER(#REF!)," ",""),":",": "),SUBSTITUTE(SUBSTITUTE(UPPER(S1657)," ",""),":",": "))),0)),"Undefined")</f>
        <v>Undefined</v>
      </c>
      <c r="B1657" s="42" t="str" cm="1">
        <f t="array" ref="B1657">IFERROR(INDEX({"URGENTE"},MATCH(TRUE,ISNUMBER(FIND(SUBSTITUTE(SUBSTITUTE(UPPER({"URGENTE"})," ",""),":",": "),SUBSTITUTE(SUBSTITUTE(UPPER(S1657)," ",""),":",": "))),0)),"-")</f>
        <v>-</v>
      </c>
      <c r="C1657" s="46" t="str" cm="1">
        <f t="array" ref="C1657">IFERROR(INDEX(#REF!,MATCH(TRUE,ISNUMBER(FIND(SUBSTITUTE(SUBSTITUTE(UPPER(#REF!)," ",""),":",": "),SUBSTITUTE(SUBSTITUTE(UPPER(S1657)," ",""),":",": "))),0)),"Não encontrado")</f>
        <v>Não encontrado</v>
      </c>
      <c r="D1657" s="46" t="str" cm="1">
        <f t="array" ref="D1657">IFERROR(INDEX(#REF!,MATCH(TRUE,ISNUMBER(FIND(SUBSTITUTE(SUBSTITUTE(UPPER(#REF!)," ",""),":",": "),SUBSTITUTE(SUBSTITUTE(UPPER(S1657)," ",""),":",": "))),0)),"Não encontrado")</f>
        <v>Não encontrado</v>
      </c>
      <c r="E1657" s="42" t="str" cm="1">
        <f t="array" ref="E1657">IFERROR(INDEX({"IMPEDITIVO"},MATCH(TRUE,ISNUMBER(FIND(SUBSTITUTE(SUBSTITUTE(UPPER({"IMPEDITIVO"})," ",""),":",": "),SUBSTITUTE(SUBSTITUTE(UPPER(S1657)," ",""),":",": "))),0)),"-")</f>
        <v>-</v>
      </c>
      <c r="K1657" s="49"/>
    </row>
    <row r="1658" spans="1:11" x14ac:dyDescent="0.25">
      <c r="A1658" s="46" t="str" cm="1">
        <f t="array" ref="A1658">IFERROR(INDEX(#REF!,MATCH(TRUE,ISNUMBER(FIND(SUBSTITUTE(SUBSTITUTE(UPPER(#REF!)," ",""),":",": "),SUBSTITUTE(SUBSTITUTE(UPPER(S1658)," ",""),":",": "))),0)),"Undefined")</f>
        <v>Undefined</v>
      </c>
      <c r="B1658" s="42" t="str" cm="1">
        <f t="array" ref="B1658">IFERROR(INDEX({"URGENTE"},MATCH(TRUE,ISNUMBER(FIND(SUBSTITUTE(SUBSTITUTE(UPPER({"URGENTE"})," ",""),":",": "),SUBSTITUTE(SUBSTITUTE(UPPER(S1658)," ",""),":",": "))),0)),"-")</f>
        <v>-</v>
      </c>
      <c r="C1658" s="46" t="str" cm="1">
        <f t="array" ref="C1658">IFERROR(INDEX(#REF!,MATCH(TRUE,ISNUMBER(FIND(SUBSTITUTE(SUBSTITUTE(UPPER(#REF!)," ",""),":",": "),SUBSTITUTE(SUBSTITUTE(UPPER(S1658)," ",""),":",": "))),0)),"Não encontrado")</f>
        <v>Não encontrado</v>
      </c>
      <c r="D1658" s="46" t="str" cm="1">
        <f t="array" ref="D1658">IFERROR(INDEX(#REF!,MATCH(TRUE,ISNUMBER(FIND(SUBSTITUTE(SUBSTITUTE(UPPER(#REF!)," ",""),":",": "),SUBSTITUTE(SUBSTITUTE(UPPER(S1658)," ",""),":",": "))),0)),"Não encontrado")</f>
        <v>Não encontrado</v>
      </c>
      <c r="E1658" s="42" t="str" cm="1">
        <f t="array" ref="E1658">IFERROR(INDEX({"IMPEDITIVO"},MATCH(TRUE,ISNUMBER(FIND(SUBSTITUTE(SUBSTITUTE(UPPER({"IMPEDITIVO"})," ",""),":",": "),SUBSTITUTE(SUBSTITUTE(UPPER(S1658)," ",""),":",": "))),0)),"-")</f>
        <v>-</v>
      </c>
      <c r="K1658" s="49"/>
    </row>
    <row r="1659" spans="1:11" x14ac:dyDescent="0.25">
      <c r="A1659" s="46" t="str" cm="1">
        <f t="array" ref="A1659">IFERROR(INDEX(#REF!,MATCH(TRUE,ISNUMBER(FIND(SUBSTITUTE(SUBSTITUTE(UPPER(#REF!)," ",""),":",": "),SUBSTITUTE(SUBSTITUTE(UPPER(S1659)," ",""),":",": "))),0)),"Undefined")</f>
        <v>Undefined</v>
      </c>
      <c r="B1659" s="42" t="str" cm="1">
        <f t="array" ref="B1659">IFERROR(INDEX({"URGENTE"},MATCH(TRUE,ISNUMBER(FIND(SUBSTITUTE(SUBSTITUTE(UPPER({"URGENTE"})," ",""),":",": "),SUBSTITUTE(SUBSTITUTE(UPPER(S1659)," ",""),":",": "))),0)),"-")</f>
        <v>-</v>
      </c>
      <c r="C1659" s="46" t="str" cm="1">
        <f t="array" ref="C1659">IFERROR(INDEX(#REF!,MATCH(TRUE,ISNUMBER(FIND(SUBSTITUTE(SUBSTITUTE(UPPER(#REF!)," ",""),":",": "),SUBSTITUTE(SUBSTITUTE(UPPER(S1659)," ",""),":",": "))),0)),"Não encontrado")</f>
        <v>Não encontrado</v>
      </c>
      <c r="D1659" s="46" t="str" cm="1">
        <f t="array" ref="D1659">IFERROR(INDEX(#REF!,MATCH(TRUE,ISNUMBER(FIND(SUBSTITUTE(SUBSTITUTE(UPPER(#REF!)," ",""),":",": "),SUBSTITUTE(SUBSTITUTE(UPPER(S1659)," ",""),":",": "))),0)),"Não encontrado")</f>
        <v>Não encontrado</v>
      </c>
      <c r="E1659" s="42" t="str" cm="1">
        <f t="array" ref="E1659">IFERROR(INDEX({"IMPEDITIVO"},MATCH(TRUE,ISNUMBER(FIND(SUBSTITUTE(SUBSTITUTE(UPPER({"IMPEDITIVO"})," ",""),":",": "),SUBSTITUTE(SUBSTITUTE(UPPER(S1659)," ",""),":",": "))),0)),"-")</f>
        <v>-</v>
      </c>
      <c r="K1659" s="49"/>
    </row>
    <row r="1660" spans="1:11" x14ac:dyDescent="0.25">
      <c r="A1660" s="46" t="str" cm="1">
        <f t="array" ref="A1660">IFERROR(INDEX(#REF!,MATCH(TRUE,ISNUMBER(FIND(SUBSTITUTE(SUBSTITUTE(UPPER(#REF!)," ",""),":",": "),SUBSTITUTE(SUBSTITUTE(UPPER(S1660)," ",""),":",": "))),0)),"Undefined")</f>
        <v>Undefined</v>
      </c>
      <c r="B1660" s="42" t="str" cm="1">
        <f t="array" ref="B1660">IFERROR(INDEX({"URGENTE"},MATCH(TRUE,ISNUMBER(FIND(SUBSTITUTE(SUBSTITUTE(UPPER({"URGENTE"})," ",""),":",": "),SUBSTITUTE(SUBSTITUTE(UPPER(S1660)," ",""),":",": "))),0)),"-")</f>
        <v>-</v>
      </c>
      <c r="C1660" s="46" t="str" cm="1">
        <f t="array" ref="C1660">IFERROR(INDEX(#REF!,MATCH(TRUE,ISNUMBER(FIND(SUBSTITUTE(SUBSTITUTE(UPPER(#REF!)," ",""),":",": "),SUBSTITUTE(SUBSTITUTE(UPPER(S1660)," ",""),":",": "))),0)),"Não encontrado")</f>
        <v>Não encontrado</v>
      </c>
      <c r="D1660" s="46" t="str" cm="1">
        <f t="array" ref="D1660">IFERROR(INDEX(#REF!,MATCH(TRUE,ISNUMBER(FIND(SUBSTITUTE(SUBSTITUTE(UPPER(#REF!)," ",""),":",": "),SUBSTITUTE(SUBSTITUTE(UPPER(S1660)," ",""),":",": "))),0)),"Não encontrado")</f>
        <v>Não encontrado</v>
      </c>
      <c r="E1660" s="42" t="str" cm="1">
        <f t="array" ref="E1660">IFERROR(INDEX({"IMPEDITIVO"},MATCH(TRUE,ISNUMBER(FIND(SUBSTITUTE(SUBSTITUTE(UPPER({"IMPEDITIVO"})," ",""),":",": "),SUBSTITUTE(SUBSTITUTE(UPPER(S1660)," ",""),":",": "))),0)),"-")</f>
        <v>-</v>
      </c>
      <c r="K1660" s="49"/>
    </row>
    <row r="1661" spans="1:11" x14ac:dyDescent="0.25">
      <c r="A1661" s="46" t="str" cm="1">
        <f t="array" ref="A1661">IFERROR(INDEX(#REF!,MATCH(TRUE,ISNUMBER(FIND(SUBSTITUTE(SUBSTITUTE(UPPER(#REF!)," ",""),":",": "),SUBSTITUTE(SUBSTITUTE(UPPER(S1661)," ",""),":",": "))),0)),"Undefined")</f>
        <v>Undefined</v>
      </c>
      <c r="B1661" s="42" t="str" cm="1">
        <f t="array" ref="B1661">IFERROR(INDEX({"URGENTE"},MATCH(TRUE,ISNUMBER(FIND(SUBSTITUTE(SUBSTITUTE(UPPER({"URGENTE"})," ",""),":",": "),SUBSTITUTE(SUBSTITUTE(UPPER(S1661)," ",""),":",": "))),0)),"-")</f>
        <v>-</v>
      </c>
      <c r="C1661" s="46" t="str" cm="1">
        <f t="array" ref="C1661">IFERROR(INDEX(#REF!,MATCH(TRUE,ISNUMBER(FIND(SUBSTITUTE(SUBSTITUTE(UPPER(#REF!)," ",""),":",": "),SUBSTITUTE(SUBSTITUTE(UPPER(S1661)," ",""),":",": "))),0)),"Não encontrado")</f>
        <v>Não encontrado</v>
      </c>
      <c r="D1661" s="46" t="str" cm="1">
        <f t="array" ref="D1661">IFERROR(INDEX(#REF!,MATCH(TRUE,ISNUMBER(FIND(SUBSTITUTE(SUBSTITUTE(UPPER(#REF!)," ",""),":",": "),SUBSTITUTE(SUBSTITUTE(UPPER(S1661)," ",""),":",": "))),0)),"Não encontrado")</f>
        <v>Não encontrado</v>
      </c>
      <c r="E1661" s="42" t="str" cm="1">
        <f t="array" ref="E1661">IFERROR(INDEX({"IMPEDITIVO"},MATCH(TRUE,ISNUMBER(FIND(SUBSTITUTE(SUBSTITUTE(UPPER({"IMPEDITIVO"})," ",""),":",": "),SUBSTITUTE(SUBSTITUTE(UPPER(S1661)," ",""),":",": "))),0)),"-")</f>
        <v>-</v>
      </c>
      <c r="K1661" s="49"/>
    </row>
    <row r="1662" spans="1:11" x14ac:dyDescent="0.25">
      <c r="A1662" s="46" t="str" cm="1">
        <f t="array" ref="A1662">IFERROR(INDEX(#REF!,MATCH(TRUE,ISNUMBER(FIND(SUBSTITUTE(SUBSTITUTE(UPPER(#REF!)," ",""),":",": "),SUBSTITUTE(SUBSTITUTE(UPPER(S1662)," ",""),":",": "))),0)),"Undefined")</f>
        <v>Undefined</v>
      </c>
      <c r="B1662" s="42" t="str" cm="1">
        <f t="array" ref="B1662">IFERROR(INDEX({"URGENTE"},MATCH(TRUE,ISNUMBER(FIND(SUBSTITUTE(SUBSTITUTE(UPPER({"URGENTE"})," ",""),":",": "),SUBSTITUTE(SUBSTITUTE(UPPER(S1662)," ",""),":",": "))),0)),"-")</f>
        <v>-</v>
      </c>
      <c r="C1662" s="46" t="str" cm="1">
        <f t="array" ref="C1662">IFERROR(INDEX(#REF!,MATCH(TRUE,ISNUMBER(FIND(SUBSTITUTE(SUBSTITUTE(UPPER(#REF!)," ",""),":",": "),SUBSTITUTE(SUBSTITUTE(UPPER(S1662)," ",""),":",": "))),0)),"Não encontrado")</f>
        <v>Não encontrado</v>
      </c>
      <c r="D1662" s="46" t="str" cm="1">
        <f t="array" ref="D1662">IFERROR(INDEX(#REF!,MATCH(TRUE,ISNUMBER(FIND(SUBSTITUTE(SUBSTITUTE(UPPER(#REF!)," ",""),":",": "),SUBSTITUTE(SUBSTITUTE(UPPER(S1662)," ",""),":",": "))),0)),"Não encontrado")</f>
        <v>Não encontrado</v>
      </c>
      <c r="E1662" s="42" t="str" cm="1">
        <f t="array" ref="E1662">IFERROR(INDEX({"IMPEDITIVO"},MATCH(TRUE,ISNUMBER(FIND(SUBSTITUTE(SUBSTITUTE(UPPER({"IMPEDITIVO"})," ",""),":",": "),SUBSTITUTE(SUBSTITUTE(UPPER(S1662)," ",""),":",": "))),0)),"-")</f>
        <v>-</v>
      </c>
      <c r="K1662" s="49"/>
    </row>
    <row r="1663" spans="1:11" x14ac:dyDescent="0.25">
      <c r="A1663" s="46" t="str" cm="1">
        <f t="array" ref="A1663">IFERROR(INDEX(#REF!,MATCH(TRUE,ISNUMBER(FIND(SUBSTITUTE(SUBSTITUTE(UPPER(#REF!)," ",""),":",": "),SUBSTITUTE(SUBSTITUTE(UPPER(S1663)," ",""),":",": "))),0)),"Undefined")</f>
        <v>Undefined</v>
      </c>
      <c r="B1663" s="42" t="str" cm="1">
        <f t="array" ref="B1663">IFERROR(INDEX({"URGENTE"},MATCH(TRUE,ISNUMBER(FIND(SUBSTITUTE(SUBSTITUTE(UPPER({"URGENTE"})," ",""),":",": "),SUBSTITUTE(SUBSTITUTE(UPPER(S1663)," ",""),":",": "))),0)),"-")</f>
        <v>-</v>
      </c>
      <c r="C1663" s="46" t="str" cm="1">
        <f t="array" ref="C1663">IFERROR(INDEX(#REF!,MATCH(TRUE,ISNUMBER(FIND(SUBSTITUTE(SUBSTITUTE(UPPER(#REF!)," ",""),":",": "),SUBSTITUTE(SUBSTITUTE(UPPER(S1663)," ",""),":",": "))),0)),"Não encontrado")</f>
        <v>Não encontrado</v>
      </c>
      <c r="D1663" s="46" t="str" cm="1">
        <f t="array" ref="D1663">IFERROR(INDEX(#REF!,MATCH(TRUE,ISNUMBER(FIND(SUBSTITUTE(SUBSTITUTE(UPPER(#REF!)," ",""),":",": "),SUBSTITUTE(SUBSTITUTE(UPPER(S1663)," ",""),":",": "))),0)),"Não encontrado")</f>
        <v>Não encontrado</v>
      </c>
      <c r="E1663" s="42" t="str" cm="1">
        <f t="array" ref="E1663">IFERROR(INDEX({"IMPEDITIVO"},MATCH(TRUE,ISNUMBER(FIND(SUBSTITUTE(SUBSTITUTE(UPPER({"IMPEDITIVO"})," ",""),":",": "),SUBSTITUTE(SUBSTITUTE(UPPER(S1663)," ",""),":",": "))),0)),"-")</f>
        <v>-</v>
      </c>
      <c r="K1663" s="49"/>
    </row>
    <row r="1664" spans="1:11" x14ac:dyDescent="0.25">
      <c r="A1664" s="46" t="str" cm="1">
        <f t="array" ref="A1664">IFERROR(INDEX(#REF!,MATCH(TRUE,ISNUMBER(FIND(SUBSTITUTE(SUBSTITUTE(UPPER(#REF!)," ",""),":",": "),SUBSTITUTE(SUBSTITUTE(UPPER(S1664)," ",""),":",": "))),0)),"Undefined")</f>
        <v>Undefined</v>
      </c>
      <c r="B1664" s="42" t="str" cm="1">
        <f t="array" ref="B1664">IFERROR(INDEX({"URGENTE"},MATCH(TRUE,ISNUMBER(FIND(SUBSTITUTE(SUBSTITUTE(UPPER({"URGENTE"})," ",""),":",": "),SUBSTITUTE(SUBSTITUTE(UPPER(S1664)," ",""),":",": "))),0)),"-")</f>
        <v>-</v>
      </c>
      <c r="C1664" s="46" t="str" cm="1">
        <f t="array" ref="C1664">IFERROR(INDEX(#REF!,MATCH(TRUE,ISNUMBER(FIND(SUBSTITUTE(SUBSTITUTE(UPPER(#REF!)," ",""),":",": "),SUBSTITUTE(SUBSTITUTE(UPPER(S1664)," ",""),":",": "))),0)),"Não encontrado")</f>
        <v>Não encontrado</v>
      </c>
      <c r="D1664" s="46" t="str" cm="1">
        <f t="array" ref="D1664">IFERROR(INDEX(#REF!,MATCH(TRUE,ISNUMBER(FIND(SUBSTITUTE(SUBSTITUTE(UPPER(#REF!)," ",""),":",": "),SUBSTITUTE(SUBSTITUTE(UPPER(S1664)," ",""),":",": "))),0)),"Não encontrado")</f>
        <v>Não encontrado</v>
      </c>
      <c r="E1664" s="42" t="str" cm="1">
        <f t="array" ref="E1664">IFERROR(INDEX({"IMPEDITIVO"},MATCH(TRUE,ISNUMBER(FIND(SUBSTITUTE(SUBSTITUTE(UPPER({"IMPEDITIVO"})," ",""),":",": "),SUBSTITUTE(SUBSTITUTE(UPPER(S1664)," ",""),":",": "))),0)),"-")</f>
        <v>-</v>
      </c>
      <c r="K1664" s="49"/>
    </row>
    <row r="1665" spans="1:11" x14ac:dyDescent="0.25">
      <c r="A1665" s="46" t="str" cm="1">
        <f t="array" ref="A1665">IFERROR(INDEX(#REF!,MATCH(TRUE,ISNUMBER(FIND(SUBSTITUTE(SUBSTITUTE(UPPER(#REF!)," ",""),":",": "),SUBSTITUTE(SUBSTITUTE(UPPER(S1665)," ",""),":",": "))),0)),"Undefined")</f>
        <v>Undefined</v>
      </c>
      <c r="B1665" s="42" t="str" cm="1">
        <f t="array" ref="B1665">IFERROR(INDEX({"URGENTE"},MATCH(TRUE,ISNUMBER(FIND(SUBSTITUTE(SUBSTITUTE(UPPER({"URGENTE"})," ",""),":",": "),SUBSTITUTE(SUBSTITUTE(UPPER(S1665)," ",""),":",": "))),0)),"-")</f>
        <v>-</v>
      </c>
      <c r="C1665" s="46" t="str" cm="1">
        <f t="array" ref="C1665">IFERROR(INDEX(#REF!,MATCH(TRUE,ISNUMBER(FIND(SUBSTITUTE(SUBSTITUTE(UPPER(#REF!)," ",""),":",": "),SUBSTITUTE(SUBSTITUTE(UPPER(S1665)," ",""),":",": "))),0)),"Não encontrado")</f>
        <v>Não encontrado</v>
      </c>
      <c r="D1665" s="46" t="str" cm="1">
        <f t="array" ref="D1665">IFERROR(INDEX(#REF!,MATCH(TRUE,ISNUMBER(FIND(SUBSTITUTE(SUBSTITUTE(UPPER(#REF!)," ",""),":",": "),SUBSTITUTE(SUBSTITUTE(UPPER(S1665)," ",""),":",": "))),0)),"Não encontrado")</f>
        <v>Não encontrado</v>
      </c>
      <c r="E1665" s="42" t="str" cm="1">
        <f t="array" ref="E1665">IFERROR(INDEX({"IMPEDITIVO"},MATCH(TRUE,ISNUMBER(FIND(SUBSTITUTE(SUBSTITUTE(UPPER({"IMPEDITIVO"})," ",""),":",": "),SUBSTITUTE(SUBSTITUTE(UPPER(S1665)," ",""),":",": "))),0)),"-")</f>
        <v>-</v>
      </c>
      <c r="K1665" s="49"/>
    </row>
    <row r="1666" spans="1:11" x14ac:dyDescent="0.25">
      <c r="A1666" s="46" t="str" cm="1">
        <f t="array" ref="A1666">IFERROR(INDEX(#REF!,MATCH(TRUE,ISNUMBER(FIND(SUBSTITUTE(SUBSTITUTE(UPPER(#REF!)," ",""),":",": "),SUBSTITUTE(SUBSTITUTE(UPPER(S1666)," ",""),":",": "))),0)),"Undefined")</f>
        <v>Undefined</v>
      </c>
      <c r="B1666" s="42" t="str" cm="1">
        <f t="array" ref="B1666">IFERROR(INDEX({"URGENTE"},MATCH(TRUE,ISNUMBER(FIND(SUBSTITUTE(SUBSTITUTE(UPPER({"URGENTE"})," ",""),":",": "),SUBSTITUTE(SUBSTITUTE(UPPER(S1666)," ",""),":",": "))),0)),"-")</f>
        <v>-</v>
      </c>
      <c r="C1666" s="46" t="str" cm="1">
        <f t="array" ref="C1666">IFERROR(INDEX(#REF!,MATCH(TRUE,ISNUMBER(FIND(SUBSTITUTE(SUBSTITUTE(UPPER(#REF!)," ",""),":",": "),SUBSTITUTE(SUBSTITUTE(UPPER(S1666)," ",""),":",": "))),0)),"Não encontrado")</f>
        <v>Não encontrado</v>
      </c>
      <c r="D1666" s="46" t="str" cm="1">
        <f t="array" ref="D1666">IFERROR(INDEX(#REF!,MATCH(TRUE,ISNUMBER(FIND(SUBSTITUTE(SUBSTITUTE(UPPER(#REF!)," ",""),":",": "),SUBSTITUTE(SUBSTITUTE(UPPER(S1666)," ",""),":",": "))),0)),"Não encontrado")</f>
        <v>Não encontrado</v>
      </c>
      <c r="E1666" s="42" t="str" cm="1">
        <f t="array" ref="E1666">IFERROR(INDEX({"IMPEDITIVO"},MATCH(TRUE,ISNUMBER(FIND(SUBSTITUTE(SUBSTITUTE(UPPER({"IMPEDITIVO"})," ",""),":",": "),SUBSTITUTE(SUBSTITUTE(UPPER(S1666)," ",""),":",": "))),0)),"-")</f>
        <v>-</v>
      </c>
      <c r="K1666" s="49"/>
    </row>
    <row r="1667" spans="1:11" x14ac:dyDescent="0.25">
      <c r="A1667" s="46" t="str" cm="1">
        <f t="array" ref="A1667">IFERROR(INDEX(#REF!,MATCH(TRUE,ISNUMBER(FIND(SUBSTITUTE(SUBSTITUTE(UPPER(#REF!)," ",""),":",": "),SUBSTITUTE(SUBSTITUTE(UPPER(S1667)," ",""),":",": "))),0)),"Undefined")</f>
        <v>Undefined</v>
      </c>
      <c r="B1667" s="42" t="str" cm="1">
        <f t="array" ref="B1667">IFERROR(INDEX({"URGENTE"},MATCH(TRUE,ISNUMBER(FIND(SUBSTITUTE(SUBSTITUTE(UPPER({"URGENTE"})," ",""),":",": "),SUBSTITUTE(SUBSTITUTE(UPPER(S1667)," ",""),":",": "))),0)),"-")</f>
        <v>-</v>
      </c>
      <c r="C1667" s="46" t="str" cm="1">
        <f t="array" ref="C1667">IFERROR(INDEX(#REF!,MATCH(TRUE,ISNUMBER(FIND(SUBSTITUTE(SUBSTITUTE(UPPER(#REF!)," ",""),":",": "),SUBSTITUTE(SUBSTITUTE(UPPER(S1667)," ",""),":",": "))),0)),"Não encontrado")</f>
        <v>Não encontrado</v>
      </c>
      <c r="D1667" s="46" t="str" cm="1">
        <f t="array" ref="D1667">IFERROR(INDEX(#REF!,MATCH(TRUE,ISNUMBER(FIND(SUBSTITUTE(SUBSTITUTE(UPPER(#REF!)," ",""),":",": "),SUBSTITUTE(SUBSTITUTE(UPPER(S1667)," ",""),":",": "))),0)),"Não encontrado")</f>
        <v>Não encontrado</v>
      </c>
      <c r="E1667" s="42" t="str" cm="1">
        <f t="array" ref="E1667">IFERROR(INDEX({"IMPEDITIVO"},MATCH(TRUE,ISNUMBER(FIND(SUBSTITUTE(SUBSTITUTE(UPPER({"IMPEDITIVO"})," ",""),":",": "),SUBSTITUTE(SUBSTITUTE(UPPER(S1667)," ",""),":",": "))),0)),"-")</f>
        <v>-</v>
      </c>
      <c r="K1667" s="49"/>
    </row>
    <row r="1668" spans="1:11" x14ac:dyDescent="0.25">
      <c r="A1668" s="46" t="str" cm="1">
        <f t="array" ref="A1668">IFERROR(INDEX(#REF!,MATCH(TRUE,ISNUMBER(FIND(SUBSTITUTE(SUBSTITUTE(UPPER(#REF!)," ",""),":",": "),SUBSTITUTE(SUBSTITUTE(UPPER(S1668)," ",""),":",": "))),0)),"Undefined")</f>
        <v>Undefined</v>
      </c>
      <c r="B1668" s="42" t="str" cm="1">
        <f t="array" ref="B1668">IFERROR(INDEX({"URGENTE"},MATCH(TRUE,ISNUMBER(FIND(SUBSTITUTE(SUBSTITUTE(UPPER({"URGENTE"})," ",""),":",": "),SUBSTITUTE(SUBSTITUTE(UPPER(S1668)," ",""),":",": "))),0)),"-")</f>
        <v>-</v>
      </c>
      <c r="C1668" s="46" t="str" cm="1">
        <f t="array" ref="C1668">IFERROR(INDEX(#REF!,MATCH(TRUE,ISNUMBER(FIND(SUBSTITUTE(SUBSTITUTE(UPPER(#REF!)," ",""),":",": "),SUBSTITUTE(SUBSTITUTE(UPPER(S1668)," ",""),":",": "))),0)),"Não encontrado")</f>
        <v>Não encontrado</v>
      </c>
      <c r="D1668" s="46" t="str" cm="1">
        <f t="array" ref="D1668">IFERROR(INDEX(#REF!,MATCH(TRUE,ISNUMBER(FIND(SUBSTITUTE(SUBSTITUTE(UPPER(#REF!)," ",""),":",": "),SUBSTITUTE(SUBSTITUTE(UPPER(S1668)," ",""),":",": "))),0)),"Não encontrado")</f>
        <v>Não encontrado</v>
      </c>
      <c r="E1668" s="42" t="str" cm="1">
        <f t="array" ref="E1668">IFERROR(INDEX({"IMPEDITIVO"},MATCH(TRUE,ISNUMBER(FIND(SUBSTITUTE(SUBSTITUTE(UPPER({"IMPEDITIVO"})," ",""),":",": "),SUBSTITUTE(SUBSTITUTE(UPPER(S1668)," ",""),":",": "))),0)),"-")</f>
        <v>-</v>
      </c>
      <c r="K1668" s="49"/>
    </row>
    <row r="1669" spans="1:11" x14ac:dyDescent="0.25">
      <c r="A1669" s="46" t="str" cm="1">
        <f t="array" ref="A1669">IFERROR(INDEX(#REF!,MATCH(TRUE,ISNUMBER(FIND(SUBSTITUTE(SUBSTITUTE(UPPER(#REF!)," ",""),":",": "),SUBSTITUTE(SUBSTITUTE(UPPER(S1669)," ",""),":",": "))),0)),"Undefined")</f>
        <v>Undefined</v>
      </c>
      <c r="B1669" s="42" t="str" cm="1">
        <f t="array" ref="B1669">IFERROR(INDEX({"URGENTE"},MATCH(TRUE,ISNUMBER(FIND(SUBSTITUTE(SUBSTITUTE(UPPER({"URGENTE"})," ",""),":",": "),SUBSTITUTE(SUBSTITUTE(UPPER(S1669)," ",""),":",": "))),0)),"-")</f>
        <v>-</v>
      </c>
      <c r="C1669" s="46" t="str" cm="1">
        <f t="array" ref="C1669">IFERROR(INDEX(#REF!,MATCH(TRUE,ISNUMBER(FIND(SUBSTITUTE(SUBSTITUTE(UPPER(#REF!)," ",""),":",": "),SUBSTITUTE(SUBSTITUTE(UPPER(S1669)," ",""),":",": "))),0)),"Não encontrado")</f>
        <v>Não encontrado</v>
      </c>
      <c r="D1669" s="46" t="str" cm="1">
        <f t="array" ref="D1669">IFERROR(INDEX(#REF!,MATCH(TRUE,ISNUMBER(FIND(SUBSTITUTE(SUBSTITUTE(UPPER(#REF!)," ",""),":",": "),SUBSTITUTE(SUBSTITUTE(UPPER(S1669)," ",""),":",": "))),0)),"Não encontrado")</f>
        <v>Não encontrado</v>
      </c>
      <c r="E1669" s="42" t="str" cm="1">
        <f t="array" ref="E1669">IFERROR(INDEX({"IMPEDITIVO"},MATCH(TRUE,ISNUMBER(FIND(SUBSTITUTE(SUBSTITUTE(UPPER({"IMPEDITIVO"})," ",""),":",": "),SUBSTITUTE(SUBSTITUTE(UPPER(S1669)," ",""),":",": "))),0)),"-")</f>
        <v>-</v>
      </c>
      <c r="K1669" s="49"/>
    </row>
    <row r="1670" spans="1:11" x14ac:dyDescent="0.25">
      <c r="A1670" s="46" t="str" cm="1">
        <f t="array" ref="A1670">IFERROR(INDEX(#REF!,MATCH(TRUE,ISNUMBER(FIND(SUBSTITUTE(SUBSTITUTE(UPPER(#REF!)," ",""),":",": "),SUBSTITUTE(SUBSTITUTE(UPPER(S1670)," ",""),":",": "))),0)),"Undefined")</f>
        <v>Undefined</v>
      </c>
      <c r="B1670" s="42" t="str" cm="1">
        <f t="array" ref="B1670">IFERROR(INDEX({"URGENTE"},MATCH(TRUE,ISNUMBER(FIND(SUBSTITUTE(SUBSTITUTE(UPPER({"URGENTE"})," ",""),":",": "),SUBSTITUTE(SUBSTITUTE(UPPER(S1670)," ",""),":",": "))),0)),"-")</f>
        <v>-</v>
      </c>
      <c r="C1670" s="46" t="str" cm="1">
        <f t="array" ref="C1670">IFERROR(INDEX(#REF!,MATCH(TRUE,ISNUMBER(FIND(SUBSTITUTE(SUBSTITUTE(UPPER(#REF!)," ",""),":",": "),SUBSTITUTE(SUBSTITUTE(UPPER(S1670)," ",""),":",": "))),0)),"Não encontrado")</f>
        <v>Não encontrado</v>
      </c>
      <c r="D1670" s="46" t="str" cm="1">
        <f t="array" ref="D1670">IFERROR(INDEX(#REF!,MATCH(TRUE,ISNUMBER(FIND(SUBSTITUTE(SUBSTITUTE(UPPER(#REF!)," ",""),":",": "),SUBSTITUTE(SUBSTITUTE(UPPER(S1670)," ",""),":",": "))),0)),"Não encontrado")</f>
        <v>Não encontrado</v>
      </c>
      <c r="E1670" s="42" t="str" cm="1">
        <f t="array" ref="E1670">IFERROR(INDEX({"IMPEDITIVO"},MATCH(TRUE,ISNUMBER(FIND(SUBSTITUTE(SUBSTITUTE(UPPER({"IMPEDITIVO"})," ",""),":",": "),SUBSTITUTE(SUBSTITUTE(UPPER(S1670)," ",""),":",": "))),0)),"-")</f>
        <v>-</v>
      </c>
      <c r="K1670" s="49"/>
    </row>
    <row r="1671" spans="1:11" x14ac:dyDescent="0.25">
      <c r="A1671" s="46" t="str" cm="1">
        <f t="array" ref="A1671">IFERROR(INDEX(#REF!,MATCH(TRUE,ISNUMBER(FIND(SUBSTITUTE(SUBSTITUTE(UPPER(#REF!)," ",""),":",": "),SUBSTITUTE(SUBSTITUTE(UPPER(S1671)," ",""),":",": "))),0)),"Undefined")</f>
        <v>Undefined</v>
      </c>
      <c r="B1671" s="42" t="str" cm="1">
        <f t="array" ref="B1671">IFERROR(INDEX({"URGENTE"},MATCH(TRUE,ISNUMBER(FIND(SUBSTITUTE(SUBSTITUTE(UPPER({"URGENTE"})," ",""),":",": "),SUBSTITUTE(SUBSTITUTE(UPPER(S1671)," ",""),":",": "))),0)),"-")</f>
        <v>-</v>
      </c>
      <c r="C1671" s="46" t="str" cm="1">
        <f t="array" ref="C1671">IFERROR(INDEX(#REF!,MATCH(TRUE,ISNUMBER(FIND(SUBSTITUTE(SUBSTITUTE(UPPER(#REF!)," ",""),":",": "),SUBSTITUTE(SUBSTITUTE(UPPER(S1671)," ",""),":",": "))),0)),"Não encontrado")</f>
        <v>Não encontrado</v>
      </c>
      <c r="D1671" s="46" t="str" cm="1">
        <f t="array" ref="D1671">IFERROR(INDEX(#REF!,MATCH(TRUE,ISNUMBER(FIND(SUBSTITUTE(SUBSTITUTE(UPPER(#REF!)," ",""),":",": "),SUBSTITUTE(SUBSTITUTE(UPPER(S1671)," ",""),":",": "))),0)),"Não encontrado")</f>
        <v>Não encontrado</v>
      </c>
      <c r="E1671" s="42" t="str" cm="1">
        <f t="array" ref="E1671">IFERROR(INDEX({"IMPEDITIVO"},MATCH(TRUE,ISNUMBER(FIND(SUBSTITUTE(SUBSTITUTE(UPPER({"IMPEDITIVO"})," ",""),":",": "),SUBSTITUTE(SUBSTITUTE(UPPER(S1671)," ",""),":",": "))),0)),"-")</f>
        <v>-</v>
      </c>
      <c r="K1671" s="49"/>
    </row>
    <row r="1672" spans="1:11" x14ac:dyDescent="0.25">
      <c r="A1672" s="46" t="str" cm="1">
        <f t="array" ref="A1672">IFERROR(INDEX(#REF!,MATCH(TRUE,ISNUMBER(FIND(SUBSTITUTE(SUBSTITUTE(UPPER(#REF!)," ",""),":",": "),SUBSTITUTE(SUBSTITUTE(UPPER(S1672)," ",""),":",": "))),0)),"Undefined")</f>
        <v>Undefined</v>
      </c>
      <c r="B1672" s="42" t="str" cm="1">
        <f t="array" ref="B1672">IFERROR(INDEX({"URGENTE"},MATCH(TRUE,ISNUMBER(FIND(SUBSTITUTE(SUBSTITUTE(UPPER({"URGENTE"})," ",""),":",": "),SUBSTITUTE(SUBSTITUTE(UPPER(S1672)," ",""),":",": "))),0)),"-")</f>
        <v>-</v>
      </c>
      <c r="C1672" s="46" t="str" cm="1">
        <f t="array" ref="C1672">IFERROR(INDEX(#REF!,MATCH(TRUE,ISNUMBER(FIND(SUBSTITUTE(SUBSTITUTE(UPPER(#REF!)," ",""),":",": "),SUBSTITUTE(SUBSTITUTE(UPPER(S1672)," ",""),":",": "))),0)),"Não encontrado")</f>
        <v>Não encontrado</v>
      </c>
      <c r="D1672" s="46" t="str" cm="1">
        <f t="array" ref="D1672">IFERROR(INDEX(#REF!,MATCH(TRUE,ISNUMBER(FIND(SUBSTITUTE(SUBSTITUTE(UPPER(#REF!)," ",""),":",": "),SUBSTITUTE(SUBSTITUTE(UPPER(S1672)," ",""),":",": "))),0)),"Não encontrado")</f>
        <v>Não encontrado</v>
      </c>
      <c r="E1672" s="42" t="str" cm="1">
        <f t="array" ref="E1672">IFERROR(INDEX({"IMPEDITIVO"},MATCH(TRUE,ISNUMBER(FIND(SUBSTITUTE(SUBSTITUTE(UPPER({"IMPEDITIVO"})," ",""),":",": "),SUBSTITUTE(SUBSTITUTE(UPPER(S1672)," ",""),":",": "))),0)),"-")</f>
        <v>-</v>
      </c>
      <c r="K1672" s="49"/>
    </row>
    <row r="1673" spans="1:11" x14ac:dyDescent="0.25">
      <c r="A1673" s="46" t="str" cm="1">
        <f t="array" ref="A1673">IFERROR(INDEX(#REF!,MATCH(TRUE,ISNUMBER(FIND(SUBSTITUTE(SUBSTITUTE(UPPER(#REF!)," ",""),":",": "),SUBSTITUTE(SUBSTITUTE(UPPER(S1673)," ",""),":",": "))),0)),"Undefined")</f>
        <v>Undefined</v>
      </c>
      <c r="B1673" s="42" t="str" cm="1">
        <f t="array" ref="B1673">IFERROR(INDEX({"URGENTE"},MATCH(TRUE,ISNUMBER(FIND(SUBSTITUTE(SUBSTITUTE(UPPER({"URGENTE"})," ",""),":",": "),SUBSTITUTE(SUBSTITUTE(UPPER(S1673)," ",""),":",": "))),0)),"-")</f>
        <v>-</v>
      </c>
      <c r="C1673" s="46" t="str" cm="1">
        <f t="array" ref="C1673">IFERROR(INDEX(#REF!,MATCH(TRUE,ISNUMBER(FIND(SUBSTITUTE(SUBSTITUTE(UPPER(#REF!)," ",""),":",": "),SUBSTITUTE(SUBSTITUTE(UPPER(S1673)," ",""),":",": "))),0)),"Não encontrado")</f>
        <v>Não encontrado</v>
      </c>
      <c r="D1673" s="46" t="str" cm="1">
        <f t="array" ref="D1673">IFERROR(INDEX(#REF!,MATCH(TRUE,ISNUMBER(FIND(SUBSTITUTE(SUBSTITUTE(UPPER(#REF!)," ",""),":",": "),SUBSTITUTE(SUBSTITUTE(UPPER(S1673)," ",""),":",": "))),0)),"Não encontrado")</f>
        <v>Não encontrado</v>
      </c>
      <c r="E1673" s="42" t="str" cm="1">
        <f t="array" ref="E1673">IFERROR(INDEX({"IMPEDITIVO"},MATCH(TRUE,ISNUMBER(FIND(SUBSTITUTE(SUBSTITUTE(UPPER({"IMPEDITIVO"})," ",""),":",": "),SUBSTITUTE(SUBSTITUTE(UPPER(S1673)," ",""),":",": "))),0)),"-")</f>
        <v>-</v>
      </c>
      <c r="K1673" s="49"/>
    </row>
    <row r="1674" spans="1:11" x14ac:dyDescent="0.25">
      <c r="A1674" s="46" t="str" cm="1">
        <f t="array" ref="A1674">IFERROR(INDEX(#REF!,MATCH(TRUE,ISNUMBER(FIND(SUBSTITUTE(SUBSTITUTE(UPPER(#REF!)," ",""),":",": "),SUBSTITUTE(SUBSTITUTE(UPPER(S1674)," ",""),":",": "))),0)),"Undefined")</f>
        <v>Undefined</v>
      </c>
      <c r="B1674" s="42" t="str" cm="1">
        <f t="array" ref="B1674">IFERROR(INDEX({"URGENTE"},MATCH(TRUE,ISNUMBER(FIND(SUBSTITUTE(SUBSTITUTE(UPPER({"URGENTE"})," ",""),":",": "),SUBSTITUTE(SUBSTITUTE(UPPER(S1674)," ",""),":",": "))),0)),"-")</f>
        <v>-</v>
      </c>
      <c r="C1674" s="46" t="str" cm="1">
        <f t="array" ref="C1674">IFERROR(INDEX(#REF!,MATCH(TRUE,ISNUMBER(FIND(SUBSTITUTE(SUBSTITUTE(UPPER(#REF!)," ",""),":",": "),SUBSTITUTE(SUBSTITUTE(UPPER(S1674)," ",""),":",": "))),0)),"Não encontrado")</f>
        <v>Não encontrado</v>
      </c>
      <c r="D1674" s="46" t="str" cm="1">
        <f t="array" ref="D1674">IFERROR(INDEX(#REF!,MATCH(TRUE,ISNUMBER(FIND(SUBSTITUTE(SUBSTITUTE(UPPER(#REF!)," ",""),":",": "),SUBSTITUTE(SUBSTITUTE(UPPER(S1674)," ",""),":",": "))),0)),"Não encontrado")</f>
        <v>Não encontrado</v>
      </c>
      <c r="E1674" s="42" t="str" cm="1">
        <f t="array" ref="E1674">IFERROR(INDEX({"IMPEDITIVO"},MATCH(TRUE,ISNUMBER(FIND(SUBSTITUTE(SUBSTITUTE(UPPER({"IMPEDITIVO"})," ",""),":",": "),SUBSTITUTE(SUBSTITUTE(UPPER(S1674)," ",""),":",": "))),0)),"-")</f>
        <v>-</v>
      </c>
      <c r="K1674" s="49"/>
    </row>
    <row r="1675" spans="1:11" x14ac:dyDescent="0.25">
      <c r="A1675" s="46" t="str" cm="1">
        <f t="array" ref="A1675">IFERROR(INDEX(#REF!,MATCH(TRUE,ISNUMBER(FIND(SUBSTITUTE(SUBSTITUTE(UPPER(#REF!)," ",""),":",": "),SUBSTITUTE(SUBSTITUTE(UPPER(S1675)," ",""),":",": "))),0)),"Undefined")</f>
        <v>Undefined</v>
      </c>
      <c r="B1675" s="42" t="str" cm="1">
        <f t="array" ref="B1675">IFERROR(INDEX({"URGENTE"},MATCH(TRUE,ISNUMBER(FIND(SUBSTITUTE(SUBSTITUTE(UPPER({"URGENTE"})," ",""),":",": "),SUBSTITUTE(SUBSTITUTE(UPPER(S1675)," ",""),":",": "))),0)),"-")</f>
        <v>-</v>
      </c>
      <c r="C1675" s="46" t="str" cm="1">
        <f t="array" ref="C1675">IFERROR(INDEX(#REF!,MATCH(TRUE,ISNUMBER(FIND(SUBSTITUTE(SUBSTITUTE(UPPER(#REF!)," ",""),":",": "),SUBSTITUTE(SUBSTITUTE(UPPER(S1675)," ",""),":",": "))),0)),"Não encontrado")</f>
        <v>Não encontrado</v>
      </c>
      <c r="D1675" s="46" t="str" cm="1">
        <f t="array" ref="D1675">IFERROR(INDEX(#REF!,MATCH(TRUE,ISNUMBER(FIND(SUBSTITUTE(SUBSTITUTE(UPPER(#REF!)," ",""),":",": "),SUBSTITUTE(SUBSTITUTE(UPPER(S1675)," ",""),":",": "))),0)),"Não encontrado")</f>
        <v>Não encontrado</v>
      </c>
      <c r="E1675" s="42" t="str" cm="1">
        <f t="array" ref="E1675">IFERROR(INDEX({"IMPEDITIVO"},MATCH(TRUE,ISNUMBER(FIND(SUBSTITUTE(SUBSTITUTE(UPPER({"IMPEDITIVO"})," ",""),":",": "),SUBSTITUTE(SUBSTITUTE(UPPER(S1675)," ",""),":",": "))),0)),"-")</f>
        <v>-</v>
      </c>
      <c r="K1675" s="49"/>
    </row>
    <row r="1676" spans="1:11" x14ac:dyDescent="0.25">
      <c r="A1676" s="46" t="str" cm="1">
        <f t="array" ref="A1676">IFERROR(INDEX(#REF!,MATCH(TRUE,ISNUMBER(FIND(SUBSTITUTE(SUBSTITUTE(UPPER(#REF!)," ",""),":",": "),SUBSTITUTE(SUBSTITUTE(UPPER(S1676)," ",""),":",": "))),0)),"Undefined")</f>
        <v>Undefined</v>
      </c>
      <c r="B1676" s="42" t="str" cm="1">
        <f t="array" ref="B1676">IFERROR(INDEX({"URGENTE"},MATCH(TRUE,ISNUMBER(FIND(SUBSTITUTE(SUBSTITUTE(UPPER({"URGENTE"})," ",""),":",": "),SUBSTITUTE(SUBSTITUTE(UPPER(S1676)," ",""),":",": "))),0)),"-")</f>
        <v>-</v>
      </c>
      <c r="C1676" s="46" t="str" cm="1">
        <f t="array" ref="C1676">IFERROR(INDEX(#REF!,MATCH(TRUE,ISNUMBER(FIND(SUBSTITUTE(SUBSTITUTE(UPPER(#REF!)," ",""),":",": "),SUBSTITUTE(SUBSTITUTE(UPPER(S1676)," ",""),":",": "))),0)),"Não encontrado")</f>
        <v>Não encontrado</v>
      </c>
      <c r="D1676" s="46" t="str" cm="1">
        <f t="array" ref="D1676">IFERROR(INDEX(#REF!,MATCH(TRUE,ISNUMBER(FIND(SUBSTITUTE(SUBSTITUTE(UPPER(#REF!)," ",""),":",": "),SUBSTITUTE(SUBSTITUTE(UPPER(S1676)," ",""),":",": "))),0)),"Não encontrado")</f>
        <v>Não encontrado</v>
      </c>
      <c r="E1676" s="42" t="str" cm="1">
        <f t="array" ref="E1676">IFERROR(INDEX({"IMPEDITIVO"},MATCH(TRUE,ISNUMBER(FIND(SUBSTITUTE(SUBSTITUTE(UPPER({"IMPEDITIVO"})," ",""),":",": "),SUBSTITUTE(SUBSTITUTE(UPPER(S1676)," ",""),":",": "))),0)),"-")</f>
        <v>-</v>
      </c>
      <c r="K1676" s="49"/>
    </row>
    <row r="1677" spans="1:11" x14ac:dyDescent="0.25">
      <c r="A1677" s="46" t="str" cm="1">
        <f t="array" ref="A1677">IFERROR(INDEX(#REF!,MATCH(TRUE,ISNUMBER(FIND(SUBSTITUTE(SUBSTITUTE(UPPER(#REF!)," ",""),":",": "),SUBSTITUTE(SUBSTITUTE(UPPER(S1677)," ",""),":",": "))),0)),"Undefined")</f>
        <v>Undefined</v>
      </c>
      <c r="B1677" s="42" t="str" cm="1">
        <f t="array" ref="B1677">IFERROR(INDEX({"URGENTE"},MATCH(TRUE,ISNUMBER(FIND(SUBSTITUTE(SUBSTITUTE(UPPER({"URGENTE"})," ",""),":",": "),SUBSTITUTE(SUBSTITUTE(UPPER(S1677)," ",""),":",": "))),0)),"-")</f>
        <v>-</v>
      </c>
      <c r="C1677" s="46" t="str" cm="1">
        <f t="array" ref="C1677">IFERROR(INDEX(#REF!,MATCH(TRUE,ISNUMBER(FIND(SUBSTITUTE(SUBSTITUTE(UPPER(#REF!)," ",""),":",": "),SUBSTITUTE(SUBSTITUTE(UPPER(S1677)," ",""),":",": "))),0)),"Não encontrado")</f>
        <v>Não encontrado</v>
      </c>
      <c r="D1677" s="46" t="str" cm="1">
        <f t="array" ref="D1677">IFERROR(INDEX(#REF!,MATCH(TRUE,ISNUMBER(FIND(SUBSTITUTE(SUBSTITUTE(UPPER(#REF!)," ",""),":",": "),SUBSTITUTE(SUBSTITUTE(UPPER(S1677)," ",""),":",": "))),0)),"Não encontrado")</f>
        <v>Não encontrado</v>
      </c>
      <c r="E1677" s="42" t="str" cm="1">
        <f t="array" ref="E1677">IFERROR(INDEX({"IMPEDITIVO"},MATCH(TRUE,ISNUMBER(FIND(SUBSTITUTE(SUBSTITUTE(UPPER({"IMPEDITIVO"})," ",""),":",": "),SUBSTITUTE(SUBSTITUTE(UPPER(S1677)," ",""),":",": "))),0)),"-")</f>
        <v>-</v>
      </c>
      <c r="K1677" s="49"/>
    </row>
    <row r="1678" spans="1:11" x14ac:dyDescent="0.25">
      <c r="A1678" s="46" t="str" cm="1">
        <f t="array" ref="A1678">IFERROR(INDEX(#REF!,MATCH(TRUE,ISNUMBER(FIND(SUBSTITUTE(SUBSTITUTE(UPPER(#REF!)," ",""),":",": "),SUBSTITUTE(SUBSTITUTE(UPPER(S1678)," ",""),":",": "))),0)),"Undefined")</f>
        <v>Undefined</v>
      </c>
      <c r="B1678" s="42" t="str" cm="1">
        <f t="array" ref="B1678">IFERROR(INDEX({"URGENTE"},MATCH(TRUE,ISNUMBER(FIND(SUBSTITUTE(SUBSTITUTE(UPPER({"URGENTE"})," ",""),":",": "),SUBSTITUTE(SUBSTITUTE(UPPER(S1678)," ",""),":",": "))),0)),"-")</f>
        <v>-</v>
      </c>
      <c r="C1678" s="46" t="str" cm="1">
        <f t="array" ref="C1678">IFERROR(INDEX(#REF!,MATCH(TRUE,ISNUMBER(FIND(SUBSTITUTE(SUBSTITUTE(UPPER(#REF!)," ",""),":",": "),SUBSTITUTE(SUBSTITUTE(UPPER(S1678)," ",""),":",": "))),0)),"Não encontrado")</f>
        <v>Não encontrado</v>
      </c>
      <c r="D1678" s="46" t="str" cm="1">
        <f t="array" ref="D1678">IFERROR(INDEX(#REF!,MATCH(TRUE,ISNUMBER(FIND(SUBSTITUTE(SUBSTITUTE(UPPER(#REF!)," ",""),":",": "),SUBSTITUTE(SUBSTITUTE(UPPER(S1678)," ",""),":",": "))),0)),"Não encontrado")</f>
        <v>Não encontrado</v>
      </c>
      <c r="E1678" s="42" t="str" cm="1">
        <f t="array" ref="E1678">IFERROR(INDEX({"IMPEDITIVO"},MATCH(TRUE,ISNUMBER(FIND(SUBSTITUTE(SUBSTITUTE(UPPER({"IMPEDITIVO"})," ",""),":",": "),SUBSTITUTE(SUBSTITUTE(UPPER(S1678)," ",""),":",": "))),0)),"-")</f>
        <v>-</v>
      </c>
      <c r="K1678" s="49"/>
    </row>
    <row r="1679" spans="1:11" x14ac:dyDescent="0.25">
      <c r="A1679" s="46" t="str" cm="1">
        <f t="array" ref="A1679">IFERROR(INDEX(#REF!,MATCH(TRUE,ISNUMBER(FIND(SUBSTITUTE(SUBSTITUTE(UPPER(#REF!)," ",""),":",": "),SUBSTITUTE(SUBSTITUTE(UPPER(S1679)," ",""),":",": "))),0)),"Undefined")</f>
        <v>Undefined</v>
      </c>
      <c r="B1679" s="42" t="str" cm="1">
        <f t="array" ref="B1679">IFERROR(INDEX({"URGENTE"},MATCH(TRUE,ISNUMBER(FIND(SUBSTITUTE(SUBSTITUTE(UPPER({"URGENTE"})," ",""),":",": "),SUBSTITUTE(SUBSTITUTE(UPPER(S1679)," ",""),":",": "))),0)),"-")</f>
        <v>-</v>
      </c>
      <c r="C1679" s="46" t="str" cm="1">
        <f t="array" ref="C1679">IFERROR(INDEX(#REF!,MATCH(TRUE,ISNUMBER(FIND(SUBSTITUTE(SUBSTITUTE(UPPER(#REF!)," ",""),":",": "),SUBSTITUTE(SUBSTITUTE(UPPER(S1679)," ",""),":",": "))),0)),"Não encontrado")</f>
        <v>Não encontrado</v>
      </c>
      <c r="D1679" s="46" t="str" cm="1">
        <f t="array" ref="D1679">IFERROR(INDEX(#REF!,MATCH(TRUE,ISNUMBER(FIND(SUBSTITUTE(SUBSTITUTE(UPPER(#REF!)," ",""),":",": "),SUBSTITUTE(SUBSTITUTE(UPPER(S1679)," ",""),":",": "))),0)),"Não encontrado")</f>
        <v>Não encontrado</v>
      </c>
      <c r="E1679" s="42" t="str" cm="1">
        <f t="array" ref="E1679">IFERROR(INDEX({"IMPEDITIVO"},MATCH(TRUE,ISNUMBER(FIND(SUBSTITUTE(SUBSTITUTE(UPPER({"IMPEDITIVO"})," ",""),":",": "),SUBSTITUTE(SUBSTITUTE(UPPER(S1679)," ",""),":",": "))),0)),"-")</f>
        <v>-</v>
      </c>
      <c r="K1679" s="49"/>
    </row>
    <row r="1680" spans="1:11" x14ac:dyDescent="0.25">
      <c r="A1680" s="46" t="str" cm="1">
        <f t="array" ref="A1680">IFERROR(INDEX(#REF!,MATCH(TRUE,ISNUMBER(FIND(SUBSTITUTE(SUBSTITUTE(UPPER(#REF!)," ",""),":",": "),SUBSTITUTE(SUBSTITUTE(UPPER(S1680)," ",""),":",": "))),0)),"Undefined")</f>
        <v>Undefined</v>
      </c>
      <c r="B1680" s="42" t="str" cm="1">
        <f t="array" ref="B1680">IFERROR(INDEX({"URGENTE"},MATCH(TRUE,ISNUMBER(FIND(SUBSTITUTE(SUBSTITUTE(UPPER({"URGENTE"})," ",""),":",": "),SUBSTITUTE(SUBSTITUTE(UPPER(S1680)," ",""),":",": "))),0)),"-")</f>
        <v>-</v>
      </c>
      <c r="C1680" s="46" t="str" cm="1">
        <f t="array" ref="C1680">IFERROR(INDEX(#REF!,MATCH(TRUE,ISNUMBER(FIND(SUBSTITUTE(SUBSTITUTE(UPPER(#REF!)," ",""),":",": "),SUBSTITUTE(SUBSTITUTE(UPPER(S1680)," ",""),":",": "))),0)),"Não encontrado")</f>
        <v>Não encontrado</v>
      </c>
      <c r="D1680" s="46" t="str" cm="1">
        <f t="array" ref="D1680">IFERROR(INDEX(#REF!,MATCH(TRUE,ISNUMBER(FIND(SUBSTITUTE(SUBSTITUTE(UPPER(#REF!)," ",""),":",": "),SUBSTITUTE(SUBSTITUTE(UPPER(S1680)," ",""),":",": "))),0)),"Não encontrado")</f>
        <v>Não encontrado</v>
      </c>
      <c r="E1680" s="42" t="str" cm="1">
        <f t="array" ref="E1680">IFERROR(INDEX({"IMPEDITIVO"},MATCH(TRUE,ISNUMBER(FIND(SUBSTITUTE(SUBSTITUTE(UPPER({"IMPEDITIVO"})," ",""),":",": "),SUBSTITUTE(SUBSTITUTE(UPPER(S1680)," ",""),":",": "))),0)),"-")</f>
        <v>-</v>
      </c>
      <c r="K1680" s="49"/>
    </row>
    <row r="1681" spans="1:11" x14ac:dyDescent="0.25">
      <c r="A1681" s="46" t="str" cm="1">
        <f t="array" ref="A1681">IFERROR(INDEX(#REF!,MATCH(TRUE,ISNUMBER(FIND(SUBSTITUTE(SUBSTITUTE(UPPER(#REF!)," ",""),":",": "),SUBSTITUTE(SUBSTITUTE(UPPER(S1681)," ",""),":",": "))),0)),"Undefined")</f>
        <v>Undefined</v>
      </c>
      <c r="B1681" s="42" t="str" cm="1">
        <f t="array" ref="B1681">IFERROR(INDEX({"URGENTE"},MATCH(TRUE,ISNUMBER(FIND(SUBSTITUTE(SUBSTITUTE(UPPER({"URGENTE"})," ",""),":",": "),SUBSTITUTE(SUBSTITUTE(UPPER(S1681)," ",""),":",": "))),0)),"-")</f>
        <v>-</v>
      </c>
      <c r="C1681" s="46" t="str" cm="1">
        <f t="array" ref="C1681">IFERROR(INDEX(#REF!,MATCH(TRUE,ISNUMBER(FIND(SUBSTITUTE(SUBSTITUTE(UPPER(#REF!)," ",""),":",": "),SUBSTITUTE(SUBSTITUTE(UPPER(S1681)," ",""),":",": "))),0)),"Não encontrado")</f>
        <v>Não encontrado</v>
      </c>
      <c r="D1681" s="46" t="str" cm="1">
        <f t="array" ref="D1681">IFERROR(INDEX(#REF!,MATCH(TRUE,ISNUMBER(FIND(SUBSTITUTE(SUBSTITUTE(UPPER(#REF!)," ",""),":",": "),SUBSTITUTE(SUBSTITUTE(UPPER(S1681)," ",""),":",": "))),0)),"Não encontrado")</f>
        <v>Não encontrado</v>
      </c>
      <c r="E1681" s="42" t="str" cm="1">
        <f t="array" ref="E1681">IFERROR(INDEX({"IMPEDITIVO"},MATCH(TRUE,ISNUMBER(FIND(SUBSTITUTE(SUBSTITUTE(UPPER({"IMPEDITIVO"})," ",""),":",": "),SUBSTITUTE(SUBSTITUTE(UPPER(S1681)," ",""),":",": "))),0)),"-")</f>
        <v>-</v>
      </c>
      <c r="K1681" s="49"/>
    </row>
    <row r="1682" spans="1:11" x14ac:dyDescent="0.25">
      <c r="A1682" s="46" t="str" cm="1">
        <f t="array" ref="A1682">IFERROR(INDEX(#REF!,MATCH(TRUE,ISNUMBER(FIND(SUBSTITUTE(SUBSTITUTE(UPPER(#REF!)," ",""),":",": "),SUBSTITUTE(SUBSTITUTE(UPPER(S1682)," ",""),":",": "))),0)),"Undefined")</f>
        <v>Undefined</v>
      </c>
      <c r="B1682" s="42" t="str" cm="1">
        <f t="array" ref="B1682">IFERROR(INDEX({"URGENTE"},MATCH(TRUE,ISNUMBER(FIND(SUBSTITUTE(SUBSTITUTE(UPPER({"URGENTE"})," ",""),":",": "),SUBSTITUTE(SUBSTITUTE(UPPER(S1682)," ",""),":",": "))),0)),"-")</f>
        <v>-</v>
      </c>
      <c r="C1682" s="46" t="str" cm="1">
        <f t="array" ref="C1682">IFERROR(INDEX(#REF!,MATCH(TRUE,ISNUMBER(FIND(SUBSTITUTE(SUBSTITUTE(UPPER(#REF!)," ",""),":",": "),SUBSTITUTE(SUBSTITUTE(UPPER(S1682)," ",""),":",": "))),0)),"Não encontrado")</f>
        <v>Não encontrado</v>
      </c>
      <c r="D1682" s="46" t="str" cm="1">
        <f t="array" ref="D1682">IFERROR(INDEX(#REF!,MATCH(TRUE,ISNUMBER(FIND(SUBSTITUTE(SUBSTITUTE(UPPER(#REF!)," ",""),":",": "),SUBSTITUTE(SUBSTITUTE(UPPER(S1682)," ",""),":",": "))),0)),"Não encontrado")</f>
        <v>Não encontrado</v>
      </c>
      <c r="E1682" s="42" t="str" cm="1">
        <f t="array" ref="E1682">IFERROR(INDEX({"IMPEDITIVO"},MATCH(TRUE,ISNUMBER(FIND(SUBSTITUTE(SUBSTITUTE(UPPER({"IMPEDITIVO"})," ",""),":",": "),SUBSTITUTE(SUBSTITUTE(UPPER(S1682)," ",""),":",": "))),0)),"-")</f>
        <v>-</v>
      </c>
      <c r="K1682" s="49"/>
    </row>
    <row r="1683" spans="1:11" x14ac:dyDescent="0.25">
      <c r="A1683" s="46" t="str" cm="1">
        <f t="array" ref="A1683">IFERROR(INDEX(#REF!,MATCH(TRUE,ISNUMBER(FIND(SUBSTITUTE(SUBSTITUTE(UPPER(#REF!)," ",""),":",": "),SUBSTITUTE(SUBSTITUTE(UPPER(S1683)," ",""),":",": "))),0)),"Undefined")</f>
        <v>Undefined</v>
      </c>
      <c r="B1683" s="42" t="str" cm="1">
        <f t="array" ref="B1683">IFERROR(INDEX({"URGENTE"},MATCH(TRUE,ISNUMBER(FIND(SUBSTITUTE(SUBSTITUTE(UPPER({"URGENTE"})," ",""),":",": "),SUBSTITUTE(SUBSTITUTE(UPPER(S1683)," ",""),":",": "))),0)),"-")</f>
        <v>-</v>
      </c>
      <c r="C1683" s="46" t="str" cm="1">
        <f t="array" ref="C1683">IFERROR(INDEX(#REF!,MATCH(TRUE,ISNUMBER(FIND(SUBSTITUTE(SUBSTITUTE(UPPER(#REF!)," ",""),":",": "),SUBSTITUTE(SUBSTITUTE(UPPER(S1683)," ",""),":",": "))),0)),"Não encontrado")</f>
        <v>Não encontrado</v>
      </c>
      <c r="D1683" s="46" t="str" cm="1">
        <f t="array" ref="D1683">IFERROR(INDEX(#REF!,MATCH(TRUE,ISNUMBER(FIND(SUBSTITUTE(SUBSTITUTE(UPPER(#REF!)," ",""),":",": "),SUBSTITUTE(SUBSTITUTE(UPPER(S1683)," ",""),":",": "))),0)),"Não encontrado")</f>
        <v>Não encontrado</v>
      </c>
      <c r="E1683" s="42" t="str" cm="1">
        <f t="array" ref="E1683">IFERROR(INDEX({"IMPEDITIVO"},MATCH(TRUE,ISNUMBER(FIND(SUBSTITUTE(SUBSTITUTE(UPPER({"IMPEDITIVO"})," ",""),":",": "),SUBSTITUTE(SUBSTITUTE(UPPER(S1683)," ",""),":",": "))),0)),"-")</f>
        <v>-</v>
      </c>
      <c r="K1683" s="49"/>
    </row>
    <row r="1684" spans="1:11" x14ac:dyDescent="0.25">
      <c r="A1684" s="46" t="str" cm="1">
        <f t="array" ref="A1684">IFERROR(INDEX(#REF!,MATCH(TRUE,ISNUMBER(FIND(SUBSTITUTE(SUBSTITUTE(UPPER(#REF!)," ",""),":",": "),SUBSTITUTE(SUBSTITUTE(UPPER(S1684)," ",""),":",": "))),0)),"Undefined")</f>
        <v>Undefined</v>
      </c>
      <c r="B1684" s="42" t="str" cm="1">
        <f t="array" ref="B1684">IFERROR(INDEX({"URGENTE"},MATCH(TRUE,ISNUMBER(FIND(SUBSTITUTE(SUBSTITUTE(UPPER({"URGENTE"})," ",""),":",": "),SUBSTITUTE(SUBSTITUTE(UPPER(S1684)," ",""),":",": "))),0)),"-")</f>
        <v>-</v>
      </c>
      <c r="C1684" s="46" t="str" cm="1">
        <f t="array" ref="C1684">IFERROR(INDEX(#REF!,MATCH(TRUE,ISNUMBER(FIND(SUBSTITUTE(SUBSTITUTE(UPPER(#REF!)," ",""),":",": "),SUBSTITUTE(SUBSTITUTE(UPPER(S1684)," ",""),":",": "))),0)),"Não encontrado")</f>
        <v>Não encontrado</v>
      </c>
      <c r="D1684" s="46" t="str" cm="1">
        <f t="array" ref="D1684">IFERROR(INDEX(#REF!,MATCH(TRUE,ISNUMBER(FIND(SUBSTITUTE(SUBSTITUTE(UPPER(#REF!)," ",""),":",": "),SUBSTITUTE(SUBSTITUTE(UPPER(S1684)," ",""),":",": "))),0)),"Não encontrado")</f>
        <v>Não encontrado</v>
      </c>
      <c r="E1684" s="42" t="str" cm="1">
        <f t="array" ref="E1684">IFERROR(INDEX({"IMPEDITIVO"},MATCH(TRUE,ISNUMBER(FIND(SUBSTITUTE(SUBSTITUTE(UPPER({"IMPEDITIVO"})," ",""),":",": "),SUBSTITUTE(SUBSTITUTE(UPPER(S1684)," ",""),":",": "))),0)),"-")</f>
        <v>-</v>
      </c>
      <c r="K1684" s="49"/>
    </row>
    <row r="1685" spans="1:11" x14ac:dyDescent="0.25">
      <c r="A1685" s="46" t="str" cm="1">
        <f t="array" ref="A1685">IFERROR(INDEX(#REF!,MATCH(TRUE,ISNUMBER(FIND(SUBSTITUTE(SUBSTITUTE(UPPER(#REF!)," ",""),":",": "),SUBSTITUTE(SUBSTITUTE(UPPER(S1685)," ",""),":",": "))),0)),"Undefined")</f>
        <v>Undefined</v>
      </c>
      <c r="B1685" s="42" t="str" cm="1">
        <f t="array" ref="B1685">IFERROR(INDEX({"URGENTE"},MATCH(TRUE,ISNUMBER(FIND(SUBSTITUTE(SUBSTITUTE(UPPER({"URGENTE"})," ",""),":",": "),SUBSTITUTE(SUBSTITUTE(UPPER(S1685)," ",""),":",": "))),0)),"-")</f>
        <v>-</v>
      </c>
      <c r="C1685" s="46" t="str" cm="1">
        <f t="array" ref="C1685">IFERROR(INDEX(#REF!,MATCH(TRUE,ISNUMBER(FIND(SUBSTITUTE(SUBSTITUTE(UPPER(#REF!)," ",""),":",": "),SUBSTITUTE(SUBSTITUTE(UPPER(S1685)," ",""),":",": "))),0)),"Não encontrado")</f>
        <v>Não encontrado</v>
      </c>
      <c r="D1685" s="46" t="str" cm="1">
        <f t="array" ref="D1685">IFERROR(INDEX(#REF!,MATCH(TRUE,ISNUMBER(FIND(SUBSTITUTE(SUBSTITUTE(UPPER(#REF!)," ",""),":",": "),SUBSTITUTE(SUBSTITUTE(UPPER(S1685)," ",""),":",": "))),0)),"Não encontrado")</f>
        <v>Não encontrado</v>
      </c>
      <c r="E1685" s="42" t="str" cm="1">
        <f t="array" ref="E1685">IFERROR(INDEX({"IMPEDITIVO"},MATCH(TRUE,ISNUMBER(FIND(SUBSTITUTE(SUBSTITUTE(UPPER({"IMPEDITIVO"})," ",""),":",": "),SUBSTITUTE(SUBSTITUTE(UPPER(S1685)," ",""),":",": "))),0)),"-")</f>
        <v>-</v>
      </c>
      <c r="K1685" s="49"/>
    </row>
    <row r="1686" spans="1:11" x14ac:dyDescent="0.25">
      <c r="A1686" s="46" t="str" cm="1">
        <f t="array" ref="A1686">IFERROR(INDEX(#REF!,MATCH(TRUE,ISNUMBER(FIND(SUBSTITUTE(SUBSTITUTE(UPPER(#REF!)," ",""),":",": "),SUBSTITUTE(SUBSTITUTE(UPPER(S1686)," ",""),":",": "))),0)),"Undefined")</f>
        <v>Undefined</v>
      </c>
      <c r="B1686" s="42" t="str" cm="1">
        <f t="array" ref="B1686">IFERROR(INDEX({"URGENTE"},MATCH(TRUE,ISNUMBER(FIND(SUBSTITUTE(SUBSTITUTE(UPPER({"URGENTE"})," ",""),":",": "),SUBSTITUTE(SUBSTITUTE(UPPER(S1686)," ",""),":",": "))),0)),"-")</f>
        <v>-</v>
      </c>
      <c r="C1686" s="46" t="str" cm="1">
        <f t="array" ref="C1686">IFERROR(INDEX(#REF!,MATCH(TRUE,ISNUMBER(FIND(SUBSTITUTE(SUBSTITUTE(UPPER(#REF!)," ",""),":",": "),SUBSTITUTE(SUBSTITUTE(UPPER(S1686)," ",""),":",": "))),0)),"Não encontrado")</f>
        <v>Não encontrado</v>
      </c>
      <c r="D1686" s="46" t="str" cm="1">
        <f t="array" ref="D1686">IFERROR(INDEX(#REF!,MATCH(TRUE,ISNUMBER(FIND(SUBSTITUTE(SUBSTITUTE(UPPER(#REF!)," ",""),":",": "),SUBSTITUTE(SUBSTITUTE(UPPER(S1686)," ",""),":",": "))),0)),"Não encontrado")</f>
        <v>Não encontrado</v>
      </c>
      <c r="E1686" s="42" t="str" cm="1">
        <f t="array" ref="E1686">IFERROR(INDEX({"IMPEDITIVO"},MATCH(TRUE,ISNUMBER(FIND(SUBSTITUTE(SUBSTITUTE(UPPER({"IMPEDITIVO"})," ",""),":",": "),SUBSTITUTE(SUBSTITUTE(UPPER(S1686)," ",""),":",": "))),0)),"-")</f>
        <v>-</v>
      </c>
      <c r="K1686" s="49"/>
    </row>
    <row r="1687" spans="1:11" x14ac:dyDescent="0.25">
      <c r="A1687" s="46" t="str" cm="1">
        <f t="array" ref="A1687">IFERROR(INDEX(#REF!,MATCH(TRUE,ISNUMBER(FIND(SUBSTITUTE(SUBSTITUTE(UPPER(#REF!)," ",""),":",": "),SUBSTITUTE(SUBSTITUTE(UPPER(S1687)," ",""),":",": "))),0)),"Undefined")</f>
        <v>Undefined</v>
      </c>
      <c r="B1687" s="42" t="str" cm="1">
        <f t="array" ref="B1687">IFERROR(INDEX({"URGENTE"},MATCH(TRUE,ISNUMBER(FIND(SUBSTITUTE(SUBSTITUTE(UPPER({"URGENTE"})," ",""),":",": "),SUBSTITUTE(SUBSTITUTE(UPPER(S1687)," ",""),":",": "))),0)),"-")</f>
        <v>-</v>
      </c>
      <c r="C1687" s="46" t="str" cm="1">
        <f t="array" ref="C1687">IFERROR(INDEX(#REF!,MATCH(TRUE,ISNUMBER(FIND(SUBSTITUTE(SUBSTITUTE(UPPER(#REF!)," ",""),":",": "),SUBSTITUTE(SUBSTITUTE(UPPER(S1687)," ",""),":",": "))),0)),"Não encontrado")</f>
        <v>Não encontrado</v>
      </c>
      <c r="D1687" s="46" t="str" cm="1">
        <f t="array" ref="D1687">IFERROR(INDEX(#REF!,MATCH(TRUE,ISNUMBER(FIND(SUBSTITUTE(SUBSTITUTE(UPPER(#REF!)," ",""),":",": "),SUBSTITUTE(SUBSTITUTE(UPPER(S1687)," ",""),":",": "))),0)),"Não encontrado")</f>
        <v>Não encontrado</v>
      </c>
      <c r="E1687" s="42" t="str" cm="1">
        <f t="array" ref="E1687">IFERROR(INDEX({"IMPEDITIVO"},MATCH(TRUE,ISNUMBER(FIND(SUBSTITUTE(SUBSTITUTE(UPPER({"IMPEDITIVO"})," ",""),":",": "),SUBSTITUTE(SUBSTITUTE(UPPER(S1687)," ",""),":",": "))),0)),"-")</f>
        <v>-</v>
      </c>
      <c r="K1687" s="49"/>
    </row>
    <row r="1688" spans="1:11" x14ac:dyDescent="0.25">
      <c r="A1688" s="46" t="str" cm="1">
        <f t="array" ref="A1688">IFERROR(INDEX(#REF!,MATCH(TRUE,ISNUMBER(FIND(SUBSTITUTE(SUBSTITUTE(UPPER(#REF!)," ",""),":",": "),SUBSTITUTE(SUBSTITUTE(UPPER(S1688)," ",""),":",": "))),0)),"Undefined")</f>
        <v>Undefined</v>
      </c>
      <c r="B1688" s="42" t="str" cm="1">
        <f t="array" ref="B1688">IFERROR(INDEX({"URGENTE"},MATCH(TRUE,ISNUMBER(FIND(SUBSTITUTE(SUBSTITUTE(UPPER({"URGENTE"})," ",""),":",": "),SUBSTITUTE(SUBSTITUTE(UPPER(S1688)," ",""),":",": "))),0)),"-")</f>
        <v>-</v>
      </c>
      <c r="C1688" s="46" t="str" cm="1">
        <f t="array" ref="C1688">IFERROR(INDEX(#REF!,MATCH(TRUE,ISNUMBER(FIND(SUBSTITUTE(SUBSTITUTE(UPPER(#REF!)," ",""),":",": "),SUBSTITUTE(SUBSTITUTE(UPPER(S1688)," ",""),":",": "))),0)),"Não encontrado")</f>
        <v>Não encontrado</v>
      </c>
      <c r="D1688" s="46" t="str" cm="1">
        <f t="array" ref="D1688">IFERROR(INDEX(#REF!,MATCH(TRUE,ISNUMBER(FIND(SUBSTITUTE(SUBSTITUTE(UPPER(#REF!)," ",""),":",": "),SUBSTITUTE(SUBSTITUTE(UPPER(S1688)," ",""),":",": "))),0)),"Não encontrado")</f>
        <v>Não encontrado</v>
      </c>
      <c r="E1688" s="42" t="str" cm="1">
        <f t="array" ref="E1688">IFERROR(INDEX({"IMPEDITIVO"},MATCH(TRUE,ISNUMBER(FIND(SUBSTITUTE(SUBSTITUTE(UPPER({"IMPEDITIVO"})," ",""),":",": "),SUBSTITUTE(SUBSTITUTE(UPPER(S1688)," ",""),":",": "))),0)),"-")</f>
        <v>-</v>
      </c>
      <c r="K1688" s="49"/>
    </row>
    <row r="1689" spans="1:11" x14ac:dyDescent="0.25">
      <c r="A1689" s="46" t="str" cm="1">
        <f t="array" ref="A1689">IFERROR(INDEX(#REF!,MATCH(TRUE,ISNUMBER(FIND(SUBSTITUTE(SUBSTITUTE(UPPER(#REF!)," ",""),":",": "),SUBSTITUTE(SUBSTITUTE(UPPER(S1689)," ",""),":",": "))),0)),"Undefined")</f>
        <v>Undefined</v>
      </c>
      <c r="B1689" s="42" t="str" cm="1">
        <f t="array" ref="B1689">IFERROR(INDEX({"URGENTE"},MATCH(TRUE,ISNUMBER(FIND(SUBSTITUTE(SUBSTITUTE(UPPER({"URGENTE"})," ",""),":",": "),SUBSTITUTE(SUBSTITUTE(UPPER(S1689)," ",""),":",": "))),0)),"-")</f>
        <v>-</v>
      </c>
      <c r="C1689" s="46" t="str" cm="1">
        <f t="array" ref="C1689">IFERROR(INDEX(#REF!,MATCH(TRUE,ISNUMBER(FIND(SUBSTITUTE(SUBSTITUTE(UPPER(#REF!)," ",""),":",": "),SUBSTITUTE(SUBSTITUTE(UPPER(S1689)," ",""),":",": "))),0)),"Não encontrado")</f>
        <v>Não encontrado</v>
      </c>
      <c r="D1689" s="46" t="str" cm="1">
        <f t="array" ref="D1689">IFERROR(INDEX(#REF!,MATCH(TRUE,ISNUMBER(FIND(SUBSTITUTE(SUBSTITUTE(UPPER(#REF!)," ",""),":",": "),SUBSTITUTE(SUBSTITUTE(UPPER(S1689)," ",""),":",": "))),0)),"Não encontrado")</f>
        <v>Não encontrado</v>
      </c>
      <c r="E1689" s="42" t="str" cm="1">
        <f t="array" ref="E1689">IFERROR(INDEX({"IMPEDITIVO"},MATCH(TRUE,ISNUMBER(FIND(SUBSTITUTE(SUBSTITUTE(UPPER({"IMPEDITIVO"})," ",""),":",": "),SUBSTITUTE(SUBSTITUTE(UPPER(S1689)," ",""),":",": "))),0)),"-")</f>
        <v>-</v>
      </c>
      <c r="K1689" s="49"/>
    </row>
    <row r="1690" spans="1:11" x14ac:dyDescent="0.25">
      <c r="A1690" s="46" t="str" cm="1">
        <f t="array" ref="A1690">IFERROR(INDEX(#REF!,MATCH(TRUE,ISNUMBER(FIND(SUBSTITUTE(SUBSTITUTE(UPPER(#REF!)," ",""),":",": "),SUBSTITUTE(SUBSTITUTE(UPPER(S1690)," ",""),":",": "))),0)),"Undefined")</f>
        <v>Undefined</v>
      </c>
      <c r="B1690" s="42" t="str" cm="1">
        <f t="array" ref="B1690">IFERROR(INDEX({"URGENTE"},MATCH(TRUE,ISNUMBER(FIND(SUBSTITUTE(SUBSTITUTE(UPPER({"URGENTE"})," ",""),":",": "),SUBSTITUTE(SUBSTITUTE(UPPER(S1690)," ",""),":",": "))),0)),"-")</f>
        <v>-</v>
      </c>
      <c r="C1690" s="46" t="str" cm="1">
        <f t="array" ref="C1690">IFERROR(INDEX(#REF!,MATCH(TRUE,ISNUMBER(FIND(SUBSTITUTE(SUBSTITUTE(UPPER(#REF!)," ",""),":",": "),SUBSTITUTE(SUBSTITUTE(UPPER(S1690)," ",""),":",": "))),0)),"Não encontrado")</f>
        <v>Não encontrado</v>
      </c>
      <c r="D1690" s="46" t="str" cm="1">
        <f t="array" ref="D1690">IFERROR(INDEX(#REF!,MATCH(TRUE,ISNUMBER(FIND(SUBSTITUTE(SUBSTITUTE(UPPER(#REF!)," ",""),":",": "),SUBSTITUTE(SUBSTITUTE(UPPER(S1690)," ",""),":",": "))),0)),"Não encontrado")</f>
        <v>Não encontrado</v>
      </c>
      <c r="E1690" s="42" t="str" cm="1">
        <f t="array" ref="E1690">IFERROR(INDEX({"IMPEDITIVO"},MATCH(TRUE,ISNUMBER(FIND(SUBSTITUTE(SUBSTITUTE(UPPER({"IMPEDITIVO"})," ",""),":",": "),SUBSTITUTE(SUBSTITUTE(UPPER(S1690)," ",""),":",": "))),0)),"-")</f>
        <v>-</v>
      </c>
      <c r="K1690" s="49"/>
    </row>
    <row r="1691" spans="1:11" x14ac:dyDescent="0.25">
      <c r="A1691" s="46" t="str" cm="1">
        <f t="array" ref="A1691">IFERROR(INDEX(#REF!,MATCH(TRUE,ISNUMBER(FIND(SUBSTITUTE(SUBSTITUTE(UPPER(#REF!)," ",""),":",": "),SUBSTITUTE(SUBSTITUTE(UPPER(S1691)," ",""),":",": "))),0)),"Undefined")</f>
        <v>Undefined</v>
      </c>
      <c r="B1691" s="42" t="str" cm="1">
        <f t="array" ref="B1691">IFERROR(INDEX({"URGENTE"},MATCH(TRUE,ISNUMBER(FIND(SUBSTITUTE(SUBSTITUTE(UPPER({"URGENTE"})," ",""),":",": "),SUBSTITUTE(SUBSTITUTE(UPPER(S1691)," ",""),":",": "))),0)),"-")</f>
        <v>-</v>
      </c>
      <c r="C1691" s="46" t="str" cm="1">
        <f t="array" ref="C1691">IFERROR(INDEX(#REF!,MATCH(TRUE,ISNUMBER(FIND(SUBSTITUTE(SUBSTITUTE(UPPER(#REF!)," ",""),":",": "),SUBSTITUTE(SUBSTITUTE(UPPER(S1691)," ",""),":",": "))),0)),"Não encontrado")</f>
        <v>Não encontrado</v>
      </c>
      <c r="D1691" s="46" t="str" cm="1">
        <f t="array" ref="D1691">IFERROR(INDEX(#REF!,MATCH(TRUE,ISNUMBER(FIND(SUBSTITUTE(SUBSTITUTE(UPPER(#REF!)," ",""),":",": "),SUBSTITUTE(SUBSTITUTE(UPPER(S1691)," ",""),":",": "))),0)),"Não encontrado")</f>
        <v>Não encontrado</v>
      </c>
      <c r="E1691" s="42" t="str" cm="1">
        <f t="array" ref="E1691">IFERROR(INDEX({"IMPEDITIVO"},MATCH(TRUE,ISNUMBER(FIND(SUBSTITUTE(SUBSTITUTE(UPPER({"IMPEDITIVO"})," ",""),":",": "),SUBSTITUTE(SUBSTITUTE(UPPER(S1691)," ",""),":",": "))),0)),"-")</f>
        <v>-</v>
      </c>
      <c r="K1691" s="49"/>
    </row>
    <row r="1692" spans="1:11" x14ac:dyDescent="0.25">
      <c r="A1692" s="46" t="str" cm="1">
        <f t="array" ref="A1692">IFERROR(INDEX(#REF!,MATCH(TRUE,ISNUMBER(FIND(SUBSTITUTE(SUBSTITUTE(UPPER(#REF!)," ",""),":",": "),SUBSTITUTE(SUBSTITUTE(UPPER(S1692)," ",""),":",": "))),0)),"Undefined")</f>
        <v>Undefined</v>
      </c>
      <c r="B1692" s="42" t="str" cm="1">
        <f t="array" ref="B1692">IFERROR(INDEX({"URGENTE"},MATCH(TRUE,ISNUMBER(FIND(SUBSTITUTE(SUBSTITUTE(UPPER({"URGENTE"})," ",""),":",": "),SUBSTITUTE(SUBSTITUTE(UPPER(S1692)," ",""),":",": "))),0)),"-")</f>
        <v>-</v>
      </c>
      <c r="C1692" s="46" t="str" cm="1">
        <f t="array" ref="C1692">IFERROR(INDEX(#REF!,MATCH(TRUE,ISNUMBER(FIND(SUBSTITUTE(SUBSTITUTE(UPPER(#REF!)," ",""),":",": "),SUBSTITUTE(SUBSTITUTE(UPPER(S1692)," ",""),":",": "))),0)),"Não encontrado")</f>
        <v>Não encontrado</v>
      </c>
      <c r="D1692" s="46" t="str" cm="1">
        <f t="array" ref="D1692">IFERROR(INDEX(#REF!,MATCH(TRUE,ISNUMBER(FIND(SUBSTITUTE(SUBSTITUTE(UPPER(#REF!)," ",""),":",": "),SUBSTITUTE(SUBSTITUTE(UPPER(S1692)," ",""),":",": "))),0)),"Não encontrado")</f>
        <v>Não encontrado</v>
      </c>
      <c r="E1692" s="42" t="str" cm="1">
        <f t="array" ref="E1692">IFERROR(INDEX({"IMPEDITIVO"},MATCH(TRUE,ISNUMBER(FIND(SUBSTITUTE(SUBSTITUTE(UPPER({"IMPEDITIVO"})," ",""),":",": "),SUBSTITUTE(SUBSTITUTE(UPPER(S1692)," ",""),":",": "))),0)),"-")</f>
        <v>-</v>
      </c>
      <c r="K1692" s="49"/>
    </row>
    <row r="1693" spans="1:11" x14ac:dyDescent="0.25">
      <c r="A1693" s="46" t="str" cm="1">
        <f t="array" ref="A1693">IFERROR(INDEX(#REF!,MATCH(TRUE,ISNUMBER(FIND(SUBSTITUTE(SUBSTITUTE(UPPER(#REF!)," ",""),":",": "),SUBSTITUTE(SUBSTITUTE(UPPER(S1693)," ",""),":",": "))),0)),"Undefined")</f>
        <v>Undefined</v>
      </c>
      <c r="B1693" s="42" t="str" cm="1">
        <f t="array" ref="B1693">IFERROR(INDEX({"URGENTE"},MATCH(TRUE,ISNUMBER(FIND(SUBSTITUTE(SUBSTITUTE(UPPER({"URGENTE"})," ",""),":",": "),SUBSTITUTE(SUBSTITUTE(UPPER(S1693)," ",""),":",": "))),0)),"-")</f>
        <v>-</v>
      </c>
      <c r="C1693" s="46" t="str" cm="1">
        <f t="array" ref="C1693">IFERROR(INDEX(#REF!,MATCH(TRUE,ISNUMBER(FIND(SUBSTITUTE(SUBSTITUTE(UPPER(#REF!)," ",""),":",": "),SUBSTITUTE(SUBSTITUTE(UPPER(S1693)," ",""),":",": "))),0)),"Não encontrado")</f>
        <v>Não encontrado</v>
      </c>
      <c r="D1693" s="46" t="str" cm="1">
        <f t="array" ref="D1693">IFERROR(INDEX(#REF!,MATCH(TRUE,ISNUMBER(FIND(SUBSTITUTE(SUBSTITUTE(UPPER(#REF!)," ",""),":",": "),SUBSTITUTE(SUBSTITUTE(UPPER(S1693)," ",""),":",": "))),0)),"Não encontrado")</f>
        <v>Não encontrado</v>
      </c>
      <c r="E1693" s="42" t="str" cm="1">
        <f t="array" ref="E1693">IFERROR(INDEX({"IMPEDITIVO"},MATCH(TRUE,ISNUMBER(FIND(SUBSTITUTE(SUBSTITUTE(UPPER({"IMPEDITIVO"})," ",""),":",": "),SUBSTITUTE(SUBSTITUTE(UPPER(S1693)," ",""),":",": "))),0)),"-")</f>
        <v>-</v>
      </c>
      <c r="K1693" s="49"/>
    </row>
    <row r="1694" spans="1:11" x14ac:dyDescent="0.25">
      <c r="A1694" s="46" t="str" cm="1">
        <f t="array" ref="A1694">IFERROR(INDEX(#REF!,MATCH(TRUE,ISNUMBER(FIND(SUBSTITUTE(SUBSTITUTE(UPPER(#REF!)," ",""),":",": "),SUBSTITUTE(SUBSTITUTE(UPPER(S1694)," ",""),":",": "))),0)),"Undefined")</f>
        <v>Undefined</v>
      </c>
      <c r="B1694" s="42" t="str" cm="1">
        <f t="array" ref="B1694">IFERROR(INDEX({"URGENTE"},MATCH(TRUE,ISNUMBER(FIND(SUBSTITUTE(SUBSTITUTE(UPPER({"URGENTE"})," ",""),":",": "),SUBSTITUTE(SUBSTITUTE(UPPER(S1694)," ",""),":",": "))),0)),"-")</f>
        <v>-</v>
      </c>
      <c r="C1694" s="46" t="str" cm="1">
        <f t="array" ref="C1694">IFERROR(INDEX(#REF!,MATCH(TRUE,ISNUMBER(FIND(SUBSTITUTE(SUBSTITUTE(UPPER(#REF!)," ",""),":",": "),SUBSTITUTE(SUBSTITUTE(UPPER(S1694)," ",""),":",": "))),0)),"Não encontrado")</f>
        <v>Não encontrado</v>
      </c>
      <c r="D1694" s="46" t="str" cm="1">
        <f t="array" ref="D1694">IFERROR(INDEX(#REF!,MATCH(TRUE,ISNUMBER(FIND(SUBSTITUTE(SUBSTITUTE(UPPER(#REF!)," ",""),":",": "),SUBSTITUTE(SUBSTITUTE(UPPER(S1694)," ",""),":",": "))),0)),"Não encontrado")</f>
        <v>Não encontrado</v>
      </c>
      <c r="E1694" s="42" t="str" cm="1">
        <f t="array" ref="E1694">IFERROR(INDEX({"IMPEDITIVO"},MATCH(TRUE,ISNUMBER(FIND(SUBSTITUTE(SUBSTITUTE(UPPER({"IMPEDITIVO"})," ",""),":",": "),SUBSTITUTE(SUBSTITUTE(UPPER(S1694)," ",""),":",": "))),0)),"-")</f>
        <v>-</v>
      </c>
      <c r="K1694" s="49"/>
    </row>
    <row r="1695" spans="1:11" x14ac:dyDescent="0.25">
      <c r="A1695" s="46" t="str" cm="1">
        <f t="array" ref="A1695">IFERROR(INDEX(#REF!,MATCH(TRUE,ISNUMBER(FIND(SUBSTITUTE(SUBSTITUTE(UPPER(#REF!)," ",""),":",": "),SUBSTITUTE(SUBSTITUTE(UPPER(S1695)," ",""),":",": "))),0)),"Undefined")</f>
        <v>Undefined</v>
      </c>
      <c r="B1695" s="42" t="str" cm="1">
        <f t="array" ref="B1695">IFERROR(INDEX({"URGENTE"},MATCH(TRUE,ISNUMBER(FIND(SUBSTITUTE(SUBSTITUTE(UPPER({"URGENTE"})," ",""),":",": "),SUBSTITUTE(SUBSTITUTE(UPPER(S1695)," ",""),":",": "))),0)),"-")</f>
        <v>-</v>
      </c>
      <c r="C1695" s="46" t="str" cm="1">
        <f t="array" ref="C1695">IFERROR(INDEX(#REF!,MATCH(TRUE,ISNUMBER(FIND(SUBSTITUTE(SUBSTITUTE(UPPER(#REF!)," ",""),":",": "),SUBSTITUTE(SUBSTITUTE(UPPER(S1695)," ",""),":",": "))),0)),"Não encontrado")</f>
        <v>Não encontrado</v>
      </c>
      <c r="D1695" s="46" t="str" cm="1">
        <f t="array" ref="D1695">IFERROR(INDEX(#REF!,MATCH(TRUE,ISNUMBER(FIND(SUBSTITUTE(SUBSTITUTE(UPPER(#REF!)," ",""),":",": "),SUBSTITUTE(SUBSTITUTE(UPPER(S1695)," ",""),":",": "))),0)),"Não encontrado")</f>
        <v>Não encontrado</v>
      </c>
      <c r="E1695" s="42" t="str" cm="1">
        <f t="array" ref="E1695">IFERROR(INDEX({"IMPEDITIVO"},MATCH(TRUE,ISNUMBER(FIND(SUBSTITUTE(SUBSTITUTE(UPPER({"IMPEDITIVO"})," ",""),":",": "),SUBSTITUTE(SUBSTITUTE(UPPER(S1695)," ",""),":",": "))),0)),"-")</f>
        <v>-</v>
      </c>
      <c r="K1695" s="49"/>
    </row>
    <row r="1696" spans="1:11" x14ac:dyDescent="0.25">
      <c r="A1696" s="46" t="str" cm="1">
        <f t="array" ref="A1696">IFERROR(INDEX(#REF!,MATCH(TRUE,ISNUMBER(FIND(SUBSTITUTE(SUBSTITUTE(UPPER(#REF!)," ",""),":",": "),SUBSTITUTE(SUBSTITUTE(UPPER(S1696)," ",""),":",": "))),0)),"Undefined")</f>
        <v>Undefined</v>
      </c>
      <c r="B1696" s="42" t="str" cm="1">
        <f t="array" ref="B1696">IFERROR(INDEX({"URGENTE"},MATCH(TRUE,ISNUMBER(FIND(SUBSTITUTE(SUBSTITUTE(UPPER({"URGENTE"})," ",""),":",": "),SUBSTITUTE(SUBSTITUTE(UPPER(S1696)," ",""),":",": "))),0)),"-")</f>
        <v>-</v>
      </c>
      <c r="C1696" s="46" t="str" cm="1">
        <f t="array" ref="C1696">IFERROR(INDEX(#REF!,MATCH(TRUE,ISNUMBER(FIND(SUBSTITUTE(SUBSTITUTE(UPPER(#REF!)," ",""),":",": "),SUBSTITUTE(SUBSTITUTE(UPPER(S1696)," ",""),":",": "))),0)),"Não encontrado")</f>
        <v>Não encontrado</v>
      </c>
      <c r="D1696" s="46" t="str" cm="1">
        <f t="array" ref="D1696">IFERROR(INDEX(#REF!,MATCH(TRUE,ISNUMBER(FIND(SUBSTITUTE(SUBSTITUTE(UPPER(#REF!)," ",""),":",": "),SUBSTITUTE(SUBSTITUTE(UPPER(S1696)," ",""),":",": "))),0)),"Não encontrado")</f>
        <v>Não encontrado</v>
      </c>
      <c r="E1696" s="42" t="str" cm="1">
        <f t="array" ref="E1696">IFERROR(INDEX({"IMPEDITIVO"},MATCH(TRUE,ISNUMBER(FIND(SUBSTITUTE(SUBSTITUTE(UPPER({"IMPEDITIVO"})," ",""),":",": "),SUBSTITUTE(SUBSTITUTE(UPPER(S1696)," ",""),":",": "))),0)),"-")</f>
        <v>-</v>
      </c>
      <c r="K1696" s="49"/>
    </row>
    <row r="1697" spans="1:11" x14ac:dyDescent="0.25">
      <c r="A1697" s="46" t="str" cm="1">
        <f t="array" ref="A1697">IFERROR(INDEX(#REF!,MATCH(TRUE,ISNUMBER(FIND(SUBSTITUTE(SUBSTITUTE(UPPER(#REF!)," ",""),":",": "),SUBSTITUTE(SUBSTITUTE(UPPER(S1697)," ",""),":",": "))),0)),"Undefined")</f>
        <v>Undefined</v>
      </c>
      <c r="B1697" s="42" t="str" cm="1">
        <f t="array" ref="B1697">IFERROR(INDEX({"URGENTE"},MATCH(TRUE,ISNUMBER(FIND(SUBSTITUTE(SUBSTITUTE(UPPER({"URGENTE"})," ",""),":",": "),SUBSTITUTE(SUBSTITUTE(UPPER(S1697)," ",""),":",": "))),0)),"-")</f>
        <v>-</v>
      </c>
      <c r="C1697" s="46" t="str" cm="1">
        <f t="array" ref="C1697">IFERROR(INDEX(#REF!,MATCH(TRUE,ISNUMBER(FIND(SUBSTITUTE(SUBSTITUTE(UPPER(#REF!)," ",""),":",": "),SUBSTITUTE(SUBSTITUTE(UPPER(S1697)," ",""),":",": "))),0)),"Não encontrado")</f>
        <v>Não encontrado</v>
      </c>
      <c r="D1697" s="46" t="str" cm="1">
        <f t="array" ref="D1697">IFERROR(INDEX(#REF!,MATCH(TRUE,ISNUMBER(FIND(SUBSTITUTE(SUBSTITUTE(UPPER(#REF!)," ",""),":",": "),SUBSTITUTE(SUBSTITUTE(UPPER(S1697)," ",""),":",": "))),0)),"Não encontrado")</f>
        <v>Não encontrado</v>
      </c>
      <c r="E1697" s="42" t="str" cm="1">
        <f t="array" ref="E1697">IFERROR(INDEX({"IMPEDITIVO"},MATCH(TRUE,ISNUMBER(FIND(SUBSTITUTE(SUBSTITUTE(UPPER({"IMPEDITIVO"})," ",""),":",": "),SUBSTITUTE(SUBSTITUTE(UPPER(S1697)," ",""),":",": "))),0)),"-")</f>
        <v>-</v>
      </c>
      <c r="K1697" s="49"/>
    </row>
    <row r="1698" spans="1:11" x14ac:dyDescent="0.25">
      <c r="A1698" s="46" t="str" cm="1">
        <f t="array" ref="A1698">IFERROR(INDEX(#REF!,MATCH(TRUE,ISNUMBER(FIND(SUBSTITUTE(SUBSTITUTE(UPPER(#REF!)," ",""),":",": "),SUBSTITUTE(SUBSTITUTE(UPPER(S1698)," ",""),":",": "))),0)),"Undefined")</f>
        <v>Undefined</v>
      </c>
      <c r="B1698" s="42" t="str" cm="1">
        <f t="array" ref="B1698">IFERROR(INDEX({"URGENTE"},MATCH(TRUE,ISNUMBER(FIND(SUBSTITUTE(SUBSTITUTE(UPPER({"URGENTE"})," ",""),":",": "),SUBSTITUTE(SUBSTITUTE(UPPER(S1698)," ",""),":",": "))),0)),"-")</f>
        <v>-</v>
      </c>
      <c r="C1698" s="46" t="str" cm="1">
        <f t="array" ref="C1698">IFERROR(INDEX(#REF!,MATCH(TRUE,ISNUMBER(FIND(SUBSTITUTE(SUBSTITUTE(UPPER(#REF!)," ",""),":",": "),SUBSTITUTE(SUBSTITUTE(UPPER(S1698)," ",""),":",": "))),0)),"Não encontrado")</f>
        <v>Não encontrado</v>
      </c>
      <c r="D1698" s="46" t="str" cm="1">
        <f t="array" ref="D1698">IFERROR(INDEX(#REF!,MATCH(TRUE,ISNUMBER(FIND(SUBSTITUTE(SUBSTITUTE(UPPER(#REF!)," ",""),":",": "),SUBSTITUTE(SUBSTITUTE(UPPER(S1698)," ",""),":",": "))),0)),"Não encontrado")</f>
        <v>Não encontrado</v>
      </c>
      <c r="E1698" s="42" t="str" cm="1">
        <f t="array" ref="E1698">IFERROR(INDEX({"IMPEDITIVO"},MATCH(TRUE,ISNUMBER(FIND(SUBSTITUTE(SUBSTITUTE(UPPER({"IMPEDITIVO"})," ",""),":",": "),SUBSTITUTE(SUBSTITUTE(UPPER(S1698)," ",""),":",": "))),0)),"-")</f>
        <v>-</v>
      </c>
      <c r="K1698" s="49"/>
    </row>
    <row r="1699" spans="1:11" x14ac:dyDescent="0.25">
      <c r="A1699" s="46" t="str" cm="1">
        <f t="array" ref="A1699">IFERROR(INDEX(#REF!,MATCH(TRUE,ISNUMBER(FIND(SUBSTITUTE(SUBSTITUTE(UPPER(#REF!)," ",""),":",": "),SUBSTITUTE(SUBSTITUTE(UPPER(S1699)," ",""),":",": "))),0)),"Undefined")</f>
        <v>Undefined</v>
      </c>
      <c r="B1699" s="42" t="str" cm="1">
        <f t="array" ref="B1699">IFERROR(INDEX({"URGENTE"},MATCH(TRUE,ISNUMBER(FIND(SUBSTITUTE(SUBSTITUTE(UPPER({"URGENTE"})," ",""),":",": "),SUBSTITUTE(SUBSTITUTE(UPPER(S1699)," ",""),":",": "))),0)),"-")</f>
        <v>-</v>
      </c>
      <c r="C1699" s="46" t="str" cm="1">
        <f t="array" ref="C1699">IFERROR(INDEX(#REF!,MATCH(TRUE,ISNUMBER(FIND(SUBSTITUTE(SUBSTITUTE(UPPER(#REF!)," ",""),":",": "),SUBSTITUTE(SUBSTITUTE(UPPER(S1699)," ",""),":",": "))),0)),"Não encontrado")</f>
        <v>Não encontrado</v>
      </c>
      <c r="D1699" s="46" t="str" cm="1">
        <f t="array" ref="D1699">IFERROR(INDEX(#REF!,MATCH(TRUE,ISNUMBER(FIND(SUBSTITUTE(SUBSTITUTE(UPPER(#REF!)," ",""),":",": "),SUBSTITUTE(SUBSTITUTE(UPPER(S1699)," ",""),":",": "))),0)),"Não encontrado")</f>
        <v>Não encontrado</v>
      </c>
      <c r="E1699" s="42" t="str" cm="1">
        <f t="array" ref="E1699">IFERROR(INDEX({"IMPEDITIVO"},MATCH(TRUE,ISNUMBER(FIND(SUBSTITUTE(SUBSTITUTE(UPPER({"IMPEDITIVO"})," ",""),":",": "),SUBSTITUTE(SUBSTITUTE(UPPER(S1699)," ",""),":",": "))),0)),"-")</f>
        <v>-</v>
      </c>
      <c r="K1699" s="49"/>
    </row>
    <row r="1700" spans="1:11" x14ac:dyDescent="0.25">
      <c r="A1700" s="46" t="str" cm="1">
        <f t="array" ref="A1700">IFERROR(INDEX(#REF!,MATCH(TRUE,ISNUMBER(FIND(SUBSTITUTE(SUBSTITUTE(UPPER(#REF!)," ",""),":",": "),SUBSTITUTE(SUBSTITUTE(UPPER(S1700)," ",""),":",": "))),0)),"Undefined")</f>
        <v>Undefined</v>
      </c>
      <c r="B1700" s="42" t="str" cm="1">
        <f t="array" ref="B1700">IFERROR(INDEX({"URGENTE"},MATCH(TRUE,ISNUMBER(FIND(SUBSTITUTE(SUBSTITUTE(UPPER({"URGENTE"})," ",""),":",": "),SUBSTITUTE(SUBSTITUTE(UPPER(S1700)," ",""),":",": "))),0)),"-")</f>
        <v>-</v>
      </c>
      <c r="C1700" s="46" t="str" cm="1">
        <f t="array" ref="C1700">IFERROR(INDEX(#REF!,MATCH(TRUE,ISNUMBER(FIND(SUBSTITUTE(SUBSTITUTE(UPPER(#REF!)," ",""),":",": "),SUBSTITUTE(SUBSTITUTE(UPPER(S1700)," ",""),":",": "))),0)),"Não encontrado")</f>
        <v>Não encontrado</v>
      </c>
      <c r="D1700" s="46" t="str" cm="1">
        <f t="array" ref="D1700">IFERROR(INDEX(#REF!,MATCH(TRUE,ISNUMBER(FIND(SUBSTITUTE(SUBSTITUTE(UPPER(#REF!)," ",""),":",": "),SUBSTITUTE(SUBSTITUTE(UPPER(S1700)," ",""),":",": "))),0)),"Não encontrado")</f>
        <v>Não encontrado</v>
      </c>
      <c r="E1700" s="42" t="str" cm="1">
        <f t="array" ref="E1700">IFERROR(INDEX({"IMPEDITIVO"},MATCH(TRUE,ISNUMBER(FIND(SUBSTITUTE(SUBSTITUTE(UPPER({"IMPEDITIVO"})," ",""),":",": "),SUBSTITUTE(SUBSTITUTE(UPPER(S1700)," ",""),":",": "))),0)),"-")</f>
        <v>-</v>
      </c>
      <c r="K1700" s="49"/>
    </row>
    <row r="1701" spans="1:11" x14ac:dyDescent="0.25">
      <c r="A1701" s="46" t="str" cm="1">
        <f t="array" ref="A1701">IFERROR(INDEX(#REF!,MATCH(TRUE,ISNUMBER(FIND(SUBSTITUTE(SUBSTITUTE(UPPER(#REF!)," ",""),":",": "),SUBSTITUTE(SUBSTITUTE(UPPER(S1701)," ",""),":",": "))),0)),"Undefined")</f>
        <v>Undefined</v>
      </c>
      <c r="B1701" s="42" t="str" cm="1">
        <f t="array" ref="B1701">IFERROR(INDEX({"URGENTE"},MATCH(TRUE,ISNUMBER(FIND(SUBSTITUTE(SUBSTITUTE(UPPER({"URGENTE"})," ",""),":",": "),SUBSTITUTE(SUBSTITUTE(UPPER(S1701)," ",""),":",": "))),0)),"-")</f>
        <v>-</v>
      </c>
      <c r="C1701" s="46" t="str" cm="1">
        <f t="array" ref="C1701">IFERROR(INDEX(#REF!,MATCH(TRUE,ISNUMBER(FIND(SUBSTITUTE(SUBSTITUTE(UPPER(#REF!)," ",""),":",": "),SUBSTITUTE(SUBSTITUTE(UPPER(S1701)," ",""),":",": "))),0)),"Não encontrado")</f>
        <v>Não encontrado</v>
      </c>
      <c r="D1701" s="46" t="str" cm="1">
        <f t="array" ref="D1701">IFERROR(INDEX(#REF!,MATCH(TRUE,ISNUMBER(FIND(SUBSTITUTE(SUBSTITUTE(UPPER(#REF!)," ",""),":",": "),SUBSTITUTE(SUBSTITUTE(UPPER(S1701)," ",""),":",": "))),0)),"Não encontrado")</f>
        <v>Não encontrado</v>
      </c>
      <c r="E1701" s="42" t="str" cm="1">
        <f t="array" ref="E1701">IFERROR(INDEX({"IMPEDITIVO"},MATCH(TRUE,ISNUMBER(FIND(SUBSTITUTE(SUBSTITUTE(UPPER({"IMPEDITIVO"})," ",""),":",": "),SUBSTITUTE(SUBSTITUTE(UPPER(S1701)," ",""),":",": "))),0)),"-")</f>
        <v>-</v>
      </c>
      <c r="K1701" s="49"/>
    </row>
    <row r="1702" spans="1:11" x14ac:dyDescent="0.25">
      <c r="A1702" s="46" t="str" cm="1">
        <f t="array" ref="A1702">IFERROR(INDEX(#REF!,MATCH(TRUE,ISNUMBER(FIND(SUBSTITUTE(SUBSTITUTE(UPPER(#REF!)," ",""),":",": "),SUBSTITUTE(SUBSTITUTE(UPPER(S1702)," ",""),":",": "))),0)),"Undefined")</f>
        <v>Undefined</v>
      </c>
      <c r="B1702" s="42" t="str" cm="1">
        <f t="array" ref="B1702">IFERROR(INDEX({"URGENTE"},MATCH(TRUE,ISNUMBER(FIND(SUBSTITUTE(SUBSTITUTE(UPPER({"URGENTE"})," ",""),":",": "),SUBSTITUTE(SUBSTITUTE(UPPER(S1702)," ",""),":",": "))),0)),"-")</f>
        <v>-</v>
      </c>
      <c r="C1702" s="46" t="str" cm="1">
        <f t="array" ref="C1702">IFERROR(INDEX(#REF!,MATCH(TRUE,ISNUMBER(FIND(SUBSTITUTE(SUBSTITUTE(UPPER(#REF!)," ",""),":",": "),SUBSTITUTE(SUBSTITUTE(UPPER(S1702)," ",""),":",": "))),0)),"Não encontrado")</f>
        <v>Não encontrado</v>
      </c>
      <c r="D1702" s="46" t="str" cm="1">
        <f t="array" ref="D1702">IFERROR(INDEX(#REF!,MATCH(TRUE,ISNUMBER(FIND(SUBSTITUTE(SUBSTITUTE(UPPER(#REF!)," ",""),":",": "),SUBSTITUTE(SUBSTITUTE(UPPER(S1702)," ",""),":",": "))),0)),"Não encontrado")</f>
        <v>Não encontrado</v>
      </c>
      <c r="E1702" s="42" t="str" cm="1">
        <f t="array" ref="E1702">IFERROR(INDEX({"IMPEDITIVO"},MATCH(TRUE,ISNUMBER(FIND(SUBSTITUTE(SUBSTITUTE(UPPER({"IMPEDITIVO"})," ",""),":",": "),SUBSTITUTE(SUBSTITUTE(UPPER(S1702)," ",""),":",": "))),0)),"-")</f>
        <v>-</v>
      </c>
      <c r="K1702" s="49"/>
    </row>
    <row r="1703" spans="1:11" x14ac:dyDescent="0.25">
      <c r="A1703" s="46" t="str" cm="1">
        <f t="array" ref="A1703">IFERROR(INDEX(#REF!,MATCH(TRUE,ISNUMBER(FIND(SUBSTITUTE(SUBSTITUTE(UPPER(#REF!)," ",""),":",": "),SUBSTITUTE(SUBSTITUTE(UPPER(S1703)," ",""),":",": "))),0)),"Undefined")</f>
        <v>Undefined</v>
      </c>
      <c r="B1703" s="42" t="str" cm="1">
        <f t="array" ref="B1703">IFERROR(INDEX({"URGENTE"},MATCH(TRUE,ISNUMBER(FIND(SUBSTITUTE(SUBSTITUTE(UPPER({"URGENTE"})," ",""),":",": "),SUBSTITUTE(SUBSTITUTE(UPPER(S1703)," ",""),":",": "))),0)),"-")</f>
        <v>-</v>
      </c>
      <c r="C1703" s="46" t="str" cm="1">
        <f t="array" ref="C1703">IFERROR(INDEX(#REF!,MATCH(TRUE,ISNUMBER(FIND(SUBSTITUTE(SUBSTITUTE(UPPER(#REF!)," ",""),":",": "),SUBSTITUTE(SUBSTITUTE(UPPER(S1703)," ",""),":",": "))),0)),"Não encontrado")</f>
        <v>Não encontrado</v>
      </c>
      <c r="D1703" s="46" t="str" cm="1">
        <f t="array" ref="D1703">IFERROR(INDEX(#REF!,MATCH(TRUE,ISNUMBER(FIND(SUBSTITUTE(SUBSTITUTE(UPPER(#REF!)," ",""),":",": "),SUBSTITUTE(SUBSTITUTE(UPPER(S1703)," ",""),":",": "))),0)),"Não encontrado")</f>
        <v>Não encontrado</v>
      </c>
      <c r="E1703" s="42" t="str" cm="1">
        <f t="array" ref="E1703">IFERROR(INDEX({"IMPEDITIVO"},MATCH(TRUE,ISNUMBER(FIND(SUBSTITUTE(SUBSTITUTE(UPPER({"IMPEDITIVO"})," ",""),":",": "),SUBSTITUTE(SUBSTITUTE(UPPER(S1703)," ",""),":",": "))),0)),"-")</f>
        <v>-</v>
      </c>
      <c r="K1703" s="49"/>
    </row>
    <row r="1704" spans="1:11" x14ac:dyDescent="0.25">
      <c r="A1704" s="46" t="str" cm="1">
        <f t="array" ref="A1704">IFERROR(INDEX(#REF!,MATCH(TRUE,ISNUMBER(FIND(SUBSTITUTE(SUBSTITUTE(UPPER(#REF!)," ",""),":",": "),SUBSTITUTE(SUBSTITUTE(UPPER(S1704)," ",""),":",": "))),0)),"Undefined")</f>
        <v>Undefined</v>
      </c>
      <c r="B1704" s="42" t="str" cm="1">
        <f t="array" ref="B1704">IFERROR(INDEX({"URGENTE"},MATCH(TRUE,ISNUMBER(FIND(SUBSTITUTE(SUBSTITUTE(UPPER({"URGENTE"})," ",""),":",": "),SUBSTITUTE(SUBSTITUTE(UPPER(S1704)," ",""),":",": "))),0)),"-")</f>
        <v>-</v>
      </c>
      <c r="C1704" s="46" t="str" cm="1">
        <f t="array" ref="C1704">IFERROR(INDEX(#REF!,MATCH(TRUE,ISNUMBER(FIND(SUBSTITUTE(SUBSTITUTE(UPPER(#REF!)," ",""),":",": "),SUBSTITUTE(SUBSTITUTE(UPPER(S1704)," ",""),":",": "))),0)),"Não encontrado")</f>
        <v>Não encontrado</v>
      </c>
      <c r="D1704" s="46" t="str" cm="1">
        <f t="array" ref="D1704">IFERROR(INDEX(#REF!,MATCH(TRUE,ISNUMBER(FIND(SUBSTITUTE(SUBSTITUTE(UPPER(#REF!)," ",""),":",": "),SUBSTITUTE(SUBSTITUTE(UPPER(S1704)," ",""),":",": "))),0)),"Não encontrado")</f>
        <v>Não encontrado</v>
      </c>
      <c r="E1704" s="42" t="str" cm="1">
        <f t="array" ref="E1704">IFERROR(INDEX({"IMPEDITIVO"},MATCH(TRUE,ISNUMBER(FIND(SUBSTITUTE(SUBSTITUTE(UPPER({"IMPEDITIVO"})," ",""),":",": "),SUBSTITUTE(SUBSTITUTE(UPPER(S1704)," ",""),":",": "))),0)),"-")</f>
        <v>-</v>
      </c>
      <c r="K1704" s="49"/>
    </row>
    <row r="1705" spans="1:11" x14ac:dyDescent="0.25">
      <c r="A1705" s="46" t="str" cm="1">
        <f t="array" ref="A1705">IFERROR(INDEX(#REF!,MATCH(TRUE,ISNUMBER(FIND(SUBSTITUTE(SUBSTITUTE(UPPER(#REF!)," ",""),":",": "),SUBSTITUTE(SUBSTITUTE(UPPER(S1705)," ",""),":",": "))),0)),"Undefined")</f>
        <v>Undefined</v>
      </c>
      <c r="B1705" s="42" t="str" cm="1">
        <f t="array" ref="B1705">IFERROR(INDEX({"URGENTE"},MATCH(TRUE,ISNUMBER(FIND(SUBSTITUTE(SUBSTITUTE(UPPER({"URGENTE"})," ",""),":",": "),SUBSTITUTE(SUBSTITUTE(UPPER(S1705)," ",""),":",": "))),0)),"-")</f>
        <v>-</v>
      </c>
      <c r="C1705" s="46" t="str" cm="1">
        <f t="array" ref="C1705">IFERROR(INDEX(#REF!,MATCH(TRUE,ISNUMBER(FIND(SUBSTITUTE(SUBSTITUTE(UPPER(#REF!)," ",""),":",": "),SUBSTITUTE(SUBSTITUTE(UPPER(S1705)," ",""),":",": "))),0)),"Não encontrado")</f>
        <v>Não encontrado</v>
      </c>
      <c r="D1705" s="46" t="str" cm="1">
        <f t="array" ref="D1705">IFERROR(INDEX(#REF!,MATCH(TRUE,ISNUMBER(FIND(SUBSTITUTE(SUBSTITUTE(UPPER(#REF!)," ",""),":",": "),SUBSTITUTE(SUBSTITUTE(UPPER(S1705)," ",""),":",": "))),0)),"Não encontrado")</f>
        <v>Não encontrado</v>
      </c>
      <c r="E1705" s="42" t="str" cm="1">
        <f t="array" ref="E1705">IFERROR(INDEX({"IMPEDITIVO"},MATCH(TRUE,ISNUMBER(FIND(SUBSTITUTE(SUBSTITUTE(UPPER({"IMPEDITIVO"})," ",""),":",": "),SUBSTITUTE(SUBSTITUTE(UPPER(S1705)," ",""),":",": "))),0)),"-")</f>
        <v>-</v>
      </c>
      <c r="K1705" s="49"/>
    </row>
    <row r="1706" spans="1:11" x14ac:dyDescent="0.25">
      <c r="A1706" s="46" t="str" cm="1">
        <f t="array" ref="A1706">IFERROR(INDEX(#REF!,MATCH(TRUE,ISNUMBER(FIND(SUBSTITUTE(SUBSTITUTE(UPPER(#REF!)," ",""),":",": "),SUBSTITUTE(SUBSTITUTE(UPPER(S1706)," ",""),":",": "))),0)),"Undefined")</f>
        <v>Undefined</v>
      </c>
      <c r="B1706" s="42" t="str" cm="1">
        <f t="array" ref="B1706">IFERROR(INDEX({"URGENTE"},MATCH(TRUE,ISNUMBER(FIND(SUBSTITUTE(SUBSTITUTE(UPPER({"URGENTE"})," ",""),":",": "),SUBSTITUTE(SUBSTITUTE(UPPER(S1706)," ",""),":",": "))),0)),"-")</f>
        <v>-</v>
      </c>
      <c r="C1706" s="46" t="str" cm="1">
        <f t="array" ref="C1706">IFERROR(INDEX(#REF!,MATCH(TRUE,ISNUMBER(FIND(SUBSTITUTE(SUBSTITUTE(UPPER(#REF!)," ",""),":",": "),SUBSTITUTE(SUBSTITUTE(UPPER(S1706)," ",""),":",": "))),0)),"Não encontrado")</f>
        <v>Não encontrado</v>
      </c>
      <c r="D1706" s="46" t="str" cm="1">
        <f t="array" ref="D1706">IFERROR(INDEX(#REF!,MATCH(TRUE,ISNUMBER(FIND(SUBSTITUTE(SUBSTITUTE(UPPER(#REF!)," ",""),":",": "),SUBSTITUTE(SUBSTITUTE(UPPER(S1706)," ",""),":",": "))),0)),"Não encontrado")</f>
        <v>Não encontrado</v>
      </c>
      <c r="E1706" s="42" t="str" cm="1">
        <f t="array" ref="E1706">IFERROR(INDEX({"IMPEDITIVO"},MATCH(TRUE,ISNUMBER(FIND(SUBSTITUTE(SUBSTITUTE(UPPER({"IMPEDITIVO"})," ",""),":",": "),SUBSTITUTE(SUBSTITUTE(UPPER(S1706)," ",""),":",": "))),0)),"-")</f>
        <v>-</v>
      </c>
      <c r="K1706" s="49"/>
    </row>
    <row r="1707" spans="1:11" x14ac:dyDescent="0.25">
      <c r="A1707" s="46" t="str" cm="1">
        <f t="array" ref="A1707">IFERROR(INDEX(#REF!,MATCH(TRUE,ISNUMBER(FIND(SUBSTITUTE(SUBSTITUTE(UPPER(#REF!)," ",""),":",": "),SUBSTITUTE(SUBSTITUTE(UPPER(S1707)," ",""),":",": "))),0)),"Undefined")</f>
        <v>Undefined</v>
      </c>
      <c r="B1707" s="42" t="str" cm="1">
        <f t="array" ref="B1707">IFERROR(INDEX({"URGENTE"},MATCH(TRUE,ISNUMBER(FIND(SUBSTITUTE(SUBSTITUTE(UPPER({"URGENTE"})," ",""),":",": "),SUBSTITUTE(SUBSTITUTE(UPPER(S1707)," ",""),":",": "))),0)),"-")</f>
        <v>-</v>
      </c>
      <c r="C1707" s="46" t="str" cm="1">
        <f t="array" ref="C1707">IFERROR(INDEX(#REF!,MATCH(TRUE,ISNUMBER(FIND(SUBSTITUTE(SUBSTITUTE(UPPER(#REF!)," ",""),":",": "),SUBSTITUTE(SUBSTITUTE(UPPER(S1707)," ",""),":",": "))),0)),"Não encontrado")</f>
        <v>Não encontrado</v>
      </c>
      <c r="D1707" s="46" t="str" cm="1">
        <f t="array" ref="D1707">IFERROR(INDEX(#REF!,MATCH(TRUE,ISNUMBER(FIND(SUBSTITUTE(SUBSTITUTE(UPPER(#REF!)," ",""),":",": "),SUBSTITUTE(SUBSTITUTE(UPPER(S1707)," ",""),":",": "))),0)),"Não encontrado")</f>
        <v>Não encontrado</v>
      </c>
      <c r="E1707" s="42" t="str" cm="1">
        <f t="array" ref="E1707">IFERROR(INDEX({"IMPEDITIVO"},MATCH(TRUE,ISNUMBER(FIND(SUBSTITUTE(SUBSTITUTE(UPPER({"IMPEDITIVO"})," ",""),":",": "),SUBSTITUTE(SUBSTITUTE(UPPER(S1707)," ",""),":",": "))),0)),"-")</f>
        <v>-</v>
      </c>
      <c r="K1707" s="49"/>
    </row>
    <row r="1708" spans="1:11" x14ac:dyDescent="0.25">
      <c r="A1708" s="46" t="str" cm="1">
        <f t="array" ref="A1708">IFERROR(INDEX(#REF!,MATCH(TRUE,ISNUMBER(FIND(SUBSTITUTE(SUBSTITUTE(UPPER(#REF!)," ",""),":",": "),SUBSTITUTE(SUBSTITUTE(UPPER(S1708)," ",""),":",": "))),0)),"Undefined")</f>
        <v>Undefined</v>
      </c>
      <c r="B1708" s="42" t="str" cm="1">
        <f t="array" ref="B1708">IFERROR(INDEX({"URGENTE"},MATCH(TRUE,ISNUMBER(FIND(SUBSTITUTE(SUBSTITUTE(UPPER({"URGENTE"})," ",""),":",": "),SUBSTITUTE(SUBSTITUTE(UPPER(S1708)," ",""),":",": "))),0)),"-")</f>
        <v>-</v>
      </c>
      <c r="C1708" s="46" t="str" cm="1">
        <f t="array" ref="C1708">IFERROR(INDEX(#REF!,MATCH(TRUE,ISNUMBER(FIND(SUBSTITUTE(SUBSTITUTE(UPPER(#REF!)," ",""),":",": "),SUBSTITUTE(SUBSTITUTE(UPPER(S1708)," ",""),":",": "))),0)),"Não encontrado")</f>
        <v>Não encontrado</v>
      </c>
      <c r="D1708" s="46" t="str" cm="1">
        <f t="array" ref="D1708">IFERROR(INDEX(#REF!,MATCH(TRUE,ISNUMBER(FIND(SUBSTITUTE(SUBSTITUTE(UPPER(#REF!)," ",""),":",": "),SUBSTITUTE(SUBSTITUTE(UPPER(S1708)," ",""),":",": "))),0)),"Não encontrado")</f>
        <v>Não encontrado</v>
      </c>
      <c r="E1708" s="42" t="str" cm="1">
        <f t="array" ref="E1708">IFERROR(INDEX({"IMPEDITIVO"},MATCH(TRUE,ISNUMBER(FIND(SUBSTITUTE(SUBSTITUTE(UPPER({"IMPEDITIVO"})," ",""),":",": "),SUBSTITUTE(SUBSTITUTE(UPPER(S1708)," ",""),":",": "))),0)),"-")</f>
        <v>-</v>
      </c>
      <c r="K1708" s="49"/>
    </row>
    <row r="1709" spans="1:11" x14ac:dyDescent="0.25">
      <c r="A1709" s="46" t="str" cm="1">
        <f t="array" ref="A1709">IFERROR(INDEX(#REF!,MATCH(TRUE,ISNUMBER(FIND(SUBSTITUTE(SUBSTITUTE(UPPER(#REF!)," ",""),":",": "),SUBSTITUTE(SUBSTITUTE(UPPER(S1709)," ",""),":",": "))),0)),"Undefined")</f>
        <v>Undefined</v>
      </c>
      <c r="B1709" s="42" t="str" cm="1">
        <f t="array" ref="B1709">IFERROR(INDEX({"URGENTE"},MATCH(TRUE,ISNUMBER(FIND(SUBSTITUTE(SUBSTITUTE(UPPER({"URGENTE"})," ",""),":",": "),SUBSTITUTE(SUBSTITUTE(UPPER(S1709)," ",""),":",": "))),0)),"-")</f>
        <v>-</v>
      </c>
      <c r="C1709" s="46" t="str" cm="1">
        <f t="array" ref="C1709">IFERROR(INDEX(#REF!,MATCH(TRUE,ISNUMBER(FIND(SUBSTITUTE(SUBSTITUTE(UPPER(#REF!)," ",""),":",": "),SUBSTITUTE(SUBSTITUTE(UPPER(S1709)," ",""),":",": "))),0)),"Não encontrado")</f>
        <v>Não encontrado</v>
      </c>
      <c r="D1709" s="46" t="str" cm="1">
        <f t="array" ref="D1709">IFERROR(INDEX(#REF!,MATCH(TRUE,ISNUMBER(FIND(SUBSTITUTE(SUBSTITUTE(UPPER(#REF!)," ",""),":",": "),SUBSTITUTE(SUBSTITUTE(UPPER(S1709)," ",""),":",": "))),0)),"Não encontrado")</f>
        <v>Não encontrado</v>
      </c>
      <c r="E1709" s="42" t="str" cm="1">
        <f t="array" ref="E1709">IFERROR(INDEX({"IMPEDITIVO"},MATCH(TRUE,ISNUMBER(FIND(SUBSTITUTE(SUBSTITUTE(UPPER({"IMPEDITIVO"})," ",""),":",": "),SUBSTITUTE(SUBSTITUTE(UPPER(S1709)," ",""),":",": "))),0)),"-")</f>
        <v>-</v>
      </c>
      <c r="K1709" s="49"/>
    </row>
    <row r="1710" spans="1:11" x14ac:dyDescent="0.25">
      <c r="A1710" s="46" t="str" cm="1">
        <f t="array" ref="A1710">IFERROR(INDEX(#REF!,MATCH(TRUE,ISNUMBER(FIND(SUBSTITUTE(SUBSTITUTE(UPPER(#REF!)," ",""),":",": "),SUBSTITUTE(SUBSTITUTE(UPPER(S1710)," ",""),":",": "))),0)),"Undefined")</f>
        <v>Undefined</v>
      </c>
      <c r="B1710" s="42" t="str" cm="1">
        <f t="array" ref="B1710">IFERROR(INDEX({"URGENTE"},MATCH(TRUE,ISNUMBER(FIND(SUBSTITUTE(SUBSTITUTE(UPPER({"URGENTE"})," ",""),":",": "),SUBSTITUTE(SUBSTITUTE(UPPER(S1710)," ",""),":",": "))),0)),"-")</f>
        <v>-</v>
      </c>
      <c r="C1710" s="46" t="str" cm="1">
        <f t="array" ref="C1710">IFERROR(INDEX(#REF!,MATCH(TRUE,ISNUMBER(FIND(SUBSTITUTE(SUBSTITUTE(UPPER(#REF!)," ",""),":",": "),SUBSTITUTE(SUBSTITUTE(UPPER(S1710)," ",""),":",": "))),0)),"Não encontrado")</f>
        <v>Não encontrado</v>
      </c>
      <c r="D1710" s="46" t="str" cm="1">
        <f t="array" ref="D1710">IFERROR(INDEX(#REF!,MATCH(TRUE,ISNUMBER(FIND(SUBSTITUTE(SUBSTITUTE(UPPER(#REF!)," ",""),":",": "),SUBSTITUTE(SUBSTITUTE(UPPER(S1710)," ",""),":",": "))),0)),"Não encontrado")</f>
        <v>Não encontrado</v>
      </c>
      <c r="E1710" s="42" t="str" cm="1">
        <f t="array" ref="E1710">IFERROR(INDEX({"IMPEDITIVO"},MATCH(TRUE,ISNUMBER(FIND(SUBSTITUTE(SUBSTITUTE(UPPER({"IMPEDITIVO"})," ",""),":",": "),SUBSTITUTE(SUBSTITUTE(UPPER(S1710)," ",""),":",": "))),0)),"-")</f>
        <v>-</v>
      </c>
      <c r="K1710" s="49"/>
    </row>
    <row r="1711" spans="1:11" x14ac:dyDescent="0.25">
      <c r="A1711" s="46" t="str" cm="1">
        <f t="array" ref="A1711">IFERROR(INDEX(#REF!,MATCH(TRUE,ISNUMBER(FIND(SUBSTITUTE(SUBSTITUTE(UPPER(#REF!)," ",""),":",": "),SUBSTITUTE(SUBSTITUTE(UPPER(S1711)," ",""),":",": "))),0)),"Undefined")</f>
        <v>Undefined</v>
      </c>
      <c r="B1711" s="42" t="str" cm="1">
        <f t="array" ref="B1711">IFERROR(INDEX({"URGENTE"},MATCH(TRUE,ISNUMBER(FIND(SUBSTITUTE(SUBSTITUTE(UPPER({"URGENTE"})," ",""),":",": "),SUBSTITUTE(SUBSTITUTE(UPPER(S1711)," ",""),":",": "))),0)),"-")</f>
        <v>-</v>
      </c>
      <c r="C1711" s="46" t="str" cm="1">
        <f t="array" ref="C1711">IFERROR(INDEX(#REF!,MATCH(TRUE,ISNUMBER(FIND(SUBSTITUTE(SUBSTITUTE(UPPER(#REF!)," ",""),":",": "),SUBSTITUTE(SUBSTITUTE(UPPER(S1711)," ",""),":",": "))),0)),"Não encontrado")</f>
        <v>Não encontrado</v>
      </c>
      <c r="D1711" s="46" t="str" cm="1">
        <f t="array" ref="D1711">IFERROR(INDEX(#REF!,MATCH(TRUE,ISNUMBER(FIND(SUBSTITUTE(SUBSTITUTE(UPPER(#REF!)," ",""),":",": "),SUBSTITUTE(SUBSTITUTE(UPPER(S1711)," ",""),":",": "))),0)),"Não encontrado")</f>
        <v>Não encontrado</v>
      </c>
      <c r="E1711" s="42" t="str" cm="1">
        <f t="array" ref="E1711">IFERROR(INDEX({"IMPEDITIVO"},MATCH(TRUE,ISNUMBER(FIND(SUBSTITUTE(SUBSTITUTE(UPPER({"IMPEDITIVO"})," ",""),":",": "),SUBSTITUTE(SUBSTITUTE(UPPER(S1711)," ",""),":",": "))),0)),"-")</f>
        <v>-</v>
      </c>
      <c r="K1711" s="49"/>
    </row>
    <row r="1712" spans="1:11" x14ac:dyDescent="0.25">
      <c r="A1712" s="46" t="str" cm="1">
        <f t="array" ref="A1712">IFERROR(INDEX(#REF!,MATCH(TRUE,ISNUMBER(FIND(SUBSTITUTE(SUBSTITUTE(UPPER(#REF!)," ",""),":",": "),SUBSTITUTE(SUBSTITUTE(UPPER(S1712)," ",""),":",": "))),0)),"Undefined")</f>
        <v>Undefined</v>
      </c>
      <c r="B1712" s="42" t="str" cm="1">
        <f t="array" ref="B1712">IFERROR(INDEX({"URGENTE"},MATCH(TRUE,ISNUMBER(FIND(SUBSTITUTE(SUBSTITUTE(UPPER({"URGENTE"})," ",""),":",": "),SUBSTITUTE(SUBSTITUTE(UPPER(S1712)," ",""),":",": "))),0)),"-")</f>
        <v>-</v>
      </c>
      <c r="C1712" s="46" t="str" cm="1">
        <f t="array" ref="C1712">IFERROR(INDEX(#REF!,MATCH(TRUE,ISNUMBER(FIND(SUBSTITUTE(SUBSTITUTE(UPPER(#REF!)," ",""),":",": "),SUBSTITUTE(SUBSTITUTE(UPPER(S1712)," ",""),":",": "))),0)),"Não encontrado")</f>
        <v>Não encontrado</v>
      </c>
      <c r="D1712" s="46" t="str" cm="1">
        <f t="array" ref="D1712">IFERROR(INDEX(#REF!,MATCH(TRUE,ISNUMBER(FIND(SUBSTITUTE(SUBSTITUTE(UPPER(#REF!)," ",""),":",": "),SUBSTITUTE(SUBSTITUTE(UPPER(S1712)," ",""),":",": "))),0)),"Não encontrado")</f>
        <v>Não encontrado</v>
      </c>
      <c r="E1712" s="42" t="str" cm="1">
        <f t="array" ref="E1712">IFERROR(INDEX({"IMPEDITIVO"},MATCH(TRUE,ISNUMBER(FIND(SUBSTITUTE(SUBSTITUTE(UPPER({"IMPEDITIVO"})," ",""),":",": "),SUBSTITUTE(SUBSTITUTE(UPPER(S1712)," ",""),":",": "))),0)),"-")</f>
        <v>-</v>
      </c>
      <c r="K1712" s="49"/>
    </row>
    <row r="1713" spans="1:11" x14ac:dyDescent="0.25">
      <c r="A1713" s="46" t="str" cm="1">
        <f t="array" ref="A1713">IFERROR(INDEX(#REF!,MATCH(TRUE,ISNUMBER(FIND(SUBSTITUTE(SUBSTITUTE(UPPER(#REF!)," ",""),":",": "),SUBSTITUTE(SUBSTITUTE(UPPER(S1713)," ",""),":",": "))),0)),"Undefined")</f>
        <v>Undefined</v>
      </c>
      <c r="B1713" s="42" t="str" cm="1">
        <f t="array" ref="B1713">IFERROR(INDEX({"URGENTE"},MATCH(TRUE,ISNUMBER(FIND(SUBSTITUTE(SUBSTITUTE(UPPER({"URGENTE"})," ",""),":",": "),SUBSTITUTE(SUBSTITUTE(UPPER(S1713)," ",""),":",": "))),0)),"-")</f>
        <v>-</v>
      </c>
      <c r="C1713" s="46" t="str" cm="1">
        <f t="array" ref="C1713">IFERROR(INDEX(#REF!,MATCH(TRUE,ISNUMBER(FIND(SUBSTITUTE(SUBSTITUTE(UPPER(#REF!)," ",""),":",": "),SUBSTITUTE(SUBSTITUTE(UPPER(S1713)," ",""),":",": "))),0)),"Não encontrado")</f>
        <v>Não encontrado</v>
      </c>
      <c r="D1713" s="46" t="str" cm="1">
        <f t="array" ref="D1713">IFERROR(INDEX(#REF!,MATCH(TRUE,ISNUMBER(FIND(SUBSTITUTE(SUBSTITUTE(UPPER(#REF!)," ",""),":",": "),SUBSTITUTE(SUBSTITUTE(UPPER(S1713)," ",""),":",": "))),0)),"Não encontrado")</f>
        <v>Não encontrado</v>
      </c>
      <c r="E1713" s="42" t="str" cm="1">
        <f t="array" ref="E1713">IFERROR(INDEX({"IMPEDITIVO"},MATCH(TRUE,ISNUMBER(FIND(SUBSTITUTE(SUBSTITUTE(UPPER({"IMPEDITIVO"})," ",""),":",": "),SUBSTITUTE(SUBSTITUTE(UPPER(S1713)," ",""),":",": "))),0)),"-")</f>
        <v>-</v>
      </c>
      <c r="K1713" s="49"/>
    </row>
    <row r="1714" spans="1:11" x14ac:dyDescent="0.25">
      <c r="A1714" s="46" t="str" cm="1">
        <f t="array" ref="A1714">IFERROR(INDEX(#REF!,MATCH(TRUE,ISNUMBER(FIND(SUBSTITUTE(SUBSTITUTE(UPPER(#REF!)," ",""),":",": "),SUBSTITUTE(SUBSTITUTE(UPPER(S1714)," ",""),":",": "))),0)),"Undefined")</f>
        <v>Undefined</v>
      </c>
      <c r="B1714" s="42" t="str" cm="1">
        <f t="array" ref="B1714">IFERROR(INDEX({"URGENTE"},MATCH(TRUE,ISNUMBER(FIND(SUBSTITUTE(SUBSTITUTE(UPPER({"URGENTE"})," ",""),":",": "),SUBSTITUTE(SUBSTITUTE(UPPER(S1714)," ",""),":",": "))),0)),"-")</f>
        <v>-</v>
      </c>
      <c r="C1714" s="46" t="str" cm="1">
        <f t="array" ref="C1714">IFERROR(INDEX(#REF!,MATCH(TRUE,ISNUMBER(FIND(SUBSTITUTE(SUBSTITUTE(UPPER(#REF!)," ",""),":",": "),SUBSTITUTE(SUBSTITUTE(UPPER(S1714)," ",""),":",": "))),0)),"Não encontrado")</f>
        <v>Não encontrado</v>
      </c>
      <c r="D1714" s="46" t="str" cm="1">
        <f t="array" ref="D1714">IFERROR(INDEX(#REF!,MATCH(TRUE,ISNUMBER(FIND(SUBSTITUTE(SUBSTITUTE(UPPER(#REF!)," ",""),":",": "),SUBSTITUTE(SUBSTITUTE(UPPER(S1714)," ",""),":",": "))),0)),"Não encontrado")</f>
        <v>Não encontrado</v>
      </c>
      <c r="E1714" s="42" t="str" cm="1">
        <f t="array" ref="E1714">IFERROR(INDEX({"IMPEDITIVO"},MATCH(TRUE,ISNUMBER(FIND(SUBSTITUTE(SUBSTITUTE(UPPER({"IMPEDITIVO"})," ",""),":",": "),SUBSTITUTE(SUBSTITUTE(UPPER(S1714)," ",""),":",": "))),0)),"-")</f>
        <v>-</v>
      </c>
      <c r="K1714" s="49"/>
    </row>
    <row r="1715" spans="1:11" x14ac:dyDescent="0.25">
      <c r="A1715" s="46" t="str" cm="1">
        <f t="array" ref="A1715">IFERROR(INDEX(#REF!,MATCH(TRUE,ISNUMBER(FIND(SUBSTITUTE(SUBSTITUTE(UPPER(#REF!)," ",""),":",": "),SUBSTITUTE(SUBSTITUTE(UPPER(S1715)," ",""),":",": "))),0)),"Undefined")</f>
        <v>Undefined</v>
      </c>
      <c r="B1715" s="42" t="str" cm="1">
        <f t="array" ref="B1715">IFERROR(INDEX({"URGENTE"},MATCH(TRUE,ISNUMBER(FIND(SUBSTITUTE(SUBSTITUTE(UPPER({"URGENTE"})," ",""),":",": "),SUBSTITUTE(SUBSTITUTE(UPPER(S1715)," ",""),":",": "))),0)),"-")</f>
        <v>-</v>
      </c>
      <c r="C1715" s="46" t="str" cm="1">
        <f t="array" ref="C1715">IFERROR(INDEX(#REF!,MATCH(TRUE,ISNUMBER(FIND(SUBSTITUTE(SUBSTITUTE(UPPER(#REF!)," ",""),":",": "),SUBSTITUTE(SUBSTITUTE(UPPER(S1715)," ",""),":",": "))),0)),"Não encontrado")</f>
        <v>Não encontrado</v>
      </c>
      <c r="D1715" s="46" t="str" cm="1">
        <f t="array" ref="D1715">IFERROR(INDEX(#REF!,MATCH(TRUE,ISNUMBER(FIND(SUBSTITUTE(SUBSTITUTE(UPPER(#REF!)," ",""),":",": "),SUBSTITUTE(SUBSTITUTE(UPPER(S1715)," ",""),":",": "))),0)),"Não encontrado")</f>
        <v>Não encontrado</v>
      </c>
      <c r="E1715" s="42" t="str" cm="1">
        <f t="array" ref="E1715">IFERROR(INDEX({"IMPEDITIVO"},MATCH(TRUE,ISNUMBER(FIND(SUBSTITUTE(SUBSTITUTE(UPPER({"IMPEDITIVO"})," ",""),":",": "),SUBSTITUTE(SUBSTITUTE(UPPER(S1715)," ",""),":",": "))),0)),"-")</f>
        <v>-</v>
      </c>
      <c r="K1715" s="49"/>
    </row>
    <row r="1716" spans="1:11" x14ac:dyDescent="0.25">
      <c r="A1716" s="46" t="str" cm="1">
        <f t="array" ref="A1716">IFERROR(INDEX(#REF!,MATCH(TRUE,ISNUMBER(FIND(SUBSTITUTE(SUBSTITUTE(UPPER(#REF!)," ",""),":",": "),SUBSTITUTE(SUBSTITUTE(UPPER(S1716)," ",""),":",": "))),0)),"Undefined")</f>
        <v>Undefined</v>
      </c>
      <c r="B1716" s="42" t="str" cm="1">
        <f t="array" ref="B1716">IFERROR(INDEX({"URGENTE"},MATCH(TRUE,ISNUMBER(FIND(SUBSTITUTE(SUBSTITUTE(UPPER({"URGENTE"})," ",""),":",": "),SUBSTITUTE(SUBSTITUTE(UPPER(S1716)," ",""),":",": "))),0)),"-")</f>
        <v>-</v>
      </c>
      <c r="C1716" s="46" t="str" cm="1">
        <f t="array" ref="C1716">IFERROR(INDEX(#REF!,MATCH(TRUE,ISNUMBER(FIND(SUBSTITUTE(SUBSTITUTE(UPPER(#REF!)," ",""),":",": "),SUBSTITUTE(SUBSTITUTE(UPPER(S1716)," ",""),":",": "))),0)),"Não encontrado")</f>
        <v>Não encontrado</v>
      </c>
      <c r="D1716" s="46" t="str" cm="1">
        <f t="array" ref="D1716">IFERROR(INDEX(#REF!,MATCH(TRUE,ISNUMBER(FIND(SUBSTITUTE(SUBSTITUTE(UPPER(#REF!)," ",""),":",": "),SUBSTITUTE(SUBSTITUTE(UPPER(S1716)," ",""),":",": "))),0)),"Não encontrado")</f>
        <v>Não encontrado</v>
      </c>
      <c r="E1716" s="42" t="str" cm="1">
        <f t="array" ref="E1716">IFERROR(INDEX({"IMPEDITIVO"},MATCH(TRUE,ISNUMBER(FIND(SUBSTITUTE(SUBSTITUTE(UPPER({"IMPEDITIVO"})," ",""),":",": "),SUBSTITUTE(SUBSTITUTE(UPPER(S1716)," ",""),":",": "))),0)),"-")</f>
        <v>-</v>
      </c>
      <c r="K1716" s="49"/>
    </row>
    <row r="1717" spans="1:11" x14ac:dyDescent="0.25">
      <c r="A1717" s="46" t="str" cm="1">
        <f t="array" ref="A1717">IFERROR(INDEX(#REF!,MATCH(TRUE,ISNUMBER(FIND(SUBSTITUTE(SUBSTITUTE(UPPER(#REF!)," ",""),":",": "),SUBSTITUTE(SUBSTITUTE(UPPER(S1717)," ",""),":",": "))),0)),"Undefined")</f>
        <v>Undefined</v>
      </c>
      <c r="B1717" s="42" t="str" cm="1">
        <f t="array" ref="B1717">IFERROR(INDEX({"URGENTE"},MATCH(TRUE,ISNUMBER(FIND(SUBSTITUTE(SUBSTITUTE(UPPER({"URGENTE"})," ",""),":",": "),SUBSTITUTE(SUBSTITUTE(UPPER(S1717)," ",""),":",": "))),0)),"-")</f>
        <v>-</v>
      </c>
      <c r="C1717" s="46" t="str" cm="1">
        <f t="array" ref="C1717">IFERROR(INDEX(#REF!,MATCH(TRUE,ISNUMBER(FIND(SUBSTITUTE(SUBSTITUTE(UPPER(#REF!)," ",""),":",": "),SUBSTITUTE(SUBSTITUTE(UPPER(S1717)," ",""),":",": "))),0)),"Não encontrado")</f>
        <v>Não encontrado</v>
      </c>
      <c r="D1717" s="46" t="str" cm="1">
        <f t="array" ref="D1717">IFERROR(INDEX(#REF!,MATCH(TRUE,ISNUMBER(FIND(SUBSTITUTE(SUBSTITUTE(UPPER(#REF!)," ",""),":",": "),SUBSTITUTE(SUBSTITUTE(UPPER(S1717)," ",""),":",": "))),0)),"Não encontrado")</f>
        <v>Não encontrado</v>
      </c>
      <c r="E1717" s="42" t="str" cm="1">
        <f t="array" ref="E1717">IFERROR(INDEX({"IMPEDITIVO"},MATCH(TRUE,ISNUMBER(FIND(SUBSTITUTE(SUBSTITUTE(UPPER({"IMPEDITIVO"})," ",""),":",": "),SUBSTITUTE(SUBSTITUTE(UPPER(S1717)," ",""),":",": "))),0)),"-")</f>
        <v>-</v>
      </c>
      <c r="K1717" s="49"/>
    </row>
    <row r="1718" spans="1:11" x14ac:dyDescent="0.25">
      <c r="A1718" s="46" t="str" cm="1">
        <f t="array" ref="A1718">IFERROR(INDEX(#REF!,MATCH(TRUE,ISNUMBER(FIND(SUBSTITUTE(SUBSTITUTE(UPPER(#REF!)," ",""),":",": "),SUBSTITUTE(SUBSTITUTE(UPPER(S1718)," ",""),":",": "))),0)),"Undefined")</f>
        <v>Undefined</v>
      </c>
      <c r="B1718" s="42" t="str" cm="1">
        <f t="array" ref="B1718">IFERROR(INDEX({"URGENTE"},MATCH(TRUE,ISNUMBER(FIND(SUBSTITUTE(SUBSTITUTE(UPPER({"URGENTE"})," ",""),":",": "),SUBSTITUTE(SUBSTITUTE(UPPER(S1718)," ",""),":",": "))),0)),"-")</f>
        <v>-</v>
      </c>
      <c r="C1718" s="46" t="str" cm="1">
        <f t="array" ref="C1718">IFERROR(INDEX(#REF!,MATCH(TRUE,ISNUMBER(FIND(SUBSTITUTE(SUBSTITUTE(UPPER(#REF!)," ",""),":",": "),SUBSTITUTE(SUBSTITUTE(UPPER(S1718)," ",""),":",": "))),0)),"Não encontrado")</f>
        <v>Não encontrado</v>
      </c>
      <c r="D1718" s="46" t="str" cm="1">
        <f t="array" ref="D1718">IFERROR(INDEX(#REF!,MATCH(TRUE,ISNUMBER(FIND(SUBSTITUTE(SUBSTITUTE(UPPER(#REF!)," ",""),":",": "),SUBSTITUTE(SUBSTITUTE(UPPER(S1718)," ",""),":",": "))),0)),"Não encontrado")</f>
        <v>Não encontrado</v>
      </c>
      <c r="E1718" s="42" t="str" cm="1">
        <f t="array" ref="E1718">IFERROR(INDEX({"IMPEDITIVO"},MATCH(TRUE,ISNUMBER(FIND(SUBSTITUTE(SUBSTITUTE(UPPER({"IMPEDITIVO"})," ",""),":",": "),SUBSTITUTE(SUBSTITUTE(UPPER(S1718)," ",""),":",": "))),0)),"-")</f>
        <v>-</v>
      </c>
      <c r="K1718" s="49"/>
    </row>
    <row r="1719" spans="1:11" x14ac:dyDescent="0.25">
      <c r="A1719" s="46" t="str" cm="1">
        <f t="array" ref="A1719">IFERROR(INDEX(#REF!,MATCH(TRUE,ISNUMBER(FIND(SUBSTITUTE(SUBSTITUTE(UPPER(#REF!)," ",""),":",": "),SUBSTITUTE(SUBSTITUTE(UPPER(S1719)," ",""),":",": "))),0)),"Undefined")</f>
        <v>Undefined</v>
      </c>
      <c r="B1719" s="42" t="str" cm="1">
        <f t="array" ref="B1719">IFERROR(INDEX({"URGENTE"},MATCH(TRUE,ISNUMBER(FIND(SUBSTITUTE(SUBSTITUTE(UPPER({"URGENTE"})," ",""),":",": "),SUBSTITUTE(SUBSTITUTE(UPPER(S1719)," ",""),":",": "))),0)),"-")</f>
        <v>-</v>
      </c>
      <c r="C1719" s="46" t="str" cm="1">
        <f t="array" ref="C1719">IFERROR(INDEX(#REF!,MATCH(TRUE,ISNUMBER(FIND(SUBSTITUTE(SUBSTITUTE(UPPER(#REF!)," ",""),":",": "),SUBSTITUTE(SUBSTITUTE(UPPER(S1719)," ",""),":",": "))),0)),"Não encontrado")</f>
        <v>Não encontrado</v>
      </c>
      <c r="D1719" s="46" t="str" cm="1">
        <f t="array" ref="D1719">IFERROR(INDEX(#REF!,MATCH(TRUE,ISNUMBER(FIND(SUBSTITUTE(SUBSTITUTE(UPPER(#REF!)," ",""),":",": "),SUBSTITUTE(SUBSTITUTE(UPPER(S1719)," ",""),":",": "))),0)),"Não encontrado")</f>
        <v>Não encontrado</v>
      </c>
      <c r="E1719" s="42" t="str" cm="1">
        <f t="array" ref="E1719">IFERROR(INDEX({"IMPEDITIVO"},MATCH(TRUE,ISNUMBER(FIND(SUBSTITUTE(SUBSTITUTE(UPPER({"IMPEDITIVO"})," ",""),":",": "),SUBSTITUTE(SUBSTITUTE(UPPER(S1719)," ",""),":",": "))),0)),"-")</f>
        <v>-</v>
      </c>
      <c r="K1719" s="49"/>
    </row>
    <row r="1720" spans="1:11" x14ac:dyDescent="0.25">
      <c r="A1720" s="46" t="str" cm="1">
        <f t="array" ref="A1720">IFERROR(INDEX(#REF!,MATCH(TRUE,ISNUMBER(FIND(SUBSTITUTE(SUBSTITUTE(UPPER(#REF!)," ",""),":",": "),SUBSTITUTE(SUBSTITUTE(UPPER(S1720)," ",""),":",": "))),0)),"Undefined")</f>
        <v>Undefined</v>
      </c>
      <c r="B1720" s="42" t="str" cm="1">
        <f t="array" ref="B1720">IFERROR(INDEX({"URGENTE"},MATCH(TRUE,ISNUMBER(FIND(SUBSTITUTE(SUBSTITUTE(UPPER({"URGENTE"})," ",""),":",": "),SUBSTITUTE(SUBSTITUTE(UPPER(S1720)," ",""),":",": "))),0)),"-")</f>
        <v>-</v>
      </c>
      <c r="C1720" s="46" t="str" cm="1">
        <f t="array" ref="C1720">IFERROR(INDEX(#REF!,MATCH(TRUE,ISNUMBER(FIND(SUBSTITUTE(SUBSTITUTE(UPPER(#REF!)," ",""),":",": "),SUBSTITUTE(SUBSTITUTE(UPPER(S1720)," ",""),":",": "))),0)),"Não encontrado")</f>
        <v>Não encontrado</v>
      </c>
      <c r="D1720" s="46" t="str" cm="1">
        <f t="array" ref="D1720">IFERROR(INDEX(#REF!,MATCH(TRUE,ISNUMBER(FIND(SUBSTITUTE(SUBSTITUTE(UPPER(#REF!)," ",""),":",": "),SUBSTITUTE(SUBSTITUTE(UPPER(S1720)," ",""),":",": "))),0)),"Não encontrado")</f>
        <v>Não encontrado</v>
      </c>
      <c r="E1720" s="42" t="str" cm="1">
        <f t="array" ref="E1720">IFERROR(INDEX({"IMPEDITIVO"},MATCH(TRUE,ISNUMBER(FIND(SUBSTITUTE(SUBSTITUTE(UPPER({"IMPEDITIVO"})," ",""),":",": "),SUBSTITUTE(SUBSTITUTE(UPPER(S1720)," ",""),":",": "))),0)),"-")</f>
        <v>-</v>
      </c>
      <c r="K1720" s="49"/>
    </row>
    <row r="1721" spans="1:11" x14ac:dyDescent="0.25">
      <c r="A1721" s="46" t="str" cm="1">
        <f t="array" ref="A1721">IFERROR(INDEX(#REF!,MATCH(TRUE,ISNUMBER(FIND(SUBSTITUTE(SUBSTITUTE(UPPER(#REF!)," ",""),":",": "),SUBSTITUTE(SUBSTITUTE(UPPER(S1721)," ",""),":",": "))),0)),"Undefined")</f>
        <v>Undefined</v>
      </c>
      <c r="B1721" s="42" t="str" cm="1">
        <f t="array" ref="B1721">IFERROR(INDEX({"URGENTE"},MATCH(TRUE,ISNUMBER(FIND(SUBSTITUTE(SUBSTITUTE(UPPER({"URGENTE"})," ",""),":",": "),SUBSTITUTE(SUBSTITUTE(UPPER(S1721)," ",""),":",": "))),0)),"-")</f>
        <v>-</v>
      </c>
      <c r="C1721" s="46" t="str" cm="1">
        <f t="array" ref="C1721">IFERROR(INDEX(#REF!,MATCH(TRUE,ISNUMBER(FIND(SUBSTITUTE(SUBSTITUTE(UPPER(#REF!)," ",""),":",": "),SUBSTITUTE(SUBSTITUTE(UPPER(S1721)," ",""),":",": "))),0)),"Não encontrado")</f>
        <v>Não encontrado</v>
      </c>
      <c r="D1721" s="46" t="str" cm="1">
        <f t="array" ref="D1721">IFERROR(INDEX(#REF!,MATCH(TRUE,ISNUMBER(FIND(SUBSTITUTE(SUBSTITUTE(UPPER(#REF!)," ",""),":",": "),SUBSTITUTE(SUBSTITUTE(UPPER(S1721)," ",""),":",": "))),0)),"Não encontrado")</f>
        <v>Não encontrado</v>
      </c>
      <c r="E1721" s="42" t="str" cm="1">
        <f t="array" ref="E1721">IFERROR(INDEX({"IMPEDITIVO"},MATCH(TRUE,ISNUMBER(FIND(SUBSTITUTE(SUBSTITUTE(UPPER({"IMPEDITIVO"})," ",""),":",": "),SUBSTITUTE(SUBSTITUTE(UPPER(S1721)," ",""),":",": "))),0)),"-")</f>
        <v>-</v>
      </c>
      <c r="K1721" s="49"/>
    </row>
    <row r="1722" spans="1:11" x14ac:dyDescent="0.25">
      <c r="A1722" s="46" t="str" cm="1">
        <f t="array" ref="A1722">IFERROR(INDEX(#REF!,MATCH(TRUE,ISNUMBER(FIND(SUBSTITUTE(SUBSTITUTE(UPPER(#REF!)," ",""),":",": "),SUBSTITUTE(SUBSTITUTE(UPPER(S1722)," ",""),":",": "))),0)),"Undefined")</f>
        <v>Undefined</v>
      </c>
      <c r="B1722" s="42" t="str" cm="1">
        <f t="array" ref="B1722">IFERROR(INDEX({"URGENTE"},MATCH(TRUE,ISNUMBER(FIND(SUBSTITUTE(SUBSTITUTE(UPPER({"URGENTE"})," ",""),":",": "),SUBSTITUTE(SUBSTITUTE(UPPER(S1722)," ",""),":",": "))),0)),"-")</f>
        <v>-</v>
      </c>
      <c r="C1722" s="46" t="str" cm="1">
        <f t="array" ref="C1722">IFERROR(INDEX(#REF!,MATCH(TRUE,ISNUMBER(FIND(SUBSTITUTE(SUBSTITUTE(UPPER(#REF!)," ",""),":",": "),SUBSTITUTE(SUBSTITUTE(UPPER(S1722)," ",""),":",": "))),0)),"Não encontrado")</f>
        <v>Não encontrado</v>
      </c>
      <c r="D1722" s="46" t="str" cm="1">
        <f t="array" ref="D1722">IFERROR(INDEX(#REF!,MATCH(TRUE,ISNUMBER(FIND(SUBSTITUTE(SUBSTITUTE(UPPER(#REF!)," ",""),":",": "),SUBSTITUTE(SUBSTITUTE(UPPER(S1722)," ",""),":",": "))),0)),"Não encontrado")</f>
        <v>Não encontrado</v>
      </c>
      <c r="E1722" s="42" t="str" cm="1">
        <f t="array" ref="E1722">IFERROR(INDEX({"IMPEDITIVO"},MATCH(TRUE,ISNUMBER(FIND(SUBSTITUTE(SUBSTITUTE(UPPER({"IMPEDITIVO"})," ",""),":",": "),SUBSTITUTE(SUBSTITUTE(UPPER(S1722)," ",""),":",": "))),0)),"-")</f>
        <v>-</v>
      </c>
      <c r="K1722" s="49"/>
    </row>
    <row r="1723" spans="1:11" x14ac:dyDescent="0.25">
      <c r="A1723" s="46" t="str" cm="1">
        <f t="array" ref="A1723">IFERROR(INDEX(#REF!,MATCH(TRUE,ISNUMBER(FIND(SUBSTITUTE(SUBSTITUTE(UPPER(#REF!)," ",""),":",": "),SUBSTITUTE(SUBSTITUTE(UPPER(S1723)," ",""),":",": "))),0)),"Undefined")</f>
        <v>Undefined</v>
      </c>
      <c r="B1723" s="42" t="str" cm="1">
        <f t="array" ref="B1723">IFERROR(INDEX({"URGENTE"},MATCH(TRUE,ISNUMBER(FIND(SUBSTITUTE(SUBSTITUTE(UPPER({"URGENTE"})," ",""),":",": "),SUBSTITUTE(SUBSTITUTE(UPPER(S1723)," ",""),":",": "))),0)),"-")</f>
        <v>-</v>
      </c>
      <c r="C1723" s="46" t="str" cm="1">
        <f t="array" ref="C1723">IFERROR(INDEX(#REF!,MATCH(TRUE,ISNUMBER(FIND(SUBSTITUTE(SUBSTITUTE(UPPER(#REF!)," ",""),":",": "),SUBSTITUTE(SUBSTITUTE(UPPER(S1723)," ",""),":",": "))),0)),"Não encontrado")</f>
        <v>Não encontrado</v>
      </c>
      <c r="D1723" s="46" t="str" cm="1">
        <f t="array" ref="D1723">IFERROR(INDEX(#REF!,MATCH(TRUE,ISNUMBER(FIND(SUBSTITUTE(SUBSTITUTE(UPPER(#REF!)," ",""),":",": "),SUBSTITUTE(SUBSTITUTE(UPPER(S1723)," ",""),":",": "))),0)),"Não encontrado")</f>
        <v>Não encontrado</v>
      </c>
      <c r="E1723" s="42" t="str" cm="1">
        <f t="array" ref="E1723">IFERROR(INDEX({"IMPEDITIVO"},MATCH(TRUE,ISNUMBER(FIND(SUBSTITUTE(SUBSTITUTE(UPPER({"IMPEDITIVO"})," ",""),":",": "),SUBSTITUTE(SUBSTITUTE(UPPER(S1723)," ",""),":",": "))),0)),"-")</f>
        <v>-</v>
      </c>
      <c r="K1723" s="49"/>
    </row>
    <row r="1724" spans="1:11" x14ac:dyDescent="0.25">
      <c r="A1724" s="46" t="str" cm="1">
        <f t="array" ref="A1724">IFERROR(INDEX(#REF!,MATCH(TRUE,ISNUMBER(FIND(SUBSTITUTE(SUBSTITUTE(UPPER(#REF!)," ",""),":",": "),SUBSTITUTE(SUBSTITUTE(UPPER(S1724)," ",""),":",": "))),0)),"Undefined")</f>
        <v>Undefined</v>
      </c>
      <c r="B1724" s="42" t="str" cm="1">
        <f t="array" ref="B1724">IFERROR(INDEX({"URGENTE"},MATCH(TRUE,ISNUMBER(FIND(SUBSTITUTE(SUBSTITUTE(UPPER({"URGENTE"})," ",""),":",": "),SUBSTITUTE(SUBSTITUTE(UPPER(S1724)," ",""),":",": "))),0)),"-")</f>
        <v>-</v>
      </c>
      <c r="C1724" s="46" t="str" cm="1">
        <f t="array" ref="C1724">IFERROR(INDEX(#REF!,MATCH(TRUE,ISNUMBER(FIND(SUBSTITUTE(SUBSTITUTE(UPPER(#REF!)," ",""),":",": "),SUBSTITUTE(SUBSTITUTE(UPPER(S1724)," ",""),":",": "))),0)),"Não encontrado")</f>
        <v>Não encontrado</v>
      </c>
      <c r="D1724" s="46" t="str" cm="1">
        <f t="array" ref="D1724">IFERROR(INDEX(#REF!,MATCH(TRUE,ISNUMBER(FIND(SUBSTITUTE(SUBSTITUTE(UPPER(#REF!)," ",""),":",": "),SUBSTITUTE(SUBSTITUTE(UPPER(S1724)," ",""),":",": "))),0)),"Não encontrado")</f>
        <v>Não encontrado</v>
      </c>
      <c r="E1724" s="42" t="str" cm="1">
        <f t="array" ref="E1724">IFERROR(INDEX({"IMPEDITIVO"},MATCH(TRUE,ISNUMBER(FIND(SUBSTITUTE(SUBSTITUTE(UPPER({"IMPEDITIVO"})," ",""),":",": "),SUBSTITUTE(SUBSTITUTE(UPPER(S1724)," ",""),":",": "))),0)),"-")</f>
        <v>-</v>
      </c>
      <c r="K1724" s="49"/>
    </row>
    <row r="1725" spans="1:11" x14ac:dyDescent="0.25">
      <c r="A1725" s="46" t="str" cm="1">
        <f t="array" ref="A1725">IFERROR(INDEX(#REF!,MATCH(TRUE,ISNUMBER(FIND(SUBSTITUTE(SUBSTITUTE(UPPER(#REF!)," ",""),":",": "),SUBSTITUTE(SUBSTITUTE(UPPER(S1725)," ",""),":",": "))),0)),"Undefined")</f>
        <v>Undefined</v>
      </c>
      <c r="B1725" s="42" t="str" cm="1">
        <f t="array" ref="B1725">IFERROR(INDEX({"URGENTE"},MATCH(TRUE,ISNUMBER(FIND(SUBSTITUTE(SUBSTITUTE(UPPER({"URGENTE"})," ",""),":",": "),SUBSTITUTE(SUBSTITUTE(UPPER(S1725)," ",""),":",": "))),0)),"-")</f>
        <v>-</v>
      </c>
      <c r="C1725" s="46" t="str" cm="1">
        <f t="array" ref="C1725">IFERROR(INDEX(#REF!,MATCH(TRUE,ISNUMBER(FIND(SUBSTITUTE(SUBSTITUTE(UPPER(#REF!)," ",""),":",": "),SUBSTITUTE(SUBSTITUTE(UPPER(S1725)," ",""),":",": "))),0)),"Não encontrado")</f>
        <v>Não encontrado</v>
      </c>
      <c r="D1725" s="46" t="str" cm="1">
        <f t="array" ref="D1725">IFERROR(INDEX(#REF!,MATCH(TRUE,ISNUMBER(FIND(SUBSTITUTE(SUBSTITUTE(UPPER(#REF!)," ",""),":",": "),SUBSTITUTE(SUBSTITUTE(UPPER(S1725)," ",""),":",": "))),0)),"Não encontrado")</f>
        <v>Não encontrado</v>
      </c>
      <c r="E1725" s="42" t="str" cm="1">
        <f t="array" ref="E1725">IFERROR(INDEX({"IMPEDITIVO"},MATCH(TRUE,ISNUMBER(FIND(SUBSTITUTE(SUBSTITUTE(UPPER({"IMPEDITIVO"})," ",""),":",": "),SUBSTITUTE(SUBSTITUTE(UPPER(S1725)," ",""),":",": "))),0)),"-")</f>
        <v>-</v>
      </c>
      <c r="K1725" s="49"/>
    </row>
    <row r="1726" spans="1:11" x14ac:dyDescent="0.25">
      <c r="A1726" s="46" t="str" cm="1">
        <f t="array" ref="A1726">IFERROR(INDEX(#REF!,MATCH(TRUE,ISNUMBER(FIND(SUBSTITUTE(SUBSTITUTE(UPPER(#REF!)," ",""),":",": "),SUBSTITUTE(SUBSTITUTE(UPPER(S1726)," ",""),":",": "))),0)),"Undefined")</f>
        <v>Undefined</v>
      </c>
      <c r="B1726" s="42" t="str" cm="1">
        <f t="array" ref="B1726">IFERROR(INDEX({"URGENTE"},MATCH(TRUE,ISNUMBER(FIND(SUBSTITUTE(SUBSTITUTE(UPPER({"URGENTE"})," ",""),":",": "),SUBSTITUTE(SUBSTITUTE(UPPER(S1726)," ",""),":",": "))),0)),"-")</f>
        <v>-</v>
      </c>
      <c r="C1726" s="46" t="str" cm="1">
        <f t="array" ref="C1726">IFERROR(INDEX(#REF!,MATCH(TRUE,ISNUMBER(FIND(SUBSTITUTE(SUBSTITUTE(UPPER(#REF!)," ",""),":",": "),SUBSTITUTE(SUBSTITUTE(UPPER(S1726)," ",""),":",": "))),0)),"Não encontrado")</f>
        <v>Não encontrado</v>
      </c>
      <c r="D1726" s="46" t="str" cm="1">
        <f t="array" ref="D1726">IFERROR(INDEX(#REF!,MATCH(TRUE,ISNUMBER(FIND(SUBSTITUTE(SUBSTITUTE(UPPER(#REF!)," ",""),":",": "),SUBSTITUTE(SUBSTITUTE(UPPER(S1726)," ",""),":",": "))),0)),"Não encontrado")</f>
        <v>Não encontrado</v>
      </c>
      <c r="E1726" s="42" t="str" cm="1">
        <f t="array" ref="E1726">IFERROR(INDEX({"IMPEDITIVO"},MATCH(TRUE,ISNUMBER(FIND(SUBSTITUTE(SUBSTITUTE(UPPER({"IMPEDITIVO"})," ",""),":",": "),SUBSTITUTE(SUBSTITUTE(UPPER(S1726)," ",""),":",": "))),0)),"-")</f>
        <v>-</v>
      </c>
      <c r="K1726" s="49"/>
    </row>
    <row r="1727" spans="1:11" x14ac:dyDescent="0.25">
      <c r="A1727" s="46" t="str" cm="1">
        <f t="array" ref="A1727">IFERROR(INDEX(#REF!,MATCH(TRUE,ISNUMBER(FIND(SUBSTITUTE(SUBSTITUTE(UPPER(#REF!)," ",""),":",": "),SUBSTITUTE(SUBSTITUTE(UPPER(S1727)," ",""),":",": "))),0)),"Undefined")</f>
        <v>Undefined</v>
      </c>
      <c r="B1727" s="42" t="str" cm="1">
        <f t="array" ref="B1727">IFERROR(INDEX({"URGENTE"},MATCH(TRUE,ISNUMBER(FIND(SUBSTITUTE(SUBSTITUTE(UPPER({"URGENTE"})," ",""),":",": "),SUBSTITUTE(SUBSTITUTE(UPPER(S1727)," ",""),":",": "))),0)),"-")</f>
        <v>-</v>
      </c>
      <c r="C1727" s="46" t="str" cm="1">
        <f t="array" ref="C1727">IFERROR(INDEX(#REF!,MATCH(TRUE,ISNUMBER(FIND(SUBSTITUTE(SUBSTITUTE(UPPER(#REF!)," ",""),":",": "),SUBSTITUTE(SUBSTITUTE(UPPER(S1727)," ",""),":",": "))),0)),"Não encontrado")</f>
        <v>Não encontrado</v>
      </c>
      <c r="D1727" s="46" t="str" cm="1">
        <f t="array" ref="D1727">IFERROR(INDEX(#REF!,MATCH(TRUE,ISNUMBER(FIND(SUBSTITUTE(SUBSTITUTE(UPPER(#REF!)," ",""),":",": "),SUBSTITUTE(SUBSTITUTE(UPPER(S1727)," ",""),":",": "))),0)),"Não encontrado")</f>
        <v>Não encontrado</v>
      </c>
      <c r="E1727" s="42" t="str" cm="1">
        <f t="array" ref="E1727">IFERROR(INDEX({"IMPEDITIVO"},MATCH(TRUE,ISNUMBER(FIND(SUBSTITUTE(SUBSTITUTE(UPPER({"IMPEDITIVO"})," ",""),":",": "),SUBSTITUTE(SUBSTITUTE(UPPER(S1727)," ",""),":",": "))),0)),"-")</f>
        <v>-</v>
      </c>
      <c r="K1727" s="49"/>
    </row>
    <row r="1728" spans="1:11" x14ac:dyDescent="0.25">
      <c r="A1728" s="46" t="str" cm="1">
        <f t="array" ref="A1728">IFERROR(INDEX(#REF!,MATCH(TRUE,ISNUMBER(FIND(SUBSTITUTE(SUBSTITUTE(UPPER(#REF!)," ",""),":",": "),SUBSTITUTE(SUBSTITUTE(UPPER(S1728)," ",""),":",": "))),0)),"Undefined")</f>
        <v>Undefined</v>
      </c>
      <c r="B1728" s="42" t="str" cm="1">
        <f t="array" ref="B1728">IFERROR(INDEX({"URGENTE"},MATCH(TRUE,ISNUMBER(FIND(SUBSTITUTE(SUBSTITUTE(UPPER({"URGENTE"})," ",""),":",": "),SUBSTITUTE(SUBSTITUTE(UPPER(S1728)," ",""),":",": "))),0)),"-")</f>
        <v>-</v>
      </c>
      <c r="C1728" s="46" t="str" cm="1">
        <f t="array" ref="C1728">IFERROR(INDEX(#REF!,MATCH(TRUE,ISNUMBER(FIND(SUBSTITUTE(SUBSTITUTE(UPPER(#REF!)," ",""),":",": "),SUBSTITUTE(SUBSTITUTE(UPPER(S1728)," ",""),":",": "))),0)),"Não encontrado")</f>
        <v>Não encontrado</v>
      </c>
      <c r="D1728" s="46" t="str" cm="1">
        <f t="array" ref="D1728">IFERROR(INDEX(#REF!,MATCH(TRUE,ISNUMBER(FIND(SUBSTITUTE(SUBSTITUTE(UPPER(#REF!)," ",""),":",": "),SUBSTITUTE(SUBSTITUTE(UPPER(S1728)," ",""),":",": "))),0)),"Não encontrado")</f>
        <v>Não encontrado</v>
      </c>
      <c r="E1728" s="42" t="str" cm="1">
        <f t="array" ref="E1728">IFERROR(INDEX({"IMPEDITIVO"},MATCH(TRUE,ISNUMBER(FIND(SUBSTITUTE(SUBSTITUTE(UPPER({"IMPEDITIVO"})," ",""),":",": "),SUBSTITUTE(SUBSTITUTE(UPPER(S1728)," ",""),":",": "))),0)),"-")</f>
        <v>-</v>
      </c>
      <c r="K1728" s="49"/>
    </row>
    <row r="1729" spans="1:11" x14ac:dyDescent="0.25">
      <c r="A1729" s="46" t="str" cm="1">
        <f t="array" ref="A1729">IFERROR(INDEX(#REF!,MATCH(TRUE,ISNUMBER(FIND(SUBSTITUTE(SUBSTITUTE(UPPER(#REF!)," ",""),":",": "),SUBSTITUTE(SUBSTITUTE(UPPER(S1729)," ",""),":",": "))),0)),"Undefined")</f>
        <v>Undefined</v>
      </c>
      <c r="B1729" s="42" t="str" cm="1">
        <f t="array" ref="B1729">IFERROR(INDEX({"URGENTE"},MATCH(TRUE,ISNUMBER(FIND(SUBSTITUTE(SUBSTITUTE(UPPER({"URGENTE"})," ",""),":",": "),SUBSTITUTE(SUBSTITUTE(UPPER(S1729)," ",""),":",": "))),0)),"-")</f>
        <v>-</v>
      </c>
      <c r="C1729" s="46" t="str" cm="1">
        <f t="array" ref="C1729">IFERROR(INDEX(#REF!,MATCH(TRUE,ISNUMBER(FIND(SUBSTITUTE(SUBSTITUTE(UPPER(#REF!)," ",""),":",": "),SUBSTITUTE(SUBSTITUTE(UPPER(S1729)," ",""),":",": "))),0)),"Não encontrado")</f>
        <v>Não encontrado</v>
      </c>
      <c r="D1729" s="46" t="str" cm="1">
        <f t="array" ref="D1729">IFERROR(INDEX(#REF!,MATCH(TRUE,ISNUMBER(FIND(SUBSTITUTE(SUBSTITUTE(UPPER(#REF!)," ",""),":",": "),SUBSTITUTE(SUBSTITUTE(UPPER(S1729)," ",""),":",": "))),0)),"Não encontrado")</f>
        <v>Não encontrado</v>
      </c>
      <c r="E1729" s="42" t="str" cm="1">
        <f t="array" ref="E1729">IFERROR(INDEX({"IMPEDITIVO"},MATCH(TRUE,ISNUMBER(FIND(SUBSTITUTE(SUBSTITUTE(UPPER({"IMPEDITIVO"})," ",""),":",": "),SUBSTITUTE(SUBSTITUTE(UPPER(S1729)," ",""),":",": "))),0)),"-")</f>
        <v>-</v>
      </c>
      <c r="K1729" s="49"/>
    </row>
    <row r="1730" spans="1:11" x14ac:dyDescent="0.25">
      <c r="A1730" s="46" t="str" cm="1">
        <f t="array" ref="A1730">IFERROR(INDEX(#REF!,MATCH(TRUE,ISNUMBER(FIND(SUBSTITUTE(SUBSTITUTE(UPPER(#REF!)," ",""),":",": "),SUBSTITUTE(SUBSTITUTE(UPPER(S1730)," ",""),":",": "))),0)),"Undefined")</f>
        <v>Undefined</v>
      </c>
      <c r="B1730" s="42" t="str" cm="1">
        <f t="array" ref="B1730">IFERROR(INDEX({"URGENTE"},MATCH(TRUE,ISNUMBER(FIND(SUBSTITUTE(SUBSTITUTE(UPPER({"URGENTE"})," ",""),":",": "),SUBSTITUTE(SUBSTITUTE(UPPER(S1730)," ",""),":",": "))),0)),"-")</f>
        <v>-</v>
      </c>
      <c r="C1730" s="46" t="str" cm="1">
        <f t="array" ref="C1730">IFERROR(INDEX(#REF!,MATCH(TRUE,ISNUMBER(FIND(SUBSTITUTE(SUBSTITUTE(UPPER(#REF!)," ",""),":",": "),SUBSTITUTE(SUBSTITUTE(UPPER(S1730)," ",""),":",": "))),0)),"Não encontrado")</f>
        <v>Não encontrado</v>
      </c>
      <c r="D1730" s="46" t="str" cm="1">
        <f t="array" ref="D1730">IFERROR(INDEX(#REF!,MATCH(TRUE,ISNUMBER(FIND(SUBSTITUTE(SUBSTITUTE(UPPER(#REF!)," ",""),":",": "),SUBSTITUTE(SUBSTITUTE(UPPER(S1730)," ",""),":",": "))),0)),"Não encontrado")</f>
        <v>Não encontrado</v>
      </c>
      <c r="E1730" s="42" t="str" cm="1">
        <f t="array" ref="E1730">IFERROR(INDEX({"IMPEDITIVO"},MATCH(TRUE,ISNUMBER(FIND(SUBSTITUTE(SUBSTITUTE(UPPER({"IMPEDITIVO"})," ",""),":",": "),SUBSTITUTE(SUBSTITUTE(UPPER(S1730)," ",""),":",": "))),0)),"-")</f>
        <v>-</v>
      </c>
      <c r="K1730" s="49"/>
    </row>
    <row r="1731" spans="1:11" x14ac:dyDescent="0.25">
      <c r="A1731" s="46" t="str" cm="1">
        <f t="array" ref="A1731">IFERROR(INDEX(#REF!,MATCH(TRUE,ISNUMBER(FIND(SUBSTITUTE(SUBSTITUTE(UPPER(#REF!)," ",""),":",": "),SUBSTITUTE(SUBSTITUTE(UPPER(S1731)," ",""),":",": "))),0)),"Undefined")</f>
        <v>Undefined</v>
      </c>
      <c r="B1731" s="42" t="str" cm="1">
        <f t="array" ref="B1731">IFERROR(INDEX({"URGENTE"},MATCH(TRUE,ISNUMBER(FIND(SUBSTITUTE(SUBSTITUTE(UPPER({"URGENTE"})," ",""),":",": "),SUBSTITUTE(SUBSTITUTE(UPPER(S1731)," ",""),":",": "))),0)),"-")</f>
        <v>-</v>
      </c>
      <c r="C1731" s="46" t="str" cm="1">
        <f t="array" ref="C1731">IFERROR(INDEX(#REF!,MATCH(TRUE,ISNUMBER(FIND(SUBSTITUTE(SUBSTITUTE(UPPER(#REF!)," ",""),":",": "),SUBSTITUTE(SUBSTITUTE(UPPER(S1731)," ",""),":",": "))),0)),"Não encontrado")</f>
        <v>Não encontrado</v>
      </c>
      <c r="D1731" s="46" t="str" cm="1">
        <f t="array" ref="D1731">IFERROR(INDEX(#REF!,MATCH(TRUE,ISNUMBER(FIND(SUBSTITUTE(SUBSTITUTE(UPPER(#REF!)," ",""),":",": "),SUBSTITUTE(SUBSTITUTE(UPPER(S1731)," ",""),":",": "))),0)),"Não encontrado")</f>
        <v>Não encontrado</v>
      </c>
      <c r="E1731" s="42" t="str" cm="1">
        <f t="array" ref="E1731">IFERROR(INDEX({"IMPEDITIVO"},MATCH(TRUE,ISNUMBER(FIND(SUBSTITUTE(SUBSTITUTE(UPPER({"IMPEDITIVO"})," ",""),":",": "),SUBSTITUTE(SUBSTITUTE(UPPER(S1731)," ",""),":",": "))),0)),"-")</f>
        <v>-</v>
      </c>
      <c r="K1731" s="49"/>
    </row>
    <row r="1732" spans="1:11" x14ac:dyDescent="0.25">
      <c r="A1732" s="46" t="str" cm="1">
        <f t="array" ref="A1732">IFERROR(INDEX(#REF!,MATCH(TRUE,ISNUMBER(FIND(SUBSTITUTE(SUBSTITUTE(UPPER(#REF!)," ",""),":",": "),SUBSTITUTE(SUBSTITUTE(UPPER(S1732)," ",""),":",": "))),0)),"Undefined")</f>
        <v>Undefined</v>
      </c>
      <c r="B1732" s="42" t="str" cm="1">
        <f t="array" ref="B1732">IFERROR(INDEX({"URGENTE"},MATCH(TRUE,ISNUMBER(FIND(SUBSTITUTE(SUBSTITUTE(UPPER({"URGENTE"})," ",""),":",": "),SUBSTITUTE(SUBSTITUTE(UPPER(S1732)," ",""),":",": "))),0)),"-")</f>
        <v>-</v>
      </c>
      <c r="C1732" s="46" t="str" cm="1">
        <f t="array" ref="C1732">IFERROR(INDEX(#REF!,MATCH(TRUE,ISNUMBER(FIND(SUBSTITUTE(SUBSTITUTE(UPPER(#REF!)," ",""),":",": "),SUBSTITUTE(SUBSTITUTE(UPPER(S1732)," ",""),":",": "))),0)),"Não encontrado")</f>
        <v>Não encontrado</v>
      </c>
      <c r="D1732" s="46" t="str" cm="1">
        <f t="array" ref="D1732">IFERROR(INDEX(#REF!,MATCH(TRUE,ISNUMBER(FIND(SUBSTITUTE(SUBSTITUTE(UPPER(#REF!)," ",""),":",": "),SUBSTITUTE(SUBSTITUTE(UPPER(S1732)," ",""),":",": "))),0)),"Não encontrado")</f>
        <v>Não encontrado</v>
      </c>
      <c r="E1732" s="42" t="str" cm="1">
        <f t="array" ref="E1732">IFERROR(INDEX({"IMPEDITIVO"},MATCH(TRUE,ISNUMBER(FIND(SUBSTITUTE(SUBSTITUTE(UPPER({"IMPEDITIVO"})," ",""),":",": "),SUBSTITUTE(SUBSTITUTE(UPPER(S1732)," ",""),":",": "))),0)),"-")</f>
        <v>-</v>
      </c>
      <c r="K1732" s="49"/>
    </row>
    <row r="1733" spans="1:11" x14ac:dyDescent="0.25">
      <c r="A1733" s="46" t="str" cm="1">
        <f t="array" ref="A1733">IFERROR(INDEX(#REF!,MATCH(TRUE,ISNUMBER(FIND(SUBSTITUTE(SUBSTITUTE(UPPER(#REF!)," ",""),":",": "),SUBSTITUTE(SUBSTITUTE(UPPER(S1733)," ",""),":",": "))),0)),"Undefined")</f>
        <v>Undefined</v>
      </c>
      <c r="B1733" s="42" t="str" cm="1">
        <f t="array" ref="B1733">IFERROR(INDEX({"URGENTE"},MATCH(TRUE,ISNUMBER(FIND(SUBSTITUTE(SUBSTITUTE(UPPER({"URGENTE"})," ",""),":",": "),SUBSTITUTE(SUBSTITUTE(UPPER(S1733)," ",""),":",": "))),0)),"-")</f>
        <v>-</v>
      </c>
      <c r="C1733" s="46" t="str" cm="1">
        <f t="array" ref="C1733">IFERROR(INDEX(#REF!,MATCH(TRUE,ISNUMBER(FIND(SUBSTITUTE(SUBSTITUTE(UPPER(#REF!)," ",""),":",": "),SUBSTITUTE(SUBSTITUTE(UPPER(S1733)," ",""),":",": "))),0)),"Não encontrado")</f>
        <v>Não encontrado</v>
      </c>
      <c r="D1733" s="46" t="str" cm="1">
        <f t="array" ref="D1733">IFERROR(INDEX(#REF!,MATCH(TRUE,ISNUMBER(FIND(SUBSTITUTE(SUBSTITUTE(UPPER(#REF!)," ",""),":",": "),SUBSTITUTE(SUBSTITUTE(UPPER(S1733)," ",""),":",": "))),0)),"Não encontrado")</f>
        <v>Não encontrado</v>
      </c>
      <c r="E1733" s="42" t="str" cm="1">
        <f t="array" ref="E1733">IFERROR(INDEX({"IMPEDITIVO"},MATCH(TRUE,ISNUMBER(FIND(SUBSTITUTE(SUBSTITUTE(UPPER({"IMPEDITIVO"})," ",""),":",": "),SUBSTITUTE(SUBSTITUTE(UPPER(S1733)," ",""),":",": "))),0)),"-")</f>
        <v>-</v>
      </c>
      <c r="K1733" s="49"/>
    </row>
    <row r="1734" spans="1:11" x14ac:dyDescent="0.25">
      <c r="A1734" s="46" t="str" cm="1">
        <f t="array" ref="A1734">IFERROR(INDEX(#REF!,MATCH(TRUE,ISNUMBER(FIND(SUBSTITUTE(SUBSTITUTE(UPPER(#REF!)," ",""),":",": "),SUBSTITUTE(SUBSTITUTE(UPPER(S1734)," ",""),":",": "))),0)),"Undefined")</f>
        <v>Undefined</v>
      </c>
      <c r="B1734" s="42" t="str" cm="1">
        <f t="array" ref="B1734">IFERROR(INDEX({"URGENTE"},MATCH(TRUE,ISNUMBER(FIND(SUBSTITUTE(SUBSTITUTE(UPPER({"URGENTE"})," ",""),":",": "),SUBSTITUTE(SUBSTITUTE(UPPER(S1734)," ",""),":",": "))),0)),"-")</f>
        <v>-</v>
      </c>
      <c r="C1734" s="46" t="str" cm="1">
        <f t="array" ref="C1734">IFERROR(INDEX(#REF!,MATCH(TRUE,ISNUMBER(FIND(SUBSTITUTE(SUBSTITUTE(UPPER(#REF!)," ",""),":",": "),SUBSTITUTE(SUBSTITUTE(UPPER(S1734)," ",""),":",": "))),0)),"Não encontrado")</f>
        <v>Não encontrado</v>
      </c>
      <c r="D1734" s="46" t="str" cm="1">
        <f t="array" ref="D1734">IFERROR(INDEX(#REF!,MATCH(TRUE,ISNUMBER(FIND(SUBSTITUTE(SUBSTITUTE(UPPER(#REF!)," ",""),":",": "),SUBSTITUTE(SUBSTITUTE(UPPER(S1734)," ",""),":",": "))),0)),"Não encontrado")</f>
        <v>Não encontrado</v>
      </c>
      <c r="E1734" s="42" t="str" cm="1">
        <f t="array" ref="E1734">IFERROR(INDEX({"IMPEDITIVO"},MATCH(TRUE,ISNUMBER(FIND(SUBSTITUTE(SUBSTITUTE(UPPER({"IMPEDITIVO"})," ",""),":",": "),SUBSTITUTE(SUBSTITUTE(UPPER(S1734)," ",""),":",": "))),0)),"-")</f>
        <v>-</v>
      </c>
      <c r="K1734" s="49"/>
    </row>
    <row r="1735" spans="1:11" x14ac:dyDescent="0.25">
      <c r="A1735" s="46" t="str" cm="1">
        <f t="array" ref="A1735">IFERROR(INDEX(#REF!,MATCH(TRUE,ISNUMBER(FIND(SUBSTITUTE(SUBSTITUTE(UPPER(#REF!)," ",""),":",": "),SUBSTITUTE(SUBSTITUTE(UPPER(S1735)," ",""),":",": "))),0)),"Undefined")</f>
        <v>Undefined</v>
      </c>
      <c r="B1735" s="42" t="str" cm="1">
        <f t="array" ref="B1735">IFERROR(INDEX({"URGENTE"},MATCH(TRUE,ISNUMBER(FIND(SUBSTITUTE(SUBSTITUTE(UPPER({"URGENTE"})," ",""),":",": "),SUBSTITUTE(SUBSTITUTE(UPPER(S1735)," ",""),":",": "))),0)),"-")</f>
        <v>-</v>
      </c>
      <c r="C1735" s="46" t="str" cm="1">
        <f t="array" ref="C1735">IFERROR(INDEX(#REF!,MATCH(TRUE,ISNUMBER(FIND(SUBSTITUTE(SUBSTITUTE(UPPER(#REF!)," ",""),":",": "),SUBSTITUTE(SUBSTITUTE(UPPER(S1735)," ",""),":",": "))),0)),"Não encontrado")</f>
        <v>Não encontrado</v>
      </c>
      <c r="D1735" s="46" t="str" cm="1">
        <f t="array" ref="D1735">IFERROR(INDEX(#REF!,MATCH(TRUE,ISNUMBER(FIND(SUBSTITUTE(SUBSTITUTE(UPPER(#REF!)," ",""),":",": "),SUBSTITUTE(SUBSTITUTE(UPPER(S1735)," ",""),":",": "))),0)),"Não encontrado")</f>
        <v>Não encontrado</v>
      </c>
      <c r="E1735" s="42" t="str" cm="1">
        <f t="array" ref="E1735">IFERROR(INDEX({"IMPEDITIVO"},MATCH(TRUE,ISNUMBER(FIND(SUBSTITUTE(SUBSTITUTE(UPPER({"IMPEDITIVO"})," ",""),":",": "),SUBSTITUTE(SUBSTITUTE(UPPER(S1735)," ",""),":",": "))),0)),"-")</f>
        <v>-</v>
      </c>
      <c r="K1735" s="49"/>
    </row>
    <row r="1736" spans="1:11" x14ac:dyDescent="0.25">
      <c r="A1736" s="46" t="str" cm="1">
        <f t="array" ref="A1736">IFERROR(INDEX(#REF!,MATCH(TRUE,ISNUMBER(FIND(SUBSTITUTE(SUBSTITUTE(UPPER(#REF!)," ",""),":",": "),SUBSTITUTE(SUBSTITUTE(UPPER(S1736)," ",""),":",": "))),0)),"Undefined")</f>
        <v>Undefined</v>
      </c>
      <c r="B1736" s="42" t="str" cm="1">
        <f t="array" ref="B1736">IFERROR(INDEX({"URGENTE"},MATCH(TRUE,ISNUMBER(FIND(SUBSTITUTE(SUBSTITUTE(UPPER({"URGENTE"})," ",""),":",": "),SUBSTITUTE(SUBSTITUTE(UPPER(S1736)," ",""),":",": "))),0)),"-")</f>
        <v>-</v>
      </c>
      <c r="C1736" s="46" t="str" cm="1">
        <f t="array" ref="C1736">IFERROR(INDEX(#REF!,MATCH(TRUE,ISNUMBER(FIND(SUBSTITUTE(SUBSTITUTE(UPPER(#REF!)," ",""),":",": "),SUBSTITUTE(SUBSTITUTE(UPPER(S1736)," ",""),":",": "))),0)),"Não encontrado")</f>
        <v>Não encontrado</v>
      </c>
      <c r="D1736" s="46" t="str" cm="1">
        <f t="array" ref="D1736">IFERROR(INDEX(#REF!,MATCH(TRUE,ISNUMBER(FIND(SUBSTITUTE(SUBSTITUTE(UPPER(#REF!)," ",""),":",": "),SUBSTITUTE(SUBSTITUTE(UPPER(S1736)," ",""),":",": "))),0)),"Não encontrado")</f>
        <v>Não encontrado</v>
      </c>
      <c r="E1736" s="42" t="str" cm="1">
        <f t="array" ref="E1736">IFERROR(INDEX({"IMPEDITIVO"},MATCH(TRUE,ISNUMBER(FIND(SUBSTITUTE(SUBSTITUTE(UPPER({"IMPEDITIVO"})," ",""),":",": "),SUBSTITUTE(SUBSTITUTE(UPPER(S1736)," ",""),":",": "))),0)),"-")</f>
        <v>-</v>
      </c>
      <c r="K1736" s="49"/>
    </row>
    <row r="1737" spans="1:11" x14ac:dyDescent="0.25">
      <c r="A1737" s="46" t="str" cm="1">
        <f t="array" ref="A1737">IFERROR(INDEX(#REF!,MATCH(TRUE,ISNUMBER(FIND(SUBSTITUTE(SUBSTITUTE(UPPER(#REF!)," ",""),":",": "),SUBSTITUTE(SUBSTITUTE(UPPER(S1737)," ",""),":",": "))),0)),"Undefined")</f>
        <v>Undefined</v>
      </c>
      <c r="B1737" s="42" t="str" cm="1">
        <f t="array" ref="B1737">IFERROR(INDEX({"URGENTE"},MATCH(TRUE,ISNUMBER(FIND(SUBSTITUTE(SUBSTITUTE(UPPER({"URGENTE"})," ",""),":",": "),SUBSTITUTE(SUBSTITUTE(UPPER(S1737)," ",""),":",": "))),0)),"-")</f>
        <v>-</v>
      </c>
      <c r="C1737" s="46" t="str" cm="1">
        <f t="array" ref="C1737">IFERROR(INDEX(#REF!,MATCH(TRUE,ISNUMBER(FIND(SUBSTITUTE(SUBSTITUTE(UPPER(#REF!)," ",""),":",": "),SUBSTITUTE(SUBSTITUTE(UPPER(S1737)," ",""),":",": "))),0)),"Não encontrado")</f>
        <v>Não encontrado</v>
      </c>
      <c r="D1737" s="46" t="str" cm="1">
        <f t="array" ref="D1737">IFERROR(INDEX(#REF!,MATCH(TRUE,ISNUMBER(FIND(SUBSTITUTE(SUBSTITUTE(UPPER(#REF!)," ",""),":",": "),SUBSTITUTE(SUBSTITUTE(UPPER(S1737)," ",""),":",": "))),0)),"Não encontrado")</f>
        <v>Não encontrado</v>
      </c>
      <c r="E1737" s="42" t="str" cm="1">
        <f t="array" ref="E1737">IFERROR(INDEX({"IMPEDITIVO"},MATCH(TRUE,ISNUMBER(FIND(SUBSTITUTE(SUBSTITUTE(UPPER({"IMPEDITIVO"})," ",""),":",": "),SUBSTITUTE(SUBSTITUTE(UPPER(S1737)," ",""),":",": "))),0)),"-")</f>
        <v>-</v>
      </c>
      <c r="K1737" s="49"/>
    </row>
    <row r="1738" spans="1:11" x14ac:dyDescent="0.25">
      <c r="A1738" s="46" t="str" cm="1">
        <f t="array" ref="A1738">IFERROR(INDEX(#REF!,MATCH(TRUE,ISNUMBER(FIND(SUBSTITUTE(SUBSTITUTE(UPPER(#REF!)," ",""),":",": "),SUBSTITUTE(SUBSTITUTE(UPPER(S1738)," ",""),":",": "))),0)),"Undefined")</f>
        <v>Undefined</v>
      </c>
      <c r="B1738" s="42" t="str" cm="1">
        <f t="array" ref="B1738">IFERROR(INDEX({"URGENTE"},MATCH(TRUE,ISNUMBER(FIND(SUBSTITUTE(SUBSTITUTE(UPPER({"URGENTE"})," ",""),":",": "),SUBSTITUTE(SUBSTITUTE(UPPER(S1738)," ",""),":",": "))),0)),"-")</f>
        <v>-</v>
      </c>
      <c r="C1738" s="46" t="str" cm="1">
        <f t="array" ref="C1738">IFERROR(INDEX(#REF!,MATCH(TRUE,ISNUMBER(FIND(SUBSTITUTE(SUBSTITUTE(UPPER(#REF!)," ",""),":",": "),SUBSTITUTE(SUBSTITUTE(UPPER(S1738)," ",""),":",": "))),0)),"Não encontrado")</f>
        <v>Não encontrado</v>
      </c>
      <c r="D1738" s="46" t="str" cm="1">
        <f t="array" ref="D1738">IFERROR(INDEX(#REF!,MATCH(TRUE,ISNUMBER(FIND(SUBSTITUTE(SUBSTITUTE(UPPER(#REF!)," ",""),":",": "),SUBSTITUTE(SUBSTITUTE(UPPER(S1738)," ",""),":",": "))),0)),"Não encontrado")</f>
        <v>Não encontrado</v>
      </c>
      <c r="E1738" s="42" t="str" cm="1">
        <f t="array" ref="E1738">IFERROR(INDEX({"IMPEDITIVO"},MATCH(TRUE,ISNUMBER(FIND(SUBSTITUTE(SUBSTITUTE(UPPER({"IMPEDITIVO"})," ",""),":",": "),SUBSTITUTE(SUBSTITUTE(UPPER(S1738)," ",""),":",": "))),0)),"-")</f>
        <v>-</v>
      </c>
      <c r="K1738" s="49"/>
    </row>
    <row r="1739" spans="1:11" x14ac:dyDescent="0.25">
      <c r="A1739" s="46" t="str" cm="1">
        <f t="array" ref="A1739">IFERROR(INDEX(#REF!,MATCH(TRUE,ISNUMBER(FIND(SUBSTITUTE(SUBSTITUTE(UPPER(#REF!)," ",""),":",": "),SUBSTITUTE(SUBSTITUTE(UPPER(S1739)," ",""),":",": "))),0)),"Undefined")</f>
        <v>Undefined</v>
      </c>
      <c r="B1739" s="42" t="str" cm="1">
        <f t="array" ref="B1739">IFERROR(INDEX({"URGENTE"},MATCH(TRUE,ISNUMBER(FIND(SUBSTITUTE(SUBSTITUTE(UPPER({"URGENTE"})," ",""),":",": "),SUBSTITUTE(SUBSTITUTE(UPPER(S1739)," ",""),":",": "))),0)),"-")</f>
        <v>-</v>
      </c>
      <c r="C1739" s="46" t="str" cm="1">
        <f t="array" ref="C1739">IFERROR(INDEX(#REF!,MATCH(TRUE,ISNUMBER(FIND(SUBSTITUTE(SUBSTITUTE(UPPER(#REF!)," ",""),":",": "),SUBSTITUTE(SUBSTITUTE(UPPER(S1739)," ",""),":",": "))),0)),"Não encontrado")</f>
        <v>Não encontrado</v>
      </c>
      <c r="D1739" s="46" t="str" cm="1">
        <f t="array" ref="D1739">IFERROR(INDEX(#REF!,MATCH(TRUE,ISNUMBER(FIND(SUBSTITUTE(SUBSTITUTE(UPPER(#REF!)," ",""),":",": "),SUBSTITUTE(SUBSTITUTE(UPPER(S1739)," ",""),":",": "))),0)),"Não encontrado")</f>
        <v>Não encontrado</v>
      </c>
      <c r="E1739" s="42" t="str" cm="1">
        <f t="array" ref="E1739">IFERROR(INDEX({"IMPEDITIVO"},MATCH(TRUE,ISNUMBER(FIND(SUBSTITUTE(SUBSTITUTE(UPPER({"IMPEDITIVO"})," ",""),":",": "),SUBSTITUTE(SUBSTITUTE(UPPER(S1739)," ",""),":",": "))),0)),"-")</f>
        <v>-</v>
      </c>
      <c r="K1739" s="49"/>
    </row>
    <row r="1740" spans="1:11" x14ac:dyDescent="0.25">
      <c r="A1740" s="46" t="str" cm="1">
        <f t="array" ref="A1740">IFERROR(INDEX(#REF!,MATCH(TRUE,ISNUMBER(FIND(SUBSTITUTE(SUBSTITUTE(UPPER(#REF!)," ",""),":",": "),SUBSTITUTE(SUBSTITUTE(UPPER(S1740)," ",""),":",": "))),0)),"Undefined")</f>
        <v>Undefined</v>
      </c>
      <c r="B1740" s="42" t="str" cm="1">
        <f t="array" ref="B1740">IFERROR(INDEX({"URGENTE"},MATCH(TRUE,ISNUMBER(FIND(SUBSTITUTE(SUBSTITUTE(UPPER({"URGENTE"})," ",""),":",": "),SUBSTITUTE(SUBSTITUTE(UPPER(S1740)," ",""),":",": "))),0)),"-")</f>
        <v>-</v>
      </c>
      <c r="C1740" s="46" t="str" cm="1">
        <f t="array" ref="C1740">IFERROR(INDEX(#REF!,MATCH(TRUE,ISNUMBER(FIND(SUBSTITUTE(SUBSTITUTE(UPPER(#REF!)," ",""),":",": "),SUBSTITUTE(SUBSTITUTE(UPPER(S1740)," ",""),":",": "))),0)),"Não encontrado")</f>
        <v>Não encontrado</v>
      </c>
      <c r="D1740" s="46" t="str" cm="1">
        <f t="array" ref="D1740">IFERROR(INDEX(#REF!,MATCH(TRUE,ISNUMBER(FIND(SUBSTITUTE(SUBSTITUTE(UPPER(#REF!)," ",""),":",": "),SUBSTITUTE(SUBSTITUTE(UPPER(S1740)," ",""),":",": "))),0)),"Não encontrado")</f>
        <v>Não encontrado</v>
      </c>
      <c r="E1740" s="42" t="str" cm="1">
        <f t="array" ref="E1740">IFERROR(INDEX({"IMPEDITIVO"},MATCH(TRUE,ISNUMBER(FIND(SUBSTITUTE(SUBSTITUTE(UPPER({"IMPEDITIVO"})," ",""),":",": "),SUBSTITUTE(SUBSTITUTE(UPPER(S1740)," ",""),":",": "))),0)),"-")</f>
        <v>-</v>
      </c>
      <c r="K1740" s="49"/>
    </row>
    <row r="1741" spans="1:11" x14ac:dyDescent="0.25">
      <c r="A1741" s="46" t="str" cm="1">
        <f t="array" ref="A1741">IFERROR(INDEX(#REF!,MATCH(TRUE,ISNUMBER(FIND(SUBSTITUTE(SUBSTITUTE(UPPER(#REF!)," ",""),":",": "),SUBSTITUTE(SUBSTITUTE(UPPER(S1741)," ",""),":",": "))),0)),"Undefined")</f>
        <v>Undefined</v>
      </c>
      <c r="B1741" s="42" t="str" cm="1">
        <f t="array" ref="B1741">IFERROR(INDEX({"URGENTE"},MATCH(TRUE,ISNUMBER(FIND(SUBSTITUTE(SUBSTITUTE(UPPER({"URGENTE"})," ",""),":",": "),SUBSTITUTE(SUBSTITUTE(UPPER(S1741)," ",""),":",": "))),0)),"-")</f>
        <v>-</v>
      </c>
      <c r="C1741" s="46" t="str" cm="1">
        <f t="array" ref="C1741">IFERROR(INDEX(#REF!,MATCH(TRUE,ISNUMBER(FIND(SUBSTITUTE(SUBSTITUTE(UPPER(#REF!)," ",""),":",": "),SUBSTITUTE(SUBSTITUTE(UPPER(S1741)," ",""),":",": "))),0)),"Não encontrado")</f>
        <v>Não encontrado</v>
      </c>
      <c r="D1741" s="46" t="str" cm="1">
        <f t="array" ref="D1741">IFERROR(INDEX(#REF!,MATCH(TRUE,ISNUMBER(FIND(SUBSTITUTE(SUBSTITUTE(UPPER(#REF!)," ",""),":",": "),SUBSTITUTE(SUBSTITUTE(UPPER(S1741)," ",""),":",": "))),0)),"Não encontrado")</f>
        <v>Não encontrado</v>
      </c>
      <c r="E1741" s="42" t="str" cm="1">
        <f t="array" ref="E1741">IFERROR(INDEX({"IMPEDITIVO"},MATCH(TRUE,ISNUMBER(FIND(SUBSTITUTE(SUBSTITUTE(UPPER({"IMPEDITIVO"})," ",""),":",": "),SUBSTITUTE(SUBSTITUTE(UPPER(S1741)," ",""),":",": "))),0)),"-")</f>
        <v>-</v>
      </c>
      <c r="K1741" s="49"/>
    </row>
    <row r="1742" spans="1:11" x14ac:dyDescent="0.25">
      <c r="A1742" s="46" t="str" cm="1">
        <f t="array" ref="A1742">IFERROR(INDEX(#REF!,MATCH(TRUE,ISNUMBER(FIND(SUBSTITUTE(SUBSTITUTE(UPPER(#REF!)," ",""),":",": "),SUBSTITUTE(SUBSTITUTE(UPPER(S1742)," ",""),":",": "))),0)),"Undefined")</f>
        <v>Undefined</v>
      </c>
      <c r="B1742" s="42" t="str" cm="1">
        <f t="array" ref="B1742">IFERROR(INDEX({"URGENTE"},MATCH(TRUE,ISNUMBER(FIND(SUBSTITUTE(SUBSTITUTE(UPPER({"URGENTE"})," ",""),":",": "),SUBSTITUTE(SUBSTITUTE(UPPER(S1742)," ",""),":",": "))),0)),"-")</f>
        <v>-</v>
      </c>
      <c r="C1742" s="46" t="str" cm="1">
        <f t="array" ref="C1742">IFERROR(INDEX(#REF!,MATCH(TRUE,ISNUMBER(FIND(SUBSTITUTE(SUBSTITUTE(UPPER(#REF!)," ",""),":",": "),SUBSTITUTE(SUBSTITUTE(UPPER(S1742)," ",""),":",": "))),0)),"Não encontrado")</f>
        <v>Não encontrado</v>
      </c>
      <c r="D1742" s="46" t="str" cm="1">
        <f t="array" ref="D1742">IFERROR(INDEX(#REF!,MATCH(TRUE,ISNUMBER(FIND(SUBSTITUTE(SUBSTITUTE(UPPER(#REF!)," ",""),":",": "),SUBSTITUTE(SUBSTITUTE(UPPER(S1742)," ",""),":",": "))),0)),"Não encontrado")</f>
        <v>Não encontrado</v>
      </c>
      <c r="E1742" s="42" t="str" cm="1">
        <f t="array" ref="E1742">IFERROR(INDEX({"IMPEDITIVO"},MATCH(TRUE,ISNUMBER(FIND(SUBSTITUTE(SUBSTITUTE(UPPER({"IMPEDITIVO"})," ",""),":",": "),SUBSTITUTE(SUBSTITUTE(UPPER(S1742)," ",""),":",": "))),0)),"-")</f>
        <v>-</v>
      </c>
      <c r="K1742" s="49"/>
    </row>
    <row r="1743" spans="1:11" x14ac:dyDescent="0.25">
      <c r="A1743" s="46" t="str" cm="1">
        <f t="array" ref="A1743">IFERROR(INDEX(#REF!,MATCH(TRUE,ISNUMBER(FIND(SUBSTITUTE(SUBSTITUTE(UPPER(#REF!)," ",""),":",": "),SUBSTITUTE(SUBSTITUTE(UPPER(S1743)," ",""),":",": "))),0)),"Undefined")</f>
        <v>Undefined</v>
      </c>
      <c r="B1743" s="42" t="str" cm="1">
        <f t="array" ref="B1743">IFERROR(INDEX({"URGENTE"},MATCH(TRUE,ISNUMBER(FIND(SUBSTITUTE(SUBSTITUTE(UPPER({"URGENTE"})," ",""),":",": "),SUBSTITUTE(SUBSTITUTE(UPPER(S1743)," ",""),":",": "))),0)),"-")</f>
        <v>-</v>
      </c>
      <c r="C1743" s="46" t="str" cm="1">
        <f t="array" ref="C1743">IFERROR(INDEX(#REF!,MATCH(TRUE,ISNUMBER(FIND(SUBSTITUTE(SUBSTITUTE(UPPER(#REF!)," ",""),":",": "),SUBSTITUTE(SUBSTITUTE(UPPER(S1743)," ",""),":",": "))),0)),"Não encontrado")</f>
        <v>Não encontrado</v>
      </c>
      <c r="D1743" s="46" t="str" cm="1">
        <f t="array" ref="D1743">IFERROR(INDEX(#REF!,MATCH(TRUE,ISNUMBER(FIND(SUBSTITUTE(SUBSTITUTE(UPPER(#REF!)," ",""),":",": "),SUBSTITUTE(SUBSTITUTE(UPPER(S1743)," ",""),":",": "))),0)),"Não encontrado")</f>
        <v>Não encontrado</v>
      </c>
      <c r="E1743" s="42" t="str" cm="1">
        <f t="array" ref="E1743">IFERROR(INDEX({"IMPEDITIVO"},MATCH(TRUE,ISNUMBER(FIND(SUBSTITUTE(SUBSTITUTE(UPPER({"IMPEDITIVO"})," ",""),":",": "),SUBSTITUTE(SUBSTITUTE(UPPER(S1743)," ",""),":",": "))),0)),"-")</f>
        <v>-</v>
      </c>
      <c r="K1743" s="49"/>
    </row>
    <row r="1744" spans="1:11" x14ac:dyDescent="0.25">
      <c r="A1744" s="46" t="str" cm="1">
        <f t="array" ref="A1744">IFERROR(INDEX(#REF!,MATCH(TRUE,ISNUMBER(FIND(SUBSTITUTE(SUBSTITUTE(UPPER(#REF!)," ",""),":",": "),SUBSTITUTE(SUBSTITUTE(UPPER(S1744)," ",""),":",": "))),0)),"Undefined")</f>
        <v>Undefined</v>
      </c>
      <c r="B1744" s="42" t="str" cm="1">
        <f t="array" ref="B1744">IFERROR(INDEX({"URGENTE"},MATCH(TRUE,ISNUMBER(FIND(SUBSTITUTE(SUBSTITUTE(UPPER({"URGENTE"})," ",""),":",": "),SUBSTITUTE(SUBSTITUTE(UPPER(S1744)," ",""),":",": "))),0)),"-")</f>
        <v>-</v>
      </c>
      <c r="C1744" s="46" t="str" cm="1">
        <f t="array" ref="C1744">IFERROR(INDEX(#REF!,MATCH(TRUE,ISNUMBER(FIND(SUBSTITUTE(SUBSTITUTE(UPPER(#REF!)," ",""),":",": "),SUBSTITUTE(SUBSTITUTE(UPPER(S1744)," ",""),":",": "))),0)),"Não encontrado")</f>
        <v>Não encontrado</v>
      </c>
      <c r="D1744" s="46" t="str" cm="1">
        <f t="array" ref="D1744">IFERROR(INDEX(#REF!,MATCH(TRUE,ISNUMBER(FIND(SUBSTITUTE(SUBSTITUTE(UPPER(#REF!)," ",""),":",": "),SUBSTITUTE(SUBSTITUTE(UPPER(S1744)," ",""),":",": "))),0)),"Não encontrado")</f>
        <v>Não encontrado</v>
      </c>
      <c r="E1744" s="42" t="str" cm="1">
        <f t="array" ref="E1744">IFERROR(INDEX({"IMPEDITIVO"},MATCH(TRUE,ISNUMBER(FIND(SUBSTITUTE(SUBSTITUTE(UPPER({"IMPEDITIVO"})," ",""),":",": "),SUBSTITUTE(SUBSTITUTE(UPPER(S1744)," ",""),":",": "))),0)),"-")</f>
        <v>-</v>
      </c>
      <c r="K1744" s="49"/>
    </row>
    <row r="1745" spans="1:11" x14ac:dyDescent="0.25">
      <c r="A1745" s="46" t="str" cm="1">
        <f t="array" ref="A1745">IFERROR(INDEX(#REF!,MATCH(TRUE,ISNUMBER(FIND(SUBSTITUTE(SUBSTITUTE(UPPER(#REF!)," ",""),":",": "),SUBSTITUTE(SUBSTITUTE(UPPER(S1745)," ",""),":",": "))),0)),"Undefined")</f>
        <v>Undefined</v>
      </c>
      <c r="B1745" s="42" t="str" cm="1">
        <f t="array" ref="B1745">IFERROR(INDEX({"URGENTE"},MATCH(TRUE,ISNUMBER(FIND(SUBSTITUTE(SUBSTITUTE(UPPER({"URGENTE"})," ",""),":",": "),SUBSTITUTE(SUBSTITUTE(UPPER(S1745)," ",""),":",": "))),0)),"-")</f>
        <v>-</v>
      </c>
      <c r="C1745" s="46" t="str" cm="1">
        <f t="array" ref="C1745">IFERROR(INDEX(#REF!,MATCH(TRUE,ISNUMBER(FIND(SUBSTITUTE(SUBSTITUTE(UPPER(#REF!)," ",""),":",": "),SUBSTITUTE(SUBSTITUTE(UPPER(S1745)," ",""),":",": "))),0)),"Não encontrado")</f>
        <v>Não encontrado</v>
      </c>
      <c r="D1745" s="46" t="str" cm="1">
        <f t="array" ref="D1745">IFERROR(INDEX(#REF!,MATCH(TRUE,ISNUMBER(FIND(SUBSTITUTE(SUBSTITUTE(UPPER(#REF!)," ",""),":",": "),SUBSTITUTE(SUBSTITUTE(UPPER(S1745)," ",""),":",": "))),0)),"Não encontrado")</f>
        <v>Não encontrado</v>
      </c>
      <c r="E1745" s="42" t="str" cm="1">
        <f t="array" ref="E1745">IFERROR(INDEX({"IMPEDITIVO"},MATCH(TRUE,ISNUMBER(FIND(SUBSTITUTE(SUBSTITUTE(UPPER({"IMPEDITIVO"})," ",""),":",": "),SUBSTITUTE(SUBSTITUTE(UPPER(S1745)," ",""),":",": "))),0)),"-")</f>
        <v>-</v>
      </c>
      <c r="K1745" s="49"/>
    </row>
    <row r="1746" spans="1:11" x14ac:dyDescent="0.25">
      <c r="A1746" s="46" t="str" cm="1">
        <f t="array" ref="A1746">IFERROR(INDEX(#REF!,MATCH(TRUE,ISNUMBER(FIND(SUBSTITUTE(SUBSTITUTE(UPPER(#REF!)," ",""),":",": "),SUBSTITUTE(SUBSTITUTE(UPPER(S1746)," ",""),":",": "))),0)),"Undefined")</f>
        <v>Undefined</v>
      </c>
      <c r="B1746" s="42" t="str" cm="1">
        <f t="array" ref="B1746">IFERROR(INDEX({"URGENTE"},MATCH(TRUE,ISNUMBER(FIND(SUBSTITUTE(SUBSTITUTE(UPPER({"URGENTE"})," ",""),":",": "),SUBSTITUTE(SUBSTITUTE(UPPER(S1746)," ",""),":",": "))),0)),"-")</f>
        <v>-</v>
      </c>
      <c r="C1746" s="46" t="str" cm="1">
        <f t="array" ref="C1746">IFERROR(INDEX(#REF!,MATCH(TRUE,ISNUMBER(FIND(SUBSTITUTE(SUBSTITUTE(UPPER(#REF!)," ",""),":",": "),SUBSTITUTE(SUBSTITUTE(UPPER(S1746)," ",""),":",": "))),0)),"Não encontrado")</f>
        <v>Não encontrado</v>
      </c>
      <c r="D1746" s="46" t="str" cm="1">
        <f t="array" ref="D1746">IFERROR(INDEX(#REF!,MATCH(TRUE,ISNUMBER(FIND(SUBSTITUTE(SUBSTITUTE(UPPER(#REF!)," ",""),":",": "),SUBSTITUTE(SUBSTITUTE(UPPER(S1746)," ",""),":",": "))),0)),"Não encontrado")</f>
        <v>Não encontrado</v>
      </c>
      <c r="E1746" s="42" t="str" cm="1">
        <f t="array" ref="E1746">IFERROR(INDEX({"IMPEDITIVO"},MATCH(TRUE,ISNUMBER(FIND(SUBSTITUTE(SUBSTITUTE(UPPER({"IMPEDITIVO"})," ",""),":",": "),SUBSTITUTE(SUBSTITUTE(UPPER(S1746)," ",""),":",": "))),0)),"-")</f>
        <v>-</v>
      </c>
      <c r="K1746" s="49"/>
    </row>
    <row r="1747" spans="1:11" x14ac:dyDescent="0.25">
      <c r="A1747" s="46" t="str" cm="1">
        <f t="array" ref="A1747">IFERROR(INDEX(#REF!,MATCH(TRUE,ISNUMBER(FIND(SUBSTITUTE(SUBSTITUTE(UPPER(#REF!)," ",""),":",": "),SUBSTITUTE(SUBSTITUTE(UPPER(S1747)," ",""),":",": "))),0)),"Undefined")</f>
        <v>Undefined</v>
      </c>
      <c r="B1747" s="42" t="str" cm="1">
        <f t="array" ref="B1747">IFERROR(INDEX({"URGENTE"},MATCH(TRUE,ISNUMBER(FIND(SUBSTITUTE(SUBSTITUTE(UPPER({"URGENTE"})," ",""),":",": "),SUBSTITUTE(SUBSTITUTE(UPPER(S1747)," ",""),":",": "))),0)),"-")</f>
        <v>-</v>
      </c>
      <c r="C1747" s="46" t="str" cm="1">
        <f t="array" ref="C1747">IFERROR(INDEX(#REF!,MATCH(TRUE,ISNUMBER(FIND(SUBSTITUTE(SUBSTITUTE(UPPER(#REF!)," ",""),":",": "),SUBSTITUTE(SUBSTITUTE(UPPER(S1747)," ",""),":",": "))),0)),"Não encontrado")</f>
        <v>Não encontrado</v>
      </c>
      <c r="D1747" s="46" t="str" cm="1">
        <f t="array" ref="D1747">IFERROR(INDEX(#REF!,MATCH(TRUE,ISNUMBER(FIND(SUBSTITUTE(SUBSTITUTE(UPPER(#REF!)," ",""),":",": "),SUBSTITUTE(SUBSTITUTE(UPPER(S1747)," ",""),":",": "))),0)),"Não encontrado")</f>
        <v>Não encontrado</v>
      </c>
      <c r="E1747" s="42" t="str" cm="1">
        <f t="array" ref="E1747">IFERROR(INDEX({"IMPEDITIVO"},MATCH(TRUE,ISNUMBER(FIND(SUBSTITUTE(SUBSTITUTE(UPPER({"IMPEDITIVO"})," ",""),":",": "),SUBSTITUTE(SUBSTITUTE(UPPER(S1747)," ",""),":",": "))),0)),"-")</f>
        <v>-</v>
      </c>
      <c r="K1747" s="49"/>
    </row>
    <row r="1748" spans="1:11" x14ac:dyDescent="0.25">
      <c r="A1748" s="46" t="str" cm="1">
        <f t="array" ref="A1748">IFERROR(INDEX(#REF!,MATCH(TRUE,ISNUMBER(FIND(SUBSTITUTE(SUBSTITUTE(UPPER(#REF!)," ",""),":",": "),SUBSTITUTE(SUBSTITUTE(UPPER(S1748)," ",""),":",": "))),0)),"Undefined")</f>
        <v>Undefined</v>
      </c>
      <c r="B1748" s="42" t="str" cm="1">
        <f t="array" ref="B1748">IFERROR(INDEX({"URGENTE"},MATCH(TRUE,ISNUMBER(FIND(SUBSTITUTE(SUBSTITUTE(UPPER({"URGENTE"})," ",""),":",": "),SUBSTITUTE(SUBSTITUTE(UPPER(S1748)," ",""),":",": "))),0)),"-")</f>
        <v>-</v>
      </c>
      <c r="C1748" s="46" t="str" cm="1">
        <f t="array" ref="C1748">IFERROR(INDEX(#REF!,MATCH(TRUE,ISNUMBER(FIND(SUBSTITUTE(SUBSTITUTE(UPPER(#REF!)," ",""),":",": "),SUBSTITUTE(SUBSTITUTE(UPPER(S1748)," ",""),":",": "))),0)),"Não encontrado")</f>
        <v>Não encontrado</v>
      </c>
      <c r="D1748" s="46" t="str" cm="1">
        <f t="array" ref="D1748">IFERROR(INDEX(#REF!,MATCH(TRUE,ISNUMBER(FIND(SUBSTITUTE(SUBSTITUTE(UPPER(#REF!)," ",""),":",": "),SUBSTITUTE(SUBSTITUTE(UPPER(S1748)," ",""),":",": "))),0)),"Não encontrado")</f>
        <v>Não encontrado</v>
      </c>
      <c r="E1748" s="42" t="str" cm="1">
        <f t="array" ref="E1748">IFERROR(INDEX({"IMPEDITIVO"},MATCH(TRUE,ISNUMBER(FIND(SUBSTITUTE(SUBSTITUTE(UPPER({"IMPEDITIVO"})," ",""),":",": "),SUBSTITUTE(SUBSTITUTE(UPPER(S1748)," ",""),":",": "))),0)),"-")</f>
        <v>-</v>
      </c>
      <c r="K1748" s="49"/>
    </row>
    <row r="1749" spans="1:11" x14ac:dyDescent="0.25">
      <c r="A1749" s="46" t="str" cm="1">
        <f t="array" ref="A1749">IFERROR(INDEX(#REF!,MATCH(TRUE,ISNUMBER(FIND(SUBSTITUTE(SUBSTITUTE(UPPER(#REF!)," ",""),":",": "),SUBSTITUTE(SUBSTITUTE(UPPER(S1749)," ",""),":",": "))),0)),"Undefined")</f>
        <v>Undefined</v>
      </c>
      <c r="B1749" s="42" t="str" cm="1">
        <f t="array" ref="B1749">IFERROR(INDEX({"URGENTE"},MATCH(TRUE,ISNUMBER(FIND(SUBSTITUTE(SUBSTITUTE(UPPER({"URGENTE"})," ",""),":",": "),SUBSTITUTE(SUBSTITUTE(UPPER(S1749)," ",""),":",": "))),0)),"-")</f>
        <v>-</v>
      </c>
      <c r="C1749" s="46" t="str" cm="1">
        <f t="array" ref="C1749">IFERROR(INDEX(#REF!,MATCH(TRUE,ISNUMBER(FIND(SUBSTITUTE(SUBSTITUTE(UPPER(#REF!)," ",""),":",": "),SUBSTITUTE(SUBSTITUTE(UPPER(S1749)," ",""),":",": "))),0)),"Não encontrado")</f>
        <v>Não encontrado</v>
      </c>
      <c r="D1749" s="46" t="str" cm="1">
        <f t="array" ref="D1749">IFERROR(INDEX(#REF!,MATCH(TRUE,ISNUMBER(FIND(SUBSTITUTE(SUBSTITUTE(UPPER(#REF!)," ",""),":",": "),SUBSTITUTE(SUBSTITUTE(UPPER(S1749)," ",""),":",": "))),0)),"Não encontrado")</f>
        <v>Não encontrado</v>
      </c>
      <c r="E1749" s="42" t="str" cm="1">
        <f t="array" ref="E1749">IFERROR(INDEX({"IMPEDITIVO"},MATCH(TRUE,ISNUMBER(FIND(SUBSTITUTE(SUBSTITUTE(UPPER({"IMPEDITIVO"})," ",""),":",": "),SUBSTITUTE(SUBSTITUTE(UPPER(S1749)," ",""),":",": "))),0)),"-")</f>
        <v>-</v>
      </c>
      <c r="K1749" s="49"/>
    </row>
    <row r="1750" spans="1:11" x14ac:dyDescent="0.25">
      <c r="A1750" s="46" t="str" cm="1">
        <f t="array" ref="A1750">IFERROR(INDEX(#REF!,MATCH(TRUE,ISNUMBER(FIND(SUBSTITUTE(SUBSTITUTE(UPPER(#REF!)," ",""),":",": "),SUBSTITUTE(SUBSTITUTE(UPPER(S1750)," ",""),":",": "))),0)),"Undefined")</f>
        <v>Undefined</v>
      </c>
      <c r="B1750" s="42" t="str" cm="1">
        <f t="array" ref="B1750">IFERROR(INDEX({"URGENTE"},MATCH(TRUE,ISNUMBER(FIND(SUBSTITUTE(SUBSTITUTE(UPPER({"URGENTE"})," ",""),":",": "),SUBSTITUTE(SUBSTITUTE(UPPER(S1750)," ",""),":",": "))),0)),"-")</f>
        <v>-</v>
      </c>
      <c r="C1750" s="46" t="str" cm="1">
        <f t="array" ref="C1750">IFERROR(INDEX(#REF!,MATCH(TRUE,ISNUMBER(FIND(SUBSTITUTE(SUBSTITUTE(UPPER(#REF!)," ",""),":",": "),SUBSTITUTE(SUBSTITUTE(UPPER(S1750)," ",""),":",": "))),0)),"Não encontrado")</f>
        <v>Não encontrado</v>
      </c>
      <c r="D1750" s="46" t="str" cm="1">
        <f t="array" ref="D1750">IFERROR(INDEX(#REF!,MATCH(TRUE,ISNUMBER(FIND(SUBSTITUTE(SUBSTITUTE(UPPER(#REF!)," ",""),":",": "),SUBSTITUTE(SUBSTITUTE(UPPER(S1750)," ",""),":",": "))),0)),"Não encontrado")</f>
        <v>Não encontrado</v>
      </c>
      <c r="E1750" s="42" t="str" cm="1">
        <f t="array" ref="E1750">IFERROR(INDEX({"IMPEDITIVO"},MATCH(TRUE,ISNUMBER(FIND(SUBSTITUTE(SUBSTITUTE(UPPER({"IMPEDITIVO"})," ",""),":",": "),SUBSTITUTE(SUBSTITUTE(UPPER(S1750)," ",""),":",": "))),0)),"-")</f>
        <v>-</v>
      </c>
      <c r="K1750" s="49"/>
    </row>
    <row r="1751" spans="1:11" x14ac:dyDescent="0.25">
      <c r="A1751" s="46" t="str" cm="1">
        <f t="array" ref="A1751">IFERROR(INDEX(#REF!,MATCH(TRUE,ISNUMBER(FIND(SUBSTITUTE(SUBSTITUTE(UPPER(#REF!)," ",""),":",": "),SUBSTITUTE(SUBSTITUTE(UPPER(S1751)," ",""),":",": "))),0)),"Undefined")</f>
        <v>Undefined</v>
      </c>
      <c r="B1751" s="42" t="str" cm="1">
        <f t="array" ref="B1751">IFERROR(INDEX({"URGENTE"},MATCH(TRUE,ISNUMBER(FIND(SUBSTITUTE(SUBSTITUTE(UPPER({"URGENTE"})," ",""),":",": "),SUBSTITUTE(SUBSTITUTE(UPPER(S1751)," ",""),":",": "))),0)),"-")</f>
        <v>-</v>
      </c>
      <c r="C1751" s="46" t="str" cm="1">
        <f t="array" ref="C1751">IFERROR(INDEX(#REF!,MATCH(TRUE,ISNUMBER(FIND(SUBSTITUTE(SUBSTITUTE(UPPER(#REF!)," ",""),":",": "),SUBSTITUTE(SUBSTITUTE(UPPER(S1751)," ",""),":",": "))),0)),"Não encontrado")</f>
        <v>Não encontrado</v>
      </c>
      <c r="D1751" s="46" t="str" cm="1">
        <f t="array" ref="D1751">IFERROR(INDEX(#REF!,MATCH(TRUE,ISNUMBER(FIND(SUBSTITUTE(SUBSTITUTE(UPPER(#REF!)," ",""),":",": "),SUBSTITUTE(SUBSTITUTE(UPPER(S1751)," ",""),":",": "))),0)),"Não encontrado")</f>
        <v>Não encontrado</v>
      </c>
      <c r="E1751" s="42" t="str" cm="1">
        <f t="array" ref="E1751">IFERROR(INDEX({"IMPEDITIVO"},MATCH(TRUE,ISNUMBER(FIND(SUBSTITUTE(SUBSTITUTE(UPPER({"IMPEDITIVO"})," ",""),":",": "),SUBSTITUTE(SUBSTITUTE(UPPER(S1751)," ",""),":",": "))),0)),"-")</f>
        <v>-</v>
      </c>
      <c r="K1751" s="49"/>
    </row>
    <row r="1752" spans="1:11" x14ac:dyDescent="0.25">
      <c r="A1752" s="46" t="str" cm="1">
        <f t="array" ref="A1752">IFERROR(INDEX(#REF!,MATCH(TRUE,ISNUMBER(FIND(SUBSTITUTE(SUBSTITUTE(UPPER(#REF!)," ",""),":",": "),SUBSTITUTE(SUBSTITUTE(UPPER(S1752)," ",""),":",": "))),0)),"Undefined")</f>
        <v>Undefined</v>
      </c>
      <c r="B1752" s="42" t="str" cm="1">
        <f t="array" ref="B1752">IFERROR(INDEX({"URGENTE"},MATCH(TRUE,ISNUMBER(FIND(SUBSTITUTE(SUBSTITUTE(UPPER({"URGENTE"})," ",""),":",": "),SUBSTITUTE(SUBSTITUTE(UPPER(S1752)," ",""),":",": "))),0)),"-")</f>
        <v>-</v>
      </c>
      <c r="C1752" s="46" t="str" cm="1">
        <f t="array" ref="C1752">IFERROR(INDEX(#REF!,MATCH(TRUE,ISNUMBER(FIND(SUBSTITUTE(SUBSTITUTE(UPPER(#REF!)," ",""),":",": "),SUBSTITUTE(SUBSTITUTE(UPPER(S1752)," ",""),":",": "))),0)),"Não encontrado")</f>
        <v>Não encontrado</v>
      </c>
      <c r="D1752" s="46" t="str" cm="1">
        <f t="array" ref="D1752">IFERROR(INDEX(#REF!,MATCH(TRUE,ISNUMBER(FIND(SUBSTITUTE(SUBSTITUTE(UPPER(#REF!)," ",""),":",": "),SUBSTITUTE(SUBSTITUTE(UPPER(S1752)," ",""),":",": "))),0)),"Não encontrado")</f>
        <v>Não encontrado</v>
      </c>
      <c r="E1752" s="42" t="str" cm="1">
        <f t="array" ref="E1752">IFERROR(INDEX({"IMPEDITIVO"},MATCH(TRUE,ISNUMBER(FIND(SUBSTITUTE(SUBSTITUTE(UPPER({"IMPEDITIVO"})," ",""),":",": "),SUBSTITUTE(SUBSTITUTE(UPPER(S1752)," ",""),":",": "))),0)),"-")</f>
        <v>-</v>
      </c>
      <c r="K1752" s="49"/>
    </row>
    <row r="1753" spans="1:11" x14ac:dyDescent="0.25">
      <c r="A1753" s="46" t="str" cm="1">
        <f t="array" ref="A1753">IFERROR(INDEX(#REF!,MATCH(TRUE,ISNUMBER(FIND(SUBSTITUTE(SUBSTITUTE(UPPER(#REF!)," ",""),":",": "),SUBSTITUTE(SUBSTITUTE(UPPER(S1753)," ",""),":",": "))),0)),"Undefined")</f>
        <v>Undefined</v>
      </c>
      <c r="B1753" s="42" t="str" cm="1">
        <f t="array" ref="B1753">IFERROR(INDEX({"URGENTE"},MATCH(TRUE,ISNUMBER(FIND(SUBSTITUTE(SUBSTITUTE(UPPER({"URGENTE"})," ",""),":",": "),SUBSTITUTE(SUBSTITUTE(UPPER(S1753)," ",""),":",": "))),0)),"-")</f>
        <v>-</v>
      </c>
      <c r="C1753" s="46" t="str" cm="1">
        <f t="array" ref="C1753">IFERROR(INDEX(#REF!,MATCH(TRUE,ISNUMBER(FIND(SUBSTITUTE(SUBSTITUTE(UPPER(#REF!)," ",""),":",": "),SUBSTITUTE(SUBSTITUTE(UPPER(S1753)," ",""),":",": "))),0)),"Não encontrado")</f>
        <v>Não encontrado</v>
      </c>
      <c r="D1753" s="46" t="str" cm="1">
        <f t="array" ref="D1753">IFERROR(INDEX(#REF!,MATCH(TRUE,ISNUMBER(FIND(SUBSTITUTE(SUBSTITUTE(UPPER(#REF!)," ",""),":",": "),SUBSTITUTE(SUBSTITUTE(UPPER(S1753)," ",""),":",": "))),0)),"Não encontrado")</f>
        <v>Não encontrado</v>
      </c>
      <c r="E1753" s="42" t="str" cm="1">
        <f t="array" ref="E1753">IFERROR(INDEX({"IMPEDITIVO"},MATCH(TRUE,ISNUMBER(FIND(SUBSTITUTE(SUBSTITUTE(UPPER({"IMPEDITIVO"})," ",""),":",": "),SUBSTITUTE(SUBSTITUTE(UPPER(S1753)," ",""),":",": "))),0)),"-")</f>
        <v>-</v>
      </c>
      <c r="K1753" s="49"/>
    </row>
    <row r="1754" spans="1:11" x14ac:dyDescent="0.25">
      <c r="A1754" s="46" t="str" cm="1">
        <f t="array" ref="A1754">IFERROR(INDEX(#REF!,MATCH(TRUE,ISNUMBER(FIND(SUBSTITUTE(SUBSTITUTE(UPPER(#REF!)," ",""),":",": "),SUBSTITUTE(SUBSTITUTE(UPPER(S1754)," ",""),":",": "))),0)),"Undefined")</f>
        <v>Undefined</v>
      </c>
      <c r="B1754" s="42" t="str" cm="1">
        <f t="array" ref="B1754">IFERROR(INDEX({"URGENTE"},MATCH(TRUE,ISNUMBER(FIND(SUBSTITUTE(SUBSTITUTE(UPPER({"URGENTE"})," ",""),":",": "),SUBSTITUTE(SUBSTITUTE(UPPER(S1754)," ",""),":",": "))),0)),"-")</f>
        <v>-</v>
      </c>
      <c r="C1754" s="46" t="str" cm="1">
        <f t="array" ref="C1754">IFERROR(INDEX(#REF!,MATCH(TRUE,ISNUMBER(FIND(SUBSTITUTE(SUBSTITUTE(UPPER(#REF!)," ",""),":",": "),SUBSTITUTE(SUBSTITUTE(UPPER(S1754)," ",""),":",": "))),0)),"Não encontrado")</f>
        <v>Não encontrado</v>
      </c>
      <c r="D1754" s="46" t="str" cm="1">
        <f t="array" ref="D1754">IFERROR(INDEX(#REF!,MATCH(TRUE,ISNUMBER(FIND(SUBSTITUTE(SUBSTITUTE(UPPER(#REF!)," ",""),":",": "),SUBSTITUTE(SUBSTITUTE(UPPER(S1754)," ",""),":",": "))),0)),"Não encontrado")</f>
        <v>Não encontrado</v>
      </c>
      <c r="E1754" s="42" t="str" cm="1">
        <f t="array" ref="E1754">IFERROR(INDEX({"IMPEDITIVO"},MATCH(TRUE,ISNUMBER(FIND(SUBSTITUTE(SUBSTITUTE(UPPER({"IMPEDITIVO"})," ",""),":",": "),SUBSTITUTE(SUBSTITUTE(UPPER(S1754)," ",""),":",": "))),0)),"-")</f>
        <v>-</v>
      </c>
      <c r="K1754" s="49"/>
    </row>
    <row r="1755" spans="1:11" x14ac:dyDescent="0.25">
      <c r="A1755" s="46" t="str" cm="1">
        <f t="array" ref="A1755">IFERROR(INDEX(#REF!,MATCH(TRUE,ISNUMBER(FIND(SUBSTITUTE(SUBSTITUTE(UPPER(#REF!)," ",""),":",": "),SUBSTITUTE(SUBSTITUTE(UPPER(S1755)," ",""),":",": "))),0)),"Undefined")</f>
        <v>Undefined</v>
      </c>
      <c r="B1755" s="42" t="str" cm="1">
        <f t="array" ref="B1755">IFERROR(INDEX({"URGENTE"},MATCH(TRUE,ISNUMBER(FIND(SUBSTITUTE(SUBSTITUTE(UPPER({"URGENTE"})," ",""),":",": "),SUBSTITUTE(SUBSTITUTE(UPPER(S1755)," ",""),":",": "))),0)),"-")</f>
        <v>-</v>
      </c>
      <c r="C1755" s="46" t="str" cm="1">
        <f t="array" ref="C1755">IFERROR(INDEX(#REF!,MATCH(TRUE,ISNUMBER(FIND(SUBSTITUTE(SUBSTITUTE(UPPER(#REF!)," ",""),":",": "),SUBSTITUTE(SUBSTITUTE(UPPER(S1755)," ",""),":",": "))),0)),"Não encontrado")</f>
        <v>Não encontrado</v>
      </c>
      <c r="D1755" s="46" t="str" cm="1">
        <f t="array" ref="D1755">IFERROR(INDEX(#REF!,MATCH(TRUE,ISNUMBER(FIND(SUBSTITUTE(SUBSTITUTE(UPPER(#REF!)," ",""),":",": "),SUBSTITUTE(SUBSTITUTE(UPPER(S1755)," ",""),":",": "))),0)),"Não encontrado")</f>
        <v>Não encontrado</v>
      </c>
      <c r="E1755" s="42" t="str" cm="1">
        <f t="array" ref="E1755">IFERROR(INDEX({"IMPEDITIVO"},MATCH(TRUE,ISNUMBER(FIND(SUBSTITUTE(SUBSTITUTE(UPPER({"IMPEDITIVO"})," ",""),":",": "),SUBSTITUTE(SUBSTITUTE(UPPER(S1755)," ",""),":",": "))),0)),"-")</f>
        <v>-</v>
      </c>
      <c r="K1755" s="49"/>
    </row>
    <row r="1756" spans="1:11" x14ac:dyDescent="0.25">
      <c r="A1756" s="46" t="str" cm="1">
        <f t="array" ref="A1756">IFERROR(INDEX(#REF!,MATCH(TRUE,ISNUMBER(FIND(SUBSTITUTE(SUBSTITUTE(UPPER(#REF!)," ",""),":",": "),SUBSTITUTE(SUBSTITUTE(UPPER(S1756)," ",""),":",": "))),0)),"Undefined")</f>
        <v>Undefined</v>
      </c>
      <c r="B1756" s="42" t="str" cm="1">
        <f t="array" ref="B1756">IFERROR(INDEX({"URGENTE"},MATCH(TRUE,ISNUMBER(FIND(SUBSTITUTE(SUBSTITUTE(UPPER({"URGENTE"})," ",""),":",": "),SUBSTITUTE(SUBSTITUTE(UPPER(S1756)," ",""),":",": "))),0)),"-")</f>
        <v>-</v>
      </c>
      <c r="C1756" s="46" t="str" cm="1">
        <f t="array" ref="C1756">IFERROR(INDEX(#REF!,MATCH(TRUE,ISNUMBER(FIND(SUBSTITUTE(SUBSTITUTE(UPPER(#REF!)," ",""),":",": "),SUBSTITUTE(SUBSTITUTE(UPPER(S1756)," ",""),":",": "))),0)),"Não encontrado")</f>
        <v>Não encontrado</v>
      </c>
      <c r="D1756" s="46" t="str" cm="1">
        <f t="array" ref="D1756">IFERROR(INDEX(#REF!,MATCH(TRUE,ISNUMBER(FIND(SUBSTITUTE(SUBSTITUTE(UPPER(#REF!)," ",""),":",": "),SUBSTITUTE(SUBSTITUTE(UPPER(S1756)," ",""),":",": "))),0)),"Não encontrado")</f>
        <v>Não encontrado</v>
      </c>
      <c r="E1756" s="42" t="str" cm="1">
        <f t="array" ref="E1756">IFERROR(INDEX({"IMPEDITIVO"},MATCH(TRUE,ISNUMBER(FIND(SUBSTITUTE(SUBSTITUTE(UPPER({"IMPEDITIVO"})," ",""),":",": "),SUBSTITUTE(SUBSTITUTE(UPPER(S1756)," ",""),":",": "))),0)),"-")</f>
        <v>-</v>
      </c>
      <c r="K1756" s="49"/>
    </row>
    <row r="1757" spans="1:11" x14ac:dyDescent="0.25">
      <c r="A1757" s="46" t="str" cm="1">
        <f t="array" ref="A1757">IFERROR(INDEX(#REF!,MATCH(TRUE,ISNUMBER(FIND(SUBSTITUTE(SUBSTITUTE(UPPER(#REF!)," ",""),":",": "),SUBSTITUTE(SUBSTITUTE(UPPER(S1757)," ",""),":",": "))),0)),"Undefined")</f>
        <v>Undefined</v>
      </c>
      <c r="B1757" s="42" t="str" cm="1">
        <f t="array" ref="B1757">IFERROR(INDEX({"URGENTE"},MATCH(TRUE,ISNUMBER(FIND(SUBSTITUTE(SUBSTITUTE(UPPER({"URGENTE"})," ",""),":",": "),SUBSTITUTE(SUBSTITUTE(UPPER(S1757)," ",""),":",": "))),0)),"-")</f>
        <v>-</v>
      </c>
      <c r="C1757" s="46" t="str" cm="1">
        <f t="array" ref="C1757">IFERROR(INDEX(#REF!,MATCH(TRUE,ISNUMBER(FIND(SUBSTITUTE(SUBSTITUTE(UPPER(#REF!)," ",""),":",": "),SUBSTITUTE(SUBSTITUTE(UPPER(S1757)," ",""),":",": "))),0)),"Não encontrado")</f>
        <v>Não encontrado</v>
      </c>
      <c r="D1757" s="46" t="str" cm="1">
        <f t="array" ref="D1757">IFERROR(INDEX(#REF!,MATCH(TRUE,ISNUMBER(FIND(SUBSTITUTE(SUBSTITUTE(UPPER(#REF!)," ",""),":",": "),SUBSTITUTE(SUBSTITUTE(UPPER(S1757)," ",""),":",": "))),0)),"Não encontrado")</f>
        <v>Não encontrado</v>
      </c>
      <c r="E1757" s="42" t="str" cm="1">
        <f t="array" ref="E1757">IFERROR(INDEX({"IMPEDITIVO"},MATCH(TRUE,ISNUMBER(FIND(SUBSTITUTE(SUBSTITUTE(UPPER({"IMPEDITIVO"})," ",""),":",": "),SUBSTITUTE(SUBSTITUTE(UPPER(S1757)," ",""),":",": "))),0)),"-")</f>
        <v>-</v>
      </c>
      <c r="K1757" s="49"/>
    </row>
    <row r="1758" spans="1:11" x14ac:dyDescent="0.25">
      <c r="A1758" s="46" t="str" cm="1">
        <f t="array" ref="A1758">IFERROR(INDEX(#REF!,MATCH(TRUE,ISNUMBER(FIND(SUBSTITUTE(SUBSTITUTE(UPPER(#REF!)," ",""),":",": "),SUBSTITUTE(SUBSTITUTE(UPPER(S1758)," ",""),":",": "))),0)),"Undefined")</f>
        <v>Undefined</v>
      </c>
      <c r="B1758" s="42" t="str" cm="1">
        <f t="array" ref="B1758">IFERROR(INDEX({"URGENTE"},MATCH(TRUE,ISNUMBER(FIND(SUBSTITUTE(SUBSTITUTE(UPPER({"URGENTE"})," ",""),":",": "),SUBSTITUTE(SUBSTITUTE(UPPER(S1758)," ",""),":",": "))),0)),"-")</f>
        <v>-</v>
      </c>
      <c r="C1758" s="46" t="str" cm="1">
        <f t="array" ref="C1758">IFERROR(INDEX(#REF!,MATCH(TRUE,ISNUMBER(FIND(SUBSTITUTE(SUBSTITUTE(UPPER(#REF!)," ",""),":",": "),SUBSTITUTE(SUBSTITUTE(UPPER(S1758)," ",""),":",": "))),0)),"Não encontrado")</f>
        <v>Não encontrado</v>
      </c>
      <c r="D1758" s="46" t="str" cm="1">
        <f t="array" ref="D1758">IFERROR(INDEX(#REF!,MATCH(TRUE,ISNUMBER(FIND(SUBSTITUTE(SUBSTITUTE(UPPER(#REF!)," ",""),":",": "),SUBSTITUTE(SUBSTITUTE(UPPER(S1758)," ",""),":",": "))),0)),"Não encontrado")</f>
        <v>Não encontrado</v>
      </c>
      <c r="E1758" s="42" t="str" cm="1">
        <f t="array" ref="E1758">IFERROR(INDEX({"IMPEDITIVO"},MATCH(TRUE,ISNUMBER(FIND(SUBSTITUTE(SUBSTITUTE(UPPER({"IMPEDITIVO"})," ",""),":",": "),SUBSTITUTE(SUBSTITUTE(UPPER(S1758)," ",""),":",": "))),0)),"-")</f>
        <v>-</v>
      </c>
      <c r="K1758" s="49"/>
    </row>
    <row r="1759" spans="1:11" x14ac:dyDescent="0.25">
      <c r="A1759" s="46" t="str" cm="1">
        <f t="array" ref="A1759">IFERROR(INDEX(#REF!,MATCH(TRUE,ISNUMBER(FIND(SUBSTITUTE(SUBSTITUTE(UPPER(#REF!)," ",""),":",": "),SUBSTITUTE(SUBSTITUTE(UPPER(S1759)," ",""),":",": "))),0)),"Undefined")</f>
        <v>Undefined</v>
      </c>
      <c r="B1759" s="42" t="str" cm="1">
        <f t="array" ref="B1759">IFERROR(INDEX({"URGENTE"},MATCH(TRUE,ISNUMBER(FIND(SUBSTITUTE(SUBSTITUTE(UPPER({"URGENTE"})," ",""),":",": "),SUBSTITUTE(SUBSTITUTE(UPPER(S1759)," ",""),":",": "))),0)),"-")</f>
        <v>-</v>
      </c>
      <c r="C1759" s="46" t="str" cm="1">
        <f t="array" ref="C1759">IFERROR(INDEX(#REF!,MATCH(TRUE,ISNUMBER(FIND(SUBSTITUTE(SUBSTITUTE(UPPER(#REF!)," ",""),":",": "),SUBSTITUTE(SUBSTITUTE(UPPER(S1759)," ",""),":",": "))),0)),"Não encontrado")</f>
        <v>Não encontrado</v>
      </c>
      <c r="D1759" s="46" t="str" cm="1">
        <f t="array" ref="D1759">IFERROR(INDEX(#REF!,MATCH(TRUE,ISNUMBER(FIND(SUBSTITUTE(SUBSTITUTE(UPPER(#REF!)," ",""),":",": "),SUBSTITUTE(SUBSTITUTE(UPPER(S1759)," ",""),":",": "))),0)),"Não encontrado")</f>
        <v>Não encontrado</v>
      </c>
      <c r="E1759" s="42" t="str" cm="1">
        <f t="array" ref="E1759">IFERROR(INDEX({"IMPEDITIVO"},MATCH(TRUE,ISNUMBER(FIND(SUBSTITUTE(SUBSTITUTE(UPPER({"IMPEDITIVO"})," ",""),":",": "),SUBSTITUTE(SUBSTITUTE(UPPER(S1759)," ",""),":",": "))),0)),"-")</f>
        <v>-</v>
      </c>
      <c r="K1759" s="49"/>
    </row>
    <row r="1760" spans="1:11" x14ac:dyDescent="0.25">
      <c r="A1760" s="46" t="str" cm="1">
        <f t="array" ref="A1760">IFERROR(INDEX(#REF!,MATCH(TRUE,ISNUMBER(FIND(SUBSTITUTE(SUBSTITUTE(UPPER(#REF!)," ",""),":",": "),SUBSTITUTE(SUBSTITUTE(UPPER(S1760)," ",""),":",": "))),0)),"Undefined")</f>
        <v>Undefined</v>
      </c>
      <c r="B1760" s="42" t="str" cm="1">
        <f t="array" ref="B1760">IFERROR(INDEX({"URGENTE"},MATCH(TRUE,ISNUMBER(FIND(SUBSTITUTE(SUBSTITUTE(UPPER({"URGENTE"})," ",""),":",": "),SUBSTITUTE(SUBSTITUTE(UPPER(S1760)," ",""),":",": "))),0)),"-")</f>
        <v>-</v>
      </c>
      <c r="C1760" s="46" t="str" cm="1">
        <f t="array" ref="C1760">IFERROR(INDEX(#REF!,MATCH(TRUE,ISNUMBER(FIND(SUBSTITUTE(SUBSTITUTE(UPPER(#REF!)," ",""),":",": "),SUBSTITUTE(SUBSTITUTE(UPPER(S1760)," ",""),":",": "))),0)),"Não encontrado")</f>
        <v>Não encontrado</v>
      </c>
      <c r="D1760" s="46" t="str" cm="1">
        <f t="array" ref="D1760">IFERROR(INDEX(#REF!,MATCH(TRUE,ISNUMBER(FIND(SUBSTITUTE(SUBSTITUTE(UPPER(#REF!)," ",""),":",": "),SUBSTITUTE(SUBSTITUTE(UPPER(S1760)," ",""),":",": "))),0)),"Não encontrado")</f>
        <v>Não encontrado</v>
      </c>
      <c r="E1760" s="42" t="str" cm="1">
        <f t="array" ref="E1760">IFERROR(INDEX({"IMPEDITIVO"},MATCH(TRUE,ISNUMBER(FIND(SUBSTITUTE(SUBSTITUTE(UPPER({"IMPEDITIVO"})," ",""),":",": "),SUBSTITUTE(SUBSTITUTE(UPPER(S1760)," ",""),":",": "))),0)),"-")</f>
        <v>-</v>
      </c>
      <c r="K1760" s="49"/>
    </row>
    <row r="1761" spans="1:11" x14ac:dyDescent="0.25">
      <c r="A1761" s="46" t="str" cm="1">
        <f t="array" ref="A1761">IFERROR(INDEX(#REF!,MATCH(TRUE,ISNUMBER(FIND(SUBSTITUTE(SUBSTITUTE(UPPER(#REF!)," ",""),":",": "),SUBSTITUTE(SUBSTITUTE(UPPER(S1761)," ",""),":",": "))),0)),"Undefined")</f>
        <v>Undefined</v>
      </c>
      <c r="B1761" s="42" t="str" cm="1">
        <f t="array" ref="B1761">IFERROR(INDEX({"URGENTE"},MATCH(TRUE,ISNUMBER(FIND(SUBSTITUTE(SUBSTITUTE(UPPER({"URGENTE"})," ",""),":",": "),SUBSTITUTE(SUBSTITUTE(UPPER(S1761)," ",""),":",": "))),0)),"-")</f>
        <v>-</v>
      </c>
      <c r="C1761" s="46" t="str" cm="1">
        <f t="array" ref="C1761">IFERROR(INDEX(#REF!,MATCH(TRUE,ISNUMBER(FIND(SUBSTITUTE(SUBSTITUTE(UPPER(#REF!)," ",""),":",": "),SUBSTITUTE(SUBSTITUTE(UPPER(S1761)," ",""),":",": "))),0)),"Não encontrado")</f>
        <v>Não encontrado</v>
      </c>
      <c r="D1761" s="46" t="str" cm="1">
        <f t="array" ref="D1761">IFERROR(INDEX(#REF!,MATCH(TRUE,ISNUMBER(FIND(SUBSTITUTE(SUBSTITUTE(UPPER(#REF!)," ",""),":",": "),SUBSTITUTE(SUBSTITUTE(UPPER(S1761)," ",""),":",": "))),0)),"Não encontrado")</f>
        <v>Não encontrado</v>
      </c>
      <c r="E1761" s="42" t="str" cm="1">
        <f t="array" ref="E1761">IFERROR(INDEX({"IMPEDITIVO"},MATCH(TRUE,ISNUMBER(FIND(SUBSTITUTE(SUBSTITUTE(UPPER({"IMPEDITIVO"})," ",""),":",": "),SUBSTITUTE(SUBSTITUTE(UPPER(S1761)," ",""),":",": "))),0)),"-")</f>
        <v>-</v>
      </c>
      <c r="K1761" s="49"/>
    </row>
    <row r="1762" spans="1:11" x14ac:dyDescent="0.25">
      <c r="A1762" s="46" t="str" cm="1">
        <f t="array" ref="A1762">IFERROR(INDEX(#REF!,MATCH(TRUE,ISNUMBER(FIND(SUBSTITUTE(SUBSTITUTE(UPPER(#REF!)," ",""),":",": "),SUBSTITUTE(SUBSTITUTE(UPPER(S1762)," ",""),":",": "))),0)),"Undefined")</f>
        <v>Undefined</v>
      </c>
      <c r="B1762" s="42" t="str" cm="1">
        <f t="array" ref="B1762">IFERROR(INDEX({"URGENTE"},MATCH(TRUE,ISNUMBER(FIND(SUBSTITUTE(SUBSTITUTE(UPPER({"URGENTE"})," ",""),":",": "),SUBSTITUTE(SUBSTITUTE(UPPER(S1762)," ",""),":",": "))),0)),"-")</f>
        <v>-</v>
      </c>
      <c r="C1762" s="46" t="str" cm="1">
        <f t="array" ref="C1762">IFERROR(INDEX(#REF!,MATCH(TRUE,ISNUMBER(FIND(SUBSTITUTE(SUBSTITUTE(UPPER(#REF!)," ",""),":",": "),SUBSTITUTE(SUBSTITUTE(UPPER(S1762)," ",""),":",": "))),0)),"Não encontrado")</f>
        <v>Não encontrado</v>
      </c>
      <c r="D1762" s="46" t="str" cm="1">
        <f t="array" ref="D1762">IFERROR(INDEX(#REF!,MATCH(TRUE,ISNUMBER(FIND(SUBSTITUTE(SUBSTITUTE(UPPER(#REF!)," ",""),":",": "),SUBSTITUTE(SUBSTITUTE(UPPER(S1762)," ",""),":",": "))),0)),"Não encontrado")</f>
        <v>Não encontrado</v>
      </c>
      <c r="E1762" s="42" t="str" cm="1">
        <f t="array" ref="E1762">IFERROR(INDEX({"IMPEDITIVO"},MATCH(TRUE,ISNUMBER(FIND(SUBSTITUTE(SUBSTITUTE(UPPER({"IMPEDITIVO"})," ",""),":",": "),SUBSTITUTE(SUBSTITUTE(UPPER(S1762)," ",""),":",": "))),0)),"-")</f>
        <v>-</v>
      </c>
      <c r="K1762" s="49"/>
    </row>
    <row r="1763" spans="1:11" x14ac:dyDescent="0.25">
      <c r="A1763" s="46" t="str" cm="1">
        <f t="array" ref="A1763">IFERROR(INDEX(#REF!,MATCH(TRUE,ISNUMBER(FIND(SUBSTITUTE(SUBSTITUTE(UPPER(#REF!)," ",""),":",": "),SUBSTITUTE(SUBSTITUTE(UPPER(S1763)," ",""),":",": "))),0)),"Undefined")</f>
        <v>Undefined</v>
      </c>
      <c r="B1763" s="42" t="str" cm="1">
        <f t="array" ref="B1763">IFERROR(INDEX({"URGENTE"},MATCH(TRUE,ISNUMBER(FIND(SUBSTITUTE(SUBSTITUTE(UPPER({"URGENTE"})," ",""),":",": "),SUBSTITUTE(SUBSTITUTE(UPPER(S1763)," ",""),":",": "))),0)),"-")</f>
        <v>-</v>
      </c>
      <c r="C1763" s="46" t="str" cm="1">
        <f t="array" ref="C1763">IFERROR(INDEX(#REF!,MATCH(TRUE,ISNUMBER(FIND(SUBSTITUTE(SUBSTITUTE(UPPER(#REF!)," ",""),":",": "),SUBSTITUTE(SUBSTITUTE(UPPER(S1763)," ",""),":",": "))),0)),"Não encontrado")</f>
        <v>Não encontrado</v>
      </c>
      <c r="D1763" s="46" t="str" cm="1">
        <f t="array" ref="D1763">IFERROR(INDEX(#REF!,MATCH(TRUE,ISNUMBER(FIND(SUBSTITUTE(SUBSTITUTE(UPPER(#REF!)," ",""),":",": "),SUBSTITUTE(SUBSTITUTE(UPPER(S1763)," ",""),":",": "))),0)),"Não encontrado")</f>
        <v>Não encontrado</v>
      </c>
      <c r="E1763" s="42" t="str" cm="1">
        <f t="array" ref="E1763">IFERROR(INDEX({"IMPEDITIVO"},MATCH(TRUE,ISNUMBER(FIND(SUBSTITUTE(SUBSTITUTE(UPPER({"IMPEDITIVO"})," ",""),":",": "),SUBSTITUTE(SUBSTITUTE(UPPER(S1763)," ",""),":",": "))),0)),"-")</f>
        <v>-</v>
      </c>
      <c r="K1763" s="49"/>
    </row>
    <row r="1764" spans="1:11" x14ac:dyDescent="0.25">
      <c r="A1764" s="46" t="str" cm="1">
        <f t="array" ref="A1764">IFERROR(INDEX(#REF!,MATCH(TRUE,ISNUMBER(FIND(SUBSTITUTE(SUBSTITUTE(UPPER(#REF!)," ",""),":",": "),SUBSTITUTE(SUBSTITUTE(UPPER(S1764)," ",""),":",": "))),0)),"Undefined")</f>
        <v>Undefined</v>
      </c>
      <c r="B1764" s="42" t="str" cm="1">
        <f t="array" ref="B1764">IFERROR(INDEX({"URGENTE"},MATCH(TRUE,ISNUMBER(FIND(SUBSTITUTE(SUBSTITUTE(UPPER({"URGENTE"})," ",""),":",": "),SUBSTITUTE(SUBSTITUTE(UPPER(S1764)," ",""),":",": "))),0)),"-")</f>
        <v>-</v>
      </c>
      <c r="C1764" s="46" t="str" cm="1">
        <f t="array" ref="C1764">IFERROR(INDEX(#REF!,MATCH(TRUE,ISNUMBER(FIND(SUBSTITUTE(SUBSTITUTE(UPPER(#REF!)," ",""),":",": "),SUBSTITUTE(SUBSTITUTE(UPPER(S1764)," ",""),":",": "))),0)),"Não encontrado")</f>
        <v>Não encontrado</v>
      </c>
      <c r="D1764" s="46" t="str" cm="1">
        <f t="array" ref="D1764">IFERROR(INDEX(#REF!,MATCH(TRUE,ISNUMBER(FIND(SUBSTITUTE(SUBSTITUTE(UPPER(#REF!)," ",""),":",": "),SUBSTITUTE(SUBSTITUTE(UPPER(S1764)," ",""),":",": "))),0)),"Não encontrado")</f>
        <v>Não encontrado</v>
      </c>
      <c r="E1764" s="42" t="str" cm="1">
        <f t="array" ref="E1764">IFERROR(INDEX({"IMPEDITIVO"},MATCH(TRUE,ISNUMBER(FIND(SUBSTITUTE(SUBSTITUTE(UPPER({"IMPEDITIVO"})," ",""),":",": "),SUBSTITUTE(SUBSTITUTE(UPPER(S1764)," ",""),":",": "))),0)),"-")</f>
        <v>-</v>
      </c>
      <c r="K1764" s="49"/>
    </row>
    <row r="1765" spans="1:11" x14ac:dyDescent="0.25">
      <c r="A1765" s="46" t="str" cm="1">
        <f t="array" ref="A1765">IFERROR(INDEX(#REF!,MATCH(TRUE,ISNUMBER(FIND(SUBSTITUTE(SUBSTITUTE(UPPER(#REF!)," ",""),":",": "),SUBSTITUTE(SUBSTITUTE(UPPER(S1765)," ",""),":",": "))),0)),"Undefined")</f>
        <v>Undefined</v>
      </c>
      <c r="B1765" s="42" t="str" cm="1">
        <f t="array" ref="B1765">IFERROR(INDEX({"URGENTE"},MATCH(TRUE,ISNUMBER(FIND(SUBSTITUTE(SUBSTITUTE(UPPER({"URGENTE"})," ",""),":",": "),SUBSTITUTE(SUBSTITUTE(UPPER(S1765)," ",""),":",": "))),0)),"-")</f>
        <v>-</v>
      </c>
      <c r="C1765" s="46" t="str" cm="1">
        <f t="array" ref="C1765">IFERROR(INDEX(#REF!,MATCH(TRUE,ISNUMBER(FIND(SUBSTITUTE(SUBSTITUTE(UPPER(#REF!)," ",""),":",": "),SUBSTITUTE(SUBSTITUTE(UPPER(S1765)," ",""),":",": "))),0)),"Não encontrado")</f>
        <v>Não encontrado</v>
      </c>
      <c r="D1765" s="46" t="str" cm="1">
        <f t="array" ref="D1765">IFERROR(INDEX(#REF!,MATCH(TRUE,ISNUMBER(FIND(SUBSTITUTE(SUBSTITUTE(UPPER(#REF!)," ",""),":",": "),SUBSTITUTE(SUBSTITUTE(UPPER(S1765)," ",""),":",": "))),0)),"Não encontrado")</f>
        <v>Não encontrado</v>
      </c>
      <c r="E1765" s="42" t="str" cm="1">
        <f t="array" ref="E1765">IFERROR(INDEX({"IMPEDITIVO"},MATCH(TRUE,ISNUMBER(FIND(SUBSTITUTE(SUBSTITUTE(UPPER({"IMPEDITIVO"})," ",""),":",": "),SUBSTITUTE(SUBSTITUTE(UPPER(S1765)," ",""),":",": "))),0)),"-")</f>
        <v>-</v>
      </c>
      <c r="K1765" s="49"/>
    </row>
    <row r="1766" spans="1:11" x14ac:dyDescent="0.25">
      <c r="A1766" s="46" t="str" cm="1">
        <f t="array" ref="A1766">IFERROR(INDEX(#REF!,MATCH(TRUE,ISNUMBER(FIND(SUBSTITUTE(SUBSTITUTE(UPPER(#REF!)," ",""),":",": "),SUBSTITUTE(SUBSTITUTE(UPPER(S1766)," ",""),":",": "))),0)),"Undefined")</f>
        <v>Undefined</v>
      </c>
      <c r="B1766" s="42" t="str" cm="1">
        <f t="array" ref="B1766">IFERROR(INDEX({"URGENTE"},MATCH(TRUE,ISNUMBER(FIND(SUBSTITUTE(SUBSTITUTE(UPPER({"URGENTE"})," ",""),":",": "),SUBSTITUTE(SUBSTITUTE(UPPER(S1766)," ",""),":",": "))),0)),"-")</f>
        <v>-</v>
      </c>
      <c r="C1766" s="46" t="str" cm="1">
        <f t="array" ref="C1766">IFERROR(INDEX(#REF!,MATCH(TRUE,ISNUMBER(FIND(SUBSTITUTE(SUBSTITUTE(UPPER(#REF!)," ",""),":",": "),SUBSTITUTE(SUBSTITUTE(UPPER(S1766)," ",""),":",": "))),0)),"Não encontrado")</f>
        <v>Não encontrado</v>
      </c>
      <c r="D1766" s="46" t="str" cm="1">
        <f t="array" ref="D1766">IFERROR(INDEX(#REF!,MATCH(TRUE,ISNUMBER(FIND(SUBSTITUTE(SUBSTITUTE(UPPER(#REF!)," ",""),":",": "),SUBSTITUTE(SUBSTITUTE(UPPER(S1766)," ",""),":",": "))),0)),"Não encontrado")</f>
        <v>Não encontrado</v>
      </c>
      <c r="E1766" s="42" t="str" cm="1">
        <f t="array" ref="E1766">IFERROR(INDEX({"IMPEDITIVO"},MATCH(TRUE,ISNUMBER(FIND(SUBSTITUTE(SUBSTITUTE(UPPER({"IMPEDITIVO"})," ",""),":",": "),SUBSTITUTE(SUBSTITUTE(UPPER(S1766)," ",""),":",": "))),0)),"-")</f>
        <v>-</v>
      </c>
      <c r="K1766" s="49"/>
    </row>
    <row r="1767" spans="1:11" x14ac:dyDescent="0.25">
      <c r="A1767" s="46" t="str" cm="1">
        <f t="array" ref="A1767">IFERROR(INDEX(#REF!,MATCH(TRUE,ISNUMBER(FIND(SUBSTITUTE(SUBSTITUTE(UPPER(#REF!)," ",""),":",": "),SUBSTITUTE(SUBSTITUTE(UPPER(S1767)," ",""),":",": "))),0)),"Undefined")</f>
        <v>Undefined</v>
      </c>
      <c r="B1767" s="42" t="str" cm="1">
        <f t="array" ref="B1767">IFERROR(INDEX({"URGENTE"},MATCH(TRUE,ISNUMBER(FIND(SUBSTITUTE(SUBSTITUTE(UPPER({"URGENTE"})," ",""),":",": "),SUBSTITUTE(SUBSTITUTE(UPPER(S1767)," ",""),":",": "))),0)),"-")</f>
        <v>-</v>
      </c>
      <c r="C1767" s="46" t="str" cm="1">
        <f t="array" ref="C1767">IFERROR(INDEX(#REF!,MATCH(TRUE,ISNUMBER(FIND(SUBSTITUTE(SUBSTITUTE(UPPER(#REF!)," ",""),":",": "),SUBSTITUTE(SUBSTITUTE(UPPER(S1767)," ",""),":",": "))),0)),"Não encontrado")</f>
        <v>Não encontrado</v>
      </c>
      <c r="D1767" s="46" t="str" cm="1">
        <f t="array" ref="D1767">IFERROR(INDEX(#REF!,MATCH(TRUE,ISNUMBER(FIND(SUBSTITUTE(SUBSTITUTE(UPPER(#REF!)," ",""),":",": "),SUBSTITUTE(SUBSTITUTE(UPPER(S1767)," ",""),":",": "))),0)),"Não encontrado")</f>
        <v>Não encontrado</v>
      </c>
      <c r="E1767" s="42" t="str" cm="1">
        <f t="array" ref="E1767">IFERROR(INDEX({"IMPEDITIVO"},MATCH(TRUE,ISNUMBER(FIND(SUBSTITUTE(SUBSTITUTE(UPPER({"IMPEDITIVO"})," ",""),":",": "),SUBSTITUTE(SUBSTITUTE(UPPER(S1767)," ",""),":",": "))),0)),"-")</f>
        <v>-</v>
      </c>
      <c r="K1767" s="49"/>
    </row>
    <row r="1768" spans="1:11" x14ac:dyDescent="0.25">
      <c r="A1768" s="46" t="str" cm="1">
        <f t="array" ref="A1768">IFERROR(INDEX(#REF!,MATCH(TRUE,ISNUMBER(FIND(SUBSTITUTE(SUBSTITUTE(UPPER(#REF!)," ",""),":",": "),SUBSTITUTE(SUBSTITUTE(UPPER(S1768)," ",""),":",": "))),0)),"Undefined")</f>
        <v>Undefined</v>
      </c>
      <c r="B1768" s="42" t="str" cm="1">
        <f t="array" ref="B1768">IFERROR(INDEX({"URGENTE"},MATCH(TRUE,ISNUMBER(FIND(SUBSTITUTE(SUBSTITUTE(UPPER({"URGENTE"})," ",""),":",": "),SUBSTITUTE(SUBSTITUTE(UPPER(S1768)," ",""),":",": "))),0)),"-")</f>
        <v>-</v>
      </c>
      <c r="C1768" s="46" t="str" cm="1">
        <f t="array" ref="C1768">IFERROR(INDEX(#REF!,MATCH(TRUE,ISNUMBER(FIND(SUBSTITUTE(SUBSTITUTE(UPPER(#REF!)," ",""),":",": "),SUBSTITUTE(SUBSTITUTE(UPPER(S1768)," ",""),":",": "))),0)),"Não encontrado")</f>
        <v>Não encontrado</v>
      </c>
      <c r="D1768" s="46" t="str" cm="1">
        <f t="array" ref="D1768">IFERROR(INDEX(#REF!,MATCH(TRUE,ISNUMBER(FIND(SUBSTITUTE(SUBSTITUTE(UPPER(#REF!)," ",""),":",": "),SUBSTITUTE(SUBSTITUTE(UPPER(S1768)," ",""),":",": "))),0)),"Não encontrado")</f>
        <v>Não encontrado</v>
      </c>
      <c r="E1768" s="42" t="str" cm="1">
        <f t="array" ref="E1768">IFERROR(INDEX({"IMPEDITIVO"},MATCH(TRUE,ISNUMBER(FIND(SUBSTITUTE(SUBSTITUTE(UPPER({"IMPEDITIVO"})," ",""),":",": "),SUBSTITUTE(SUBSTITUTE(UPPER(S1768)," ",""),":",": "))),0)),"-")</f>
        <v>-</v>
      </c>
      <c r="K1768" s="49"/>
    </row>
    <row r="1769" spans="1:11" x14ac:dyDescent="0.25">
      <c r="A1769" s="46" t="str" cm="1">
        <f t="array" ref="A1769">IFERROR(INDEX(#REF!,MATCH(TRUE,ISNUMBER(FIND(SUBSTITUTE(SUBSTITUTE(UPPER(#REF!)," ",""),":",": "),SUBSTITUTE(SUBSTITUTE(UPPER(S1769)," ",""),":",": "))),0)),"Undefined")</f>
        <v>Undefined</v>
      </c>
      <c r="B1769" s="42" t="str" cm="1">
        <f t="array" ref="B1769">IFERROR(INDEX({"URGENTE"},MATCH(TRUE,ISNUMBER(FIND(SUBSTITUTE(SUBSTITUTE(UPPER({"URGENTE"})," ",""),":",": "),SUBSTITUTE(SUBSTITUTE(UPPER(S1769)," ",""),":",": "))),0)),"-")</f>
        <v>-</v>
      </c>
      <c r="C1769" s="46" t="str" cm="1">
        <f t="array" ref="C1769">IFERROR(INDEX(#REF!,MATCH(TRUE,ISNUMBER(FIND(SUBSTITUTE(SUBSTITUTE(UPPER(#REF!)," ",""),":",": "),SUBSTITUTE(SUBSTITUTE(UPPER(S1769)," ",""),":",": "))),0)),"Não encontrado")</f>
        <v>Não encontrado</v>
      </c>
      <c r="D1769" s="46" t="str" cm="1">
        <f t="array" ref="D1769">IFERROR(INDEX(#REF!,MATCH(TRUE,ISNUMBER(FIND(SUBSTITUTE(SUBSTITUTE(UPPER(#REF!)," ",""),":",": "),SUBSTITUTE(SUBSTITUTE(UPPER(S1769)," ",""),":",": "))),0)),"Não encontrado")</f>
        <v>Não encontrado</v>
      </c>
      <c r="E1769" s="42" t="str" cm="1">
        <f t="array" ref="E1769">IFERROR(INDEX({"IMPEDITIVO"},MATCH(TRUE,ISNUMBER(FIND(SUBSTITUTE(SUBSTITUTE(UPPER({"IMPEDITIVO"})," ",""),":",": "),SUBSTITUTE(SUBSTITUTE(UPPER(S1769)," ",""),":",": "))),0)),"-")</f>
        <v>-</v>
      </c>
      <c r="K1769" s="49"/>
    </row>
    <row r="1770" spans="1:11" x14ac:dyDescent="0.25">
      <c r="A1770" s="46" t="str" cm="1">
        <f t="array" ref="A1770">IFERROR(INDEX(#REF!,MATCH(TRUE,ISNUMBER(FIND(SUBSTITUTE(SUBSTITUTE(UPPER(#REF!)," ",""),":",": "),SUBSTITUTE(SUBSTITUTE(UPPER(S1770)," ",""),":",": "))),0)),"Undefined")</f>
        <v>Undefined</v>
      </c>
      <c r="B1770" s="42" t="str" cm="1">
        <f t="array" ref="B1770">IFERROR(INDEX({"URGENTE"},MATCH(TRUE,ISNUMBER(FIND(SUBSTITUTE(SUBSTITUTE(UPPER({"URGENTE"})," ",""),":",": "),SUBSTITUTE(SUBSTITUTE(UPPER(S1770)," ",""),":",": "))),0)),"-")</f>
        <v>-</v>
      </c>
      <c r="C1770" s="46" t="str" cm="1">
        <f t="array" ref="C1770">IFERROR(INDEX(#REF!,MATCH(TRUE,ISNUMBER(FIND(SUBSTITUTE(SUBSTITUTE(UPPER(#REF!)," ",""),":",": "),SUBSTITUTE(SUBSTITUTE(UPPER(S1770)," ",""),":",": "))),0)),"Não encontrado")</f>
        <v>Não encontrado</v>
      </c>
      <c r="D1770" s="46" t="str" cm="1">
        <f t="array" ref="D1770">IFERROR(INDEX(#REF!,MATCH(TRUE,ISNUMBER(FIND(SUBSTITUTE(SUBSTITUTE(UPPER(#REF!)," ",""),":",": "),SUBSTITUTE(SUBSTITUTE(UPPER(S1770)," ",""),":",": "))),0)),"Não encontrado")</f>
        <v>Não encontrado</v>
      </c>
      <c r="E1770" s="42" t="str" cm="1">
        <f t="array" ref="E1770">IFERROR(INDEX({"IMPEDITIVO"},MATCH(TRUE,ISNUMBER(FIND(SUBSTITUTE(SUBSTITUTE(UPPER({"IMPEDITIVO"})," ",""),":",": "),SUBSTITUTE(SUBSTITUTE(UPPER(S1770)," ",""),":",": "))),0)),"-")</f>
        <v>-</v>
      </c>
      <c r="K1770" s="49"/>
    </row>
    <row r="1771" spans="1:11" x14ac:dyDescent="0.25">
      <c r="A1771" s="46" t="str" cm="1">
        <f t="array" ref="A1771">IFERROR(INDEX(#REF!,MATCH(TRUE,ISNUMBER(FIND(SUBSTITUTE(SUBSTITUTE(UPPER(#REF!)," ",""),":",": "),SUBSTITUTE(SUBSTITUTE(UPPER(S1771)," ",""),":",": "))),0)),"Undefined")</f>
        <v>Undefined</v>
      </c>
      <c r="B1771" s="42" t="str" cm="1">
        <f t="array" ref="B1771">IFERROR(INDEX({"URGENTE"},MATCH(TRUE,ISNUMBER(FIND(SUBSTITUTE(SUBSTITUTE(UPPER({"URGENTE"})," ",""),":",": "),SUBSTITUTE(SUBSTITUTE(UPPER(S1771)," ",""),":",": "))),0)),"-")</f>
        <v>-</v>
      </c>
      <c r="C1771" s="46" t="str" cm="1">
        <f t="array" ref="C1771">IFERROR(INDEX(#REF!,MATCH(TRUE,ISNUMBER(FIND(SUBSTITUTE(SUBSTITUTE(UPPER(#REF!)," ",""),":",": "),SUBSTITUTE(SUBSTITUTE(UPPER(S1771)," ",""),":",": "))),0)),"Não encontrado")</f>
        <v>Não encontrado</v>
      </c>
      <c r="D1771" s="46" t="str" cm="1">
        <f t="array" ref="D1771">IFERROR(INDEX(#REF!,MATCH(TRUE,ISNUMBER(FIND(SUBSTITUTE(SUBSTITUTE(UPPER(#REF!)," ",""),":",": "),SUBSTITUTE(SUBSTITUTE(UPPER(S1771)," ",""),":",": "))),0)),"Não encontrado")</f>
        <v>Não encontrado</v>
      </c>
      <c r="E1771" s="42" t="str" cm="1">
        <f t="array" ref="E1771">IFERROR(INDEX({"IMPEDITIVO"},MATCH(TRUE,ISNUMBER(FIND(SUBSTITUTE(SUBSTITUTE(UPPER({"IMPEDITIVO"})," ",""),":",": "),SUBSTITUTE(SUBSTITUTE(UPPER(S1771)," ",""),":",": "))),0)),"-")</f>
        <v>-</v>
      </c>
      <c r="K1771" s="49"/>
    </row>
    <row r="1772" spans="1:11" x14ac:dyDescent="0.25">
      <c r="A1772" s="46" t="str" cm="1">
        <f t="array" ref="A1772">IFERROR(INDEX(#REF!,MATCH(TRUE,ISNUMBER(FIND(SUBSTITUTE(SUBSTITUTE(UPPER(#REF!)," ",""),":",": "),SUBSTITUTE(SUBSTITUTE(UPPER(S1772)," ",""),":",": "))),0)),"Undefined")</f>
        <v>Undefined</v>
      </c>
      <c r="B1772" s="42" t="str" cm="1">
        <f t="array" ref="B1772">IFERROR(INDEX({"URGENTE"},MATCH(TRUE,ISNUMBER(FIND(SUBSTITUTE(SUBSTITUTE(UPPER({"URGENTE"})," ",""),":",": "),SUBSTITUTE(SUBSTITUTE(UPPER(S1772)," ",""),":",": "))),0)),"-")</f>
        <v>-</v>
      </c>
      <c r="C1772" s="46" t="str" cm="1">
        <f t="array" ref="C1772">IFERROR(INDEX(#REF!,MATCH(TRUE,ISNUMBER(FIND(SUBSTITUTE(SUBSTITUTE(UPPER(#REF!)," ",""),":",": "),SUBSTITUTE(SUBSTITUTE(UPPER(S1772)," ",""),":",": "))),0)),"Não encontrado")</f>
        <v>Não encontrado</v>
      </c>
      <c r="D1772" s="46" t="str" cm="1">
        <f t="array" ref="D1772">IFERROR(INDEX(#REF!,MATCH(TRUE,ISNUMBER(FIND(SUBSTITUTE(SUBSTITUTE(UPPER(#REF!)," ",""),":",": "),SUBSTITUTE(SUBSTITUTE(UPPER(S1772)," ",""),":",": "))),0)),"Não encontrado")</f>
        <v>Não encontrado</v>
      </c>
      <c r="E1772" s="42" t="str" cm="1">
        <f t="array" ref="E1772">IFERROR(INDEX({"IMPEDITIVO"},MATCH(TRUE,ISNUMBER(FIND(SUBSTITUTE(SUBSTITUTE(UPPER({"IMPEDITIVO"})," ",""),":",": "),SUBSTITUTE(SUBSTITUTE(UPPER(S1772)," ",""),":",": "))),0)),"-")</f>
        <v>-</v>
      </c>
      <c r="K1772" s="49"/>
    </row>
    <row r="1773" spans="1:11" x14ac:dyDescent="0.25">
      <c r="A1773" s="46" t="str" cm="1">
        <f t="array" ref="A1773">IFERROR(INDEX(#REF!,MATCH(TRUE,ISNUMBER(FIND(SUBSTITUTE(SUBSTITUTE(UPPER(#REF!)," ",""),":",": "),SUBSTITUTE(SUBSTITUTE(UPPER(S1773)," ",""),":",": "))),0)),"Undefined")</f>
        <v>Undefined</v>
      </c>
      <c r="B1773" s="42" t="str" cm="1">
        <f t="array" ref="B1773">IFERROR(INDEX({"URGENTE"},MATCH(TRUE,ISNUMBER(FIND(SUBSTITUTE(SUBSTITUTE(UPPER({"URGENTE"})," ",""),":",": "),SUBSTITUTE(SUBSTITUTE(UPPER(S1773)," ",""),":",": "))),0)),"-")</f>
        <v>-</v>
      </c>
      <c r="C1773" s="46" t="str" cm="1">
        <f t="array" ref="C1773">IFERROR(INDEX(#REF!,MATCH(TRUE,ISNUMBER(FIND(SUBSTITUTE(SUBSTITUTE(UPPER(#REF!)," ",""),":",": "),SUBSTITUTE(SUBSTITUTE(UPPER(S1773)," ",""),":",": "))),0)),"Não encontrado")</f>
        <v>Não encontrado</v>
      </c>
      <c r="D1773" s="46" t="str" cm="1">
        <f t="array" ref="D1773">IFERROR(INDEX(#REF!,MATCH(TRUE,ISNUMBER(FIND(SUBSTITUTE(SUBSTITUTE(UPPER(#REF!)," ",""),":",": "),SUBSTITUTE(SUBSTITUTE(UPPER(S1773)," ",""),":",": "))),0)),"Não encontrado")</f>
        <v>Não encontrado</v>
      </c>
      <c r="E1773" s="42" t="str" cm="1">
        <f t="array" ref="E1773">IFERROR(INDEX({"IMPEDITIVO"},MATCH(TRUE,ISNUMBER(FIND(SUBSTITUTE(SUBSTITUTE(UPPER({"IMPEDITIVO"})," ",""),":",": "),SUBSTITUTE(SUBSTITUTE(UPPER(S1773)," ",""),":",": "))),0)),"-")</f>
        <v>-</v>
      </c>
      <c r="K1773" s="49"/>
    </row>
    <row r="1774" spans="1:11" x14ac:dyDescent="0.25">
      <c r="A1774" s="46" t="str" cm="1">
        <f t="array" ref="A1774">IFERROR(INDEX(#REF!,MATCH(TRUE,ISNUMBER(FIND(SUBSTITUTE(SUBSTITUTE(UPPER(#REF!)," ",""),":",": "),SUBSTITUTE(SUBSTITUTE(UPPER(S1774)," ",""),":",": "))),0)),"Undefined")</f>
        <v>Undefined</v>
      </c>
      <c r="B1774" s="42" t="str" cm="1">
        <f t="array" ref="B1774">IFERROR(INDEX({"URGENTE"},MATCH(TRUE,ISNUMBER(FIND(SUBSTITUTE(SUBSTITUTE(UPPER({"URGENTE"})," ",""),":",": "),SUBSTITUTE(SUBSTITUTE(UPPER(S1774)," ",""),":",": "))),0)),"-")</f>
        <v>-</v>
      </c>
      <c r="C1774" s="46" t="str" cm="1">
        <f t="array" ref="C1774">IFERROR(INDEX(#REF!,MATCH(TRUE,ISNUMBER(FIND(SUBSTITUTE(SUBSTITUTE(UPPER(#REF!)," ",""),":",": "),SUBSTITUTE(SUBSTITUTE(UPPER(S1774)," ",""),":",": "))),0)),"Não encontrado")</f>
        <v>Não encontrado</v>
      </c>
      <c r="D1774" s="46" t="str" cm="1">
        <f t="array" ref="D1774">IFERROR(INDEX(#REF!,MATCH(TRUE,ISNUMBER(FIND(SUBSTITUTE(SUBSTITUTE(UPPER(#REF!)," ",""),":",": "),SUBSTITUTE(SUBSTITUTE(UPPER(S1774)," ",""),":",": "))),0)),"Não encontrado")</f>
        <v>Não encontrado</v>
      </c>
      <c r="E1774" s="42" t="str" cm="1">
        <f t="array" ref="E1774">IFERROR(INDEX({"IMPEDITIVO"},MATCH(TRUE,ISNUMBER(FIND(SUBSTITUTE(SUBSTITUTE(UPPER({"IMPEDITIVO"})," ",""),":",": "),SUBSTITUTE(SUBSTITUTE(UPPER(S1774)," ",""),":",": "))),0)),"-")</f>
        <v>-</v>
      </c>
      <c r="K1774" s="49"/>
    </row>
    <row r="1775" spans="1:11" x14ac:dyDescent="0.25">
      <c r="A1775" s="46" t="str" cm="1">
        <f t="array" ref="A1775">IFERROR(INDEX(#REF!,MATCH(TRUE,ISNUMBER(FIND(SUBSTITUTE(SUBSTITUTE(UPPER(#REF!)," ",""),":",": "),SUBSTITUTE(SUBSTITUTE(UPPER(S1775)," ",""),":",": "))),0)),"Undefined")</f>
        <v>Undefined</v>
      </c>
      <c r="B1775" s="42" t="str" cm="1">
        <f t="array" ref="B1775">IFERROR(INDEX({"URGENTE"},MATCH(TRUE,ISNUMBER(FIND(SUBSTITUTE(SUBSTITUTE(UPPER({"URGENTE"})," ",""),":",": "),SUBSTITUTE(SUBSTITUTE(UPPER(S1775)," ",""),":",": "))),0)),"-")</f>
        <v>-</v>
      </c>
      <c r="C1775" s="46" t="str" cm="1">
        <f t="array" ref="C1775">IFERROR(INDEX(#REF!,MATCH(TRUE,ISNUMBER(FIND(SUBSTITUTE(SUBSTITUTE(UPPER(#REF!)," ",""),":",": "),SUBSTITUTE(SUBSTITUTE(UPPER(S1775)," ",""),":",": "))),0)),"Não encontrado")</f>
        <v>Não encontrado</v>
      </c>
      <c r="D1775" s="46" t="str" cm="1">
        <f t="array" ref="D1775">IFERROR(INDEX(#REF!,MATCH(TRUE,ISNUMBER(FIND(SUBSTITUTE(SUBSTITUTE(UPPER(#REF!)," ",""),":",": "),SUBSTITUTE(SUBSTITUTE(UPPER(S1775)," ",""),":",": "))),0)),"Não encontrado")</f>
        <v>Não encontrado</v>
      </c>
      <c r="E1775" s="42" t="str" cm="1">
        <f t="array" ref="E1775">IFERROR(INDEX({"IMPEDITIVO"},MATCH(TRUE,ISNUMBER(FIND(SUBSTITUTE(SUBSTITUTE(UPPER({"IMPEDITIVO"})," ",""),":",": "),SUBSTITUTE(SUBSTITUTE(UPPER(S1775)," ",""),":",": "))),0)),"-")</f>
        <v>-</v>
      </c>
      <c r="K1775" s="49"/>
    </row>
    <row r="1776" spans="1:11" x14ac:dyDescent="0.25">
      <c r="A1776" s="46" t="str" cm="1">
        <f t="array" ref="A1776">IFERROR(INDEX(#REF!,MATCH(TRUE,ISNUMBER(FIND(SUBSTITUTE(SUBSTITUTE(UPPER(#REF!)," ",""),":",": "),SUBSTITUTE(SUBSTITUTE(UPPER(S1776)," ",""),":",": "))),0)),"Undefined")</f>
        <v>Undefined</v>
      </c>
      <c r="B1776" s="42" t="str" cm="1">
        <f t="array" ref="B1776">IFERROR(INDEX({"URGENTE"},MATCH(TRUE,ISNUMBER(FIND(SUBSTITUTE(SUBSTITUTE(UPPER({"URGENTE"})," ",""),":",": "),SUBSTITUTE(SUBSTITUTE(UPPER(S1776)," ",""),":",": "))),0)),"-")</f>
        <v>-</v>
      </c>
      <c r="C1776" s="46" t="str" cm="1">
        <f t="array" ref="C1776">IFERROR(INDEX(#REF!,MATCH(TRUE,ISNUMBER(FIND(SUBSTITUTE(SUBSTITUTE(UPPER(#REF!)," ",""),":",": "),SUBSTITUTE(SUBSTITUTE(UPPER(S1776)," ",""),":",": "))),0)),"Não encontrado")</f>
        <v>Não encontrado</v>
      </c>
      <c r="D1776" s="46" t="str" cm="1">
        <f t="array" ref="D1776">IFERROR(INDEX(#REF!,MATCH(TRUE,ISNUMBER(FIND(SUBSTITUTE(SUBSTITUTE(UPPER(#REF!)," ",""),":",": "),SUBSTITUTE(SUBSTITUTE(UPPER(S1776)," ",""),":",": "))),0)),"Não encontrado")</f>
        <v>Não encontrado</v>
      </c>
      <c r="E1776" s="42" t="str" cm="1">
        <f t="array" ref="E1776">IFERROR(INDEX({"IMPEDITIVO"},MATCH(TRUE,ISNUMBER(FIND(SUBSTITUTE(SUBSTITUTE(UPPER({"IMPEDITIVO"})," ",""),":",": "),SUBSTITUTE(SUBSTITUTE(UPPER(S1776)," ",""),":",": "))),0)),"-")</f>
        <v>-</v>
      </c>
      <c r="K1776" s="49"/>
    </row>
    <row r="1777" spans="1:11" x14ac:dyDescent="0.25">
      <c r="A1777" s="46" t="str" cm="1">
        <f t="array" ref="A1777">IFERROR(INDEX(#REF!,MATCH(TRUE,ISNUMBER(FIND(SUBSTITUTE(SUBSTITUTE(UPPER(#REF!)," ",""),":",": "),SUBSTITUTE(SUBSTITUTE(UPPER(S1777)," ",""),":",": "))),0)),"Undefined")</f>
        <v>Undefined</v>
      </c>
      <c r="B1777" s="42" t="str" cm="1">
        <f t="array" ref="B1777">IFERROR(INDEX({"URGENTE"},MATCH(TRUE,ISNUMBER(FIND(SUBSTITUTE(SUBSTITUTE(UPPER({"URGENTE"})," ",""),":",": "),SUBSTITUTE(SUBSTITUTE(UPPER(S1777)," ",""),":",": "))),0)),"-")</f>
        <v>-</v>
      </c>
      <c r="C1777" s="46" t="str" cm="1">
        <f t="array" ref="C1777">IFERROR(INDEX(#REF!,MATCH(TRUE,ISNUMBER(FIND(SUBSTITUTE(SUBSTITUTE(UPPER(#REF!)," ",""),":",": "),SUBSTITUTE(SUBSTITUTE(UPPER(S1777)," ",""),":",": "))),0)),"Não encontrado")</f>
        <v>Não encontrado</v>
      </c>
      <c r="D1777" s="46" t="str" cm="1">
        <f t="array" ref="D1777">IFERROR(INDEX(#REF!,MATCH(TRUE,ISNUMBER(FIND(SUBSTITUTE(SUBSTITUTE(UPPER(#REF!)," ",""),":",": "),SUBSTITUTE(SUBSTITUTE(UPPER(S1777)," ",""),":",": "))),0)),"Não encontrado")</f>
        <v>Não encontrado</v>
      </c>
      <c r="E1777" s="42" t="str" cm="1">
        <f t="array" ref="E1777">IFERROR(INDEX({"IMPEDITIVO"},MATCH(TRUE,ISNUMBER(FIND(SUBSTITUTE(SUBSTITUTE(UPPER({"IMPEDITIVO"})," ",""),":",": "),SUBSTITUTE(SUBSTITUTE(UPPER(S1777)," ",""),":",": "))),0)),"-")</f>
        <v>-</v>
      </c>
      <c r="K1777" s="49"/>
    </row>
    <row r="1778" spans="1:11" x14ac:dyDescent="0.25">
      <c r="A1778" s="46" t="str" cm="1">
        <f t="array" ref="A1778">IFERROR(INDEX(#REF!,MATCH(TRUE,ISNUMBER(FIND(SUBSTITUTE(SUBSTITUTE(UPPER(#REF!)," ",""),":",": "),SUBSTITUTE(SUBSTITUTE(UPPER(S1778)," ",""),":",": "))),0)),"Undefined")</f>
        <v>Undefined</v>
      </c>
      <c r="B1778" s="42" t="str" cm="1">
        <f t="array" ref="B1778">IFERROR(INDEX({"URGENTE"},MATCH(TRUE,ISNUMBER(FIND(SUBSTITUTE(SUBSTITUTE(UPPER({"URGENTE"})," ",""),":",": "),SUBSTITUTE(SUBSTITUTE(UPPER(S1778)," ",""),":",": "))),0)),"-")</f>
        <v>-</v>
      </c>
      <c r="C1778" s="46" t="str" cm="1">
        <f t="array" ref="C1778">IFERROR(INDEX(#REF!,MATCH(TRUE,ISNUMBER(FIND(SUBSTITUTE(SUBSTITUTE(UPPER(#REF!)," ",""),":",": "),SUBSTITUTE(SUBSTITUTE(UPPER(S1778)," ",""),":",": "))),0)),"Não encontrado")</f>
        <v>Não encontrado</v>
      </c>
      <c r="D1778" s="46" t="str" cm="1">
        <f t="array" ref="D1778">IFERROR(INDEX(#REF!,MATCH(TRUE,ISNUMBER(FIND(SUBSTITUTE(SUBSTITUTE(UPPER(#REF!)," ",""),":",": "),SUBSTITUTE(SUBSTITUTE(UPPER(S1778)," ",""),":",": "))),0)),"Não encontrado")</f>
        <v>Não encontrado</v>
      </c>
      <c r="E1778" s="42" t="str" cm="1">
        <f t="array" ref="E1778">IFERROR(INDEX({"IMPEDITIVO"},MATCH(TRUE,ISNUMBER(FIND(SUBSTITUTE(SUBSTITUTE(UPPER({"IMPEDITIVO"})," ",""),":",": "),SUBSTITUTE(SUBSTITUTE(UPPER(S1778)," ",""),":",": "))),0)),"-")</f>
        <v>-</v>
      </c>
      <c r="K1778" s="49"/>
    </row>
    <row r="1779" spans="1:11" x14ac:dyDescent="0.25">
      <c r="A1779" s="46" t="str" cm="1">
        <f t="array" ref="A1779">IFERROR(INDEX(#REF!,MATCH(TRUE,ISNUMBER(FIND(SUBSTITUTE(SUBSTITUTE(UPPER(#REF!)," ",""),":",": "),SUBSTITUTE(SUBSTITUTE(UPPER(S1779)," ",""),":",": "))),0)),"Undefined")</f>
        <v>Undefined</v>
      </c>
      <c r="B1779" s="42" t="str" cm="1">
        <f t="array" ref="B1779">IFERROR(INDEX({"URGENTE"},MATCH(TRUE,ISNUMBER(FIND(SUBSTITUTE(SUBSTITUTE(UPPER({"URGENTE"})," ",""),":",": "),SUBSTITUTE(SUBSTITUTE(UPPER(S1779)," ",""),":",": "))),0)),"-")</f>
        <v>-</v>
      </c>
      <c r="C1779" s="46" t="str" cm="1">
        <f t="array" ref="C1779">IFERROR(INDEX(#REF!,MATCH(TRUE,ISNUMBER(FIND(SUBSTITUTE(SUBSTITUTE(UPPER(#REF!)," ",""),":",": "),SUBSTITUTE(SUBSTITUTE(UPPER(S1779)," ",""),":",": "))),0)),"Não encontrado")</f>
        <v>Não encontrado</v>
      </c>
      <c r="D1779" s="46" t="str" cm="1">
        <f t="array" ref="D1779">IFERROR(INDEX(#REF!,MATCH(TRUE,ISNUMBER(FIND(SUBSTITUTE(SUBSTITUTE(UPPER(#REF!)," ",""),":",": "),SUBSTITUTE(SUBSTITUTE(UPPER(S1779)," ",""),":",": "))),0)),"Não encontrado")</f>
        <v>Não encontrado</v>
      </c>
      <c r="E1779" s="42" t="str" cm="1">
        <f t="array" ref="E1779">IFERROR(INDEX({"IMPEDITIVO"},MATCH(TRUE,ISNUMBER(FIND(SUBSTITUTE(SUBSTITUTE(UPPER({"IMPEDITIVO"})," ",""),":",": "),SUBSTITUTE(SUBSTITUTE(UPPER(S1779)," ",""),":",": "))),0)),"-")</f>
        <v>-</v>
      </c>
      <c r="K1779" s="49"/>
    </row>
    <row r="1780" spans="1:11" x14ac:dyDescent="0.25">
      <c r="A1780" s="46" t="str" cm="1">
        <f t="array" ref="A1780">IFERROR(INDEX(#REF!,MATCH(TRUE,ISNUMBER(FIND(SUBSTITUTE(SUBSTITUTE(UPPER(#REF!)," ",""),":",": "),SUBSTITUTE(SUBSTITUTE(UPPER(S1780)," ",""),":",": "))),0)),"Undefined")</f>
        <v>Undefined</v>
      </c>
      <c r="B1780" s="42" t="str" cm="1">
        <f t="array" ref="B1780">IFERROR(INDEX({"URGENTE"},MATCH(TRUE,ISNUMBER(FIND(SUBSTITUTE(SUBSTITUTE(UPPER({"URGENTE"})," ",""),":",": "),SUBSTITUTE(SUBSTITUTE(UPPER(S1780)," ",""),":",": "))),0)),"-")</f>
        <v>-</v>
      </c>
      <c r="C1780" s="46" t="str" cm="1">
        <f t="array" ref="C1780">IFERROR(INDEX(#REF!,MATCH(TRUE,ISNUMBER(FIND(SUBSTITUTE(SUBSTITUTE(UPPER(#REF!)," ",""),":",": "),SUBSTITUTE(SUBSTITUTE(UPPER(S1780)," ",""),":",": "))),0)),"Não encontrado")</f>
        <v>Não encontrado</v>
      </c>
      <c r="D1780" s="46" t="str" cm="1">
        <f t="array" ref="D1780">IFERROR(INDEX(#REF!,MATCH(TRUE,ISNUMBER(FIND(SUBSTITUTE(SUBSTITUTE(UPPER(#REF!)," ",""),":",": "),SUBSTITUTE(SUBSTITUTE(UPPER(S1780)," ",""),":",": "))),0)),"Não encontrado")</f>
        <v>Não encontrado</v>
      </c>
      <c r="E1780" s="42" t="str" cm="1">
        <f t="array" ref="E1780">IFERROR(INDEX({"IMPEDITIVO"},MATCH(TRUE,ISNUMBER(FIND(SUBSTITUTE(SUBSTITUTE(UPPER({"IMPEDITIVO"})," ",""),":",": "),SUBSTITUTE(SUBSTITUTE(UPPER(S1780)," ",""),":",": "))),0)),"-")</f>
        <v>-</v>
      </c>
      <c r="K1780" s="49"/>
    </row>
    <row r="1781" spans="1:11" x14ac:dyDescent="0.25">
      <c r="A1781" s="46" t="str" cm="1">
        <f t="array" ref="A1781">IFERROR(INDEX(#REF!,MATCH(TRUE,ISNUMBER(FIND(SUBSTITUTE(SUBSTITUTE(UPPER(#REF!)," ",""),":",": "),SUBSTITUTE(SUBSTITUTE(UPPER(S1781)," ",""),":",": "))),0)),"Undefined")</f>
        <v>Undefined</v>
      </c>
      <c r="B1781" s="42" t="str" cm="1">
        <f t="array" ref="B1781">IFERROR(INDEX({"URGENTE"},MATCH(TRUE,ISNUMBER(FIND(SUBSTITUTE(SUBSTITUTE(UPPER({"URGENTE"})," ",""),":",": "),SUBSTITUTE(SUBSTITUTE(UPPER(S1781)," ",""),":",": "))),0)),"-")</f>
        <v>-</v>
      </c>
      <c r="C1781" s="46" t="str" cm="1">
        <f t="array" ref="C1781">IFERROR(INDEX(#REF!,MATCH(TRUE,ISNUMBER(FIND(SUBSTITUTE(SUBSTITUTE(UPPER(#REF!)," ",""),":",": "),SUBSTITUTE(SUBSTITUTE(UPPER(S1781)," ",""),":",": "))),0)),"Não encontrado")</f>
        <v>Não encontrado</v>
      </c>
      <c r="D1781" s="46" t="str" cm="1">
        <f t="array" ref="D1781">IFERROR(INDEX(#REF!,MATCH(TRUE,ISNUMBER(FIND(SUBSTITUTE(SUBSTITUTE(UPPER(#REF!)," ",""),":",": "),SUBSTITUTE(SUBSTITUTE(UPPER(S1781)," ",""),":",": "))),0)),"Não encontrado")</f>
        <v>Não encontrado</v>
      </c>
      <c r="E1781" s="42" t="str" cm="1">
        <f t="array" ref="E1781">IFERROR(INDEX({"IMPEDITIVO"},MATCH(TRUE,ISNUMBER(FIND(SUBSTITUTE(SUBSTITUTE(UPPER({"IMPEDITIVO"})," ",""),":",": "),SUBSTITUTE(SUBSTITUTE(UPPER(S1781)," ",""),":",": "))),0)),"-")</f>
        <v>-</v>
      </c>
      <c r="K1781" s="49"/>
    </row>
    <row r="1782" spans="1:11" x14ac:dyDescent="0.25">
      <c r="A1782" s="46" t="str" cm="1">
        <f t="array" ref="A1782">IFERROR(INDEX(#REF!,MATCH(TRUE,ISNUMBER(FIND(SUBSTITUTE(SUBSTITUTE(UPPER(#REF!)," ",""),":",": "),SUBSTITUTE(SUBSTITUTE(UPPER(S1782)," ",""),":",": "))),0)),"Undefined")</f>
        <v>Undefined</v>
      </c>
      <c r="B1782" s="42" t="str" cm="1">
        <f t="array" ref="B1782">IFERROR(INDEX({"URGENTE"},MATCH(TRUE,ISNUMBER(FIND(SUBSTITUTE(SUBSTITUTE(UPPER({"URGENTE"})," ",""),":",": "),SUBSTITUTE(SUBSTITUTE(UPPER(S1782)," ",""),":",": "))),0)),"-")</f>
        <v>-</v>
      </c>
      <c r="C1782" s="46" t="str" cm="1">
        <f t="array" ref="C1782">IFERROR(INDEX(#REF!,MATCH(TRUE,ISNUMBER(FIND(SUBSTITUTE(SUBSTITUTE(UPPER(#REF!)," ",""),":",": "),SUBSTITUTE(SUBSTITUTE(UPPER(S1782)," ",""),":",": "))),0)),"Não encontrado")</f>
        <v>Não encontrado</v>
      </c>
      <c r="D1782" s="46" t="str" cm="1">
        <f t="array" ref="D1782">IFERROR(INDEX(#REF!,MATCH(TRUE,ISNUMBER(FIND(SUBSTITUTE(SUBSTITUTE(UPPER(#REF!)," ",""),":",": "),SUBSTITUTE(SUBSTITUTE(UPPER(S1782)," ",""),":",": "))),0)),"Não encontrado")</f>
        <v>Não encontrado</v>
      </c>
      <c r="E1782" s="42" t="str" cm="1">
        <f t="array" ref="E1782">IFERROR(INDEX({"IMPEDITIVO"},MATCH(TRUE,ISNUMBER(FIND(SUBSTITUTE(SUBSTITUTE(UPPER({"IMPEDITIVO"})," ",""),":",": "),SUBSTITUTE(SUBSTITUTE(UPPER(S1782)," ",""),":",": "))),0)),"-")</f>
        <v>-</v>
      </c>
      <c r="K1782" s="49"/>
    </row>
    <row r="1783" spans="1:11" x14ac:dyDescent="0.25">
      <c r="A1783" s="46" t="str" cm="1">
        <f t="array" ref="A1783">IFERROR(INDEX(#REF!,MATCH(TRUE,ISNUMBER(FIND(SUBSTITUTE(SUBSTITUTE(UPPER(#REF!)," ",""),":",": "),SUBSTITUTE(SUBSTITUTE(UPPER(S1783)," ",""),":",": "))),0)),"Undefined")</f>
        <v>Undefined</v>
      </c>
      <c r="B1783" s="42" t="str" cm="1">
        <f t="array" ref="B1783">IFERROR(INDEX({"URGENTE"},MATCH(TRUE,ISNUMBER(FIND(SUBSTITUTE(SUBSTITUTE(UPPER({"URGENTE"})," ",""),":",": "),SUBSTITUTE(SUBSTITUTE(UPPER(S1783)," ",""),":",": "))),0)),"-")</f>
        <v>-</v>
      </c>
      <c r="C1783" s="46" t="str" cm="1">
        <f t="array" ref="C1783">IFERROR(INDEX(#REF!,MATCH(TRUE,ISNUMBER(FIND(SUBSTITUTE(SUBSTITUTE(UPPER(#REF!)," ",""),":",": "),SUBSTITUTE(SUBSTITUTE(UPPER(S1783)," ",""),":",": "))),0)),"Não encontrado")</f>
        <v>Não encontrado</v>
      </c>
      <c r="D1783" s="46" t="str" cm="1">
        <f t="array" ref="D1783">IFERROR(INDEX(#REF!,MATCH(TRUE,ISNUMBER(FIND(SUBSTITUTE(SUBSTITUTE(UPPER(#REF!)," ",""),":",": "),SUBSTITUTE(SUBSTITUTE(UPPER(S1783)," ",""),":",": "))),0)),"Não encontrado")</f>
        <v>Não encontrado</v>
      </c>
      <c r="E1783" s="42" t="str" cm="1">
        <f t="array" ref="E1783">IFERROR(INDEX({"IMPEDITIVO"},MATCH(TRUE,ISNUMBER(FIND(SUBSTITUTE(SUBSTITUTE(UPPER({"IMPEDITIVO"})," ",""),":",": "),SUBSTITUTE(SUBSTITUTE(UPPER(S1783)," ",""),":",": "))),0)),"-")</f>
        <v>-</v>
      </c>
      <c r="K1783" s="49"/>
    </row>
    <row r="1784" spans="1:11" x14ac:dyDescent="0.25">
      <c r="A1784" s="46" t="str" cm="1">
        <f t="array" ref="A1784">IFERROR(INDEX(#REF!,MATCH(TRUE,ISNUMBER(FIND(SUBSTITUTE(SUBSTITUTE(UPPER(#REF!)," ",""),":",": "),SUBSTITUTE(SUBSTITUTE(UPPER(S1784)," ",""),":",": "))),0)),"Undefined")</f>
        <v>Undefined</v>
      </c>
      <c r="B1784" s="42" t="str" cm="1">
        <f t="array" ref="B1784">IFERROR(INDEX({"URGENTE"},MATCH(TRUE,ISNUMBER(FIND(SUBSTITUTE(SUBSTITUTE(UPPER({"URGENTE"})," ",""),":",": "),SUBSTITUTE(SUBSTITUTE(UPPER(S1784)," ",""),":",": "))),0)),"-")</f>
        <v>-</v>
      </c>
      <c r="C1784" s="46" t="str" cm="1">
        <f t="array" ref="C1784">IFERROR(INDEX(#REF!,MATCH(TRUE,ISNUMBER(FIND(SUBSTITUTE(SUBSTITUTE(UPPER(#REF!)," ",""),":",": "),SUBSTITUTE(SUBSTITUTE(UPPER(S1784)," ",""),":",": "))),0)),"Não encontrado")</f>
        <v>Não encontrado</v>
      </c>
      <c r="D1784" s="46" t="str" cm="1">
        <f t="array" ref="D1784">IFERROR(INDEX(#REF!,MATCH(TRUE,ISNUMBER(FIND(SUBSTITUTE(SUBSTITUTE(UPPER(#REF!)," ",""),":",": "),SUBSTITUTE(SUBSTITUTE(UPPER(S1784)," ",""),":",": "))),0)),"Não encontrado")</f>
        <v>Não encontrado</v>
      </c>
      <c r="E1784" s="42" t="str" cm="1">
        <f t="array" ref="E1784">IFERROR(INDEX({"IMPEDITIVO"},MATCH(TRUE,ISNUMBER(FIND(SUBSTITUTE(SUBSTITUTE(UPPER({"IMPEDITIVO"})," ",""),":",": "),SUBSTITUTE(SUBSTITUTE(UPPER(S1784)," ",""),":",": "))),0)),"-")</f>
        <v>-</v>
      </c>
      <c r="K1784" s="49"/>
    </row>
    <row r="1785" spans="1:11" x14ac:dyDescent="0.25">
      <c r="A1785" s="46" t="str" cm="1">
        <f t="array" ref="A1785">IFERROR(INDEX(#REF!,MATCH(TRUE,ISNUMBER(FIND(SUBSTITUTE(SUBSTITUTE(UPPER(#REF!)," ",""),":",": "),SUBSTITUTE(SUBSTITUTE(UPPER(S1785)," ",""),":",": "))),0)),"Undefined")</f>
        <v>Undefined</v>
      </c>
      <c r="B1785" s="42" t="str" cm="1">
        <f t="array" ref="B1785">IFERROR(INDEX({"URGENTE"},MATCH(TRUE,ISNUMBER(FIND(SUBSTITUTE(SUBSTITUTE(UPPER({"URGENTE"})," ",""),":",": "),SUBSTITUTE(SUBSTITUTE(UPPER(S1785)," ",""),":",": "))),0)),"-")</f>
        <v>-</v>
      </c>
      <c r="C1785" s="46" t="str" cm="1">
        <f t="array" ref="C1785">IFERROR(INDEX(#REF!,MATCH(TRUE,ISNUMBER(FIND(SUBSTITUTE(SUBSTITUTE(UPPER(#REF!)," ",""),":",": "),SUBSTITUTE(SUBSTITUTE(UPPER(S1785)," ",""),":",": "))),0)),"Não encontrado")</f>
        <v>Não encontrado</v>
      </c>
      <c r="D1785" s="46" t="str" cm="1">
        <f t="array" ref="D1785">IFERROR(INDEX(#REF!,MATCH(TRUE,ISNUMBER(FIND(SUBSTITUTE(SUBSTITUTE(UPPER(#REF!)," ",""),":",": "),SUBSTITUTE(SUBSTITUTE(UPPER(S1785)," ",""),":",": "))),0)),"Não encontrado")</f>
        <v>Não encontrado</v>
      </c>
      <c r="E1785" s="42" t="str" cm="1">
        <f t="array" ref="E1785">IFERROR(INDEX({"IMPEDITIVO"},MATCH(TRUE,ISNUMBER(FIND(SUBSTITUTE(SUBSTITUTE(UPPER({"IMPEDITIVO"})," ",""),":",": "),SUBSTITUTE(SUBSTITUTE(UPPER(S1785)," ",""),":",": "))),0)),"-")</f>
        <v>-</v>
      </c>
      <c r="K1785" s="49"/>
    </row>
    <row r="1786" spans="1:11" x14ac:dyDescent="0.25">
      <c r="A1786" s="46" t="str" cm="1">
        <f t="array" ref="A1786">IFERROR(INDEX(#REF!,MATCH(TRUE,ISNUMBER(FIND(SUBSTITUTE(SUBSTITUTE(UPPER(#REF!)," ",""),":",": "),SUBSTITUTE(SUBSTITUTE(UPPER(S1786)," ",""),":",": "))),0)),"Undefined")</f>
        <v>Undefined</v>
      </c>
      <c r="B1786" s="42" t="str" cm="1">
        <f t="array" ref="B1786">IFERROR(INDEX({"URGENTE"},MATCH(TRUE,ISNUMBER(FIND(SUBSTITUTE(SUBSTITUTE(UPPER({"URGENTE"})," ",""),":",": "),SUBSTITUTE(SUBSTITUTE(UPPER(S1786)," ",""),":",": "))),0)),"-")</f>
        <v>-</v>
      </c>
      <c r="C1786" s="46" t="str" cm="1">
        <f t="array" ref="C1786">IFERROR(INDEX(#REF!,MATCH(TRUE,ISNUMBER(FIND(SUBSTITUTE(SUBSTITUTE(UPPER(#REF!)," ",""),":",": "),SUBSTITUTE(SUBSTITUTE(UPPER(S1786)," ",""),":",": "))),0)),"Não encontrado")</f>
        <v>Não encontrado</v>
      </c>
      <c r="D1786" s="46" t="str" cm="1">
        <f t="array" ref="D1786">IFERROR(INDEX(#REF!,MATCH(TRUE,ISNUMBER(FIND(SUBSTITUTE(SUBSTITUTE(UPPER(#REF!)," ",""),":",": "),SUBSTITUTE(SUBSTITUTE(UPPER(S1786)," ",""),":",": "))),0)),"Não encontrado")</f>
        <v>Não encontrado</v>
      </c>
      <c r="E1786" s="42" t="str" cm="1">
        <f t="array" ref="E1786">IFERROR(INDEX({"IMPEDITIVO"},MATCH(TRUE,ISNUMBER(FIND(SUBSTITUTE(SUBSTITUTE(UPPER({"IMPEDITIVO"})," ",""),":",": "),SUBSTITUTE(SUBSTITUTE(UPPER(S1786)," ",""),":",": "))),0)),"-")</f>
        <v>-</v>
      </c>
      <c r="K1786" s="49"/>
    </row>
    <row r="1787" spans="1:11" x14ac:dyDescent="0.25">
      <c r="A1787" s="46" t="str" cm="1">
        <f t="array" ref="A1787">IFERROR(INDEX(#REF!,MATCH(TRUE,ISNUMBER(FIND(SUBSTITUTE(SUBSTITUTE(UPPER(#REF!)," ",""),":",": "),SUBSTITUTE(SUBSTITUTE(UPPER(S1787)," ",""),":",": "))),0)),"Undefined")</f>
        <v>Undefined</v>
      </c>
      <c r="B1787" s="42" t="str" cm="1">
        <f t="array" ref="B1787">IFERROR(INDEX({"URGENTE"},MATCH(TRUE,ISNUMBER(FIND(SUBSTITUTE(SUBSTITUTE(UPPER({"URGENTE"})," ",""),":",": "),SUBSTITUTE(SUBSTITUTE(UPPER(S1787)," ",""),":",": "))),0)),"-")</f>
        <v>-</v>
      </c>
      <c r="C1787" s="46" t="str" cm="1">
        <f t="array" ref="C1787">IFERROR(INDEX(#REF!,MATCH(TRUE,ISNUMBER(FIND(SUBSTITUTE(SUBSTITUTE(UPPER(#REF!)," ",""),":",": "),SUBSTITUTE(SUBSTITUTE(UPPER(S1787)," ",""),":",": "))),0)),"Não encontrado")</f>
        <v>Não encontrado</v>
      </c>
      <c r="D1787" s="46" t="str" cm="1">
        <f t="array" ref="D1787">IFERROR(INDEX(#REF!,MATCH(TRUE,ISNUMBER(FIND(SUBSTITUTE(SUBSTITUTE(UPPER(#REF!)," ",""),":",": "),SUBSTITUTE(SUBSTITUTE(UPPER(S1787)," ",""),":",": "))),0)),"Não encontrado")</f>
        <v>Não encontrado</v>
      </c>
      <c r="E1787" s="42" t="str" cm="1">
        <f t="array" ref="E1787">IFERROR(INDEX({"IMPEDITIVO"},MATCH(TRUE,ISNUMBER(FIND(SUBSTITUTE(SUBSTITUTE(UPPER({"IMPEDITIVO"})," ",""),":",": "),SUBSTITUTE(SUBSTITUTE(UPPER(S1787)," ",""),":",": "))),0)),"-")</f>
        <v>-</v>
      </c>
      <c r="K1787" s="49"/>
    </row>
    <row r="1788" spans="1:11" x14ac:dyDescent="0.25">
      <c r="A1788" s="46" t="str" cm="1">
        <f t="array" ref="A1788">IFERROR(INDEX(#REF!,MATCH(TRUE,ISNUMBER(FIND(SUBSTITUTE(SUBSTITUTE(UPPER(#REF!)," ",""),":",": "),SUBSTITUTE(SUBSTITUTE(UPPER(S1788)," ",""),":",": "))),0)),"Undefined")</f>
        <v>Undefined</v>
      </c>
      <c r="B1788" s="42" t="str" cm="1">
        <f t="array" ref="B1788">IFERROR(INDEX({"URGENTE"},MATCH(TRUE,ISNUMBER(FIND(SUBSTITUTE(SUBSTITUTE(UPPER({"URGENTE"})," ",""),":",": "),SUBSTITUTE(SUBSTITUTE(UPPER(S1788)," ",""),":",": "))),0)),"-")</f>
        <v>-</v>
      </c>
      <c r="C1788" s="46" t="str" cm="1">
        <f t="array" ref="C1788">IFERROR(INDEX(#REF!,MATCH(TRUE,ISNUMBER(FIND(SUBSTITUTE(SUBSTITUTE(UPPER(#REF!)," ",""),":",": "),SUBSTITUTE(SUBSTITUTE(UPPER(S1788)," ",""),":",": "))),0)),"Não encontrado")</f>
        <v>Não encontrado</v>
      </c>
      <c r="D1788" s="46" t="str" cm="1">
        <f t="array" ref="D1788">IFERROR(INDEX(#REF!,MATCH(TRUE,ISNUMBER(FIND(SUBSTITUTE(SUBSTITUTE(UPPER(#REF!)," ",""),":",": "),SUBSTITUTE(SUBSTITUTE(UPPER(S1788)," ",""),":",": "))),0)),"Não encontrado")</f>
        <v>Não encontrado</v>
      </c>
      <c r="E1788" s="42" t="str" cm="1">
        <f t="array" ref="E1788">IFERROR(INDEX({"IMPEDITIVO"},MATCH(TRUE,ISNUMBER(FIND(SUBSTITUTE(SUBSTITUTE(UPPER({"IMPEDITIVO"})," ",""),":",": "),SUBSTITUTE(SUBSTITUTE(UPPER(S1788)," ",""),":",": "))),0)),"-")</f>
        <v>-</v>
      </c>
      <c r="K1788" s="49"/>
    </row>
    <row r="1789" spans="1:11" x14ac:dyDescent="0.25">
      <c r="A1789" s="46" t="str" cm="1">
        <f t="array" ref="A1789">IFERROR(INDEX(#REF!,MATCH(TRUE,ISNUMBER(FIND(SUBSTITUTE(SUBSTITUTE(UPPER(#REF!)," ",""),":",": "),SUBSTITUTE(SUBSTITUTE(UPPER(S1789)," ",""),":",": "))),0)),"Undefined")</f>
        <v>Undefined</v>
      </c>
      <c r="B1789" s="42" t="str" cm="1">
        <f t="array" ref="B1789">IFERROR(INDEX({"URGENTE"},MATCH(TRUE,ISNUMBER(FIND(SUBSTITUTE(SUBSTITUTE(UPPER({"URGENTE"})," ",""),":",": "),SUBSTITUTE(SUBSTITUTE(UPPER(S1789)," ",""),":",": "))),0)),"-")</f>
        <v>-</v>
      </c>
      <c r="C1789" s="46" t="str" cm="1">
        <f t="array" ref="C1789">IFERROR(INDEX(#REF!,MATCH(TRUE,ISNUMBER(FIND(SUBSTITUTE(SUBSTITUTE(UPPER(#REF!)," ",""),":",": "),SUBSTITUTE(SUBSTITUTE(UPPER(S1789)," ",""),":",": "))),0)),"Não encontrado")</f>
        <v>Não encontrado</v>
      </c>
      <c r="D1789" s="46" t="str" cm="1">
        <f t="array" ref="D1789">IFERROR(INDEX(#REF!,MATCH(TRUE,ISNUMBER(FIND(SUBSTITUTE(SUBSTITUTE(UPPER(#REF!)," ",""),":",": "),SUBSTITUTE(SUBSTITUTE(UPPER(S1789)," ",""),":",": "))),0)),"Não encontrado")</f>
        <v>Não encontrado</v>
      </c>
      <c r="E1789" s="42" t="str" cm="1">
        <f t="array" ref="E1789">IFERROR(INDEX({"IMPEDITIVO"},MATCH(TRUE,ISNUMBER(FIND(SUBSTITUTE(SUBSTITUTE(UPPER({"IMPEDITIVO"})," ",""),":",": "),SUBSTITUTE(SUBSTITUTE(UPPER(S1789)," ",""),":",": "))),0)),"-")</f>
        <v>-</v>
      </c>
      <c r="K1789" s="49"/>
    </row>
    <row r="1790" spans="1:11" x14ac:dyDescent="0.25">
      <c r="A1790" s="46" t="str" cm="1">
        <f t="array" ref="A1790">IFERROR(INDEX(#REF!,MATCH(TRUE,ISNUMBER(FIND(SUBSTITUTE(SUBSTITUTE(UPPER(#REF!)," ",""),":",": "),SUBSTITUTE(SUBSTITUTE(UPPER(S1790)," ",""),":",": "))),0)),"Undefined")</f>
        <v>Undefined</v>
      </c>
      <c r="B1790" s="42" t="str" cm="1">
        <f t="array" ref="B1790">IFERROR(INDEX({"URGENTE"},MATCH(TRUE,ISNUMBER(FIND(SUBSTITUTE(SUBSTITUTE(UPPER({"URGENTE"})," ",""),":",": "),SUBSTITUTE(SUBSTITUTE(UPPER(S1790)," ",""),":",": "))),0)),"-")</f>
        <v>-</v>
      </c>
      <c r="C1790" s="46" t="str" cm="1">
        <f t="array" ref="C1790">IFERROR(INDEX(#REF!,MATCH(TRUE,ISNUMBER(FIND(SUBSTITUTE(SUBSTITUTE(UPPER(#REF!)," ",""),":",": "),SUBSTITUTE(SUBSTITUTE(UPPER(S1790)," ",""),":",": "))),0)),"Não encontrado")</f>
        <v>Não encontrado</v>
      </c>
      <c r="D1790" s="46" t="str" cm="1">
        <f t="array" ref="D1790">IFERROR(INDEX(#REF!,MATCH(TRUE,ISNUMBER(FIND(SUBSTITUTE(SUBSTITUTE(UPPER(#REF!)," ",""),":",": "),SUBSTITUTE(SUBSTITUTE(UPPER(S1790)," ",""),":",": "))),0)),"Não encontrado")</f>
        <v>Não encontrado</v>
      </c>
      <c r="E1790" s="42" t="str" cm="1">
        <f t="array" ref="E1790">IFERROR(INDEX({"IMPEDITIVO"},MATCH(TRUE,ISNUMBER(FIND(SUBSTITUTE(SUBSTITUTE(UPPER({"IMPEDITIVO"})," ",""),":",": "),SUBSTITUTE(SUBSTITUTE(UPPER(S1790)," ",""),":",": "))),0)),"-")</f>
        <v>-</v>
      </c>
      <c r="K1790" s="49"/>
    </row>
    <row r="1791" spans="1:11" x14ac:dyDescent="0.25">
      <c r="A1791" s="46" t="str" cm="1">
        <f t="array" ref="A1791">IFERROR(INDEX(#REF!,MATCH(TRUE,ISNUMBER(FIND(SUBSTITUTE(SUBSTITUTE(UPPER(#REF!)," ",""),":",": "),SUBSTITUTE(SUBSTITUTE(UPPER(S1791)," ",""),":",": "))),0)),"Undefined")</f>
        <v>Undefined</v>
      </c>
      <c r="B1791" s="42" t="str" cm="1">
        <f t="array" ref="B1791">IFERROR(INDEX({"URGENTE"},MATCH(TRUE,ISNUMBER(FIND(SUBSTITUTE(SUBSTITUTE(UPPER({"URGENTE"})," ",""),":",": "),SUBSTITUTE(SUBSTITUTE(UPPER(S1791)," ",""),":",": "))),0)),"-")</f>
        <v>-</v>
      </c>
      <c r="C1791" s="46" t="str" cm="1">
        <f t="array" ref="C1791">IFERROR(INDEX(#REF!,MATCH(TRUE,ISNUMBER(FIND(SUBSTITUTE(SUBSTITUTE(UPPER(#REF!)," ",""),":",": "),SUBSTITUTE(SUBSTITUTE(UPPER(S1791)," ",""),":",": "))),0)),"Não encontrado")</f>
        <v>Não encontrado</v>
      </c>
      <c r="D1791" s="46" t="str" cm="1">
        <f t="array" ref="D1791">IFERROR(INDEX(#REF!,MATCH(TRUE,ISNUMBER(FIND(SUBSTITUTE(SUBSTITUTE(UPPER(#REF!)," ",""),":",": "),SUBSTITUTE(SUBSTITUTE(UPPER(S1791)," ",""),":",": "))),0)),"Não encontrado")</f>
        <v>Não encontrado</v>
      </c>
      <c r="E1791" s="42" t="str" cm="1">
        <f t="array" ref="E1791">IFERROR(INDEX({"IMPEDITIVO"},MATCH(TRUE,ISNUMBER(FIND(SUBSTITUTE(SUBSTITUTE(UPPER({"IMPEDITIVO"})," ",""),":",": "),SUBSTITUTE(SUBSTITUTE(UPPER(S1791)," ",""),":",": "))),0)),"-")</f>
        <v>-</v>
      </c>
      <c r="K1791" s="49"/>
    </row>
    <row r="1792" spans="1:11" x14ac:dyDescent="0.25">
      <c r="A1792" s="46" t="str" cm="1">
        <f t="array" ref="A1792">IFERROR(INDEX(#REF!,MATCH(TRUE,ISNUMBER(FIND(SUBSTITUTE(SUBSTITUTE(UPPER(#REF!)," ",""),":",": "),SUBSTITUTE(SUBSTITUTE(UPPER(S1792)," ",""),":",": "))),0)),"Undefined")</f>
        <v>Undefined</v>
      </c>
      <c r="B1792" s="42" t="str" cm="1">
        <f t="array" ref="B1792">IFERROR(INDEX({"URGENTE"},MATCH(TRUE,ISNUMBER(FIND(SUBSTITUTE(SUBSTITUTE(UPPER({"URGENTE"})," ",""),":",": "),SUBSTITUTE(SUBSTITUTE(UPPER(S1792)," ",""),":",": "))),0)),"-")</f>
        <v>-</v>
      </c>
      <c r="C1792" s="46" t="str" cm="1">
        <f t="array" ref="C1792">IFERROR(INDEX(#REF!,MATCH(TRUE,ISNUMBER(FIND(SUBSTITUTE(SUBSTITUTE(UPPER(#REF!)," ",""),":",": "),SUBSTITUTE(SUBSTITUTE(UPPER(S1792)," ",""),":",": "))),0)),"Não encontrado")</f>
        <v>Não encontrado</v>
      </c>
      <c r="D1792" s="46" t="str" cm="1">
        <f t="array" ref="D1792">IFERROR(INDEX(#REF!,MATCH(TRUE,ISNUMBER(FIND(SUBSTITUTE(SUBSTITUTE(UPPER(#REF!)," ",""),":",": "),SUBSTITUTE(SUBSTITUTE(UPPER(S1792)," ",""),":",": "))),0)),"Não encontrado")</f>
        <v>Não encontrado</v>
      </c>
      <c r="E1792" s="42" t="str" cm="1">
        <f t="array" ref="E1792">IFERROR(INDEX({"IMPEDITIVO"},MATCH(TRUE,ISNUMBER(FIND(SUBSTITUTE(SUBSTITUTE(UPPER({"IMPEDITIVO"})," ",""),":",": "),SUBSTITUTE(SUBSTITUTE(UPPER(S1792)," ",""),":",": "))),0)),"-")</f>
        <v>-</v>
      </c>
      <c r="K1792" s="49"/>
    </row>
    <row r="1793" spans="1:11" x14ac:dyDescent="0.25">
      <c r="A1793" s="46" t="str" cm="1">
        <f t="array" ref="A1793">IFERROR(INDEX(#REF!,MATCH(TRUE,ISNUMBER(FIND(SUBSTITUTE(SUBSTITUTE(UPPER(#REF!)," ",""),":",": "),SUBSTITUTE(SUBSTITUTE(UPPER(S1793)," ",""),":",": "))),0)),"Undefined")</f>
        <v>Undefined</v>
      </c>
      <c r="B1793" s="42" t="str" cm="1">
        <f t="array" ref="B1793">IFERROR(INDEX({"URGENTE"},MATCH(TRUE,ISNUMBER(FIND(SUBSTITUTE(SUBSTITUTE(UPPER({"URGENTE"})," ",""),":",": "),SUBSTITUTE(SUBSTITUTE(UPPER(S1793)," ",""),":",": "))),0)),"-")</f>
        <v>-</v>
      </c>
      <c r="C1793" s="46" t="str" cm="1">
        <f t="array" ref="C1793">IFERROR(INDEX(#REF!,MATCH(TRUE,ISNUMBER(FIND(SUBSTITUTE(SUBSTITUTE(UPPER(#REF!)," ",""),":",": "),SUBSTITUTE(SUBSTITUTE(UPPER(S1793)," ",""),":",": "))),0)),"Não encontrado")</f>
        <v>Não encontrado</v>
      </c>
      <c r="D1793" s="46" t="str" cm="1">
        <f t="array" ref="D1793">IFERROR(INDEX(#REF!,MATCH(TRUE,ISNUMBER(FIND(SUBSTITUTE(SUBSTITUTE(UPPER(#REF!)," ",""),":",": "),SUBSTITUTE(SUBSTITUTE(UPPER(S1793)," ",""),":",": "))),0)),"Não encontrado")</f>
        <v>Não encontrado</v>
      </c>
      <c r="E1793" s="42" t="str" cm="1">
        <f t="array" ref="E1793">IFERROR(INDEX({"IMPEDITIVO"},MATCH(TRUE,ISNUMBER(FIND(SUBSTITUTE(SUBSTITUTE(UPPER({"IMPEDITIVO"})," ",""),":",": "),SUBSTITUTE(SUBSTITUTE(UPPER(S1793)," ",""),":",": "))),0)),"-")</f>
        <v>-</v>
      </c>
      <c r="K1793" s="49"/>
    </row>
    <row r="1794" spans="1:11" x14ac:dyDescent="0.25">
      <c r="A1794" s="46" t="str" cm="1">
        <f t="array" ref="A1794">IFERROR(INDEX(#REF!,MATCH(TRUE,ISNUMBER(FIND(SUBSTITUTE(SUBSTITUTE(UPPER(#REF!)," ",""),":",": "),SUBSTITUTE(SUBSTITUTE(UPPER(S1794)," ",""),":",": "))),0)),"Undefined")</f>
        <v>Undefined</v>
      </c>
      <c r="B1794" s="42" t="str" cm="1">
        <f t="array" ref="B1794">IFERROR(INDEX({"URGENTE"},MATCH(TRUE,ISNUMBER(FIND(SUBSTITUTE(SUBSTITUTE(UPPER({"URGENTE"})," ",""),":",": "),SUBSTITUTE(SUBSTITUTE(UPPER(S1794)," ",""),":",": "))),0)),"-")</f>
        <v>-</v>
      </c>
      <c r="C1794" s="46" t="str" cm="1">
        <f t="array" ref="C1794">IFERROR(INDEX(#REF!,MATCH(TRUE,ISNUMBER(FIND(SUBSTITUTE(SUBSTITUTE(UPPER(#REF!)," ",""),":",": "),SUBSTITUTE(SUBSTITUTE(UPPER(S1794)," ",""),":",": "))),0)),"Não encontrado")</f>
        <v>Não encontrado</v>
      </c>
      <c r="D1794" s="46" t="str" cm="1">
        <f t="array" ref="D1794">IFERROR(INDEX(#REF!,MATCH(TRUE,ISNUMBER(FIND(SUBSTITUTE(SUBSTITUTE(UPPER(#REF!)," ",""),":",": "),SUBSTITUTE(SUBSTITUTE(UPPER(S1794)," ",""),":",": "))),0)),"Não encontrado")</f>
        <v>Não encontrado</v>
      </c>
      <c r="E1794" s="42" t="str" cm="1">
        <f t="array" ref="E1794">IFERROR(INDEX({"IMPEDITIVO"},MATCH(TRUE,ISNUMBER(FIND(SUBSTITUTE(SUBSTITUTE(UPPER({"IMPEDITIVO"})," ",""),":",": "),SUBSTITUTE(SUBSTITUTE(UPPER(S1794)," ",""),":",": "))),0)),"-")</f>
        <v>-</v>
      </c>
      <c r="K1794" s="49"/>
    </row>
    <row r="1795" spans="1:11" x14ac:dyDescent="0.25">
      <c r="A1795" s="46" t="str" cm="1">
        <f t="array" ref="A1795">IFERROR(INDEX(#REF!,MATCH(TRUE,ISNUMBER(FIND(SUBSTITUTE(SUBSTITUTE(UPPER(#REF!)," ",""),":",": "),SUBSTITUTE(SUBSTITUTE(UPPER(S1795)," ",""),":",": "))),0)),"Undefined")</f>
        <v>Undefined</v>
      </c>
      <c r="B1795" s="42" t="str" cm="1">
        <f t="array" ref="B1795">IFERROR(INDEX({"URGENTE"},MATCH(TRUE,ISNUMBER(FIND(SUBSTITUTE(SUBSTITUTE(UPPER({"URGENTE"})," ",""),":",": "),SUBSTITUTE(SUBSTITUTE(UPPER(S1795)," ",""),":",": "))),0)),"-")</f>
        <v>-</v>
      </c>
      <c r="C1795" s="46" t="str" cm="1">
        <f t="array" ref="C1795">IFERROR(INDEX(#REF!,MATCH(TRUE,ISNUMBER(FIND(SUBSTITUTE(SUBSTITUTE(UPPER(#REF!)," ",""),":",": "),SUBSTITUTE(SUBSTITUTE(UPPER(S1795)," ",""),":",": "))),0)),"Não encontrado")</f>
        <v>Não encontrado</v>
      </c>
      <c r="D1795" s="46" t="str" cm="1">
        <f t="array" ref="D1795">IFERROR(INDEX(#REF!,MATCH(TRUE,ISNUMBER(FIND(SUBSTITUTE(SUBSTITUTE(UPPER(#REF!)," ",""),":",": "),SUBSTITUTE(SUBSTITUTE(UPPER(S1795)," ",""),":",": "))),0)),"Não encontrado")</f>
        <v>Não encontrado</v>
      </c>
      <c r="E1795" s="42" t="str" cm="1">
        <f t="array" ref="E1795">IFERROR(INDEX({"IMPEDITIVO"},MATCH(TRUE,ISNUMBER(FIND(SUBSTITUTE(SUBSTITUTE(UPPER({"IMPEDITIVO"})," ",""),":",": "),SUBSTITUTE(SUBSTITUTE(UPPER(S1795)," ",""),":",": "))),0)),"-")</f>
        <v>-</v>
      </c>
      <c r="K1795" s="49"/>
    </row>
    <row r="1796" spans="1:11" x14ac:dyDescent="0.25">
      <c r="A1796" s="46" t="str" cm="1">
        <f t="array" ref="A1796">IFERROR(INDEX(#REF!,MATCH(TRUE,ISNUMBER(FIND(SUBSTITUTE(SUBSTITUTE(UPPER(#REF!)," ",""),":",": "),SUBSTITUTE(SUBSTITUTE(UPPER(S1796)," ",""),":",": "))),0)),"Undefined")</f>
        <v>Undefined</v>
      </c>
      <c r="B1796" s="42" t="str" cm="1">
        <f t="array" ref="B1796">IFERROR(INDEX({"URGENTE"},MATCH(TRUE,ISNUMBER(FIND(SUBSTITUTE(SUBSTITUTE(UPPER({"URGENTE"})," ",""),":",": "),SUBSTITUTE(SUBSTITUTE(UPPER(S1796)," ",""),":",": "))),0)),"-")</f>
        <v>-</v>
      </c>
      <c r="C1796" s="46" t="str" cm="1">
        <f t="array" ref="C1796">IFERROR(INDEX(#REF!,MATCH(TRUE,ISNUMBER(FIND(SUBSTITUTE(SUBSTITUTE(UPPER(#REF!)," ",""),":",": "),SUBSTITUTE(SUBSTITUTE(UPPER(S1796)," ",""),":",": "))),0)),"Não encontrado")</f>
        <v>Não encontrado</v>
      </c>
      <c r="D1796" s="46" t="str" cm="1">
        <f t="array" ref="D1796">IFERROR(INDEX(#REF!,MATCH(TRUE,ISNUMBER(FIND(SUBSTITUTE(SUBSTITUTE(UPPER(#REF!)," ",""),":",": "),SUBSTITUTE(SUBSTITUTE(UPPER(S1796)," ",""),":",": "))),0)),"Não encontrado")</f>
        <v>Não encontrado</v>
      </c>
      <c r="E1796" s="42" t="str" cm="1">
        <f t="array" ref="E1796">IFERROR(INDEX({"IMPEDITIVO"},MATCH(TRUE,ISNUMBER(FIND(SUBSTITUTE(SUBSTITUTE(UPPER({"IMPEDITIVO"})," ",""),":",": "),SUBSTITUTE(SUBSTITUTE(UPPER(S1796)," ",""),":",": "))),0)),"-")</f>
        <v>-</v>
      </c>
      <c r="K1796" s="49"/>
    </row>
    <row r="1797" spans="1:11" x14ac:dyDescent="0.25">
      <c r="A1797" s="46" t="str" cm="1">
        <f t="array" ref="A1797">IFERROR(INDEX(#REF!,MATCH(TRUE,ISNUMBER(FIND(SUBSTITUTE(SUBSTITUTE(UPPER(#REF!)," ",""),":",": "),SUBSTITUTE(SUBSTITUTE(UPPER(S1797)," ",""),":",": "))),0)),"Undefined")</f>
        <v>Undefined</v>
      </c>
      <c r="B1797" s="42" t="str" cm="1">
        <f t="array" ref="B1797">IFERROR(INDEX({"URGENTE"},MATCH(TRUE,ISNUMBER(FIND(SUBSTITUTE(SUBSTITUTE(UPPER({"URGENTE"})," ",""),":",": "),SUBSTITUTE(SUBSTITUTE(UPPER(S1797)," ",""),":",": "))),0)),"-")</f>
        <v>-</v>
      </c>
      <c r="C1797" s="46" t="str" cm="1">
        <f t="array" ref="C1797">IFERROR(INDEX(#REF!,MATCH(TRUE,ISNUMBER(FIND(SUBSTITUTE(SUBSTITUTE(UPPER(#REF!)," ",""),":",": "),SUBSTITUTE(SUBSTITUTE(UPPER(S1797)," ",""),":",": "))),0)),"Não encontrado")</f>
        <v>Não encontrado</v>
      </c>
      <c r="D1797" s="46" t="str" cm="1">
        <f t="array" ref="D1797">IFERROR(INDEX(#REF!,MATCH(TRUE,ISNUMBER(FIND(SUBSTITUTE(SUBSTITUTE(UPPER(#REF!)," ",""),":",": "),SUBSTITUTE(SUBSTITUTE(UPPER(S1797)," ",""),":",": "))),0)),"Não encontrado")</f>
        <v>Não encontrado</v>
      </c>
      <c r="E1797" s="42" t="str" cm="1">
        <f t="array" ref="E1797">IFERROR(INDEX({"IMPEDITIVO"},MATCH(TRUE,ISNUMBER(FIND(SUBSTITUTE(SUBSTITUTE(UPPER({"IMPEDITIVO"})," ",""),":",": "),SUBSTITUTE(SUBSTITUTE(UPPER(S1797)," ",""),":",": "))),0)),"-")</f>
        <v>-</v>
      </c>
      <c r="K1797" s="49"/>
    </row>
    <row r="1798" spans="1:11" x14ac:dyDescent="0.25">
      <c r="A1798" s="46" t="str" cm="1">
        <f t="array" ref="A1798">IFERROR(INDEX(#REF!,MATCH(TRUE,ISNUMBER(FIND(SUBSTITUTE(SUBSTITUTE(UPPER(#REF!)," ",""),":",": "),SUBSTITUTE(SUBSTITUTE(UPPER(S1798)," ",""),":",": "))),0)),"Undefined")</f>
        <v>Undefined</v>
      </c>
      <c r="B1798" s="42" t="str" cm="1">
        <f t="array" ref="B1798">IFERROR(INDEX({"URGENTE"},MATCH(TRUE,ISNUMBER(FIND(SUBSTITUTE(SUBSTITUTE(UPPER({"URGENTE"})," ",""),":",": "),SUBSTITUTE(SUBSTITUTE(UPPER(S1798)," ",""),":",": "))),0)),"-")</f>
        <v>-</v>
      </c>
      <c r="C1798" s="46" t="str" cm="1">
        <f t="array" ref="C1798">IFERROR(INDEX(#REF!,MATCH(TRUE,ISNUMBER(FIND(SUBSTITUTE(SUBSTITUTE(UPPER(#REF!)," ",""),":",": "),SUBSTITUTE(SUBSTITUTE(UPPER(S1798)," ",""),":",": "))),0)),"Não encontrado")</f>
        <v>Não encontrado</v>
      </c>
      <c r="D1798" s="46" t="str" cm="1">
        <f t="array" ref="D1798">IFERROR(INDEX(#REF!,MATCH(TRUE,ISNUMBER(FIND(SUBSTITUTE(SUBSTITUTE(UPPER(#REF!)," ",""),":",": "),SUBSTITUTE(SUBSTITUTE(UPPER(S1798)," ",""),":",": "))),0)),"Não encontrado")</f>
        <v>Não encontrado</v>
      </c>
      <c r="E1798" s="42" t="str" cm="1">
        <f t="array" ref="E1798">IFERROR(INDEX({"IMPEDITIVO"},MATCH(TRUE,ISNUMBER(FIND(SUBSTITUTE(SUBSTITUTE(UPPER({"IMPEDITIVO"})," ",""),":",": "),SUBSTITUTE(SUBSTITUTE(UPPER(S1798)," ",""),":",": "))),0)),"-")</f>
        <v>-</v>
      </c>
      <c r="K1798" s="49"/>
    </row>
    <row r="1799" spans="1:11" x14ac:dyDescent="0.25">
      <c r="A1799" s="46" t="str" cm="1">
        <f t="array" ref="A1799">IFERROR(INDEX(#REF!,MATCH(TRUE,ISNUMBER(FIND(SUBSTITUTE(SUBSTITUTE(UPPER(#REF!)," ",""),":",": "),SUBSTITUTE(SUBSTITUTE(UPPER(S1799)," ",""),":",": "))),0)),"Undefined")</f>
        <v>Undefined</v>
      </c>
      <c r="B1799" s="42" t="str" cm="1">
        <f t="array" ref="B1799">IFERROR(INDEX({"URGENTE"},MATCH(TRUE,ISNUMBER(FIND(SUBSTITUTE(SUBSTITUTE(UPPER({"URGENTE"})," ",""),":",": "),SUBSTITUTE(SUBSTITUTE(UPPER(S1799)," ",""),":",": "))),0)),"-")</f>
        <v>-</v>
      </c>
      <c r="C1799" s="46" t="str" cm="1">
        <f t="array" ref="C1799">IFERROR(INDEX(#REF!,MATCH(TRUE,ISNUMBER(FIND(SUBSTITUTE(SUBSTITUTE(UPPER(#REF!)," ",""),":",": "),SUBSTITUTE(SUBSTITUTE(UPPER(S1799)," ",""),":",": "))),0)),"Não encontrado")</f>
        <v>Não encontrado</v>
      </c>
      <c r="D1799" s="46" t="str" cm="1">
        <f t="array" ref="D1799">IFERROR(INDEX(#REF!,MATCH(TRUE,ISNUMBER(FIND(SUBSTITUTE(SUBSTITUTE(UPPER(#REF!)," ",""),":",": "),SUBSTITUTE(SUBSTITUTE(UPPER(S1799)," ",""),":",": "))),0)),"Não encontrado")</f>
        <v>Não encontrado</v>
      </c>
      <c r="E1799" s="42" t="str" cm="1">
        <f t="array" ref="E1799">IFERROR(INDEX({"IMPEDITIVO"},MATCH(TRUE,ISNUMBER(FIND(SUBSTITUTE(SUBSTITUTE(UPPER({"IMPEDITIVO"})," ",""),":",": "),SUBSTITUTE(SUBSTITUTE(UPPER(S1799)," ",""),":",": "))),0)),"-")</f>
        <v>-</v>
      </c>
      <c r="K1799" s="49"/>
    </row>
    <row r="1800" spans="1:11" x14ac:dyDescent="0.25">
      <c r="A1800" s="46" t="str" cm="1">
        <f t="array" ref="A1800">IFERROR(INDEX(#REF!,MATCH(TRUE,ISNUMBER(FIND(SUBSTITUTE(SUBSTITUTE(UPPER(#REF!)," ",""),":",": "),SUBSTITUTE(SUBSTITUTE(UPPER(S1800)," ",""),":",": "))),0)),"Undefined")</f>
        <v>Undefined</v>
      </c>
      <c r="B1800" s="42" t="str" cm="1">
        <f t="array" ref="B1800">IFERROR(INDEX({"URGENTE"},MATCH(TRUE,ISNUMBER(FIND(SUBSTITUTE(SUBSTITUTE(UPPER({"URGENTE"})," ",""),":",": "),SUBSTITUTE(SUBSTITUTE(UPPER(S1800)," ",""),":",": "))),0)),"-")</f>
        <v>-</v>
      </c>
      <c r="C1800" s="46" t="str" cm="1">
        <f t="array" ref="C1800">IFERROR(INDEX(#REF!,MATCH(TRUE,ISNUMBER(FIND(SUBSTITUTE(SUBSTITUTE(UPPER(#REF!)," ",""),":",": "),SUBSTITUTE(SUBSTITUTE(UPPER(S1800)," ",""),":",": "))),0)),"Não encontrado")</f>
        <v>Não encontrado</v>
      </c>
      <c r="D1800" s="46" t="str" cm="1">
        <f t="array" ref="D1800">IFERROR(INDEX(#REF!,MATCH(TRUE,ISNUMBER(FIND(SUBSTITUTE(SUBSTITUTE(UPPER(#REF!)," ",""),":",": "),SUBSTITUTE(SUBSTITUTE(UPPER(S1800)," ",""),":",": "))),0)),"Não encontrado")</f>
        <v>Não encontrado</v>
      </c>
      <c r="E1800" s="42" t="str" cm="1">
        <f t="array" ref="E1800">IFERROR(INDEX({"IMPEDITIVO"},MATCH(TRUE,ISNUMBER(FIND(SUBSTITUTE(SUBSTITUTE(UPPER({"IMPEDITIVO"})," ",""),":",": "),SUBSTITUTE(SUBSTITUTE(UPPER(S1800)," ",""),":",": "))),0)),"-")</f>
        <v>-</v>
      </c>
      <c r="K1800" s="49"/>
    </row>
    <row r="1801" spans="1:11" x14ac:dyDescent="0.25">
      <c r="A1801" s="46" t="str" cm="1">
        <f t="array" ref="A1801">IFERROR(INDEX(#REF!,MATCH(TRUE,ISNUMBER(FIND(SUBSTITUTE(SUBSTITUTE(UPPER(#REF!)," ",""),":",": "),SUBSTITUTE(SUBSTITUTE(UPPER(S1801)," ",""),":",": "))),0)),"Undefined")</f>
        <v>Undefined</v>
      </c>
      <c r="B1801" s="42" t="str" cm="1">
        <f t="array" ref="B1801">IFERROR(INDEX({"URGENTE"},MATCH(TRUE,ISNUMBER(FIND(SUBSTITUTE(SUBSTITUTE(UPPER({"URGENTE"})," ",""),":",": "),SUBSTITUTE(SUBSTITUTE(UPPER(S1801)," ",""),":",": "))),0)),"-")</f>
        <v>-</v>
      </c>
      <c r="C1801" s="46" t="str" cm="1">
        <f t="array" ref="C1801">IFERROR(INDEX(#REF!,MATCH(TRUE,ISNUMBER(FIND(SUBSTITUTE(SUBSTITUTE(UPPER(#REF!)," ",""),":",": "),SUBSTITUTE(SUBSTITUTE(UPPER(S1801)," ",""),":",": "))),0)),"Não encontrado")</f>
        <v>Não encontrado</v>
      </c>
      <c r="D1801" s="46" t="str" cm="1">
        <f t="array" ref="D1801">IFERROR(INDEX(#REF!,MATCH(TRUE,ISNUMBER(FIND(SUBSTITUTE(SUBSTITUTE(UPPER(#REF!)," ",""),":",": "),SUBSTITUTE(SUBSTITUTE(UPPER(S1801)," ",""),":",": "))),0)),"Não encontrado")</f>
        <v>Não encontrado</v>
      </c>
      <c r="E1801" s="42" t="str" cm="1">
        <f t="array" ref="E1801">IFERROR(INDEX({"IMPEDITIVO"},MATCH(TRUE,ISNUMBER(FIND(SUBSTITUTE(SUBSTITUTE(UPPER({"IMPEDITIVO"})," ",""),":",": "),SUBSTITUTE(SUBSTITUTE(UPPER(S1801)," ",""),":",": "))),0)),"-")</f>
        <v>-</v>
      </c>
      <c r="K1801" s="49"/>
    </row>
    <row r="1802" spans="1:11" x14ac:dyDescent="0.25">
      <c r="A1802" s="46" t="str" cm="1">
        <f t="array" ref="A1802">IFERROR(INDEX(#REF!,MATCH(TRUE,ISNUMBER(FIND(SUBSTITUTE(SUBSTITUTE(UPPER(#REF!)," ",""),":",": "),SUBSTITUTE(SUBSTITUTE(UPPER(S1802)," ",""),":",": "))),0)),"Undefined")</f>
        <v>Undefined</v>
      </c>
      <c r="B1802" s="42" t="str" cm="1">
        <f t="array" ref="B1802">IFERROR(INDEX({"URGENTE"},MATCH(TRUE,ISNUMBER(FIND(SUBSTITUTE(SUBSTITUTE(UPPER({"URGENTE"})," ",""),":",": "),SUBSTITUTE(SUBSTITUTE(UPPER(S1802)," ",""),":",": "))),0)),"-")</f>
        <v>-</v>
      </c>
      <c r="C1802" s="46" t="str" cm="1">
        <f t="array" ref="C1802">IFERROR(INDEX(#REF!,MATCH(TRUE,ISNUMBER(FIND(SUBSTITUTE(SUBSTITUTE(UPPER(#REF!)," ",""),":",": "),SUBSTITUTE(SUBSTITUTE(UPPER(S1802)," ",""),":",": "))),0)),"Não encontrado")</f>
        <v>Não encontrado</v>
      </c>
      <c r="D1802" s="46" t="str" cm="1">
        <f t="array" ref="D1802">IFERROR(INDEX(#REF!,MATCH(TRUE,ISNUMBER(FIND(SUBSTITUTE(SUBSTITUTE(UPPER(#REF!)," ",""),":",": "),SUBSTITUTE(SUBSTITUTE(UPPER(S1802)," ",""),":",": "))),0)),"Não encontrado")</f>
        <v>Não encontrado</v>
      </c>
      <c r="E1802" s="42" t="str" cm="1">
        <f t="array" ref="E1802">IFERROR(INDEX({"IMPEDITIVO"},MATCH(TRUE,ISNUMBER(FIND(SUBSTITUTE(SUBSTITUTE(UPPER({"IMPEDITIVO"})," ",""),":",": "),SUBSTITUTE(SUBSTITUTE(UPPER(S1802)," ",""),":",": "))),0)),"-")</f>
        <v>-</v>
      </c>
      <c r="K1802" s="49"/>
    </row>
    <row r="1803" spans="1:11" x14ac:dyDescent="0.25">
      <c r="A1803" s="46" t="str" cm="1">
        <f t="array" ref="A1803">IFERROR(INDEX(#REF!,MATCH(TRUE,ISNUMBER(FIND(SUBSTITUTE(SUBSTITUTE(UPPER(#REF!)," ",""),":",": "),SUBSTITUTE(SUBSTITUTE(UPPER(S1803)," ",""),":",": "))),0)),"Undefined")</f>
        <v>Undefined</v>
      </c>
      <c r="B1803" s="42" t="str" cm="1">
        <f t="array" ref="B1803">IFERROR(INDEX({"URGENTE"},MATCH(TRUE,ISNUMBER(FIND(SUBSTITUTE(SUBSTITUTE(UPPER({"URGENTE"})," ",""),":",": "),SUBSTITUTE(SUBSTITUTE(UPPER(S1803)," ",""),":",": "))),0)),"-")</f>
        <v>-</v>
      </c>
      <c r="C1803" s="46" t="str" cm="1">
        <f t="array" ref="C1803">IFERROR(INDEX(#REF!,MATCH(TRUE,ISNUMBER(FIND(SUBSTITUTE(SUBSTITUTE(UPPER(#REF!)," ",""),":",": "),SUBSTITUTE(SUBSTITUTE(UPPER(S1803)," ",""),":",": "))),0)),"Não encontrado")</f>
        <v>Não encontrado</v>
      </c>
      <c r="D1803" s="46" t="str" cm="1">
        <f t="array" ref="D1803">IFERROR(INDEX(#REF!,MATCH(TRUE,ISNUMBER(FIND(SUBSTITUTE(SUBSTITUTE(UPPER(#REF!)," ",""),":",": "),SUBSTITUTE(SUBSTITUTE(UPPER(S1803)," ",""),":",": "))),0)),"Não encontrado")</f>
        <v>Não encontrado</v>
      </c>
      <c r="E1803" s="42" t="str" cm="1">
        <f t="array" ref="E1803">IFERROR(INDEX({"IMPEDITIVO"},MATCH(TRUE,ISNUMBER(FIND(SUBSTITUTE(SUBSTITUTE(UPPER({"IMPEDITIVO"})," ",""),":",": "),SUBSTITUTE(SUBSTITUTE(UPPER(S1803)," ",""),":",": "))),0)),"-")</f>
        <v>-</v>
      </c>
      <c r="K1803" s="49"/>
    </row>
    <row r="1804" spans="1:11" x14ac:dyDescent="0.25">
      <c r="A1804" s="46" t="str" cm="1">
        <f t="array" ref="A1804">IFERROR(INDEX(#REF!,MATCH(TRUE,ISNUMBER(FIND(SUBSTITUTE(SUBSTITUTE(UPPER(#REF!)," ",""),":",": "),SUBSTITUTE(SUBSTITUTE(UPPER(S1804)," ",""),":",": "))),0)),"Undefined")</f>
        <v>Undefined</v>
      </c>
      <c r="B1804" s="42" t="str" cm="1">
        <f t="array" ref="B1804">IFERROR(INDEX({"URGENTE"},MATCH(TRUE,ISNUMBER(FIND(SUBSTITUTE(SUBSTITUTE(UPPER({"URGENTE"})," ",""),":",": "),SUBSTITUTE(SUBSTITUTE(UPPER(S1804)," ",""),":",": "))),0)),"-")</f>
        <v>-</v>
      </c>
      <c r="C1804" s="46" t="str" cm="1">
        <f t="array" ref="C1804">IFERROR(INDEX(#REF!,MATCH(TRUE,ISNUMBER(FIND(SUBSTITUTE(SUBSTITUTE(UPPER(#REF!)," ",""),":",": "),SUBSTITUTE(SUBSTITUTE(UPPER(S1804)," ",""),":",": "))),0)),"Não encontrado")</f>
        <v>Não encontrado</v>
      </c>
      <c r="D1804" s="46" t="str" cm="1">
        <f t="array" ref="D1804">IFERROR(INDEX(#REF!,MATCH(TRUE,ISNUMBER(FIND(SUBSTITUTE(SUBSTITUTE(UPPER(#REF!)," ",""),":",": "),SUBSTITUTE(SUBSTITUTE(UPPER(S1804)," ",""),":",": "))),0)),"Não encontrado")</f>
        <v>Não encontrado</v>
      </c>
      <c r="E1804" s="42" t="str" cm="1">
        <f t="array" ref="E1804">IFERROR(INDEX({"IMPEDITIVO"},MATCH(TRUE,ISNUMBER(FIND(SUBSTITUTE(SUBSTITUTE(UPPER({"IMPEDITIVO"})," ",""),":",": "),SUBSTITUTE(SUBSTITUTE(UPPER(S1804)," ",""),":",": "))),0)),"-")</f>
        <v>-</v>
      </c>
      <c r="K1804" s="49"/>
    </row>
    <row r="1805" spans="1:11" x14ac:dyDescent="0.25">
      <c r="A1805" s="46" t="str" cm="1">
        <f t="array" ref="A1805">IFERROR(INDEX(#REF!,MATCH(TRUE,ISNUMBER(FIND(SUBSTITUTE(SUBSTITUTE(UPPER(#REF!)," ",""),":",": "),SUBSTITUTE(SUBSTITUTE(UPPER(S1805)," ",""),":",": "))),0)),"Undefined")</f>
        <v>Undefined</v>
      </c>
      <c r="B1805" s="42" t="str" cm="1">
        <f t="array" ref="B1805">IFERROR(INDEX({"URGENTE"},MATCH(TRUE,ISNUMBER(FIND(SUBSTITUTE(SUBSTITUTE(UPPER({"URGENTE"})," ",""),":",": "),SUBSTITUTE(SUBSTITUTE(UPPER(S1805)," ",""),":",": "))),0)),"-")</f>
        <v>-</v>
      </c>
      <c r="C1805" s="46" t="str" cm="1">
        <f t="array" ref="C1805">IFERROR(INDEX(#REF!,MATCH(TRUE,ISNUMBER(FIND(SUBSTITUTE(SUBSTITUTE(UPPER(#REF!)," ",""),":",": "),SUBSTITUTE(SUBSTITUTE(UPPER(S1805)," ",""),":",": "))),0)),"Não encontrado")</f>
        <v>Não encontrado</v>
      </c>
      <c r="D1805" s="46" t="str" cm="1">
        <f t="array" ref="D1805">IFERROR(INDEX(#REF!,MATCH(TRUE,ISNUMBER(FIND(SUBSTITUTE(SUBSTITUTE(UPPER(#REF!)," ",""),":",": "),SUBSTITUTE(SUBSTITUTE(UPPER(S1805)," ",""),":",": "))),0)),"Não encontrado")</f>
        <v>Não encontrado</v>
      </c>
      <c r="E1805" s="42" t="str" cm="1">
        <f t="array" ref="E1805">IFERROR(INDEX({"IMPEDITIVO"},MATCH(TRUE,ISNUMBER(FIND(SUBSTITUTE(SUBSTITUTE(UPPER({"IMPEDITIVO"})," ",""),":",": "),SUBSTITUTE(SUBSTITUTE(UPPER(S1805)," ",""),":",": "))),0)),"-")</f>
        <v>-</v>
      </c>
      <c r="K1805" s="49"/>
    </row>
    <row r="1806" spans="1:11" x14ac:dyDescent="0.25">
      <c r="A1806" s="46" t="str" cm="1">
        <f t="array" ref="A1806">IFERROR(INDEX(#REF!,MATCH(TRUE,ISNUMBER(FIND(SUBSTITUTE(SUBSTITUTE(UPPER(#REF!)," ",""),":",": "),SUBSTITUTE(SUBSTITUTE(UPPER(S1806)," ",""),":",": "))),0)),"Undefined")</f>
        <v>Undefined</v>
      </c>
      <c r="B1806" s="42" t="str" cm="1">
        <f t="array" ref="B1806">IFERROR(INDEX({"URGENTE"},MATCH(TRUE,ISNUMBER(FIND(SUBSTITUTE(SUBSTITUTE(UPPER({"URGENTE"})," ",""),":",": "),SUBSTITUTE(SUBSTITUTE(UPPER(S1806)," ",""),":",": "))),0)),"-")</f>
        <v>-</v>
      </c>
      <c r="C1806" s="46" t="str" cm="1">
        <f t="array" ref="C1806">IFERROR(INDEX(#REF!,MATCH(TRUE,ISNUMBER(FIND(SUBSTITUTE(SUBSTITUTE(UPPER(#REF!)," ",""),":",": "),SUBSTITUTE(SUBSTITUTE(UPPER(S1806)," ",""),":",": "))),0)),"Não encontrado")</f>
        <v>Não encontrado</v>
      </c>
      <c r="D1806" s="46" t="str" cm="1">
        <f t="array" ref="D1806">IFERROR(INDEX(#REF!,MATCH(TRUE,ISNUMBER(FIND(SUBSTITUTE(SUBSTITUTE(UPPER(#REF!)," ",""),":",": "),SUBSTITUTE(SUBSTITUTE(UPPER(S1806)," ",""),":",": "))),0)),"Não encontrado")</f>
        <v>Não encontrado</v>
      </c>
      <c r="E1806" s="42" t="str" cm="1">
        <f t="array" ref="E1806">IFERROR(INDEX({"IMPEDITIVO"},MATCH(TRUE,ISNUMBER(FIND(SUBSTITUTE(SUBSTITUTE(UPPER({"IMPEDITIVO"})," ",""),":",": "),SUBSTITUTE(SUBSTITUTE(UPPER(S1806)," ",""),":",": "))),0)),"-")</f>
        <v>-</v>
      </c>
      <c r="K1806" s="49"/>
    </row>
    <row r="1807" spans="1:11" x14ac:dyDescent="0.25">
      <c r="A1807" s="46" t="str" cm="1">
        <f t="array" ref="A1807">IFERROR(INDEX(#REF!,MATCH(TRUE,ISNUMBER(FIND(SUBSTITUTE(SUBSTITUTE(UPPER(#REF!)," ",""),":",": "),SUBSTITUTE(SUBSTITUTE(UPPER(S1807)," ",""),":",": "))),0)),"Undefined")</f>
        <v>Undefined</v>
      </c>
      <c r="B1807" s="42" t="str" cm="1">
        <f t="array" ref="B1807">IFERROR(INDEX({"URGENTE"},MATCH(TRUE,ISNUMBER(FIND(SUBSTITUTE(SUBSTITUTE(UPPER({"URGENTE"})," ",""),":",": "),SUBSTITUTE(SUBSTITUTE(UPPER(S1807)," ",""),":",": "))),0)),"-")</f>
        <v>-</v>
      </c>
      <c r="C1807" s="46" t="str" cm="1">
        <f t="array" ref="C1807">IFERROR(INDEX(#REF!,MATCH(TRUE,ISNUMBER(FIND(SUBSTITUTE(SUBSTITUTE(UPPER(#REF!)," ",""),":",": "),SUBSTITUTE(SUBSTITUTE(UPPER(S1807)," ",""),":",": "))),0)),"Não encontrado")</f>
        <v>Não encontrado</v>
      </c>
      <c r="D1807" s="46" t="str" cm="1">
        <f t="array" ref="D1807">IFERROR(INDEX(#REF!,MATCH(TRUE,ISNUMBER(FIND(SUBSTITUTE(SUBSTITUTE(UPPER(#REF!)," ",""),":",": "),SUBSTITUTE(SUBSTITUTE(UPPER(S1807)," ",""),":",": "))),0)),"Não encontrado")</f>
        <v>Não encontrado</v>
      </c>
      <c r="E1807" s="42" t="str" cm="1">
        <f t="array" ref="E1807">IFERROR(INDEX({"IMPEDITIVO"},MATCH(TRUE,ISNUMBER(FIND(SUBSTITUTE(SUBSTITUTE(UPPER({"IMPEDITIVO"})," ",""),":",": "),SUBSTITUTE(SUBSTITUTE(UPPER(S1807)," ",""),":",": "))),0)),"-")</f>
        <v>-</v>
      </c>
      <c r="K1807" s="49"/>
    </row>
    <row r="1808" spans="1:11" x14ac:dyDescent="0.25">
      <c r="A1808" s="46" t="str" cm="1">
        <f t="array" ref="A1808">IFERROR(INDEX(#REF!,MATCH(TRUE,ISNUMBER(FIND(SUBSTITUTE(SUBSTITUTE(UPPER(#REF!)," ",""),":",": "),SUBSTITUTE(SUBSTITUTE(UPPER(S1808)," ",""),":",": "))),0)),"Undefined")</f>
        <v>Undefined</v>
      </c>
      <c r="B1808" s="42" t="str" cm="1">
        <f t="array" ref="B1808">IFERROR(INDEX({"URGENTE"},MATCH(TRUE,ISNUMBER(FIND(SUBSTITUTE(SUBSTITUTE(UPPER({"URGENTE"})," ",""),":",": "),SUBSTITUTE(SUBSTITUTE(UPPER(S1808)," ",""),":",": "))),0)),"-")</f>
        <v>-</v>
      </c>
      <c r="C1808" s="46" t="str" cm="1">
        <f t="array" ref="C1808">IFERROR(INDEX(#REF!,MATCH(TRUE,ISNUMBER(FIND(SUBSTITUTE(SUBSTITUTE(UPPER(#REF!)," ",""),":",": "),SUBSTITUTE(SUBSTITUTE(UPPER(S1808)," ",""),":",": "))),0)),"Não encontrado")</f>
        <v>Não encontrado</v>
      </c>
      <c r="D1808" s="46" t="str" cm="1">
        <f t="array" ref="D1808">IFERROR(INDEX(#REF!,MATCH(TRUE,ISNUMBER(FIND(SUBSTITUTE(SUBSTITUTE(UPPER(#REF!)," ",""),":",": "),SUBSTITUTE(SUBSTITUTE(UPPER(S1808)," ",""),":",": "))),0)),"Não encontrado")</f>
        <v>Não encontrado</v>
      </c>
      <c r="E1808" s="42" t="str" cm="1">
        <f t="array" ref="E1808">IFERROR(INDEX({"IMPEDITIVO"},MATCH(TRUE,ISNUMBER(FIND(SUBSTITUTE(SUBSTITUTE(UPPER({"IMPEDITIVO"})," ",""),":",": "),SUBSTITUTE(SUBSTITUTE(UPPER(S1808)," ",""),":",": "))),0)),"-")</f>
        <v>-</v>
      </c>
      <c r="K1808" s="49"/>
    </row>
    <row r="1809" spans="1:11" x14ac:dyDescent="0.25">
      <c r="A1809" s="46" t="str" cm="1">
        <f t="array" ref="A1809">IFERROR(INDEX(#REF!,MATCH(TRUE,ISNUMBER(FIND(SUBSTITUTE(SUBSTITUTE(UPPER(#REF!)," ",""),":",": "),SUBSTITUTE(SUBSTITUTE(UPPER(S1809)," ",""),":",": "))),0)),"Undefined")</f>
        <v>Undefined</v>
      </c>
      <c r="B1809" s="42" t="str" cm="1">
        <f t="array" ref="B1809">IFERROR(INDEX({"URGENTE"},MATCH(TRUE,ISNUMBER(FIND(SUBSTITUTE(SUBSTITUTE(UPPER({"URGENTE"})," ",""),":",": "),SUBSTITUTE(SUBSTITUTE(UPPER(S1809)," ",""),":",": "))),0)),"-")</f>
        <v>-</v>
      </c>
      <c r="C1809" s="46" t="str" cm="1">
        <f t="array" ref="C1809">IFERROR(INDEX(#REF!,MATCH(TRUE,ISNUMBER(FIND(SUBSTITUTE(SUBSTITUTE(UPPER(#REF!)," ",""),":",": "),SUBSTITUTE(SUBSTITUTE(UPPER(S1809)," ",""),":",": "))),0)),"Não encontrado")</f>
        <v>Não encontrado</v>
      </c>
      <c r="D1809" s="46" t="str" cm="1">
        <f t="array" ref="D1809">IFERROR(INDEX(#REF!,MATCH(TRUE,ISNUMBER(FIND(SUBSTITUTE(SUBSTITUTE(UPPER(#REF!)," ",""),":",": "),SUBSTITUTE(SUBSTITUTE(UPPER(S1809)," ",""),":",": "))),0)),"Não encontrado")</f>
        <v>Não encontrado</v>
      </c>
      <c r="E1809" s="42" t="str" cm="1">
        <f t="array" ref="E1809">IFERROR(INDEX({"IMPEDITIVO"},MATCH(TRUE,ISNUMBER(FIND(SUBSTITUTE(SUBSTITUTE(UPPER({"IMPEDITIVO"})," ",""),":",": "),SUBSTITUTE(SUBSTITUTE(UPPER(S1809)," ",""),":",": "))),0)),"-")</f>
        <v>-</v>
      </c>
      <c r="K1809" s="49"/>
    </row>
    <row r="1810" spans="1:11" x14ac:dyDescent="0.25">
      <c r="A1810" s="46" t="str" cm="1">
        <f t="array" ref="A1810">IFERROR(INDEX(#REF!,MATCH(TRUE,ISNUMBER(FIND(SUBSTITUTE(SUBSTITUTE(UPPER(#REF!)," ",""),":",": "),SUBSTITUTE(SUBSTITUTE(UPPER(S1810)," ",""),":",": "))),0)),"Undefined")</f>
        <v>Undefined</v>
      </c>
      <c r="B1810" s="42" t="str" cm="1">
        <f t="array" ref="B1810">IFERROR(INDEX({"URGENTE"},MATCH(TRUE,ISNUMBER(FIND(SUBSTITUTE(SUBSTITUTE(UPPER({"URGENTE"})," ",""),":",": "),SUBSTITUTE(SUBSTITUTE(UPPER(S1810)," ",""),":",": "))),0)),"-")</f>
        <v>-</v>
      </c>
      <c r="C1810" s="46" t="str" cm="1">
        <f t="array" ref="C1810">IFERROR(INDEX(#REF!,MATCH(TRUE,ISNUMBER(FIND(SUBSTITUTE(SUBSTITUTE(UPPER(#REF!)," ",""),":",": "),SUBSTITUTE(SUBSTITUTE(UPPER(S1810)," ",""),":",": "))),0)),"Não encontrado")</f>
        <v>Não encontrado</v>
      </c>
      <c r="D1810" s="46" t="str" cm="1">
        <f t="array" ref="D1810">IFERROR(INDEX(#REF!,MATCH(TRUE,ISNUMBER(FIND(SUBSTITUTE(SUBSTITUTE(UPPER(#REF!)," ",""),":",": "),SUBSTITUTE(SUBSTITUTE(UPPER(S1810)," ",""),":",": "))),0)),"Não encontrado")</f>
        <v>Não encontrado</v>
      </c>
      <c r="E1810" s="42" t="str" cm="1">
        <f t="array" ref="E1810">IFERROR(INDEX({"IMPEDITIVO"},MATCH(TRUE,ISNUMBER(FIND(SUBSTITUTE(SUBSTITUTE(UPPER({"IMPEDITIVO"})," ",""),":",": "),SUBSTITUTE(SUBSTITUTE(UPPER(S1810)," ",""),":",": "))),0)),"-")</f>
        <v>-</v>
      </c>
      <c r="K1810" s="49"/>
    </row>
    <row r="1811" spans="1:11" x14ac:dyDescent="0.25">
      <c r="A1811" s="46" t="str" cm="1">
        <f t="array" ref="A1811">IFERROR(INDEX(#REF!,MATCH(TRUE,ISNUMBER(FIND(SUBSTITUTE(SUBSTITUTE(UPPER(#REF!)," ",""),":",": "),SUBSTITUTE(SUBSTITUTE(UPPER(S1811)," ",""),":",": "))),0)),"Undefined")</f>
        <v>Undefined</v>
      </c>
      <c r="B1811" s="42" t="str" cm="1">
        <f t="array" ref="B1811">IFERROR(INDEX({"URGENTE"},MATCH(TRUE,ISNUMBER(FIND(SUBSTITUTE(SUBSTITUTE(UPPER({"URGENTE"})," ",""),":",": "),SUBSTITUTE(SUBSTITUTE(UPPER(S1811)," ",""),":",": "))),0)),"-")</f>
        <v>-</v>
      </c>
      <c r="C1811" s="46" t="str" cm="1">
        <f t="array" ref="C1811">IFERROR(INDEX(#REF!,MATCH(TRUE,ISNUMBER(FIND(SUBSTITUTE(SUBSTITUTE(UPPER(#REF!)," ",""),":",": "),SUBSTITUTE(SUBSTITUTE(UPPER(S1811)," ",""),":",": "))),0)),"Não encontrado")</f>
        <v>Não encontrado</v>
      </c>
      <c r="D1811" s="46" t="str" cm="1">
        <f t="array" ref="D1811">IFERROR(INDEX(#REF!,MATCH(TRUE,ISNUMBER(FIND(SUBSTITUTE(SUBSTITUTE(UPPER(#REF!)," ",""),":",": "),SUBSTITUTE(SUBSTITUTE(UPPER(S1811)," ",""),":",": "))),0)),"Não encontrado")</f>
        <v>Não encontrado</v>
      </c>
      <c r="E1811" s="42" t="str" cm="1">
        <f t="array" ref="E1811">IFERROR(INDEX({"IMPEDITIVO"},MATCH(TRUE,ISNUMBER(FIND(SUBSTITUTE(SUBSTITUTE(UPPER({"IMPEDITIVO"})," ",""),":",": "),SUBSTITUTE(SUBSTITUTE(UPPER(S1811)," ",""),":",": "))),0)),"-")</f>
        <v>-</v>
      </c>
      <c r="K1811" s="49"/>
    </row>
    <row r="1812" spans="1:11" x14ac:dyDescent="0.25">
      <c r="A1812" s="46" t="str" cm="1">
        <f t="array" ref="A1812">IFERROR(INDEX(#REF!,MATCH(TRUE,ISNUMBER(FIND(SUBSTITUTE(SUBSTITUTE(UPPER(#REF!)," ",""),":",": "),SUBSTITUTE(SUBSTITUTE(UPPER(S1812)," ",""),":",": "))),0)),"Undefined")</f>
        <v>Undefined</v>
      </c>
      <c r="B1812" s="42" t="str" cm="1">
        <f t="array" ref="B1812">IFERROR(INDEX({"URGENTE"},MATCH(TRUE,ISNUMBER(FIND(SUBSTITUTE(SUBSTITUTE(UPPER({"URGENTE"})," ",""),":",": "),SUBSTITUTE(SUBSTITUTE(UPPER(S1812)," ",""),":",": "))),0)),"-")</f>
        <v>-</v>
      </c>
      <c r="C1812" s="46" t="str" cm="1">
        <f t="array" ref="C1812">IFERROR(INDEX(#REF!,MATCH(TRUE,ISNUMBER(FIND(SUBSTITUTE(SUBSTITUTE(UPPER(#REF!)," ",""),":",": "),SUBSTITUTE(SUBSTITUTE(UPPER(S1812)," ",""),":",": "))),0)),"Não encontrado")</f>
        <v>Não encontrado</v>
      </c>
      <c r="D1812" s="46" t="str" cm="1">
        <f t="array" ref="D1812">IFERROR(INDEX(#REF!,MATCH(TRUE,ISNUMBER(FIND(SUBSTITUTE(SUBSTITUTE(UPPER(#REF!)," ",""),":",": "),SUBSTITUTE(SUBSTITUTE(UPPER(S1812)," ",""),":",": "))),0)),"Não encontrado")</f>
        <v>Não encontrado</v>
      </c>
      <c r="E1812" s="42" t="str" cm="1">
        <f t="array" ref="E1812">IFERROR(INDEX({"IMPEDITIVO"},MATCH(TRUE,ISNUMBER(FIND(SUBSTITUTE(SUBSTITUTE(UPPER({"IMPEDITIVO"})," ",""),":",": "),SUBSTITUTE(SUBSTITUTE(UPPER(S1812)," ",""),":",": "))),0)),"-")</f>
        <v>-</v>
      </c>
      <c r="K1812" s="49"/>
    </row>
    <row r="1813" spans="1:11" x14ac:dyDescent="0.25">
      <c r="A1813" s="46" t="str" cm="1">
        <f t="array" ref="A1813">IFERROR(INDEX(#REF!,MATCH(TRUE,ISNUMBER(FIND(SUBSTITUTE(SUBSTITUTE(UPPER(#REF!)," ",""),":",": "),SUBSTITUTE(SUBSTITUTE(UPPER(S1813)," ",""),":",": "))),0)),"Undefined")</f>
        <v>Undefined</v>
      </c>
      <c r="B1813" s="42" t="str" cm="1">
        <f t="array" ref="B1813">IFERROR(INDEX({"URGENTE"},MATCH(TRUE,ISNUMBER(FIND(SUBSTITUTE(SUBSTITUTE(UPPER({"URGENTE"})," ",""),":",": "),SUBSTITUTE(SUBSTITUTE(UPPER(S1813)," ",""),":",": "))),0)),"-")</f>
        <v>-</v>
      </c>
      <c r="C1813" s="46" t="str" cm="1">
        <f t="array" ref="C1813">IFERROR(INDEX(#REF!,MATCH(TRUE,ISNUMBER(FIND(SUBSTITUTE(SUBSTITUTE(UPPER(#REF!)," ",""),":",": "),SUBSTITUTE(SUBSTITUTE(UPPER(S1813)," ",""),":",": "))),0)),"Não encontrado")</f>
        <v>Não encontrado</v>
      </c>
      <c r="D1813" s="46" t="str" cm="1">
        <f t="array" ref="D1813">IFERROR(INDEX(#REF!,MATCH(TRUE,ISNUMBER(FIND(SUBSTITUTE(SUBSTITUTE(UPPER(#REF!)," ",""),":",": "),SUBSTITUTE(SUBSTITUTE(UPPER(S1813)," ",""),":",": "))),0)),"Não encontrado")</f>
        <v>Não encontrado</v>
      </c>
      <c r="E1813" s="42" t="str" cm="1">
        <f t="array" ref="E1813">IFERROR(INDEX({"IMPEDITIVO"},MATCH(TRUE,ISNUMBER(FIND(SUBSTITUTE(SUBSTITUTE(UPPER({"IMPEDITIVO"})," ",""),":",": "),SUBSTITUTE(SUBSTITUTE(UPPER(S1813)," ",""),":",": "))),0)),"-")</f>
        <v>-</v>
      </c>
      <c r="K1813" s="49"/>
    </row>
    <row r="1814" spans="1:11" x14ac:dyDescent="0.25">
      <c r="A1814" s="46" t="str" cm="1">
        <f t="array" ref="A1814">IFERROR(INDEX(#REF!,MATCH(TRUE,ISNUMBER(FIND(SUBSTITUTE(SUBSTITUTE(UPPER(#REF!)," ",""),":",": "),SUBSTITUTE(SUBSTITUTE(UPPER(S1814)," ",""),":",": "))),0)),"Undefined")</f>
        <v>Undefined</v>
      </c>
      <c r="B1814" s="42" t="str" cm="1">
        <f t="array" ref="B1814">IFERROR(INDEX({"URGENTE"},MATCH(TRUE,ISNUMBER(FIND(SUBSTITUTE(SUBSTITUTE(UPPER({"URGENTE"})," ",""),":",": "),SUBSTITUTE(SUBSTITUTE(UPPER(S1814)," ",""),":",": "))),0)),"-")</f>
        <v>-</v>
      </c>
      <c r="C1814" s="46" t="str" cm="1">
        <f t="array" ref="C1814">IFERROR(INDEX(#REF!,MATCH(TRUE,ISNUMBER(FIND(SUBSTITUTE(SUBSTITUTE(UPPER(#REF!)," ",""),":",": "),SUBSTITUTE(SUBSTITUTE(UPPER(S1814)," ",""),":",": "))),0)),"Não encontrado")</f>
        <v>Não encontrado</v>
      </c>
      <c r="D1814" s="46" t="str" cm="1">
        <f t="array" ref="D1814">IFERROR(INDEX(#REF!,MATCH(TRUE,ISNUMBER(FIND(SUBSTITUTE(SUBSTITUTE(UPPER(#REF!)," ",""),":",": "),SUBSTITUTE(SUBSTITUTE(UPPER(S1814)," ",""),":",": "))),0)),"Não encontrado")</f>
        <v>Não encontrado</v>
      </c>
      <c r="E1814" s="42" t="str" cm="1">
        <f t="array" ref="E1814">IFERROR(INDEX({"IMPEDITIVO"},MATCH(TRUE,ISNUMBER(FIND(SUBSTITUTE(SUBSTITUTE(UPPER({"IMPEDITIVO"})," ",""),":",": "),SUBSTITUTE(SUBSTITUTE(UPPER(S1814)," ",""),":",": "))),0)),"-")</f>
        <v>-</v>
      </c>
      <c r="K1814" s="49"/>
    </row>
    <row r="1815" spans="1:11" x14ac:dyDescent="0.25">
      <c r="A1815" s="46" t="str" cm="1">
        <f t="array" ref="A1815">IFERROR(INDEX(#REF!,MATCH(TRUE,ISNUMBER(FIND(SUBSTITUTE(SUBSTITUTE(UPPER(#REF!)," ",""),":",": "),SUBSTITUTE(SUBSTITUTE(UPPER(S1815)," ",""),":",": "))),0)),"Undefined")</f>
        <v>Undefined</v>
      </c>
      <c r="B1815" s="42" t="str" cm="1">
        <f t="array" ref="B1815">IFERROR(INDEX({"URGENTE"},MATCH(TRUE,ISNUMBER(FIND(SUBSTITUTE(SUBSTITUTE(UPPER({"URGENTE"})," ",""),":",": "),SUBSTITUTE(SUBSTITUTE(UPPER(S1815)," ",""),":",": "))),0)),"-")</f>
        <v>-</v>
      </c>
      <c r="C1815" s="46" t="str" cm="1">
        <f t="array" ref="C1815">IFERROR(INDEX(#REF!,MATCH(TRUE,ISNUMBER(FIND(SUBSTITUTE(SUBSTITUTE(UPPER(#REF!)," ",""),":",": "),SUBSTITUTE(SUBSTITUTE(UPPER(S1815)," ",""),":",": "))),0)),"Não encontrado")</f>
        <v>Não encontrado</v>
      </c>
      <c r="D1815" s="46" t="str" cm="1">
        <f t="array" ref="D1815">IFERROR(INDEX(#REF!,MATCH(TRUE,ISNUMBER(FIND(SUBSTITUTE(SUBSTITUTE(UPPER(#REF!)," ",""),":",": "),SUBSTITUTE(SUBSTITUTE(UPPER(S1815)," ",""),":",": "))),0)),"Não encontrado")</f>
        <v>Não encontrado</v>
      </c>
      <c r="E1815" s="42" t="str" cm="1">
        <f t="array" ref="E1815">IFERROR(INDEX({"IMPEDITIVO"},MATCH(TRUE,ISNUMBER(FIND(SUBSTITUTE(SUBSTITUTE(UPPER({"IMPEDITIVO"})," ",""),":",": "),SUBSTITUTE(SUBSTITUTE(UPPER(S1815)," ",""),":",": "))),0)),"-")</f>
        <v>-</v>
      </c>
      <c r="K1815" s="49"/>
    </row>
    <row r="1816" spans="1:11" x14ac:dyDescent="0.25">
      <c r="A1816" s="46" t="str" cm="1">
        <f t="array" ref="A1816">IFERROR(INDEX(#REF!,MATCH(TRUE,ISNUMBER(FIND(SUBSTITUTE(SUBSTITUTE(UPPER(#REF!)," ",""),":",": "),SUBSTITUTE(SUBSTITUTE(UPPER(S1816)," ",""),":",": "))),0)),"Undefined")</f>
        <v>Undefined</v>
      </c>
      <c r="B1816" s="42" t="str" cm="1">
        <f t="array" ref="B1816">IFERROR(INDEX({"URGENTE"},MATCH(TRUE,ISNUMBER(FIND(SUBSTITUTE(SUBSTITUTE(UPPER({"URGENTE"})," ",""),":",": "),SUBSTITUTE(SUBSTITUTE(UPPER(S1816)," ",""),":",": "))),0)),"-")</f>
        <v>-</v>
      </c>
      <c r="C1816" s="46" t="str" cm="1">
        <f t="array" ref="C1816">IFERROR(INDEX(#REF!,MATCH(TRUE,ISNUMBER(FIND(SUBSTITUTE(SUBSTITUTE(UPPER(#REF!)," ",""),":",": "),SUBSTITUTE(SUBSTITUTE(UPPER(S1816)," ",""),":",": "))),0)),"Não encontrado")</f>
        <v>Não encontrado</v>
      </c>
      <c r="D1816" s="46" t="str" cm="1">
        <f t="array" ref="D1816">IFERROR(INDEX(#REF!,MATCH(TRUE,ISNUMBER(FIND(SUBSTITUTE(SUBSTITUTE(UPPER(#REF!)," ",""),":",": "),SUBSTITUTE(SUBSTITUTE(UPPER(S1816)," ",""),":",": "))),0)),"Não encontrado")</f>
        <v>Não encontrado</v>
      </c>
      <c r="E1816" s="42" t="str" cm="1">
        <f t="array" ref="E1816">IFERROR(INDEX({"IMPEDITIVO"},MATCH(TRUE,ISNUMBER(FIND(SUBSTITUTE(SUBSTITUTE(UPPER({"IMPEDITIVO"})," ",""),":",": "),SUBSTITUTE(SUBSTITUTE(UPPER(S1816)," ",""),":",": "))),0)),"-")</f>
        <v>-</v>
      </c>
      <c r="K1816" s="49"/>
    </row>
    <row r="1817" spans="1:11" x14ac:dyDescent="0.25">
      <c r="A1817" s="46" t="str" cm="1">
        <f t="array" ref="A1817">IFERROR(INDEX(#REF!,MATCH(TRUE,ISNUMBER(FIND(SUBSTITUTE(SUBSTITUTE(UPPER(#REF!)," ",""),":",": "),SUBSTITUTE(SUBSTITUTE(UPPER(S1817)," ",""),":",": "))),0)),"Undefined")</f>
        <v>Undefined</v>
      </c>
      <c r="B1817" s="42" t="str" cm="1">
        <f t="array" ref="B1817">IFERROR(INDEX({"URGENTE"},MATCH(TRUE,ISNUMBER(FIND(SUBSTITUTE(SUBSTITUTE(UPPER({"URGENTE"})," ",""),":",": "),SUBSTITUTE(SUBSTITUTE(UPPER(S1817)," ",""),":",": "))),0)),"-")</f>
        <v>-</v>
      </c>
      <c r="C1817" s="46" t="str" cm="1">
        <f t="array" ref="C1817">IFERROR(INDEX(#REF!,MATCH(TRUE,ISNUMBER(FIND(SUBSTITUTE(SUBSTITUTE(UPPER(#REF!)," ",""),":",": "),SUBSTITUTE(SUBSTITUTE(UPPER(S1817)," ",""),":",": "))),0)),"Não encontrado")</f>
        <v>Não encontrado</v>
      </c>
      <c r="D1817" s="46" t="str" cm="1">
        <f t="array" ref="D1817">IFERROR(INDEX(#REF!,MATCH(TRUE,ISNUMBER(FIND(SUBSTITUTE(SUBSTITUTE(UPPER(#REF!)," ",""),":",": "),SUBSTITUTE(SUBSTITUTE(UPPER(S1817)," ",""),":",": "))),0)),"Não encontrado")</f>
        <v>Não encontrado</v>
      </c>
      <c r="E1817" s="42" t="str" cm="1">
        <f t="array" ref="E1817">IFERROR(INDEX({"IMPEDITIVO"},MATCH(TRUE,ISNUMBER(FIND(SUBSTITUTE(SUBSTITUTE(UPPER({"IMPEDITIVO"})," ",""),":",": "),SUBSTITUTE(SUBSTITUTE(UPPER(S1817)," ",""),":",": "))),0)),"-")</f>
        <v>-</v>
      </c>
      <c r="K1817" s="49"/>
    </row>
    <row r="1818" spans="1:11" x14ac:dyDescent="0.25">
      <c r="A1818" s="46" t="str" cm="1">
        <f t="array" ref="A1818">IFERROR(INDEX(#REF!,MATCH(TRUE,ISNUMBER(FIND(SUBSTITUTE(SUBSTITUTE(UPPER(#REF!)," ",""),":",": "),SUBSTITUTE(SUBSTITUTE(UPPER(S1818)," ",""),":",": "))),0)),"Undefined")</f>
        <v>Undefined</v>
      </c>
      <c r="B1818" s="42" t="str" cm="1">
        <f t="array" ref="B1818">IFERROR(INDEX({"URGENTE"},MATCH(TRUE,ISNUMBER(FIND(SUBSTITUTE(SUBSTITUTE(UPPER({"URGENTE"})," ",""),":",": "),SUBSTITUTE(SUBSTITUTE(UPPER(S1818)," ",""),":",": "))),0)),"-")</f>
        <v>-</v>
      </c>
      <c r="C1818" s="46" t="str" cm="1">
        <f t="array" ref="C1818">IFERROR(INDEX(#REF!,MATCH(TRUE,ISNUMBER(FIND(SUBSTITUTE(SUBSTITUTE(UPPER(#REF!)," ",""),":",": "),SUBSTITUTE(SUBSTITUTE(UPPER(S1818)," ",""),":",": "))),0)),"Não encontrado")</f>
        <v>Não encontrado</v>
      </c>
      <c r="D1818" s="46" t="str" cm="1">
        <f t="array" ref="D1818">IFERROR(INDEX(#REF!,MATCH(TRUE,ISNUMBER(FIND(SUBSTITUTE(SUBSTITUTE(UPPER(#REF!)," ",""),":",": "),SUBSTITUTE(SUBSTITUTE(UPPER(S1818)," ",""),":",": "))),0)),"Não encontrado")</f>
        <v>Não encontrado</v>
      </c>
      <c r="E1818" s="42" t="str" cm="1">
        <f t="array" ref="E1818">IFERROR(INDEX({"IMPEDITIVO"},MATCH(TRUE,ISNUMBER(FIND(SUBSTITUTE(SUBSTITUTE(UPPER({"IMPEDITIVO"})," ",""),":",": "),SUBSTITUTE(SUBSTITUTE(UPPER(S1818)," ",""),":",": "))),0)),"-")</f>
        <v>-</v>
      </c>
      <c r="K1818" s="49"/>
    </row>
    <row r="1819" spans="1:11" x14ac:dyDescent="0.25">
      <c r="A1819" s="46" t="str" cm="1">
        <f t="array" ref="A1819">IFERROR(INDEX(#REF!,MATCH(TRUE,ISNUMBER(FIND(SUBSTITUTE(SUBSTITUTE(UPPER(#REF!)," ",""),":",": "),SUBSTITUTE(SUBSTITUTE(UPPER(S1819)," ",""),":",": "))),0)),"Undefined")</f>
        <v>Undefined</v>
      </c>
      <c r="B1819" s="42" t="str" cm="1">
        <f t="array" ref="B1819">IFERROR(INDEX({"URGENTE"},MATCH(TRUE,ISNUMBER(FIND(SUBSTITUTE(SUBSTITUTE(UPPER({"URGENTE"})," ",""),":",": "),SUBSTITUTE(SUBSTITUTE(UPPER(S1819)," ",""),":",": "))),0)),"-")</f>
        <v>-</v>
      </c>
      <c r="C1819" s="46" t="str" cm="1">
        <f t="array" ref="C1819">IFERROR(INDEX(#REF!,MATCH(TRUE,ISNUMBER(FIND(SUBSTITUTE(SUBSTITUTE(UPPER(#REF!)," ",""),":",": "),SUBSTITUTE(SUBSTITUTE(UPPER(S1819)," ",""),":",": "))),0)),"Não encontrado")</f>
        <v>Não encontrado</v>
      </c>
      <c r="D1819" s="46" t="str" cm="1">
        <f t="array" ref="D1819">IFERROR(INDEX(#REF!,MATCH(TRUE,ISNUMBER(FIND(SUBSTITUTE(SUBSTITUTE(UPPER(#REF!)," ",""),":",": "),SUBSTITUTE(SUBSTITUTE(UPPER(S1819)," ",""),":",": "))),0)),"Não encontrado")</f>
        <v>Não encontrado</v>
      </c>
      <c r="E1819" s="42" t="str" cm="1">
        <f t="array" ref="E1819">IFERROR(INDEX({"IMPEDITIVO"},MATCH(TRUE,ISNUMBER(FIND(SUBSTITUTE(SUBSTITUTE(UPPER({"IMPEDITIVO"})," ",""),":",": "),SUBSTITUTE(SUBSTITUTE(UPPER(S1819)," ",""),":",": "))),0)),"-")</f>
        <v>-</v>
      </c>
      <c r="K1819" s="49"/>
    </row>
    <row r="1820" spans="1:11" x14ac:dyDescent="0.25">
      <c r="A1820" s="46" t="str" cm="1">
        <f t="array" ref="A1820">IFERROR(INDEX(#REF!,MATCH(TRUE,ISNUMBER(FIND(SUBSTITUTE(SUBSTITUTE(UPPER(#REF!)," ",""),":",": "),SUBSTITUTE(SUBSTITUTE(UPPER(S1820)," ",""),":",": "))),0)),"Undefined")</f>
        <v>Undefined</v>
      </c>
      <c r="B1820" s="42" t="str" cm="1">
        <f t="array" ref="B1820">IFERROR(INDEX({"URGENTE"},MATCH(TRUE,ISNUMBER(FIND(SUBSTITUTE(SUBSTITUTE(UPPER({"URGENTE"})," ",""),":",": "),SUBSTITUTE(SUBSTITUTE(UPPER(S1820)," ",""),":",": "))),0)),"-")</f>
        <v>-</v>
      </c>
      <c r="C1820" s="46" t="str" cm="1">
        <f t="array" ref="C1820">IFERROR(INDEX(#REF!,MATCH(TRUE,ISNUMBER(FIND(SUBSTITUTE(SUBSTITUTE(UPPER(#REF!)," ",""),":",": "),SUBSTITUTE(SUBSTITUTE(UPPER(S1820)," ",""),":",": "))),0)),"Não encontrado")</f>
        <v>Não encontrado</v>
      </c>
      <c r="D1820" s="46" t="str" cm="1">
        <f t="array" ref="D1820">IFERROR(INDEX(#REF!,MATCH(TRUE,ISNUMBER(FIND(SUBSTITUTE(SUBSTITUTE(UPPER(#REF!)," ",""),":",": "),SUBSTITUTE(SUBSTITUTE(UPPER(S1820)," ",""),":",": "))),0)),"Não encontrado")</f>
        <v>Não encontrado</v>
      </c>
      <c r="E1820" s="42" t="str" cm="1">
        <f t="array" ref="E1820">IFERROR(INDEX({"IMPEDITIVO"},MATCH(TRUE,ISNUMBER(FIND(SUBSTITUTE(SUBSTITUTE(UPPER({"IMPEDITIVO"})," ",""),":",": "),SUBSTITUTE(SUBSTITUTE(UPPER(S1820)," ",""),":",": "))),0)),"-")</f>
        <v>-</v>
      </c>
      <c r="K1820" s="49"/>
    </row>
    <row r="1821" spans="1:11" x14ac:dyDescent="0.25">
      <c r="A1821" s="46" t="str" cm="1">
        <f t="array" ref="A1821">IFERROR(INDEX(#REF!,MATCH(TRUE,ISNUMBER(FIND(SUBSTITUTE(SUBSTITUTE(UPPER(#REF!)," ",""),":",": "),SUBSTITUTE(SUBSTITUTE(UPPER(S1821)," ",""),":",": "))),0)),"Undefined")</f>
        <v>Undefined</v>
      </c>
      <c r="B1821" s="42" t="str" cm="1">
        <f t="array" ref="B1821">IFERROR(INDEX({"URGENTE"},MATCH(TRUE,ISNUMBER(FIND(SUBSTITUTE(SUBSTITUTE(UPPER({"URGENTE"})," ",""),":",": "),SUBSTITUTE(SUBSTITUTE(UPPER(S1821)," ",""),":",": "))),0)),"-")</f>
        <v>-</v>
      </c>
      <c r="C1821" s="46" t="str" cm="1">
        <f t="array" ref="C1821">IFERROR(INDEX(#REF!,MATCH(TRUE,ISNUMBER(FIND(SUBSTITUTE(SUBSTITUTE(UPPER(#REF!)," ",""),":",": "),SUBSTITUTE(SUBSTITUTE(UPPER(S1821)," ",""),":",": "))),0)),"Não encontrado")</f>
        <v>Não encontrado</v>
      </c>
      <c r="D1821" s="46" t="str" cm="1">
        <f t="array" ref="D1821">IFERROR(INDEX(#REF!,MATCH(TRUE,ISNUMBER(FIND(SUBSTITUTE(SUBSTITUTE(UPPER(#REF!)," ",""),":",": "),SUBSTITUTE(SUBSTITUTE(UPPER(S1821)," ",""),":",": "))),0)),"Não encontrado")</f>
        <v>Não encontrado</v>
      </c>
      <c r="E1821" s="42" t="str" cm="1">
        <f t="array" ref="E1821">IFERROR(INDEX({"IMPEDITIVO"},MATCH(TRUE,ISNUMBER(FIND(SUBSTITUTE(SUBSTITUTE(UPPER({"IMPEDITIVO"})," ",""),":",": "),SUBSTITUTE(SUBSTITUTE(UPPER(S1821)," ",""),":",": "))),0)),"-")</f>
        <v>-</v>
      </c>
      <c r="K1821" s="49"/>
    </row>
    <row r="1822" spans="1:11" x14ac:dyDescent="0.25">
      <c r="A1822" s="46" t="str" cm="1">
        <f t="array" ref="A1822">IFERROR(INDEX(#REF!,MATCH(TRUE,ISNUMBER(FIND(SUBSTITUTE(SUBSTITUTE(UPPER(#REF!)," ",""),":",": "),SUBSTITUTE(SUBSTITUTE(UPPER(S1822)," ",""),":",": "))),0)),"Undefined")</f>
        <v>Undefined</v>
      </c>
      <c r="B1822" s="42" t="str" cm="1">
        <f t="array" ref="B1822">IFERROR(INDEX({"URGENTE"},MATCH(TRUE,ISNUMBER(FIND(SUBSTITUTE(SUBSTITUTE(UPPER({"URGENTE"})," ",""),":",": "),SUBSTITUTE(SUBSTITUTE(UPPER(S1822)," ",""),":",": "))),0)),"-")</f>
        <v>-</v>
      </c>
      <c r="C1822" s="46" t="str" cm="1">
        <f t="array" ref="C1822">IFERROR(INDEX(#REF!,MATCH(TRUE,ISNUMBER(FIND(SUBSTITUTE(SUBSTITUTE(UPPER(#REF!)," ",""),":",": "),SUBSTITUTE(SUBSTITUTE(UPPER(S1822)," ",""),":",": "))),0)),"Não encontrado")</f>
        <v>Não encontrado</v>
      </c>
      <c r="D1822" s="46" t="str" cm="1">
        <f t="array" ref="D1822">IFERROR(INDEX(#REF!,MATCH(TRUE,ISNUMBER(FIND(SUBSTITUTE(SUBSTITUTE(UPPER(#REF!)," ",""),":",": "),SUBSTITUTE(SUBSTITUTE(UPPER(S1822)," ",""),":",": "))),0)),"Não encontrado")</f>
        <v>Não encontrado</v>
      </c>
      <c r="E1822" s="42" t="str" cm="1">
        <f t="array" ref="E1822">IFERROR(INDEX({"IMPEDITIVO"},MATCH(TRUE,ISNUMBER(FIND(SUBSTITUTE(SUBSTITUTE(UPPER({"IMPEDITIVO"})," ",""),":",": "),SUBSTITUTE(SUBSTITUTE(UPPER(S1822)," ",""),":",": "))),0)),"-")</f>
        <v>-</v>
      </c>
      <c r="K1822" s="49"/>
    </row>
    <row r="1823" spans="1:11" x14ac:dyDescent="0.25">
      <c r="A1823" s="46" t="str" cm="1">
        <f t="array" ref="A1823">IFERROR(INDEX(#REF!,MATCH(TRUE,ISNUMBER(FIND(SUBSTITUTE(SUBSTITUTE(UPPER(#REF!)," ",""),":",": "),SUBSTITUTE(SUBSTITUTE(UPPER(S1823)," ",""),":",": "))),0)),"Undefined")</f>
        <v>Undefined</v>
      </c>
      <c r="B1823" s="42" t="str" cm="1">
        <f t="array" ref="B1823">IFERROR(INDEX({"URGENTE"},MATCH(TRUE,ISNUMBER(FIND(SUBSTITUTE(SUBSTITUTE(UPPER({"URGENTE"})," ",""),":",": "),SUBSTITUTE(SUBSTITUTE(UPPER(S1823)," ",""),":",": "))),0)),"-")</f>
        <v>-</v>
      </c>
      <c r="C1823" s="46" t="str" cm="1">
        <f t="array" ref="C1823">IFERROR(INDEX(#REF!,MATCH(TRUE,ISNUMBER(FIND(SUBSTITUTE(SUBSTITUTE(UPPER(#REF!)," ",""),":",": "),SUBSTITUTE(SUBSTITUTE(UPPER(S1823)," ",""),":",": "))),0)),"Não encontrado")</f>
        <v>Não encontrado</v>
      </c>
      <c r="D1823" s="46" t="str" cm="1">
        <f t="array" ref="D1823">IFERROR(INDEX(#REF!,MATCH(TRUE,ISNUMBER(FIND(SUBSTITUTE(SUBSTITUTE(UPPER(#REF!)," ",""),":",": "),SUBSTITUTE(SUBSTITUTE(UPPER(S1823)," ",""),":",": "))),0)),"Não encontrado")</f>
        <v>Não encontrado</v>
      </c>
      <c r="E1823" s="42" t="str" cm="1">
        <f t="array" ref="E1823">IFERROR(INDEX({"IMPEDITIVO"},MATCH(TRUE,ISNUMBER(FIND(SUBSTITUTE(SUBSTITUTE(UPPER({"IMPEDITIVO"})," ",""),":",": "),SUBSTITUTE(SUBSTITUTE(UPPER(S1823)," ",""),":",": "))),0)),"-")</f>
        <v>-</v>
      </c>
      <c r="K1823" s="49"/>
    </row>
    <row r="1824" spans="1:11" x14ac:dyDescent="0.25">
      <c r="A1824" s="46" t="str" cm="1">
        <f t="array" ref="A1824">IFERROR(INDEX(#REF!,MATCH(TRUE,ISNUMBER(FIND(SUBSTITUTE(SUBSTITUTE(UPPER(#REF!)," ",""),":",": "),SUBSTITUTE(SUBSTITUTE(UPPER(S1824)," ",""),":",": "))),0)),"Undefined")</f>
        <v>Undefined</v>
      </c>
      <c r="B1824" s="42" t="str" cm="1">
        <f t="array" ref="B1824">IFERROR(INDEX({"URGENTE"},MATCH(TRUE,ISNUMBER(FIND(SUBSTITUTE(SUBSTITUTE(UPPER({"URGENTE"})," ",""),":",": "),SUBSTITUTE(SUBSTITUTE(UPPER(S1824)," ",""),":",": "))),0)),"-")</f>
        <v>-</v>
      </c>
      <c r="C1824" s="46" t="str" cm="1">
        <f t="array" ref="C1824">IFERROR(INDEX(#REF!,MATCH(TRUE,ISNUMBER(FIND(SUBSTITUTE(SUBSTITUTE(UPPER(#REF!)," ",""),":",": "),SUBSTITUTE(SUBSTITUTE(UPPER(S1824)," ",""),":",": "))),0)),"Não encontrado")</f>
        <v>Não encontrado</v>
      </c>
      <c r="D1824" s="46" t="str" cm="1">
        <f t="array" ref="D1824">IFERROR(INDEX(#REF!,MATCH(TRUE,ISNUMBER(FIND(SUBSTITUTE(SUBSTITUTE(UPPER(#REF!)," ",""),":",": "),SUBSTITUTE(SUBSTITUTE(UPPER(S1824)," ",""),":",": "))),0)),"Não encontrado")</f>
        <v>Não encontrado</v>
      </c>
      <c r="E1824" s="42" t="str" cm="1">
        <f t="array" ref="E1824">IFERROR(INDEX({"IMPEDITIVO"},MATCH(TRUE,ISNUMBER(FIND(SUBSTITUTE(SUBSTITUTE(UPPER({"IMPEDITIVO"})," ",""),":",": "),SUBSTITUTE(SUBSTITUTE(UPPER(S1824)," ",""),":",": "))),0)),"-")</f>
        <v>-</v>
      </c>
      <c r="K1824" s="49"/>
    </row>
    <row r="1825" spans="1:11" x14ac:dyDescent="0.25">
      <c r="A1825" s="46" t="str" cm="1">
        <f t="array" ref="A1825">IFERROR(INDEX(#REF!,MATCH(TRUE,ISNUMBER(FIND(SUBSTITUTE(SUBSTITUTE(UPPER(#REF!)," ",""),":",": "),SUBSTITUTE(SUBSTITUTE(UPPER(S1825)," ",""),":",": "))),0)),"Undefined")</f>
        <v>Undefined</v>
      </c>
      <c r="B1825" s="42" t="str" cm="1">
        <f t="array" ref="B1825">IFERROR(INDEX({"URGENTE"},MATCH(TRUE,ISNUMBER(FIND(SUBSTITUTE(SUBSTITUTE(UPPER({"URGENTE"})," ",""),":",": "),SUBSTITUTE(SUBSTITUTE(UPPER(S1825)," ",""),":",": "))),0)),"-")</f>
        <v>-</v>
      </c>
      <c r="C1825" s="46" t="str" cm="1">
        <f t="array" ref="C1825">IFERROR(INDEX(#REF!,MATCH(TRUE,ISNUMBER(FIND(SUBSTITUTE(SUBSTITUTE(UPPER(#REF!)," ",""),":",": "),SUBSTITUTE(SUBSTITUTE(UPPER(S1825)," ",""),":",": "))),0)),"Não encontrado")</f>
        <v>Não encontrado</v>
      </c>
      <c r="D1825" s="46" t="str" cm="1">
        <f t="array" ref="D1825">IFERROR(INDEX(#REF!,MATCH(TRUE,ISNUMBER(FIND(SUBSTITUTE(SUBSTITUTE(UPPER(#REF!)," ",""),":",": "),SUBSTITUTE(SUBSTITUTE(UPPER(S1825)," ",""),":",": "))),0)),"Não encontrado")</f>
        <v>Não encontrado</v>
      </c>
      <c r="E1825" s="42" t="str" cm="1">
        <f t="array" ref="E1825">IFERROR(INDEX({"IMPEDITIVO"},MATCH(TRUE,ISNUMBER(FIND(SUBSTITUTE(SUBSTITUTE(UPPER({"IMPEDITIVO"})," ",""),":",": "),SUBSTITUTE(SUBSTITUTE(UPPER(S1825)," ",""),":",": "))),0)),"-")</f>
        <v>-</v>
      </c>
      <c r="K1825" s="49"/>
    </row>
    <row r="1826" spans="1:11" x14ac:dyDescent="0.25">
      <c r="A1826" s="46" t="str" cm="1">
        <f t="array" ref="A1826">IFERROR(INDEX(#REF!,MATCH(TRUE,ISNUMBER(FIND(SUBSTITUTE(SUBSTITUTE(UPPER(#REF!)," ",""),":",": "),SUBSTITUTE(SUBSTITUTE(UPPER(S1826)," ",""),":",": "))),0)),"Undefined")</f>
        <v>Undefined</v>
      </c>
      <c r="B1826" s="42" t="str" cm="1">
        <f t="array" ref="B1826">IFERROR(INDEX({"URGENTE"},MATCH(TRUE,ISNUMBER(FIND(SUBSTITUTE(SUBSTITUTE(UPPER({"URGENTE"})," ",""),":",": "),SUBSTITUTE(SUBSTITUTE(UPPER(S1826)," ",""),":",": "))),0)),"-")</f>
        <v>-</v>
      </c>
      <c r="C1826" s="46" t="str" cm="1">
        <f t="array" ref="C1826">IFERROR(INDEX(#REF!,MATCH(TRUE,ISNUMBER(FIND(SUBSTITUTE(SUBSTITUTE(UPPER(#REF!)," ",""),":",": "),SUBSTITUTE(SUBSTITUTE(UPPER(S1826)," ",""),":",": "))),0)),"Não encontrado")</f>
        <v>Não encontrado</v>
      </c>
      <c r="D1826" s="46" t="str" cm="1">
        <f t="array" ref="D1826">IFERROR(INDEX(#REF!,MATCH(TRUE,ISNUMBER(FIND(SUBSTITUTE(SUBSTITUTE(UPPER(#REF!)," ",""),":",": "),SUBSTITUTE(SUBSTITUTE(UPPER(S1826)," ",""),":",": "))),0)),"Não encontrado")</f>
        <v>Não encontrado</v>
      </c>
      <c r="E1826" s="42" t="str" cm="1">
        <f t="array" ref="E1826">IFERROR(INDEX({"IMPEDITIVO"},MATCH(TRUE,ISNUMBER(FIND(SUBSTITUTE(SUBSTITUTE(UPPER({"IMPEDITIVO"})," ",""),":",": "),SUBSTITUTE(SUBSTITUTE(UPPER(S1826)," ",""),":",": "))),0)),"-")</f>
        <v>-</v>
      </c>
      <c r="K1826" s="49"/>
    </row>
    <row r="1827" spans="1:11" x14ac:dyDescent="0.25">
      <c r="A1827" s="46" t="str" cm="1">
        <f t="array" ref="A1827">IFERROR(INDEX(#REF!,MATCH(TRUE,ISNUMBER(FIND(SUBSTITUTE(SUBSTITUTE(UPPER(#REF!)," ",""),":",": "),SUBSTITUTE(SUBSTITUTE(UPPER(S1827)," ",""),":",": "))),0)),"Undefined")</f>
        <v>Undefined</v>
      </c>
      <c r="B1827" s="42" t="str" cm="1">
        <f t="array" ref="B1827">IFERROR(INDEX({"URGENTE"},MATCH(TRUE,ISNUMBER(FIND(SUBSTITUTE(SUBSTITUTE(UPPER({"URGENTE"})," ",""),":",": "),SUBSTITUTE(SUBSTITUTE(UPPER(S1827)," ",""),":",": "))),0)),"-")</f>
        <v>-</v>
      </c>
      <c r="C1827" s="46" t="str" cm="1">
        <f t="array" ref="C1827">IFERROR(INDEX(#REF!,MATCH(TRUE,ISNUMBER(FIND(SUBSTITUTE(SUBSTITUTE(UPPER(#REF!)," ",""),":",": "),SUBSTITUTE(SUBSTITUTE(UPPER(S1827)," ",""),":",": "))),0)),"Não encontrado")</f>
        <v>Não encontrado</v>
      </c>
      <c r="D1827" s="46" t="str" cm="1">
        <f t="array" ref="D1827">IFERROR(INDEX(#REF!,MATCH(TRUE,ISNUMBER(FIND(SUBSTITUTE(SUBSTITUTE(UPPER(#REF!)," ",""),":",": "),SUBSTITUTE(SUBSTITUTE(UPPER(S1827)," ",""),":",": "))),0)),"Não encontrado")</f>
        <v>Não encontrado</v>
      </c>
      <c r="E1827" s="42" t="str" cm="1">
        <f t="array" ref="E1827">IFERROR(INDEX({"IMPEDITIVO"},MATCH(TRUE,ISNUMBER(FIND(SUBSTITUTE(SUBSTITUTE(UPPER({"IMPEDITIVO"})," ",""),":",": "),SUBSTITUTE(SUBSTITUTE(UPPER(S1827)," ",""),":",": "))),0)),"-")</f>
        <v>-</v>
      </c>
      <c r="K1827" s="49"/>
    </row>
    <row r="1828" spans="1:11" x14ac:dyDescent="0.25">
      <c r="A1828" s="46" t="str" cm="1">
        <f t="array" ref="A1828">IFERROR(INDEX(#REF!,MATCH(TRUE,ISNUMBER(FIND(SUBSTITUTE(SUBSTITUTE(UPPER(#REF!)," ",""),":",": "),SUBSTITUTE(SUBSTITUTE(UPPER(S1828)," ",""),":",": "))),0)),"Undefined")</f>
        <v>Undefined</v>
      </c>
      <c r="B1828" s="42" t="str" cm="1">
        <f t="array" ref="B1828">IFERROR(INDEX({"URGENTE"},MATCH(TRUE,ISNUMBER(FIND(SUBSTITUTE(SUBSTITUTE(UPPER({"URGENTE"})," ",""),":",": "),SUBSTITUTE(SUBSTITUTE(UPPER(S1828)," ",""),":",": "))),0)),"-")</f>
        <v>-</v>
      </c>
      <c r="C1828" s="46" t="str" cm="1">
        <f t="array" ref="C1828">IFERROR(INDEX(#REF!,MATCH(TRUE,ISNUMBER(FIND(SUBSTITUTE(SUBSTITUTE(UPPER(#REF!)," ",""),":",": "),SUBSTITUTE(SUBSTITUTE(UPPER(S1828)," ",""),":",": "))),0)),"Não encontrado")</f>
        <v>Não encontrado</v>
      </c>
      <c r="D1828" s="46" t="str" cm="1">
        <f t="array" ref="D1828">IFERROR(INDEX(#REF!,MATCH(TRUE,ISNUMBER(FIND(SUBSTITUTE(SUBSTITUTE(UPPER(#REF!)," ",""),":",": "),SUBSTITUTE(SUBSTITUTE(UPPER(S1828)," ",""),":",": "))),0)),"Não encontrado")</f>
        <v>Não encontrado</v>
      </c>
      <c r="E1828" s="42" t="str" cm="1">
        <f t="array" ref="E1828">IFERROR(INDEX({"IMPEDITIVO"},MATCH(TRUE,ISNUMBER(FIND(SUBSTITUTE(SUBSTITUTE(UPPER({"IMPEDITIVO"})," ",""),":",": "),SUBSTITUTE(SUBSTITUTE(UPPER(S1828)," ",""),":",": "))),0)),"-")</f>
        <v>-</v>
      </c>
      <c r="K1828" s="49"/>
    </row>
    <row r="1829" spans="1:11" x14ac:dyDescent="0.25">
      <c r="A1829" s="46" t="str" cm="1">
        <f t="array" ref="A1829">IFERROR(INDEX(#REF!,MATCH(TRUE,ISNUMBER(FIND(SUBSTITUTE(SUBSTITUTE(UPPER(#REF!)," ",""),":",": "),SUBSTITUTE(SUBSTITUTE(UPPER(S1829)," ",""),":",": "))),0)),"Undefined")</f>
        <v>Undefined</v>
      </c>
      <c r="B1829" s="42" t="str" cm="1">
        <f t="array" ref="B1829">IFERROR(INDEX({"URGENTE"},MATCH(TRUE,ISNUMBER(FIND(SUBSTITUTE(SUBSTITUTE(UPPER({"URGENTE"})," ",""),":",": "),SUBSTITUTE(SUBSTITUTE(UPPER(S1829)," ",""),":",": "))),0)),"-")</f>
        <v>-</v>
      </c>
      <c r="C1829" s="46" t="str" cm="1">
        <f t="array" ref="C1829">IFERROR(INDEX(#REF!,MATCH(TRUE,ISNUMBER(FIND(SUBSTITUTE(SUBSTITUTE(UPPER(#REF!)," ",""),":",": "),SUBSTITUTE(SUBSTITUTE(UPPER(S1829)," ",""),":",": "))),0)),"Não encontrado")</f>
        <v>Não encontrado</v>
      </c>
      <c r="D1829" s="46" t="str" cm="1">
        <f t="array" ref="D1829">IFERROR(INDEX(#REF!,MATCH(TRUE,ISNUMBER(FIND(SUBSTITUTE(SUBSTITUTE(UPPER(#REF!)," ",""),":",": "),SUBSTITUTE(SUBSTITUTE(UPPER(S1829)," ",""),":",": "))),0)),"Não encontrado")</f>
        <v>Não encontrado</v>
      </c>
      <c r="E1829" s="42" t="str" cm="1">
        <f t="array" ref="E1829">IFERROR(INDEX({"IMPEDITIVO"},MATCH(TRUE,ISNUMBER(FIND(SUBSTITUTE(SUBSTITUTE(UPPER({"IMPEDITIVO"})," ",""),":",": "),SUBSTITUTE(SUBSTITUTE(UPPER(S1829)," ",""),":",": "))),0)),"-")</f>
        <v>-</v>
      </c>
      <c r="K1829" s="49"/>
    </row>
    <row r="1830" spans="1:11" x14ac:dyDescent="0.25">
      <c r="A1830" s="46" t="str" cm="1">
        <f t="array" ref="A1830">IFERROR(INDEX(#REF!,MATCH(TRUE,ISNUMBER(FIND(SUBSTITUTE(SUBSTITUTE(UPPER(#REF!)," ",""),":",": "),SUBSTITUTE(SUBSTITUTE(UPPER(S1830)," ",""),":",": "))),0)),"Undefined")</f>
        <v>Undefined</v>
      </c>
      <c r="B1830" s="42" t="str" cm="1">
        <f t="array" ref="B1830">IFERROR(INDEX({"URGENTE"},MATCH(TRUE,ISNUMBER(FIND(SUBSTITUTE(SUBSTITUTE(UPPER({"URGENTE"})," ",""),":",": "),SUBSTITUTE(SUBSTITUTE(UPPER(S1830)," ",""),":",": "))),0)),"-")</f>
        <v>-</v>
      </c>
      <c r="C1830" s="46" t="str" cm="1">
        <f t="array" ref="C1830">IFERROR(INDEX(#REF!,MATCH(TRUE,ISNUMBER(FIND(SUBSTITUTE(SUBSTITUTE(UPPER(#REF!)," ",""),":",": "),SUBSTITUTE(SUBSTITUTE(UPPER(S1830)," ",""),":",": "))),0)),"Não encontrado")</f>
        <v>Não encontrado</v>
      </c>
      <c r="D1830" s="46" t="str" cm="1">
        <f t="array" ref="D1830">IFERROR(INDEX(#REF!,MATCH(TRUE,ISNUMBER(FIND(SUBSTITUTE(SUBSTITUTE(UPPER(#REF!)," ",""),":",": "),SUBSTITUTE(SUBSTITUTE(UPPER(S1830)," ",""),":",": "))),0)),"Não encontrado")</f>
        <v>Não encontrado</v>
      </c>
      <c r="E1830" s="42" t="str" cm="1">
        <f t="array" ref="E1830">IFERROR(INDEX({"IMPEDITIVO"},MATCH(TRUE,ISNUMBER(FIND(SUBSTITUTE(SUBSTITUTE(UPPER({"IMPEDITIVO"})," ",""),":",": "),SUBSTITUTE(SUBSTITUTE(UPPER(S1830)," ",""),":",": "))),0)),"-")</f>
        <v>-</v>
      </c>
      <c r="K1830" s="49"/>
    </row>
    <row r="1831" spans="1:11" x14ac:dyDescent="0.25">
      <c r="A1831" s="46" t="str" cm="1">
        <f t="array" ref="A1831">IFERROR(INDEX(#REF!,MATCH(TRUE,ISNUMBER(FIND(SUBSTITUTE(SUBSTITUTE(UPPER(#REF!)," ",""),":",": "),SUBSTITUTE(SUBSTITUTE(UPPER(S1831)," ",""),":",": "))),0)),"Undefined")</f>
        <v>Undefined</v>
      </c>
      <c r="B1831" s="42" t="str" cm="1">
        <f t="array" ref="B1831">IFERROR(INDEX({"URGENTE"},MATCH(TRUE,ISNUMBER(FIND(SUBSTITUTE(SUBSTITUTE(UPPER({"URGENTE"})," ",""),":",": "),SUBSTITUTE(SUBSTITUTE(UPPER(S1831)," ",""),":",": "))),0)),"-")</f>
        <v>-</v>
      </c>
      <c r="C1831" s="46" t="str" cm="1">
        <f t="array" ref="C1831">IFERROR(INDEX(#REF!,MATCH(TRUE,ISNUMBER(FIND(SUBSTITUTE(SUBSTITUTE(UPPER(#REF!)," ",""),":",": "),SUBSTITUTE(SUBSTITUTE(UPPER(S1831)," ",""),":",": "))),0)),"Não encontrado")</f>
        <v>Não encontrado</v>
      </c>
      <c r="D1831" s="46" t="str" cm="1">
        <f t="array" ref="D1831">IFERROR(INDEX(#REF!,MATCH(TRUE,ISNUMBER(FIND(SUBSTITUTE(SUBSTITUTE(UPPER(#REF!)," ",""),":",": "),SUBSTITUTE(SUBSTITUTE(UPPER(S1831)," ",""),":",": "))),0)),"Não encontrado")</f>
        <v>Não encontrado</v>
      </c>
      <c r="E1831" s="42" t="str" cm="1">
        <f t="array" ref="E1831">IFERROR(INDEX({"IMPEDITIVO"},MATCH(TRUE,ISNUMBER(FIND(SUBSTITUTE(SUBSTITUTE(UPPER({"IMPEDITIVO"})," ",""),":",": "),SUBSTITUTE(SUBSTITUTE(UPPER(S1831)," ",""),":",": "))),0)),"-")</f>
        <v>-</v>
      </c>
      <c r="K1831" s="49"/>
    </row>
    <row r="1832" spans="1:11" x14ac:dyDescent="0.25">
      <c r="A1832" s="46" t="str" cm="1">
        <f t="array" ref="A1832">IFERROR(INDEX(#REF!,MATCH(TRUE,ISNUMBER(FIND(SUBSTITUTE(SUBSTITUTE(UPPER(#REF!)," ",""),":",": "),SUBSTITUTE(SUBSTITUTE(UPPER(S1832)," ",""),":",": "))),0)),"Undefined")</f>
        <v>Undefined</v>
      </c>
      <c r="B1832" s="42" t="str" cm="1">
        <f t="array" ref="B1832">IFERROR(INDEX({"URGENTE"},MATCH(TRUE,ISNUMBER(FIND(SUBSTITUTE(SUBSTITUTE(UPPER({"URGENTE"})," ",""),":",": "),SUBSTITUTE(SUBSTITUTE(UPPER(S1832)," ",""),":",": "))),0)),"-")</f>
        <v>-</v>
      </c>
      <c r="C1832" s="46" t="str" cm="1">
        <f t="array" ref="C1832">IFERROR(INDEX(#REF!,MATCH(TRUE,ISNUMBER(FIND(SUBSTITUTE(SUBSTITUTE(UPPER(#REF!)," ",""),":",": "),SUBSTITUTE(SUBSTITUTE(UPPER(S1832)," ",""),":",": "))),0)),"Não encontrado")</f>
        <v>Não encontrado</v>
      </c>
      <c r="D1832" s="46" t="str" cm="1">
        <f t="array" ref="D1832">IFERROR(INDEX(#REF!,MATCH(TRUE,ISNUMBER(FIND(SUBSTITUTE(SUBSTITUTE(UPPER(#REF!)," ",""),":",": "),SUBSTITUTE(SUBSTITUTE(UPPER(S1832)," ",""),":",": "))),0)),"Não encontrado")</f>
        <v>Não encontrado</v>
      </c>
      <c r="E1832" s="42" t="str" cm="1">
        <f t="array" ref="E1832">IFERROR(INDEX({"IMPEDITIVO"},MATCH(TRUE,ISNUMBER(FIND(SUBSTITUTE(SUBSTITUTE(UPPER({"IMPEDITIVO"})," ",""),":",": "),SUBSTITUTE(SUBSTITUTE(UPPER(S1832)," ",""),":",": "))),0)),"-")</f>
        <v>-</v>
      </c>
      <c r="K1832" s="49"/>
    </row>
    <row r="1833" spans="1:11" x14ac:dyDescent="0.25">
      <c r="A1833" s="46" t="str" cm="1">
        <f t="array" ref="A1833">IFERROR(INDEX(#REF!,MATCH(TRUE,ISNUMBER(FIND(SUBSTITUTE(SUBSTITUTE(UPPER(#REF!)," ",""),":",": "),SUBSTITUTE(SUBSTITUTE(UPPER(S1833)," ",""),":",": "))),0)),"Undefined")</f>
        <v>Undefined</v>
      </c>
      <c r="B1833" s="42" t="str" cm="1">
        <f t="array" ref="B1833">IFERROR(INDEX({"URGENTE"},MATCH(TRUE,ISNUMBER(FIND(SUBSTITUTE(SUBSTITUTE(UPPER({"URGENTE"})," ",""),":",": "),SUBSTITUTE(SUBSTITUTE(UPPER(S1833)," ",""),":",": "))),0)),"-")</f>
        <v>-</v>
      </c>
      <c r="C1833" s="46" t="str" cm="1">
        <f t="array" ref="C1833">IFERROR(INDEX(#REF!,MATCH(TRUE,ISNUMBER(FIND(SUBSTITUTE(SUBSTITUTE(UPPER(#REF!)," ",""),":",": "),SUBSTITUTE(SUBSTITUTE(UPPER(S1833)," ",""),":",": "))),0)),"Não encontrado")</f>
        <v>Não encontrado</v>
      </c>
      <c r="D1833" s="46" t="str" cm="1">
        <f t="array" ref="D1833">IFERROR(INDEX(#REF!,MATCH(TRUE,ISNUMBER(FIND(SUBSTITUTE(SUBSTITUTE(UPPER(#REF!)," ",""),":",": "),SUBSTITUTE(SUBSTITUTE(UPPER(S1833)," ",""),":",": "))),0)),"Não encontrado")</f>
        <v>Não encontrado</v>
      </c>
      <c r="E1833" s="42" t="str" cm="1">
        <f t="array" ref="E1833">IFERROR(INDEX({"IMPEDITIVO"},MATCH(TRUE,ISNUMBER(FIND(SUBSTITUTE(SUBSTITUTE(UPPER({"IMPEDITIVO"})," ",""),":",": "),SUBSTITUTE(SUBSTITUTE(UPPER(S1833)," ",""),":",": "))),0)),"-")</f>
        <v>-</v>
      </c>
      <c r="K1833" s="49"/>
    </row>
    <row r="1834" spans="1:11" x14ac:dyDescent="0.25">
      <c r="A1834" s="46" t="str" cm="1">
        <f t="array" ref="A1834">IFERROR(INDEX(#REF!,MATCH(TRUE,ISNUMBER(FIND(SUBSTITUTE(SUBSTITUTE(UPPER(#REF!)," ",""),":",": "),SUBSTITUTE(SUBSTITUTE(UPPER(S1834)," ",""),":",": "))),0)),"Undefined")</f>
        <v>Undefined</v>
      </c>
      <c r="B1834" s="42" t="str" cm="1">
        <f t="array" ref="B1834">IFERROR(INDEX({"URGENTE"},MATCH(TRUE,ISNUMBER(FIND(SUBSTITUTE(SUBSTITUTE(UPPER({"URGENTE"})," ",""),":",": "),SUBSTITUTE(SUBSTITUTE(UPPER(S1834)," ",""),":",": "))),0)),"-")</f>
        <v>-</v>
      </c>
      <c r="C1834" s="46" t="str" cm="1">
        <f t="array" ref="C1834">IFERROR(INDEX(#REF!,MATCH(TRUE,ISNUMBER(FIND(SUBSTITUTE(SUBSTITUTE(UPPER(#REF!)," ",""),":",": "),SUBSTITUTE(SUBSTITUTE(UPPER(S1834)," ",""),":",": "))),0)),"Não encontrado")</f>
        <v>Não encontrado</v>
      </c>
      <c r="D1834" s="46" t="str" cm="1">
        <f t="array" ref="D1834">IFERROR(INDEX(#REF!,MATCH(TRUE,ISNUMBER(FIND(SUBSTITUTE(SUBSTITUTE(UPPER(#REF!)," ",""),":",": "),SUBSTITUTE(SUBSTITUTE(UPPER(S1834)," ",""),":",": "))),0)),"Não encontrado")</f>
        <v>Não encontrado</v>
      </c>
      <c r="E1834" s="42" t="str" cm="1">
        <f t="array" ref="E1834">IFERROR(INDEX({"IMPEDITIVO"},MATCH(TRUE,ISNUMBER(FIND(SUBSTITUTE(SUBSTITUTE(UPPER({"IMPEDITIVO"})," ",""),":",": "),SUBSTITUTE(SUBSTITUTE(UPPER(S1834)," ",""),":",": "))),0)),"-")</f>
        <v>-</v>
      </c>
      <c r="K1834" s="49"/>
    </row>
    <row r="1835" spans="1:11" x14ac:dyDescent="0.25">
      <c r="A1835" s="46" t="str" cm="1">
        <f t="array" ref="A1835">IFERROR(INDEX(#REF!,MATCH(TRUE,ISNUMBER(FIND(SUBSTITUTE(SUBSTITUTE(UPPER(#REF!)," ",""),":",": "),SUBSTITUTE(SUBSTITUTE(UPPER(S1835)," ",""),":",": "))),0)),"Undefined")</f>
        <v>Undefined</v>
      </c>
      <c r="B1835" s="42" t="str" cm="1">
        <f t="array" ref="B1835">IFERROR(INDEX({"URGENTE"},MATCH(TRUE,ISNUMBER(FIND(SUBSTITUTE(SUBSTITUTE(UPPER({"URGENTE"})," ",""),":",": "),SUBSTITUTE(SUBSTITUTE(UPPER(S1835)," ",""),":",": "))),0)),"-")</f>
        <v>-</v>
      </c>
      <c r="C1835" s="46" t="str" cm="1">
        <f t="array" ref="C1835">IFERROR(INDEX(#REF!,MATCH(TRUE,ISNUMBER(FIND(SUBSTITUTE(SUBSTITUTE(UPPER(#REF!)," ",""),":",": "),SUBSTITUTE(SUBSTITUTE(UPPER(S1835)," ",""),":",": "))),0)),"Não encontrado")</f>
        <v>Não encontrado</v>
      </c>
      <c r="D1835" s="46" t="str" cm="1">
        <f t="array" ref="D1835">IFERROR(INDEX(#REF!,MATCH(TRUE,ISNUMBER(FIND(SUBSTITUTE(SUBSTITUTE(UPPER(#REF!)," ",""),":",": "),SUBSTITUTE(SUBSTITUTE(UPPER(S1835)," ",""),":",": "))),0)),"Não encontrado")</f>
        <v>Não encontrado</v>
      </c>
      <c r="E1835" s="42" t="str" cm="1">
        <f t="array" ref="E1835">IFERROR(INDEX({"IMPEDITIVO"},MATCH(TRUE,ISNUMBER(FIND(SUBSTITUTE(SUBSTITUTE(UPPER({"IMPEDITIVO"})," ",""),":",": "),SUBSTITUTE(SUBSTITUTE(UPPER(S1835)," ",""),":",": "))),0)),"-")</f>
        <v>-</v>
      </c>
      <c r="K1835" s="49"/>
    </row>
    <row r="1836" spans="1:11" x14ac:dyDescent="0.25">
      <c r="A1836" s="46" t="str" cm="1">
        <f t="array" ref="A1836">IFERROR(INDEX(#REF!,MATCH(TRUE,ISNUMBER(FIND(SUBSTITUTE(SUBSTITUTE(UPPER(#REF!)," ",""),":",": "),SUBSTITUTE(SUBSTITUTE(UPPER(S1836)," ",""),":",": "))),0)),"Undefined")</f>
        <v>Undefined</v>
      </c>
      <c r="B1836" s="42" t="str" cm="1">
        <f t="array" ref="B1836">IFERROR(INDEX({"URGENTE"},MATCH(TRUE,ISNUMBER(FIND(SUBSTITUTE(SUBSTITUTE(UPPER({"URGENTE"})," ",""),":",": "),SUBSTITUTE(SUBSTITUTE(UPPER(S1836)," ",""),":",": "))),0)),"-")</f>
        <v>-</v>
      </c>
      <c r="C1836" s="46" t="str" cm="1">
        <f t="array" ref="C1836">IFERROR(INDEX(#REF!,MATCH(TRUE,ISNUMBER(FIND(SUBSTITUTE(SUBSTITUTE(UPPER(#REF!)," ",""),":",": "),SUBSTITUTE(SUBSTITUTE(UPPER(S1836)," ",""),":",": "))),0)),"Não encontrado")</f>
        <v>Não encontrado</v>
      </c>
      <c r="D1836" s="46" t="str" cm="1">
        <f t="array" ref="D1836">IFERROR(INDEX(#REF!,MATCH(TRUE,ISNUMBER(FIND(SUBSTITUTE(SUBSTITUTE(UPPER(#REF!)," ",""),":",": "),SUBSTITUTE(SUBSTITUTE(UPPER(S1836)," ",""),":",": "))),0)),"Não encontrado")</f>
        <v>Não encontrado</v>
      </c>
      <c r="E1836" s="42" t="str" cm="1">
        <f t="array" ref="E1836">IFERROR(INDEX({"IMPEDITIVO"},MATCH(TRUE,ISNUMBER(FIND(SUBSTITUTE(SUBSTITUTE(UPPER({"IMPEDITIVO"})," ",""),":",": "),SUBSTITUTE(SUBSTITUTE(UPPER(S1836)," ",""),":",": "))),0)),"-")</f>
        <v>-</v>
      </c>
      <c r="K1836" s="49"/>
    </row>
    <row r="1837" spans="1:11" x14ac:dyDescent="0.25">
      <c r="A1837" s="46" t="str" cm="1">
        <f t="array" ref="A1837">IFERROR(INDEX(#REF!,MATCH(TRUE,ISNUMBER(FIND(SUBSTITUTE(SUBSTITUTE(UPPER(#REF!)," ",""),":",": "),SUBSTITUTE(SUBSTITUTE(UPPER(S1837)," ",""),":",": "))),0)),"Undefined")</f>
        <v>Undefined</v>
      </c>
      <c r="B1837" s="42" t="str" cm="1">
        <f t="array" ref="B1837">IFERROR(INDEX({"URGENTE"},MATCH(TRUE,ISNUMBER(FIND(SUBSTITUTE(SUBSTITUTE(UPPER({"URGENTE"})," ",""),":",": "),SUBSTITUTE(SUBSTITUTE(UPPER(S1837)," ",""),":",": "))),0)),"-")</f>
        <v>-</v>
      </c>
      <c r="C1837" s="46" t="str" cm="1">
        <f t="array" ref="C1837">IFERROR(INDEX(#REF!,MATCH(TRUE,ISNUMBER(FIND(SUBSTITUTE(SUBSTITUTE(UPPER(#REF!)," ",""),":",": "),SUBSTITUTE(SUBSTITUTE(UPPER(S1837)," ",""),":",": "))),0)),"Não encontrado")</f>
        <v>Não encontrado</v>
      </c>
      <c r="D1837" s="46" t="str" cm="1">
        <f t="array" ref="D1837">IFERROR(INDEX(#REF!,MATCH(TRUE,ISNUMBER(FIND(SUBSTITUTE(SUBSTITUTE(UPPER(#REF!)," ",""),":",": "),SUBSTITUTE(SUBSTITUTE(UPPER(S1837)," ",""),":",": "))),0)),"Não encontrado")</f>
        <v>Não encontrado</v>
      </c>
      <c r="E1837" s="42" t="str" cm="1">
        <f t="array" ref="E1837">IFERROR(INDEX({"IMPEDITIVO"},MATCH(TRUE,ISNUMBER(FIND(SUBSTITUTE(SUBSTITUTE(UPPER({"IMPEDITIVO"})," ",""),":",": "),SUBSTITUTE(SUBSTITUTE(UPPER(S1837)," ",""),":",": "))),0)),"-")</f>
        <v>-</v>
      </c>
      <c r="K1837" s="49"/>
    </row>
    <row r="1838" spans="1:11" x14ac:dyDescent="0.25">
      <c r="A1838" s="46" t="str" cm="1">
        <f t="array" ref="A1838">IFERROR(INDEX(#REF!,MATCH(TRUE,ISNUMBER(FIND(SUBSTITUTE(SUBSTITUTE(UPPER(#REF!)," ",""),":",": "),SUBSTITUTE(SUBSTITUTE(UPPER(S1838)," ",""),":",": "))),0)),"Undefined")</f>
        <v>Undefined</v>
      </c>
      <c r="B1838" s="42" t="str" cm="1">
        <f t="array" ref="B1838">IFERROR(INDEX({"URGENTE"},MATCH(TRUE,ISNUMBER(FIND(SUBSTITUTE(SUBSTITUTE(UPPER({"URGENTE"})," ",""),":",": "),SUBSTITUTE(SUBSTITUTE(UPPER(S1838)," ",""),":",": "))),0)),"-")</f>
        <v>-</v>
      </c>
      <c r="C1838" s="46" t="str" cm="1">
        <f t="array" ref="C1838">IFERROR(INDEX(#REF!,MATCH(TRUE,ISNUMBER(FIND(SUBSTITUTE(SUBSTITUTE(UPPER(#REF!)," ",""),":",": "),SUBSTITUTE(SUBSTITUTE(UPPER(S1838)," ",""),":",": "))),0)),"Não encontrado")</f>
        <v>Não encontrado</v>
      </c>
      <c r="D1838" s="46" t="str" cm="1">
        <f t="array" ref="D1838">IFERROR(INDEX(#REF!,MATCH(TRUE,ISNUMBER(FIND(SUBSTITUTE(SUBSTITUTE(UPPER(#REF!)," ",""),":",": "),SUBSTITUTE(SUBSTITUTE(UPPER(S1838)," ",""),":",": "))),0)),"Não encontrado")</f>
        <v>Não encontrado</v>
      </c>
      <c r="E1838" s="42" t="str" cm="1">
        <f t="array" ref="E1838">IFERROR(INDEX({"IMPEDITIVO"},MATCH(TRUE,ISNUMBER(FIND(SUBSTITUTE(SUBSTITUTE(UPPER({"IMPEDITIVO"})," ",""),":",": "),SUBSTITUTE(SUBSTITUTE(UPPER(S1838)," ",""),":",": "))),0)),"-")</f>
        <v>-</v>
      </c>
      <c r="K1838" s="49"/>
    </row>
    <row r="1839" spans="1:11" x14ac:dyDescent="0.25">
      <c r="A1839" s="46" t="str" cm="1">
        <f t="array" ref="A1839">IFERROR(INDEX(#REF!,MATCH(TRUE,ISNUMBER(FIND(SUBSTITUTE(SUBSTITUTE(UPPER(#REF!)," ",""),":",": "),SUBSTITUTE(SUBSTITUTE(UPPER(S1839)," ",""),":",": "))),0)),"Undefined")</f>
        <v>Undefined</v>
      </c>
      <c r="B1839" s="42" t="str" cm="1">
        <f t="array" ref="B1839">IFERROR(INDEX({"URGENTE"},MATCH(TRUE,ISNUMBER(FIND(SUBSTITUTE(SUBSTITUTE(UPPER({"URGENTE"})," ",""),":",": "),SUBSTITUTE(SUBSTITUTE(UPPER(S1839)," ",""),":",": "))),0)),"-")</f>
        <v>-</v>
      </c>
      <c r="C1839" s="46" t="str" cm="1">
        <f t="array" ref="C1839">IFERROR(INDEX(#REF!,MATCH(TRUE,ISNUMBER(FIND(SUBSTITUTE(SUBSTITUTE(UPPER(#REF!)," ",""),":",": "),SUBSTITUTE(SUBSTITUTE(UPPER(S1839)," ",""),":",": "))),0)),"Não encontrado")</f>
        <v>Não encontrado</v>
      </c>
      <c r="D1839" s="46" t="str" cm="1">
        <f t="array" ref="D1839">IFERROR(INDEX(#REF!,MATCH(TRUE,ISNUMBER(FIND(SUBSTITUTE(SUBSTITUTE(UPPER(#REF!)," ",""),":",": "),SUBSTITUTE(SUBSTITUTE(UPPER(S1839)," ",""),":",": "))),0)),"Não encontrado")</f>
        <v>Não encontrado</v>
      </c>
      <c r="E1839" s="42" t="str" cm="1">
        <f t="array" ref="E1839">IFERROR(INDEX({"IMPEDITIVO"},MATCH(TRUE,ISNUMBER(FIND(SUBSTITUTE(SUBSTITUTE(UPPER({"IMPEDITIVO"})," ",""),":",": "),SUBSTITUTE(SUBSTITUTE(UPPER(S1839)," ",""),":",": "))),0)),"-")</f>
        <v>-</v>
      </c>
      <c r="K1839" s="49"/>
    </row>
    <row r="1840" spans="1:11" x14ac:dyDescent="0.25">
      <c r="A1840" s="46" t="str" cm="1">
        <f t="array" ref="A1840">IFERROR(INDEX(#REF!,MATCH(TRUE,ISNUMBER(FIND(SUBSTITUTE(SUBSTITUTE(UPPER(#REF!)," ",""),":",": "),SUBSTITUTE(SUBSTITUTE(UPPER(S1840)," ",""),":",": "))),0)),"Undefined")</f>
        <v>Undefined</v>
      </c>
      <c r="B1840" s="42" t="str" cm="1">
        <f t="array" ref="B1840">IFERROR(INDEX({"URGENTE"},MATCH(TRUE,ISNUMBER(FIND(SUBSTITUTE(SUBSTITUTE(UPPER({"URGENTE"})," ",""),":",": "),SUBSTITUTE(SUBSTITUTE(UPPER(S1840)," ",""),":",": "))),0)),"-")</f>
        <v>-</v>
      </c>
      <c r="C1840" s="46" t="str" cm="1">
        <f t="array" ref="C1840">IFERROR(INDEX(#REF!,MATCH(TRUE,ISNUMBER(FIND(SUBSTITUTE(SUBSTITUTE(UPPER(#REF!)," ",""),":",": "),SUBSTITUTE(SUBSTITUTE(UPPER(S1840)," ",""),":",": "))),0)),"Não encontrado")</f>
        <v>Não encontrado</v>
      </c>
      <c r="D1840" s="46" t="str" cm="1">
        <f t="array" ref="D1840">IFERROR(INDEX(#REF!,MATCH(TRUE,ISNUMBER(FIND(SUBSTITUTE(SUBSTITUTE(UPPER(#REF!)," ",""),":",": "),SUBSTITUTE(SUBSTITUTE(UPPER(S1840)," ",""),":",": "))),0)),"Não encontrado")</f>
        <v>Não encontrado</v>
      </c>
      <c r="E1840" s="42" t="str" cm="1">
        <f t="array" ref="E1840">IFERROR(INDEX({"IMPEDITIVO"},MATCH(TRUE,ISNUMBER(FIND(SUBSTITUTE(SUBSTITUTE(UPPER({"IMPEDITIVO"})," ",""),":",": "),SUBSTITUTE(SUBSTITUTE(UPPER(S1840)," ",""),":",": "))),0)),"-")</f>
        <v>-</v>
      </c>
      <c r="K1840" s="49"/>
    </row>
    <row r="1841" spans="1:11" x14ac:dyDescent="0.25">
      <c r="A1841" s="46" t="str" cm="1">
        <f t="array" ref="A1841">IFERROR(INDEX(#REF!,MATCH(TRUE,ISNUMBER(FIND(SUBSTITUTE(SUBSTITUTE(UPPER(#REF!)," ",""),":",": "),SUBSTITUTE(SUBSTITUTE(UPPER(S1841)," ",""),":",": "))),0)),"Undefined")</f>
        <v>Undefined</v>
      </c>
      <c r="B1841" s="42" t="str" cm="1">
        <f t="array" ref="B1841">IFERROR(INDEX({"URGENTE"},MATCH(TRUE,ISNUMBER(FIND(SUBSTITUTE(SUBSTITUTE(UPPER({"URGENTE"})," ",""),":",": "),SUBSTITUTE(SUBSTITUTE(UPPER(S1841)," ",""),":",": "))),0)),"-")</f>
        <v>-</v>
      </c>
      <c r="C1841" s="46" t="str" cm="1">
        <f t="array" ref="C1841">IFERROR(INDEX(#REF!,MATCH(TRUE,ISNUMBER(FIND(SUBSTITUTE(SUBSTITUTE(UPPER(#REF!)," ",""),":",": "),SUBSTITUTE(SUBSTITUTE(UPPER(S1841)," ",""),":",": "))),0)),"Não encontrado")</f>
        <v>Não encontrado</v>
      </c>
      <c r="D1841" s="46" t="str" cm="1">
        <f t="array" ref="D1841">IFERROR(INDEX(#REF!,MATCH(TRUE,ISNUMBER(FIND(SUBSTITUTE(SUBSTITUTE(UPPER(#REF!)," ",""),":",": "),SUBSTITUTE(SUBSTITUTE(UPPER(S1841)," ",""),":",": "))),0)),"Não encontrado")</f>
        <v>Não encontrado</v>
      </c>
      <c r="E1841" s="42" t="str" cm="1">
        <f t="array" ref="E1841">IFERROR(INDEX({"IMPEDITIVO"},MATCH(TRUE,ISNUMBER(FIND(SUBSTITUTE(SUBSTITUTE(UPPER({"IMPEDITIVO"})," ",""),":",": "),SUBSTITUTE(SUBSTITUTE(UPPER(S1841)," ",""),":",": "))),0)),"-")</f>
        <v>-</v>
      </c>
      <c r="K1841" s="49"/>
    </row>
    <row r="1842" spans="1:11" x14ac:dyDescent="0.25">
      <c r="A1842" s="46" t="str" cm="1">
        <f t="array" ref="A1842">IFERROR(INDEX(#REF!,MATCH(TRUE,ISNUMBER(FIND(SUBSTITUTE(SUBSTITUTE(UPPER(#REF!)," ",""),":",": "),SUBSTITUTE(SUBSTITUTE(UPPER(S1842)," ",""),":",": "))),0)),"Undefined")</f>
        <v>Undefined</v>
      </c>
      <c r="B1842" s="42" t="str" cm="1">
        <f t="array" ref="B1842">IFERROR(INDEX({"URGENTE"},MATCH(TRUE,ISNUMBER(FIND(SUBSTITUTE(SUBSTITUTE(UPPER({"URGENTE"})," ",""),":",": "),SUBSTITUTE(SUBSTITUTE(UPPER(S1842)," ",""),":",": "))),0)),"-")</f>
        <v>-</v>
      </c>
      <c r="C1842" s="46" t="str" cm="1">
        <f t="array" ref="C1842">IFERROR(INDEX(#REF!,MATCH(TRUE,ISNUMBER(FIND(SUBSTITUTE(SUBSTITUTE(UPPER(#REF!)," ",""),":",": "),SUBSTITUTE(SUBSTITUTE(UPPER(S1842)," ",""),":",": "))),0)),"Não encontrado")</f>
        <v>Não encontrado</v>
      </c>
      <c r="D1842" s="46" t="str" cm="1">
        <f t="array" ref="D1842">IFERROR(INDEX(#REF!,MATCH(TRUE,ISNUMBER(FIND(SUBSTITUTE(SUBSTITUTE(UPPER(#REF!)," ",""),":",": "),SUBSTITUTE(SUBSTITUTE(UPPER(S1842)," ",""),":",": "))),0)),"Não encontrado")</f>
        <v>Não encontrado</v>
      </c>
      <c r="E1842" s="42" t="str" cm="1">
        <f t="array" ref="E1842">IFERROR(INDEX({"IMPEDITIVO"},MATCH(TRUE,ISNUMBER(FIND(SUBSTITUTE(SUBSTITUTE(UPPER({"IMPEDITIVO"})," ",""),":",": "),SUBSTITUTE(SUBSTITUTE(UPPER(S1842)," ",""),":",": "))),0)),"-")</f>
        <v>-</v>
      </c>
      <c r="K1842" s="49"/>
    </row>
    <row r="1843" spans="1:11" x14ac:dyDescent="0.25">
      <c r="A1843" s="46" t="str" cm="1">
        <f t="array" ref="A1843">IFERROR(INDEX(#REF!,MATCH(TRUE,ISNUMBER(FIND(SUBSTITUTE(SUBSTITUTE(UPPER(#REF!)," ",""),":",": "),SUBSTITUTE(SUBSTITUTE(UPPER(S1843)," ",""),":",": "))),0)),"Undefined")</f>
        <v>Undefined</v>
      </c>
      <c r="B1843" s="42" t="str" cm="1">
        <f t="array" ref="B1843">IFERROR(INDEX({"URGENTE"},MATCH(TRUE,ISNUMBER(FIND(SUBSTITUTE(SUBSTITUTE(UPPER({"URGENTE"})," ",""),":",": "),SUBSTITUTE(SUBSTITUTE(UPPER(S1843)," ",""),":",": "))),0)),"-")</f>
        <v>-</v>
      </c>
      <c r="C1843" s="46" t="str" cm="1">
        <f t="array" ref="C1843">IFERROR(INDEX(#REF!,MATCH(TRUE,ISNUMBER(FIND(SUBSTITUTE(SUBSTITUTE(UPPER(#REF!)," ",""),":",": "),SUBSTITUTE(SUBSTITUTE(UPPER(S1843)," ",""),":",": "))),0)),"Não encontrado")</f>
        <v>Não encontrado</v>
      </c>
      <c r="D1843" s="46" t="str" cm="1">
        <f t="array" ref="D1843">IFERROR(INDEX(#REF!,MATCH(TRUE,ISNUMBER(FIND(SUBSTITUTE(SUBSTITUTE(UPPER(#REF!)," ",""),":",": "),SUBSTITUTE(SUBSTITUTE(UPPER(S1843)," ",""),":",": "))),0)),"Não encontrado")</f>
        <v>Não encontrado</v>
      </c>
      <c r="E1843" s="42" t="str" cm="1">
        <f t="array" ref="E1843">IFERROR(INDEX({"IMPEDITIVO"},MATCH(TRUE,ISNUMBER(FIND(SUBSTITUTE(SUBSTITUTE(UPPER({"IMPEDITIVO"})," ",""),":",": "),SUBSTITUTE(SUBSTITUTE(UPPER(S1843)," ",""),":",": "))),0)),"-")</f>
        <v>-</v>
      </c>
      <c r="K1843" s="49"/>
    </row>
    <row r="1844" spans="1:11" x14ac:dyDescent="0.25">
      <c r="A1844" s="46" t="str" cm="1">
        <f t="array" ref="A1844">IFERROR(INDEX(#REF!,MATCH(TRUE,ISNUMBER(FIND(SUBSTITUTE(SUBSTITUTE(UPPER(#REF!)," ",""),":",": "),SUBSTITUTE(SUBSTITUTE(UPPER(S1844)," ",""),":",": "))),0)),"Undefined")</f>
        <v>Undefined</v>
      </c>
      <c r="B1844" s="42" t="str" cm="1">
        <f t="array" ref="B1844">IFERROR(INDEX({"URGENTE"},MATCH(TRUE,ISNUMBER(FIND(SUBSTITUTE(SUBSTITUTE(UPPER({"URGENTE"})," ",""),":",": "),SUBSTITUTE(SUBSTITUTE(UPPER(S1844)," ",""),":",": "))),0)),"-")</f>
        <v>-</v>
      </c>
      <c r="C1844" s="46" t="str" cm="1">
        <f t="array" ref="C1844">IFERROR(INDEX(#REF!,MATCH(TRUE,ISNUMBER(FIND(SUBSTITUTE(SUBSTITUTE(UPPER(#REF!)," ",""),":",": "),SUBSTITUTE(SUBSTITUTE(UPPER(S1844)," ",""),":",": "))),0)),"Não encontrado")</f>
        <v>Não encontrado</v>
      </c>
      <c r="D1844" s="46" t="str" cm="1">
        <f t="array" ref="D1844">IFERROR(INDEX(#REF!,MATCH(TRUE,ISNUMBER(FIND(SUBSTITUTE(SUBSTITUTE(UPPER(#REF!)," ",""),":",": "),SUBSTITUTE(SUBSTITUTE(UPPER(S1844)," ",""),":",": "))),0)),"Não encontrado")</f>
        <v>Não encontrado</v>
      </c>
      <c r="E1844" s="42" t="str" cm="1">
        <f t="array" ref="E1844">IFERROR(INDEX({"IMPEDITIVO"},MATCH(TRUE,ISNUMBER(FIND(SUBSTITUTE(SUBSTITUTE(UPPER({"IMPEDITIVO"})," ",""),":",": "),SUBSTITUTE(SUBSTITUTE(UPPER(S1844)," ",""),":",": "))),0)),"-")</f>
        <v>-</v>
      </c>
      <c r="K1844" s="49"/>
    </row>
    <row r="1845" spans="1:11" x14ac:dyDescent="0.25">
      <c r="A1845" s="46" t="str" cm="1">
        <f t="array" ref="A1845">IFERROR(INDEX(#REF!,MATCH(TRUE,ISNUMBER(FIND(SUBSTITUTE(SUBSTITUTE(UPPER(#REF!)," ",""),":",": "),SUBSTITUTE(SUBSTITUTE(UPPER(S1845)," ",""),":",": "))),0)),"Undefined")</f>
        <v>Undefined</v>
      </c>
      <c r="B1845" s="42" t="str" cm="1">
        <f t="array" ref="B1845">IFERROR(INDEX({"URGENTE"},MATCH(TRUE,ISNUMBER(FIND(SUBSTITUTE(SUBSTITUTE(UPPER({"URGENTE"})," ",""),":",": "),SUBSTITUTE(SUBSTITUTE(UPPER(S1845)," ",""),":",": "))),0)),"-")</f>
        <v>-</v>
      </c>
      <c r="C1845" s="46" t="str" cm="1">
        <f t="array" ref="C1845">IFERROR(INDEX(#REF!,MATCH(TRUE,ISNUMBER(FIND(SUBSTITUTE(SUBSTITUTE(UPPER(#REF!)," ",""),":",": "),SUBSTITUTE(SUBSTITUTE(UPPER(S1845)," ",""),":",": "))),0)),"Não encontrado")</f>
        <v>Não encontrado</v>
      </c>
      <c r="D1845" s="46" t="str" cm="1">
        <f t="array" ref="D1845">IFERROR(INDEX(#REF!,MATCH(TRUE,ISNUMBER(FIND(SUBSTITUTE(SUBSTITUTE(UPPER(#REF!)," ",""),":",": "),SUBSTITUTE(SUBSTITUTE(UPPER(S1845)," ",""),":",": "))),0)),"Não encontrado")</f>
        <v>Não encontrado</v>
      </c>
      <c r="E1845" s="42" t="str" cm="1">
        <f t="array" ref="E1845">IFERROR(INDEX({"IMPEDITIVO"},MATCH(TRUE,ISNUMBER(FIND(SUBSTITUTE(SUBSTITUTE(UPPER({"IMPEDITIVO"})," ",""),":",": "),SUBSTITUTE(SUBSTITUTE(UPPER(S1845)," ",""),":",": "))),0)),"-")</f>
        <v>-</v>
      </c>
      <c r="K1845" s="49"/>
    </row>
    <row r="1846" spans="1:11" x14ac:dyDescent="0.25">
      <c r="A1846" s="46" t="str" cm="1">
        <f t="array" ref="A1846">IFERROR(INDEX(#REF!,MATCH(TRUE,ISNUMBER(FIND(SUBSTITUTE(SUBSTITUTE(UPPER(#REF!)," ",""),":",": "),SUBSTITUTE(SUBSTITUTE(UPPER(S1846)," ",""),":",": "))),0)),"Undefined")</f>
        <v>Undefined</v>
      </c>
      <c r="B1846" s="42" t="str" cm="1">
        <f t="array" ref="B1846">IFERROR(INDEX({"URGENTE"},MATCH(TRUE,ISNUMBER(FIND(SUBSTITUTE(SUBSTITUTE(UPPER({"URGENTE"})," ",""),":",": "),SUBSTITUTE(SUBSTITUTE(UPPER(S1846)," ",""),":",": "))),0)),"-")</f>
        <v>-</v>
      </c>
      <c r="C1846" s="46" t="str" cm="1">
        <f t="array" ref="C1846">IFERROR(INDEX(#REF!,MATCH(TRUE,ISNUMBER(FIND(SUBSTITUTE(SUBSTITUTE(UPPER(#REF!)," ",""),":",": "),SUBSTITUTE(SUBSTITUTE(UPPER(S1846)," ",""),":",": "))),0)),"Não encontrado")</f>
        <v>Não encontrado</v>
      </c>
      <c r="D1846" s="46" t="str" cm="1">
        <f t="array" ref="D1846">IFERROR(INDEX(#REF!,MATCH(TRUE,ISNUMBER(FIND(SUBSTITUTE(SUBSTITUTE(UPPER(#REF!)," ",""),":",": "),SUBSTITUTE(SUBSTITUTE(UPPER(S1846)," ",""),":",": "))),0)),"Não encontrado")</f>
        <v>Não encontrado</v>
      </c>
      <c r="E1846" s="42" t="str" cm="1">
        <f t="array" ref="E1846">IFERROR(INDEX({"IMPEDITIVO"},MATCH(TRUE,ISNUMBER(FIND(SUBSTITUTE(SUBSTITUTE(UPPER({"IMPEDITIVO"})," ",""),":",": "),SUBSTITUTE(SUBSTITUTE(UPPER(S1846)," ",""),":",": "))),0)),"-")</f>
        <v>-</v>
      </c>
      <c r="K1846" s="49"/>
    </row>
    <row r="1847" spans="1:11" x14ac:dyDescent="0.25">
      <c r="A1847" s="46" t="str" cm="1">
        <f t="array" ref="A1847">IFERROR(INDEX(#REF!,MATCH(TRUE,ISNUMBER(FIND(SUBSTITUTE(SUBSTITUTE(UPPER(#REF!)," ",""),":",": "),SUBSTITUTE(SUBSTITUTE(UPPER(S1847)," ",""),":",": "))),0)),"Undefined")</f>
        <v>Undefined</v>
      </c>
      <c r="B1847" s="42" t="str" cm="1">
        <f t="array" ref="B1847">IFERROR(INDEX({"URGENTE"},MATCH(TRUE,ISNUMBER(FIND(SUBSTITUTE(SUBSTITUTE(UPPER({"URGENTE"})," ",""),":",": "),SUBSTITUTE(SUBSTITUTE(UPPER(S1847)," ",""),":",": "))),0)),"-")</f>
        <v>-</v>
      </c>
      <c r="C1847" s="46" t="str" cm="1">
        <f t="array" ref="C1847">IFERROR(INDEX(#REF!,MATCH(TRUE,ISNUMBER(FIND(SUBSTITUTE(SUBSTITUTE(UPPER(#REF!)," ",""),":",": "),SUBSTITUTE(SUBSTITUTE(UPPER(S1847)," ",""),":",": "))),0)),"Não encontrado")</f>
        <v>Não encontrado</v>
      </c>
      <c r="D1847" s="46" t="str" cm="1">
        <f t="array" ref="D1847">IFERROR(INDEX(#REF!,MATCH(TRUE,ISNUMBER(FIND(SUBSTITUTE(SUBSTITUTE(UPPER(#REF!)," ",""),":",": "),SUBSTITUTE(SUBSTITUTE(UPPER(S1847)," ",""),":",": "))),0)),"Não encontrado")</f>
        <v>Não encontrado</v>
      </c>
      <c r="E1847" s="42" t="str" cm="1">
        <f t="array" ref="E1847">IFERROR(INDEX({"IMPEDITIVO"},MATCH(TRUE,ISNUMBER(FIND(SUBSTITUTE(SUBSTITUTE(UPPER({"IMPEDITIVO"})," ",""),":",": "),SUBSTITUTE(SUBSTITUTE(UPPER(S1847)," ",""),":",": "))),0)),"-")</f>
        <v>-</v>
      </c>
      <c r="K1847" s="49"/>
    </row>
    <row r="1848" spans="1:11" x14ac:dyDescent="0.25">
      <c r="A1848" s="46" t="str" cm="1">
        <f t="array" ref="A1848">IFERROR(INDEX(#REF!,MATCH(TRUE,ISNUMBER(FIND(SUBSTITUTE(SUBSTITUTE(UPPER(#REF!)," ",""),":",": "),SUBSTITUTE(SUBSTITUTE(UPPER(S1848)," ",""),":",": "))),0)),"Undefined")</f>
        <v>Undefined</v>
      </c>
      <c r="B1848" s="42" t="str" cm="1">
        <f t="array" ref="B1848">IFERROR(INDEX({"URGENTE"},MATCH(TRUE,ISNUMBER(FIND(SUBSTITUTE(SUBSTITUTE(UPPER({"URGENTE"})," ",""),":",": "),SUBSTITUTE(SUBSTITUTE(UPPER(S1848)," ",""),":",": "))),0)),"-")</f>
        <v>-</v>
      </c>
      <c r="C1848" s="46" t="str" cm="1">
        <f t="array" ref="C1848">IFERROR(INDEX(#REF!,MATCH(TRUE,ISNUMBER(FIND(SUBSTITUTE(SUBSTITUTE(UPPER(#REF!)," ",""),":",": "),SUBSTITUTE(SUBSTITUTE(UPPER(S1848)," ",""),":",": "))),0)),"Não encontrado")</f>
        <v>Não encontrado</v>
      </c>
      <c r="D1848" s="46" t="str" cm="1">
        <f t="array" ref="D1848">IFERROR(INDEX(#REF!,MATCH(TRUE,ISNUMBER(FIND(SUBSTITUTE(SUBSTITUTE(UPPER(#REF!)," ",""),":",": "),SUBSTITUTE(SUBSTITUTE(UPPER(S1848)," ",""),":",": "))),0)),"Não encontrado")</f>
        <v>Não encontrado</v>
      </c>
      <c r="E1848" s="42" t="str" cm="1">
        <f t="array" ref="E1848">IFERROR(INDEX({"IMPEDITIVO"},MATCH(TRUE,ISNUMBER(FIND(SUBSTITUTE(SUBSTITUTE(UPPER({"IMPEDITIVO"})," ",""),":",": "),SUBSTITUTE(SUBSTITUTE(UPPER(S1848)," ",""),":",": "))),0)),"-")</f>
        <v>-</v>
      </c>
      <c r="K1848" s="49"/>
    </row>
    <row r="1849" spans="1:11" x14ac:dyDescent="0.25">
      <c r="A1849" s="46" t="str" cm="1">
        <f t="array" ref="A1849">IFERROR(INDEX(#REF!,MATCH(TRUE,ISNUMBER(FIND(SUBSTITUTE(SUBSTITUTE(UPPER(#REF!)," ",""),":",": "),SUBSTITUTE(SUBSTITUTE(UPPER(S1849)," ",""),":",": "))),0)),"Undefined")</f>
        <v>Undefined</v>
      </c>
      <c r="B1849" s="42" t="str" cm="1">
        <f t="array" ref="B1849">IFERROR(INDEX({"URGENTE"},MATCH(TRUE,ISNUMBER(FIND(SUBSTITUTE(SUBSTITUTE(UPPER({"URGENTE"})," ",""),":",": "),SUBSTITUTE(SUBSTITUTE(UPPER(S1849)," ",""),":",": "))),0)),"-")</f>
        <v>-</v>
      </c>
      <c r="C1849" s="46" t="str" cm="1">
        <f t="array" ref="C1849">IFERROR(INDEX(#REF!,MATCH(TRUE,ISNUMBER(FIND(SUBSTITUTE(SUBSTITUTE(UPPER(#REF!)," ",""),":",": "),SUBSTITUTE(SUBSTITUTE(UPPER(S1849)," ",""),":",": "))),0)),"Não encontrado")</f>
        <v>Não encontrado</v>
      </c>
      <c r="D1849" s="46" t="str" cm="1">
        <f t="array" ref="D1849">IFERROR(INDEX(#REF!,MATCH(TRUE,ISNUMBER(FIND(SUBSTITUTE(SUBSTITUTE(UPPER(#REF!)," ",""),":",": "),SUBSTITUTE(SUBSTITUTE(UPPER(S1849)," ",""),":",": "))),0)),"Não encontrado")</f>
        <v>Não encontrado</v>
      </c>
      <c r="E1849" s="42" t="str" cm="1">
        <f t="array" ref="E1849">IFERROR(INDEX({"IMPEDITIVO"},MATCH(TRUE,ISNUMBER(FIND(SUBSTITUTE(SUBSTITUTE(UPPER({"IMPEDITIVO"})," ",""),":",": "),SUBSTITUTE(SUBSTITUTE(UPPER(S1849)," ",""),":",": "))),0)),"-")</f>
        <v>-</v>
      </c>
      <c r="K1849" s="49"/>
    </row>
    <row r="1850" spans="1:11" x14ac:dyDescent="0.25">
      <c r="A1850" s="46" t="str" cm="1">
        <f t="array" ref="A1850">IFERROR(INDEX(#REF!,MATCH(TRUE,ISNUMBER(FIND(SUBSTITUTE(SUBSTITUTE(UPPER(#REF!)," ",""),":",": "),SUBSTITUTE(SUBSTITUTE(UPPER(S1850)," ",""),":",": "))),0)),"Undefined")</f>
        <v>Undefined</v>
      </c>
      <c r="B1850" s="42" t="str" cm="1">
        <f t="array" ref="B1850">IFERROR(INDEX({"URGENTE"},MATCH(TRUE,ISNUMBER(FIND(SUBSTITUTE(SUBSTITUTE(UPPER({"URGENTE"})," ",""),":",": "),SUBSTITUTE(SUBSTITUTE(UPPER(S1850)," ",""),":",": "))),0)),"-")</f>
        <v>-</v>
      </c>
      <c r="C1850" s="46" t="str" cm="1">
        <f t="array" ref="C1850">IFERROR(INDEX(#REF!,MATCH(TRUE,ISNUMBER(FIND(SUBSTITUTE(SUBSTITUTE(UPPER(#REF!)," ",""),":",": "),SUBSTITUTE(SUBSTITUTE(UPPER(S1850)," ",""),":",": "))),0)),"Não encontrado")</f>
        <v>Não encontrado</v>
      </c>
      <c r="D1850" s="46" t="str" cm="1">
        <f t="array" ref="D1850">IFERROR(INDEX(#REF!,MATCH(TRUE,ISNUMBER(FIND(SUBSTITUTE(SUBSTITUTE(UPPER(#REF!)," ",""),":",": "),SUBSTITUTE(SUBSTITUTE(UPPER(S1850)," ",""),":",": "))),0)),"Não encontrado")</f>
        <v>Não encontrado</v>
      </c>
      <c r="E1850" s="42" t="str" cm="1">
        <f t="array" ref="E1850">IFERROR(INDEX({"IMPEDITIVO"},MATCH(TRUE,ISNUMBER(FIND(SUBSTITUTE(SUBSTITUTE(UPPER({"IMPEDITIVO"})," ",""),":",": "),SUBSTITUTE(SUBSTITUTE(UPPER(S1850)," ",""),":",": "))),0)),"-")</f>
        <v>-</v>
      </c>
      <c r="K1850" s="49"/>
    </row>
    <row r="1851" spans="1:11" x14ac:dyDescent="0.25">
      <c r="A1851" s="46" t="str" cm="1">
        <f t="array" ref="A1851">IFERROR(INDEX(#REF!,MATCH(TRUE,ISNUMBER(FIND(SUBSTITUTE(SUBSTITUTE(UPPER(#REF!)," ",""),":",": "),SUBSTITUTE(SUBSTITUTE(UPPER(S1851)," ",""),":",": "))),0)),"Undefined")</f>
        <v>Undefined</v>
      </c>
      <c r="B1851" s="42" t="str" cm="1">
        <f t="array" ref="B1851">IFERROR(INDEX({"URGENTE"},MATCH(TRUE,ISNUMBER(FIND(SUBSTITUTE(SUBSTITUTE(UPPER({"URGENTE"})," ",""),":",": "),SUBSTITUTE(SUBSTITUTE(UPPER(S1851)," ",""),":",": "))),0)),"-")</f>
        <v>-</v>
      </c>
      <c r="C1851" s="46" t="str" cm="1">
        <f t="array" ref="C1851">IFERROR(INDEX(#REF!,MATCH(TRUE,ISNUMBER(FIND(SUBSTITUTE(SUBSTITUTE(UPPER(#REF!)," ",""),":",": "),SUBSTITUTE(SUBSTITUTE(UPPER(S1851)," ",""),":",": "))),0)),"Não encontrado")</f>
        <v>Não encontrado</v>
      </c>
      <c r="D1851" s="46" t="str" cm="1">
        <f t="array" ref="D1851">IFERROR(INDEX(#REF!,MATCH(TRUE,ISNUMBER(FIND(SUBSTITUTE(SUBSTITUTE(UPPER(#REF!)," ",""),":",": "),SUBSTITUTE(SUBSTITUTE(UPPER(S1851)," ",""),":",": "))),0)),"Não encontrado")</f>
        <v>Não encontrado</v>
      </c>
      <c r="E1851" s="42" t="str" cm="1">
        <f t="array" ref="E1851">IFERROR(INDEX({"IMPEDITIVO"},MATCH(TRUE,ISNUMBER(FIND(SUBSTITUTE(SUBSTITUTE(UPPER({"IMPEDITIVO"})," ",""),":",": "),SUBSTITUTE(SUBSTITUTE(UPPER(S1851)," ",""),":",": "))),0)),"-")</f>
        <v>-</v>
      </c>
      <c r="K1851" s="49"/>
    </row>
    <row r="1852" spans="1:11" x14ac:dyDescent="0.25">
      <c r="A1852" s="46" t="str" cm="1">
        <f t="array" ref="A1852">IFERROR(INDEX(#REF!,MATCH(TRUE,ISNUMBER(FIND(SUBSTITUTE(SUBSTITUTE(UPPER(#REF!)," ",""),":",": "),SUBSTITUTE(SUBSTITUTE(UPPER(S1852)," ",""),":",": "))),0)),"Undefined")</f>
        <v>Undefined</v>
      </c>
      <c r="B1852" s="42" t="str" cm="1">
        <f t="array" ref="B1852">IFERROR(INDEX({"URGENTE"},MATCH(TRUE,ISNUMBER(FIND(SUBSTITUTE(SUBSTITUTE(UPPER({"URGENTE"})," ",""),":",": "),SUBSTITUTE(SUBSTITUTE(UPPER(S1852)," ",""),":",": "))),0)),"-")</f>
        <v>-</v>
      </c>
      <c r="C1852" s="46" t="str" cm="1">
        <f t="array" ref="C1852">IFERROR(INDEX(#REF!,MATCH(TRUE,ISNUMBER(FIND(SUBSTITUTE(SUBSTITUTE(UPPER(#REF!)," ",""),":",": "),SUBSTITUTE(SUBSTITUTE(UPPER(S1852)," ",""),":",": "))),0)),"Não encontrado")</f>
        <v>Não encontrado</v>
      </c>
      <c r="D1852" s="46" t="str" cm="1">
        <f t="array" ref="D1852">IFERROR(INDEX(#REF!,MATCH(TRUE,ISNUMBER(FIND(SUBSTITUTE(SUBSTITUTE(UPPER(#REF!)," ",""),":",": "),SUBSTITUTE(SUBSTITUTE(UPPER(S1852)," ",""),":",": "))),0)),"Não encontrado")</f>
        <v>Não encontrado</v>
      </c>
      <c r="E1852" s="42" t="str" cm="1">
        <f t="array" ref="E1852">IFERROR(INDEX({"IMPEDITIVO"},MATCH(TRUE,ISNUMBER(FIND(SUBSTITUTE(SUBSTITUTE(UPPER({"IMPEDITIVO"})," ",""),":",": "),SUBSTITUTE(SUBSTITUTE(UPPER(S1852)," ",""),":",": "))),0)),"-")</f>
        <v>-</v>
      </c>
      <c r="K1852" s="49"/>
    </row>
    <row r="1853" spans="1:11" x14ac:dyDescent="0.25">
      <c r="A1853" s="46" t="str" cm="1">
        <f t="array" ref="A1853">IFERROR(INDEX(#REF!,MATCH(TRUE,ISNUMBER(FIND(SUBSTITUTE(SUBSTITUTE(UPPER(#REF!)," ",""),":",": "),SUBSTITUTE(SUBSTITUTE(UPPER(S1853)," ",""),":",": "))),0)),"Undefined")</f>
        <v>Undefined</v>
      </c>
      <c r="B1853" s="42" t="str" cm="1">
        <f t="array" ref="B1853">IFERROR(INDEX({"URGENTE"},MATCH(TRUE,ISNUMBER(FIND(SUBSTITUTE(SUBSTITUTE(UPPER({"URGENTE"})," ",""),":",": "),SUBSTITUTE(SUBSTITUTE(UPPER(S1853)," ",""),":",": "))),0)),"-")</f>
        <v>-</v>
      </c>
      <c r="C1853" s="46" t="str" cm="1">
        <f t="array" ref="C1853">IFERROR(INDEX(#REF!,MATCH(TRUE,ISNUMBER(FIND(SUBSTITUTE(SUBSTITUTE(UPPER(#REF!)," ",""),":",": "),SUBSTITUTE(SUBSTITUTE(UPPER(S1853)," ",""),":",": "))),0)),"Não encontrado")</f>
        <v>Não encontrado</v>
      </c>
      <c r="D1853" s="46" t="str" cm="1">
        <f t="array" ref="D1853">IFERROR(INDEX(#REF!,MATCH(TRUE,ISNUMBER(FIND(SUBSTITUTE(SUBSTITUTE(UPPER(#REF!)," ",""),":",": "),SUBSTITUTE(SUBSTITUTE(UPPER(S1853)," ",""),":",": "))),0)),"Não encontrado")</f>
        <v>Não encontrado</v>
      </c>
      <c r="E1853" s="42" t="str" cm="1">
        <f t="array" ref="E1853">IFERROR(INDEX({"IMPEDITIVO"},MATCH(TRUE,ISNUMBER(FIND(SUBSTITUTE(SUBSTITUTE(UPPER({"IMPEDITIVO"})," ",""),":",": "),SUBSTITUTE(SUBSTITUTE(UPPER(S1853)," ",""),":",": "))),0)),"-")</f>
        <v>-</v>
      </c>
      <c r="K1853" s="49"/>
    </row>
    <row r="1854" spans="1:11" x14ac:dyDescent="0.25">
      <c r="A1854" s="46" t="str" cm="1">
        <f t="array" ref="A1854">IFERROR(INDEX(#REF!,MATCH(TRUE,ISNUMBER(FIND(SUBSTITUTE(SUBSTITUTE(UPPER(#REF!)," ",""),":",": "),SUBSTITUTE(SUBSTITUTE(UPPER(S1854)," ",""),":",": "))),0)),"Undefined")</f>
        <v>Undefined</v>
      </c>
      <c r="B1854" s="42" t="str" cm="1">
        <f t="array" ref="B1854">IFERROR(INDEX({"URGENTE"},MATCH(TRUE,ISNUMBER(FIND(SUBSTITUTE(SUBSTITUTE(UPPER({"URGENTE"})," ",""),":",": "),SUBSTITUTE(SUBSTITUTE(UPPER(S1854)," ",""),":",": "))),0)),"-")</f>
        <v>-</v>
      </c>
      <c r="C1854" s="46" t="str" cm="1">
        <f t="array" ref="C1854">IFERROR(INDEX(#REF!,MATCH(TRUE,ISNUMBER(FIND(SUBSTITUTE(SUBSTITUTE(UPPER(#REF!)," ",""),":",": "),SUBSTITUTE(SUBSTITUTE(UPPER(S1854)," ",""),":",": "))),0)),"Não encontrado")</f>
        <v>Não encontrado</v>
      </c>
      <c r="D1854" s="46" t="str" cm="1">
        <f t="array" ref="D1854">IFERROR(INDEX(#REF!,MATCH(TRUE,ISNUMBER(FIND(SUBSTITUTE(SUBSTITUTE(UPPER(#REF!)," ",""),":",": "),SUBSTITUTE(SUBSTITUTE(UPPER(S1854)," ",""),":",": "))),0)),"Não encontrado")</f>
        <v>Não encontrado</v>
      </c>
      <c r="E1854" s="42" t="str" cm="1">
        <f t="array" ref="E1854">IFERROR(INDEX({"IMPEDITIVO"},MATCH(TRUE,ISNUMBER(FIND(SUBSTITUTE(SUBSTITUTE(UPPER({"IMPEDITIVO"})," ",""),":",": "),SUBSTITUTE(SUBSTITUTE(UPPER(S1854)," ",""),":",": "))),0)),"-")</f>
        <v>-</v>
      </c>
      <c r="K1854" s="49"/>
    </row>
    <row r="1855" spans="1:11" x14ac:dyDescent="0.25">
      <c r="A1855" s="46" t="str" cm="1">
        <f t="array" ref="A1855">IFERROR(INDEX(#REF!,MATCH(TRUE,ISNUMBER(FIND(SUBSTITUTE(SUBSTITUTE(UPPER(#REF!)," ",""),":",": "),SUBSTITUTE(SUBSTITUTE(UPPER(S1855)," ",""),":",": "))),0)),"Undefined")</f>
        <v>Undefined</v>
      </c>
      <c r="B1855" s="42" t="str" cm="1">
        <f t="array" ref="B1855">IFERROR(INDEX({"URGENTE"},MATCH(TRUE,ISNUMBER(FIND(SUBSTITUTE(SUBSTITUTE(UPPER({"URGENTE"})," ",""),":",": "),SUBSTITUTE(SUBSTITUTE(UPPER(S1855)," ",""),":",": "))),0)),"-")</f>
        <v>-</v>
      </c>
      <c r="C1855" s="46" t="str" cm="1">
        <f t="array" ref="C1855">IFERROR(INDEX(#REF!,MATCH(TRUE,ISNUMBER(FIND(SUBSTITUTE(SUBSTITUTE(UPPER(#REF!)," ",""),":",": "),SUBSTITUTE(SUBSTITUTE(UPPER(S1855)," ",""),":",": "))),0)),"Não encontrado")</f>
        <v>Não encontrado</v>
      </c>
      <c r="D1855" s="46" t="str" cm="1">
        <f t="array" ref="D1855">IFERROR(INDEX(#REF!,MATCH(TRUE,ISNUMBER(FIND(SUBSTITUTE(SUBSTITUTE(UPPER(#REF!)," ",""),":",": "),SUBSTITUTE(SUBSTITUTE(UPPER(S1855)," ",""),":",": "))),0)),"Não encontrado")</f>
        <v>Não encontrado</v>
      </c>
      <c r="E1855" s="42" t="str" cm="1">
        <f t="array" ref="E1855">IFERROR(INDEX({"IMPEDITIVO"},MATCH(TRUE,ISNUMBER(FIND(SUBSTITUTE(SUBSTITUTE(UPPER({"IMPEDITIVO"})," ",""),":",": "),SUBSTITUTE(SUBSTITUTE(UPPER(S1855)," ",""),":",": "))),0)),"-")</f>
        <v>-</v>
      </c>
      <c r="K1855" s="49"/>
    </row>
    <row r="1856" spans="1:11" x14ac:dyDescent="0.25">
      <c r="A1856" s="46" t="str" cm="1">
        <f t="array" ref="A1856">IFERROR(INDEX(#REF!,MATCH(TRUE,ISNUMBER(FIND(SUBSTITUTE(SUBSTITUTE(UPPER(#REF!)," ",""),":",": "),SUBSTITUTE(SUBSTITUTE(UPPER(S1856)," ",""),":",": "))),0)),"Undefined")</f>
        <v>Undefined</v>
      </c>
      <c r="B1856" s="42" t="str" cm="1">
        <f t="array" ref="B1856">IFERROR(INDEX({"URGENTE"},MATCH(TRUE,ISNUMBER(FIND(SUBSTITUTE(SUBSTITUTE(UPPER({"URGENTE"})," ",""),":",": "),SUBSTITUTE(SUBSTITUTE(UPPER(S1856)," ",""),":",": "))),0)),"-")</f>
        <v>-</v>
      </c>
      <c r="C1856" s="46" t="str" cm="1">
        <f t="array" ref="C1856">IFERROR(INDEX(#REF!,MATCH(TRUE,ISNUMBER(FIND(SUBSTITUTE(SUBSTITUTE(UPPER(#REF!)," ",""),":",": "),SUBSTITUTE(SUBSTITUTE(UPPER(S1856)," ",""),":",": "))),0)),"Não encontrado")</f>
        <v>Não encontrado</v>
      </c>
      <c r="D1856" s="46" t="str" cm="1">
        <f t="array" ref="D1856">IFERROR(INDEX(#REF!,MATCH(TRUE,ISNUMBER(FIND(SUBSTITUTE(SUBSTITUTE(UPPER(#REF!)," ",""),":",": "),SUBSTITUTE(SUBSTITUTE(UPPER(S1856)," ",""),":",": "))),0)),"Não encontrado")</f>
        <v>Não encontrado</v>
      </c>
      <c r="E1856" s="42" t="str" cm="1">
        <f t="array" ref="E1856">IFERROR(INDEX({"IMPEDITIVO"},MATCH(TRUE,ISNUMBER(FIND(SUBSTITUTE(SUBSTITUTE(UPPER({"IMPEDITIVO"})," ",""),":",": "),SUBSTITUTE(SUBSTITUTE(UPPER(S1856)," ",""),":",": "))),0)),"-")</f>
        <v>-</v>
      </c>
      <c r="K1856" s="49"/>
    </row>
    <row r="1857" spans="1:11" x14ac:dyDescent="0.25">
      <c r="A1857" s="46" t="str" cm="1">
        <f t="array" ref="A1857">IFERROR(INDEX(#REF!,MATCH(TRUE,ISNUMBER(FIND(SUBSTITUTE(SUBSTITUTE(UPPER(#REF!)," ",""),":",": "),SUBSTITUTE(SUBSTITUTE(UPPER(S1857)," ",""),":",": "))),0)),"Undefined")</f>
        <v>Undefined</v>
      </c>
      <c r="B1857" s="42" t="str" cm="1">
        <f t="array" ref="B1857">IFERROR(INDEX({"URGENTE"},MATCH(TRUE,ISNUMBER(FIND(SUBSTITUTE(SUBSTITUTE(UPPER({"URGENTE"})," ",""),":",": "),SUBSTITUTE(SUBSTITUTE(UPPER(S1857)," ",""),":",": "))),0)),"-")</f>
        <v>-</v>
      </c>
      <c r="C1857" s="46" t="str" cm="1">
        <f t="array" ref="C1857">IFERROR(INDEX(#REF!,MATCH(TRUE,ISNUMBER(FIND(SUBSTITUTE(SUBSTITUTE(UPPER(#REF!)," ",""),":",": "),SUBSTITUTE(SUBSTITUTE(UPPER(S1857)," ",""),":",": "))),0)),"Não encontrado")</f>
        <v>Não encontrado</v>
      </c>
      <c r="D1857" s="46" t="str" cm="1">
        <f t="array" ref="D1857">IFERROR(INDEX(#REF!,MATCH(TRUE,ISNUMBER(FIND(SUBSTITUTE(SUBSTITUTE(UPPER(#REF!)," ",""),":",": "),SUBSTITUTE(SUBSTITUTE(UPPER(S1857)," ",""),":",": "))),0)),"Não encontrado")</f>
        <v>Não encontrado</v>
      </c>
      <c r="E1857" s="42" t="str" cm="1">
        <f t="array" ref="E1857">IFERROR(INDEX({"IMPEDITIVO"},MATCH(TRUE,ISNUMBER(FIND(SUBSTITUTE(SUBSTITUTE(UPPER({"IMPEDITIVO"})," ",""),":",": "),SUBSTITUTE(SUBSTITUTE(UPPER(S1857)," ",""),":",": "))),0)),"-")</f>
        <v>-</v>
      </c>
      <c r="K1857" s="49"/>
    </row>
    <row r="1858" spans="1:11" x14ac:dyDescent="0.25">
      <c r="A1858" s="46" t="str" cm="1">
        <f t="array" ref="A1858">IFERROR(INDEX(#REF!,MATCH(TRUE,ISNUMBER(FIND(SUBSTITUTE(SUBSTITUTE(UPPER(#REF!)," ",""),":",": "),SUBSTITUTE(SUBSTITUTE(UPPER(S1858)," ",""),":",": "))),0)),"Undefined")</f>
        <v>Undefined</v>
      </c>
      <c r="B1858" s="42" t="str" cm="1">
        <f t="array" ref="B1858">IFERROR(INDEX({"URGENTE"},MATCH(TRUE,ISNUMBER(FIND(SUBSTITUTE(SUBSTITUTE(UPPER({"URGENTE"})," ",""),":",": "),SUBSTITUTE(SUBSTITUTE(UPPER(S1858)," ",""),":",": "))),0)),"-")</f>
        <v>-</v>
      </c>
      <c r="C1858" s="46" t="str" cm="1">
        <f t="array" ref="C1858">IFERROR(INDEX(#REF!,MATCH(TRUE,ISNUMBER(FIND(SUBSTITUTE(SUBSTITUTE(UPPER(#REF!)," ",""),":",": "),SUBSTITUTE(SUBSTITUTE(UPPER(S1858)," ",""),":",": "))),0)),"Não encontrado")</f>
        <v>Não encontrado</v>
      </c>
      <c r="D1858" s="46" t="str" cm="1">
        <f t="array" ref="D1858">IFERROR(INDEX(#REF!,MATCH(TRUE,ISNUMBER(FIND(SUBSTITUTE(SUBSTITUTE(UPPER(#REF!)," ",""),":",": "),SUBSTITUTE(SUBSTITUTE(UPPER(S1858)," ",""),":",": "))),0)),"Não encontrado")</f>
        <v>Não encontrado</v>
      </c>
      <c r="E1858" s="42" t="str" cm="1">
        <f t="array" ref="E1858">IFERROR(INDEX({"IMPEDITIVO"},MATCH(TRUE,ISNUMBER(FIND(SUBSTITUTE(SUBSTITUTE(UPPER({"IMPEDITIVO"})," ",""),":",": "),SUBSTITUTE(SUBSTITUTE(UPPER(S1858)," ",""),":",": "))),0)),"-")</f>
        <v>-</v>
      </c>
      <c r="K1858" s="49"/>
    </row>
    <row r="1859" spans="1:11" x14ac:dyDescent="0.25">
      <c r="A1859" s="46" t="str" cm="1">
        <f t="array" ref="A1859">IFERROR(INDEX(#REF!,MATCH(TRUE,ISNUMBER(FIND(SUBSTITUTE(SUBSTITUTE(UPPER(#REF!)," ",""),":",": "),SUBSTITUTE(SUBSTITUTE(UPPER(S1859)," ",""),":",": "))),0)),"Undefined")</f>
        <v>Undefined</v>
      </c>
      <c r="B1859" s="42" t="str" cm="1">
        <f t="array" ref="B1859">IFERROR(INDEX({"URGENTE"},MATCH(TRUE,ISNUMBER(FIND(SUBSTITUTE(SUBSTITUTE(UPPER({"URGENTE"})," ",""),":",": "),SUBSTITUTE(SUBSTITUTE(UPPER(S1859)," ",""),":",": "))),0)),"-")</f>
        <v>-</v>
      </c>
      <c r="C1859" s="46" t="str" cm="1">
        <f t="array" ref="C1859">IFERROR(INDEX(#REF!,MATCH(TRUE,ISNUMBER(FIND(SUBSTITUTE(SUBSTITUTE(UPPER(#REF!)," ",""),":",": "),SUBSTITUTE(SUBSTITUTE(UPPER(S1859)," ",""),":",": "))),0)),"Não encontrado")</f>
        <v>Não encontrado</v>
      </c>
      <c r="D1859" s="46" t="str" cm="1">
        <f t="array" ref="D1859">IFERROR(INDEX(#REF!,MATCH(TRUE,ISNUMBER(FIND(SUBSTITUTE(SUBSTITUTE(UPPER(#REF!)," ",""),":",": "),SUBSTITUTE(SUBSTITUTE(UPPER(S1859)," ",""),":",": "))),0)),"Não encontrado")</f>
        <v>Não encontrado</v>
      </c>
      <c r="E1859" s="42" t="str" cm="1">
        <f t="array" ref="E1859">IFERROR(INDEX({"IMPEDITIVO"},MATCH(TRUE,ISNUMBER(FIND(SUBSTITUTE(SUBSTITUTE(UPPER({"IMPEDITIVO"})," ",""),":",": "),SUBSTITUTE(SUBSTITUTE(UPPER(S1859)," ",""),":",": "))),0)),"-")</f>
        <v>-</v>
      </c>
      <c r="K1859" s="49"/>
    </row>
    <row r="1860" spans="1:11" x14ac:dyDescent="0.25">
      <c r="A1860" s="46" t="str" cm="1">
        <f t="array" ref="A1860">IFERROR(INDEX(#REF!,MATCH(TRUE,ISNUMBER(FIND(SUBSTITUTE(SUBSTITUTE(UPPER(#REF!)," ",""),":",": "),SUBSTITUTE(SUBSTITUTE(UPPER(S1860)," ",""),":",": "))),0)),"Undefined")</f>
        <v>Undefined</v>
      </c>
      <c r="B1860" s="42" t="str" cm="1">
        <f t="array" ref="B1860">IFERROR(INDEX({"URGENTE"},MATCH(TRUE,ISNUMBER(FIND(SUBSTITUTE(SUBSTITUTE(UPPER({"URGENTE"})," ",""),":",": "),SUBSTITUTE(SUBSTITUTE(UPPER(S1860)," ",""),":",": "))),0)),"-")</f>
        <v>-</v>
      </c>
      <c r="C1860" s="46" t="str" cm="1">
        <f t="array" ref="C1860">IFERROR(INDEX(#REF!,MATCH(TRUE,ISNUMBER(FIND(SUBSTITUTE(SUBSTITUTE(UPPER(#REF!)," ",""),":",": "),SUBSTITUTE(SUBSTITUTE(UPPER(S1860)," ",""),":",": "))),0)),"Não encontrado")</f>
        <v>Não encontrado</v>
      </c>
      <c r="D1860" s="46" t="str" cm="1">
        <f t="array" ref="D1860">IFERROR(INDEX(#REF!,MATCH(TRUE,ISNUMBER(FIND(SUBSTITUTE(SUBSTITUTE(UPPER(#REF!)," ",""),":",": "),SUBSTITUTE(SUBSTITUTE(UPPER(S1860)," ",""),":",": "))),0)),"Não encontrado")</f>
        <v>Não encontrado</v>
      </c>
      <c r="E1860" s="42" t="str" cm="1">
        <f t="array" ref="E1860">IFERROR(INDEX({"IMPEDITIVO"},MATCH(TRUE,ISNUMBER(FIND(SUBSTITUTE(SUBSTITUTE(UPPER({"IMPEDITIVO"})," ",""),":",": "),SUBSTITUTE(SUBSTITUTE(UPPER(S1860)," ",""),":",": "))),0)),"-")</f>
        <v>-</v>
      </c>
      <c r="K1860" s="49"/>
    </row>
    <row r="1861" spans="1:11" x14ac:dyDescent="0.25">
      <c r="A1861" s="46" t="str" cm="1">
        <f t="array" ref="A1861">IFERROR(INDEX(#REF!,MATCH(TRUE,ISNUMBER(FIND(SUBSTITUTE(SUBSTITUTE(UPPER(#REF!)," ",""),":",": "),SUBSTITUTE(SUBSTITUTE(UPPER(S1861)," ",""),":",": "))),0)),"Undefined")</f>
        <v>Undefined</v>
      </c>
      <c r="B1861" s="42" t="str" cm="1">
        <f t="array" ref="B1861">IFERROR(INDEX({"URGENTE"},MATCH(TRUE,ISNUMBER(FIND(SUBSTITUTE(SUBSTITUTE(UPPER({"URGENTE"})," ",""),":",": "),SUBSTITUTE(SUBSTITUTE(UPPER(S1861)," ",""),":",": "))),0)),"-")</f>
        <v>-</v>
      </c>
      <c r="C1861" s="46" t="str" cm="1">
        <f t="array" ref="C1861">IFERROR(INDEX(#REF!,MATCH(TRUE,ISNUMBER(FIND(SUBSTITUTE(SUBSTITUTE(UPPER(#REF!)," ",""),":",": "),SUBSTITUTE(SUBSTITUTE(UPPER(S1861)," ",""),":",": "))),0)),"Não encontrado")</f>
        <v>Não encontrado</v>
      </c>
      <c r="D1861" s="46" t="str" cm="1">
        <f t="array" ref="D1861">IFERROR(INDEX(#REF!,MATCH(TRUE,ISNUMBER(FIND(SUBSTITUTE(SUBSTITUTE(UPPER(#REF!)," ",""),":",": "),SUBSTITUTE(SUBSTITUTE(UPPER(S1861)," ",""),":",": "))),0)),"Não encontrado")</f>
        <v>Não encontrado</v>
      </c>
      <c r="E1861" s="42" t="str" cm="1">
        <f t="array" ref="E1861">IFERROR(INDEX({"IMPEDITIVO"},MATCH(TRUE,ISNUMBER(FIND(SUBSTITUTE(SUBSTITUTE(UPPER({"IMPEDITIVO"})," ",""),":",": "),SUBSTITUTE(SUBSTITUTE(UPPER(S1861)," ",""),":",": "))),0)),"-")</f>
        <v>-</v>
      </c>
      <c r="K1861" s="49"/>
    </row>
    <row r="1862" spans="1:11" x14ac:dyDescent="0.25">
      <c r="A1862" s="46" t="str" cm="1">
        <f t="array" ref="A1862">IFERROR(INDEX(#REF!,MATCH(TRUE,ISNUMBER(FIND(SUBSTITUTE(SUBSTITUTE(UPPER(#REF!)," ",""),":",": "),SUBSTITUTE(SUBSTITUTE(UPPER(S1862)," ",""),":",": "))),0)),"Undefined")</f>
        <v>Undefined</v>
      </c>
      <c r="B1862" s="42" t="str" cm="1">
        <f t="array" ref="B1862">IFERROR(INDEX({"URGENTE"},MATCH(TRUE,ISNUMBER(FIND(SUBSTITUTE(SUBSTITUTE(UPPER({"URGENTE"})," ",""),":",": "),SUBSTITUTE(SUBSTITUTE(UPPER(S1862)," ",""),":",": "))),0)),"-")</f>
        <v>-</v>
      </c>
      <c r="C1862" s="46" t="str" cm="1">
        <f t="array" ref="C1862">IFERROR(INDEX(#REF!,MATCH(TRUE,ISNUMBER(FIND(SUBSTITUTE(SUBSTITUTE(UPPER(#REF!)," ",""),":",": "),SUBSTITUTE(SUBSTITUTE(UPPER(S1862)," ",""),":",": "))),0)),"Não encontrado")</f>
        <v>Não encontrado</v>
      </c>
      <c r="D1862" s="46" t="str" cm="1">
        <f t="array" ref="D1862">IFERROR(INDEX(#REF!,MATCH(TRUE,ISNUMBER(FIND(SUBSTITUTE(SUBSTITUTE(UPPER(#REF!)," ",""),":",": "),SUBSTITUTE(SUBSTITUTE(UPPER(S1862)," ",""),":",": "))),0)),"Não encontrado")</f>
        <v>Não encontrado</v>
      </c>
      <c r="E1862" s="42" t="str" cm="1">
        <f t="array" ref="E1862">IFERROR(INDEX({"IMPEDITIVO"},MATCH(TRUE,ISNUMBER(FIND(SUBSTITUTE(SUBSTITUTE(UPPER({"IMPEDITIVO"})," ",""),":",": "),SUBSTITUTE(SUBSTITUTE(UPPER(S1862)," ",""),":",": "))),0)),"-")</f>
        <v>-</v>
      </c>
      <c r="K1862" s="49"/>
    </row>
    <row r="1863" spans="1:11" x14ac:dyDescent="0.25">
      <c r="A1863" s="46" t="str" cm="1">
        <f t="array" ref="A1863">IFERROR(INDEX(#REF!,MATCH(TRUE,ISNUMBER(FIND(SUBSTITUTE(SUBSTITUTE(UPPER(#REF!)," ",""),":",": "),SUBSTITUTE(SUBSTITUTE(UPPER(S1863)," ",""),":",": "))),0)),"Undefined")</f>
        <v>Undefined</v>
      </c>
      <c r="B1863" s="42" t="str" cm="1">
        <f t="array" ref="B1863">IFERROR(INDEX({"URGENTE"},MATCH(TRUE,ISNUMBER(FIND(SUBSTITUTE(SUBSTITUTE(UPPER({"URGENTE"})," ",""),":",": "),SUBSTITUTE(SUBSTITUTE(UPPER(S1863)," ",""),":",": "))),0)),"-")</f>
        <v>-</v>
      </c>
      <c r="C1863" s="46" t="str" cm="1">
        <f t="array" ref="C1863">IFERROR(INDEX(#REF!,MATCH(TRUE,ISNUMBER(FIND(SUBSTITUTE(SUBSTITUTE(UPPER(#REF!)," ",""),":",": "),SUBSTITUTE(SUBSTITUTE(UPPER(S1863)," ",""),":",": "))),0)),"Não encontrado")</f>
        <v>Não encontrado</v>
      </c>
      <c r="D1863" s="46" t="str" cm="1">
        <f t="array" ref="D1863">IFERROR(INDEX(#REF!,MATCH(TRUE,ISNUMBER(FIND(SUBSTITUTE(SUBSTITUTE(UPPER(#REF!)," ",""),":",": "),SUBSTITUTE(SUBSTITUTE(UPPER(S1863)," ",""),":",": "))),0)),"Não encontrado")</f>
        <v>Não encontrado</v>
      </c>
      <c r="E1863" s="42" t="str" cm="1">
        <f t="array" ref="E1863">IFERROR(INDEX({"IMPEDITIVO"},MATCH(TRUE,ISNUMBER(FIND(SUBSTITUTE(SUBSTITUTE(UPPER({"IMPEDITIVO"})," ",""),":",": "),SUBSTITUTE(SUBSTITUTE(UPPER(S1863)," ",""),":",": "))),0)),"-")</f>
        <v>-</v>
      </c>
      <c r="K1863" s="49"/>
    </row>
    <row r="1864" spans="1:11" x14ac:dyDescent="0.25">
      <c r="A1864" s="46" t="str" cm="1">
        <f t="array" ref="A1864">IFERROR(INDEX(#REF!,MATCH(TRUE,ISNUMBER(FIND(SUBSTITUTE(SUBSTITUTE(UPPER(#REF!)," ",""),":",": "),SUBSTITUTE(SUBSTITUTE(UPPER(S1864)," ",""),":",": "))),0)),"Undefined")</f>
        <v>Undefined</v>
      </c>
      <c r="B1864" s="42" t="str" cm="1">
        <f t="array" ref="B1864">IFERROR(INDEX({"URGENTE"},MATCH(TRUE,ISNUMBER(FIND(SUBSTITUTE(SUBSTITUTE(UPPER({"URGENTE"})," ",""),":",": "),SUBSTITUTE(SUBSTITUTE(UPPER(S1864)," ",""),":",": "))),0)),"-")</f>
        <v>-</v>
      </c>
      <c r="C1864" s="46" t="str" cm="1">
        <f t="array" ref="C1864">IFERROR(INDEX(#REF!,MATCH(TRUE,ISNUMBER(FIND(SUBSTITUTE(SUBSTITUTE(UPPER(#REF!)," ",""),":",": "),SUBSTITUTE(SUBSTITUTE(UPPER(S1864)," ",""),":",": "))),0)),"Não encontrado")</f>
        <v>Não encontrado</v>
      </c>
      <c r="D1864" s="46" t="str" cm="1">
        <f t="array" ref="D1864">IFERROR(INDEX(#REF!,MATCH(TRUE,ISNUMBER(FIND(SUBSTITUTE(SUBSTITUTE(UPPER(#REF!)," ",""),":",": "),SUBSTITUTE(SUBSTITUTE(UPPER(S1864)," ",""),":",": "))),0)),"Não encontrado")</f>
        <v>Não encontrado</v>
      </c>
      <c r="E1864" s="42" t="str" cm="1">
        <f t="array" ref="E1864">IFERROR(INDEX({"IMPEDITIVO"},MATCH(TRUE,ISNUMBER(FIND(SUBSTITUTE(SUBSTITUTE(UPPER({"IMPEDITIVO"})," ",""),":",": "),SUBSTITUTE(SUBSTITUTE(UPPER(S1864)," ",""),":",": "))),0)),"-")</f>
        <v>-</v>
      </c>
      <c r="K1864" s="49"/>
    </row>
    <row r="1865" spans="1:11" x14ac:dyDescent="0.25">
      <c r="A1865" s="46" t="str" cm="1">
        <f t="array" ref="A1865">IFERROR(INDEX(#REF!,MATCH(TRUE,ISNUMBER(FIND(SUBSTITUTE(SUBSTITUTE(UPPER(#REF!)," ",""),":",": "),SUBSTITUTE(SUBSTITUTE(UPPER(S1865)," ",""),":",": "))),0)),"Undefined")</f>
        <v>Undefined</v>
      </c>
      <c r="B1865" s="42" t="str" cm="1">
        <f t="array" ref="B1865">IFERROR(INDEX({"URGENTE"},MATCH(TRUE,ISNUMBER(FIND(SUBSTITUTE(SUBSTITUTE(UPPER({"URGENTE"})," ",""),":",": "),SUBSTITUTE(SUBSTITUTE(UPPER(S1865)," ",""),":",": "))),0)),"-")</f>
        <v>-</v>
      </c>
      <c r="C1865" s="46" t="str" cm="1">
        <f t="array" ref="C1865">IFERROR(INDEX(#REF!,MATCH(TRUE,ISNUMBER(FIND(SUBSTITUTE(SUBSTITUTE(UPPER(#REF!)," ",""),":",": "),SUBSTITUTE(SUBSTITUTE(UPPER(S1865)," ",""),":",": "))),0)),"Não encontrado")</f>
        <v>Não encontrado</v>
      </c>
      <c r="D1865" s="46" t="str" cm="1">
        <f t="array" ref="D1865">IFERROR(INDEX(#REF!,MATCH(TRUE,ISNUMBER(FIND(SUBSTITUTE(SUBSTITUTE(UPPER(#REF!)," ",""),":",": "),SUBSTITUTE(SUBSTITUTE(UPPER(S1865)," ",""),":",": "))),0)),"Não encontrado")</f>
        <v>Não encontrado</v>
      </c>
      <c r="E1865" s="42" t="str" cm="1">
        <f t="array" ref="E1865">IFERROR(INDEX({"IMPEDITIVO"},MATCH(TRUE,ISNUMBER(FIND(SUBSTITUTE(SUBSTITUTE(UPPER({"IMPEDITIVO"})," ",""),":",": "),SUBSTITUTE(SUBSTITUTE(UPPER(S1865)," ",""),":",": "))),0)),"-")</f>
        <v>-</v>
      </c>
      <c r="K1865" s="49"/>
    </row>
    <row r="1866" spans="1:11" x14ac:dyDescent="0.25">
      <c r="A1866" s="46" t="str" cm="1">
        <f t="array" ref="A1866">IFERROR(INDEX(#REF!,MATCH(TRUE,ISNUMBER(FIND(SUBSTITUTE(SUBSTITUTE(UPPER(#REF!)," ",""),":",": "),SUBSTITUTE(SUBSTITUTE(UPPER(S1866)," ",""),":",": "))),0)),"Undefined")</f>
        <v>Undefined</v>
      </c>
      <c r="B1866" s="42" t="str" cm="1">
        <f t="array" ref="B1866">IFERROR(INDEX({"URGENTE"},MATCH(TRUE,ISNUMBER(FIND(SUBSTITUTE(SUBSTITUTE(UPPER({"URGENTE"})," ",""),":",": "),SUBSTITUTE(SUBSTITUTE(UPPER(S1866)," ",""),":",": "))),0)),"-")</f>
        <v>-</v>
      </c>
      <c r="C1866" s="46" t="str" cm="1">
        <f t="array" ref="C1866">IFERROR(INDEX(#REF!,MATCH(TRUE,ISNUMBER(FIND(SUBSTITUTE(SUBSTITUTE(UPPER(#REF!)," ",""),":",": "),SUBSTITUTE(SUBSTITUTE(UPPER(S1866)," ",""),":",": "))),0)),"Não encontrado")</f>
        <v>Não encontrado</v>
      </c>
      <c r="D1866" s="46" t="str" cm="1">
        <f t="array" ref="D1866">IFERROR(INDEX(#REF!,MATCH(TRUE,ISNUMBER(FIND(SUBSTITUTE(SUBSTITUTE(UPPER(#REF!)," ",""),":",": "),SUBSTITUTE(SUBSTITUTE(UPPER(S1866)," ",""),":",": "))),0)),"Não encontrado")</f>
        <v>Não encontrado</v>
      </c>
      <c r="E1866" s="42" t="str" cm="1">
        <f t="array" ref="E1866">IFERROR(INDEX({"IMPEDITIVO"},MATCH(TRUE,ISNUMBER(FIND(SUBSTITUTE(SUBSTITUTE(UPPER({"IMPEDITIVO"})," ",""),":",": "),SUBSTITUTE(SUBSTITUTE(UPPER(S1866)," ",""),":",": "))),0)),"-")</f>
        <v>-</v>
      </c>
      <c r="K1866" s="49"/>
    </row>
    <row r="1867" spans="1:11" x14ac:dyDescent="0.25">
      <c r="A1867" s="46" t="str" cm="1">
        <f t="array" ref="A1867">IFERROR(INDEX(#REF!,MATCH(TRUE,ISNUMBER(FIND(SUBSTITUTE(SUBSTITUTE(UPPER(#REF!)," ",""),":",": "),SUBSTITUTE(SUBSTITUTE(UPPER(S1867)," ",""),":",": "))),0)),"Undefined")</f>
        <v>Undefined</v>
      </c>
      <c r="B1867" s="42" t="str" cm="1">
        <f t="array" ref="B1867">IFERROR(INDEX({"URGENTE"},MATCH(TRUE,ISNUMBER(FIND(SUBSTITUTE(SUBSTITUTE(UPPER({"URGENTE"})," ",""),":",": "),SUBSTITUTE(SUBSTITUTE(UPPER(S1867)," ",""),":",": "))),0)),"-")</f>
        <v>-</v>
      </c>
      <c r="C1867" s="46" t="str" cm="1">
        <f t="array" ref="C1867">IFERROR(INDEX(#REF!,MATCH(TRUE,ISNUMBER(FIND(SUBSTITUTE(SUBSTITUTE(UPPER(#REF!)," ",""),":",": "),SUBSTITUTE(SUBSTITUTE(UPPER(S1867)," ",""),":",": "))),0)),"Não encontrado")</f>
        <v>Não encontrado</v>
      </c>
      <c r="D1867" s="46" t="str" cm="1">
        <f t="array" ref="D1867">IFERROR(INDEX(#REF!,MATCH(TRUE,ISNUMBER(FIND(SUBSTITUTE(SUBSTITUTE(UPPER(#REF!)," ",""),":",": "),SUBSTITUTE(SUBSTITUTE(UPPER(S1867)," ",""),":",": "))),0)),"Não encontrado")</f>
        <v>Não encontrado</v>
      </c>
      <c r="E1867" s="42" t="str" cm="1">
        <f t="array" ref="E1867">IFERROR(INDEX({"IMPEDITIVO"},MATCH(TRUE,ISNUMBER(FIND(SUBSTITUTE(SUBSTITUTE(UPPER({"IMPEDITIVO"})," ",""),":",": "),SUBSTITUTE(SUBSTITUTE(UPPER(S1867)," ",""),":",": "))),0)),"-")</f>
        <v>-</v>
      </c>
      <c r="K1867" s="49"/>
    </row>
    <row r="1868" spans="1:11" x14ac:dyDescent="0.25">
      <c r="A1868" s="46" t="str" cm="1">
        <f t="array" ref="A1868">IFERROR(INDEX(#REF!,MATCH(TRUE,ISNUMBER(FIND(SUBSTITUTE(SUBSTITUTE(UPPER(#REF!)," ",""),":",": "),SUBSTITUTE(SUBSTITUTE(UPPER(S1868)," ",""),":",": "))),0)),"Undefined")</f>
        <v>Undefined</v>
      </c>
      <c r="B1868" s="42" t="str" cm="1">
        <f t="array" ref="B1868">IFERROR(INDEX({"URGENTE"},MATCH(TRUE,ISNUMBER(FIND(SUBSTITUTE(SUBSTITUTE(UPPER({"URGENTE"})," ",""),":",": "),SUBSTITUTE(SUBSTITUTE(UPPER(S1868)," ",""),":",": "))),0)),"-")</f>
        <v>-</v>
      </c>
      <c r="C1868" s="46" t="str" cm="1">
        <f t="array" ref="C1868">IFERROR(INDEX(#REF!,MATCH(TRUE,ISNUMBER(FIND(SUBSTITUTE(SUBSTITUTE(UPPER(#REF!)," ",""),":",": "),SUBSTITUTE(SUBSTITUTE(UPPER(S1868)," ",""),":",": "))),0)),"Não encontrado")</f>
        <v>Não encontrado</v>
      </c>
      <c r="D1868" s="46" t="str" cm="1">
        <f t="array" ref="D1868">IFERROR(INDEX(#REF!,MATCH(TRUE,ISNUMBER(FIND(SUBSTITUTE(SUBSTITUTE(UPPER(#REF!)," ",""),":",": "),SUBSTITUTE(SUBSTITUTE(UPPER(S1868)," ",""),":",": "))),0)),"Não encontrado")</f>
        <v>Não encontrado</v>
      </c>
      <c r="E1868" s="42" t="str" cm="1">
        <f t="array" ref="E1868">IFERROR(INDEX({"IMPEDITIVO"},MATCH(TRUE,ISNUMBER(FIND(SUBSTITUTE(SUBSTITUTE(UPPER({"IMPEDITIVO"})," ",""),":",": "),SUBSTITUTE(SUBSTITUTE(UPPER(S1868)," ",""),":",": "))),0)),"-")</f>
        <v>-</v>
      </c>
      <c r="K1868" s="49"/>
    </row>
    <row r="1869" spans="1:11" x14ac:dyDescent="0.25">
      <c r="A1869" s="46" t="str" cm="1">
        <f t="array" ref="A1869">IFERROR(INDEX(#REF!,MATCH(TRUE,ISNUMBER(FIND(SUBSTITUTE(SUBSTITUTE(UPPER(#REF!)," ",""),":",": "),SUBSTITUTE(SUBSTITUTE(UPPER(S1869)," ",""),":",": "))),0)),"Undefined")</f>
        <v>Undefined</v>
      </c>
      <c r="B1869" s="42" t="str" cm="1">
        <f t="array" ref="B1869">IFERROR(INDEX({"URGENTE"},MATCH(TRUE,ISNUMBER(FIND(SUBSTITUTE(SUBSTITUTE(UPPER({"URGENTE"})," ",""),":",": "),SUBSTITUTE(SUBSTITUTE(UPPER(S1869)," ",""),":",": "))),0)),"-")</f>
        <v>-</v>
      </c>
      <c r="C1869" s="46" t="str" cm="1">
        <f t="array" ref="C1869">IFERROR(INDEX(#REF!,MATCH(TRUE,ISNUMBER(FIND(SUBSTITUTE(SUBSTITUTE(UPPER(#REF!)," ",""),":",": "),SUBSTITUTE(SUBSTITUTE(UPPER(S1869)," ",""),":",": "))),0)),"Não encontrado")</f>
        <v>Não encontrado</v>
      </c>
      <c r="D1869" s="46" t="str" cm="1">
        <f t="array" ref="D1869">IFERROR(INDEX(#REF!,MATCH(TRUE,ISNUMBER(FIND(SUBSTITUTE(SUBSTITUTE(UPPER(#REF!)," ",""),":",": "),SUBSTITUTE(SUBSTITUTE(UPPER(S1869)," ",""),":",": "))),0)),"Não encontrado")</f>
        <v>Não encontrado</v>
      </c>
      <c r="E1869" s="42" t="str" cm="1">
        <f t="array" ref="E1869">IFERROR(INDEX({"IMPEDITIVO"},MATCH(TRUE,ISNUMBER(FIND(SUBSTITUTE(SUBSTITUTE(UPPER({"IMPEDITIVO"})," ",""),":",": "),SUBSTITUTE(SUBSTITUTE(UPPER(S1869)," ",""),":",": "))),0)),"-")</f>
        <v>-</v>
      </c>
      <c r="K1869" s="49"/>
    </row>
    <row r="1870" spans="1:11" x14ac:dyDescent="0.25">
      <c r="A1870" s="46" t="str" cm="1">
        <f t="array" ref="A1870">IFERROR(INDEX(#REF!,MATCH(TRUE,ISNUMBER(FIND(SUBSTITUTE(SUBSTITUTE(UPPER(#REF!)," ",""),":",": "),SUBSTITUTE(SUBSTITUTE(UPPER(S1870)," ",""),":",": "))),0)),"Undefined")</f>
        <v>Undefined</v>
      </c>
      <c r="B1870" s="42" t="str" cm="1">
        <f t="array" ref="B1870">IFERROR(INDEX({"URGENTE"},MATCH(TRUE,ISNUMBER(FIND(SUBSTITUTE(SUBSTITUTE(UPPER({"URGENTE"})," ",""),":",": "),SUBSTITUTE(SUBSTITUTE(UPPER(S1870)," ",""),":",": "))),0)),"-")</f>
        <v>-</v>
      </c>
      <c r="C1870" s="46" t="str" cm="1">
        <f t="array" ref="C1870">IFERROR(INDEX(#REF!,MATCH(TRUE,ISNUMBER(FIND(SUBSTITUTE(SUBSTITUTE(UPPER(#REF!)," ",""),":",": "),SUBSTITUTE(SUBSTITUTE(UPPER(S1870)," ",""),":",": "))),0)),"Não encontrado")</f>
        <v>Não encontrado</v>
      </c>
      <c r="D1870" s="46" t="str" cm="1">
        <f t="array" ref="D1870">IFERROR(INDEX(#REF!,MATCH(TRUE,ISNUMBER(FIND(SUBSTITUTE(SUBSTITUTE(UPPER(#REF!)," ",""),":",": "),SUBSTITUTE(SUBSTITUTE(UPPER(S1870)," ",""),":",": "))),0)),"Não encontrado")</f>
        <v>Não encontrado</v>
      </c>
      <c r="E1870" s="42" t="str" cm="1">
        <f t="array" ref="E1870">IFERROR(INDEX({"IMPEDITIVO"},MATCH(TRUE,ISNUMBER(FIND(SUBSTITUTE(SUBSTITUTE(UPPER({"IMPEDITIVO"})," ",""),":",": "),SUBSTITUTE(SUBSTITUTE(UPPER(S1870)," ",""),":",": "))),0)),"-")</f>
        <v>-</v>
      </c>
      <c r="K1870" s="49"/>
    </row>
    <row r="1871" spans="1:11" x14ac:dyDescent="0.25">
      <c r="A1871" s="46" t="str" cm="1">
        <f t="array" ref="A1871">IFERROR(INDEX(#REF!,MATCH(TRUE,ISNUMBER(FIND(SUBSTITUTE(SUBSTITUTE(UPPER(#REF!)," ",""),":",": "),SUBSTITUTE(SUBSTITUTE(UPPER(S1871)," ",""),":",": "))),0)),"Undefined")</f>
        <v>Undefined</v>
      </c>
      <c r="B1871" s="42" t="str" cm="1">
        <f t="array" ref="B1871">IFERROR(INDEX({"URGENTE"},MATCH(TRUE,ISNUMBER(FIND(SUBSTITUTE(SUBSTITUTE(UPPER({"URGENTE"})," ",""),":",": "),SUBSTITUTE(SUBSTITUTE(UPPER(S1871)," ",""),":",": "))),0)),"-")</f>
        <v>-</v>
      </c>
      <c r="C1871" s="46" t="str" cm="1">
        <f t="array" ref="C1871">IFERROR(INDEX(#REF!,MATCH(TRUE,ISNUMBER(FIND(SUBSTITUTE(SUBSTITUTE(UPPER(#REF!)," ",""),":",": "),SUBSTITUTE(SUBSTITUTE(UPPER(S1871)," ",""),":",": "))),0)),"Não encontrado")</f>
        <v>Não encontrado</v>
      </c>
      <c r="D1871" s="46" t="str" cm="1">
        <f t="array" ref="D1871">IFERROR(INDEX(#REF!,MATCH(TRUE,ISNUMBER(FIND(SUBSTITUTE(SUBSTITUTE(UPPER(#REF!)," ",""),":",": "),SUBSTITUTE(SUBSTITUTE(UPPER(S1871)," ",""),":",": "))),0)),"Não encontrado")</f>
        <v>Não encontrado</v>
      </c>
      <c r="E1871" s="42" t="str" cm="1">
        <f t="array" ref="E1871">IFERROR(INDEX({"IMPEDITIVO"},MATCH(TRUE,ISNUMBER(FIND(SUBSTITUTE(SUBSTITUTE(UPPER({"IMPEDITIVO"})," ",""),":",": "),SUBSTITUTE(SUBSTITUTE(UPPER(S1871)," ",""),":",": "))),0)),"-")</f>
        <v>-</v>
      </c>
      <c r="K1871" s="49"/>
    </row>
    <row r="1872" spans="1:11" x14ac:dyDescent="0.25">
      <c r="A1872" s="46" t="str" cm="1">
        <f t="array" ref="A1872">IFERROR(INDEX(#REF!,MATCH(TRUE,ISNUMBER(FIND(SUBSTITUTE(SUBSTITUTE(UPPER(#REF!)," ",""),":",": "),SUBSTITUTE(SUBSTITUTE(UPPER(S1872)," ",""),":",": "))),0)),"Undefined")</f>
        <v>Undefined</v>
      </c>
      <c r="B1872" s="42" t="str" cm="1">
        <f t="array" ref="B1872">IFERROR(INDEX({"URGENTE"},MATCH(TRUE,ISNUMBER(FIND(SUBSTITUTE(SUBSTITUTE(UPPER({"URGENTE"})," ",""),":",": "),SUBSTITUTE(SUBSTITUTE(UPPER(S1872)," ",""),":",": "))),0)),"-")</f>
        <v>-</v>
      </c>
      <c r="C1872" s="46" t="str" cm="1">
        <f t="array" ref="C1872">IFERROR(INDEX(#REF!,MATCH(TRUE,ISNUMBER(FIND(SUBSTITUTE(SUBSTITUTE(UPPER(#REF!)," ",""),":",": "),SUBSTITUTE(SUBSTITUTE(UPPER(S1872)," ",""),":",": "))),0)),"Não encontrado")</f>
        <v>Não encontrado</v>
      </c>
      <c r="D1872" s="46" t="str" cm="1">
        <f t="array" ref="D1872">IFERROR(INDEX(#REF!,MATCH(TRUE,ISNUMBER(FIND(SUBSTITUTE(SUBSTITUTE(UPPER(#REF!)," ",""),":",": "),SUBSTITUTE(SUBSTITUTE(UPPER(S1872)," ",""),":",": "))),0)),"Não encontrado")</f>
        <v>Não encontrado</v>
      </c>
      <c r="E1872" s="42" t="str" cm="1">
        <f t="array" ref="E1872">IFERROR(INDEX({"IMPEDITIVO"},MATCH(TRUE,ISNUMBER(FIND(SUBSTITUTE(SUBSTITUTE(UPPER({"IMPEDITIVO"})," ",""),":",": "),SUBSTITUTE(SUBSTITUTE(UPPER(S1872)," ",""),":",": "))),0)),"-")</f>
        <v>-</v>
      </c>
      <c r="K1872" s="49"/>
    </row>
    <row r="1873" spans="1:11" x14ac:dyDescent="0.25">
      <c r="A1873" s="46" t="str" cm="1">
        <f t="array" ref="A1873">IFERROR(INDEX(#REF!,MATCH(TRUE,ISNUMBER(FIND(SUBSTITUTE(SUBSTITUTE(UPPER(#REF!)," ",""),":",": "),SUBSTITUTE(SUBSTITUTE(UPPER(S1873)," ",""),":",": "))),0)),"Undefined")</f>
        <v>Undefined</v>
      </c>
      <c r="B1873" s="42" t="str" cm="1">
        <f t="array" ref="B1873">IFERROR(INDEX({"URGENTE"},MATCH(TRUE,ISNUMBER(FIND(SUBSTITUTE(SUBSTITUTE(UPPER({"URGENTE"})," ",""),":",": "),SUBSTITUTE(SUBSTITUTE(UPPER(S1873)," ",""),":",": "))),0)),"-")</f>
        <v>-</v>
      </c>
      <c r="C1873" s="46" t="str" cm="1">
        <f t="array" ref="C1873">IFERROR(INDEX(#REF!,MATCH(TRUE,ISNUMBER(FIND(SUBSTITUTE(SUBSTITUTE(UPPER(#REF!)," ",""),":",": "),SUBSTITUTE(SUBSTITUTE(UPPER(S1873)," ",""),":",": "))),0)),"Não encontrado")</f>
        <v>Não encontrado</v>
      </c>
      <c r="D1873" s="46" t="str" cm="1">
        <f t="array" ref="D1873">IFERROR(INDEX(#REF!,MATCH(TRUE,ISNUMBER(FIND(SUBSTITUTE(SUBSTITUTE(UPPER(#REF!)," ",""),":",": "),SUBSTITUTE(SUBSTITUTE(UPPER(S1873)," ",""),":",": "))),0)),"Não encontrado")</f>
        <v>Não encontrado</v>
      </c>
      <c r="E1873" s="42" t="str" cm="1">
        <f t="array" ref="E1873">IFERROR(INDEX({"IMPEDITIVO"},MATCH(TRUE,ISNUMBER(FIND(SUBSTITUTE(SUBSTITUTE(UPPER({"IMPEDITIVO"})," ",""),":",": "),SUBSTITUTE(SUBSTITUTE(UPPER(S1873)," ",""),":",": "))),0)),"-")</f>
        <v>-</v>
      </c>
      <c r="K1873" s="49"/>
    </row>
    <row r="1874" spans="1:11" x14ac:dyDescent="0.25">
      <c r="A1874" s="46" t="str" cm="1">
        <f t="array" ref="A1874">IFERROR(INDEX(#REF!,MATCH(TRUE,ISNUMBER(FIND(SUBSTITUTE(SUBSTITUTE(UPPER(#REF!)," ",""),":",": "),SUBSTITUTE(SUBSTITUTE(UPPER(S1874)," ",""),":",": "))),0)),"Undefined")</f>
        <v>Undefined</v>
      </c>
      <c r="B1874" s="42" t="str" cm="1">
        <f t="array" ref="B1874">IFERROR(INDEX({"URGENTE"},MATCH(TRUE,ISNUMBER(FIND(SUBSTITUTE(SUBSTITUTE(UPPER({"URGENTE"})," ",""),":",": "),SUBSTITUTE(SUBSTITUTE(UPPER(S1874)," ",""),":",": "))),0)),"-")</f>
        <v>-</v>
      </c>
      <c r="C1874" s="46" t="str" cm="1">
        <f t="array" ref="C1874">IFERROR(INDEX(#REF!,MATCH(TRUE,ISNUMBER(FIND(SUBSTITUTE(SUBSTITUTE(UPPER(#REF!)," ",""),":",": "),SUBSTITUTE(SUBSTITUTE(UPPER(S1874)," ",""),":",": "))),0)),"Não encontrado")</f>
        <v>Não encontrado</v>
      </c>
      <c r="D1874" s="46" t="str" cm="1">
        <f t="array" ref="D1874">IFERROR(INDEX(#REF!,MATCH(TRUE,ISNUMBER(FIND(SUBSTITUTE(SUBSTITUTE(UPPER(#REF!)," ",""),":",": "),SUBSTITUTE(SUBSTITUTE(UPPER(S1874)," ",""),":",": "))),0)),"Não encontrado")</f>
        <v>Não encontrado</v>
      </c>
      <c r="E1874" s="42" t="str" cm="1">
        <f t="array" ref="E1874">IFERROR(INDEX({"IMPEDITIVO"},MATCH(TRUE,ISNUMBER(FIND(SUBSTITUTE(SUBSTITUTE(UPPER({"IMPEDITIVO"})," ",""),":",": "),SUBSTITUTE(SUBSTITUTE(UPPER(S1874)," ",""),":",": "))),0)),"-")</f>
        <v>-</v>
      </c>
      <c r="K1874" s="49"/>
    </row>
    <row r="1875" spans="1:11" x14ac:dyDescent="0.25">
      <c r="A1875" s="46" t="str" cm="1">
        <f t="array" ref="A1875">IFERROR(INDEX(#REF!,MATCH(TRUE,ISNUMBER(FIND(SUBSTITUTE(SUBSTITUTE(UPPER(#REF!)," ",""),":",": "),SUBSTITUTE(SUBSTITUTE(UPPER(S1875)," ",""),":",": "))),0)),"Undefined")</f>
        <v>Undefined</v>
      </c>
      <c r="B1875" s="42" t="str" cm="1">
        <f t="array" ref="B1875">IFERROR(INDEX({"URGENTE"},MATCH(TRUE,ISNUMBER(FIND(SUBSTITUTE(SUBSTITUTE(UPPER({"URGENTE"})," ",""),":",": "),SUBSTITUTE(SUBSTITUTE(UPPER(S1875)," ",""),":",": "))),0)),"-")</f>
        <v>-</v>
      </c>
      <c r="C1875" s="46" t="str" cm="1">
        <f t="array" ref="C1875">IFERROR(INDEX(#REF!,MATCH(TRUE,ISNUMBER(FIND(SUBSTITUTE(SUBSTITUTE(UPPER(#REF!)," ",""),":",": "),SUBSTITUTE(SUBSTITUTE(UPPER(S1875)," ",""),":",": "))),0)),"Não encontrado")</f>
        <v>Não encontrado</v>
      </c>
      <c r="D1875" s="46" t="str" cm="1">
        <f t="array" ref="D1875">IFERROR(INDEX(#REF!,MATCH(TRUE,ISNUMBER(FIND(SUBSTITUTE(SUBSTITUTE(UPPER(#REF!)," ",""),":",": "),SUBSTITUTE(SUBSTITUTE(UPPER(S1875)," ",""),":",": "))),0)),"Não encontrado")</f>
        <v>Não encontrado</v>
      </c>
      <c r="E1875" s="42" t="str" cm="1">
        <f t="array" ref="E1875">IFERROR(INDEX({"IMPEDITIVO"},MATCH(TRUE,ISNUMBER(FIND(SUBSTITUTE(SUBSTITUTE(UPPER({"IMPEDITIVO"})," ",""),":",": "),SUBSTITUTE(SUBSTITUTE(UPPER(S1875)," ",""),":",": "))),0)),"-")</f>
        <v>-</v>
      </c>
      <c r="K1875" s="49"/>
    </row>
    <row r="1876" spans="1:11" x14ac:dyDescent="0.25">
      <c r="A1876" s="46" t="str" cm="1">
        <f t="array" ref="A1876">IFERROR(INDEX(#REF!,MATCH(TRUE,ISNUMBER(FIND(SUBSTITUTE(SUBSTITUTE(UPPER(#REF!)," ",""),":",": "),SUBSTITUTE(SUBSTITUTE(UPPER(S1876)," ",""),":",": "))),0)),"Undefined")</f>
        <v>Undefined</v>
      </c>
      <c r="B1876" s="42" t="str" cm="1">
        <f t="array" ref="B1876">IFERROR(INDEX({"URGENTE"},MATCH(TRUE,ISNUMBER(FIND(SUBSTITUTE(SUBSTITUTE(UPPER({"URGENTE"})," ",""),":",": "),SUBSTITUTE(SUBSTITUTE(UPPER(S1876)," ",""),":",": "))),0)),"-")</f>
        <v>-</v>
      </c>
      <c r="C1876" s="46" t="str" cm="1">
        <f t="array" ref="C1876">IFERROR(INDEX(#REF!,MATCH(TRUE,ISNUMBER(FIND(SUBSTITUTE(SUBSTITUTE(UPPER(#REF!)," ",""),":",": "),SUBSTITUTE(SUBSTITUTE(UPPER(S1876)," ",""),":",": "))),0)),"Não encontrado")</f>
        <v>Não encontrado</v>
      </c>
      <c r="D1876" s="46" t="str" cm="1">
        <f t="array" ref="D1876">IFERROR(INDEX(#REF!,MATCH(TRUE,ISNUMBER(FIND(SUBSTITUTE(SUBSTITUTE(UPPER(#REF!)," ",""),":",": "),SUBSTITUTE(SUBSTITUTE(UPPER(S1876)," ",""),":",": "))),0)),"Não encontrado")</f>
        <v>Não encontrado</v>
      </c>
      <c r="E1876" s="42" t="str" cm="1">
        <f t="array" ref="E1876">IFERROR(INDEX({"IMPEDITIVO"},MATCH(TRUE,ISNUMBER(FIND(SUBSTITUTE(SUBSTITUTE(UPPER({"IMPEDITIVO"})," ",""),":",": "),SUBSTITUTE(SUBSTITUTE(UPPER(S1876)," ",""),":",": "))),0)),"-")</f>
        <v>-</v>
      </c>
      <c r="K1876" s="49"/>
    </row>
    <row r="1877" spans="1:11" x14ac:dyDescent="0.25">
      <c r="A1877" s="46" t="str" cm="1">
        <f t="array" ref="A1877">IFERROR(INDEX(#REF!,MATCH(TRUE,ISNUMBER(FIND(SUBSTITUTE(SUBSTITUTE(UPPER(#REF!)," ",""),":",": "),SUBSTITUTE(SUBSTITUTE(UPPER(S1877)," ",""),":",": "))),0)),"Undefined")</f>
        <v>Undefined</v>
      </c>
      <c r="B1877" s="42" t="str" cm="1">
        <f t="array" ref="B1877">IFERROR(INDEX({"URGENTE"},MATCH(TRUE,ISNUMBER(FIND(SUBSTITUTE(SUBSTITUTE(UPPER({"URGENTE"})," ",""),":",": "),SUBSTITUTE(SUBSTITUTE(UPPER(S1877)," ",""),":",": "))),0)),"-")</f>
        <v>-</v>
      </c>
      <c r="C1877" s="46" t="str" cm="1">
        <f t="array" ref="C1877">IFERROR(INDEX(#REF!,MATCH(TRUE,ISNUMBER(FIND(SUBSTITUTE(SUBSTITUTE(UPPER(#REF!)," ",""),":",": "),SUBSTITUTE(SUBSTITUTE(UPPER(S1877)," ",""),":",": "))),0)),"Não encontrado")</f>
        <v>Não encontrado</v>
      </c>
      <c r="D1877" s="46" t="str" cm="1">
        <f t="array" ref="D1877">IFERROR(INDEX(#REF!,MATCH(TRUE,ISNUMBER(FIND(SUBSTITUTE(SUBSTITUTE(UPPER(#REF!)," ",""),":",": "),SUBSTITUTE(SUBSTITUTE(UPPER(S1877)," ",""),":",": "))),0)),"Não encontrado")</f>
        <v>Não encontrado</v>
      </c>
      <c r="E1877" s="42" t="str" cm="1">
        <f t="array" ref="E1877">IFERROR(INDEX({"IMPEDITIVO"},MATCH(TRUE,ISNUMBER(FIND(SUBSTITUTE(SUBSTITUTE(UPPER({"IMPEDITIVO"})," ",""),":",": "),SUBSTITUTE(SUBSTITUTE(UPPER(S1877)," ",""),":",": "))),0)),"-")</f>
        <v>-</v>
      </c>
      <c r="K1877" s="49"/>
    </row>
    <row r="1878" spans="1:11" x14ac:dyDescent="0.25">
      <c r="A1878" s="46" t="str" cm="1">
        <f t="array" ref="A1878">IFERROR(INDEX(#REF!,MATCH(TRUE,ISNUMBER(FIND(SUBSTITUTE(SUBSTITUTE(UPPER(#REF!)," ",""),":",": "),SUBSTITUTE(SUBSTITUTE(UPPER(S1878)," ",""),":",": "))),0)),"Undefined")</f>
        <v>Undefined</v>
      </c>
      <c r="B1878" s="42" t="str" cm="1">
        <f t="array" ref="B1878">IFERROR(INDEX({"URGENTE"},MATCH(TRUE,ISNUMBER(FIND(SUBSTITUTE(SUBSTITUTE(UPPER({"URGENTE"})," ",""),":",": "),SUBSTITUTE(SUBSTITUTE(UPPER(S1878)," ",""),":",": "))),0)),"-")</f>
        <v>-</v>
      </c>
      <c r="C1878" s="46" t="str" cm="1">
        <f t="array" ref="C1878">IFERROR(INDEX(#REF!,MATCH(TRUE,ISNUMBER(FIND(SUBSTITUTE(SUBSTITUTE(UPPER(#REF!)," ",""),":",": "),SUBSTITUTE(SUBSTITUTE(UPPER(S1878)," ",""),":",": "))),0)),"Não encontrado")</f>
        <v>Não encontrado</v>
      </c>
      <c r="D1878" s="46" t="str" cm="1">
        <f t="array" ref="D1878">IFERROR(INDEX(#REF!,MATCH(TRUE,ISNUMBER(FIND(SUBSTITUTE(SUBSTITUTE(UPPER(#REF!)," ",""),":",": "),SUBSTITUTE(SUBSTITUTE(UPPER(S1878)," ",""),":",": "))),0)),"Não encontrado")</f>
        <v>Não encontrado</v>
      </c>
      <c r="E1878" s="42" t="str" cm="1">
        <f t="array" ref="E1878">IFERROR(INDEX({"IMPEDITIVO"},MATCH(TRUE,ISNUMBER(FIND(SUBSTITUTE(SUBSTITUTE(UPPER({"IMPEDITIVO"})," ",""),":",": "),SUBSTITUTE(SUBSTITUTE(UPPER(S1878)," ",""),":",": "))),0)),"-")</f>
        <v>-</v>
      </c>
      <c r="K1878" s="49"/>
    </row>
    <row r="1879" spans="1:11" x14ac:dyDescent="0.25">
      <c r="A1879" s="46" t="str" cm="1">
        <f t="array" ref="A1879">IFERROR(INDEX(#REF!,MATCH(TRUE,ISNUMBER(FIND(SUBSTITUTE(SUBSTITUTE(UPPER(#REF!)," ",""),":",": "),SUBSTITUTE(SUBSTITUTE(UPPER(S1879)," ",""),":",": "))),0)),"Undefined")</f>
        <v>Undefined</v>
      </c>
      <c r="B1879" s="42" t="str" cm="1">
        <f t="array" ref="B1879">IFERROR(INDEX({"URGENTE"},MATCH(TRUE,ISNUMBER(FIND(SUBSTITUTE(SUBSTITUTE(UPPER({"URGENTE"})," ",""),":",": "),SUBSTITUTE(SUBSTITUTE(UPPER(S1879)," ",""),":",": "))),0)),"-")</f>
        <v>-</v>
      </c>
      <c r="C1879" s="46" t="str" cm="1">
        <f t="array" ref="C1879">IFERROR(INDEX(#REF!,MATCH(TRUE,ISNUMBER(FIND(SUBSTITUTE(SUBSTITUTE(UPPER(#REF!)," ",""),":",": "),SUBSTITUTE(SUBSTITUTE(UPPER(S1879)," ",""),":",": "))),0)),"Não encontrado")</f>
        <v>Não encontrado</v>
      </c>
      <c r="D1879" s="46" t="str" cm="1">
        <f t="array" ref="D1879">IFERROR(INDEX(#REF!,MATCH(TRUE,ISNUMBER(FIND(SUBSTITUTE(SUBSTITUTE(UPPER(#REF!)," ",""),":",": "),SUBSTITUTE(SUBSTITUTE(UPPER(S1879)," ",""),":",": "))),0)),"Não encontrado")</f>
        <v>Não encontrado</v>
      </c>
      <c r="E1879" s="42" t="str" cm="1">
        <f t="array" ref="E1879">IFERROR(INDEX({"IMPEDITIVO"},MATCH(TRUE,ISNUMBER(FIND(SUBSTITUTE(SUBSTITUTE(UPPER({"IMPEDITIVO"})," ",""),":",": "),SUBSTITUTE(SUBSTITUTE(UPPER(S1879)," ",""),":",": "))),0)),"-")</f>
        <v>-</v>
      </c>
      <c r="K1879" s="49"/>
    </row>
    <row r="1880" spans="1:11" x14ac:dyDescent="0.25">
      <c r="A1880" s="46" t="str" cm="1">
        <f t="array" ref="A1880">IFERROR(INDEX(#REF!,MATCH(TRUE,ISNUMBER(FIND(SUBSTITUTE(SUBSTITUTE(UPPER(#REF!)," ",""),":",": "),SUBSTITUTE(SUBSTITUTE(UPPER(S1880)," ",""),":",": "))),0)),"Undefined")</f>
        <v>Undefined</v>
      </c>
      <c r="B1880" s="42" t="str" cm="1">
        <f t="array" ref="B1880">IFERROR(INDEX({"URGENTE"},MATCH(TRUE,ISNUMBER(FIND(SUBSTITUTE(SUBSTITUTE(UPPER({"URGENTE"})," ",""),":",": "),SUBSTITUTE(SUBSTITUTE(UPPER(S1880)," ",""),":",": "))),0)),"-")</f>
        <v>-</v>
      </c>
      <c r="C1880" s="46" t="str" cm="1">
        <f t="array" ref="C1880">IFERROR(INDEX(#REF!,MATCH(TRUE,ISNUMBER(FIND(SUBSTITUTE(SUBSTITUTE(UPPER(#REF!)," ",""),":",": "),SUBSTITUTE(SUBSTITUTE(UPPER(S1880)," ",""),":",": "))),0)),"Não encontrado")</f>
        <v>Não encontrado</v>
      </c>
      <c r="D1880" s="46" t="str" cm="1">
        <f t="array" ref="D1880">IFERROR(INDEX(#REF!,MATCH(TRUE,ISNUMBER(FIND(SUBSTITUTE(SUBSTITUTE(UPPER(#REF!)," ",""),":",": "),SUBSTITUTE(SUBSTITUTE(UPPER(S1880)," ",""),":",": "))),0)),"Não encontrado")</f>
        <v>Não encontrado</v>
      </c>
      <c r="E1880" s="42" t="str" cm="1">
        <f t="array" ref="E1880">IFERROR(INDEX({"IMPEDITIVO"},MATCH(TRUE,ISNUMBER(FIND(SUBSTITUTE(SUBSTITUTE(UPPER({"IMPEDITIVO"})," ",""),":",": "),SUBSTITUTE(SUBSTITUTE(UPPER(S1880)," ",""),":",": "))),0)),"-")</f>
        <v>-</v>
      </c>
      <c r="K1880" s="49"/>
    </row>
    <row r="1881" spans="1:11" x14ac:dyDescent="0.25">
      <c r="A1881" s="46" t="str" cm="1">
        <f t="array" ref="A1881">IFERROR(INDEX(#REF!,MATCH(TRUE,ISNUMBER(FIND(SUBSTITUTE(SUBSTITUTE(UPPER(#REF!)," ",""),":",": "),SUBSTITUTE(SUBSTITUTE(UPPER(S1881)," ",""),":",": "))),0)),"Undefined")</f>
        <v>Undefined</v>
      </c>
      <c r="B1881" s="42" t="str" cm="1">
        <f t="array" ref="B1881">IFERROR(INDEX({"URGENTE"},MATCH(TRUE,ISNUMBER(FIND(SUBSTITUTE(SUBSTITUTE(UPPER({"URGENTE"})," ",""),":",": "),SUBSTITUTE(SUBSTITUTE(UPPER(S1881)," ",""),":",": "))),0)),"-")</f>
        <v>-</v>
      </c>
      <c r="C1881" s="46" t="str" cm="1">
        <f t="array" ref="C1881">IFERROR(INDEX(#REF!,MATCH(TRUE,ISNUMBER(FIND(SUBSTITUTE(SUBSTITUTE(UPPER(#REF!)," ",""),":",": "),SUBSTITUTE(SUBSTITUTE(UPPER(S1881)," ",""),":",": "))),0)),"Não encontrado")</f>
        <v>Não encontrado</v>
      </c>
      <c r="D1881" s="46" t="str" cm="1">
        <f t="array" ref="D1881">IFERROR(INDEX(#REF!,MATCH(TRUE,ISNUMBER(FIND(SUBSTITUTE(SUBSTITUTE(UPPER(#REF!)," ",""),":",": "),SUBSTITUTE(SUBSTITUTE(UPPER(S1881)," ",""),":",": "))),0)),"Não encontrado")</f>
        <v>Não encontrado</v>
      </c>
      <c r="E1881" s="42" t="str" cm="1">
        <f t="array" ref="E1881">IFERROR(INDEX({"IMPEDITIVO"},MATCH(TRUE,ISNUMBER(FIND(SUBSTITUTE(SUBSTITUTE(UPPER({"IMPEDITIVO"})," ",""),":",": "),SUBSTITUTE(SUBSTITUTE(UPPER(S1881)," ",""),":",": "))),0)),"-")</f>
        <v>-</v>
      </c>
      <c r="K1881" s="49"/>
    </row>
    <row r="1882" spans="1:11" x14ac:dyDescent="0.25">
      <c r="A1882" s="46" t="str" cm="1">
        <f t="array" ref="A1882">IFERROR(INDEX(#REF!,MATCH(TRUE,ISNUMBER(FIND(SUBSTITUTE(SUBSTITUTE(UPPER(#REF!)," ",""),":",": "),SUBSTITUTE(SUBSTITUTE(UPPER(S1882)," ",""),":",": "))),0)),"Undefined")</f>
        <v>Undefined</v>
      </c>
      <c r="B1882" s="42" t="str" cm="1">
        <f t="array" ref="B1882">IFERROR(INDEX({"URGENTE"},MATCH(TRUE,ISNUMBER(FIND(SUBSTITUTE(SUBSTITUTE(UPPER({"URGENTE"})," ",""),":",": "),SUBSTITUTE(SUBSTITUTE(UPPER(S1882)," ",""),":",": "))),0)),"-")</f>
        <v>-</v>
      </c>
      <c r="C1882" s="46" t="str" cm="1">
        <f t="array" ref="C1882">IFERROR(INDEX(#REF!,MATCH(TRUE,ISNUMBER(FIND(SUBSTITUTE(SUBSTITUTE(UPPER(#REF!)," ",""),":",": "),SUBSTITUTE(SUBSTITUTE(UPPER(S1882)," ",""),":",": "))),0)),"Não encontrado")</f>
        <v>Não encontrado</v>
      </c>
      <c r="D1882" s="46" t="str" cm="1">
        <f t="array" ref="D1882">IFERROR(INDEX(#REF!,MATCH(TRUE,ISNUMBER(FIND(SUBSTITUTE(SUBSTITUTE(UPPER(#REF!)," ",""),":",": "),SUBSTITUTE(SUBSTITUTE(UPPER(S1882)," ",""),":",": "))),0)),"Não encontrado")</f>
        <v>Não encontrado</v>
      </c>
      <c r="E1882" s="42" t="str" cm="1">
        <f t="array" ref="E1882">IFERROR(INDEX({"IMPEDITIVO"},MATCH(TRUE,ISNUMBER(FIND(SUBSTITUTE(SUBSTITUTE(UPPER({"IMPEDITIVO"})," ",""),":",": "),SUBSTITUTE(SUBSTITUTE(UPPER(S1882)," ",""),":",": "))),0)),"-")</f>
        <v>-</v>
      </c>
      <c r="K1882" s="49"/>
    </row>
    <row r="1883" spans="1:11" x14ac:dyDescent="0.25">
      <c r="A1883" s="46" t="str" cm="1">
        <f t="array" ref="A1883">IFERROR(INDEX(#REF!,MATCH(TRUE,ISNUMBER(FIND(SUBSTITUTE(SUBSTITUTE(UPPER(#REF!)," ",""),":",": "),SUBSTITUTE(SUBSTITUTE(UPPER(S1883)," ",""),":",": "))),0)),"Undefined")</f>
        <v>Undefined</v>
      </c>
      <c r="B1883" s="42" t="str" cm="1">
        <f t="array" ref="B1883">IFERROR(INDEX({"URGENTE"},MATCH(TRUE,ISNUMBER(FIND(SUBSTITUTE(SUBSTITUTE(UPPER({"URGENTE"})," ",""),":",": "),SUBSTITUTE(SUBSTITUTE(UPPER(S1883)," ",""),":",": "))),0)),"-")</f>
        <v>-</v>
      </c>
      <c r="C1883" s="46" t="str" cm="1">
        <f t="array" ref="C1883">IFERROR(INDEX(#REF!,MATCH(TRUE,ISNUMBER(FIND(SUBSTITUTE(SUBSTITUTE(UPPER(#REF!)," ",""),":",": "),SUBSTITUTE(SUBSTITUTE(UPPER(S1883)," ",""),":",": "))),0)),"Não encontrado")</f>
        <v>Não encontrado</v>
      </c>
      <c r="D1883" s="46" t="str" cm="1">
        <f t="array" ref="D1883">IFERROR(INDEX(#REF!,MATCH(TRUE,ISNUMBER(FIND(SUBSTITUTE(SUBSTITUTE(UPPER(#REF!)," ",""),":",": "),SUBSTITUTE(SUBSTITUTE(UPPER(S1883)," ",""),":",": "))),0)),"Não encontrado")</f>
        <v>Não encontrado</v>
      </c>
      <c r="E1883" s="42" t="str" cm="1">
        <f t="array" ref="E1883">IFERROR(INDEX({"IMPEDITIVO"},MATCH(TRUE,ISNUMBER(FIND(SUBSTITUTE(SUBSTITUTE(UPPER({"IMPEDITIVO"})," ",""),":",": "),SUBSTITUTE(SUBSTITUTE(UPPER(S1883)," ",""),":",": "))),0)),"-")</f>
        <v>-</v>
      </c>
      <c r="K1883" s="49"/>
    </row>
    <row r="1884" spans="1:11" x14ac:dyDescent="0.25">
      <c r="A1884" s="46" t="str" cm="1">
        <f t="array" ref="A1884">IFERROR(INDEX(#REF!,MATCH(TRUE,ISNUMBER(FIND(SUBSTITUTE(SUBSTITUTE(UPPER(#REF!)," ",""),":",": "),SUBSTITUTE(SUBSTITUTE(UPPER(S1884)," ",""),":",": "))),0)),"Undefined")</f>
        <v>Undefined</v>
      </c>
      <c r="B1884" s="42" t="str" cm="1">
        <f t="array" ref="B1884">IFERROR(INDEX({"URGENTE"},MATCH(TRUE,ISNUMBER(FIND(SUBSTITUTE(SUBSTITUTE(UPPER({"URGENTE"})," ",""),":",": "),SUBSTITUTE(SUBSTITUTE(UPPER(S1884)," ",""),":",": "))),0)),"-")</f>
        <v>-</v>
      </c>
      <c r="C1884" s="46" t="str" cm="1">
        <f t="array" ref="C1884">IFERROR(INDEX(#REF!,MATCH(TRUE,ISNUMBER(FIND(SUBSTITUTE(SUBSTITUTE(UPPER(#REF!)," ",""),":",": "),SUBSTITUTE(SUBSTITUTE(UPPER(S1884)," ",""),":",": "))),0)),"Não encontrado")</f>
        <v>Não encontrado</v>
      </c>
      <c r="D1884" s="46" t="str" cm="1">
        <f t="array" ref="D1884">IFERROR(INDEX(#REF!,MATCH(TRUE,ISNUMBER(FIND(SUBSTITUTE(SUBSTITUTE(UPPER(#REF!)," ",""),":",": "),SUBSTITUTE(SUBSTITUTE(UPPER(S1884)," ",""),":",": "))),0)),"Não encontrado")</f>
        <v>Não encontrado</v>
      </c>
      <c r="E1884" s="42" t="str" cm="1">
        <f t="array" ref="E1884">IFERROR(INDEX({"IMPEDITIVO"},MATCH(TRUE,ISNUMBER(FIND(SUBSTITUTE(SUBSTITUTE(UPPER({"IMPEDITIVO"})," ",""),":",": "),SUBSTITUTE(SUBSTITUTE(UPPER(S1884)," ",""),":",": "))),0)),"-")</f>
        <v>-</v>
      </c>
      <c r="K1884" s="49"/>
    </row>
    <row r="1885" spans="1:11" x14ac:dyDescent="0.25">
      <c r="A1885" s="46" t="str" cm="1">
        <f t="array" ref="A1885">IFERROR(INDEX(#REF!,MATCH(TRUE,ISNUMBER(FIND(SUBSTITUTE(SUBSTITUTE(UPPER(#REF!)," ",""),":",": "),SUBSTITUTE(SUBSTITUTE(UPPER(S1885)," ",""),":",": "))),0)),"Undefined")</f>
        <v>Undefined</v>
      </c>
      <c r="B1885" s="42" t="str" cm="1">
        <f t="array" ref="B1885">IFERROR(INDEX({"URGENTE"},MATCH(TRUE,ISNUMBER(FIND(SUBSTITUTE(SUBSTITUTE(UPPER({"URGENTE"})," ",""),":",": "),SUBSTITUTE(SUBSTITUTE(UPPER(S1885)," ",""),":",": "))),0)),"-")</f>
        <v>-</v>
      </c>
      <c r="C1885" s="46" t="str" cm="1">
        <f t="array" ref="C1885">IFERROR(INDEX(#REF!,MATCH(TRUE,ISNUMBER(FIND(SUBSTITUTE(SUBSTITUTE(UPPER(#REF!)," ",""),":",": "),SUBSTITUTE(SUBSTITUTE(UPPER(S1885)," ",""),":",": "))),0)),"Não encontrado")</f>
        <v>Não encontrado</v>
      </c>
      <c r="D1885" s="46" t="str" cm="1">
        <f t="array" ref="D1885">IFERROR(INDEX(#REF!,MATCH(TRUE,ISNUMBER(FIND(SUBSTITUTE(SUBSTITUTE(UPPER(#REF!)," ",""),":",": "),SUBSTITUTE(SUBSTITUTE(UPPER(S1885)," ",""),":",": "))),0)),"Não encontrado")</f>
        <v>Não encontrado</v>
      </c>
      <c r="E1885" s="42" t="str" cm="1">
        <f t="array" ref="E1885">IFERROR(INDEX({"IMPEDITIVO"},MATCH(TRUE,ISNUMBER(FIND(SUBSTITUTE(SUBSTITUTE(UPPER({"IMPEDITIVO"})," ",""),":",": "),SUBSTITUTE(SUBSTITUTE(UPPER(S1885)," ",""),":",": "))),0)),"-")</f>
        <v>-</v>
      </c>
      <c r="K1885" s="49"/>
    </row>
    <row r="1886" spans="1:11" x14ac:dyDescent="0.25">
      <c r="A1886" s="46" t="str" cm="1">
        <f t="array" ref="A1886">IFERROR(INDEX(#REF!,MATCH(TRUE,ISNUMBER(FIND(SUBSTITUTE(SUBSTITUTE(UPPER(#REF!)," ",""),":",": "),SUBSTITUTE(SUBSTITUTE(UPPER(S1886)," ",""),":",": "))),0)),"Undefined")</f>
        <v>Undefined</v>
      </c>
      <c r="B1886" s="42" t="str" cm="1">
        <f t="array" ref="B1886">IFERROR(INDEX({"URGENTE"},MATCH(TRUE,ISNUMBER(FIND(SUBSTITUTE(SUBSTITUTE(UPPER({"URGENTE"})," ",""),":",": "),SUBSTITUTE(SUBSTITUTE(UPPER(S1886)," ",""),":",": "))),0)),"-")</f>
        <v>-</v>
      </c>
      <c r="C1886" s="46" t="str" cm="1">
        <f t="array" ref="C1886">IFERROR(INDEX(#REF!,MATCH(TRUE,ISNUMBER(FIND(SUBSTITUTE(SUBSTITUTE(UPPER(#REF!)," ",""),":",": "),SUBSTITUTE(SUBSTITUTE(UPPER(S1886)," ",""),":",": "))),0)),"Não encontrado")</f>
        <v>Não encontrado</v>
      </c>
      <c r="D1886" s="46" t="str" cm="1">
        <f t="array" ref="D1886">IFERROR(INDEX(#REF!,MATCH(TRUE,ISNUMBER(FIND(SUBSTITUTE(SUBSTITUTE(UPPER(#REF!)," ",""),":",": "),SUBSTITUTE(SUBSTITUTE(UPPER(S1886)," ",""),":",": "))),0)),"Não encontrado")</f>
        <v>Não encontrado</v>
      </c>
      <c r="E1886" s="42" t="str" cm="1">
        <f t="array" ref="E1886">IFERROR(INDEX({"IMPEDITIVO"},MATCH(TRUE,ISNUMBER(FIND(SUBSTITUTE(SUBSTITUTE(UPPER({"IMPEDITIVO"})," ",""),":",": "),SUBSTITUTE(SUBSTITUTE(UPPER(S1886)," ",""),":",": "))),0)),"-")</f>
        <v>-</v>
      </c>
      <c r="K1886" s="49"/>
    </row>
    <row r="1887" spans="1:11" x14ac:dyDescent="0.25">
      <c r="A1887" s="46" t="str" cm="1">
        <f t="array" ref="A1887">IFERROR(INDEX(#REF!,MATCH(TRUE,ISNUMBER(FIND(SUBSTITUTE(SUBSTITUTE(UPPER(#REF!)," ",""),":",": "),SUBSTITUTE(SUBSTITUTE(UPPER(S1887)," ",""),":",": "))),0)),"Undefined")</f>
        <v>Undefined</v>
      </c>
      <c r="B1887" s="42" t="str" cm="1">
        <f t="array" ref="B1887">IFERROR(INDEX({"URGENTE"},MATCH(TRUE,ISNUMBER(FIND(SUBSTITUTE(SUBSTITUTE(UPPER({"URGENTE"})," ",""),":",": "),SUBSTITUTE(SUBSTITUTE(UPPER(S1887)," ",""),":",": "))),0)),"-")</f>
        <v>-</v>
      </c>
      <c r="C1887" s="46" t="str" cm="1">
        <f t="array" ref="C1887">IFERROR(INDEX(#REF!,MATCH(TRUE,ISNUMBER(FIND(SUBSTITUTE(SUBSTITUTE(UPPER(#REF!)," ",""),":",": "),SUBSTITUTE(SUBSTITUTE(UPPER(S1887)," ",""),":",": "))),0)),"Não encontrado")</f>
        <v>Não encontrado</v>
      </c>
      <c r="D1887" s="46" t="str" cm="1">
        <f t="array" ref="D1887">IFERROR(INDEX(#REF!,MATCH(TRUE,ISNUMBER(FIND(SUBSTITUTE(SUBSTITUTE(UPPER(#REF!)," ",""),":",": "),SUBSTITUTE(SUBSTITUTE(UPPER(S1887)," ",""),":",": "))),0)),"Não encontrado")</f>
        <v>Não encontrado</v>
      </c>
      <c r="E1887" s="42" t="str" cm="1">
        <f t="array" ref="E1887">IFERROR(INDEX({"IMPEDITIVO"},MATCH(TRUE,ISNUMBER(FIND(SUBSTITUTE(SUBSTITUTE(UPPER({"IMPEDITIVO"})," ",""),":",": "),SUBSTITUTE(SUBSTITUTE(UPPER(S1887)," ",""),":",": "))),0)),"-")</f>
        <v>-</v>
      </c>
      <c r="K1887" s="49"/>
    </row>
    <row r="1888" spans="1:11" x14ac:dyDescent="0.25">
      <c r="A1888" s="46" t="str" cm="1">
        <f t="array" ref="A1888">IFERROR(INDEX(#REF!,MATCH(TRUE,ISNUMBER(FIND(SUBSTITUTE(SUBSTITUTE(UPPER(#REF!)," ",""),":",": "),SUBSTITUTE(SUBSTITUTE(UPPER(S1888)," ",""),":",": "))),0)),"Undefined")</f>
        <v>Undefined</v>
      </c>
      <c r="B1888" s="42" t="str" cm="1">
        <f t="array" ref="B1888">IFERROR(INDEX({"URGENTE"},MATCH(TRUE,ISNUMBER(FIND(SUBSTITUTE(SUBSTITUTE(UPPER({"URGENTE"})," ",""),":",": "),SUBSTITUTE(SUBSTITUTE(UPPER(S1888)," ",""),":",": "))),0)),"-")</f>
        <v>-</v>
      </c>
      <c r="C1888" s="46" t="str" cm="1">
        <f t="array" ref="C1888">IFERROR(INDEX(#REF!,MATCH(TRUE,ISNUMBER(FIND(SUBSTITUTE(SUBSTITUTE(UPPER(#REF!)," ",""),":",": "),SUBSTITUTE(SUBSTITUTE(UPPER(S1888)," ",""),":",": "))),0)),"Não encontrado")</f>
        <v>Não encontrado</v>
      </c>
      <c r="D1888" s="46" t="str" cm="1">
        <f t="array" ref="D1888">IFERROR(INDEX(#REF!,MATCH(TRUE,ISNUMBER(FIND(SUBSTITUTE(SUBSTITUTE(UPPER(#REF!)," ",""),":",": "),SUBSTITUTE(SUBSTITUTE(UPPER(S1888)," ",""),":",": "))),0)),"Não encontrado")</f>
        <v>Não encontrado</v>
      </c>
      <c r="E1888" s="42" t="str" cm="1">
        <f t="array" ref="E1888">IFERROR(INDEX({"IMPEDITIVO"},MATCH(TRUE,ISNUMBER(FIND(SUBSTITUTE(SUBSTITUTE(UPPER({"IMPEDITIVO"})," ",""),":",": "),SUBSTITUTE(SUBSTITUTE(UPPER(S1888)," ",""),":",": "))),0)),"-")</f>
        <v>-</v>
      </c>
      <c r="K1888" s="49"/>
    </row>
    <row r="1889" spans="1:11" x14ac:dyDescent="0.25">
      <c r="A1889" s="46" t="str" cm="1">
        <f t="array" ref="A1889">IFERROR(INDEX(#REF!,MATCH(TRUE,ISNUMBER(FIND(SUBSTITUTE(SUBSTITUTE(UPPER(#REF!)," ",""),":",": "),SUBSTITUTE(SUBSTITUTE(UPPER(S1889)," ",""),":",": "))),0)),"Undefined")</f>
        <v>Undefined</v>
      </c>
      <c r="B1889" s="42" t="str" cm="1">
        <f t="array" ref="B1889">IFERROR(INDEX({"URGENTE"},MATCH(TRUE,ISNUMBER(FIND(SUBSTITUTE(SUBSTITUTE(UPPER({"URGENTE"})," ",""),":",": "),SUBSTITUTE(SUBSTITUTE(UPPER(S1889)," ",""),":",": "))),0)),"-")</f>
        <v>-</v>
      </c>
      <c r="C1889" s="46" t="str" cm="1">
        <f t="array" ref="C1889">IFERROR(INDEX(#REF!,MATCH(TRUE,ISNUMBER(FIND(SUBSTITUTE(SUBSTITUTE(UPPER(#REF!)," ",""),":",": "),SUBSTITUTE(SUBSTITUTE(UPPER(S1889)," ",""),":",": "))),0)),"Não encontrado")</f>
        <v>Não encontrado</v>
      </c>
      <c r="D1889" s="46" t="str" cm="1">
        <f t="array" ref="D1889">IFERROR(INDEX(#REF!,MATCH(TRUE,ISNUMBER(FIND(SUBSTITUTE(SUBSTITUTE(UPPER(#REF!)," ",""),":",": "),SUBSTITUTE(SUBSTITUTE(UPPER(S1889)," ",""),":",": "))),0)),"Não encontrado")</f>
        <v>Não encontrado</v>
      </c>
      <c r="E1889" s="42" t="str" cm="1">
        <f t="array" ref="E1889">IFERROR(INDEX({"IMPEDITIVO"},MATCH(TRUE,ISNUMBER(FIND(SUBSTITUTE(SUBSTITUTE(UPPER({"IMPEDITIVO"})," ",""),":",": "),SUBSTITUTE(SUBSTITUTE(UPPER(S1889)," ",""),":",": "))),0)),"-")</f>
        <v>-</v>
      </c>
      <c r="K1889" s="49"/>
    </row>
    <row r="1890" spans="1:11" x14ac:dyDescent="0.25">
      <c r="A1890" s="46" t="str" cm="1">
        <f t="array" ref="A1890">IFERROR(INDEX(#REF!,MATCH(TRUE,ISNUMBER(FIND(SUBSTITUTE(SUBSTITUTE(UPPER(#REF!)," ",""),":",": "),SUBSTITUTE(SUBSTITUTE(UPPER(S1890)," ",""),":",": "))),0)),"Undefined")</f>
        <v>Undefined</v>
      </c>
      <c r="B1890" s="42" t="str" cm="1">
        <f t="array" ref="B1890">IFERROR(INDEX({"URGENTE"},MATCH(TRUE,ISNUMBER(FIND(SUBSTITUTE(SUBSTITUTE(UPPER({"URGENTE"})," ",""),":",": "),SUBSTITUTE(SUBSTITUTE(UPPER(S1890)," ",""),":",": "))),0)),"-")</f>
        <v>-</v>
      </c>
      <c r="C1890" s="46" t="str" cm="1">
        <f t="array" ref="C1890">IFERROR(INDEX(#REF!,MATCH(TRUE,ISNUMBER(FIND(SUBSTITUTE(SUBSTITUTE(UPPER(#REF!)," ",""),":",": "),SUBSTITUTE(SUBSTITUTE(UPPER(S1890)," ",""),":",": "))),0)),"Não encontrado")</f>
        <v>Não encontrado</v>
      </c>
      <c r="D1890" s="46" t="str" cm="1">
        <f t="array" ref="D1890">IFERROR(INDEX(#REF!,MATCH(TRUE,ISNUMBER(FIND(SUBSTITUTE(SUBSTITUTE(UPPER(#REF!)," ",""),":",": "),SUBSTITUTE(SUBSTITUTE(UPPER(S1890)," ",""),":",": "))),0)),"Não encontrado")</f>
        <v>Não encontrado</v>
      </c>
      <c r="E1890" s="42" t="str" cm="1">
        <f t="array" ref="E1890">IFERROR(INDEX({"IMPEDITIVO"},MATCH(TRUE,ISNUMBER(FIND(SUBSTITUTE(SUBSTITUTE(UPPER({"IMPEDITIVO"})," ",""),":",": "),SUBSTITUTE(SUBSTITUTE(UPPER(S1890)," ",""),":",": "))),0)),"-")</f>
        <v>-</v>
      </c>
      <c r="K1890" s="49"/>
    </row>
    <row r="1891" spans="1:11" x14ac:dyDescent="0.25">
      <c r="A1891" s="46" t="str" cm="1">
        <f t="array" ref="A1891">IFERROR(INDEX(#REF!,MATCH(TRUE,ISNUMBER(FIND(SUBSTITUTE(SUBSTITUTE(UPPER(#REF!)," ",""),":",": "),SUBSTITUTE(SUBSTITUTE(UPPER(S1891)," ",""),":",": "))),0)),"Undefined")</f>
        <v>Undefined</v>
      </c>
      <c r="B1891" s="42" t="str" cm="1">
        <f t="array" ref="B1891">IFERROR(INDEX({"URGENTE"},MATCH(TRUE,ISNUMBER(FIND(SUBSTITUTE(SUBSTITUTE(UPPER({"URGENTE"})," ",""),":",": "),SUBSTITUTE(SUBSTITUTE(UPPER(S1891)," ",""),":",": "))),0)),"-")</f>
        <v>-</v>
      </c>
      <c r="C1891" s="46" t="str" cm="1">
        <f t="array" ref="C1891">IFERROR(INDEX(#REF!,MATCH(TRUE,ISNUMBER(FIND(SUBSTITUTE(SUBSTITUTE(UPPER(#REF!)," ",""),":",": "),SUBSTITUTE(SUBSTITUTE(UPPER(S1891)," ",""),":",": "))),0)),"Não encontrado")</f>
        <v>Não encontrado</v>
      </c>
      <c r="D1891" s="46" t="str" cm="1">
        <f t="array" ref="D1891">IFERROR(INDEX(#REF!,MATCH(TRUE,ISNUMBER(FIND(SUBSTITUTE(SUBSTITUTE(UPPER(#REF!)," ",""),":",": "),SUBSTITUTE(SUBSTITUTE(UPPER(S1891)," ",""),":",": "))),0)),"Não encontrado")</f>
        <v>Não encontrado</v>
      </c>
      <c r="E1891" s="42" t="str" cm="1">
        <f t="array" ref="E1891">IFERROR(INDEX({"IMPEDITIVO"},MATCH(TRUE,ISNUMBER(FIND(SUBSTITUTE(SUBSTITUTE(UPPER({"IMPEDITIVO"})," ",""),":",": "),SUBSTITUTE(SUBSTITUTE(UPPER(S1891)," ",""),":",": "))),0)),"-")</f>
        <v>-</v>
      </c>
      <c r="K1891" s="49"/>
    </row>
    <row r="1892" spans="1:11" x14ac:dyDescent="0.25">
      <c r="A1892" s="46" t="str" cm="1">
        <f t="array" ref="A1892">IFERROR(INDEX(#REF!,MATCH(TRUE,ISNUMBER(FIND(SUBSTITUTE(SUBSTITUTE(UPPER(#REF!)," ",""),":",": "),SUBSTITUTE(SUBSTITUTE(UPPER(S1892)," ",""),":",": "))),0)),"Undefined")</f>
        <v>Undefined</v>
      </c>
      <c r="B1892" s="42" t="str" cm="1">
        <f t="array" ref="B1892">IFERROR(INDEX({"URGENTE"},MATCH(TRUE,ISNUMBER(FIND(SUBSTITUTE(SUBSTITUTE(UPPER({"URGENTE"})," ",""),":",": "),SUBSTITUTE(SUBSTITUTE(UPPER(S1892)," ",""),":",": "))),0)),"-")</f>
        <v>-</v>
      </c>
      <c r="C1892" s="46" t="str" cm="1">
        <f t="array" ref="C1892">IFERROR(INDEX(#REF!,MATCH(TRUE,ISNUMBER(FIND(SUBSTITUTE(SUBSTITUTE(UPPER(#REF!)," ",""),":",": "),SUBSTITUTE(SUBSTITUTE(UPPER(S1892)," ",""),":",": "))),0)),"Não encontrado")</f>
        <v>Não encontrado</v>
      </c>
      <c r="D1892" s="46" t="str" cm="1">
        <f t="array" ref="D1892">IFERROR(INDEX(#REF!,MATCH(TRUE,ISNUMBER(FIND(SUBSTITUTE(SUBSTITUTE(UPPER(#REF!)," ",""),":",": "),SUBSTITUTE(SUBSTITUTE(UPPER(S1892)," ",""),":",": "))),0)),"Não encontrado")</f>
        <v>Não encontrado</v>
      </c>
      <c r="E1892" s="42" t="str" cm="1">
        <f t="array" ref="E1892">IFERROR(INDEX({"IMPEDITIVO"},MATCH(TRUE,ISNUMBER(FIND(SUBSTITUTE(SUBSTITUTE(UPPER({"IMPEDITIVO"})," ",""),":",": "),SUBSTITUTE(SUBSTITUTE(UPPER(S1892)," ",""),":",": "))),0)),"-")</f>
        <v>-</v>
      </c>
      <c r="K1892" s="49"/>
    </row>
    <row r="1893" spans="1:11" x14ac:dyDescent="0.25">
      <c r="A1893" s="46" t="str" cm="1">
        <f t="array" ref="A1893">IFERROR(INDEX(#REF!,MATCH(TRUE,ISNUMBER(FIND(SUBSTITUTE(SUBSTITUTE(UPPER(#REF!)," ",""),":",": "),SUBSTITUTE(SUBSTITUTE(UPPER(S1893)," ",""),":",": "))),0)),"Undefined")</f>
        <v>Undefined</v>
      </c>
      <c r="B1893" s="42" t="str" cm="1">
        <f t="array" ref="B1893">IFERROR(INDEX({"URGENTE"},MATCH(TRUE,ISNUMBER(FIND(SUBSTITUTE(SUBSTITUTE(UPPER({"URGENTE"})," ",""),":",": "),SUBSTITUTE(SUBSTITUTE(UPPER(S1893)," ",""),":",": "))),0)),"-")</f>
        <v>-</v>
      </c>
      <c r="C1893" s="46" t="str" cm="1">
        <f t="array" ref="C1893">IFERROR(INDEX(#REF!,MATCH(TRUE,ISNUMBER(FIND(SUBSTITUTE(SUBSTITUTE(UPPER(#REF!)," ",""),":",": "),SUBSTITUTE(SUBSTITUTE(UPPER(S1893)," ",""),":",": "))),0)),"Não encontrado")</f>
        <v>Não encontrado</v>
      </c>
      <c r="D1893" s="46" t="str" cm="1">
        <f t="array" ref="D1893">IFERROR(INDEX(#REF!,MATCH(TRUE,ISNUMBER(FIND(SUBSTITUTE(SUBSTITUTE(UPPER(#REF!)," ",""),":",": "),SUBSTITUTE(SUBSTITUTE(UPPER(S1893)," ",""),":",": "))),0)),"Não encontrado")</f>
        <v>Não encontrado</v>
      </c>
      <c r="E1893" s="42" t="str" cm="1">
        <f t="array" ref="E1893">IFERROR(INDEX({"IMPEDITIVO"},MATCH(TRUE,ISNUMBER(FIND(SUBSTITUTE(SUBSTITUTE(UPPER({"IMPEDITIVO"})," ",""),":",": "),SUBSTITUTE(SUBSTITUTE(UPPER(S1893)," ",""),":",": "))),0)),"-")</f>
        <v>-</v>
      </c>
      <c r="K1893" s="49"/>
    </row>
    <row r="1894" spans="1:11" x14ac:dyDescent="0.25">
      <c r="A1894" s="46" t="str" cm="1">
        <f t="array" ref="A1894">IFERROR(INDEX(#REF!,MATCH(TRUE,ISNUMBER(FIND(SUBSTITUTE(SUBSTITUTE(UPPER(#REF!)," ",""),":",": "),SUBSTITUTE(SUBSTITUTE(UPPER(S1894)," ",""),":",": "))),0)),"Undefined")</f>
        <v>Undefined</v>
      </c>
      <c r="B1894" s="42" t="str" cm="1">
        <f t="array" ref="B1894">IFERROR(INDEX({"URGENTE"},MATCH(TRUE,ISNUMBER(FIND(SUBSTITUTE(SUBSTITUTE(UPPER({"URGENTE"})," ",""),":",": "),SUBSTITUTE(SUBSTITUTE(UPPER(S1894)," ",""),":",": "))),0)),"-")</f>
        <v>-</v>
      </c>
      <c r="C1894" s="46" t="str" cm="1">
        <f t="array" ref="C1894">IFERROR(INDEX(#REF!,MATCH(TRUE,ISNUMBER(FIND(SUBSTITUTE(SUBSTITUTE(UPPER(#REF!)," ",""),":",": "),SUBSTITUTE(SUBSTITUTE(UPPER(S1894)," ",""),":",": "))),0)),"Não encontrado")</f>
        <v>Não encontrado</v>
      </c>
      <c r="D1894" s="46" t="str" cm="1">
        <f t="array" ref="D1894">IFERROR(INDEX(#REF!,MATCH(TRUE,ISNUMBER(FIND(SUBSTITUTE(SUBSTITUTE(UPPER(#REF!)," ",""),":",": "),SUBSTITUTE(SUBSTITUTE(UPPER(S1894)," ",""),":",": "))),0)),"Não encontrado")</f>
        <v>Não encontrado</v>
      </c>
      <c r="E1894" s="42" t="str" cm="1">
        <f t="array" ref="E1894">IFERROR(INDEX({"IMPEDITIVO"},MATCH(TRUE,ISNUMBER(FIND(SUBSTITUTE(SUBSTITUTE(UPPER({"IMPEDITIVO"})," ",""),":",": "),SUBSTITUTE(SUBSTITUTE(UPPER(S1894)," ",""),":",": "))),0)),"-")</f>
        <v>-</v>
      </c>
      <c r="K1894" s="49"/>
    </row>
    <row r="1895" spans="1:11" x14ac:dyDescent="0.25">
      <c r="A1895" s="46" t="str" cm="1">
        <f t="array" ref="A1895">IFERROR(INDEX(#REF!,MATCH(TRUE,ISNUMBER(FIND(SUBSTITUTE(SUBSTITUTE(UPPER(#REF!)," ",""),":",": "),SUBSTITUTE(SUBSTITUTE(UPPER(S1895)," ",""),":",": "))),0)),"Undefined")</f>
        <v>Undefined</v>
      </c>
      <c r="B1895" s="42" t="str" cm="1">
        <f t="array" ref="B1895">IFERROR(INDEX({"URGENTE"},MATCH(TRUE,ISNUMBER(FIND(SUBSTITUTE(SUBSTITUTE(UPPER({"URGENTE"})," ",""),":",": "),SUBSTITUTE(SUBSTITUTE(UPPER(S1895)," ",""),":",": "))),0)),"-")</f>
        <v>-</v>
      </c>
      <c r="C1895" s="46" t="str" cm="1">
        <f t="array" ref="C1895">IFERROR(INDEX(#REF!,MATCH(TRUE,ISNUMBER(FIND(SUBSTITUTE(SUBSTITUTE(UPPER(#REF!)," ",""),":",": "),SUBSTITUTE(SUBSTITUTE(UPPER(S1895)," ",""),":",": "))),0)),"Não encontrado")</f>
        <v>Não encontrado</v>
      </c>
      <c r="D1895" s="46" t="str" cm="1">
        <f t="array" ref="D1895">IFERROR(INDEX(#REF!,MATCH(TRUE,ISNUMBER(FIND(SUBSTITUTE(SUBSTITUTE(UPPER(#REF!)," ",""),":",": "),SUBSTITUTE(SUBSTITUTE(UPPER(S1895)," ",""),":",": "))),0)),"Não encontrado")</f>
        <v>Não encontrado</v>
      </c>
      <c r="E1895" s="42" t="str" cm="1">
        <f t="array" ref="E1895">IFERROR(INDEX({"IMPEDITIVO"},MATCH(TRUE,ISNUMBER(FIND(SUBSTITUTE(SUBSTITUTE(UPPER({"IMPEDITIVO"})," ",""),":",": "),SUBSTITUTE(SUBSTITUTE(UPPER(S1895)," ",""),":",": "))),0)),"-")</f>
        <v>-</v>
      </c>
      <c r="K1895" s="49"/>
    </row>
    <row r="1896" spans="1:11" x14ac:dyDescent="0.25">
      <c r="A1896" s="46" t="str" cm="1">
        <f t="array" ref="A1896">IFERROR(INDEX(#REF!,MATCH(TRUE,ISNUMBER(FIND(SUBSTITUTE(SUBSTITUTE(UPPER(#REF!)," ",""),":",": "),SUBSTITUTE(SUBSTITUTE(UPPER(S1896)," ",""),":",": "))),0)),"Undefined")</f>
        <v>Undefined</v>
      </c>
      <c r="B1896" s="42" t="str" cm="1">
        <f t="array" ref="B1896">IFERROR(INDEX({"URGENTE"},MATCH(TRUE,ISNUMBER(FIND(SUBSTITUTE(SUBSTITUTE(UPPER({"URGENTE"})," ",""),":",": "),SUBSTITUTE(SUBSTITUTE(UPPER(S1896)," ",""),":",": "))),0)),"-")</f>
        <v>-</v>
      </c>
      <c r="C1896" s="46" t="str" cm="1">
        <f t="array" ref="C1896">IFERROR(INDEX(#REF!,MATCH(TRUE,ISNUMBER(FIND(SUBSTITUTE(SUBSTITUTE(UPPER(#REF!)," ",""),":",": "),SUBSTITUTE(SUBSTITUTE(UPPER(S1896)," ",""),":",": "))),0)),"Não encontrado")</f>
        <v>Não encontrado</v>
      </c>
      <c r="D1896" s="46" t="str" cm="1">
        <f t="array" ref="D1896">IFERROR(INDEX(#REF!,MATCH(TRUE,ISNUMBER(FIND(SUBSTITUTE(SUBSTITUTE(UPPER(#REF!)," ",""),":",": "),SUBSTITUTE(SUBSTITUTE(UPPER(S1896)," ",""),":",": "))),0)),"Não encontrado")</f>
        <v>Não encontrado</v>
      </c>
      <c r="E1896" s="42" t="str" cm="1">
        <f t="array" ref="E1896">IFERROR(INDEX({"IMPEDITIVO"},MATCH(TRUE,ISNUMBER(FIND(SUBSTITUTE(SUBSTITUTE(UPPER({"IMPEDITIVO"})," ",""),":",": "),SUBSTITUTE(SUBSTITUTE(UPPER(S1896)," ",""),":",": "))),0)),"-")</f>
        <v>-</v>
      </c>
      <c r="K1896" s="49"/>
    </row>
    <row r="1897" spans="1:11" x14ac:dyDescent="0.25">
      <c r="A1897" s="46" t="str" cm="1">
        <f t="array" ref="A1897">IFERROR(INDEX(#REF!,MATCH(TRUE,ISNUMBER(FIND(SUBSTITUTE(SUBSTITUTE(UPPER(#REF!)," ",""),":",": "),SUBSTITUTE(SUBSTITUTE(UPPER(S1897)," ",""),":",": "))),0)),"Undefined")</f>
        <v>Undefined</v>
      </c>
      <c r="B1897" s="42" t="str" cm="1">
        <f t="array" ref="B1897">IFERROR(INDEX({"URGENTE"},MATCH(TRUE,ISNUMBER(FIND(SUBSTITUTE(SUBSTITUTE(UPPER({"URGENTE"})," ",""),":",": "),SUBSTITUTE(SUBSTITUTE(UPPER(S1897)," ",""),":",": "))),0)),"-")</f>
        <v>-</v>
      </c>
      <c r="C1897" s="46" t="str" cm="1">
        <f t="array" ref="C1897">IFERROR(INDEX(#REF!,MATCH(TRUE,ISNUMBER(FIND(SUBSTITUTE(SUBSTITUTE(UPPER(#REF!)," ",""),":",": "),SUBSTITUTE(SUBSTITUTE(UPPER(S1897)," ",""),":",": "))),0)),"Não encontrado")</f>
        <v>Não encontrado</v>
      </c>
      <c r="D1897" s="46" t="str" cm="1">
        <f t="array" ref="D1897">IFERROR(INDEX(#REF!,MATCH(TRUE,ISNUMBER(FIND(SUBSTITUTE(SUBSTITUTE(UPPER(#REF!)," ",""),":",": "),SUBSTITUTE(SUBSTITUTE(UPPER(S1897)," ",""),":",": "))),0)),"Não encontrado")</f>
        <v>Não encontrado</v>
      </c>
      <c r="E1897" s="42" t="str" cm="1">
        <f t="array" ref="E1897">IFERROR(INDEX({"IMPEDITIVO"},MATCH(TRUE,ISNUMBER(FIND(SUBSTITUTE(SUBSTITUTE(UPPER({"IMPEDITIVO"})," ",""),":",": "),SUBSTITUTE(SUBSTITUTE(UPPER(S1897)," ",""),":",": "))),0)),"-")</f>
        <v>-</v>
      </c>
      <c r="K1897" s="49"/>
    </row>
    <row r="1898" spans="1:11" x14ac:dyDescent="0.25">
      <c r="A1898" s="46" t="str" cm="1">
        <f t="array" ref="A1898">IFERROR(INDEX(#REF!,MATCH(TRUE,ISNUMBER(FIND(SUBSTITUTE(SUBSTITUTE(UPPER(#REF!)," ",""),":",": "),SUBSTITUTE(SUBSTITUTE(UPPER(S1898)," ",""),":",": "))),0)),"Undefined")</f>
        <v>Undefined</v>
      </c>
      <c r="B1898" s="42" t="str" cm="1">
        <f t="array" ref="B1898">IFERROR(INDEX({"URGENTE"},MATCH(TRUE,ISNUMBER(FIND(SUBSTITUTE(SUBSTITUTE(UPPER({"URGENTE"})," ",""),":",": "),SUBSTITUTE(SUBSTITUTE(UPPER(S1898)," ",""),":",": "))),0)),"-")</f>
        <v>-</v>
      </c>
      <c r="C1898" s="46" t="str" cm="1">
        <f t="array" ref="C1898">IFERROR(INDEX(#REF!,MATCH(TRUE,ISNUMBER(FIND(SUBSTITUTE(SUBSTITUTE(UPPER(#REF!)," ",""),":",": "),SUBSTITUTE(SUBSTITUTE(UPPER(S1898)," ",""),":",": "))),0)),"Não encontrado")</f>
        <v>Não encontrado</v>
      </c>
      <c r="D1898" s="46" t="str" cm="1">
        <f t="array" ref="D1898">IFERROR(INDEX(#REF!,MATCH(TRUE,ISNUMBER(FIND(SUBSTITUTE(SUBSTITUTE(UPPER(#REF!)," ",""),":",": "),SUBSTITUTE(SUBSTITUTE(UPPER(S1898)," ",""),":",": "))),0)),"Não encontrado")</f>
        <v>Não encontrado</v>
      </c>
      <c r="E1898" s="42" t="str" cm="1">
        <f t="array" ref="E1898">IFERROR(INDEX({"IMPEDITIVO"},MATCH(TRUE,ISNUMBER(FIND(SUBSTITUTE(SUBSTITUTE(UPPER({"IMPEDITIVO"})," ",""),":",": "),SUBSTITUTE(SUBSTITUTE(UPPER(S1898)," ",""),":",": "))),0)),"-")</f>
        <v>-</v>
      </c>
      <c r="K1898" s="49"/>
    </row>
    <row r="1899" spans="1:11" x14ac:dyDescent="0.25">
      <c r="A1899" s="46" t="str" cm="1">
        <f t="array" ref="A1899">IFERROR(INDEX(#REF!,MATCH(TRUE,ISNUMBER(FIND(SUBSTITUTE(SUBSTITUTE(UPPER(#REF!)," ",""),":",": "),SUBSTITUTE(SUBSTITUTE(UPPER(S1899)," ",""),":",": "))),0)),"Undefined")</f>
        <v>Undefined</v>
      </c>
      <c r="B1899" s="42" t="str" cm="1">
        <f t="array" ref="B1899">IFERROR(INDEX({"URGENTE"},MATCH(TRUE,ISNUMBER(FIND(SUBSTITUTE(SUBSTITUTE(UPPER({"URGENTE"})," ",""),":",": "),SUBSTITUTE(SUBSTITUTE(UPPER(S1899)," ",""),":",": "))),0)),"-")</f>
        <v>-</v>
      </c>
      <c r="C1899" s="46" t="str" cm="1">
        <f t="array" ref="C1899">IFERROR(INDEX(#REF!,MATCH(TRUE,ISNUMBER(FIND(SUBSTITUTE(SUBSTITUTE(UPPER(#REF!)," ",""),":",": "),SUBSTITUTE(SUBSTITUTE(UPPER(S1899)," ",""),":",": "))),0)),"Não encontrado")</f>
        <v>Não encontrado</v>
      </c>
      <c r="D1899" s="46" t="str" cm="1">
        <f t="array" ref="D1899">IFERROR(INDEX(#REF!,MATCH(TRUE,ISNUMBER(FIND(SUBSTITUTE(SUBSTITUTE(UPPER(#REF!)," ",""),":",": "),SUBSTITUTE(SUBSTITUTE(UPPER(S1899)," ",""),":",": "))),0)),"Não encontrado")</f>
        <v>Não encontrado</v>
      </c>
      <c r="E1899" s="42" t="str" cm="1">
        <f t="array" ref="E1899">IFERROR(INDEX({"IMPEDITIVO"},MATCH(TRUE,ISNUMBER(FIND(SUBSTITUTE(SUBSTITUTE(UPPER({"IMPEDITIVO"})," ",""),":",": "),SUBSTITUTE(SUBSTITUTE(UPPER(S1899)," ",""),":",": "))),0)),"-")</f>
        <v>-</v>
      </c>
      <c r="K1899" s="49"/>
    </row>
    <row r="1900" spans="1:11" x14ac:dyDescent="0.25">
      <c r="A1900" s="46" t="str" cm="1">
        <f t="array" ref="A1900">IFERROR(INDEX(#REF!,MATCH(TRUE,ISNUMBER(FIND(SUBSTITUTE(SUBSTITUTE(UPPER(#REF!)," ",""),":",": "),SUBSTITUTE(SUBSTITUTE(UPPER(S1900)," ",""),":",": "))),0)),"Undefined")</f>
        <v>Undefined</v>
      </c>
      <c r="B1900" s="42" t="str" cm="1">
        <f t="array" ref="B1900">IFERROR(INDEX({"URGENTE"},MATCH(TRUE,ISNUMBER(FIND(SUBSTITUTE(SUBSTITUTE(UPPER({"URGENTE"})," ",""),":",": "),SUBSTITUTE(SUBSTITUTE(UPPER(S1900)," ",""),":",": "))),0)),"-")</f>
        <v>-</v>
      </c>
      <c r="C1900" s="46" t="str" cm="1">
        <f t="array" ref="C1900">IFERROR(INDEX(#REF!,MATCH(TRUE,ISNUMBER(FIND(SUBSTITUTE(SUBSTITUTE(UPPER(#REF!)," ",""),":",": "),SUBSTITUTE(SUBSTITUTE(UPPER(S1900)," ",""),":",": "))),0)),"Não encontrado")</f>
        <v>Não encontrado</v>
      </c>
      <c r="D1900" s="46" t="str" cm="1">
        <f t="array" ref="D1900">IFERROR(INDEX(#REF!,MATCH(TRUE,ISNUMBER(FIND(SUBSTITUTE(SUBSTITUTE(UPPER(#REF!)," ",""),":",": "),SUBSTITUTE(SUBSTITUTE(UPPER(S1900)," ",""),":",": "))),0)),"Não encontrado")</f>
        <v>Não encontrado</v>
      </c>
      <c r="E1900" s="42" t="str" cm="1">
        <f t="array" ref="E1900">IFERROR(INDEX({"IMPEDITIVO"},MATCH(TRUE,ISNUMBER(FIND(SUBSTITUTE(SUBSTITUTE(UPPER({"IMPEDITIVO"})," ",""),":",": "),SUBSTITUTE(SUBSTITUTE(UPPER(S1900)," ",""),":",": "))),0)),"-")</f>
        <v>-</v>
      </c>
      <c r="K1900" s="49"/>
    </row>
    <row r="1901" spans="1:11" x14ac:dyDescent="0.25">
      <c r="A1901" s="46" t="str" cm="1">
        <f t="array" ref="A1901">IFERROR(INDEX(#REF!,MATCH(TRUE,ISNUMBER(FIND(SUBSTITUTE(SUBSTITUTE(UPPER(#REF!)," ",""),":",": "),SUBSTITUTE(SUBSTITUTE(UPPER(S1901)," ",""),":",": "))),0)),"Undefined")</f>
        <v>Undefined</v>
      </c>
      <c r="B1901" s="42" t="str" cm="1">
        <f t="array" ref="B1901">IFERROR(INDEX({"URGENTE"},MATCH(TRUE,ISNUMBER(FIND(SUBSTITUTE(SUBSTITUTE(UPPER({"URGENTE"})," ",""),":",": "),SUBSTITUTE(SUBSTITUTE(UPPER(S1901)," ",""),":",": "))),0)),"-")</f>
        <v>-</v>
      </c>
      <c r="C1901" s="46" t="str" cm="1">
        <f t="array" ref="C1901">IFERROR(INDEX(#REF!,MATCH(TRUE,ISNUMBER(FIND(SUBSTITUTE(SUBSTITUTE(UPPER(#REF!)," ",""),":",": "),SUBSTITUTE(SUBSTITUTE(UPPER(S1901)," ",""),":",": "))),0)),"Não encontrado")</f>
        <v>Não encontrado</v>
      </c>
      <c r="D1901" s="46" t="str" cm="1">
        <f t="array" ref="D1901">IFERROR(INDEX(#REF!,MATCH(TRUE,ISNUMBER(FIND(SUBSTITUTE(SUBSTITUTE(UPPER(#REF!)," ",""),":",": "),SUBSTITUTE(SUBSTITUTE(UPPER(S1901)," ",""),":",": "))),0)),"Não encontrado")</f>
        <v>Não encontrado</v>
      </c>
      <c r="E1901" s="42" t="str" cm="1">
        <f t="array" ref="E1901">IFERROR(INDEX({"IMPEDITIVO"},MATCH(TRUE,ISNUMBER(FIND(SUBSTITUTE(SUBSTITUTE(UPPER({"IMPEDITIVO"})," ",""),":",": "),SUBSTITUTE(SUBSTITUTE(UPPER(S1901)," ",""),":",": "))),0)),"-")</f>
        <v>-</v>
      </c>
      <c r="K1901" s="49"/>
    </row>
    <row r="1902" spans="1:11" x14ac:dyDescent="0.25">
      <c r="A1902" s="46" t="str" cm="1">
        <f t="array" ref="A1902">IFERROR(INDEX(#REF!,MATCH(TRUE,ISNUMBER(FIND(SUBSTITUTE(SUBSTITUTE(UPPER(#REF!)," ",""),":",": "),SUBSTITUTE(SUBSTITUTE(UPPER(S1902)," ",""),":",": "))),0)),"Undefined")</f>
        <v>Undefined</v>
      </c>
      <c r="B1902" s="42" t="str" cm="1">
        <f t="array" ref="B1902">IFERROR(INDEX({"URGENTE"},MATCH(TRUE,ISNUMBER(FIND(SUBSTITUTE(SUBSTITUTE(UPPER({"URGENTE"})," ",""),":",": "),SUBSTITUTE(SUBSTITUTE(UPPER(S1902)," ",""),":",": "))),0)),"-")</f>
        <v>-</v>
      </c>
      <c r="C1902" s="46" t="str" cm="1">
        <f t="array" ref="C1902">IFERROR(INDEX(#REF!,MATCH(TRUE,ISNUMBER(FIND(SUBSTITUTE(SUBSTITUTE(UPPER(#REF!)," ",""),":",": "),SUBSTITUTE(SUBSTITUTE(UPPER(S1902)," ",""),":",": "))),0)),"Não encontrado")</f>
        <v>Não encontrado</v>
      </c>
      <c r="D1902" s="46" t="str" cm="1">
        <f t="array" ref="D1902">IFERROR(INDEX(#REF!,MATCH(TRUE,ISNUMBER(FIND(SUBSTITUTE(SUBSTITUTE(UPPER(#REF!)," ",""),":",": "),SUBSTITUTE(SUBSTITUTE(UPPER(S1902)," ",""),":",": "))),0)),"Não encontrado")</f>
        <v>Não encontrado</v>
      </c>
      <c r="E1902" s="42" t="str" cm="1">
        <f t="array" ref="E1902">IFERROR(INDEX({"IMPEDITIVO"},MATCH(TRUE,ISNUMBER(FIND(SUBSTITUTE(SUBSTITUTE(UPPER({"IMPEDITIVO"})," ",""),":",": "),SUBSTITUTE(SUBSTITUTE(UPPER(S1902)," ",""),":",": "))),0)),"-")</f>
        <v>-</v>
      </c>
      <c r="K1902" s="49"/>
    </row>
    <row r="1903" spans="1:11" x14ac:dyDescent="0.25">
      <c r="A1903" s="46" t="str" cm="1">
        <f t="array" ref="A1903">IFERROR(INDEX(#REF!,MATCH(TRUE,ISNUMBER(FIND(SUBSTITUTE(SUBSTITUTE(UPPER(#REF!)," ",""),":",": "),SUBSTITUTE(SUBSTITUTE(UPPER(S1903)," ",""),":",": "))),0)),"Undefined")</f>
        <v>Undefined</v>
      </c>
      <c r="B1903" s="42" t="str" cm="1">
        <f t="array" ref="B1903">IFERROR(INDEX({"URGENTE"},MATCH(TRUE,ISNUMBER(FIND(SUBSTITUTE(SUBSTITUTE(UPPER({"URGENTE"})," ",""),":",": "),SUBSTITUTE(SUBSTITUTE(UPPER(S1903)," ",""),":",": "))),0)),"-")</f>
        <v>-</v>
      </c>
      <c r="C1903" s="46" t="str" cm="1">
        <f t="array" ref="C1903">IFERROR(INDEX(#REF!,MATCH(TRUE,ISNUMBER(FIND(SUBSTITUTE(SUBSTITUTE(UPPER(#REF!)," ",""),":",": "),SUBSTITUTE(SUBSTITUTE(UPPER(S1903)," ",""),":",": "))),0)),"Não encontrado")</f>
        <v>Não encontrado</v>
      </c>
      <c r="D1903" s="46" t="str" cm="1">
        <f t="array" ref="D1903">IFERROR(INDEX(#REF!,MATCH(TRUE,ISNUMBER(FIND(SUBSTITUTE(SUBSTITUTE(UPPER(#REF!)," ",""),":",": "),SUBSTITUTE(SUBSTITUTE(UPPER(S1903)," ",""),":",": "))),0)),"Não encontrado")</f>
        <v>Não encontrado</v>
      </c>
      <c r="E1903" s="42" t="str" cm="1">
        <f t="array" ref="E1903">IFERROR(INDEX({"IMPEDITIVO"},MATCH(TRUE,ISNUMBER(FIND(SUBSTITUTE(SUBSTITUTE(UPPER({"IMPEDITIVO"})," ",""),":",": "),SUBSTITUTE(SUBSTITUTE(UPPER(S1903)," ",""),":",": "))),0)),"-")</f>
        <v>-</v>
      </c>
      <c r="K1903" s="49"/>
    </row>
    <row r="1904" spans="1:11" x14ac:dyDescent="0.25">
      <c r="A1904" s="46" t="str" cm="1">
        <f t="array" ref="A1904">IFERROR(INDEX(#REF!,MATCH(TRUE,ISNUMBER(FIND(SUBSTITUTE(SUBSTITUTE(UPPER(#REF!)," ",""),":",": "),SUBSTITUTE(SUBSTITUTE(UPPER(S1904)," ",""),":",": "))),0)),"Undefined")</f>
        <v>Undefined</v>
      </c>
      <c r="B1904" s="42" t="str" cm="1">
        <f t="array" ref="B1904">IFERROR(INDEX({"URGENTE"},MATCH(TRUE,ISNUMBER(FIND(SUBSTITUTE(SUBSTITUTE(UPPER({"URGENTE"})," ",""),":",": "),SUBSTITUTE(SUBSTITUTE(UPPER(S1904)," ",""),":",": "))),0)),"-")</f>
        <v>-</v>
      </c>
      <c r="C1904" s="46" t="str" cm="1">
        <f t="array" ref="C1904">IFERROR(INDEX(#REF!,MATCH(TRUE,ISNUMBER(FIND(SUBSTITUTE(SUBSTITUTE(UPPER(#REF!)," ",""),":",": "),SUBSTITUTE(SUBSTITUTE(UPPER(S1904)," ",""),":",": "))),0)),"Não encontrado")</f>
        <v>Não encontrado</v>
      </c>
      <c r="D1904" s="46" t="str" cm="1">
        <f t="array" ref="D1904">IFERROR(INDEX(#REF!,MATCH(TRUE,ISNUMBER(FIND(SUBSTITUTE(SUBSTITUTE(UPPER(#REF!)," ",""),":",": "),SUBSTITUTE(SUBSTITUTE(UPPER(S1904)," ",""),":",": "))),0)),"Não encontrado")</f>
        <v>Não encontrado</v>
      </c>
      <c r="E1904" s="42" t="str" cm="1">
        <f t="array" ref="E1904">IFERROR(INDEX({"IMPEDITIVO"},MATCH(TRUE,ISNUMBER(FIND(SUBSTITUTE(SUBSTITUTE(UPPER({"IMPEDITIVO"})," ",""),":",": "),SUBSTITUTE(SUBSTITUTE(UPPER(S1904)," ",""),":",": "))),0)),"-")</f>
        <v>-</v>
      </c>
      <c r="K1904" s="49"/>
    </row>
    <row r="1905" spans="1:11" x14ac:dyDescent="0.25">
      <c r="A1905" s="46" t="str" cm="1">
        <f t="array" ref="A1905">IFERROR(INDEX(#REF!,MATCH(TRUE,ISNUMBER(FIND(SUBSTITUTE(SUBSTITUTE(UPPER(#REF!)," ",""),":",": "),SUBSTITUTE(SUBSTITUTE(UPPER(S1905)," ",""),":",": "))),0)),"Undefined")</f>
        <v>Undefined</v>
      </c>
      <c r="B1905" s="42" t="str" cm="1">
        <f t="array" ref="B1905">IFERROR(INDEX({"URGENTE"},MATCH(TRUE,ISNUMBER(FIND(SUBSTITUTE(SUBSTITUTE(UPPER({"URGENTE"})," ",""),":",": "),SUBSTITUTE(SUBSTITUTE(UPPER(S1905)," ",""),":",": "))),0)),"-")</f>
        <v>-</v>
      </c>
      <c r="C1905" s="46" t="str" cm="1">
        <f t="array" ref="C1905">IFERROR(INDEX(#REF!,MATCH(TRUE,ISNUMBER(FIND(SUBSTITUTE(SUBSTITUTE(UPPER(#REF!)," ",""),":",": "),SUBSTITUTE(SUBSTITUTE(UPPER(S1905)," ",""),":",": "))),0)),"Não encontrado")</f>
        <v>Não encontrado</v>
      </c>
      <c r="D1905" s="46" t="str" cm="1">
        <f t="array" ref="D1905">IFERROR(INDEX(#REF!,MATCH(TRUE,ISNUMBER(FIND(SUBSTITUTE(SUBSTITUTE(UPPER(#REF!)," ",""),":",": "),SUBSTITUTE(SUBSTITUTE(UPPER(S1905)," ",""),":",": "))),0)),"Não encontrado")</f>
        <v>Não encontrado</v>
      </c>
      <c r="E1905" s="42" t="str" cm="1">
        <f t="array" ref="E1905">IFERROR(INDEX({"IMPEDITIVO"},MATCH(TRUE,ISNUMBER(FIND(SUBSTITUTE(SUBSTITUTE(UPPER({"IMPEDITIVO"})," ",""),":",": "),SUBSTITUTE(SUBSTITUTE(UPPER(S1905)," ",""),":",": "))),0)),"-")</f>
        <v>-</v>
      </c>
      <c r="K1905" s="49"/>
    </row>
    <row r="1906" spans="1:11" x14ac:dyDescent="0.25">
      <c r="A1906" s="46" t="str" cm="1">
        <f t="array" ref="A1906">IFERROR(INDEX(#REF!,MATCH(TRUE,ISNUMBER(FIND(SUBSTITUTE(SUBSTITUTE(UPPER(#REF!)," ",""),":",": "),SUBSTITUTE(SUBSTITUTE(UPPER(S1906)," ",""),":",": "))),0)),"Undefined")</f>
        <v>Undefined</v>
      </c>
      <c r="B1906" s="42" t="str" cm="1">
        <f t="array" ref="B1906">IFERROR(INDEX({"URGENTE"},MATCH(TRUE,ISNUMBER(FIND(SUBSTITUTE(SUBSTITUTE(UPPER({"URGENTE"})," ",""),":",": "),SUBSTITUTE(SUBSTITUTE(UPPER(S1906)," ",""),":",": "))),0)),"-")</f>
        <v>-</v>
      </c>
      <c r="C1906" s="46" t="str" cm="1">
        <f t="array" ref="C1906">IFERROR(INDEX(#REF!,MATCH(TRUE,ISNUMBER(FIND(SUBSTITUTE(SUBSTITUTE(UPPER(#REF!)," ",""),":",": "),SUBSTITUTE(SUBSTITUTE(UPPER(S1906)," ",""),":",": "))),0)),"Não encontrado")</f>
        <v>Não encontrado</v>
      </c>
      <c r="D1906" s="46" t="str" cm="1">
        <f t="array" ref="D1906">IFERROR(INDEX(#REF!,MATCH(TRUE,ISNUMBER(FIND(SUBSTITUTE(SUBSTITUTE(UPPER(#REF!)," ",""),":",": "),SUBSTITUTE(SUBSTITUTE(UPPER(S1906)," ",""),":",": "))),0)),"Não encontrado")</f>
        <v>Não encontrado</v>
      </c>
      <c r="E1906" s="42" t="str" cm="1">
        <f t="array" ref="E1906">IFERROR(INDEX({"IMPEDITIVO"},MATCH(TRUE,ISNUMBER(FIND(SUBSTITUTE(SUBSTITUTE(UPPER({"IMPEDITIVO"})," ",""),":",": "),SUBSTITUTE(SUBSTITUTE(UPPER(S1906)," ",""),":",": "))),0)),"-")</f>
        <v>-</v>
      </c>
      <c r="K1906" s="49"/>
    </row>
    <row r="1907" spans="1:11" x14ac:dyDescent="0.25">
      <c r="A1907" s="46" t="str" cm="1">
        <f t="array" ref="A1907">IFERROR(INDEX(#REF!,MATCH(TRUE,ISNUMBER(FIND(SUBSTITUTE(SUBSTITUTE(UPPER(#REF!)," ",""),":",": "),SUBSTITUTE(SUBSTITUTE(UPPER(S1907)," ",""),":",": "))),0)),"Undefined")</f>
        <v>Undefined</v>
      </c>
      <c r="B1907" s="42" t="str" cm="1">
        <f t="array" ref="B1907">IFERROR(INDEX({"URGENTE"},MATCH(TRUE,ISNUMBER(FIND(SUBSTITUTE(SUBSTITUTE(UPPER({"URGENTE"})," ",""),":",": "),SUBSTITUTE(SUBSTITUTE(UPPER(S1907)," ",""),":",": "))),0)),"-")</f>
        <v>-</v>
      </c>
      <c r="C1907" s="46" t="str" cm="1">
        <f t="array" ref="C1907">IFERROR(INDEX(#REF!,MATCH(TRUE,ISNUMBER(FIND(SUBSTITUTE(SUBSTITUTE(UPPER(#REF!)," ",""),":",": "),SUBSTITUTE(SUBSTITUTE(UPPER(S1907)," ",""),":",": "))),0)),"Não encontrado")</f>
        <v>Não encontrado</v>
      </c>
      <c r="D1907" s="46" t="str" cm="1">
        <f t="array" ref="D1907">IFERROR(INDEX(#REF!,MATCH(TRUE,ISNUMBER(FIND(SUBSTITUTE(SUBSTITUTE(UPPER(#REF!)," ",""),":",": "),SUBSTITUTE(SUBSTITUTE(UPPER(S1907)," ",""),":",": "))),0)),"Não encontrado")</f>
        <v>Não encontrado</v>
      </c>
      <c r="E1907" s="42" t="str" cm="1">
        <f t="array" ref="E1907">IFERROR(INDEX({"IMPEDITIVO"},MATCH(TRUE,ISNUMBER(FIND(SUBSTITUTE(SUBSTITUTE(UPPER({"IMPEDITIVO"})," ",""),":",": "),SUBSTITUTE(SUBSTITUTE(UPPER(S1907)," ",""),":",": "))),0)),"-")</f>
        <v>-</v>
      </c>
      <c r="K1907" s="49"/>
    </row>
    <row r="1908" spans="1:11" x14ac:dyDescent="0.25">
      <c r="A1908" s="46" t="str" cm="1">
        <f t="array" ref="A1908">IFERROR(INDEX(#REF!,MATCH(TRUE,ISNUMBER(FIND(SUBSTITUTE(SUBSTITUTE(UPPER(#REF!)," ",""),":",": "),SUBSTITUTE(SUBSTITUTE(UPPER(S1908)," ",""),":",": "))),0)),"Undefined")</f>
        <v>Undefined</v>
      </c>
      <c r="B1908" s="42" t="str" cm="1">
        <f t="array" ref="B1908">IFERROR(INDEX({"URGENTE"},MATCH(TRUE,ISNUMBER(FIND(SUBSTITUTE(SUBSTITUTE(UPPER({"URGENTE"})," ",""),":",": "),SUBSTITUTE(SUBSTITUTE(UPPER(S1908)," ",""),":",": "))),0)),"-")</f>
        <v>-</v>
      </c>
      <c r="C1908" s="46" t="str" cm="1">
        <f t="array" ref="C1908">IFERROR(INDEX(#REF!,MATCH(TRUE,ISNUMBER(FIND(SUBSTITUTE(SUBSTITUTE(UPPER(#REF!)," ",""),":",": "),SUBSTITUTE(SUBSTITUTE(UPPER(S1908)," ",""),":",": "))),0)),"Não encontrado")</f>
        <v>Não encontrado</v>
      </c>
      <c r="D1908" s="46" t="str" cm="1">
        <f t="array" ref="D1908">IFERROR(INDEX(#REF!,MATCH(TRUE,ISNUMBER(FIND(SUBSTITUTE(SUBSTITUTE(UPPER(#REF!)," ",""),":",": "),SUBSTITUTE(SUBSTITUTE(UPPER(S1908)," ",""),":",": "))),0)),"Não encontrado")</f>
        <v>Não encontrado</v>
      </c>
      <c r="E1908" s="42" t="str" cm="1">
        <f t="array" ref="E1908">IFERROR(INDEX({"IMPEDITIVO"},MATCH(TRUE,ISNUMBER(FIND(SUBSTITUTE(SUBSTITUTE(UPPER({"IMPEDITIVO"})," ",""),":",": "),SUBSTITUTE(SUBSTITUTE(UPPER(S1908)," ",""),":",": "))),0)),"-")</f>
        <v>-</v>
      </c>
      <c r="K1908" s="49"/>
    </row>
    <row r="1909" spans="1:11" x14ac:dyDescent="0.25">
      <c r="A1909" s="46" t="str" cm="1">
        <f t="array" ref="A1909">IFERROR(INDEX(#REF!,MATCH(TRUE,ISNUMBER(FIND(SUBSTITUTE(SUBSTITUTE(UPPER(#REF!)," ",""),":",": "),SUBSTITUTE(SUBSTITUTE(UPPER(S1909)," ",""),":",": "))),0)),"Undefined")</f>
        <v>Undefined</v>
      </c>
      <c r="B1909" s="42" t="str" cm="1">
        <f t="array" ref="B1909">IFERROR(INDEX({"URGENTE"},MATCH(TRUE,ISNUMBER(FIND(SUBSTITUTE(SUBSTITUTE(UPPER({"URGENTE"})," ",""),":",": "),SUBSTITUTE(SUBSTITUTE(UPPER(S1909)," ",""),":",": "))),0)),"-")</f>
        <v>-</v>
      </c>
      <c r="C1909" s="46" t="str" cm="1">
        <f t="array" ref="C1909">IFERROR(INDEX(#REF!,MATCH(TRUE,ISNUMBER(FIND(SUBSTITUTE(SUBSTITUTE(UPPER(#REF!)," ",""),":",": "),SUBSTITUTE(SUBSTITUTE(UPPER(S1909)," ",""),":",": "))),0)),"Não encontrado")</f>
        <v>Não encontrado</v>
      </c>
      <c r="D1909" s="46" t="str" cm="1">
        <f t="array" ref="D1909">IFERROR(INDEX(#REF!,MATCH(TRUE,ISNUMBER(FIND(SUBSTITUTE(SUBSTITUTE(UPPER(#REF!)," ",""),":",": "),SUBSTITUTE(SUBSTITUTE(UPPER(S1909)," ",""),":",": "))),0)),"Não encontrado")</f>
        <v>Não encontrado</v>
      </c>
      <c r="E1909" s="42" t="str" cm="1">
        <f t="array" ref="E1909">IFERROR(INDEX({"IMPEDITIVO"},MATCH(TRUE,ISNUMBER(FIND(SUBSTITUTE(SUBSTITUTE(UPPER({"IMPEDITIVO"})," ",""),":",": "),SUBSTITUTE(SUBSTITUTE(UPPER(S1909)," ",""),":",": "))),0)),"-")</f>
        <v>-</v>
      </c>
      <c r="K1909" s="49"/>
    </row>
    <row r="1910" spans="1:11" x14ac:dyDescent="0.25">
      <c r="A1910" s="46" t="str" cm="1">
        <f t="array" ref="A1910">IFERROR(INDEX(#REF!,MATCH(TRUE,ISNUMBER(FIND(SUBSTITUTE(SUBSTITUTE(UPPER(#REF!)," ",""),":",": "),SUBSTITUTE(SUBSTITUTE(UPPER(S1910)," ",""),":",": "))),0)),"Undefined")</f>
        <v>Undefined</v>
      </c>
      <c r="B1910" s="42" t="str" cm="1">
        <f t="array" ref="B1910">IFERROR(INDEX({"URGENTE"},MATCH(TRUE,ISNUMBER(FIND(SUBSTITUTE(SUBSTITUTE(UPPER({"URGENTE"})," ",""),":",": "),SUBSTITUTE(SUBSTITUTE(UPPER(S1910)," ",""),":",": "))),0)),"-")</f>
        <v>-</v>
      </c>
      <c r="C1910" s="46" t="str" cm="1">
        <f t="array" ref="C1910">IFERROR(INDEX(#REF!,MATCH(TRUE,ISNUMBER(FIND(SUBSTITUTE(SUBSTITUTE(UPPER(#REF!)," ",""),":",": "),SUBSTITUTE(SUBSTITUTE(UPPER(S1910)," ",""),":",": "))),0)),"Não encontrado")</f>
        <v>Não encontrado</v>
      </c>
      <c r="D1910" s="46" t="str" cm="1">
        <f t="array" ref="D1910">IFERROR(INDEX(#REF!,MATCH(TRUE,ISNUMBER(FIND(SUBSTITUTE(SUBSTITUTE(UPPER(#REF!)," ",""),":",": "),SUBSTITUTE(SUBSTITUTE(UPPER(S1910)," ",""),":",": "))),0)),"Não encontrado")</f>
        <v>Não encontrado</v>
      </c>
      <c r="E1910" s="42" t="str" cm="1">
        <f t="array" ref="E1910">IFERROR(INDEX({"IMPEDITIVO"},MATCH(TRUE,ISNUMBER(FIND(SUBSTITUTE(SUBSTITUTE(UPPER({"IMPEDITIVO"})," ",""),":",": "),SUBSTITUTE(SUBSTITUTE(UPPER(S1910)," ",""),":",": "))),0)),"-")</f>
        <v>-</v>
      </c>
      <c r="K1910" s="49"/>
    </row>
    <row r="1911" spans="1:11" x14ac:dyDescent="0.25">
      <c r="A1911" s="46" t="str" cm="1">
        <f t="array" ref="A1911">IFERROR(INDEX(#REF!,MATCH(TRUE,ISNUMBER(FIND(SUBSTITUTE(SUBSTITUTE(UPPER(#REF!)," ",""),":",": "),SUBSTITUTE(SUBSTITUTE(UPPER(S1911)," ",""),":",": "))),0)),"Undefined")</f>
        <v>Undefined</v>
      </c>
      <c r="B1911" s="42" t="str" cm="1">
        <f t="array" ref="B1911">IFERROR(INDEX({"URGENTE"},MATCH(TRUE,ISNUMBER(FIND(SUBSTITUTE(SUBSTITUTE(UPPER({"URGENTE"})," ",""),":",": "),SUBSTITUTE(SUBSTITUTE(UPPER(S1911)," ",""),":",": "))),0)),"-")</f>
        <v>-</v>
      </c>
      <c r="C1911" s="46" t="str" cm="1">
        <f t="array" ref="C1911">IFERROR(INDEX(#REF!,MATCH(TRUE,ISNUMBER(FIND(SUBSTITUTE(SUBSTITUTE(UPPER(#REF!)," ",""),":",": "),SUBSTITUTE(SUBSTITUTE(UPPER(S1911)," ",""),":",": "))),0)),"Não encontrado")</f>
        <v>Não encontrado</v>
      </c>
      <c r="D1911" s="46" t="str" cm="1">
        <f t="array" ref="D1911">IFERROR(INDEX(#REF!,MATCH(TRUE,ISNUMBER(FIND(SUBSTITUTE(SUBSTITUTE(UPPER(#REF!)," ",""),":",": "),SUBSTITUTE(SUBSTITUTE(UPPER(S1911)," ",""),":",": "))),0)),"Não encontrado")</f>
        <v>Não encontrado</v>
      </c>
      <c r="E1911" s="42" t="str" cm="1">
        <f t="array" ref="E1911">IFERROR(INDEX({"IMPEDITIVO"},MATCH(TRUE,ISNUMBER(FIND(SUBSTITUTE(SUBSTITUTE(UPPER({"IMPEDITIVO"})," ",""),":",": "),SUBSTITUTE(SUBSTITUTE(UPPER(S1911)," ",""),":",": "))),0)),"-")</f>
        <v>-</v>
      </c>
      <c r="K1911" s="49"/>
    </row>
    <row r="1912" spans="1:11" x14ac:dyDescent="0.25">
      <c r="A1912" s="46" t="str" cm="1">
        <f t="array" ref="A1912">IFERROR(INDEX(#REF!,MATCH(TRUE,ISNUMBER(FIND(SUBSTITUTE(SUBSTITUTE(UPPER(#REF!)," ",""),":",": "),SUBSTITUTE(SUBSTITUTE(UPPER(S1912)," ",""),":",": "))),0)),"Undefined")</f>
        <v>Undefined</v>
      </c>
      <c r="B1912" s="42" t="str" cm="1">
        <f t="array" ref="B1912">IFERROR(INDEX({"URGENTE"},MATCH(TRUE,ISNUMBER(FIND(SUBSTITUTE(SUBSTITUTE(UPPER({"URGENTE"})," ",""),":",": "),SUBSTITUTE(SUBSTITUTE(UPPER(S1912)," ",""),":",": "))),0)),"-")</f>
        <v>-</v>
      </c>
      <c r="C1912" s="46" t="str" cm="1">
        <f t="array" ref="C1912">IFERROR(INDEX(#REF!,MATCH(TRUE,ISNUMBER(FIND(SUBSTITUTE(SUBSTITUTE(UPPER(#REF!)," ",""),":",": "),SUBSTITUTE(SUBSTITUTE(UPPER(S1912)," ",""),":",": "))),0)),"Não encontrado")</f>
        <v>Não encontrado</v>
      </c>
      <c r="D1912" s="46" t="str" cm="1">
        <f t="array" ref="D1912">IFERROR(INDEX(#REF!,MATCH(TRUE,ISNUMBER(FIND(SUBSTITUTE(SUBSTITUTE(UPPER(#REF!)," ",""),":",": "),SUBSTITUTE(SUBSTITUTE(UPPER(S1912)," ",""),":",": "))),0)),"Não encontrado")</f>
        <v>Não encontrado</v>
      </c>
      <c r="E1912" s="42" t="str" cm="1">
        <f t="array" ref="E1912">IFERROR(INDEX({"IMPEDITIVO"},MATCH(TRUE,ISNUMBER(FIND(SUBSTITUTE(SUBSTITUTE(UPPER({"IMPEDITIVO"})," ",""),":",": "),SUBSTITUTE(SUBSTITUTE(UPPER(S1912)," ",""),":",": "))),0)),"-")</f>
        <v>-</v>
      </c>
      <c r="K1912" s="49"/>
    </row>
    <row r="1913" spans="1:11" x14ac:dyDescent="0.25">
      <c r="A1913" s="46" t="str" cm="1">
        <f t="array" ref="A1913">IFERROR(INDEX(#REF!,MATCH(TRUE,ISNUMBER(FIND(SUBSTITUTE(SUBSTITUTE(UPPER(#REF!)," ",""),":",": "),SUBSTITUTE(SUBSTITUTE(UPPER(S1913)," ",""),":",": "))),0)),"Undefined")</f>
        <v>Undefined</v>
      </c>
      <c r="B1913" s="42" t="str" cm="1">
        <f t="array" ref="B1913">IFERROR(INDEX({"URGENTE"},MATCH(TRUE,ISNUMBER(FIND(SUBSTITUTE(SUBSTITUTE(UPPER({"URGENTE"})," ",""),":",": "),SUBSTITUTE(SUBSTITUTE(UPPER(S1913)," ",""),":",": "))),0)),"-")</f>
        <v>-</v>
      </c>
      <c r="C1913" s="46" t="str" cm="1">
        <f t="array" ref="C1913">IFERROR(INDEX(#REF!,MATCH(TRUE,ISNUMBER(FIND(SUBSTITUTE(SUBSTITUTE(UPPER(#REF!)," ",""),":",": "),SUBSTITUTE(SUBSTITUTE(UPPER(S1913)," ",""),":",": "))),0)),"Não encontrado")</f>
        <v>Não encontrado</v>
      </c>
      <c r="D1913" s="46" t="str" cm="1">
        <f t="array" ref="D1913">IFERROR(INDEX(#REF!,MATCH(TRUE,ISNUMBER(FIND(SUBSTITUTE(SUBSTITUTE(UPPER(#REF!)," ",""),":",": "),SUBSTITUTE(SUBSTITUTE(UPPER(S1913)," ",""),":",": "))),0)),"Não encontrado")</f>
        <v>Não encontrado</v>
      </c>
      <c r="E1913" s="42" t="str" cm="1">
        <f t="array" ref="E1913">IFERROR(INDEX({"IMPEDITIVO"},MATCH(TRUE,ISNUMBER(FIND(SUBSTITUTE(SUBSTITUTE(UPPER({"IMPEDITIVO"})," ",""),":",": "),SUBSTITUTE(SUBSTITUTE(UPPER(S1913)," ",""),":",": "))),0)),"-")</f>
        <v>-</v>
      </c>
      <c r="K1913" s="49"/>
    </row>
    <row r="1914" spans="1:11" x14ac:dyDescent="0.25">
      <c r="A1914" s="46" t="str" cm="1">
        <f t="array" ref="A1914">IFERROR(INDEX(#REF!,MATCH(TRUE,ISNUMBER(FIND(SUBSTITUTE(SUBSTITUTE(UPPER(#REF!)," ",""),":",": "),SUBSTITUTE(SUBSTITUTE(UPPER(S1914)," ",""),":",": "))),0)),"Undefined")</f>
        <v>Undefined</v>
      </c>
      <c r="B1914" s="42" t="str" cm="1">
        <f t="array" ref="B1914">IFERROR(INDEX({"URGENTE"},MATCH(TRUE,ISNUMBER(FIND(SUBSTITUTE(SUBSTITUTE(UPPER({"URGENTE"})," ",""),":",": "),SUBSTITUTE(SUBSTITUTE(UPPER(S1914)," ",""),":",": "))),0)),"-")</f>
        <v>-</v>
      </c>
      <c r="C1914" s="46" t="str" cm="1">
        <f t="array" ref="C1914">IFERROR(INDEX(#REF!,MATCH(TRUE,ISNUMBER(FIND(SUBSTITUTE(SUBSTITUTE(UPPER(#REF!)," ",""),":",": "),SUBSTITUTE(SUBSTITUTE(UPPER(S1914)," ",""),":",": "))),0)),"Não encontrado")</f>
        <v>Não encontrado</v>
      </c>
      <c r="D1914" s="46" t="str" cm="1">
        <f t="array" ref="D1914">IFERROR(INDEX(#REF!,MATCH(TRUE,ISNUMBER(FIND(SUBSTITUTE(SUBSTITUTE(UPPER(#REF!)," ",""),":",": "),SUBSTITUTE(SUBSTITUTE(UPPER(S1914)," ",""),":",": "))),0)),"Não encontrado")</f>
        <v>Não encontrado</v>
      </c>
      <c r="E1914" s="42" t="str" cm="1">
        <f t="array" ref="E1914">IFERROR(INDEX({"IMPEDITIVO"},MATCH(TRUE,ISNUMBER(FIND(SUBSTITUTE(SUBSTITUTE(UPPER({"IMPEDITIVO"})," ",""),":",": "),SUBSTITUTE(SUBSTITUTE(UPPER(S1914)," ",""),":",": "))),0)),"-")</f>
        <v>-</v>
      </c>
      <c r="K1914" s="49"/>
    </row>
    <row r="1915" spans="1:11" x14ac:dyDescent="0.25">
      <c r="A1915" s="46" t="str" cm="1">
        <f t="array" ref="A1915">IFERROR(INDEX(#REF!,MATCH(TRUE,ISNUMBER(FIND(SUBSTITUTE(SUBSTITUTE(UPPER(#REF!)," ",""),":",": "),SUBSTITUTE(SUBSTITUTE(UPPER(S1915)," ",""),":",": "))),0)),"Undefined")</f>
        <v>Undefined</v>
      </c>
      <c r="B1915" s="42" t="str" cm="1">
        <f t="array" ref="B1915">IFERROR(INDEX({"URGENTE"},MATCH(TRUE,ISNUMBER(FIND(SUBSTITUTE(SUBSTITUTE(UPPER({"URGENTE"})," ",""),":",": "),SUBSTITUTE(SUBSTITUTE(UPPER(S1915)," ",""),":",": "))),0)),"-")</f>
        <v>-</v>
      </c>
      <c r="C1915" s="46" t="str" cm="1">
        <f t="array" ref="C1915">IFERROR(INDEX(#REF!,MATCH(TRUE,ISNUMBER(FIND(SUBSTITUTE(SUBSTITUTE(UPPER(#REF!)," ",""),":",": "),SUBSTITUTE(SUBSTITUTE(UPPER(S1915)," ",""),":",": "))),0)),"Não encontrado")</f>
        <v>Não encontrado</v>
      </c>
      <c r="D1915" s="46" t="str" cm="1">
        <f t="array" ref="D1915">IFERROR(INDEX(#REF!,MATCH(TRUE,ISNUMBER(FIND(SUBSTITUTE(SUBSTITUTE(UPPER(#REF!)," ",""),":",": "),SUBSTITUTE(SUBSTITUTE(UPPER(S1915)," ",""),":",": "))),0)),"Não encontrado")</f>
        <v>Não encontrado</v>
      </c>
      <c r="E1915" s="42" t="str" cm="1">
        <f t="array" ref="E1915">IFERROR(INDEX({"IMPEDITIVO"},MATCH(TRUE,ISNUMBER(FIND(SUBSTITUTE(SUBSTITUTE(UPPER({"IMPEDITIVO"})," ",""),":",": "),SUBSTITUTE(SUBSTITUTE(UPPER(S1915)," ",""),":",": "))),0)),"-")</f>
        <v>-</v>
      </c>
      <c r="K1915" s="49"/>
    </row>
    <row r="1916" spans="1:11" x14ac:dyDescent="0.25">
      <c r="A1916" s="46" t="str" cm="1">
        <f t="array" ref="A1916">IFERROR(INDEX(#REF!,MATCH(TRUE,ISNUMBER(FIND(SUBSTITUTE(SUBSTITUTE(UPPER(#REF!)," ",""),":",": "),SUBSTITUTE(SUBSTITUTE(UPPER(S1916)," ",""),":",": "))),0)),"Undefined")</f>
        <v>Undefined</v>
      </c>
      <c r="B1916" s="42" t="str" cm="1">
        <f t="array" ref="B1916">IFERROR(INDEX({"URGENTE"},MATCH(TRUE,ISNUMBER(FIND(SUBSTITUTE(SUBSTITUTE(UPPER({"URGENTE"})," ",""),":",": "),SUBSTITUTE(SUBSTITUTE(UPPER(S1916)," ",""),":",": "))),0)),"-")</f>
        <v>-</v>
      </c>
      <c r="C1916" s="46" t="str" cm="1">
        <f t="array" ref="C1916">IFERROR(INDEX(#REF!,MATCH(TRUE,ISNUMBER(FIND(SUBSTITUTE(SUBSTITUTE(UPPER(#REF!)," ",""),":",": "),SUBSTITUTE(SUBSTITUTE(UPPER(S1916)," ",""),":",": "))),0)),"Não encontrado")</f>
        <v>Não encontrado</v>
      </c>
      <c r="D1916" s="46" t="str" cm="1">
        <f t="array" ref="D1916">IFERROR(INDEX(#REF!,MATCH(TRUE,ISNUMBER(FIND(SUBSTITUTE(SUBSTITUTE(UPPER(#REF!)," ",""),":",": "),SUBSTITUTE(SUBSTITUTE(UPPER(S1916)," ",""),":",": "))),0)),"Não encontrado")</f>
        <v>Não encontrado</v>
      </c>
      <c r="E1916" s="42" t="str" cm="1">
        <f t="array" ref="E1916">IFERROR(INDEX({"IMPEDITIVO"},MATCH(TRUE,ISNUMBER(FIND(SUBSTITUTE(SUBSTITUTE(UPPER({"IMPEDITIVO"})," ",""),":",": "),SUBSTITUTE(SUBSTITUTE(UPPER(S1916)," ",""),":",": "))),0)),"-")</f>
        <v>-</v>
      </c>
      <c r="K1916" s="49"/>
    </row>
    <row r="1917" spans="1:11" x14ac:dyDescent="0.25">
      <c r="A1917" s="46" t="str" cm="1">
        <f t="array" ref="A1917">IFERROR(INDEX(#REF!,MATCH(TRUE,ISNUMBER(FIND(SUBSTITUTE(SUBSTITUTE(UPPER(#REF!)," ",""),":",": "),SUBSTITUTE(SUBSTITUTE(UPPER(S1917)," ",""),":",": "))),0)),"Undefined")</f>
        <v>Undefined</v>
      </c>
      <c r="B1917" s="42" t="str" cm="1">
        <f t="array" ref="B1917">IFERROR(INDEX({"URGENTE"},MATCH(TRUE,ISNUMBER(FIND(SUBSTITUTE(SUBSTITUTE(UPPER({"URGENTE"})," ",""),":",": "),SUBSTITUTE(SUBSTITUTE(UPPER(S1917)," ",""),":",": "))),0)),"-")</f>
        <v>-</v>
      </c>
      <c r="C1917" s="46" t="str" cm="1">
        <f t="array" ref="C1917">IFERROR(INDEX(#REF!,MATCH(TRUE,ISNUMBER(FIND(SUBSTITUTE(SUBSTITUTE(UPPER(#REF!)," ",""),":",": "),SUBSTITUTE(SUBSTITUTE(UPPER(S1917)," ",""),":",": "))),0)),"Não encontrado")</f>
        <v>Não encontrado</v>
      </c>
      <c r="D1917" s="46" t="str" cm="1">
        <f t="array" ref="D1917">IFERROR(INDEX(#REF!,MATCH(TRUE,ISNUMBER(FIND(SUBSTITUTE(SUBSTITUTE(UPPER(#REF!)," ",""),":",": "),SUBSTITUTE(SUBSTITUTE(UPPER(S1917)," ",""),":",": "))),0)),"Não encontrado")</f>
        <v>Não encontrado</v>
      </c>
      <c r="E1917" s="42" t="str" cm="1">
        <f t="array" ref="E1917">IFERROR(INDEX({"IMPEDITIVO"},MATCH(TRUE,ISNUMBER(FIND(SUBSTITUTE(SUBSTITUTE(UPPER({"IMPEDITIVO"})," ",""),":",": "),SUBSTITUTE(SUBSTITUTE(UPPER(S1917)," ",""),":",": "))),0)),"-")</f>
        <v>-</v>
      </c>
      <c r="K1917" s="49"/>
    </row>
    <row r="1918" spans="1:11" x14ac:dyDescent="0.25">
      <c r="A1918" s="46" t="str" cm="1">
        <f t="array" ref="A1918">IFERROR(INDEX(#REF!,MATCH(TRUE,ISNUMBER(FIND(SUBSTITUTE(SUBSTITUTE(UPPER(#REF!)," ",""),":",": "),SUBSTITUTE(SUBSTITUTE(UPPER(S1918)," ",""),":",": "))),0)),"Undefined")</f>
        <v>Undefined</v>
      </c>
      <c r="B1918" s="42" t="str" cm="1">
        <f t="array" ref="B1918">IFERROR(INDEX({"URGENTE"},MATCH(TRUE,ISNUMBER(FIND(SUBSTITUTE(SUBSTITUTE(UPPER({"URGENTE"})," ",""),":",": "),SUBSTITUTE(SUBSTITUTE(UPPER(S1918)," ",""),":",": "))),0)),"-")</f>
        <v>-</v>
      </c>
      <c r="C1918" s="46" t="str" cm="1">
        <f t="array" ref="C1918">IFERROR(INDEX(#REF!,MATCH(TRUE,ISNUMBER(FIND(SUBSTITUTE(SUBSTITUTE(UPPER(#REF!)," ",""),":",": "),SUBSTITUTE(SUBSTITUTE(UPPER(S1918)," ",""),":",": "))),0)),"Não encontrado")</f>
        <v>Não encontrado</v>
      </c>
      <c r="D1918" s="46" t="str" cm="1">
        <f t="array" ref="D1918">IFERROR(INDEX(#REF!,MATCH(TRUE,ISNUMBER(FIND(SUBSTITUTE(SUBSTITUTE(UPPER(#REF!)," ",""),":",": "),SUBSTITUTE(SUBSTITUTE(UPPER(S1918)," ",""),":",": "))),0)),"Não encontrado")</f>
        <v>Não encontrado</v>
      </c>
      <c r="E1918" s="42" t="str" cm="1">
        <f t="array" ref="E1918">IFERROR(INDEX({"IMPEDITIVO"},MATCH(TRUE,ISNUMBER(FIND(SUBSTITUTE(SUBSTITUTE(UPPER({"IMPEDITIVO"})," ",""),":",": "),SUBSTITUTE(SUBSTITUTE(UPPER(S1918)," ",""),":",": "))),0)),"-")</f>
        <v>-</v>
      </c>
      <c r="K1918" s="49"/>
    </row>
    <row r="1919" spans="1:11" x14ac:dyDescent="0.25">
      <c r="A1919" s="46" t="str" cm="1">
        <f t="array" ref="A1919">IFERROR(INDEX(#REF!,MATCH(TRUE,ISNUMBER(FIND(SUBSTITUTE(SUBSTITUTE(UPPER(#REF!)," ",""),":",": "),SUBSTITUTE(SUBSTITUTE(UPPER(S1919)," ",""),":",": "))),0)),"Undefined")</f>
        <v>Undefined</v>
      </c>
      <c r="B1919" s="42" t="str" cm="1">
        <f t="array" ref="B1919">IFERROR(INDEX({"URGENTE"},MATCH(TRUE,ISNUMBER(FIND(SUBSTITUTE(SUBSTITUTE(UPPER({"URGENTE"})," ",""),":",": "),SUBSTITUTE(SUBSTITUTE(UPPER(S1919)," ",""),":",": "))),0)),"-")</f>
        <v>-</v>
      </c>
      <c r="C1919" s="46" t="str" cm="1">
        <f t="array" ref="C1919">IFERROR(INDEX(#REF!,MATCH(TRUE,ISNUMBER(FIND(SUBSTITUTE(SUBSTITUTE(UPPER(#REF!)," ",""),":",": "),SUBSTITUTE(SUBSTITUTE(UPPER(S1919)," ",""),":",": "))),0)),"Não encontrado")</f>
        <v>Não encontrado</v>
      </c>
      <c r="D1919" s="46" t="str" cm="1">
        <f t="array" ref="D1919">IFERROR(INDEX(#REF!,MATCH(TRUE,ISNUMBER(FIND(SUBSTITUTE(SUBSTITUTE(UPPER(#REF!)," ",""),":",": "),SUBSTITUTE(SUBSTITUTE(UPPER(S1919)," ",""),":",": "))),0)),"Não encontrado")</f>
        <v>Não encontrado</v>
      </c>
      <c r="E1919" s="42" t="str" cm="1">
        <f t="array" ref="E1919">IFERROR(INDEX({"IMPEDITIVO"},MATCH(TRUE,ISNUMBER(FIND(SUBSTITUTE(SUBSTITUTE(UPPER({"IMPEDITIVO"})," ",""),":",": "),SUBSTITUTE(SUBSTITUTE(UPPER(S1919)," ",""),":",": "))),0)),"-")</f>
        <v>-</v>
      </c>
      <c r="K1919" s="49"/>
    </row>
    <row r="1920" spans="1:11" x14ac:dyDescent="0.25">
      <c r="A1920" s="46" t="str" cm="1">
        <f t="array" ref="A1920">IFERROR(INDEX(#REF!,MATCH(TRUE,ISNUMBER(FIND(SUBSTITUTE(SUBSTITUTE(UPPER(#REF!)," ",""),":",": "),SUBSTITUTE(SUBSTITUTE(UPPER(S1920)," ",""),":",": "))),0)),"Undefined")</f>
        <v>Undefined</v>
      </c>
      <c r="B1920" s="42" t="str" cm="1">
        <f t="array" ref="B1920">IFERROR(INDEX({"URGENTE"},MATCH(TRUE,ISNUMBER(FIND(SUBSTITUTE(SUBSTITUTE(UPPER({"URGENTE"})," ",""),":",": "),SUBSTITUTE(SUBSTITUTE(UPPER(S1920)," ",""),":",": "))),0)),"-")</f>
        <v>-</v>
      </c>
      <c r="C1920" s="46" t="str" cm="1">
        <f t="array" ref="C1920">IFERROR(INDEX(#REF!,MATCH(TRUE,ISNUMBER(FIND(SUBSTITUTE(SUBSTITUTE(UPPER(#REF!)," ",""),":",": "),SUBSTITUTE(SUBSTITUTE(UPPER(S1920)," ",""),":",": "))),0)),"Não encontrado")</f>
        <v>Não encontrado</v>
      </c>
      <c r="D1920" s="46" t="str" cm="1">
        <f t="array" ref="D1920">IFERROR(INDEX(#REF!,MATCH(TRUE,ISNUMBER(FIND(SUBSTITUTE(SUBSTITUTE(UPPER(#REF!)," ",""),":",": "),SUBSTITUTE(SUBSTITUTE(UPPER(S1920)," ",""),":",": "))),0)),"Não encontrado")</f>
        <v>Não encontrado</v>
      </c>
      <c r="E1920" s="42" t="str" cm="1">
        <f t="array" ref="E1920">IFERROR(INDEX({"IMPEDITIVO"},MATCH(TRUE,ISNUMBER(FIND(SUBSTITUTE(SUBSTITUTE(UPPER({"IMPEDITIVO"})," ",""),":",": "),SUBSTITUTE(SUBSTITUTE(UPPER(S1920)," ",""),":",": "))),0)),"-")</f>
        <v>-</v>
      </c>
      <c r="K1920" s="49"/>
    </row>
    <row r="1921" spans="1:11" x14ac:dyDescent="0.25">
      <c r="A1921" s="46" t="str" cm="1">
        <f t="array" ref="A1921">IFERROR(INDEX(#REF!,MATCH(TRUE,ISNUMBER(FIND(SUBSTITUTE(SUBSTITUTE(UPPER(#REF!)," ",""),":",": "),SUBSTITUTE(SUBSTITUTE(UPPER(S1921)," ",""),":",": "))),0)),"Undefined")</f>
        <v>Undefined</v>
      </c>
      <c r="B1921" s="42" t="str" cm="1">
        <f t="array" ref="B1921">IFERROR(INDEX({"URGENTE"},MATCH(TRUE,ISNUMBER(FIND(SUBSTITUTE(SUBSTITUTE(UPPER({"URGENTE"})," ",""),":",": "),SUBSTITUTE(SUBSTITUTE(UPPER(S1921)," ",""),":",": "))),0)),"-")</f>
        <v>-</v>
      </c>
      <c r="C1921" s="46" t="str" cm="1">
        <f t="array" ref="C1921">IFERROR(INDEX(#REF!,MATCH(TRUE,ISNUMBER(FIND(SUBSTITUTE(SUBSTITUTE(UPPER(#REF!)," ",""),":",": "),SUBSTITUTE(SUBSTITUTE(UPPER(S1921)," ",""),":",": "))),0)),"Não encontrado")</f>
        <v>Não encontrado</v>
      </c>
      <c r="D1921" s="46" t="str" cm="1">
        <f t="array" ref="D1921">IFERROR(INDEX(#REF!,MATCH(TRUE,ISNUMBER(FIND(SUBSTITUTE(SUBSTITUTE(UPPER(#REF!)," ",""),":",": "),SUBSTITUTE(SUBSTITUTE(UPPER(S1921)," ",""),":",": "))),0)),"Não encontrado")</f>
        <v>Não encontrado</v>
      </c>
      <c r="E1921" s="42" t="str" cm="1">
        <f t="array" ref="E1921">IFERROR(INDEX({"IMPEDITIVO"},MATCH(TRUE,ISNUMBER(FIND(SUBSTITUTE(SUBSTITUTE(UPPER({"IMPEDITIVO"})," ",""),":",": "),SUBSTITUTE(SUBSTITUTE(UPPER(S1921)," ",""),":",": "))),0)),"-")</f>
        <v>-</v>
      </c>
      <c r="K1921" s="49"/>
    </row>
    <row r="1922" spans="1:11" x14ac:dyDescent="0.25">
      <c r="A1922" s="46" t="str" cm="1">
        <f t="array" ref="A1922">IFERROR(INDEX(#REF!,MATCH(TRUE,ISNUMBER(FIND(SUBSTITUTE(SUBSTITUTE(UPPER(#REF!)," ",""),":",": "),SUBSTITUTE(SUBSTITUTE(UPPER(S1922)," ",""),":",": "))),0)),"Undefined")</f>
        <v>Undefined</v>
      </c>
      <c r="B1922" s="42" t="str" cm="1">
        <f t="array" ref="B1922">IFERROR(INDEX({"URGENTE"},MATCH(TRUE,ISNUMBER(FIND(SUBSTITUTE(SUBSTITUTE(UPPER({"URGENTE"})," ",""),":",": "),SUBSTITUTE(SUBSTITUTE(UPPER(S1922)," ",""),":",": "))),0)),"-")</f>
        <v>-</v>
      </c>
      <c r="C1922" s="46" t="str" cm="1">
        <f t="array" ref="C1922">IFERROR(INDEX(#REF!,MATCH(TRUE,ISNUMBER(FIND(SUBSTITUTE(SUBSTITUTE(UPPER(#REF!)," ",""),":",": "),SUBSTITUTE(SUBSTITUTE(UPPER(S1922)," ",""),":",": "))),0)),"Não encontrado")</f>
        <v>Não encontrado</v>
      </c>
      <c r="D1922" s="46" t="str" cm="1">
        <f t="array" ref="D1922">IFERROR(INDEX(#REF!,MATCH(TRUE,ISNUMBER(FIND(SUBSTITUTE(SUBSTITUTE(UPPER(#REF!)," ",""),":",": "),SUBSTITUTE(SUBSTITUTE(UPPER(S1922)," ",""),":",": "))),0)),"Não encontrado")</f>
        <v>Não encontrado</v>
      </c>
      <c r="E1922" s="42" t="str" cm="1">
        <f t="array" ref="E1922">IFERROR(INDEX({"IMPEDITIVO"},MATCH(TRUE,ISNUMBER(FIND(SUBSTITUTE(SUBSTITUTE(UPPER({"IMPEDITIVO"})," ",""),":",": "),SUBSTITUTE(SUBSTITUTE(UPPER(S1922)," ",""),":",": "))),0)),"-")</f>
        <v>-</v>
      </c>
      <c r="K1922" s="49"/>
    </row>
    <row r="1923" spans="1:11" x14ac:dyDescent="0.25">
      <c r="A1923" s="46" t="str" cm="1">
        <f t="array" ref="A1923">IFERROR(INDEX(#REF!,MATCH(TRUE,ISNUMBER(FIND(SUBSTITUTE(SUBSTITUTE(UPPER(#REF!)," ",""),":",": "),SUBSTITUTE(SUBSTITUTE(UPPER(S1923)," ",""),":",": "))),0)),"Undefined")</f>
        <v>Undefined</v>
      </c>
      <c r="B1923" s="42" t="str" cm="1">
        <f t="array" ref="B1923">IFERROR(INDEX({"URGENTE"},MATCH(TRUE,ISNUMBER(FIND(SUBSTITUTE(SUBSTITUTE(UPPER({"URGENTE"})," ",""),":",": "),SUBSTITUTE(SUBSTITUTE(UPPER(S1923)," ",""),":",": "))),0)),"-")</f>
        <v>-</v>
      </c>
      <c r="C1923" s="46" t="str" cm="1">
        <f t="array" ref="C1923">IFERROR(INDEX(#REF!,MATCH(TRUE,ISNUMBER(FIND(SUBSTITUTE(SUBSTITUTE(UPPER(#REF!)," ",""),":",": "),SUBSTITUTE(SUBSTITUTE(UPPER(S1923)," ",""),":",": "))),0)),"Não encontrado")</f>
        <v>Não encontrado</v>
      </c>
      <c r="D1923" s="46" t="str" cm="1">
        <f t="array" ref="D1923">IFERROR(INDEX(#REF!,MATCH(TRUE,ISNUMBER(FIND(SUBSTITUTE(SUBSTITUTE(UPPER(#REF!)," ",""),":",": "),SUBSTITUTE(SUBSTITUTE(UPPER(S1923)," ",""),":",": "))),0)),"Não encontrado")</f>
        <v>Não encontrado</v>
      </c>
      <c r="E1923" s="42" t="str" cm="1">
        <f t="array" ref="E1923">IFERROR(INDEX({"IMPEDITIVO"},MATCH(TRUE,ISNUMBER(FIND(SUBSTITUTE(SUBSTITUTE(UPPER({"IMPEDITIVO"})," ",""),":",": "),SUBSTITUTE(SUBSTITUTE(UPPER(S1923)," ",""),":",": "))),0)),"-")</f>
        <v>-</v>
      </c>
      <c r="K1923" s="49"/>
    </row>
    <row r="1924" spans="1:11" x14ac:dyDescent="0.25">
      <c r="A1924" s="46" t="str" cm="1">
        <f t="array" ref="A1924">IFERROR(INDEX(#REF!,MATCH(TRUE,ISNUMBER(FIND(SUBSTITUTE(SUBSTITUTE(UPPER(#REF!)," ",""),":",": "),SUBSTITUTE(SUBSTITUTE(UPPER(S1924)," ",""),":",": "))),0)),"Undefined")</f>
        <v>Undefined</v>
      </c>
      <c r="B1924" s="42" t="str" cm="1">
        <f t="array" ref="B1924">IFERROR(INDEX({"URGENTE"},MATCH(TRUE,ISNUMBER(FIND(SUBSTITUTE(SUBSTITUTE(UPPER({"URGENTE"})," ",""),":",": "),SUBSTITUTE(SUBSTITUTE(UPPER(S1924)," ",""),":",": "))),0)),"-")</f>
        <v>-</v>
      </c>
      <c r="C1924" s="46" t="str" cm="1">
        <f t="array" ref="C1924">IFERROR(INDEX(#REF!,MATCH(TRUE,ISNUMBER(FIND(SUBSTITUTE(SUBSTITUTE(UPPER(#REF!)," ",""),":",": "),SUBSTITUTE(SUBSTITUTE(UPPER(S1924)," ",""),":",": "))),0)),"Não encontrado")</f>
        <v>Não encontrado</v>
      </c>
      <c r="D1924" s="46" t="str" cm="1">
        <f t="array" ref="D1924">IFERROR(INDEX(#REF!,MATCH(TRUE,ISNUMBER(FIND(SUBSTITUTE(SUBSTITUTE(UPPER(#REF!)," ",""),":",": "),SUBSTITUTE(SUBSTITUTE(UPPER(S1924)," ",""),":",": "))),0)),"Não encontrado")</f>
        <v>Não encontrado</v>
      </c>
      <c r="E1924" s="42" t="str" cm="1">
        <f t="array" ref="E1924">IFERROR(INDEX({"IMPEDITIVO"},MATCH(TRUE,ISNUMBER(FIND(SUBSTITUTE(SUBSTITUTE(UPPER({"IMPEDITIVO"})," ",""),":",": "),SUBSTITUTE(SUBSTITUTE(UPPER(S1924)," ",""),":",": "))),0)),"-")</f>
        <v>-</v>
      </c>
      <c r="K1924" s="49"/>
    </row>
    <row r="1925" spans="1:11" x14ac:dyDescent="0.25">
      <c r="A1925" s="46" t="str" cm="1">
        <f t="array" ref="A1925">IFERROR(INDEX(#REF!,MATCH(TRUE,ISNUMBER(FIND(SUBSTITUTE(SUBSTITUTE(UPPER(#REF!)," ",""),":",": "),SUBSTITUTE(SUBSTITUTE(UPPER(S1925)," ",""),":",": "))),0)),"Undefined")</f>
        <v>Undefined</v>
      </c>
      <c r="B1925" s="42" t="str" cm="1">
        <f t="array" ref="B1925">IFERROR(INDEX({"URGENTE"},MATCH(TRUE,ISNUMBER(FIND(SUBSTITUTE(SUBSTITUTE(UPPER({"URGENTE"})," ",""),":",": "),SUBSTITUTE(SUBSTITUTE(UPPER(S1925)," ",""),":",": "))),0)),"-")</f>
        <v>-</v>
      </c>
      <c r="C1925" s="46" t="str" cm="1">
        <f t="array" ref="C1925">IFERROR(INDEX(#REF!,MATCH(TRUE,ISNUMBER(FIND(SUBSTITUTE(SUBSTITUTE(UPPER(#REF!)," ",""),":",": "),SUBSTITUTE(SUBSTITUTE(UPPER(S1925)," ",""),":",": "))),0)),"Não encontrado")</f>
        <v>Não encontrado</v>
      </c>
      <c r="D1925" s="46" t="str" cm="1">
        <f t="array" ref="D1925">IFERROR(INDEX(#REF!,MATCH(TRUE,ISNUMBER(FIND(SUBSTITUTE(SUBSTITUTE(UPPER(#REF!)," ",""),":",": "),SUBSTITUTE(SUBSTITUTE(UPPER(S1925)," ",""),":",": "))),0)),"Não encontrado")</f>
        <v>Não encontrado</v>
      </c>
      <c r="E1925" s="42" t="str" cm="1">
        <f t="array" ref="E1925">IFERROR(INDEX({"IMPEDITIVO"},MATCH(TRUE,ISNUMBER(FIND(SUBSTITUTE(SUBSTITUTE(UPPER({"IMPEDITIVO"})," ",""),":",": "),SUBSTITUTE(SUBSTITUTE(UPPER(S1925)," ",""),":",": "))),0)),"-")</f>
        <v>-</v>
      </c>
      <c r="K1925" s="49"/>
    </row>
    <row r="1926" spans="1:11" x14ac:dyDescent="0.25">
      <c r="A1926" s="46" t="str" cm="1">
        <f t="array" ref="A1926">IFERROR(INDEX(#REF!,MATCH(TRUE,ISNUMBER(FIND(SUBSTITUTE(SUBSTITUTE(UPPER(#REF!)," ",""),":",": "),SUBSTITUTE(SUBSTITUTE(UPPER(S1926)," ",""),":",": "))),0)),"Undefined")</f>
        <v>Undefined</v>
      </c>
      <c r="B1926" s="42" t="str" cm="1">
        <f t="array" ref="B1926">IFERROR(INDEX({"URGENTE"},MATCH(TRUE,ISNUMBER(FIND(SUBSTITUTE(SUBSTITUTE(UPPER({"URGENTE"})," ",""),":",": "),SUBSTITUTE(SUBSTITUTE(UPPER(S1926)," ",""),":",": "))),0)),"-")</f>
        <v>-</v>
      </c>
      <c r="C1926" s="46" t="str" cm="1">
        <f t="array" ref="C1926">IFERROR(INDEX(#REF!,MATCH(TRUE,ISNUMBER(FIND(SUBSTITUTE(SUBSTITUTE(UPPER(#REF!)," ",""),":",": "),SUBSTITUTE(SUBSTITUTE(UPPER(S1926)," ",""),":",": "))),0)),"Não encontrado")</f>
        <v>Não encontrado</v>
      </c>
      <c r="D1926" s="46" t="str" cm="1">
        <f t="array" ref="D1926">IFERROR(INDEX(#REF!,MATCH(TRUE,ISNUMBER(FIND(SUBSTITUTE(SUBSTITUTE(UPPER(#REF!)," ",""),":",": "),SUBSTITUTE(SUBSTITUTE(UPPER(S1926)," ",""),":",": "))),0)),"Não encontrado")</f>
        <v>Não encontrado</v>
      </c>
      <c r="E1926" s="42" t="str" cm="1">
        <f t="array" ref="E1926">IFERROR(INDEX({"IMPEDITIVO"},MATCH(TRUE,ISNUMBER(FIND(SUBSTITUTE(SUBSTITUTE(UPPER({"IMPEDITIVO"})," ",""),":",": "),SUBSTITUTE(SUBSTITUTE(UPPER(S1926)," ",""),":",": "))),0)),"-")</f>
        <v>-</v>
      </c>
      <c r="K1926" s="49"/>
    </row>
    <row r="1927" spans="1:11" x14ac:dyDescent="0.25">
      <c r="A1927" s="46" t="str" cm="1">
        <f t="array" ref="A1927">IFERROR(INDEX(#REF!,MATCH(TRUE,ISNUMBER(FIND(SUBSTITUTE(SUBSTITUTE(UPPER(#REF!)," ",""),":",": "),SUBSTITUTE(SUBSTITUTE(UPPER(S1927)," ",""),":",": "))),0)),"Undefined")</f>
        <v>Undefined</v>
      </c>
      <c r="B1927" s="42" t="str" cm="1">
        <f t="array" ref="B1927">IFERROR(INDEX({"URGENTE"},MATCH(TRUE,ISNUMBER(FIND(SUBSTITUTE(SUBSTITUTE(UPPER({"URGENTE"})," ",""),":",": "),SUBSTITUTE(SUBSTITUTE(UPPER(S1927)," ",""),":",": "))),0)),"-")</f>
        <v>-</v>
      </c>
      <c r="C1927" s="46" t="str" cm="1">
        <f t="array" ref="C1927">IFERROR(INDEX(#REF!,MATCH(TRUE,ISNUMBER(FIND(SUBSTITUTE(SUBSTITUTE(UPPER(#REF!)," ",""),":",": "),SUBSTITUTE(SUBSTITUTE(UPPER(S1927)," ",""),":",": "))),0)),"Não encontrado")</f>
        <v>Não encontrado</v>
      </c>
      <c r="D1927" s="46" t="str" cm="1">
        <f t="array" ref="D1927">IFERROR(INDEX(#REF!,MATCH(TRUE,ISNUMBER(FIND(SUBSTITUTE(SUBSTITUTE(UPPER(#REF!)," ",""),":",": "),SUBSTITUTE(SUBSTITUTE(UPPER(S1927)," ",""),":",": "))),0)),"Não encontrado")</f>
        <v>Não encontrado</v>
      </c>
      <c r="E1927" s="42" t="str" cm="1">
        <f t="array" ref="E1927">IFERROR(INDEX({"IMPEDITIVO"},MATCH(TRUE,ISNUMBER(FIND(SUBSTITUTE(SUBSTITUTE(UPPER({"IMPEDITIVO"})," ",""),":",": "),SUBSTITUTE(SUBSTITUTE(UPPER(S1927)," ",""),":",": "))),0)),"-")</f>
        <v>-</v>
      </c>
      <c r="K1927" s="49"/>
    </row>
    <row r="1928" spans="1:11" x14ac:dyDescent="0.25">
      <c r="A1928" s="46" t="str" cm="1">
        <f t="array" ref="A1928">IFERROR(INDEX(#REF!,MATCH(TRUE,ISNUMBER(FIND(SUBSTITUTE(SUBSTITUTE(UPPER(#REF!)," ",""),":",": "),SUBSTITUTE(SUBSTITUTE(UPPER(S1928)," ",""),":",": "))),0)),"Undefined")</f>
        <v>Undefined</v>
      </c>
      <c r="B1928" s="42" t="str" cm="1">
        <f t="array" ref="B1928">IFERROR(INDEX({"URGENTE"},MATCH(TRUE,ISNUMBER(FIND(SUBSTITUTE(SUBSTITUTE(UPPER({"URGENTE"})," ",""),":",": "),SUBSTITUTE(SUBSTITUTE(UPPER(S1928)," ",""),":",": "))),0)),"-")</f>
        <v>-</v>
      </c>
      <c r="C1928" s="46" t="str" cm="1">
        <f t="array" ref="C1928">IFERROR(INDEX(#REF!,MATCH(TRUE,ISNUMBER(FIND(SUBSTITUTE(SUBSTITUTE(UPPER(#REF!)," ",""),":",": "),SUBSTITUTE(SUBSTITUTE(UPPER(S1928)," ",""),":",": "))),0)),"Não encontrado")</f>
        <v>Não encontrado</v>
      </c>
      <c r="D1928" s="46" t="str" cm="1">
        <f t="array" ref="D1928">IFERROR(INDEX(#REF!,MATCH(TRUE,ISNUMBER(FIND(SUBSTITUTE(SUBSTITUTE(UPPER(#REF!)," ",""),":",": "),SUBSTITUTE(SUBSTITUTE(UPPER(S1928)," ",""),":",": "))),0)),"Não encontrado")</f>
        <v>Não encontrado</v>
      </c>
      <c r="E1928" s="42" t="str" cm="1">
        <f t="array" ref="E1928">IFERROR(INDEX({"IMPEDITIVO"},MATCH(TRUE,ISNUMBER(FIND(SUBSTITUTE(SUBSTITUTE(UPPER({"IMPEDITIVO"})," ",""),":",": "),SUBSTITUTE(SUBSTITUTE(UPPER(S1928)," ",""),":",": "))),0)),"-")</f>
        <v>-</v>
      </c>
      <c r="K1928" s="49"/>
    </row>
    <row r="1929" spans="1:11" x14ac:dyDescent="0.25">
      <c r="A1929" s="46" t="str" cm="1">
        <f t="array" ref="A1929">IFERROR(INDEX(#REF!,MATCH(TRUE,ISNUMBER(FIND(SUBSTITUTE(SUBSTITUTE(UPPER(#REF!)," ",""),":",": "),SUBSTITUTE(SUBSTITUTE(UPPER(S1929)," ",""),":",": "))),0)),"Undefined")</f>
        <v>Undefined</v>
      </c>
      <c r="B1929" s="42" t="str" cm="1">
        <f t="array" ref="B1929">IFERROR(INDEX({"URGENTE"},MATCH(TRUE,ISNUMBER(FIND(SUBSTITUTE(SUBSTITUTE(UPPER({"URGENTE"})," ",""),":",": "),SUBSTITUTE(SUBSTITUTE(UPPER(S1929)," ",""),":",": "))),0)),"-")</f>
        <v>-</v>
      </c>
      <c r="C1929" s="46" t="str" cm="1">
        <f t="array" ref="C1929">IFERROR(INDEX(#REF!,MATCH(TRUE,ISNUMBER(FIND(SUBSTITUTE(SUBSTITUTE(UPPER(#REF!)," ",""),":",": "),SUBSTITUTE(SUBSTITUTE(UPPER(S1929)," ",""),":",": "))),0)),"Não encontrado")</f>
        <v>Não encontrado</v>
      </c>
      <c r="D1929" s="46" t="str" cm="1">
        <f t="array" ref="D1929">IFERROR(INDEX(#REF!,MATCH(TRUE,ISNUMBER(FIND(SUBSTITUTE(SUBSTITUTE(UPPER(#REF!)," ",""),":",": "),SUBSTITUTE(SUBSTITUTE(UPPER(S1929)," ",""),":",": "))),0)),"Não encontrado")</f>
        <v>Não encontrado</v>
      </c>
      <c r="E1929" s="42" t="str" cm="1">
        <f t="array" ref="E1929">IFERROR(INDEX({"IMPEDITIVO"},MATCH(TRUE,ISNUMBER(FIND(SUBSTITUTE(SUBSTITUTE(UPPER({"IMPEDITIVO"})," ",""),":",": "),SUBSTITUTE(SUBSTITUTE(UPPER(S1929)," ",""),":",": "))),0)),"-")</f>
        <v>-</v>
      </c>
      <c r="K1929" s="49"/>
    </row>
    <row r="1930" spans="1:11" x14ac:dyDescent="0.25">
      <c r="A1930" s="46" t="str" cm="1">
        <f t="array" ref="A1930">IFERROR(INDEX(#REF!,MATCH(TRUE,ISNUMBER(FIND(SUBSTITUTE(SUBSTITUTE(UPPER(#REF!)," ",""),":",": "),SUBSTITUTE(SUBSTITUTE(UPPER(S1930)," ",""),":",": "))),0)),"Undefined")</f>
        <v>Undefined</v>
      </c>
      <c r="B1930" s="42" t="str" cm="1">
        <f t="array" ref="B1930">IFERROR(INDEX({"URGENTE"},MATCH(TRUE,ISNUMBER(FIND(SUBSTITUTE(SUBSTITUTE(UPPER({"URGENTE"})," ",""),":",": "),SUBSTITUTE(SUBSTITUTE(UPPER(S1930)," ",""),":",": "))),0)),"-")</f>
        <v>-</v>
      </c>
      <c r="C1930" s="46" t="str" cm="1">
        <f t="array" ref="C1930">IFERROR(INDEX(#REF!,MATCH(TRUE,ISNUMBER(FIND(SUBSTITUTE(SUBSTITUTE(UPPER(#REF!)," ",""),":",": "),SUBSTITUTE(SUBSTITUTE(UPPER(S1930)," ",""),":",": "))),0)),"Não encontrado")</f>
        <v>Não encontrado</v>
      </c>
      <c r="D1930" s="46" t="str" cm="1">
        <f t="array" ref="D1930">IFERROR(INDEX(#REF!,MATCH(TRUE,ISNUMBER(FIND(SUBSTITUTE(SUBSTITUTE(UPPER(#REF!)," ",""),":",": "),SUBSTITUTE(SUBSTITUTE(UPPER(S1930)," ",""),":",": "))),0)),"Não encontrado")</f>
        <v>Não encontrado</v>
      </c>
      <c r="E1930" s="42" t="str" cm="1">
        <f t="array" ref="E1930">IFERROR(INDEX({"IMPEDITIVO"},MATCH(TRUE,ISNUMBER(FIND(SUBSTITUTE(SUBSTITUTE(UPPER({"IMPEDITIVO"})," ",""),":",": "),SUBSTITUTE(SUBSTITUTE(UPPER(S1930)," ",""),":",": "))),0)),"-")</f>
        <v>-</v>
      </c>
      <c r="K1930" s="49"/>
    </row>
    <row r="1931" spans="1:11" x14ac:dyDescent="0.25">
      <c r="A1931" s="46" t="str" cm="1">
        <f t="array" ref="A1931">IFERROR(INDEX(#REF!,MATCH(TRUE,ISNUMBER(FIND(SUBSTITUTE(SUBSTITUTE(UPPER(#REF!)," ",""),":",": "),SUBSTITUTE(SUBSTITUTE(UPPER(S1931)," ",""),":",": "))),0)),"Undefined")</f>
        <v>Undefined</v>
      </c>
      <c r="B1931" s="42" t="str" cm="1">
        <f t="array" ref="B1931">IFERROR(INDEX({"URGENTE"},MATCH(TRUE,ISNUMBER(FIND(SUBSTITUTE(SUBSTITUTE(UPPER({"URGENTE"})," ",""),":",": "),SUBSTITUTE(SUBSTITUTE(UPPER(S1931)," ",""),":",": "))),0)),"-")</f>
        <v>-</v>
      </c>
      <c r="C1931" s="46" t="str" cm="1">
        <f t="array" ref="C1931">IFERROR(INDEX(#REF!,MATCH(TRUE,ISNUMBER(FIND(SUBSTITUTE(SUBSTITUTE(UPPER(#REF!)," ",""),":",": "),SUBSTITUTE(SUBSTITUTE(UPPER(S1931)," ",""),":",": "))),0)),"Não encontrado")</f>
        <v>Não encontrado</v>
      </c>
      <c r="D1931" s="46" t="str" cm="1">
        <f t="array" ref="D1931">IFERROR(INDEX(#REF!,MATCH(TRUE,ISNUMBER(FIND(SUBSTITUTE(SUBSTITUTE(UPPER(#REF!)," ",""),":",": "),SUBSTITUTE(SUBSTITUTE(UPPER(S1931)," ",""),":",": "))),0)),"Não encontrado")</f>
        <v>Não encontrado</v>
      </c>
      <c r="E1931" s="42" t="str" cm="1">
        <f t="array" ref="E1931">IFERROR(INDEX({"IMPEDITIVO"},MATCH(TRUE,ISNUMBER(FIND(SUBSTITUTE(SUBSTITUTE(UPPER({"IMPEDITIVO"})," ",""),":",": "),SUBSTITUTE(SUBSTITUTE(UPPER(S1931)," ",""),":",": "))),0)),"-")</f>
        <v>-</v>
      </c>
      <c r="K1931" s="49"/>
    </row>
    <row r="1932" spans="1:11" x14ac:dyDescent="0.25">
      <c r="A1932" s="46" t="str" cm="1">
        <f t="array" ref="A1932">IFERROR(INDEX(#REF!,MATCH(TRUE,ISNUMBER(FIND(SUBSTITUTE(SUBSTITUTE(UPPER(#REF!)," ",""),":",": "),SUBSTITUTE(SUBSTITUTE(UPPER(S1932)," ",""),":",": "))),0)),"Undefined")</f>
        <v>Undefined</v>
      </c>
      <c r="B1932" s="42" t="str" cm="1">
        <f t="array" ref="B1932">IFERROR(INDEX({"URGENTE"},MATCH(TRUE,ISNUMBER(FIND(SUBSTITUTE(SUBSTITUTE(UPPER({"URGENTE"})," ",""),":",": "),SUBSTITUTE(SUBSTITUTE(UPPER(S1932)," ",""),":",": "))),0)),"-")</f>
        <v>-</v>
      </c>
      <c r="C1932" s="46" t="str" cm="1">
        <f t="array" ref="C1932">IFERROR(INDEX(#REF!,MATCH(TRUE,ISNUMBER(FIND(SUBSTITUTE(SUBSTITUTE(UPPER(#REF!)," ",""),":",": "),SUBSTITUTE(SUBSTITUTE(UPPER(S1932)," ",""),":",": "))),0)),"Não encontrado")</f>
        <v>Não encontrado</v>
      </c>
      <c r="D1932" s="46" t="str" cm="1">
        <f t="array" ref="D1932">IFERROR(INDEX(#REF!,MATCH(TRUE,ISNUMBER(FIND(SUBSTITUTE(SUBSTITUTE(UPPER(#REF!)," ",""),":",": "),SUBSTITUTE(SUBSTITUTE(UPPER(S1932)," ",""),":",": "))),0)),"Não encontrado")</f>
        <v>Não encontrado</v>
      </c>
      <c r="E1932" s="42" t="str" cm="1">
        <f t="array" ref="E1932">IFERROR(INDEX({"IMPEDITIVO"},MATCH(TRUE,ISNUMBER(FIND(SUBSTITUTE(SUBSTITUTE(UPPER({"IMPEDITIVO"})," ",""),":",": "),SUBSTITUTE(SUBSTITUTE(UPPER(S1932)," ",""),":",": "))),0)),"-")</f>
        <v>-</v>
      </c>
      <c r="K1932" s="49"/>
    </row>
    <row r="1933" spans="1:11" x14ac:dyDescent="0.25">
      <c r="A1933" s="46" t="str" cm="1">
        <f t="array" ref="A1933">IFERROR(INDEX(#REF!,MATCH(TRUE,ISNUMBER(FIND(SUBSTITUTE(SUBSTITUTE(UPPER(#REF!)," ",""),":",": "),SUBSTITUTE(SUBSTITUTE(UPPER(S1933)," ",""),":",": "))),0)),"Undefined")</f>
        <v>Undefined</v>
      </c>
      <c r="B1933" s="42" t="str" cm="1">
        <f t="array" ref="B1933">IFERROR(INDEX({"URGENTE"},MATCH(TRUE,ISNUMBER(FIND(SUBSTITUTE(SUBSTITUTE(UPPER({"URGENTE"})," ",""),":",": "),SUBSTITUTE(SUBSTITUTE(UPPER(S1933)," ",""),":",": "))),0)),"-")</f>
        <v>-</v>
      </c>
      <c r="C1933" s="46" t="str" cm="1">
        <f t="array" ref="C1933">IFERROR(INDEX(#REF!,MATCH(TRUE,ISNUMBER(FIND(SUBSTITUTE(SUBSTITUTE(UPPER(#REF!)," ",""),":",": "),SUBSTITUTE(SUBSTITUTE(UPPER(S1933)," ",""),":",": "))),0)),"Não encontrado")</f>
        <v>Não encontrado</v>
      </c>
      <c r="D1933" s="46" t="str" cm="1">
        <f t="array" ref="D1933">IFERROR(INDEX(#REF!,MATCH(TRUE,ISNUMBER(FIND(SUBSTITUTE(SUBSTITUTE(UPPER(#REF!)," ",""),":",": "),SUBSTITUTE(SUBSTITUTE(UPPER(S1933)," ",""),":",": "))),0)),"Não encontrado")</f>
        <v>Não encontrado</v>
      </c>
      <c r="E1933" s="42" t="str" cm="1">
        <f t="array" ref="E1933">IFERROR(INDEX({"IMPEDITIVO"},MATCH(TRUE,ISNUMBER(FIND(SUBSTITUTE(SUBSTITUTE(UPPER({"IMPEDITIVO"})," ",""),":",": "),SUBSTITUTE(SUBSTITUTE(UPPER(S1933)," ",""),":",": "))),0)),"-")</f>
        <v>-</v>
      </c>
      <c r="K1933" s="49"/>
    </row>
    <row r="1934" spans="1:11" x14ac:dyDescent="0.25">
      <c r="A1934" s="46" t="str" cm="1">
        <f t="array" ref="A1934">IFERROR(INDEX(#REF!,MATCH(TRUE,ISNUMBER(FIND(SUBSTITUTE(SUBSTITUTE(UPPER(#REF!)," ",""),":",": "),SUBSTITUTE(SUBSTITUTE(UPPER(S1934)," ",""),":",": "))),0)),"Undefined")</f>
        <v>Undefined</v>
      </c>
      <c r="B1934" s="42" t="str" cm="1">
        <f t="array" ref="B1934">IFERROR(INDEX({"URGENTE"},MATCH(TRUE,ISNUMBER(FIND(SUBSTITUTE(SUBSTITUTE(UPPER({"URGENTE"})," ",""),":",": "),SUBSTITUTE(SUBSTITUTE(UPPER(S1934)," ",""),":",": "))),0)),"-")</f>
        <v>-</v>
      </c>
      <c r="C1934" s="46" t="str" cm="1">
        <f t="array" ref="C1934">IFERROR(INDEX(#REF!,MATCH(TRUE,ISNUMBER(FIND(SUBSTITUTE(SUBSTITUTE(UPPER(#REF!)," ",""),":",": "),SUBSTITUTE(SUBSTITUTE(UPPER(S1934)," ",""),":",": "))),0)),"Não encontrado")</f>
        <v>Não encontrado</v>
      </c>
      <c r="D1934" s="46" t="str" cm="1">
        <f t="array" ref="D1934">IFERROR(INDEX(#REF!,MATCH(TRUE,ISNUMBER(FIND(SUBSTITUTE(SUBSTITUTE(UPPER(#REF!)," ",""),":",": "),SUBSTITUTE(SUBSTITUTE(UPPER(S1934)," ",""),":",": "))),0)),"Não encontrado")</f>
        <v>Não encontrado</v>
      </c>
      <c r="E1934" s="42" t="str" cm="1">
        <f t="array" ref="E1934">IFERROR(INDEX({"IMPEDITIVO"},MATCH(TRUE,ISNUMBER(FIND(SUBSTITUTE(SUBSTITUTE(UPPER({"IMPEDITIVO"})," ",""),":",": "),SUBSTITUTE(SUBSTITUTE(UPPER(S1934)," ",""),":",": "))),0)),"-")</f>
        <v>-</v>
      </c>
      <c r="K1934" s="49"/>
    </row>
    <row r="1935" spans="1:11" x14ac:dyDescent="0.25">
      <c r="A1935" s="46" t="str" cm="1">
        <f t="array" ref="A1935">IFERROR(INDEX(#REF!,MATCH(TRUE,ISNUMBER(FIND(SUBSTITUTE(SUBSTITUTE(UPPER(#REF!)," ",""),":",": "),SUBSTITUTE(SUBSTITUTE(UPPER(S1935)," ",""),":",": "))),0)),"Undefined")</f>
        <v>Undefined</v>
      </c>
      <c r="B1935" s="42" t="str" cm="1">
        <f t="array" ref="B1935">IFERROR(INDEX({"URGENTE"},MATCH(TRUE,ISNUMBER(FIND(SUBSTITUTE(SUBSTITUTE(UPPER({"URGENTE"})," ",""),":",": "),SUBSTITUTE(SUBSTITUTE(UPPER(S1935)," ",""),":",": "))),0)),"-")</f>
        <v>-</v>
      </c>
      <c r="C1935" s="46" t="str" cm="1">
        <f t="array" ref="C1935">IFERROR(INDEX(#REF!,MATCH(TRUE,ISNUMBER(FIND(SUBSTITUTE(SUBSTITUTE(UPPER(#REF!)," ",""),":",": "),SUBSTITUTE(SUBSTITUTE(UPPER(S1935)," ",""),":",": "))),0)),"Não encontrado")</f>
        <v>Não encontrado</v>
      </c>
      <c r="D1935" s="46" t="str" cm="1">
        <f t="array" ref="D1935">IFERROR(INDEX(#REF!,MATCH(TRUE,ISNUMBER(FIND(SUBSTITUTE(SUBSTITUTE(UPPER(#REF!)," ",""),":",": "),SUBSTITUTE(SUBSTITUTE(UPPER(S1935)," ",""),":",": "))),0)),"Não encontrado")</f>
        <v>Não encontrado</v>
      </c>
      <c r="E1935" s="42" t="str" cm="1">
        <f t="array" ref="E1935">IFERROR(INDEX({"IMPEDITIVO"},MATCH(TRUE,ISNUMBER(FIND(SUBSTITUTE(SUBSTITUTE(UPPER({"IMPEDITIVO"})," ",""),":",": "),SUBSTITUTE(SUBSTITUTE(UPPER(S1935)," ",""),":",": "))),0)),"-")</f>
        <v>-</v>
      </c>
      <c r="K1935" s="49"/>
    </row>
    <row r="1936" spans="1:11" x14ac:dyDescent="0.25">
      <c r="A1936" s="46" t="str" cm="1">
        <f t="array" ref="A1936">IFERROR(INDEX(#REF!,MATCH(TRUE,ISNUMBER(FIND(SUBSTITUTE(SUBSTITUTE(UPPER(#REF!)," ",""),":",": "),SUBSTITUTE(SUBSTITUTE(UPPER(S1936)," ",""),":",": "))),0)),"Undefined")</f>
        <v>Undefined</v>
      </c>
      <c r="B1936" s="42" t="str" cm="1">
        <f t="array" ref="B1936">IFERROR(INDEX({"URGENTE"},MATCH(TRUE,ISNUMBER(FIND(SUBSTITUTE(SUBSTITUTE(UPPER({"URGENTE"})," ",""),":",": "),SUBSTITUTE(SUBSTITUTE(UPPER(S1936)," ",""),":",": "))),0)),"-")</f>
        <v>-</v>
      </c>
      <c r="C1936" s="46" t="str" cm="1">
        <f t="array" ref="C1936">IFERROR(INDEX(#REF!,MATCH(TRUE,ISNUMBER(FIND(SUBSTITUTE(SUBSTITUTE(UPPER(#REF!)," ",""),":",": "),SUBSTITUTE(SUBSTITUTE(UPPER(S1936)," ",""),":",": "))),0)),"Não encontrado")</f>
        <v>Não encontrado</v>
      </c>
      <c r="D1936" s="46" t="str" cm="1">
        <f t="array" ref="D1936">IFERROR(INDEX(#REF!,MATCH(TRUE,ISNUMBER(FIND(SUBSTITUTE(SUBSTITUTE(UPPER(#REF!)," ",""),":",": "),SUBSTITUTE(SUBSTITUTE(UPPER(S1936)," ",""),":",": "))),0)),"Não encontrado")</f>
        <v>Não encontrado</v>
      </c>
      <c r="E1936" s="42" t="str" cm="1">
        <f t="array" ref="E1936">IFERROR(INDEX({"IMPEDITIVO"},MATCH(TRUE,ISNUMBER(FIND(SUBSTITUTE(SUBSTITUTE(UPPER({"IMPEDITIVO"})," ",""),":",": "),SUBSTITUTE(SUBSTITUTE(UPPER(S1936)," ",""),":",": "))),0)),"-")</f>
        <v>-</v>
      </c>
      <c r="K1936" s="49"/>
    </row>
    <row r="1937" spans="1:11" x14ac:dyDescent="0.25">
      <c r="A1937" s="46" t="str" cm="1">
        <f t="array" ref="A1937">IFERROR(INDEX(#REF!,MATCH(TRUE,ISNUMBER(FIND(SUBSTITUTE(SUBSTITUTE(UPPER(#REF!)," ",""),":",": "),SUBSTITUTE(SUBSTITUTE(UPPER(S1937)," ",""),":",": "))),0)),"Undefined")</f>
        <v>Undefined</v>
      </c>
      <c r="B1937" s="42" t="str" cm="1">
        <f t="array" ref="B1937">IFERROR(INDEX({"URGENTE"},MATCH(TRUE,ISNUMBER(FIND(SUBSTITUTE(SUBSTITUTE(UPPER({"URGENTE"})," ",""),":",": "),SUBSTITUTE(SUBSTITUTE(UPPER(S1937)," ",""),":",": "))),0)),"-")</f>
        <v>-</v>
      </c>
      <c r="C1937" s="46" t="str" cm="1">
        <f t="array" ref="C1937">IFERROR(INDEX(#REF!,MATCH(TRUE,ISNUMBER(FIND(SUBSTITUTE(SUBSTITUTE(UPPER(#REF!)," ",""),":",": "),SUBSTITUTE(SUBSTITUTE(UPPER(S1937)," ",""),":",": "))),0)),"Não encontrado")</f>
        <v>Não encontrado</v>
      </c>
      <c r="D1937" s="46" t="str" cm="1">
        <f t="array" ref="D1937">IFERROR(INDEX(#REF!,MATCH(TRUE,ISNUMBER(FIND(SUBSTITUTE(SUBSTITUTE(UPPER(#REF!)," ",""),":",": "),SUBSTITUTE(SUBSTITUTE(UPPER(S1937)," ",""),":",": "))),0)),"Não encontrado")</f>
        <v>Não encontrado</v>
      </c>
      <c r="E1937" s="42" t="str" cm="1">
        <f t="array" ref="E1937">IFERROR(INDEX({"IMPEDITIVO"},MATCH(TRUE,ISNUMBER(FIND(SUBSTITUTE(SUBSTITUTE(UPPER({"IMPEDITIVO"})," ",""),":",": "),SUBSTITUTE(SUBSTITUTE(UPPER(S1937)," ",""),":",": "))),0)),"-")</f>
        <v>-</v>
      </c>
      <c r="K1937" s="49"/>
    </row>
    <row r="1938" spans="1:11" x14ac:dyDescent="0.25">
      <c r="A1938" s="46" t="str" cm="1">
        <f t="array" ref="A1938">IFERROR(INDEX(#REF!,MATCH(TRUE,ISNUMBER(FIND(SUBSTITUTE(SUBSTITUTE(UPPER(#REF!)," ",""),":",": "),SUBSTITUTE(SUBSTITUTE(UPPER(S1938)," ",""),":",": "))),0)),"Undefined")</f>
        <v>Undefined</v>
      </c>
      <c r="B1938" s="42" t="str" cm="1">
        <f t="array" ref="B1938">IFERROR(INDEX({"URGENTE"},MATCH(TRUE,ISNUMBER(FIND(SUBSTITUTE(SUBSTITUTE(UPPER({"URGENTE"})," ",""),":",": "),SUBSTITUTE(SUBSTITUTE(UPPER(S1938)," ",""),":",": "))),0)),"-")</f>
        <v>-</v>
      </c>
      <c r="C1938" s="46" t="str" cm="1">
        <f t="array" ref="C1938">IFERROR(INDEX(#REF!,MATCH(TRUE,ISNUMBER(FIND(SUBSTITUTE(SUBSTITUTE(UPPER(#REF!)," ",""),":",": "),SUBSTITUTE(SUBSTITUTE(UPPER(S1938)," ",""),":",": "))),0)),"Não encontrado")</f>
        <v>Não encontrado</v>
      </c>
      <c r="D1938" s="46" t="str" cm="1">
        <f t="array" ref="D1938">IFERROR(INDEX(#REF!,MATCH(TRUE,ISNUMBER(FIND(SUBSTITUTE(SUBSTITUTE(UPPER(#REF!)," ",""),":",": "),SUBSTITUTE(SUBSTITUTE(UPPER(S1938)," ",""),":",": "))),0)),"Não encontrado")</f>
        <v>Não encontrado</v>
      </c>
      <c r="E1938" s="42" t="str" cm="1">
        <f t="array" ref="E1938">IFERROR(INDEX({"IMPEDITIVO"},MATCH(TRUE,ISNUMBER(FIND(SUBSTITUTE(SUBSTITUTE(UPPER({"IMPEDITIVO"})," ",""),":",": "),SUBSTITUTE(SUBSTITUTE(UPPER(S1938)," ",""),":",": "))),0)),"-")</f>
        <v>-</v>
      </c>
      <c r="K1938" s="49"/>
    </row>
    <row r="1939" spans="1:11" x14ac:dyDescent="0.25">
      <c r="A1939" s="46" t="str" cm="1">
        <f t="array" ref="A1939">IFERROR(INDEX(#REF!,MATCH(TRUE,ISNUMBER(FIND(SUBSTITUTE(SUBSTITUTE(UPPER(#REF!)," ",""),":",": "),SUBSTITUTE(SUBSTITUTE(UPPER(S1939)," ",""),":",": "))),0)),"Undefined")</f>
        <v>Undefined</v>
      </c>
      <c r="B1939" s="42" t="str" cm="1">
        <f t="array" ref="B1939">IFERROR(INDEX({"URGENTE"},MATCH(TRUE,ISNUMBER(FIND(SUBSTITUTE(SUBSTITUTE(UPPER({"URGENTE"})," ",""),":",": "),SUBSTITUTE(SUBSTITUTE(UPPER(S1939)," ",""),":",": "))),0)),"-")</f>
        <v>-</v>
      </c>
      <c r="C1939" s="46" t="str" cm="1">
        <f t="array" ref="C1939">IFERROR(INDEX(#REF!,MATCH(TRUE,ISNUMBER(FIND(SUBSTITUTE(SUBSTITUTE(UPPER(#REF!)," ",""),":",": "),SUBSTITUTE(SUBSTITUTE(UPPER(S1939)," ",""),":",": "))),0)),"Não encontrado")</f>
        <v>Não encontrado</v>
      </c>
      <c r="D1939" s="46" t="str" cm="1">
        <f t="array" ref="D1939">IFERROR(INDEX(#REF!,MATCH(TRUE,ISNUMBER(FIND(SUBSTITUTE(SUBSTITUTE(UPPER(#REF!)," ",""),":",": "),SUBSTITUTE(SUBSTITUTE(UPPER(S1939)," ",""),":",": "))),0)),"Não encontrado")</f>
        <v>Não encontrado</v>
      </c>
      <c r="E1939" s="42" t="str" cm="1">
        <f t="array" ref="E1939">IFERROR(INDEX({"IMPEDITIVO"},MATCH(TRUE,ISNUMBER(FIND(SUBSTITUTE(SUBSTITUTE(UPPER({"IMPEDITIVO"})," ",""),":",": "),SUBSTITUTE(SUBSTITUTE(UPPER(S1939)," ",""),":",": "))),0)),"-")</f>
        <v>-</v>
      </c>
      <c r="K1939" s="49"/>
    </row>
    <row r="1940" spans="1:11" x14ac:dyDescent="0.25">
      <c r="A1940" s="46" t="str" cm="1">
        <f t="array" ref="A1940">IFERROR(INDEX(#REF!,MATCH(TRUE,ISNUMBER(FIND(SUBSTITUTE(SUBSTITUTE(UPPER(#REF!)," ",""),":",": "),SUBSTITUTE(SUBSTITUTE(UPPER(S1940)," ",""),":",": "))),0)),"Undefined")</f>
        <v>Undefined</v>
      </c>
      <c r="B1940" s="42" t="str" cm="1">
        <f t="array" ref="B1940">IFERROR(INDEX({"URGENTE"},MATCH(TRUE,ISNUMBER(FIND(SUBSTITUTE(SUBSTITUTE(UPPER({"URGENTE"})," ",""),":",": "),SUBSTITUTE(SUBSTITUTE(UPPER(S1940)," ",""),":",": "))),0)),"-")</f>
        <v>-</v>
      </c>
      <c r="C1940" s="46" t="str" cm="1">
        <f t="array" ref="C1940">IFERROR(INDEX(#REF!,MATCH(TRUE,ISNUMBER(FIND(SUBSTITUTE(SUBSTITUTE(UPPER(#REF!)," ",""),":",": "),SUBSTITUTE(SUBSTITUTE(UPPER(S1940)," ",""),":",": "))),0)),"Não encontrado")</f>
        <v>Não encontrado</v>
      </c>
      <c r="D1940" s="46" t="str" cm="1">
        <f t="array" ref="D1940">IFERROR(INDEX(#REF!,MATCH(TRUE,ISNUMBER(FIND(SUBSTITUTE(SUBSTITUTE(UPPER(#REF!)," ",""),":",": "),SUBSTITUTE(SUBSTITUTE(UPPER(S1940)," ",""),":",": "))),0)),"Não encontrado")</f>
        <v>Não encontrado</v>
      </c>
      <c r="E1940" s="42" t="str" cm="1">
        <f t="array" ref="E1940">IFERROR(INDEX({"IMPEDITIVO"},MATCH(TRUE,ISNUMBER(FIND(SUBSTITUTE(SUBSTITUTE(UPPER({"IMPEDITIVO"})," ",""),":",": "),SUBSTITUTE(SUBSTITUTE(UPPER(S1940)," ",""),":",": "))),0)),"-")</f>
        <v>-</v>
      </c>
      <c r="K1940" s="49"/>
    </row>
    <row r="1941" spans="1:11" x14ac:dyDescent="0.25">
      <c r="A1941" s="46" t="str" cm="1">
        <f t="array" ref="A1941">IFERROR(INDEX(#REF!,MATCH(TRUE,ISNUMBER(FIND(SUBSTITUTE(SUBSTITUTE(UPPER(#REF!)," ",""),":",": "),SUBSTITUTE(SUBSTITUTE(UPPER(S1941)," ",""),":",": "))),0)),"Undefined")</f>
        <v>Undefined</v>
      </c>
      <c r="B1941" s="42" t="str" cm="1">
        <f t="array" ref="B1941">IFERROR(INDEX({"URGENTE"},MATCH(TRUE,ISNUMBER(FIND(SUBSTITUTE(SUBSTITUTE(UPPER({"URGENTE"})," ",""),":",": "),SUBSTITUTE(SUBSTITUTE(UPPER(S1941)," ",""),":",": "))),0)),"-")</f>
        <v>-</v>
      </c>
      <c r="C1941" s="46" t="str" cm="1">
        <f t="array" ref="C1941">IFERROR(INDEX(#REF!,MATCH(TRUE,ISNUMBER(FIND(SUBSTITUTE(SUBSTITUTE(UPPER(#REF!)," ",""),":",": "),SUBSTITUTE(SUBSTITUTE(UPPER(S1941)," ",""),":",": "))),0)),"Não encontrado")</f>
        <v>Não encontrado</v>
      </c>
      <c r="D1941" s="46" t="str" cm="1">
        <f t="array" ref="D1941">IFERROR(INDEX(#REF!,MATCH(TRUE,ISNUMBER(FIND(SUBSTITUTE(SUBSTITUTE(UPPER(#REF!)," ",""),":",": "),SUBSTITUTE(SUBSTITUTE(UPPER(S1941)," ",""),":",": "))),0)),"Não encontrado")</f>
        <v>Não encontrado</v>
      </c>
      <c r="E1941" s="42" t="str" cm="1">
        <f t="array" ref="E1941">IFERROR(INDEX({"IMPEDITIVO"},MATCH(TRUE,ISNUMBER(FIND(SUBSTITUTE(SUBSTITUTE(UPPER({"IMPEDITIVO"})," ",""),":",": "),SUBSTITUTE(SUBSTITUTE(UPPER(S1941)," ",""),":",": "))),0)),"-")</f>
        <v>-</v>
      </c>
      <c r="K1941" s="49"/>
    </row>
    <row r="1942" spans="1:11" x14ac:dyDescent="0.25">
      <c r="A1942" s="46" t="str" cm="1">
        <f t="array" ref="A1942">IFERROR(INDEX(#REF!,MATCH(TRUE,ISNUMBER(FIND(SUBSTITUTE(SUBSTITUTE(UPPER(#REF!)," ",""),":",": "),SUBSTITUTE(SUBSTITUTE(UPPER(S1942)," ",""),":",": "))),0)),"Undefined")</f>
        <v>Undefined</v>
      </c>
      <c r="B1942" s="42" t="str" cm="1">
        <f t="array" ref="B1942">IFERROR(INDEX({"URGENTE"},MATCH(TRUE,ISNUMBER(FIND(SUBSTITUTE(SUBSTITUTE(UPPER({"URGENTE"})," ",""),":",": "),SUBSTITUTE(SUBSTITUTE(UPPER(S1942)," ",""),":",": "))),0)),"-")</f>
        <v>-</v>
      </c>
      <c r="C1942" s="46" t="str" cm="1">
        <f t="array" ref="C1942">IFERROR(INDEX(#REF!,MATCH(TRUE,ISNUMBER(FIND(SUBSTITUTE(SUBSTITUTE(UPPER(#REF!)," ",""),":",": "),SUBSTITUTE(SUBSTITUTE(UPPER(S1942)," ",""),":",": "))),0)),"Não encontrado")</f>
        <v>Não encontrado</v>
      </c>
      <c r="D1942" s="46" t="str" cm="1">
        <f t="array" ref="D1942">IFERROR(INDEX(#REF!,MATCH(TRUE,ISNUMBER(FIND(SUBSTITUTE(SUBSTITUTE(UPPER(#REF!)," ",""),":",": "),SUBSTITUTE(SUBSTITUTE(UPPER(S1942)," ",""),":",": "))),0)),"Não encontrado")</f>
        <v>Não encontrado</v>
      </c>
      <c r="E1942" s="42" t="str" cm="1">
        <f t="array" ref="E1942">IFERROR(INDEX({"IMPEDITIVO"},MATCH(TRUE,ISNUMBER(FIND(SUBSTITUTE(SUBSTITUTE(UPPER({"IMPEDITIVO"})," ",""),":",": "),SUBSTITUTE(SUBSTITUTE(UPPER(S1942)," ",""),":",": "))),0)),"-")</f>
        <v>-</v>
      </c>
      <c r="K1942" s="49"/>
    </row>
    <row r="1943" spans="1:11" x14ac:dyDescent="0.25">
      <c r="A1943" s="46" t="str" cm="1">
        <f t="array" ref="A1943">IFERROR(INDEX(#REF!,MATCH(TRUE,ISNUMBER(FIND(SUBSTITUTE(SUBSTITUTE(UPPER(#REF!)," ",""),":",": "),SUBSTITUTE(SUBSTITUTE(UPPER(S1943)," ",""),":",": "))),0)),"Undefined")</f>
        <v>Undefined</v>
      </c>
      <c r="B1943" s="42" t="str" cm="1">
        <f t="array" ref="B1943">IFERROR(INDEX({"URGENTE"},MATCH(TRUE,ISNUMBER(FIND(SUBSTITUTE(SUBSTITUTE(UPPER({"URGENTE"})," ",""),":",": "),SUBSTITUTE(SUBSTITUTE(UPPER(S1943)," ",""),":",": "))),0)),"-")</f>
        <v>-</v>
      </c>
      <c r="C1943" s="46" t="str" cm="1">
        <f t="array" ref="C1943">IFERROR(INDEX(#REF!,MATCH(TRUE,ISNUMBER(FIND(SUBSTITUTE(SUBSTITUTE(UPPER(#REF!)," ",""),":",": "),SUBSTITUTE(SUBSTITUTE(UPPER(S1943)," ",""),":",": "))),0)),"Não encontrado")</f>
        <v>Não encontrado</v>
      </c>
      <c r="D1943" s="46" t="str" cm="1">
        <f t="array" ref="D1943">IFERROR(INDEX(#REF!,MATCH(TRUE,ISNUMBER(FIND(SUBSTITUTE(SUBSTITUTE(UPPER(#REF!)," ",""),":",": "),SUBSTITUTE(SUBSTITUTE(UPPER(S1943)," ",""),":",": "))),0)),"Não encontrado")</f>
        <v>Não encontrado</v>
      </c>
      <c r="E1943" s="42" t="str" cm="1">
        <f t="array" ref="E1943">IFERROR(INDEX({"IMPEDITIVO"},MATCH(TRUE,ISNUMBER(FIND(SUBSTITUTE(SUBSTITUTE(UPPER({"IMPEDITIVO"})," ",""),":",": "),SUBSTITUTE(SUBSTITUTE(UPPER(S1943)," ",""),":",": "))),0)),"-")</f>
        <v>-</v>
      </c>
      <c r="K1943" s="49"/>
    </row>
    <row r="1944" spans="1:11" x14ac:dyDescent="0.25">
      <c r="A1944" s="46" t="str" cm="1">
        <f t="array" ref="A1944">IFERROR(INDEX(#REF!,MATCH(TRUE,ISNUMBER(FIND(SUBSTITUTE(SUBSTITUTE(UPPER(#REF!)," ",""),":",": "),SUBSTITUTE(SUBSTITUTE(UPPER(S1944)," ",""),":",": "))),0)),"Undefined")</f>
        <v>Undefined</v>
      </c>
      <c r="B1944" s="42" t="str" cm="1">
        <f t="array" ref="B1944">IFERROR(INDEX({"URGENTE"},MATCH(TRUE,ISNUMBER(FIND(SUBSTITUTE(SUBSTITUTE(UPPER({"URGENTE"})," ",""),":",": "),SUBSTITUTE(SUBSTITUTE(UPPER(S1944)," ",""),":",": "))),0)),"-")</f>
        <v>-</v>
      </c>
      <c r="C1944" s="46" t="str" cm="1">
        <f t="array" ref="C1944">IFERROR(INDEX(#REF!,MATCH(TRUE,ISNUMBER(FIND(SUBSTITUTE(SUBSTITUTE(UPPER(#REF!)," ",""),":",": "),SUBSTITUTE(SUBSTITUTE(UPPER(S1944)," ",""),":",": "))),0)),"Não encontrado")</f>
        <v>Não encontrado</v>
      </c>
      <c r="D1944" s="46" t="str" cm="1">
        <f t="array" ref="D1944">IFERROR(INDEX(#REF!,MATCH(TRUE,ISNUMBER(FIND(SUBSTITUTE(SUBSTITUTE(UPPER(#REF!)," ",""),":",": "),SUBSTITUTE(SUBSTITUTE(UPPER(S1944)," ",""),":",": "))),0)),"Não encontrado")</f>
        <v>Não encontrado</v>
      </c>
      <c r="E1944" s="42" t="str" cm="1">
        <f t="array" ref="E1944">IFERROR(INDEX({"IMPEDITIVO"},MATCH(TRUE,ISNUMBER(FIND(SUBSTITUTE(SUBSTITUTE(UPPER({"IMPEDITIVO"})," ",""),":",": "),SUBSTITUTE(SUBSTITUTE(UPPER(S1944)," ",""),":",": "))),0)),"-")</f>
        <v>-</v>
      </c>
      <c r="K1944" s="49"/>
    </row>
    <row r="1945" spans="1:11" x14ac:dyDescent="0.25">
      <c r="A1945" s="46" t="str" cm="1">
        <f t="array" ref="A1945">IFERROR(INDEX(#REF!,MATCH(TRUE,ISNUMBER(FIND(SUBSTITUTE(SUBSTITUTE(UPPER(#REF!)," ",""),":",": "),SUBSTITUTE(SUBSTITUTE(UPPER(S1945)," ",""),":",": "))),0)),"Undefined")</f>
        <v>Undefined</v>
      </c>
      <c r="B1945" s="42" t="str" cm="1">
        <f t="array" ref="B1945">IFERROR(INDEX({"URGENTE"},MATCH(TRUE,ISNUMBER(FIND(SUBSTITUTE(SUBSTITUTE(UPPER({"URGENTE"})," ",""),":",": "),SUBSTITUTE(SUBSTITUTE(UPPER(S1945)," ",""),":",": "))),0)),"-")</f>
        <v>-</v>
      </c>
      <c r="C1945" s="46" t="str" cm="1">
        <f t="array" ref="C1945">IFERROR(INDEX(#REF!,MATCH(TRUE,ISNUMBER(FIND(SUBSTITUTE(SUBSTITUTE(UPPER(#REF!)," ",""),":",": "),SUBSTITUTE(SUBSTITUTE(UPPER(S1945)," ",""),":",": "))),0)),"Não encontrado")</f>
        <v>Não encontrado</v>
      </c>
      <c r="D1945" s="46" t="str" cm="1">
        <f t="array" ref="D1945">IFERROR(INDEX(#REF!,MATCH(TRUE,ISNUMBER(FIND(SUBSTITUTE(SUBSTITUTE(UPPER(#REF!)," ",""),":",": "),SUBSTITUTE(SUBSTITUTE(UPPER(S1945)," ",""),":",": "))),0)),"Não encontrado")</f>
        <v>Não encontrado</v>
      </c>
      <c r="E1945" s="42" t="str" cm="1">
        <f t="array" ref="E1945">IFERROR(INDEX({"IMPEDITIVO"},MATCH(TRUE,ISNUMBER(FIND(SUBSTITUTE(SUBSTITUTE(UPPER({"IMPEDITIVO"})," ",""),":",": "),SUBSTITUTE(SUBSTITUTE(UPPER(S1945)," ",""),":",": "))),0)),"-")</f>
        <v>-</v>
      </c>
      <c r="K1945" s="49"/>
    </row>
    <row r="1946" spans="1:11" x14ac:dyDescent="0.25">
      <c r="A1946" s="46" t="str" cm="1">
        <f t="array" ref="A1946">IFERROR(INDEX(#REF!,MATCH(TRUE,ISNUMBER(FIND(SUBSTITUTE(SUBSTITUTE(UPPER(#REF!)," ",""),":",": "),SUBSTITUTE(SUBSTITUTE(UPPER(S1946)," ",""),":",": "))),0)),"Undefined")</f>
        <v>Undefined</v>
      </c>
      <c r="B1946" s="42" t="str" cm="1">
        <f t="array" ref="B1946">IFERROR(INDEX({"URGENTE"},MATCH(TRUE,ISNUMBER(FIND(SUBSTITUTE(SUBSTITUTE(UPPER({"URGENTE"})," ",""),":",": "),SUBSTITUTE(SUBSTITUTE(UPPER(S1946)," ",""),":",": "))),0)),"-")</f>
        <v>-</v>
      </c>
      <c r="C1946" s="46" t="str" cm="1">
        <f t="array" ref="C1946">IFERROR(INDEX(#REF!,MATCH(TRUE,ISNUMBER(FIND(SUBSTITUTE(SUBSTITUTE(UPPER(#REF!)," ",""),":",": "),SUBSTITUTE(SUBSTITUTE(UPPER(S1946)," ",""),":",": "))),0)),"Não encontrado")</f>
        <v>Não encontrado</v>
      </c>
      <c r="D1946" s="46" t="str" cm="1">
        <f t="array" ref="D1946">IFERROR(INDEX(#REF!,MATCH(TRUE,ISNUMBER(FIND(SUBSTITUTE(SUBSTITUTE(UPPER(#REF!)," ",""),":",": "),SUBSTITUTE(SUBSTITUTE(UPPER(S1946)," ",""),":",": "))),0)),"Não encontrado")</f>
        <v>Não encontrado</v>
      </c>
      <c r="E1946" s="42" t="str" cm="1">
        <f t="array" ref="E1946">IFERROR(INDEX({"IMPEDITIVO"},MATCH(TRUE,ISNUMBER(FIND(SUBSTITUTE(SUBSTITUTE(UPPER({"IMPEDITIVO"})," ",""),":",": "),SUBSTITUTE(SUBSTITUTE(UPPER(S1946)," ",""),":",": "))),0)),"-")</f>
        <v>-</v>
      </c>
      <c r="K1946" s="49"/>
    </row>
    <row r="1947" spans="1:11" x14ac:dyDescent="0.25">
      <c r="A1947" s="46" t="str" cm="1">
        <f t="array" ref="A1947">IFERROR(INDEX(#REF!,MATCH(TRUE,ISNUMBER(FIND(SUBSTITUTE(SUBSTITUTE(UPPER(#REF!)," ",""),":",": "),SUBSTITUTE(SUBSTITUTE(UPPER(S1947)," ",""),":",": "))),0)),"Undefined")</f>
        <v>Undefined</v>
      </c>
      <c r="B1947" s="42" t="str" cm="1">
        <f t="array" ref="B1947">IFERROR(INDEX({"URGENTE"},MATCH(TRUE,ISNUMBER(FIND(SUBSTITUTE(SUBSTITUTE(UPPER({"URGENTE"})," ",""),":",": "),SUBSTITUTE(SUBSTITUTE(UPPER(S1947)," ",""),":",": "))),0)),"-")</f>
        <v>-</v>
      </c>
      <c r="C1947" s="46" t="str" cm="1">
        <f t="array" ref="C1947">IFERROR(INDEX(#REF!,MATCH(TRUE,ISNUMBER(FIND(SUBSTITUTE(SUBSTITUTE(UPPER(#REF!)," ",""),":",": "),SUBSTITUTE(SUBSTITUTE(UPPER(S1947)," ",""),":",": "))),0)),"Não encontrado")</f>
        <v>Não encontrado</v>
      </c>
      <c r="D1947" s="46" t="str" cm="1">
        <f t="array" ref="D1947">IFERROR(INDEX(#REF!,MATCH(TRUE,ISNUMBER(FIND(SUBSTITUTE(SUBSTITUTE(UPPER(#REF!)," ",""),":",": "),SUBSTITUTE(SUBSTITUTE(UPPER(S1947)," ",""),":",": "))),0)),"Não encontrado")</f>
        <v>Não encontrado</v>
      </c>
      <c r="E1947" s="42" t="str" cm="1">
        <f t="array" ref="E1947">IFERROR(INDEX({"IMPEDITIVO"},MATCH(TRUE,ISNUMBER(FIND(SUBSTITUTE(SUBSTITUTE(UPPER({"IMPEDITIVO"})," ",""),":",": "),SUBSTITUTE(SUBSTITUTE(UPPER(S1947)," ",""),":",": "))),0)),"-")</f>
        <v>-</v>
      </c>
      <c r="K1947" s="49"/>
    </row>
    <row r="1948" spans="1:11" x14ac:dyDescent="0.25">
      <c r="A1948" s="46" t="str" cm="1">
        <f t="array" ref="A1948">IFERROR(INDEX(#REF!,MATCH(TRUE,ISNUMBER(FIND(SUBSTITUTE(SUBSTITUTE(UPPER(#REF!)," ",""),":",": "),SUBSTITUTE(SUBSTITUTE(UPPER(S1948)," ",""),":",": "))),0)),"Undefined")</f>
        <v>Undefined</v>
      </c>
      <c r="B1948" s="42" t="str" cm="1">
        <f t="array" ref="B1948">IFERROR(INDEX({"URGENTE"},MATCH(TRUE,ISNUMBER(FIND(SUBSTITUTE(SUBSTITUTE(UPPER({"URGENTE"})," ",""),":",": "),SUBSTITUTE(SUBSTITUTE(UPPER(S1948)," ",""),":",": "))),0)),"-")</f>
        <v>-</v>
      </c>
      <c r="C1948" s="46" t="str" cm="1">
        <f t="array" ref="C1948">IFERROR(INDEX(#REF!,MATCH(TRUE,ISNUMBER(FIND(SUBSTITUTE(SUBSTITUTE(UPPER(#REF!)," ",""),":",": "),SUBSTITUTE(SUBSTITUTE(UPPER(S1948)," ",""),":",": "))),0)),"Não encontrado")</f>
        <v>Não encontrado</v>
      </c>
      <c r="D1948" s="46" t="str" cm="1">
        <f t="array" ref="D1948">IFERROR(INDEX(#REF!,MATCH(TRUE,ISNUMBER(FIND(SUBSTITUTE(SUBSTITUTE(UPPER(#REF!)," ",""),":",": "),SUBSTITUTE(SUBSTITUTE(UPPER(S1948)," ",""),":",": "))),0)),"Não encontrado")</f>
        <v>Não encontrado</v>
      </c>
      <c r="E1948" s="42" t="str" cm="1">
        <f t="array" ref="E1948">IFERROR(INDEX({"IMPEDITIVO"},MATCH(TRUE,ISNUMBER(FIND(SUBSTITUTE(SUBSTITUTE(UPPER({"IMPEDITIVO"})," ",""),":",": "),SUBSTITUTE(SUBSTITUTE(UPPER(S1948)," ",""),":",": "))),0)),"-")</f>
        <v>-</v>
      </c>
      <c r="K1948" s="49"/>
    </row>
    <row r="1949" spans="1:11" x14ac:dyDescent="0.25">
      <c r="A1949" s="46" t="str" cm="1">
        <f t="array" ref="A1949">IFERROR(INDEX(#REF!,MATCH(TRUE,ISNUMBER(FIND(SUBSTITUTE(SUBSTITUTE(UPPER(#REF!)," ",""),":",": "),SUBSTITUTE(SUBSTITUTE(UPPER(S1949)," ",""),":",": "))),0)),"Undefined")</f>
        <v>Undefined</v>
      </c>
      <c r="B1949" s="42" t="str" cm="1">
        <f t="array" ref="B1949">IFERROR(INDEX({"URGENTE"},MATCH(TRUE,ISNUMBER(FIND(SUBSTITUTE(SUBSTITUTE(UPPER({"URGENTE"})," ",""),":",": "),SUBSTITUTE(SUBSTITUTE(UPPER(S1949)," ",""),":",": "))),0)),"-")</f>
        <v>-</v>
      </c>
      <c r="C1949" s="46" t="str" cm="1">
        <f t="array" ref="C1949">IFERROR(INDEX(#REF!,MATCH(TRUE,ISNUMBER(FIND(SUBSTITUTE(SUBSTITUTE(UPPER(#REF!)," ",""),":",": "),SUBSTITUTE(SUBSTITUTE(UPPER(S1949)," ",""),":",": "))),0)),"Não encontrado")</f>
        <v>Não encontrado</v>
      </c>
      <c r="D1949" s="46" t="str" cm="1">
        <f t="array" ref="D1949">IFERROR(INDEX(#REF!,MATCH(TRUE,ISNUMBER(FIND(SUBSTITUTE(SUBSTITUTE(UPPER(#REF!)," ",""),":",": "),SUBSTITUTE(SUBSTITUTE(UPPER(S1949)," ",""),":",": "))),0)),"Não encontrado")</f>
        <v>Não encontrado</v>
      </c>
      <c r="E1949" s="42" t="str" cm="1">
        <f t="array" ref="E1949">IFERROR(INDEX({"IMPEDITIVO"},MATCH(TRUE,ISNUMBER(FIND(SUBSTITUTE(SUBSTITUTE(UPPER({"IMPEDITIVO"})," ",""),":",": "),SUBSTITUTE(SUBSTITUTE(UPPER(S1949)," ",""),":",": "))),0)),"-")</f>
        <v>-</v>
      </c>
      <c r="K1949" s="49"/>
    </row>
    <row r="1950" spans="1:11" x14ac:dyDescent="0.25">
      <c r="A1950" s="46" t="str" cm="1">
        <f t="array" ref="A1950">IFERROR(INDEX(#REF!,MATCH(TRUE,ISNUMBER(FIND(SUBSTITUTE(SUBSTITUTE(UPPER(#REF!)," ",""),":",": "),SUBSTITUTE(SUBSTITUTE(UPPER(S1950)," ",""),":",": "))),0)),"Undefined")</f>
        <v>Undefined</v>
      </c>
      <c r="B1950" s="42" t="str" cm="1">
        <f t="array" ref="B1950">IFERROR(INDEX({"URGENTE"},MATCH(TRUE,ISNUMBER(FIND(SUBSTITUTE(SUBSTITUTE(UPPER({"URGENTE"})," ",""),":",": "),SUBSTITUTE(SUBSTITUTE(UPPER(S1950)," ",""),":",": "))),0)),"-")</f>
        <v>-</v>
      </c>
      <c r="C1950" s="46" t="str" cm="1">
        <f t="array" ref="C1950">IFERROR(INDEX(#REF!,MATCH(TRUE,ISNUMBER(FIND(SUBSTITUTE(SUBSTITUTE(UPPER(#REF!)," ",""),":",": "),SUBSTITUTE(SUBSTITUTE(UPPER(S1950)," ",""),":",": "))),0)),"Não encontrado")</f>
        <v>Não encontrado</v>
      </c>
      <c r="D1950" s="46" t="str" cm="1">
        <f t="array" ref="D1950">IFERROR(INDEX(#REF!,MATCH(TRUE,ISNUMBER(FIND(SUBSTITUTE(SUBSTITUTE(UPPER(#REF!)," ",""),":",": "),SUBSTITUTE(SUBSTITUTE(UPPER(S1950)," ",""),":",": "))),0)),"Não encontrado")</f>
        <v>Não encontrado</v>
      </c>
      <c r="E1950" s="42" t="str" cm="1">
        <f t="array" ref="E1950">IFERROR(INDEX({"IMPEDITIVO"},MATCH(TRUE,ISNUMBER(FIND(SUBSTITUTE(SUBSTITUTE(UPPER({"IMPEDITIVO"})," ",""),":",": "),SUBSTITUTE(SUBSTITUTE(UPPER(S1950)," ",""),":",": "))),0)),"-")</f>
        <v>-</v>
      </c>
      <c r="K1950" s="49"/>
    </row>
    <row r="1951" spans="1:11" x14ac:dyDescent="0.25">
      <c r="A1951" s="46" t="str" cm="1">
        <f t="array" ref="A1951">IFERROR(INDEX(#REF!,MATCH(TRUE,ISNUMBER(FIND(SUBSTITUTE(SUBSTITUTE(UPPER(#REF!)," ",""),":",": "),SUBSTITUTE(SUBSTITUTE(UPPER(S1951)," ",""),":",": "))),0)),"Undefined")</f>
        <v>Undefined</v>
      </c>
      <c r="B1951" s="42" t="str" cm="1">
        <f t="array" ref="B1951">IFERROR(INDEX({"URGENTE"},MATCH(TRUE,ISNUMBER(FIND(SUBSTITUTE(SUBSTITUTE(UPPER({"URGENTE"})," ",""),":",": "),SUBSTITUTE(SUBSTITUTE(UPPER(S1951)," ",""),":",": "))),0)),"-")</f>
        <v>-</v>
      </c>
      <c r="C1951" s="46" t="str" cm="1">
        <f t="array" ref="C1951">IFERROR(INDEX(#REF!,MATCH(TRUE,ISNUMBER(FIND(SUBSTITUTE(SUBSTITUTE(UPPER(#REF!)," ",""),":",": "),SUBSTITUTE(SUBSTITUTE(UPPER(S1951)," ",""),":",": "))),0)),"Não encontrado")</f>
        <v>Não encontrado</v>
      </c>
      <c r="D1951" s="46" t="str" cm="1">
        <f t="array" ref="D1951">IFERROR(INDEX(#REF!,MATCH(TRUE,ISNUMBER(FIND(SUBSTITUTE(SUBSTITUTE(UPPER(#REF!)," ",""),":",": "),SUBSTITUTE(SUBSTITUTE(UPPER(S1951)," ",""),":",": "))),0)),"Não encontrado")</f>
        <v>Não encontrado</v>
      </c>
      <c r="E1951" s="42" t="str" cm="1">
        <f t="array" ref="E1951">IFERROR(INDEX({"IMPEDITIVO"},MATCH(TRUE,ISNUMBER(FIND(SUBSTITUTE(SUBSTITUTE(UPPER({"IMPEDITIVO"})," ",""),":",": "),SUBSTITUTE(SUBSTITUTE(UPPER(S1951)," ",""),":",": "))),0)),"-")</f>
        <v>-</v>
      </c>
      <c r="K1951" s="49"/>
    </row>
    <row r="1952" spans="1:11" x14ac:dyDescent="0.25">
      <c r="A1952" s="46" t="str" cm="1">
        <f t="array" ref="A1952">IFERROR(INDEX(#REF!,MATCH(TRUE,ISNUMBER(FIND(SUBSTITUTE(SUBSTITUTE(UPPER(#REF!)," ",""),":",": "),SUBSTITUTE(SUBSTITUTE(UPPER(S1952)," ",""),":",": "))),0)),"Undefined")</f>
        <v>Undefined</v>
      </c>
      <c r="B1952" s="42" t="str" cm="1">
        <f t="array" ref="B1952">IFERROR(INDEX({"URGENTE"},MATCH(TRUE,ISNUMBER(FIND(SUBSTITUTE(SUBSTITUTE(UPPER({"URGENTE"})," ",""),":",": "),SUBSTITUTE(SUBSTITUTE(UPPER(S1952)," ",""),":",": "))),0)),"-")</f>
        <v>-</v>
      </c>
      <c r="C1952" s="46" t="str" cm="1">
        <f t="array" ref="C1952">IFERROR(INDEX(#REF!,MATCH(TRUE,ISNUMBER(FIND(SUBSTITUTE(SUBSTITUTE(UPPER(#REF!)," ",""),":",": "),SUBSTITUTE(SUBSTITUTE(UPPER(S1952)," ",""),":",": "))),0)),"Não encontrado")</f>
        <v>Não encontrado</v>
      </c>
      <c r="D1952" s="46" t="str" cm="1">
        <f t="array" ref="D1952">IFERROR(INDEX(#REF!,MATCH(TRUE,ISNUMBER(FIND(SUBSTITUTE(SUBSTITUTE(UPPER(#REF!)," ",""),":",": "),SUBSTITUTE(SUBSTITUTE(UPPER(S1952)," ",""),":",": "))),0)),"Não encontrado")</f>
        <v>Não encontrado</v>
      </c>
      <c r="E1952" s="42" t="str" cm="1">
        <f t="array" ref="E1952">IFERROR(INDEX({"IMPEDITIVO"},MATCH(TRUE,ISNUMBER(FIND(SUBSTITUTE(SUBSTITUTE(UPPER({"IMPEDITIVO"})," ",""),":",": "),SUBSTITUTE(SUBSTITUTE(UPPER(S1952)," ",""),":",": "))),0)),"-")</f>
        <v>-</v>
      </c>
      <c r="K1952" s="49"/>
    </row>
    <row r="1953" spans="1:11" x14ac:dyDescent="0.25">
      <c r="A1953" s="46" t="str" cm="1">
        <f t="array" ref="A1953">IFERROR(INDEX(#REF!,MATCH(TRUE,ISNUMBER(FIND(SUBSTITUTE(SUBSTITUTE(UPPER(#REF!)," ",""),":",": "),SUBSTITUTE(SUBSTITUTE(UPPER(S1953)," ",""),":",": "))),0)),"Undefined")</f>
        <v>Undefined</v>
      </c>
      <c r="B1953" s="42" t="str" cm="1">
        <f t="array" ref="B1953">IFERROR(INDEX({"URGENTE"},MATCH(TRUE,ISNUMBER(FIND(SUBSTITUTE(SUBSTITUTE(UPPER({"URGENTE"})," ",""),":",": "),SUBSTITUTE(SUBSTITUTE(UPPER(S1953)," ",""),":",": "))),0)),"-")</f>
        <v>-</v>
      </c>
      <c r="C1953" s="46" t="str" cm="1">
        <f t="array" ref="C1953">IFERROR(INDEX(#REF!,MATCH(TRUE,ISNUMBER(FIND(SUBSTITUTE(SUBSTITUTE(UPPER(#REF!)," ",""),":",": "),SUBSTITUTE(SUBSTITUTE(UPPER(S1953)," ",""),":",": "))),0)),"Não encontrado")</f>
        <v>Não encontrado</v>
      </c>
      <c r="D1953" s="46" t="str" cm="1">
        <f t="array" ref="D1953">IFERROR(INDEX(#REF!,MATCH(TRUE,ISNUMBER(FIND(SUBSTITUTE(SUBSTITUTE(UPPER(#REF!)," ",""),":",": "),SUBSTITUTE(SUBSTITUTE(UPPER(S1953)," ",""),":",": "))),0)),"Não encontrado")</f>
        <v>Não encontrado</v>
      </c>
      <c r="E1953" s="42" t="str" cm="1">
        <f t="array" ref="E1953">IFERROR(INDEX({"IMPEDITIVO"},MATCH(TRUE,ISNUMBER(FIND(SUBSTITUTE(SUBSTITUTE(UPPER({"IMPEDITIVO"})," ",""),":",": "),SUBSTITUTE(SUBSTITUTE(UPPER(S1953)," ",""),":",": "))),0)),"-")</f>
        <v>-</v>
      </c>
      <c r="K1953" s="49"/>
    </row>
    <row r="1954" spans="1:11" x14ac:dyDescent="0.25">
      <c r="A1954" s="46" t="str" cm="1">
        <f t="array" ref="A1954">IFERROR(INDEX(#REF!,MATCH(TRUE,ISNUMBER(FIND(SUBSTITUTE(SUBSTITUTE(UPPER(#REF!)," ",""),":",": "),SUBSTITUTE(SUBSTITUTE(UPPER(S1954)," ",""),":",": "))),0)),"Undefined")</f>
        <v>Undefined</v>
      </c>
      <c r="B1954" s="42" t="str" cm="1">
        <f t="array" ref="B1954">IFERROR(INDEX({"URGENTE"},MATCH(TRUE,ISNUMBER(FIND(SUBSTITUTE(SUBSTITUTE(UPPER({"URGENTE"})," ",""),":",": "),SUBSTITUTE(SUBSTITUTE(UPPER(S1954)," ",""),":",": "))),0)),"-")</f>
        <v>-</v>
      </c>
      <c r="C1954" s="46" t="str" cm="1">
        <f t="array" ref="C1954">IFERROR(INDEX(#REF!,MATCH(TRUE,ISNUMBER(FIND(SUBSTITUTE(SUBSTITUTE(UPPER(#REF!)," ",""),":",": "),SUBSTITUTE(SUBSTITUTE(UPPER(S1954)," ",""),":",": "))),0)),"Não encontrado")</f>
        <v>Não encontrado</v>
      </c>
      <c r="D1954" s="46" t="str" cm="1">
        <f t="array" ref="D1954">IFERROR(INDEX(#REF!,MATCH(TRUE,ISNUMBER(FIND(SUBSTITUTE(SUBSTITUTE(UPPER(#REF!)," ",""),":",": "),SUBSTITUTE(SUBSTITUTE(UPPER(S1954)," ",""),":",": "))),0)),"Não encontrado")</f>
        <v>Não encontrado</v>
      </c>
      <c r="E1954" s="42" t="str" cm="1">
        <f t="array" ref="E1954">IFERROR(INDEX({"IMPEDITIVO"},MATCH(TRUE,ISNUMBER(FIND(SUBSTITUTE(SUBSTITUTE(UPPER({"IMPEDITIVO"})," ",""),":",": "),SUBSTITUTE(SUBSTITUTE(UPPER(S1954)," ",""),":",": "))),0)),"-")</f>
        <v>-</v>
      </c>
      <c r="K1954" s="49"/>
    </row>
    <row r="1955" spans="1:11" x14ac:dyDescent="0.25">
      <c r="A1955" s="46" t="str" cm="1">
        <f t="array" ref="A1955">IFERROR(INDEX(#REF!,MATCH(TRUE,ISNUMBER(FIND(SUBSTITUTE(SUBSTITUTE(UPPER(#REF!)," ",""),":",": "),SUBSTITUTE(SUBSTITUTE(UPPER(S1955)," ",""),":",": "))),0)),"Undefined")</f>
        <v>Undefined</v>
      </c>
      <c r="B1955" s="42" t="str" cm="1">
        <f t="array" ref="B1955">IFERROR(INDEX({"URGENTE"},MATCH(TRUE,ISNUMBER(FIND(SUBSTITUTE(SUBSTITUTE(UPPER({"URGENTE"})," ",""),":",": "),SUBSTITUTE(SUBSTITUTE(UPPER(S1955)," ",""),":",": "))),0)),"-")</f>
        <v>-</v>
      </c>
      <c r="C1955" s="46" t="str" cm="1">
        <f t="array" ref="C1955">IFERROR(INDEX(#REF!,MATCH(TRUE,ISNUMBER(FIND(SUBSTITUTE(SUBSTITUTE(UPPER(#REF!)," ",""),":",": "),SUBSTITUTE(SUBSTITUTE(UPPER(S1955)," ",""),":",": "))),0)),"Não encontrado")</f>
        <v>Não encontrado</v>
      </c>
      <c r="D1955" s="46" t="str" cm="1">
        <f t="array" ref="D1955">IFERROR(INDEX(#REF!,MATCH(TRUE,ISNUMBER(FIND(SUBSTITUTE(SUBSTITUTE(UPPER(#REF!)," ",""),":",": "),SUBSTITUTE(SUBSTITUTE(UPPER(S1955)," ",""),":",": "))),0)),"Não encontrado")</f>
        <v>Não encontrado</v>
      </c>
      <c r="E1955" s="42" t="str" cm="1">
        <f t="array" ref="E1955">IFERROR(INDEX({"IMPEDITIVO"},MATCH(TRUE,ISNUMBER(FIND(SUBSTITUTE(SUBSTITUTE(UPPER({"IMPEDITIVO"})," ",""),":",": "),SUBSTITUTE(SUBSTITUTE(UPPER(S1955)," ",""),":",": "))),0)),"-")</f>
        <v>-</v>
      </c>
      <c r="K1955" s="49"/>
    </row>
    <row r="1956" spans="1:11" x14ac:dyDescent="0.25">
      <c r="A1956" s="46" t="str" cm="1">
        <f t="array" ref="A1956">IFERROR(INDEX(#REF!,MATCH(TRUE,ISNUMBER(FIND(SUBSTITUTE(SUBSTITUTE(UPPER(#REF!)," ",""),":",": "),SUBSTITUTE(SUBSTITUTE(UPPER(S1956)," ",""),":",": "))),0)),"Undefined")</f>
        <v>Undefined</v>
      </c>
      <c r="B1956" s="42" t="str" cm="1">
        <f t="array" ref="B1956">IFERROR(INDEX({"URGENTE"},MATCH(TRUE,ISNUMBER(FIND(SUBSTITUTE(SUBSTITUTE(UPPER({"URGENTE"})," ",""),":",": "),SUBSTITUTE(SUBSTITUTE(UPPER(S1956)," ",""),":",": "))),0)),"-")</f>
        <v>-</v>
      </c>
      <c r="C1956" s="46" t="str" cm="1">
        <f t="array" ref="C1956">IFERROR(INDEX(#REF!,MATCH(TRUE,ISNUMBER(FIND(SUBSTITUTE(SUBSTITUTE(UPPER(#REF!)," ",""),":",": "),SUBSTITUTE(SUBSTITUTE(UPPER(S1956)," ",""),":",": "))),0)),"Não encontrado")</f>
        <v>Não encontrado</v>
      </c>
      <c r="D1956" s="46" t="str" cm="1">
        <f t="array" ref="D1956">IFERROR(INDEX(#REF!,MATCH(TRUE,ISNUMBER(FIND(SUBSTITUTE(SUBSTITUTE(UPPER(#REF!)," ",""),":",": "),SUBSTITUTE(SUBSTITUTE(UPPER(S1956)," ",""),":",": "))),0)),"Não encontrado")</f>
        <v>Não encontrado</v>
      </c>
      <c r="E1956" s="42" t="str" cm="1">
        <f t="array" ref="E1956">IFERROR(INDEX({"IMPEDITIVO"},MATCH(TRUE,ISNUMBER(FIND(SUBSTITUTE(SUBSTITUTE(UPPER({"IMPEDITIVO"})," ",""),":",": "),SUBSTITUTE(SUBSTITUTE(UPPER(S1956)," ",""),":",": "))),0)),"-")</f>
        <v>-</v>
      </c>
      <c r="K1956" s="49"/>
    </row>
    <row r="1957" spans="1:11" x14ac:dyDescent="0.25">
      <c r="A1957" s="46" t="str" cm="1">
        <f t="array" ref="A1957">IFERROR(INDEX(#REF!,MATCH(TRUE,ISNUMBER(FIND(SUBSTITUTE(SUBSTITUTE(UPPER(#REF!)," ",""),":",": "),SUBSTITUTE(SUBSTITUTE(UPPER(S1957)," ",""),":",": "))),0)),"Undefined")</f>
        <v>Undefined</v>
      </c>
      <c r="B1957" s="42" t="str" cm="1">
        <f t="array" ref="B1957">IFERROR(INDEX({"URGENTE"},MATCH(TRUE,ISNUMBER(FIND(SUBSTITUTE(SUBSTITUTE(UPPER({"URGENTE"})," ",""),":",": "),SUBSTITUTE(SUBSTITUTE(UPPER(S1957)," ",""),":",": "))),0)),"-")</f>
        <v>-</v>
      </c>
      <c r="C1957" s="46" t="str" cm="1">
        <f t="array" ref="C1957">IFERROR(INDEX(#REF!,MATCH(TRUE,ISNUMBER(FIND(SUBSTITUTE(SUBSTITUTE(UPPER(#REF!)," ",""),":",": "),SUBSTITUTE(SUBSTITUTE(UPPER(S1957)," ",""),":",": "))),0)),"Não encontrado")</f>
        <v>Não encontrado</v>
      </c>
      <c r="D1957" s="46" t="str" cm="1">
        <f t="array" ref="D1957">IFERROR(INDEX(#REF!,MATCH(TRUE,ISNUMBER(FIND(SUBSTITUTE(SUBSTITUTE(UPPER(#REF!)," ",""),":",": "),SUBSTITUTE(SUBSTITUTE(UPPER(S1957)," ",""),":",": "))),0)),"Não encontrado")</f>
        <v>Não encontrado</v>
      </c>
      <c r="E1957" s="42" t="str" cm="1">
        <f t="array" ref="E1957">IFERROR(INDEX({"IMPEDITIVO"},MATCH(TRUE,ISNUMBER(FIND(SUBSTITUTE(SUBSTITUTE(UPPER({"IMPEDITIVO"})," ",""),":",": "),SUBSTITUTE(SUBSTITUTE(UPPER(S1957)," ",""),":",": "))),0)),"-")</f>
        <v>-</v>
      </c>
      <c r="K1957" s="49"/>
    </row>
    <row r="1958" spans="1:11" x14ac:dyDescent="0.25">
      <c r="A1958" s="46" t="str" cm="1">
        <f t="array" ref="A1958">IFERROR(INDEX(#REF!,MATCH(TRUE,ISNUMBER(FIND(SUBSTITUTE(SUBSTITUTE(UPPER(#REF!)," ",""),":",": "),SUBSTITUTE(SUBSTITUTE(UPPER(S1958)," ",""),":",": "))),0)),"Undefined")</f>
        <v>Undefined</v>
      </c>
      <c r="B1958" s="42" t="str" cm="1">
        <f t="array" ref="B1958">IFERROR(INDEX({"URGENTE"},MATCH(TRUE,ISNUMBER(FIND(SUBSTITUTE(SUBSTITUTE(UPPER({"URGENTE"})," ",""),":",": "),SUBSTITUTE(SUBSTITUTE(UPPER(S1958)," ",""),":",": "))),0)),"-")</f>
        <v>-</v>
      </c>
      <c r="C1958" s="46" t="str" cm="1">
        <f t="array" ref="C1958">IFERROR(INDEX(#REF!,MATCH(TRUE,ISNUMBER(FIND(SUBSTITUTE(SUBSTITUTE(UPPER(#REF!)," ",""),":",": "),SUBSTITUTE(SUBSTITUTE(UPPER(S1958)," ",""),":",": "))),0)),"Não encontrado")</f>
        <v>Não encontrado</v>
      </c>
      <c r="D1958" s="46" t="str" cm="1">
        <f t="array" ref="D1958">IFERROR(INDEX(#REF!,MATCH(TRUE,ISNUMBER(FIND(SUBSTITUTE(SUBSTITUTE(UPPER(#REF!)," ",""),":",": "),SUBSTITUTE(SUBSTITUTE(UPPER(S1958)," ",""),":",": "))),0)),"Não encontrado")</f>
        <v>Não encontrado</v>
      </c>
      <c r="E1958" s="42" t="str" cm="1">
        <f t="array" ref="E1958">IFERROR(INDEX({"IMPEDITIVO"},MATCH(TRUE,ISNUMBER(FIND(SUBSTITUTE(SUBSTITUTE(UPPER({"IMPEDITIVO"})," ",""),":",": "),SUBSTITUTE(SUBSTITUTE(UPPER(S1958)," ",""),":",": "))),0)),"-")</f>
        <v>-</v>
      </c>
      <c r="K1958" s="49"/>
    </row>
    <row r="1959" spans="1:11" x14ac:dyDescent="0.25">
      <c r="A1959" s="46" t="str" cm="1">
        <f t="array" ref="A1959">IFERROR(INDEX(#REF!,MATCH(TRUE,ISNUMBER(FIND(SUBSTITUTE(SUBSTITUTE(UPPER(#REF!)," ",""),":",": "),SUBSTITUTE(SUBSTITUTE(UPPER(S1959)," ",""),":",": "))),0)),"Undefined")</f>
        <v>Undefined</v>
      </c>
      <c r="B1959" s="42" t="str" cm="1">
        <f t="array" ref="B1959">IFERROR(INDEX({"URGENTE"},MATCH(TRUE,ISNUMBER(FIND(SUBSTITUTE(SUBSTITUTE(UPPER({"URGENTE"})," ",""),":",": "),SUBSTITUTE(SUBSTITUTE(UPPER(S1959)," ",""),":",": "))),0)),"-")</f>
        <v>-</v>
      </c>
      <c r="C1959" s="46" t="str" cm="1">
        <f t="array" ref="C1959">IFERROR(INDEX(#REF!,MATCH(TRUE,ISNUMBER(FIND(SUBSTITUTE(SUBSTITUTE(UPPER(#REF!)," ",""),":",": "),SUBSTITUTE(SUBSTITUTE(UPPER(S1959)," ",""),":",": "))),0)),"Não encontrado")</f>
        <v>Não encontrado</v>
      </c>
      <c r="D1959" s="46" t="str" cm="1">
        <f t="array" ref="D1959">IFERROR(INDEX(#REF!,MATCH(TRUE,ISNUMBER(FIND(SUBSTITUTE(SUBSTITUTE(UPPER(#REF!)," ",""),":",": "),SUBSTITUTE(SUBSTITUTE(UPPER(S1959)," ",""),":",": "))),0)),"Não encontrado")</f>
        <v>Não encontrado</v>
      </c>
      <c r="E1959" s="42" t="str" cm="1">
        <f t="array" ref="E1959">IFERROR(INDEX({"IMPEDITIVO"},MATCH(TRUE,ISNUMBER(FIND(SUBSTITUTE(SUBSTITUTE(UPPER({"IMPEDITIVO"})," ",""),":",": "),SUBSTITUTE(SUBSTITUTE(UPPER(S1959)," ",""),":",": "))),0)),"-")</f>
        <v>-</v>
      </c>
      <c r="K1959" s="49"/>
    </row>
    <row r="1960" spans="1:11" x14ac:dyDescent="0.25">
      <c r="A1960" s="46" t="str" cm="1">
        <f t="array" ref="A1960">IFERROR(INDEX(#REF!,MATCH(TRUE,ISNUMBER(FIND(SUBSTITUTE(SUBSTITUTE(UPPER(#REF!)," ",""),":",": "),SUBSTITUTE(SUBSTITUTE(UPPER(S1960)," ",""),":",": "))),0)),"Undefined")</f>
        <v>Undefined</v>
      </c>
      <c r="B1960" s="42" t="str" cm="1">
        <f t="array" ref="B1960">IFERROR(INDEX({"URGENTE"},MATCH(TRUE,ISNUMBER(FIND(SUBSTITUTE(SUBSTITUTE(UPPER({"URGENTE"})," ",""),":",": "),SUBSTITUTE(SUBSTITUTE(UPPER(S1960)," ",""),":",": "))),0)),"-")</f>
        <v>-</v>
      </c>
      <c r="C1960" s="46" t="str" cm="1">
        <f t="array" ref="C1960">IFERROR(INDEX(#REF!,MATCH(TRUE,ISNUMBER(FIND(SUBSTITUTE(SUBSTITUTE(UPPER(#REF!)," ",""),":",": "),SUBSTITUTE(SUBSTITUTE(UPPER(S1960)," ",""),":",": "))),0)),"Não encontrado")</f>
        <v>Não encontrado</v>
      </c>
      <c r="D1960" s="46" t="str" cm="1">
        <f t="array" ref="D1960">IFERROR(INDEX(#REF!,MATCH(TRUE,ISNUMBER(FIND(SUBSTITUTE(SUBSTITUTE(UPPER(#REF!)," ",""),":",": "),SUBSTITUTE(SUBSTITUTE(UPPER(S1960)," ",""),":",": "))),0)),"Não encontrado")</f>
        <v>Não encontrado</v>
      </c>
      <c r="E1960" s="42" t="str" cm="1">
        <f t="array" ref="E1960">IFERROR(INDEX({"IMPEDITIVO"},MATCH(TRUE,ISNUMBER(FIND(SUBSTITUTE(SUBSTITUTE(UPPER({"IMPEDITIVO"})," ",""),":",": "),SUBSTITUTE(SUBSTITUTE(UPPER(S1960)," ",""),":",": "))),0)),"-")</f>
        <v>-</v>
      </c>
      <c r="K1960" s="49"/>
    </row>
    <row r="1961" spans="1:11" x14ac:dyDescent="0.25">
      <c r="A1961" s="46" t="str" cm="1">
        <f t="array" ref="A1961">IFERROR(INDEX(#REF!,MATCH(TRUE,ISNUMBER(FIND(SUBSTITUTE(SUBSTITUTE(UPPER(#REF!)," ",""),":",": "),SUBSTITUTE(SUBSTITUTE(UPPER(S1961)," ",""),":",": "))),0)),"Undefined")</f>
        <v>Undefined</v>
      </c>
      <c r="B1961" s="42" t="str" cm="1">
        <f t="array" ref="B1961">IFERROR(INDEX({"URGENTE"},MATCH(TRUE,ISNUMBER(FIND(SUBSTITUTE(SUBSTITUTE(UPPER({"URGENTE"})," ",""),":",": "),SUBSTITUTE(SUBSTITUTE(UPPER(S1961)," ",""),":",": "))),0)),"-")</f>
        <v>-</v>
      </c>
      <c r="C1961" s="46" t="str" cm="1">
        <f t="array" ref="C1961">IFERROR(INDEX(#REF!,MATCH(TRUE,ISNUMBER(FIND(SUBSTITUTE(SUBSTITUTE(UPPER(#REF!)," ",""),":",": "),SUBSTITUTE(SUBSTITUTE(UPPER(S1961)," ",""),":",": "))),0)),"Não encontrado")</f>
        <v>Não encontrado</v>
      </c>
      <c r="D1961" s="46" t="str" cm="1">
        <f t="array" ref="D1961">IFERROR(INDEX(#REF!,MATCH(TRUE,ISNUMBER(FIND(SUBSTITUTE(SUBSTITUTE(UPPER(#REF!)," ",""),":",": "),SUBSTITUTE(SUBSTITUTE(UPPER(S1961)," ",""),":",": "))),0)),"Não encontrado")</f>
        <v>Não encontrado</v>
      </c>
      <c r="E1961" s="42" t="str" cm="1">
        <f t="array" ref="E1961">IFERROR(INDEX({"IMPEDITIVO"},MATCH(TRUE,ISNUMBER(FIND(SUBSTITUTE(SUBSTITUTE(UPPER({"IMPEDITIVO"})," ",""),":",": "),SUBSTITUTE(SUBSTITUTE(UPPER(S1961)," ",""),":",": "))),0)),"-")</f>
        <v>-</v>
      </c>
      <c r="K1961" s="49"/>
    </row>
    <row r="1962" spans="1:11" x14ac:dyDescent="0.25">
      <c r="A1962" s="46" t="str" cm="1">
        <f t="array" ref="A1962">IFERROR(INDEX(#REF!,MATCH(TRUE,ISNUMBER(FIND(SUBSTITUTE(SUBSTITUTE(UPPER(#REF!)," ",""),":",": "),SUBSTITUTE(SUBSTITUTE(UPPER(S1962)," ",""),":",": "))),0)),"Undefined")</f>
        <v>Undefined</v>
      </c>
      <c r="B1962" s="42" t="str" cm="1">
        <f t="array" ref="B1962">IFERROR(INDEX({"URGENTE"},MATCH(TRUE,ISNUMBER(FIND(SUBSTITUTE(SUBSTITUTE(UPPER({"URGENTE"})," ",""),":",": "),SUBSTITUTE(SUBSTITUTE(UPPER(S1962)," ",""),":",": "))),0)),"-")</f>
        <v>-</v>
      </c>
      <c r="C1962" s="46" t="str" cm="1">
        <f t="array" ref="C1962">IFERROR(INDEX(#REF!,MATCH(TRUE,ISNUMBER(FIND(SUBSTITUTE(SUBSTITUTE(UPPER(#REF!)," ",""),":",": "),SUBSTITUTE(SUBSTITUTE(UPPER(S1962)," ",""),":",": "))),0)),"Não encontrado")</f>
        <v>Não encontrado</v>
      </c>
      <c r="D1962" s="46" t="str" cm="1">
        <f t="array" ref="D1962">IFERROR(INDEX(#REF!,MATCH(TRUE,ISNUMBER(FIND(SUBSTITUTE(SUBSTITUTE(UPPER(#REF!)," ",""),":",": "),SUBSTITUTE(SUBSTITUTE(UPPER(S1962)," ",""),":",": "))),0)),"Não encontrado")</f>
        <v>Não encontrado</v>
      </c>
      <c r="E1962" s="42" t="str" cm="1">
        <f t="array" ref="E1962">IFERROR(INDEX({"IMPEDITIVO"},MATCH(TRUE,ISNUMBER(FIND(SUBSTITUTE(SUBSTITUTE(UPPER({"IMPEDITIVO"})," ",""),":",": "),SUBSTITUTE(SUBSTITUTE(UPPER(S1962)," ",""),":",": "))),0)),"-")</f>
        <v>-</v>
      </c>
      <c r="K1962" s="49"/>
    </row>
    <row r="1963" spans="1:11" x14ac:dyDescent="0.25">
      <c r="A1963" s="46" t="str" cm="1">
        <f t="array" ref="A1963">IFERROR(INDEX(#REF!,MATCH(TRUE,ISNUMBER(FIND(SUBSTITUTE(SUBSTITUTE(UPPER(#REF!)," ",""),":",": "),SUBSTITUTE(SUBSTITUTE(UPPER(S1963)," ",""),":",": "))),0)),"Undefined")</f>
        <v>Undefined</v>
      </c>
      <c r="B1963" s="42" t="str" cm="1">
        <f t="array" ref="B1963">IFERROR(INDEX({"URGENTE"},MATCH(TRUE,ISNUMBER(FIND(SUBSTITUTE(SUBSTITUTE(UPPER({"URGENTE"})," ",""),":",": "),SUBSTITUTE(SUBSTITUTE(UPPER(S1963)," ",""),":",": "))),0)),"-")</f>
        <v>-</v>
      </c>
      <c r="C1963" s="46" t="str" cm="1">
        <f t="array" ref="C1963">IFERROR(INDEX(#REF!,MATCH(TRUE,ISNUMBER(FIND(SUBSTITUTE(SUBSTITUTE(UPPER(#REF!)," ",""),":",": "),SUBSTITUTE(SUBSTITUTE(UPPER(S1963)," ",""),":",": "))),0)),"Não encontrado")</f>
        <v>Não encontrado</v>
      </c>
      <c r="D1963" s="46" t="str" cm="1">
        <f t="array" ref="D1963">IFERROR(INDEX(#REF!,MATCH(TRUE,ISNUMBER(FIND(SUBSTITUTE(SUBSTITUTE(UPPER(#REF!)," ",""),":",": "),SUBSTITUTE(SUBSTITUTE(UPPER(S1963)," ",""),":",": "))),0)),"Não encontrado")</f>
        <v>Não encontrado</v>
      </c>
      <c r="E1963" s="42" t="str" cm="1">
        <f t="array" ref="E1963">IFERROR(INDEX({"IMPEDITIVO"},MATCH(TRUE,ISNUMBER(FIND(SUBSTITUTE(SUBSTITUTE(UPPER({"IMPEDITIVO"})," ",""),":",": "),SUBSTITUTE(SUBSTITUTE(UPPER(S1963)," ",""),":",": "))),0)),"-")</f>
        <v>-</v>
      </c>
      <c r="K1963" s="49"/>
    </row>
    <row r="1964" spans="1:11" x14ac:dyDescent="0.25">
      <c r="A1964" s="46" t="str" cm="1">
        <f t="array" ref="A1964">IFERROR(INDEX(#REF!,MATCH(TRUE,ISNUMBER(FIND(SUBSTITUTE(SUBSTITUTE(UPPER(#REF!)," ",""),":",": "),SUBSTITUTE(SUBSTITUTE(UPPER(S1964)," ",""),":",": "))),0)),"Undefined")</f>
        <v>Undefined</v>
      </c>
      <c r="B1964" s="42" t="str" cm="1">
        <f t="array" ref="B1964">IFERROR(INDEX({"URGENTE"},MATCH(TRUE,ISNUMBER(FIND(SUBSTITUTE(SUBSTITUTE(UPPER({"URGENTE"})," ",""),":",": "),SUBSTITUTE(SUBSTITUTE(UPPER(S1964)," ",""),":",": "))),0)),"-")</f>
        <v>-</v>
      </c>
      <c r="C1964" s="46" t="str" cm="1">
        <f t="array" ref="C1964">IFERROR(INDEX(#REF!,MATCH(TRUE,ISNUMBER(FIND(SUBSTITUTE(SUBSTITUTE(UPPER(#REF!)," ",""),":",": "),SUBSTITUTE(SUBSTITUTE(UPPER(S1964)," ",""),":",": "))),0)),"Não encontrado")</f>
        <v>Não encontrado</v>
      </c>
      <c r="D1964" s="46" t="str" cm="1">
        <f t="array" ref="D1964">IFERROR(INDEX(#REF!,MATCH(TRUE,ISNUMBER(FIND(SUBSTITUTE(SUBSTITUTE(UPPER(#REF!)," ",""),":",": "),SUBSTITUTE(SUBSTITUTE(UPPER(S1964)," ",""),":",": "))),0)),"Não encontrado")</f>
        <v>Não encontrado</v>
      </c>
      <c r="E1964" s="42" t="str" cm="1">
        <f t="array" ref="E1964">IFERROR(INDEX({"IMPEDITIVO"},MATCH(TRUE,ISNUMBER(FIND(SUBSTITUTE(SUBSTITUTE(UPPER({"IMPEDITIVO"})," ",""),":",": "),SUBSTITUTE(SUBSTITUTE(UPPER(S1964)," ",""),":",": "))),0)),"-")</f>
        <v>-</v>
      </c>
      <c r="K1964" s="49"/>
    </row>
    <row r="1965" spans="1:11" x14ac:dyDescent="0.25">
      <c r="A1965" s="46" t="str" cm="1">
        <f t="array" ref="A1965">IFERROR(INDEX(#REF!,MATCH(TRUE,ISNUMBER(FIND(SUBSTITUTE(SUBSTITUTE(UPPER(#REF!)," ",""),":",": "),SUBSTITUTE(SUBSTITUTE(UPPER(S1965)," ",""),":",": "))),0)),"Undefined")</f>
        <v>Undefined</v>
      </c>
      <c r="B1965" s="42" t="str" cm="1">
        <f t="array" ref="B1965">IFERROR(INDEX({"URGENTE"},MATCH(TRUE,ISNUMBER(FIND(SUBSTITUTE(SUBSTITUTE(UPPER({"URGENTE"})," ",""),":",": "),SUBSTITUTE(SUBSTITUTE(UPPER(S1965)," ",""),":",": "))),0)),"-")</f>
        <v>-</v>
      </c>
      <c r="C1965" s="46" t="str" cm="1">
        <f t="array" ref="C1965">IFERROR(INDEX(#REF!,MATCH(TRUE,ISNUMBER(FIND(SUBSTITUTE(SUBSTITUTE(UPPER(#REF!)," ",""),":",": "),SUBSTITUTE(SUBSTITUTE(UPPER(S1965)," ",""),":",": "))),0)),"Não encontrado")</f>
        <v>Não encontrado</v>
      </c>
      <c r="D1965" s="46" t="str" cm="1">
        <f t="array" ref="D1965">IFERROR(INDEX(#REF!,MATCH(TRUE,ISNUMBER(FIND(SUBSTITUTE(SUBSTITUTE(UPPER(#REF!)," ",""),":",": "),SUBSTITUTE(SUBSTITUTE(UPPER(S1965)," ",""),":",": "))),0)),"Não encontrado")</f>
        <v>Não encontrado</v>
      </c>
      <c r="E1965" s="42" t="str" cm="1">
        <f t="array" ref="E1965">IFERROR(INDEX({"IMPEDITIVO"},MATCH(TRUE,ISNUMBER(FIND(SUBSTITUTE(SUBSTITUTE(UPPER({"IMPEDITIVO"})," ",""),":",": "),SUBSTITUTE(SUBSTITUTE(UPPER(S1965)," ",""),":",": "))),0)),"-")</f>
        <v>-</v>
      </c>
      <c r="K1965" s="49"/>
    </row>
    <row r="1966" spans="1:11" x14ac:dyDescent="0.25">
      <c r="A1966" s="46" t="str" cm="1">
        <f t="array" ref="A1966">IFERROR(INDEX(#REF!,MATCH(TRUE,ISNUMBER(FIND(SUBSTITUTE(SUBSTITUTE(UPPER(#REF!)," ",""),":",": "),SUBSTITUTE(SUBSTITUTE(UPPER(S1966)," ",""),":",": "))),0)),"Undefined")</f>
        <v>Undefined</v>
      </c>
      <c r="B1966" s="42" t="str" cm="1">
        <f t="array" ref="B1966">IFERROR(INDEX({"URGENTE"},MATCH(TRUE,ISNUMBER(FIND(SUBSTITUTE(SUBSTITUTE(UPPER({"URGENTE"})," ",""),":",": "),SUBSTITUTE(SUBSTITUTE(UPPER(S1966)," ",""),":",": "))),0)),"-")</f>
        <v>-</v>
      </c>
      <c r="C1966" s="46" t="str" cm="1">
        <f t="array" ref="C1966">IFERROR(INDEX(#REF!,MATCH(TRUE,ISNUMBER(FIND(SUBSTITUTE(SUBSTITUTE(UPPER(#REF!)," ",""),":",": "),SUBSTITUTE(SUBSTITUTE(UPPER(S1966)," ",""),":",": "))),0)),"Não encontrado")</f>
        <v>Não encontrado</v>
      </c>
      <c r="D1966" s="46" t="str" cm="1">
        <f t="array" ref="D1966">IFERROR(INDEX(#REF!,MATCH(TRUE,ISNUMBER(FIND(SUBSTITUTE(SUBSTITUTE(UPPER(#REF!)," ",""),":",": "),SUBSTITUTE(SUBSTITUTE(UPPER(S1966)," ",""),":",": "))),0)),"Não encontrado")</f>
        <v>Não encontrado</v>
      </c>
      <c r="E1966" s="42" t="str" cm="1">
        <f t="array" ref="E1966">IFERROR(INDEX({"IMPEDITIVO"},MATCH(TRUE,ISNUMBER(FIND(SUBSTITUTE(SUBSTITUTE(UPPER({"IMPEDITIVO"})," ",""),":",": "),SUBSTITUTE(SUBSTITUTE(UPPER(S1966)," ",""),":",": "))),0)),"-")</f>
        <v>-</v>
      </c>
      <c r="K1966" s="49"/>
    </row>
    <row r="1967" spans="1:11" x14ac:dyDescent="0.25">
      <c r="A1967" s="46" t="str" cm="1">
        <f t="array" ref="A1967">IFERROR(INDEX(#REF!,MATCH(TRUE,ISNUMBER(FIND(SUBSTITUTE(SUBSTITUTE(UPPER(#REF!)," ",""),":",": "),SUBSTITUTE(SUBSTITUTE(UPPER(S1967)," ",""),":",": "))),0)),"Undefined")</f>
        <v>Undefined</v>
      </c>
      <c r="B1967" s="42" t="str" cm="1">
        <f t="array" ref="B1967">IFERROR(INDEX({"URGENTE"},MATCH(TRUE,ISNUMBER(FIND(SUBSTITUTE(SUBSTITUTE(UPPER({"URGENTE"})," ",""),":",": "),SUBSTITUTE(SUBSTITUTE(UPPER(S1967)," ",""),":",": "))),0)),"-")</f>
        <v>-</v>
      </c>
      <c r="C1967" s="46" t="str" cm="1">
        <f t="array" ref="C1967">IFERROR(INDEX(#REF!,MATCH(TRUE,ISNUMBER(FIND(SUBSTITUTE(SUBSTITUTE(UPPER(#REF!)," ",""),":",": "),SUBSTITUTE(SUBSTITUTE(UPPER(S1967)," ",""),":",": "))),0)),"Não encontrado")</f>
        <v>Não encontrado</v>
      </c>
      <c r="D1967" s="46" t="str" cm="1">
        <f t="array" ref="D1967">IFERROR(INDEX(#REF!,MATCH(TRUE,ISNUMBER(FIND(SUBSTITUTE(SUBSTITUTE(UPPER(#REF!)," ",""),":",": "),SUBSTITUTE(SUBSTITUTE(UPPER(S1967)," ",""),":",": "))),0)),"Não encontrado")</f>
        <v>Não encontrado</v>
      </c>
      <c r="E1967" s="42" t="str" cm="1">
        <f t="array" ref="E1967">IFERROR(INDEX({"IMPEDITIVO"},MATCH(TRUE,ISNUMBER(FIND(SUBSTITUTE(SUBSTITUTE(UPPER({"IMPEDITIVO"})," ",""),":",": "),SUBSTITUTE(SUBSTITUTE(UPPER(S1967)," ",""),":",": "))),0)),"-")</f>
        <v>-</v>
      </c>
      <c r="K1967" s="49"/>
    </row>
    <row r="1968" spans="1:11" x14ac:dyDescent="0.25">
      <c r="A1968" s="46" t="str" cm="1">
        <f t="array" ref="A1968">IFERROR(INDEX(#REF!,MATCH(TRUE,ISNUMBER(FIND(SUBSTITUTE(SUBSTITUTE(UPPER(#REF!)," ",""),":",": "),SUBSTITUTE(SUBSTITUTE(UPPER(S1968)," ",""),":",": "))),0)),"Undefined")</f>
        <v>Undefined</v>
      </c>
      <c r="B1968" s="42" t="str" cm="1">
        <f t="array" ref="B1968">IFERROR(INDEX({"URGENTE"},MATCH(TRUE,ISNUMBER(FIND(SUBSTITUTE(SUBSTITUTE(UPPER({"URGENTE"})," ",""),":",": "),SUBSTITUTE(SUBSTITUTE(UPPER(S1968)," ",""),":",": "))),0)),"-")</f>
        <v>-</v>
      </c>
      <c r="C1968" s="46" t="str" cm="1">
        <f t="array" ref="C1968">IFERROR(INDEX(#REF!,MATCH(TRUE,ISNUMBER(FIND(SUBSTITUTE(SUBSTITUTE(UPPER(#REF!)," ",""),":",": "),SUBSTITUTE(SUBSTITUTE(UPPER(S1968)," ",""),":",": "))),0)),"Não encontrado")</f>
        <v>Não encontrado</v>
      </c>
      <c r="D1968" s="46" t="str" cm="1">
        <f t="array" ref="D1968">IFERROR(INDEX(#REF!,MATCH(TRUE,ISNUMBER(FIND(SUBSTITUTE(SUBSTITUTE(UPPER(#REF!)," ",""),":",": "),SUBSTITUTE(SUBSTITUTE(UPPER(S1968)," ",""),":",": "))),0)),"Não encontrado")</f>
        <v>Não encontrado</v>
      </c>
      <c r="E1968" s="42" t="str" cm="1">
        <f t="array" ref="E1968">IFERROR(INDEX({"IMPEDITIVO"},MATCH(TRUE,ISNUMBER(FIND(SUBSTITUTE(SUBSTITUTE(UPPER({"IMPEDITIVO"})," ",""),":",": "),SUBSTITUTE(SUBSTITUTE(UPPER(S1968)," ",""),":",": "))),0)),"-")</f>
        <v>-</v>
      </c>
      <c r="K1968" s="49"/>
    </row>
    <row r="1969" spans="1:11" x14ac:dyDescent="0.25">
      <c r="A1969" s="46" t="str" cm="1">
        <f t="array" ref="A1969">IFERROR(INDEX(#REF!,MATCH(TRUE,ISNUMBER(FIND(SUBSTITUTE(SUBSTITUTE(UPPER(#REF!)," ",""),":",": "),SUBSTITUTE(SUBSTITUTE(UPPER(S1969)," ",""),":",": "))),0)),"Undefined")</f>
        <v>Undefined</v>
      </c>
      <c r="B1969" s="42" t="str" cm="1">
        <f t="array" ref="B1969">IFERROR(INDEX({"URGENTE"},MATCH(TRUE,ISNUMBER(FIND(SUBSTITUTE(SUBSTITUTE(UPPER({"URGENTE"})," ",""),":",": "),SUBSTITUTE(SUBSTITUTE(UPPER(S1969)," ",""),":",": "))),0)),"-")</f>
        <v>-</v>
      </c>
      <c r="C1969" s="46" t="str" cm="1">
        <f t="array" ref="C1969">IFERROR(INDEX(#REF!,MATCH(TRUE,ISNUMBER(FIND(SUBSTITUTE(SUBSTITUTE(UPPER(#REF!)," ",""),":",": "),SUBSTITUTE(SUBSTITUTE(UPPER(S1969)," ",""),":",": "))),0)),"Não encontrado")</f>
        <v>Não encontrado</v>
      </c>
      <c r="D1969" s="46" t="str" cm="1">
        <f t="array" ref="D1969">IFERROR(INDEX(#REF!,MATCH(TRUE,ISNUMBER(FIND(SUBSTITUTE(SUBSTITUTE(UPPER(#REF!)," ",""),":",": "),SUBSTITUTE(SUBSTITUTE(UPPER(S1969)," ",""),":",": "))),0)),"Não encontrado")</f>
        <v>Não encontrado</v>
      </c>
      <c r="E1969" s="42" t="str" cm="1">
        <f t="array" ref="E1969">IFERROR(INDEX({"IMPEDITIVO"},MATCH(TRUE,ISNUMBER(FIND(SUBSTITUTE(SUBSTITUTE(UPPER({"IMPEDITIVO"})," ",""),":",": "),SUBSTITUTE(SUBSTITUTE(UPPER(S1969)," ",""),":",": "))),0)),"-")</f>
        <v>-</v>
      </c>
      <c r="K1969" s="49"/>
    </row>
    <row r="1970" spans="1:11" x14ac:dyDescent="0.25">
      <c r="A1970" s="46" t="str" cm="1">
        <f t="array" ref="A1970">IFERROR(INDEX(#REF!,MATCH(TRUE,ISNUMBER(FIND(SUBSTITUTE(SUBSTITUTE(UPPER(#REF!)," ",""),":",": "),SUBSTITUTE(SUBSTITUTE(UPPER(S1970)," ",""),":",": "))),0)),"Undefined")</f>
        <v>Undefined</v>
      </c>
      <c r="B1970" s="42" t="str" cm="1">
        <f t="array" ref="B1970">IFERROR(INDEX({"URGENTE"},MATCH(TRUE,ISNUMBER(FIND(SUBSTITUTE(SUBSTITUTE(UPPER({"URGENTE"})," ",""),":",": "),SUBSTITUTE(SUBSTITUTE(UPPER(S1970)," ",""),":",": "))),0)),"-")</f>
        <v>-</v>
      </c>
      <c r="C1970" s="46" t="str" cm="1">
        <f t="array" ref="C1970">IFERROR(INDEX(#REF!,MATCH(TRUE,ISNUMBER(FIND(SUBSTITUTE(SUBSTITUTE(UPPER(#REF!)," ",""),":",": "),SUBSTITUTE(SUBSTITUTE(UPPER(S1970)," ",""),":",": "))),0)),"Não encontrado")</f>
        <v>Não encontrado</v>
      </c>
      <c r="D1970" s="46" t="str" cm="1">
        <f t="array" ref="D1970">IFERROR(INDEX(#REF!,MATCH(TRUE,ISNUMBER(FIND(SUBSTITUTE(SUBSTITUTE(UPPER(#REF!)," ",""),":",": "),SUBSTITUTE(SUBSTITUTE(UPPER(S1970)," ",""),":",": "))),0)),"Não encontrado")</f>
        <v>Não encontrado</v>
      </c>
      <c r="E1970" s="42" t="str" cm="1">
        <f t="array" ref="E1970">IFERROR(INDEX({"IMPEDITIVO"},MATCH(TRUE,ISNUMBER(FIND(SUBSTITUTE(SUBSTITUTE(UPPER({"IMPEDITIVO"})," ",""),":",": "),SUBSTITUTE(SUBSTITUTE(UPPER(S1970)," ",""),":",": "))),0)),"-")</f>
        <v>-</v>
      </c>
      <c r="K1970" s="49"/>
    </row>
    <row r="1971" spans="1:11" x14ac:dyDescent="0.25">
      <c r="A1971" s="46" t="str" cm="1">
        <f t="array" ref="A1971">IFERROR(INDEX(#REF!,MATCH(TRUE,ISNUMBER(FIND(SUBSTITUTE(SUBSTITUTE(UPPER(#REF!)," ",""),":",": "),SUBSTITUTE(SUBSTITUTE(UPPER(S1971)," ",""),":",": "))),0)),"Undefined")</f>
        <v>Undefined</v>
      </c>
      <c r="B1971" s="42" t="str" cm="1">
        <f t="array" ref="B1971">IFERROR(INDEX({"URGENTE"},MATCH(TRUE,ISNUMBER(FIND(SUBSTITUTE(SUBSTITUTE(UPPER({"URGENTE"})," ",""),":",": "),SUBSTITUTE(SUBSTITUTE(UPPER(S1971)," ",""),":",": "))),0)),"-")</f>
        <v>-</v>
      </c>
      <c r="C1971" s="46" t="str" cm="1">
        <f t="array" ref="C1971">IFERROR(INDEX(#REF!,MATCH(TRUE,ISNUMBER(FIND(SUBSTITUTE(SUBSTITUTE(UPPER(#REF!)," ",""),":",": "),SUBSTITUTE(SUBSTITUTE(UPPER(S1971)," ",""),":",": "))),0)),"Não encontrado")</f>
        <v>Não encontrado</v>
      </c>
      <c r="D1971" s="46" t="str" cm="1">
        <f t="array" ref="D1971">IFERROR(INDEX(#REF!,MATCH(TRUE,ISNUMBER(FIND(SUBSTITUTE(SUBSTITUTE(UPPER(#REF!)," ",""),":",": "),SUBSTITUTE(SUBSTITUTE(UPPER(S1971)," ",""),":",": "))),0)),"Não encontrado")</f>
        <v>Não encontrado</v>
      </c>
      <c r="E1971" s="42" t="str" cm="1">
        <f t="array" ref="E1971">IFERROR(INDEX({"IMPEDITIVO"},MATCH(TRUE,ISNUMBER(FIND(SUBSTITUTE(SUBSTITUTE(UPPER({"IMPEDITIVO"})," ",""),":",": "),SUBSTITUTE(SUBSTITUTE(UPPER(S1971)," ",""),":",": "))),0)),"-")</f>
        <v>-</v>
      </c>
      <c r="K1971" s="49"/>
    </row>
    <row r="1972" spans="1:11" x14ac:dyDescent="0.25">
      <c r="A1972" s="46" t="str" cm="1">
        <f t="array" ref="A1972">IFERROR(INDEX(#REF!,MATCH(TRUE,ISNUMBER(FIND(SUBSTITUTE(SUBSTITUTE(UPPER(#REF!)," ",""),":",": "),SUBSTITUTE(SUBSTITUTE(UPPER(S1972)," ",""),":",": "))),0)),"Undefined")</f>
        <v>Undefined</v>
      </c>
      <c r="B1972" s="42" t="str" cm="1">
        <f t="array" ref="B1972">IFERROR(INDEX({"URGENTE"},MATCH(TRUE,ISNUMBER(FIND(SUBSTITUTE(SUBSTITUTE(UPPER({"URGENTE"})," ",""),":",": "),SUBSTITUTE(SUBSTITUTE(UPPER(S1972)," ",""),":",": "))),0)),"-")</f>
        <v>-</v>
      </c>
      <c r="C1972" s="46" t="str" cm="1">
        <f t="array" ref="C1972">IFERROR(INDEX(#REF!,MATCH(TRUE,ISNUMBER(FIND(SUBSTITUTE(SUBSTITUTE(UPPER(#REF!)," ",""),":",": "),SUBSTITUTE(SUBSTITUTE(UPPER(S1972)," ",""),":",": "))),0)),"Não encontrado")</f>
        <v>Não encontrado</v>
      </c>
      <c r="D1972" s="46" t="str" cm="1">
        <f t="array" ref="D1972">IFERROR(INDEX(#REF!,MATCH(TRUE,ISNUMBER(FIND(SUBSTITUTE(SUBSTITUTE(UPPER(#REF!)," ",""),":",": "),SUBSTITUTE(SUBSTITUTE(UPPER(S1972)," ",""),":",": "))),0)),"Não encontrado")</f>
        <v>Não encontrado</v>
      </c>
      <c r="E1972" s="42" t="str" cm="1">
        <f t="array" ref="E1972">IFERROR(INDEX({"IMPEDITIVO"},MATCH(TRUE,ISNUMBER(FIND(SUBSTITUTE(SUBSTITUTE(UPPER({"IMPEDITIVO"})," ",""),":",": "),SUBSTITUTE(SUBSTITUTE(UPPER(S1972)," ",""),":",": "))),0)),"-")</f>
        <v>-</v>
      </c>
      <c r="K1972" s="49"/>
    </row>
    <row r="1973" spans="1:11" x14ac:dyDescent="0.25">
      <c r="A1973" s="46" t="str" cm="1">
        <f t="array" ref="A1973">IFERROR(INDEX(#REF!,MATCH(TRUE,ISNUMBER(FIND(SUBSTITUTE(SUBSTITUTE(UPPER(#REF!)," ",""),":",": "),SUBSTITUTE(SUBSTITUTE(UPPER(S1973)," ",""),":",": "))),0)),"Undefined")</f>
        <v>Undefined</v>
      </c>
      <c r="B1973" s="42" t="str" cm="1">
        <f t="array" ref="B1973">IFERROR(INDEX({"URGENTE"},MATCH(TRUE,ISNUMBER(FIND(SUBSTITUTE(SUBSTITUTE(UPPER({"URGENTE"})," ",""),":",": "),SUBSTITUTE(SUBSTITUTE(UPPER(S1973)," ",""),":",": "))),0)),"-")</f>
        <v>-</v>
      </c>
      <c r="C1973" s="46" t="str" cm="1">
        <f t="array" ref="C1973">IFERROR(INDEX(#REF!,MATCH(TRUE,ISNUMBER(FIND(SUBSTITUTE(SUBSTITUTE(UPPER(#REF!)," ",""),":",": "),SUBSTITUTE(SUBSTITUTE(UPPER(S1973)," ",""),":",": "))),0)),"Não encontrado")</f>
        <v>Não encontrado</v>
      </c>
      <c r="D1973" s="46" t="str" cm="1">
        <f t="array" ref="D1973">IFERROR(INDEX(#REF!,MATCH(TRUE,ISNUMBER(FIND(SUBSTITUTE(SUBSTITUTE(UPPER(#REF!)," ",""),":",": "),SUBSTITUTE(SUBSTITUTE(UPPER(S1973)," ",""),":",": "))),0)),"Não encontrado")</f>
        <v>Não encontrado</v>
      </c>
      <c r="E1973" s="42" t="str" cm="1">
        <f t="array" ref="E1973">IFERROR(INDEX({"IMPEDITIVO"},MATCH(TRUE,ISNUMBER(FIND(SUBSTITUTE(SUBSTITUTE(UPPER({"IMPEDITIVO"})," ",""),":",": "),SUBSTITUTE(SUBSTITUTE(UPPER(S1973)," ",""),":",": "))),0)),"-")</f>
        <v>-</v>
      </c>
      <c r="K1973" s="49"/>
    </row>
    <row r="1974" spans="1:11" x14ac:dyDescent="0.25">
      <c r="A1974" s="46" t="str" cm="1">
        <f t="array" ref="A1974">IFERROR(INDEX(#REF!,MATCH(TRUE,ISNUMBER(FIND(SUBSTITUTE(SUBSTITUTE(UPPER(#REF!)," ",""),":",": "),SUBSTITUTE(SUBSTITUTE(UPPER(S1974)," ",""),":",": "))),0)),"Undefined")</f>
        <v>Undefined</v>
      </c>
      <c r="B1974" s="42" t="str" cm="1">
        <f t="array" ref="B1974">IFERROR(INDEX({"URGENTE"},MATCH(TRUE,ISNUMBER(FIND(SUBSTITUTE(SUBSTITUTE(UPPER({"URGENTE"})," ",""),":",": "),SUBSTITUTE(SUBSTITUTE(UPPER(S1974)," ",""),":",": "))),0)),"-")</f>
        <v>-</v>
      </c>
      <c r="C1974" s="46" t="str" cm="1">
        <f t="array" ref="C1974">IFERROR(INDEX(#REF!,MATCH(TRUE,ISNUMBER(FIND(SUBSTITUTE(SUBSTITUTE(UPPER(#REF!)," ",""),":",": "),SUBSTITUTE(SUBSTITUTE(UPPER(S1974)," ",""),":",": "))),0)),"Não encontrado")</f>
        <v>Não encontrado</v>
      </c>
      <c r="D1974" s="46" t="str" cm="1">
        <f t="array" ref="D1974">IFERROR(INDEX(#REF!,MATCH(TRUE,ISNUMBER(FIND(SUBSTITUTE(SUBSTITUTE(UPPER(#REF!)," ",""),":",": "),SUBSTITUTE(SUBSTITUTE(UPPER(S1974)," ",""),":",": "))),0)),"Não encontrado")</f>
        <v>Não encontrado</v>
      </c>
      <c r="E1974" s="42" t="str" cm="1">
        <f t="array" ref="E1974">IFERROR(INDEX({"IMPEDITIVO"},MATCH(TRUE,ISNUMBER(FIND(SUBSTITUTE(SUBSTITUTE(UPPER({"IMPEDITIVO"})," ",""),":",": "),SUBSTITUTE(SUBSTITUTE(UPPER(S1974)," ",""),":",": "))),0)),"-")</f>
        <v>-</v>
      </c>
      <c r="K1974" s="49"/>
    </row>
    <row r="1975" spans="1:11" x14ac:dyDescent="0.25">
      <c r="A1975" s="46" t="str" cm="1">
        <f t="array" ref="A1975">IFERROR(INDEX(#REF!,MATCH(TRUE,ISNUMBER(FIND(SUBSTITUTE(SUBSTITUTE(UPPER(#REF!)," ",""),":",": "),SUBSTITUTE(SUBSTITUTE(UPPER(S1975)," ",""),":",": "))),0)),"Undefined")</f>
        <v>Undefined</v>
      </c>
      <c r="B1975" s="42" t="str" cm="1">
        <f t="array" ref="B1975">IFERROR(INDEX({"URGENTE"},MATCH(TRUE,ISNUMBER(FIND(SUBSTITUTE(SUBSTITUTE(UPPER({"URGENTE"})," ",""),":",": "),SUBSTITUTE(SUBSTITUTE(UPPER(S1975)," ",""),":",": "))),0)),"-")</f>
        <v>-</v>
      </c>
      <c r="C1975" s="46" t="str" cm="1">
        <f t="array" ref="C1975">IFERROR(INDEX(#REF!,MATCH(TRUE,ISNUMBER(FIND(SUBSTITUTE(SUBSTITUTE(UPPER(#REF!)," ",""),":",": "),SUBSTITUTE(SUBSTITUTE(UPPER(S1975)," ",""),":",": "))),0)),"Não encontrado")</f>
        <v>Não encontrado</v>
      </c>
      <c r="D1975" s="46" t="str" cm="1">
        <f t="array" ref="D1975">IFERROR(INDEX(#REF!,MATCH(TRUE,ISNUMBER(FIND(SUBSTITUTE(SUBSTITUTE(UPPER(#REF!)," ",""),":",": "),SUBSTITUTE(SUBSTITUTE(UPPER(S1975)," ",""),":",": "))),0)),"Não encontrado")</f>
        <v>Não encontrado</v>
      </c>
      <c r="E1975" s="42" t="str" cm="1">
        <f t="array" ref="E1975">IFERROR(INDEX({"IMPEDITIVO"},MATCH(TRUE,ISNUMBER(FIND(SUBSTITUTE(SUBSTITUTE(UPPER({"IMPEDITIVO"})," ",""),":",": "),SUBSTITUTE(SUBSTITUTE(UPPER(S1975)," ",""),":",": "))),0)),"-")</f>
        <v>-</v>
      </c>
      <c r="K1975" s="49"/>
    </row>
    <row r="1976" spans="1:11" x14ac:dyDescent="0.25">
      <c r="A1976" s="46" t="str" cm="1">
        <f t="array" ref="A1976">IFERROR(INDEX(#REF!,MATCH(TRUE,ISNUMBER(FIND(SUBSTITUTE(SUBSTITUTE(UPPER(#REF!)," ",""),":",": "),SUBSTITUTE(SUBSTITUTE(UPPER(S1976)," ",""),":",": "))),0)),"Undefined")</f>
        <v>Undefined</v>
      </c>
      <c r="B1976" s="42" t="str" cm="1">
        <f t="array" ref="B1976">IFERROR(INDEX({"URGENTE"},MATCH(TRUE,ISNUMBER(FIND(SUBSTITUTE(SUBSTITUTE(UPPER({"URGENTE"})," ",""),":",": "),SUBSTITUTE(SUBSTITUTE(UPPER(S1976)," ",""),":",": "))),0)),"-")</f>
        <v>-</v>
      </c>
      <c r="C1976" s="46" t="str" cm="1">
        <f t="array" ref="C1976">IFERROR(INDEX(#REF!,MATCH(TRUE,ISNUMBER(FIND(SUBSTITUTE(SUBSTITUTE(UPPER(#REF!)," ",""),":",": "),SUBSTITUTE(SUBSTITUTE(UPPER(S1976)," ",""),":",": "))),0)),"Não encontrado")</f>
        <v>Não encontrado</v>
      </c>
      <c r="D1976" s="46" t="str" cm="1">
        <f t="array" ref="D1976">IFERROR(INDEX(#REF!,MATCH(TRUE,ISNUMBER(FIND(SUBSTITUTE(SUBSTITUTE(UPPER(#REF!)," ",""),":",": "),SUBSTITUTE(SUBSTITUTE(UPPER(S1976)," ",""),":",": "))),0)),"Não encontrado")</f>
        <v>Não encontrado</v>
      </c>
      <c r="E1976" s="42" t="str" cm="1">
        <f t="array" ref="E1976">IFERROR(INDEX({"IMPEDITIVO"},MATCH(TRUE,ISNUMBER(FIND(SUBSTITUTE(SUBSTITUTE(UPPER({"IMPEDITIVO"})," ",""),":",": "),SUBSTITUTE(SUBSTITUTE(UPPER(S1976)," ",""),":",": "))),0)),"-")</f>
        <v>-</v>
      </c>
      <c r="K1976" s="49"/>
    </row>
    <row r="1977" spans="1:11" x14ac:dyDescent="0.25">
      <c r="A1977" s="46" t="str" cm="1">
        <f t="array" ref="A1977">IFERROR(INDEX(#REF!,MATCH(TRUE,ISNUMBER(FIND(SUBSTITUTE(SUBSTITUTE(UPPER(#REF!)," ",""),":",": "),SUBSTITUTE(SUBSTITUTE(UPPER(S1977)," ",""),":",": "))),0)),"Undefined")</f>
        <v>Undefined</v>
      </c>
      <c r="B1977" s="42" t="str" cm="1">
        <f t="array" ref="B1977">IFERROR(INDEX({"URGENTE"},MATCH(TRUE,ISNUMBER(FIND(SUBSTITUTE(SUBSTITUTE(UPPER({"URGENTE"})," ",""),":",": "),SUBSTITUTE(SUBSTITUTE(UPPER(S1977)," ",""),":",": "))),0)),"-")</f>
        <v>-</v>
      </c>
      <c r="C1977" s="46" t="str" cm="1">
        <f t="array" ref="C1977">IFERROR(INDEX(#REF!,MATCH(TRUE,ISNUMBER(FIND(SUBSTITUTE(SUBSTITUTE(UPPER(#REF!)," ",""),":",": "),SUBSTITUTE(SUBSTITUTE(UPPER(S1977)," ",""),":",": "))),0)),"Não encontrado")</f>
        <v>Não encontrado</v>
      </c>
      <c r="D1977" s="46" t="str" cm="1">
        <f t="array" ref="D1977">IFERROR(INDEX(#REF!,MATCH(TRUE,ISNUMBER(FIND(SUBSTITUTE(SUBSTITUTE(UPPER(#REF!)," ",""),":",": "),SUBSTITUTE(SUBSTITUTE(UPPER(S1977)," ",""),":",": "))),0)),"Não encontrado")</f>
        <v>Não encontrado</v>
      </c>
      <c r="E1977" s="42" t="str" cm="1">
        <f t="array" ref="E1977">IFERROR(INDEX({"IMPEDITIVO"},MATCH(TRUE,ISNUMBER(FIND(SUBSTITUTE(SUBSTITUTE(UPPER({"IMPEDITIVO"})," ",""),":",": "),SUBSTITUTE(SUBSTITUTE(UPPER(S1977)," ",""),":",": "))),0)),"-")</f>
        <v>-</v>
      </c>
      <c r="K1977" s="49"/>
    </row>
    <row r="1978" spans="1:11" x14ac:dyDescent="0.25">
      <c r="A1978" s="46" t="str" cm="1">
        <f t="array" ref="A1978">IFERROR(INDEX(#REF!,MATCH(TRUE,ISNUMBER(FIND(SUBSTITUTE(SUBSTITUTE(UPPER(#REF!)," ",""),":",": "),SUBSTITUTE(SUBSTITUTE(UPPER(S1978)," ",""),":",": "))),0)),"Undefined")</f>
        <v>Undefined</v>
      </c>
      <c r="B1978" s="42" t="str" cm="1">
        <f t="array" ref="B1978">IFERROR(INDEX({"URGENTE"},MATCH(TRUE,ISNUMBER(FIND(SUBSTITUTE(SUBSTITUTE(UPPER({"URGENTE"})," ",""),":",": "),SUBSTITUTE(SUBSTITUTE(UPPER(S1978)," ",""),":",": "))),0)),"-")</f>
        <v>-</v>
      </c>
      <c r="C1978" s="46" t="str" cm="1">
        <f t="array" ref="C1978">IFERROR(INDEX(#REF!,MATCH(TRUE,ISNUMBER(FIND(SUBSTITUTE(SUBSTITUTE(UPPER(#REF!)," ",""),":",": "),SUBSTITUTE(SUBSTITUTE(UPPER(S1978)," ",""),":",": "))),0)),"Não encontrado")</f>
        <v>Não encontrado</v>
      </c>
      <c r="D1978" s="46" t="str" cm="1">
        <f t="array" ref="D1978">IFERROR(INDEX(#REF!,MATCH(TRUE,ISNUMBER(FIND(SUBSTITUTE(SUBSTITUTE(UPPER(#REF!)," ",""),":",": "),SUBSTITUTE(SUBSTITUTE(UPPER(S1978)," ",""),":",": "))),0)),"Não encontrado")</f>
        <v>Não encontrado</v>
      </c>
      <c r="E1978" s="42" t="str" cm="1">
        <f t="array" ref="E1978">IFERROR(INDEX({"IMPEDITIVO"},MATCH(TRUE,ISNUMBER(FIND(SUBSTITUTE(SUBSTITUTE(UPPER({"IMPEDITIVO"})," ",""),":",": "),SUBSTITUTE(SUBSTITUTE(UPPER(S1978)," ",""),":",": "))),0)),"-")</f>
        <v>-</v>
      </c>
      <c r="K1978" s="49"/>
    </row>
    <row r="1979" spans="1:11" x14ac:dyDescent="0.25">
      <c r="A1979" s="46" t="str" cm="1">
        <f t="array" ref="A1979">IFERROR(INDEX(#REF!,MATCH(TRUE,ISNUMBER(FIND(SUBSTITUTE(SUBSTITUTE(UPPER(#REF!)," ",""),":",": "),SUBSTITUTE(SUBSTITUTE(UPPER(S1979)," ",""),":",": "))),0)),"Undefined")</f>
        <v>Undefined</v>
      </c>
      <c r="B1979" s="42" t="str" cm="1">
        <f t="array" ref="B1979">IFERROR(INDEX({"URGENTE"},MATCH(TRUE,ISNUMBER(FIND(SUBSTITUTE(SUBSTITUTE(UPPER({"URGENTE"})," ",""),":",": "),SUBSTITUTE(SUBSTITUTE(UPPER(S1979)," ",""),":",": "))),0)),"-")</f>
        <v>-</v>
      </c>
      <c r="C1979" s="46" t="str" cm="1">
        <f t="array" ref="C1979">IFERROR(INDEX(#REF!,MATCH(TRUE,ISNUMBER(FIND(SUBSTITUTE(SUBSTITUTE(UPPER(#REF!)," ",""),":",": "),SUBSTITUTE(SUBSTITUTE(UPPER(S1979)," ",""),":",": "))),0)),"Não encontrado")</f>
        <v>Não encontrado</v>
      </c>
      <c r="D1979" s="46" t="str" cm="1">
        <f t="array" ref="D1979">IFERROR(INDEX(#REF!,MATCH(TRUE,ISNUMBER(FIND(SUBSTITUTE(SUBSTITUTE(UPPER(#REF!)," ",""),":",": "),SUBSTITUTE(SUBSTITUTE(UPPER(S1979)," ",""),":",": "))),0)),"Não encontrado")</f>
        <v>Não encontrado</v>
      </c>
      <c r="E1979" s="42" t="str" cm="1">
        <f t="array" ref="E1979">IFERROR(INDEX({"IMPEDITIVO"},MATCH(TRUE,ISNUMBER(FIND(SUBSTITUTE(SUBSTITUTE(UPPER({"IMPEDITIVO"})," ",""),":",": "),SUBSTITUTE(SUBSTITUTE(UPPER(S1979)," ",""),":",": "))),0)),"-")</f>
        <v>-</v>
      </c>
      <c r="K1979" s="49"/>
    </row>
    <row r="1980" spans="1:11" x14ac:dyDescent="0.25">
      <c r="A1980" s="46" t="str" cm="1">
        <f t="array" ref="A1980">IFERROR(INDEX(#REF!,MATCH(TRUE,ISNUMBER(FIND(SUBSTITUTE(SUBSTITUTE(UPPER(#REF!)," ",""),":",": "),SUBSTITUTE(SUBSTITUTE(UPPER(S1980)," ",""),":",": "))),0)),"Undefined")</f>
        <v>Undefined</v>
      </c>
      <c r="B1980" s="42" t="str" cm="1">
        <f t="array" ref="B1980">IFERROR(INDEX({"URGENTE"},MATCH(TRUE,ISNUMBER(FIND(SUBSTITUTE(SUBSTITUTE(UPPER({"URGENTE"})," ",""),":",": "),SUBSTITUTE(SUBSTITUTE(UPPER(S1980)," ",""),":",": "))),0)),"-")</f>
        <v>-</v>
      </c>
      <c r="C1980" s="46" t="str" cm="1">
        <f t="array" ref="C1980">IFERROR(INDEX(#REF!,MATCH(TRUE,ISNUMBER(FIND(SUBSTITUTE(SUBSTITUTE(UPPER(#REF!)," ",""),":",": "),SUBSTITUTE(SUBSTITUTE(UPPER(S1980)," ",""),":",": "))),0)),"Não encontrado")</f>
        <v>Não encontrado</v>
      </c>
      <c r="D1980" s="46" t="str" cm="1">
        <f t="array" ref="D1980">IFERROR(INDEX(#REF!,MATCH(TRUE,ISNUMBER(FIND(SUBSTITUTE(SUBSTITUTE(UPPER(#REF!)," ",""),":",": "),SUBSTITUTE(SUBSTITUTE(UPPER(S1980)," ",""),":",": "))),0)),"Não encontrado")</f>
        <v>Não encontrado</v>
      </c>
      <c r="E1980" s="42" t="str" cm="1">
        <f t="array" ref="E1980">IFERROR(INDEX({"IMPEDITIVO"},MATCH(TRUE,ISNUMBER(FIND(SUBSTITUTE(SUBSTITUTE(UPPER({"IMPEDITIVO"})," ",""),":",": "),SUBSTITUTE(SUBSTITUTE(UPPER(S1980)," ",""),":",": "))),0)),"-")</f>
        <v>-</v>
      </c>
      <c r="K1980" s="49"/>
    </row>
    <row r="1981" spans="1:11" x14ac:dyDescent="0.25">
      <c r="A1981" s="46" t="str" cm="1">
        <f t="array" ref="A1981">IFERROR(INDEX(#REF!,MATCH(TRUE,ISNUMBER(FIND(SUBSTITUTE(SUBSTITUTE(UPPER(#REF!)," ",""),":",": "),SUBSTITUTE(SUBSTITUTE(UPPER(S1981)," ",""),":",": "))),0)),"Undefined")</f>
        <v>Undefined</v>
      </c>
      <c r="B1981" s="42" t="str" cm="1">
        <f t="array" ref="B1981">IFERROR(INDEX({"URGENTE"},MATCH(TRUE,ISNUMBER(FIND(SUBSTITUTE(SUBSTITUTE(UPPER({"URGENTE"})," ",""),":",": "),SUBSTITUTE(SUBSTITUTE(UPPER(S1981)," ",""),":",": "))),0)),"-")</f>
        <v>-</v>
      </c>
      <c r="C1981" s="46" t="str" cm="1">
        <f t="array" ref="C1981">IFERROR(INDEX(#REF!,MATCH(TRUE,ISNUMBER(FIND(SUBSTITUTE(SUBSTITUTE(UPPER(#REF!)," ",""),":",": "),SUBSTITUTE(SUBSTITUTE(UPPER(S1981)," ",""),":",": "))),0)),"Não encontrado")</f>
        <v>Não encontrado</v>
      </c>
      <c r="D1981" s="46" t="str" cm="1">
        <f t="array" ref="D1981">IFERROR(INDEX(#REF!,MATCH(TRUE,ISNUMBER(FIND(SUBSTITUTE(SUBSTITUTE(UPPER(#REF!)," ",""),":",": "),SUBSTITUTE(SUBSTITUTE(UPPER(S1981)," ",""),":",": "))),0)),"Não encontrado")</f>
        <v>Não encontrado</v>
      </c>
      <c r="E1981" s="42" t="str" cm="1">
        <f t="array" ref="E1981">IFERROR(INDEX({"IMPEDITIVO"},MATCH(TRUE,ISNUMBER(FIND(SUBSTITUTE(SUBSTITUTE(UPPER({"IMPEDITIVO"})," ",""),":",": "),SUBSTITUTE(SUBSTITUTE(UPPER(S1981)," ",""),":",": "))),0)),"-")</f>
        <v>-</v>
      </c>
      <c r="K1981" s="49"/>
    </row>
    <row r="1982" spans="1:11" x14ac:dyDescent="0.25">
      <c r="A1982" s="46" t="str" cm="1">
        <f t="array" ref="A1982">IFERROR(INDEX(#REF!,MATCH(TRUE,ISNUMBER(FIND(SUBSTITUTE(SUBSTITUTE(UPPER(#REF!)," ",""),":",": "),SUBSTITUTE(SUBSTITUTE(UPPER(S1982)," ",""),":",": "))),0)),"Undefined")</f>
        <v>Undefined</v>
      </c>
      <c r="B1982" s="42" t="str" cm="1">
        <f t="array" ref="B1982">IFERROR(INDEX({"URGENTE"},MATCH(TRUE,ISNUMBER(FIND(SUBSTITUTE(SUBSTITUTE(UPPER({"URGENTE"})," ",""),":",": "),SUBSTITUTE(SUBSTITUTE(UPPER(S1982)," ",""),":",": "))),0)),"-")</f>
        <v>-</v>
      </c>
      <c r="C1982" s="46" t="str" cm="1">
        <f t="array" ref="C1982">IFERROR(INDEX(#REF!,MATCH(TRUE,ISNUMBER(FIND(SUBSTITUTE(SUBSTITUTE(UPPER(#REF!)," ",""),":",": "),SUBSTITUTE(SUBSTITUTE(UPPER(S1982)," ",""),":",": "))),0)),"Não encontrado")</f>
        <v>Não encontrado</v>
      </c>
      <c r="D1982" s="46" t="str" cm="1">
        <f t="array" ref="D1982">IFERROR(INDEX(#REF!,MATCH(TRUE,ISNUMBER(FIND(SUBSTITUTE(SUBSTITUTE(UPPER(#REF!)," ",""),":",": "),SUBSTITUTE(SUBSTITUTE(UPPER(S1982)," ",""),":",": "))),0)),"Não encontrado")</f>
        <v>Não encontrado</v>
      </c>
      <c r="E1982" s="42" t="str" cm="1">
        <f t="array" ref="E1982">IFERROR(INDEX({"IMPEDITIVO"},MATCH(TRUE,ISNUMBER(FIND(SUBSTITUTE(SUBSTITUTE(UPPER({"IMPEDITIVO"})," ",""),":",": "),SUBSTITUTE(SUBSTITUTE(UPPER(S1982)," ",""),":",": "))),0)),"-")</f>
        <v>-</v>
      </c>
      <c r="K1982" s="49"/>
    </row>
    <row r="1983" spans="1:11" x14ac:dyDescent="0.25">
      <c r="A1983" s="46" t="str" cm="1">
        <f t="array" ref="A1983">IFERROR(INDEX(#REF!,MATCH(TRUE,ISNUMBER(FIND(SUBSTITUTE(SUBSTITUTE(UPPER(#REF!)," ",""),":",": "),SUBSTITUTE(SUBSTITUTE(UPPER(S1983)," ",""),":",": "))),0)),"Undefined")</f>
        <v>Undefined</v>
      </c>
      <c r="B1983" s="42" t="str" cm="1">
        <f t="array" ref="B1983">IFERROR(INDEX({"URGENTE"},MATCH(TRUE,ISNUMBER(FIND(SUBSTITUTE(SUBSTITUTE(UPPER({"URGENTE"})," ",""),":",": "),SUBSTITUTE(SUBSTITUTE(UPPER(S1983)," ",""),":",": "))),0)),"-")</f>
        <v>-</v>
      </c>
      <c r="C1983" s="46" t="str" cm="1">
        <f t="array" ref="C1983">IFERROR(INDEX(#REF!,MATCH(TRUE,ISNUMBER(FIND(SUBSTITUTE(SUBSTITUTE(UPPER(#REF!)," ",""),":",": "),SUBSTITUTE(SUBSTITUTE(UPPER(S1983)," ",""),":",": "))),0)),"Não encontrado")</f>
        <v>Não encontrado</v>
      </c>
      <c r="D1983" s="46" t="str" cm="1">
        <f t="array" ref="D1983">IFERROR(INDEX(#REF!,MATCH(TRUE,ISNUMBER(FIND(SUBSTITUTE(SUBSTITUTE(UPPER(#REF!)," ",""),":",": "),SUBSTITUTE(SUBSTITUTE(UPPER(S1983)," ",""),":",": "))),0)),"Não encontrado")</f>
        <v>Não encontrado</v>
      </c>
      <c r="E1983" s="42" t="str" cm="1">
        <f t="array" ref="E1983">IFERROR(INDEX({"IMPEDITIVO"},MATCH(TRUE,ISNUMBER(FIND(SUBSTITUTE(SUBSTITUTE(UPPER({"IMPEDITIVO"})," ",""),":",": "),SUBSTITUTE(SUBSTITUTE(UPPER(S1983)," ",""),":",": "))),0)),"-")</f>
        <v>-</v>
      </c>
      <c r="K1983" s="49"/>
    </row>
    <row r="1984" spans="1:11" x14ac:dyDescent="0.25">
      <c r="A1984" s="46" t="str" cm="1">
        <f t="array" ref="A1984">IFERROR(INDEX(#REF!,MATCH(TRUE,ISNUMBER(FIND(SUBSTITUTE(SUBSTITUTE(UPPER(#REF!)," ",""),":",": "),SUBSTITUTE(SUBSTITUTE(UPPER(S1984)," ",""),":",": "))),0)),"Undefined")</f>
        <v>Undefined</v>
      </c>
      <c r="B1984" s="42" t="str" cm="1">
        <f t="array" ref="B1984">IFERROR(INDEX({"URGENTE"},MATCH(TRUE,ISNUMBER(FIND(SUBSTITUTE(SUBSTITUTE(UPPER({"URGENTE"})," ",""),":",": "),SUBSTITUTE(SUBSTITUTE(UPPER(S1984)," ",""),":",": "))),0)),"-")</f>
        <v>-</v>
      </c>
      <c r="C1984" s="46" t="str" cm="1">
        <f t="array" ref="C1984">IFERROR(INDEX(#REF!,MATCH(TRUE,ISNUMBER(FIND(SUBSTITUTE(SUBSTITUTE(UPPER(#REF!)," ",""),":",": "),SUBSTITUTE(SUBSTITUTE(UPPER(S1984)," ",""),":",": "))),0)),"Não encontrado")</f>
        <v>Não encontrado</v>
      </c>
      <c r="D1984" s="46" t="str" cm="1">
        <f t="array" ref="D1984">IFERROR(INDEX(#REF!,MATCH(TRUE,ISNUMBER(FIND(SUBSTITUTE(SUBSTITUTE(UPPER(#REF!)," ",""),":",": "),SUBSTITUTE(SUBSTITUTE(UPPER(S1984)," ",""),":",": "))),0)),"Não encontrado")</f>
        <v>Não encontrado</v>
      </c>
      <c r="E1984" s="42" t="str" cm="1">
        <f t="array" ref="E1984">IFERROR(INDEX({"IMPEDITIVO"},MATCH(TRUE,ISNUMBER(FIND(SUBSTITUTE(SUBSTITUTE(UPPER({"IMPEDITIVO"})," ",""),":",": "),SUBSTITUTE(SUBSTITUTE(UPPER(S1984)," ",""),":",": "))),0)),"-")</f>
        <v>-</v>
      </c>
      <c r="K1984" s="49"/>
    </row>
    <row r="1985" spans="1:11" x14ac:dyDescent="0.25">
      <c r="A1985" s="46" t="str" cm="1">
        <f t="array" ref="A1985">IFERROR(INDEX(#REF!,MATCH(TRUE,ISNUMBER(FIND(SUBSTITUTE(SUBSTITUTE(UPPER(#REF!)," ",""),":",": "),SUBSTITUTE(SUBSTITUTE(UPPER(S1985)," ",""),":",": "))),0)),"Undefined")</f>
        <v>Undefined</v>
      </c>
      <c r="B1985" s="42" t="str" cm="1">
        <f t="array" ref="B1985">IFERROR(INDEX({"URGENTE"},MATCH(TRUE,ISNUMBER(FIND(SUBSTITUTE(SUBSTITUTE(UPPER({"URGENTE"})," ",""),":",": "),SUBSTITUTE(SUBSTITUTE(UPPER(S1985)," ",""),":",": "))),0)),"-")</f>
        <v>-</v>
      </c>
      <c r="C1985" s="46" t="str" cm="1">
        <f t="array" ref="C1985">IFERROR(INDEX(#REF!,MATCH(TRUE,ISNUMBER(FIND(SUBSTITUTE(SUBSTITUTE(UPPER(#REF!)," ",""),":",": "),SUBSTITUTE(SUBSTITUTE(UPPER(S1985)," ",""),":",": "))),0)),"Não encontrado")</f>
        <v>Não encontrado</v>
      </c>
      <c r="D1985" s="46" t="str" cm="1">
        <f t="array" ref="D1985">IFERROR(INDEX(#REF!,MATCH(TRUE,ISNUMBER(FIND(SUBSTITUTE(SUBSTITUTE(UPPER(#REF!)," ",""),":",": "),SUBSTITUTE(SUBSTITUTE(UPPER(S1985)," ",""),":",": "))),0)),"Não encontrado")</f>
        <v>Não encontrado</v>
      </c>
      <c r="E1985" s="42" t="str" cm="1">
        <f t="array" ref="E1985">IFERROR(INDEX({"IMPEDITIVO"},MATCH(TRUE,ISNUMBER(FIND(SUBSTITUTE(SUBSTITUTE(UPPER({"IMPEDITIVO"})," ",""),":",": "),SUBSTITUTE(SUBSTITUTE(UPPER(S1985)," ",""),":",": "))),0)),"-")</f>
        <v>-</v>
      </c>
      <c r="K1985" s="49"/>
    </row>
    <row r="1986" spans="1:11" x14ac:dyDescent="0.25">
      <c r="A1986" s="46" t="str" cm="1">
        <f t="array" ref="A1986">IFERROR(INDEX(#REF!,MATCH(TRUE,ISNUMBER(FIND(SUBSTITUTE(SUBSTITUTE(UPPER(#REF!)," ",""),":",": "),SUBSTITUTE(SUBSTITUTE(UPPER(S1986)," ",""),":",": "))),0)),"Undefined")</f>
        <v>Undefined</v>
      </c>
      <c r="B1986" s="42" t="str" cm="1">
        <f t="array" ref="B1986">IFERROR(INDEX({"URGENTE"},MATCH(TRUE,ISNUMBER(FIND(SUBSTITUTE(SUBSTITUTE(UPPER({"URGENTE"})," ",""),":",": "),SUBSTITUTE(SUBSTITUTE(UPPER(S1986)," ",""),":",": "))),0)),"-")</f>
        <v>-</v>
      </c>
      <c r="C1986" s="46" t="str" cm="1">
        <f t="array" ref="C1986">IFERROR(INDEX(#REF!,MATCH(TRUE,ISNUMBER(FIND(SUBSTITUTE(SUBSTITUTE(UPPER(#REF!)," ",""),":",": "),SUBSTITUTE(SUBSTITUTE(UPPER(S1986)," ",""),":",": "))),0)),"Não encontrado")</f>
        <v>Não encontrado</v>
      </c>
      <c r="D1986" s="46" t="str" cm="1">
        <f t="array" ref="D1986">IFERROR(INDEX(#REF!,MATCH(TRUE,ISNUMBER(FIND(SUBSTITUTE(SUBSTITUTE(UPPER(#REF!)," ",""),":",": "),SUBSTITUTE(SUBSTITUTE(UPPER(S1986)," ",""),":",": "))),0)),"Não encontrado")</f>
        <v>Não encontrado</v>
      </c>
      <c r="E1986" s="42" t="str" cm="1">
        <f t="array" ref="E1986">IFERROR(INDEX({"IMPEDITIVO"},MATCH(TRUE,ISNUMBER(FIND(SUBSTITUTE(SUBSTITUTE(UPPER({"IMPEDITIVO"})," ",""),":",": "),SUBSTITUTE(SUBSTITUTE(UPPER(S1986)," ",""),":",": "))),0)),"-")</f>
        <v>-</v>
      </c>
      <c r="K1986" s="49"/>
    </row>
    <row r="1987" spans="1:11" x14ac:dyDescent="0.25">
      <c r="A1987" s="46" t="str" cm="1">
        <f t="array" ref="A1987">IFERROR(INDEX(#REF!,MATCH(TRUE,ISNUMBER(FIND(SUBSTITUTE(SUBSTITUTE(UPPER(#REF!)," ",""),":",": "),SUBSTITUTE(SUBSTITUTE(UPPER(S1987)," ",""),":",": "))),0)),"Undefined")</f>
        <v>Undefined</v>
      </c>
      <c r="B1987" s="42" t="str" cm="1">
        <f t="array" ref="B1987">IFERROR(INDEX({"URGENTE"},MATCH(TRUE,ISNUMBER(FIND(SUBSTITUTE(SUBSTITUTE(UPPER({"URGENTE"})," ",""),":",": "),SUBSTITUTE(SUBSTITUTE(UPPER(S1987)," ",""),":",": "))),0)),"-")</f>
        <v>-</v>
      </c>
      <c r="C1987" s="46" t="str" cm="1">
        <f t="array" ref="C1987">IFERROR(INDEX(#REF!,MATCH(TRUE,ISNUMBER(FIND(SUBSTITUTE(SUBSTITUTE(UPPER(#REF!)," ",""),":",": "),SUBSTITUTE(SUBSTITUTE(UPPER(S1987)," ",""),":",": "))),0)),"Não encontrado")</f>
        <v>Não encontrado</v>
      </c>
      <c r="D1987" s="46" t="str" cm="1">
        <f t="array" ref="D1987">IFERROR(INDEX(#REF!,MATCH(TRUE,ISNUMBER(FIND(SUBSTITUTE(SUBSTITUTE(UPPER(#REF!)," ",""),":",": "),SUBSTITUTE(SUBSTITUTE(UPPER(S1987)," ",""),":",": "))),0)),"Não encontrado")</f>
        <v>Não encontrado</v>
      </c>
      <c r="E1987" s="42" t="str" cm="1">
        <f t="array" ref="E1987">IFERROR(INDEX({"IMPEDITIVO"},MATCH(TRUE,ISNUMBER(FIND(SUBSTITUTE(SUBSTITUTE(UPPER({"IMPEDITIVO"})," ",""),":",": "),SUBSTITUTE(SUBSTITUTE(UPPER(S1987)," ",""),":",": "))),0)),"-")</f>
        <v>-</v>
      </c>
      <c r="K1987" s="49"/>
    </row>
    <row r="1988" spans="1:11" x14ac:dyDescent="0.25">
      <c r="A1988" s="46" t="str" cm="1">
        <f t="array" ref="A1988">IFERROR(INDEX(#REF!,MATCH(TRUE,ISNUMBER(FIND(SUBSTITUTE(SUBSTITUTE(UPPER(#REF!)," ",""),":",": "),SUBSTITUTE(SUBSTITUTE(UPPER(S1988)," ",""),":",": "))),0)),"Undefined")</f>
        <v>Undefined</v>
      </c>
      <c r="B1988" s="42" t="str" cm="1">
        <f t="array" ref="B1988">IFERROR(INDEX({"URGENTE"},MATCH(TRUE,ISNUMBER(FIND(SUBSTITUTE(SUBSTITUTE(UPPER({"URGENTE"})," ",""),":",": "),SUBSTITUTE(SUBSTITUTE(UPPER(S1988)," ",""),":",": "))),0)),"-")</f>
        <v>-</v>
      </c>
      <c r="C1988" s="46" t="str" cm="1">
        <f t="array" ref="C1988">IFERROR(INDEX(#REF!,MATCH(TRUE,ISNUMBER(FIND(SUBSTITUTE(SUBSTITUTE(UPPER(#REF!)," ",""),":",": "),SUBSTITUTE(SUBSTITUTE(UPPER(S1988)," ",""),":",": "))),0)),"Não encontrado")</f>
        <v>Não encontrado</v>
      </c>
      <c r="D1988" s="46" t="str" cm="1">
        <f t="array" ref="D1988">IFERROR(INDEX(#REF!,MATCH(TRUE,ISNUMBER(FIND(SUBSTITUTE(SUBSTITUTE(UPPER(#REF!)," ",""),":",": "),SUBSTITUTE(SUBSTITUTE(UPPER(S1988)," ",""),":",": "))),0)),"Não encontrado")</f>
        <v>Não encontrado</v>
      </c>
      <c r="E1988" s="42" t="str" cm="1">
        <f t="array" ref="E1988">IFERROR(INDEX({"IMPEDITIVO"},MATCH(TRUE,ISNUMBER(FIND(SUBSTITUTE(SUBSTITUTE(UPPER({"IMPEDITIVO"})," ",""),":",": "),SUBSTITUTE(SUBSTITUTE(UPPER(S1988)," ",""),":",": "))),0)),"-")</f>
        <v>-</v>
      </c>
      <c r="K1988" s="49"/>
    </row>
    <row r="1989" spans="1:11" x14ac:dyDescent="0.25">
      <c r="A1989" s="46" t="str" cm="1">
        <f t="array" ref="A1989">IFERROR(INDEX(#REF!,MATCH(TRUE,ISNUMBER(FIND(SUBSTITUTE(SUBSTITUTE(UPPER(#REF!)," ",""),":",": "),SUBSTITUTE(SUBSTITUTE(UPPER(S1989)," ",""),":",": "))),0)),"Undefined")</f>
        <v>Undefined</v>
      </c>
      <c r="B1989" s="42" t="str" cm="1">
        <f t="array" ref="B1989">IFERROR(INDEX({"URGENTE"},MATCH(TRUE,ISNUMBER(FIND(SUBSTITUTE(SUBSTITUTE(UPPER({"URGENTE"})," ",""),":",": "),SUBSTITUTE(SUBSTITUTE(UPPER(S1989)," ",""),":",": "))),0)),"-")</f>
        <v>-</v>
      </c>
      <c r="C1989" s="46" t="str" cm="1">
        <f t="array" ref="C1989">IFERROR(INDEX(#REF!,MATCH(TRUE,ISNUMBER(FIND(SUBSTITUTE(SUBSTITUTE(UPPER(#REF!)," ",""),":",": "),SUBSTITUTE(SUBSTITUTE(UPPER(S1989)," ",""),":",": "))),0)),"Não encontrado")</f>
        <v>Não encontrado</v>
      </c>
      <c r="D1989" s="46" t="str" cm="1">
        <f t="array" ref="D1989">IFERROR(INDEX(#REF!,MATCH(TRUE,ISNUMBER(FIND(SUBSTITUTE(SUBSTITUTE(UPPER(#REF!)," ",""),":",": "),SUBSTITUTE(SUBSTITUTE(UPPER(S1989)," ",""),":",": "))),0)),"Não encontrado")</f>
        <v>Não encontrado</v>
      </c>
      <c r="E1989" s="42" t="str" cm="1">
        <f t="array" ref="E1989">IFERROR(INDEX({"IMPEDITIVO"},MATCH(TRUE,ISNUMBER(FIND(SUBSTITUTE(SUBSTITUTE(UPPER({"IMPEDITIVO"})," ",""),":",": "),SUBSTITUTE(SUBSTITUTE(UPPER(S1989)," ",""),":",": "))),0)),"-")</f>
        <v>-</v>
      </c>
      <c r="K1989" s="49"/>
    </row>
    <row r="1990" spans="1:11" x14ac:dyDescent="0.25">
      <c r="A1990" s="46" t="str" cm="1">
        <f t="array" ref="A1990">IFERROR(INDEX(#REF!,MATCH(TRUE,ISNUMBER(FIND(SUBSTITUTE(SUBSTITUTE(UPPER(#REF!)," ",""),":",": "),SUBSTITUTE(SUBSTITUTE(UPPER(S1990)," ",""),":",": "))),0)),"Undefined")</f>
        <v>Undefined</v>
      </c>
      <c r="B1990" s="42" t="str" cm="1">
        <f t="array" ref="B1990">IFERROR(INDEX({"URGENTE"},MATCH(TRUE,ISNUMBER(FIND(SUBSTITUTE(SUBSTITUTE(UPPER({"URGENTE"})," ",""),":",": "),SUBSTITUTE(SUBSTITUTE(UPPER(S1990)," ",""),":",": "))),0)),"-")</f>
        <v>-</v>
      </c>
      <c r="C1990" s="46" t="str" cm="1">
        <f t="array" ref="C1990">IFERROR(INDEX(#REF!,MATCH(TRUE,ISNUMBER(FIND(SUBSTITUTE(SUBSTITUTE(UPPER(#REF!)," ",""),":",": "),SUBSTITUTE(SUBSTITUTE(UPPER(S1990)," ",""),":",": "))),0)),"Não encontrado")</f>
        <v>Não encontrado</v>
      </c>
      <c r="D1990" s="46" t="str" cm="1">
        <f t="array" ref="D1990">IFERROR(INDEX(#REF!,MATCH(TRUE,ISNUMBER(FIND(SUBSTITUTE(SUBSTITUTE(UPPER(#REF!)," ",""),":",": "),SUBSTITUTE(SUBSTITUTE(UPPER(S1990)," ",""),":",": "))),0)),"Não encontrado")</f>
        <v>Não encontrado</v>
      </c>
      <c r="E1990" s="42" t="str" cm="1">
        <f t="array" ref="E1990">IFERROR(INDEX({"IMPEDITIVO"},MATCH(TRUE,ISNUMBER(FIND(SUBSTITUTE(SUBSTITUTE(UPPER({"IMPEDITIVO"})," ",""),":",": "),SUBSTITUTE(SUBSTITUTE(UPPER(S1990)," ",""),":",": "))),0)),"-")</f>
        <v>-</v>
      </c>
      <c r="K1990" s="49"/>
    </row>
    <row r="1991" spans="1:11" x14ac:dyDescent="0.25">
      <c r="A1991" s="46" t="str" cm="1">
        <f t="array" ref="A1991">IFERROR(INDEX(#REF!,MATCH(TRUE,ISNUMBER(FIND(SUBSTITUTE(SUBSTITUTE(UPPER(#REF!)," ",""),":",": "),SUBSTITUTE(SUBSTITUTE(UPPER(S1991)," ",""),":",": "))),0)),"Undefined")</f>
        <v>Undefined</v>
      </c>
      <c r="B1991" s="42" t="str" cm="1">
        <f t="array" ref="B1991">IFERROR(INDEX({"URGENTE"},MATCH(TRUE,ISNUMBER(FIND(SUBSTITUTE(SUBSTITUTE(UPPER({"URGENTE"})," ",""),":",": "),SUBSTITUTE(SUBSTITUTE(UPPER(S1991)," ",""),":",": "))),0)),"-")</f>
        <v>-</v>
      </c>
      <c r="C1991" s="46" t="str" cm="1">
        <f t="array" ref="C1991">IFERROR(INDEX(#REF!,MATCH(TRUE,ISNUMBER(FIND(SUBSTITUTE(SUBSTITUTE(UPPER(#REF!)," ",""),":",": "),SUBSTITUTE(SUBSTITUTE(UPPER(S1991)," ",""),":",": "))),0)),"Não encontrado")</f>
        <v>Não encontrado</v>
      </c>
      <c r="D1991" s="46" t="str" cm="1">
        <f t="array" ref="D1991">IFERROR(INDEX(#REF!,MATCH(TRUE,ISNUMBER(FIND(SUBSTITUTE(SUBSTITUTE(UPPER(#REF!)," ",""),":",": "),SUBSTITUTE(SUBSTITUTE(UPPER(S1991)," ",""),":",": "))),0)),"Não encontrado")</f>
        <v>Não encontrado</v>
      </c>
      <c r="E1991" s="42" t="str" cm="1">
        <f t="array" ref="E1991">IFERROR(INDEX({"IMPEDITIVO"},MATCH(TRUE,ISNUMBER(FIND(SUBSTITUTE(SUBSTITUTE(UPPER({"IMPEDITIVO"})," ",""),":",": "),SUBSTITUTE(SUBSTITUTE(UPPER(S1991)," ",""),":",": "))),0)),"-")</f>
        <v>-</v>
      </c>
      <c r="K1991" s="49"/>
    </row>
    <row r="1992" spans="1:11" x14ac:dyDescent="0.25">
      <c r="A1992" s="46" t="str" cm="1">
        <f t="array" ref="A1992">IFERROR(INDEX(#REF!,MATCH(TRUE,ISNUMBER(FIND(SUBSTITUTE(SUBSTITUTE(UPPER(#REF!)," ",""),":",": "),SUBSTITUTE(SUBSTITUTE(UPPER(S1992)," ",""),":",": "))),0)),"Undefined")</f>
        <v>Undefined</v>
      </c>
      <c r="B1992" s="42" t="str" cm="1">
        <f t="array" ref="B1992">IFERROR(INDEX({"URGENTE"},MATCH(TRUE,ISNUMBER(FIND(SUBSTITUTE(SUBSTITUTE(UPPER({"URGENTE"})," ",""),":",": "),SUBSTITUTE(SUBSTITUTE(UPPER(S1992)," ",""),":",": "))),0)),"-")</f>
        <v>-</v>
      </c>
      <c r="C1992" s="46" t="str" cm="1">
        <f t="array" ref="C1992">IFERROR(INDEX(#REF!,MATCH(TRUE,ISNUMBER(FIND(SUBSTITUTE(SUBSTITUTE(UPPER(#REF!)," ",""),":",": "),SUBSTITUTE(SUBSTITUTE(UPPER(S1992)," ",""),":",": "))),0)),"Não encontrado")</f>
        <v>Não encontrado</v>
      </c>
      <c r="D1992" s="46" t="str" cm="1">
        <f t="array" ref="D1992">IFERROR(INDEX(#REF!,MATCH(TRUE,ISNUMBER(FIND(SUBSTITUTE(SUBSTITUTE(UPPER(#REF!)," ",""),":",": "),SUBSTITUTE(SUBSTITUTE(UPPER(S1992)," ",""),":",": "))),0)),"Não encontrado")</f>
        <v>Não encontrado</v>
      </c>
      <c r="E1992" s="42" t="str" cm="1">
        <f t="array" ref="E1992">IFERROR(INDEX({"IMPEDITIVO"},MATCH(TRUE,ISNUMBER(FIND(SUBSTITUTE(SUBSTITUTE(UPPER({"IMPEDITIVO"})," ",""),":",": "),SUBSTITUTE(SUBSTITUTE(UPPER(S1992)," ",""),":",": "))),0)),"-")</f>
        <v>-</v>
      </c>
      <c r="K1992" s="49"/>
    </row>
    <row r="1993" spans="1:11" x14ac:dyDescent="0.25">
      <c r="A1993" s="46" t="str" cm="1">
        <f t="array" ref="A1993">IFERROR(INDEX(#REF!,MATCH(TRUE,ISNUMBER(FIND(SUBSTITUTE(SUBSTITUTE(UPPER(#REF!)," ",""),":",": "),SUBSTITUTE(SUBSTITUTE(UPPER(S1993)," ",""),":",": "))),0)),"Undefined")</f>
        <v>Undefined</v>
      </c>
      <c r="B1993" s="42" t="str" cm="1">
        <f t="array" ref="B1993">IFERROR(INDEX({"URGENTE"},MATCH(TRUE,ISNUMBER(FIND(SUBSTITUTE(SUBSTITUTE(UPPER({"URGENTE"})," ",""),":",": "),SUBSTITUTE(SUBSTITUTE(UPPER(S1993)," ",""),":",": "))),0)),"-")</f>
        <v>-</v>
      </c>
      <c r="C1993" s="46" t="str" cm="1">
        <f t="array" ref="C1993">IFERROR(INDEX(#REF!,MATCH(TRUE,ISNUMBER(FIND(SUBSTITUTE(SUBSTITUTE(UPPER(#REF!)," ",""),":",": "),SUBSTITUTE(SUBSTITUTE(UPPER(S1993)," ",""),":",": "))),0)),"Não encontrado")</f>
        <v>Não encontrado</v>
      </c>
      <c r="D1993" s="46" t="str" cm="1">
        <f t="array" ref="D1993">IFERROR(INDEX(#REF!,MATCH(TRUE,ISNUMBER(FIND(SUBSTITUTE(SUBSTITUTE(UPPER(#REF!)," ",""),":",": "),SUBSTITUTE(SUBSTITUTE(UPPER(S1993)," ",""),":",": "))),0)),"Não encontrado")</f>
        <v>Não encontrado</v>
      </c>
      <c r="E1993" s="42" t="str" cm="1">
        <f t="array" ref="E1993">IFERROR(INDEX({"IMPEDITIVO"},MATCH(TRUE,ISNUMBER(FIND(SUBSTITUTE(SUBSTITUTE(UPPER({"IMPEDITIVO"})," ",""),":",": "),SUBSTITUTE(SUBSTITUTE(UPPER(S1993)," ",""),":",": "))),0)),"-")</f>
        <v>-</v>
      </c>
      <c r="K1993" s="49"/>
    </row>
    <row r="1994" spans="1:11" x14ac:dyDescent="0.25">
      <c r="A1994" s="46" t="str" cm="1">
        <f t="array" ref="A1994">IFERROR(INDEX(#REF!,MATCH(TRUE,ISNUMBER(FIND(SUBSTITUTE(SUBSTITUTE(UPPER(#REF!)," ",""),":",": "),SUBSTITUTE(SUBSTITUTE(UPPER(S1994)," ",""),":",": "))),0)),"Undefined")</f>
        <v>Undefined</v>
      </c>
      <c r="B1994" s="42" t="str" cm="1">
        <f t="array" ref="B1994">IFERROR(INDEX({"URGENTE"},MATCH(TRUE,ISNUMBER(FIND(SUBSTITUTE(SUBSTITUTE(UPPER({"URGENTE"})," ",""),":",": "),SUBSTITUTE(SUBSTITUTE(UPPER(S1994)," ",""),":",": "))),0)),"-")</f>
        <v>-</v>
      </c>
      <c r="C1994" s="46" t="str" cm="1">
        <f t="array" ref="C1994">IFERROR(INDEX(#REF!,MATCH(TRUE,ISNUMBER(FIND(SUBSTITUTE(SUBSTITUTE(UPPER(#REF!)," ",""),":",": "),SUBSTITUTE(SUBSTITUTE(UPPER(S1994)," ",""),":",": "))),0)),"Não encontrado")</f>
        <v>Não encontrado</v>
      </c>
      <c r="D1994" s="46" t="str" cm="1">
        <f t="array" ref="D1994">IFERROR(INDEX(#REF!,MATCH(TRUE,ISNUMBER(FIND(SUBSTITUTE(SUBSTITUTE(UPPER(#REF!)," ",""),":",": "),SUBSTITUTE(SUBSTITUTE(UPPER(S1994)," ",""),":",": "))),0)),"Não encontrado")</f>
        <v>Não encontrado</v>
      </c>
      <c r="E1994" s="42" t="str" cm="1">
        <f t="array" ref="E1994">IFERROR(INDEX({"IMPEDITIVO"},MATCH(TRUE,ISNUMBER(FIND(SUBSTITUTE(SUBSTITUTE(UPPER({"IMPEDITIVO"})," ",""),":",": "),SUBSTITUTE(SUBSTITUTE(UPPER(S1994)," ",""),":",": "))),0)),"-")</f>
        <v>-</v>
      </c>
      <c r="K1994" s="49"/>
    </row>
    <row r="1995" spans="1:11" x14ac:dyDescent="0.25">
      <c r="A1995" s="46" t="str" cm="1">
        <f t="array" ref="A1995">IFERROR(INDEX(#REF!,MATCH(TRUE,ISNUMBER(FIND(SUBSTITUTE(SUBSTITUTE(UPPER(#REF!)," ",""),":",": "),SUBSTITUTE(SUBSTITUTE(UPPER(S1995)," ",""),":",": "))),0)),"Undefined")</f>
        <v>Undefined</v>
      </c>
      <c r="B1995" s="42" t="str" cm="1">
        <f t="array" ref="B1995">IFERROR(INDEX({"URGENTE"},MATCH(TRUE,ISNUMBER(FIND(SUBSTITUTE(SUBSTITUTE(UPPER({"URGENTE"})," ",""),":",": "),SUBSTITUTE(SUBSTITUTE(UPPER(S1995)," ",""),":",": "))),0)),"-")</f>
        <v>-</v>
      </c>
      <c r="C1995" s="46" t="str" cm="1">
        <f t="array" ref="C1995">IFERROR(INDEX(#REF!,MATCH(TRUE,ISNUMBER(FIND(SUBSTITUTE(SUBSTITUTE(UPPER(#REF!)," ",""),":",": "),SUBSTITUTE(SUBSTITUTE(UPPER(S1995)," ",""),":",": "))),0)),"Não encontrado")</f>
        <v>Não encontrado</v>
      </c>
      <c r="D1995" s="46" t="str" cm="1">
        <f t="array" ref="D1995">IFERROR(INDEX(#REF!,MATCH(TRUE,ISNUMBER(FIND(SUBSTITUTE(SUBSTITUTE(UPPER(#REF!)," ",""),":",": "),SUBSTITUTE(SUBSTITUTE(UPPER(S1995)," ",""),":",": "))),0)),"Não encontrado")</f>
        <v>Não encontrado</v>
      </c>
      <c r="E1995" s="42" t="str" cm="1">
        <f t="array" ref="E1995">IFERROR(INDEX({"IMPEDITIVO"},MATCH(TRUE,ISNUMBER(FIND(SUBSTITUTE(SUBSTITUTE(UPPER({"IMPEDITIVO"})," ",""),":",": "),SUBSTITUTE(SUBSTITUTE(UPPER(S1995)," ",""),":",": "))),0)),"-")</f>
        <v>-</v>
      </c>
      <c r="K1995" s="49"/>
    </row>
    <row r="1996" spans="1:11" x14ac:dyDescent="0.25">
      <c r="A1996" s="46" t="str" cm="1">
        <f t="array" ref="A1996">IFERROR(INDEX(#REF!,MATCH(TRUE,ISNUMBER(FIND(SUBSTITUTE(SUBSTITUTE(UPPER(#REF!)," ",""),":",": "),SUBSTITUTE(SUBSTITUTE(UPPER(S1996)," ",""),":",": "))),0)),"Undefined")</f>
        <v>Undefined</v>
      </c>
      <c r="B1996" s="42" t="str" cm="1">
        <f t="array" ref="B1996">IFERROR(INDEX({"URGENTE"},MATCH(TRUE,ISNUMBER(FIND(SUBSTITUTE(SUBSTITUTE(UPPER({"URGENTE"})," ",""),":",": "),SUBSTITUTE(SUBSTITUTE(UPPER(S1996)," ",""),":",": "))),0)),"-")</f>
        <v>-</v>
      </c>
      <c r="C1996" s="46" t="str" cm="1">
        <f t="array" ref="C1996">IFERROR(INDEX(#REF!,MATCH(TRUE,ISNUMBER(FIND(SUBSTITUTE(SUBSTITUTE(UPPER(#REF!)," ",""),":",": "),SUBSTITUTE(SUBSTITUTE(UPPER(S1996)," ",""),":",": "))),0)),"Não encontrado")</f>
        <v>Não encontrado</v>
      </c>
      <c r="D1996" s="46" t="str" cm="1">
        <f t="array" ref="D1996">IFERROR(INDEX(#REF!,MATCH(TRUE,ISNUMBER(FIND(SUBSTITUTE(SUBSTITUTE(UPPER(#REF!)," ",""),":",": "),SUBSTITUTE(SUBSTITUTE(UPPER(S1996)," ",""),":",": "))),0)),"Não encontrado")</f>
        <v>Não encontrado</v>
      </c>
      <c r="E1996" s="42" t="str" cm="1">
        <f t="array" ref="E1996">IFERROR(INDEX({"IMPEDITIVO"},MATCH(TRUE,ISNUMBER(FIND(SUBSTITUTE(SUBSTITUTE(UPPER({"IMPEDITIVO"})," ",""),":",": "),SUBSTITUTE(SUBSTITUTE(UPPER(S1996)," ",""),":",": "))),0)),"-")</f>
        <v>-</v>
      </c>
      <c r="K1996" s="49"/>
    </row>
    <row r="1997" spans="1:11" x14ac:dyDescent="0.25">
      <c r="A1997" s="46" t="str" cm="1">
        <f t="array" ref="A1997">IFERROR(INDEX(#REF!,MATCH(TRUE,ISNUMBER(FIND(SUBSTITUTE(SUBSTITUTE(UPPER(#REF!)," ",""),":",": "),SUBSTITUTE(SUBSTITUTE(UPPER(S1997)," ",""),":",": "))),0)),"Undefined")</f>
        <v>Undefined</v>
      </c>
      <c r="B1997" s="42" t="str" cm="1">
        <f t="array" ref="B1997">IFERROR(INDEX({"URGENTE"},MATCH(TRUE,ISNUMBER(FIND(SUBSTITUTE(SUBSTITUTE(UPPER({"URGENTE"})," ",""),":",": "),SUBSTITUTE(SUBSTITUTE(UPPER(S1997)," ",""),":",": "))),0)),"-")</f>
        <v>-</v>
      </c>
      <c r="C1997" s="46" t="str" cm="1">
        <f t="array" ref="C1997">IFERROR(INDEX(#REF!,MATCH(TRUE,ISNUMBER(FIND(SUBSTITUTE(SUBSTITUTE(UPPER(#REF!)," ",""),":",": "),SUBSTITUTE(SUBSTITUTE(UPPER(S1997)," ",""),":",": "))),0)),"Não encontrado")</f>
        <v>Não encontrado</v>
      </c>
      <c r="D1997" s="46" t="str" cm="1">
        <f t="array" ref="D1997">IFERROR(INDEX(#REF!,MATCH(TRUE,ISNUMBER(FIND(SUBSTITUTE(SUBSTITUTE(UPPER(#REF!)," ",""),":",": "),SUBSTITUTE(SUBSTITUTE(UPPER(S1997)," ",""),":",": "))),0)),"Não encontrado")</f>
        <v>Não encontrado</v>
      </c>
      <c r="E1997" s="42" t="str" cm="1">
        <f t="array" ref="E1997">IFERROR(INDEX({"IMPEDITIVO"},MATCH(TRUE,ISNUMBER(FIND(SUBSTITUTE(SUBSTITUTE(UPPER({"IMPEDITIVO"})," ",""),":",": "),SUBSTITUTE(SUBSTITUTE(UPPER(S1997)," ",""),":",": "))),0)),"-")</f>
        <v>-</v>
      </c>
      <c r="K1997" s="49"/>
    </row>
    <row r="1998" spans="1:11" x14ac:dyDescent="0.25">
      <c r="A1998" s="46" t="str" cm="1">
        <f t="array" ref="A1998">IFERROR(INDEX(#REF!,MATCH(TRUE,ISNUMBER(FIND(SUBSTITUTE(SUBSTITUTE(UPPER(#REF!)," ",""),":",": "),SUBSTITUTE(SUBSTITUTE(UPPER(S1998)," ",""),":",": "))),0)),"Undefined")</f>
        <v>Undefined</v>
      </c>
      <c r="B1998" s="42" t="str" cm="1">
        <f t="array" ref="B1998">IFERROR(INDEX({"URGENTE"},MATCH(TRUE,ISNUMBER(FIND(SUBSTITUTE(SUBSTITUTE(UPPER({"URGENTE"})," ",""),":",": "),SUBSTITUTE(SUBSTITUTE(UPPER(S1998)," ",""),":",": "))),0)),"-")</f>
        <v>-</v>
      </c>
      <c r="C1998" s="46" t="str" cm="1">
        <f t="array" ref="C1998">IFERROR(INDEX(#REF!,MATCH(TRUE,ISNUMBER(FIND(SUBSTITUTE(SUBSTITUTE(UPPER(#REF!)," ",""),":",": "),SUBSTITUTE(SUBSTITUTE(UPPER(S1998)," ",""),":",": "))),0)),"Não encontrado")</f>
        <v>Não encontrado</v>
      </c>
      <c r="D1998" s="46" t="str" cm="1">
        <f t="array" ref="D1998">IFERROR(INDEX(#REF!,MATCH(TRUE,ISNUMBER(FIND(SUBSTITUTE(SUBSTITUTE(UPPER(#REF!)," ",""),":",": "),SUBSTITUTE(SUBSTITUTE(UPPER(S1998)," ",""),":",": "))),0)),"Não encontrado")</f>
        <v>Não encontrado</v>
      </c>
      <c r="E1998" s="42" t="str" cm="1">
        <f t="array" ref="E1998">IFERROR(INDEX({"IMPEDITIVO"},MATCH(TRUE,ISNUMBER(FIND(SUBSTITUTE(SUBSTITUTE(UPPER({"IMPEDITIVO"})," ",""),":",": "),SUBSTITUTE(SUBSTITUTE(UPPER(S1998)," ",""),":",": "))),0)),"-")</f>
        <v>-</v>
      </c>
      <c r="K1998" s="49"/>
    </row>
    <row r="1999" spans="1:11" x14ac:dyDescent="0.25">
      <c r="A1999" s="46" t="str" cm="1">
        <f t="array" ref="A1999">IFERROR(INDEX(#REF!,MATCH(TRUE,ISNUMBER(FIND(SUBSTITUTE(SUBSTITUTE(UPPER(#REF!)," ",""),":",": "),SUBSTITUTE(SUBSTITUTE(UPPER(S1999)," ",""),":",": "))),0)),"Undefined")</f>
        <v>Undefined</v>
      </c>
      <c r="B1999" s="42" t="str" cm="1">
        <f t="array" ref="B1999">IFERROR(INDEX({"URGENTE"},MATCH(TRUE,ISNUMBER(FIND(SUBSTITUTE(SUBSTITUTE(UPPER({"URGENTE"})," ",""),":",": "),SUBSTITUTE(SUBSTITUTE(UPPER(S1999)," ",""),":",": "))),0)),"-")</f>
        <v>-</v>
      </c>
      <c r="C1999" s="46" t="str" cm="1">
        <f t="array" ref="C1999">IFERROR(INDEX(#REF!,MATCH(TRUE,ISNUMBER(FIND(SUBSTITUTE(SUBSTITUTE(UPPER(#REF!)," ",""),":",": "),SUBSTITUTE(SUBSTITUTE(UPPER(S1999)," ",""),":",": "))),0)),"Não encontrado")</f>
        <v>Não encontrado</v>
      </c>
      <c r="D1999" s="46" t="str" cm="1">
        <f t="array" ref="D1999">IFERROR(INDEX(#REF!,MATCH(TRUE,ISNUMBER(FIND(SUBSTITUTE(SUBSTITUTE(UPPER(#REF!)," ",""),":",": "),SUBSTITUTE(SUBSTITUTE(UPPER(S1999)," ",""),":",": "))),0)),"Não encontrado")</f>
        <v>Não encontrado</v>
      </c>
      <c r="E1999" s="42" t="str" cm="1">
        <f t="array" ref="E1999">IFERROR(INDEX({"IMPEDITIVO"},MATCH(TRUE,ISNUMBER(FIND(SUBSTITUTE(SUBSTITUTE(UPPER({"IMPEDITIVO"})," ",""),":",": "),SUBSTITUTE(SUBSTITUTE(UPPER(S1999)," ",""),":",": "))),0)),"-")</f>
        <v>-</v>
      </c>
      <c r="K1999" s="49"/>
    </row>
    <row r="2000" spans="1:11" x14ac:dyDescent="0.25">
      <c r="A2000" s="46" t="str" cm="1">
        <f t="array" ref="A2000">IFERROR(INDEX(#REF!,MATCH(TRUE,ISNUMBER(FIND(SUBSTITUTE(SUBSTITUTE(UPPER(#REF!)," ",""),":",": "),SUBSTITUTE(SUBSTITUTE(UPPER(S2000)," ",""),":",": "))),0)),"Undefined")</f>
        <v>Undefined</v>
      </c>
      <c r="B2000" s="42" t="str" cm="1">
        <f t="array" ref="B2000">IFERROR(INDEX({"URGENTE"},MATCH(TRUE,ISNUMBER(FIND(SUBSTITUTE(SUBSTITUTE(UPPER({"URGENTE"})," ",""),":",": "),SUBSTITUTE(SUBSTITUTE(UPPER(S2000)," ",""),":",": "))),0)),"-")</f>
        <v>-</v>
      </c>
      <c r="C2000" s="46" t="str" cm="1">
        <f t="array" ref="C2000">IFERROR(INDEX(#REF!,MATCH(TRUE,ISNUMBER(FIND(SUBSTITUTE(SUBSTITUTE(UPPER(#REF!)," ",""),":",": "),SUBSTITUTE(SUBSTITUTE(UPPER(S2000)," ",""),":",": "))),0)),"Não encontrado")</f>
        <v>Não encontrado</v>
      </c>
      <c r="D2000" s="46" t="str" cm="1">
        <f t="array" ref="D2000">IFERROR(INDEX(#REF!,MATCH(TRUE,ISNUMBER(FIND(SUBSTITUTE(SUBSTITUTE(UPPER(#REF!)," ",""),":",": "),SUBSTITUTE(SUBSTITUTE(UPPER(S2000)," ",""),":",": "))),0)),"Não encontrado")</f>
        <v>Não encontrado</v>
      </c>
      <c r="E2000" s="42" t="str" cm="1">
        <f t="array" ref="E2000">IFERROR(INDEX({"IMPEDITIVO"},MATCH(TRUE,ISNUMBER(FIND(SUBSTITUTE(SUBSTITUTE(UPPER({"IMPEDITIVO"})," ",""),":",": "),SUBSTITUTE(SUBSTITUTE(UPPER(S2000)," ",""),":",": "))),0)),"-")</f>
        <v>-</v>
      </c>
      <c r="K2000" s="49"/>
    </row>
    <row r="2001" spans="1:11" x14ac:dyDescent="0.25">
      <c r="A2001" s="46" t="str" cm="1">
        <f t="array" ref="A2001">IFERROR(INDEX(#REF!,MATCH(TRUE,ISNUMBER(FIND(SUBSTITUTE(SUBSTITUTE(UPPER(#REF!)," ",""),":",": "),SUBSTITUTE(SUBSTITUTE(UPPER(S2001)," ",""),":",": "))),0)),"Undefined")</f>
        <v>Undefined</v>
      </c>
      <c r="B2001" s="42" t="str" cm="1">
        <f t="array" ref="B2001">IFERROR(INDEX({"URGENTE"},MATCH(TRUE,ISNUMBER(FIND(SUBSTITUTE(SUBSTITUTE(UPPER({"URGENTE"})," ",""),":",": "),SUBSTITUTE(SUBSTITUTE(UPPER(S2001)," ",""),":",": "))),0)),"-")</f>
        <v>-</v>
      </c>
      <c r="C2001" s="46" t="str" cm="1">
        <f t="array" ref="C2001">IFERROR(INDEX(#REF!,MATCH(TRUE,ISNUMBER(FIND(SUBSTITUTE(SUBSTITUTE(UPPER(#REF!)," ",""),":",": "),SUBSTITUTE(SUBSTITUTE(UPPER(S2001)," ",""),":",": "))),0)),"Não encontrado")</f>
        <v>Não encontrado</v>
      </c>
      <c r="D2001" s="46" t="str" cm="1">
        <f t="array" ref="D2001">IFERROR(INDEX(#REF!,MATCH(TRUE,ISNUMBER(FIND(SUBSTITUTE(SUBSTITUTE(UPPER(#REF!)," ",""),":",": "),SUBSTITUTE(SUBSTITUTE(UPPER(S2001)," ",""),":",": "))),0)),"Não encontrado")</f>
        <v>Não encontrado</v>
      </c>
      <c r="E2001" s="42" t="str" cm="1">
        <f t="array" ref="E2001">IFERROR(INDEX({"IMPEDITIVO"},MATCH(TRUE,ISNUMBER(FIND(SUBSTITUTE(SUBSTITUTE(UPPER({"IMPEDITIVO"})," ",""),":",": "),SUBSTITUTE(SUBSTITUTE(UPPER(S2001)," ",""),":",": "))),0)),"-")</f>
        <v>-</v>
      </c>
      <c r="K2001" s="49"/>
    </row>
    <row r="2002" spans="1:11" x14ac:dyDescent="0.25">
      <c r="A2002" s="46" t="str" cm="1">
        <f t="array" ref="A2002">IFERROR(INDEX(#REF!,MATCH(TRUE,ISNUMBER(FIND(SUBSTITUTE(SUBSTITUTE(UPPER(#REF!)," ",""),":",": "),SUBSTITUTE(SUBSTITUTE(UPPER(S2002)," ",""),":",": "))),0)),"Undefined")</f>
        <v>Undefined</v>
      </c>
      <c r="B2002" s="42" t="str" cm="1">
        <f t="array" ref="B2002">IFERROR(INDEX({"URGENTE"},MATCH(TRUE,ISNUMBER(FIND(SUBSTITUTE(SUBSTITUTE(UPPER({"URGENTE"})," ",""),":",": "),SUBSTITUTE(SUBSTITUTE(UPPER(S2002)," ",""),":",": "))),0)),"-")</f>
        <v>-</v>
      </c>
      <c r="C2002" s="46" t="str" cm="1">
        <f t="array" ref="C2002">IFERROR(INDEX(#REF!,MATCH(TRUE,ISNUMBER(FIND(SUBSTITUTE(SUBSTITUTE(UPPER(#REF!)," ",""),":",": "),SUBSTITUTE(SUBSTITUTE(UPPER(S2002)," ",""),":",": "))),0)),"Não encontrado")</f>
        <v>Não encontrado</v>
      </c>
      <c r="D2002" s="46" t="str" cm="1">
        <f t="array" ref="D2002">IFERROR(INDEX(#REF!,MATCH(TRUE,ISNUMBER(FIND(SUBSTITUTE(SUBSTITUTE(UPPER(#REF!)," ",""),":",": "),SUBSTITUTE(SUBSTITUTE(UPPER(S2002)," ",""),":",": "))),0)),"Não encontrado")</f>
        <v>Não encontrado</v>
      </c>
      <c r="E2002" s="42" t="str" cm="1">
        <f t="array" ref="E2002">IFERROR(INDEX({"IMPEDITIVO"},MATCH(TRUE,ISNUMBER(FIND(SUBSTITUTE(SUBSTITUTE(UPPER({"IMPEDITIVO"})," ",""),":",": "),SUBSTITUTE(SUBSTITUTE(UPPER(S2002)," ",""),":",": "))),0)),"-")</f>
        <v>-</v>
      </c>
      <c r="K2002" s="49"/>
    </row>
    <row r="2003" spans="1:11" x14ac:dyDescent="0.25">
      <c r="A2003" s="46" t="str" cm="1">
        <f t="array" ref="A2003">IFERROR(INDEX(#REF!,MATCH(TRUE,ISNUMBER(FIND(SUBSTITUTE(SUBSTITUTE(UPPER(#REF!)," ",""),":",": "),SUBSTITUTE(SUBSTITUTE(UPPER(S2003)," ",""),":",": "))),0)),"Undefined")</f>
        <v>Undefined</v>
      </c>
      <c r="B2003" s="42" t="str" cm="1">
        <f t="array" ref="B2003">IFERROR(INDEX({"URGENTE"},MATCH(TRUE,ISNUMBER(FIND(SUBSTITUTE(SUBSTITUTE(UPPER({"URGENTE"})," ",""),":",": "),SUBSTITUTE(SUBSTITUTE(UPPER(S2003)," ",""),":",": "))),0)),"-")</f>
        <v>-</v>
      </c>
      <c r="C2003" s="46" t="str" cm="1">
        <f t="array" ref="C2003">IFERROR(INDEX(#REF!,MATCH(TRUE,ISNUMBER(FIND(SUBSTITUTE(SUBSTITUTE(UPPER(#REF!)," ",""),":",": "),SUBSTITUTE(SUBSTITUTE(UPPER(S2003)," ",""),":",": "))),0)),"Não encontrado")</f>
        <v>Não encontrado</v>
      </c>
      <c r="D2003" s="46" t="str" cm="1">
        <f t="array" ref="D2003">IFERROR(INDEX(#REF!,MATCH(TRUE,ISNUMBER(FIND(SUBSTITUTE(SUBSTITUTE(UPPER(#REF!)," ",""),":",": "),SUBSTITUTE(SUBSTITUTE(UPPER(S2003)," ",""),":",": "))),0)),"Não encontrado")</f>
        <v>Não encontrado</v>
      </c>
      <c r="E2003" s="42" t="str" cm="1">
        <f t="array" ref="E2003">IFERROR(INDEX({"IMPEDITIVO"},MATCH(TRUE,ISNUMBER(FIND(SUBSTITUTE(SUBSTITUTE(UPPER({"IMPEDITIVO"})," ",""),":",": "),SUBSTITUTE(SUBSTITUTE(UPPER(S2003)," ",""),":",": "))),0)),"-")</f>
        <v>-</v>
      </c>
      <c r="K2003" s="49"/>
    </row>
    <row r="2004" spans="1:11" x14ac:dyDescent="0.25">
      <c r="A2004" s="46" t="str" cm="1">
        <f t="array" ref="A2004">IFERROR(INDEX(#REF!,MATCH(TRUE,ISNUMBER(FIND(SUBSTITUTE(SUBSTITUTE(UPPER(#REF!)," ",""),":",": "),SUBSTITUTE(SUBSTITUTE(UPPER(S2004)," ",""),":",": "))),0)),"Undefined")</f>
        <v>Undefined</v>
      </c>
      <c r="B2004" s="42" t="str" cm="1">
        <f t="array" ref="B2004">IFERROR(INDEX({"URGENTE"},MATCH(TRUE,ISNUMBER(FIND(SUBSTITUTE(SUBSTITUTE(UPPER({"URGENTE"})," ",""),":",": "),SUBSTITUTE(SUBSTITUTE(UPPER(S2004)," ",""),":",": "))),0)),"-")</f>
        <v>-</v>
      </c>
      <c r="C2004" s="46" t="str" cm="1">
        <f t="array" ref="C2004">IFERROR(INDEX(#REF!,MATCH(TRUE,ISNUMBER(FIND(SUBSTITUTE(SUBSTITUTE(UPPER(#REF!)," ",""),":",": "),SUBSTITUTE(SUBSTITUTE(UPPER(S2004)," ",""),":",": "))),0)),"Não encontrado")</f>
        <v>Não encontrado</v>
      </c>
      <c r="D2004" s="46" t="str" cm="1">
        <f t="array" ref="D2004">IFERROR(INDEX(#REF!,MATCH(TRUE,ISNUMBER(FIND(SUBSTITUTE(SUBSTITUTE(UPPER(#REF!)," ",""),":",": "),SUBSTITUTE(SUBSTITUTE(UPPER(S2004)," ",""),":",": "))),0)),"Não encontrado")</f>
        <v>Não encontrado</v>
      </c>
      <c r="E2004" s="42" t="str" cm="1">
        <f t="array" ref="E2004">IFERROR(INDEX({"IMPEDITIVO"},MATCH(TRUE,ISNUMBER(FIND(SUBSTITUTE(SUBSTITUTE(UPPER({"IMPEDITIVO"})," ",""),":",": "),SUBSTITUTE(SUBSTITUTE(UPPER(S2004)," ",""),":",": "))),0)),"-")</f>
        <v>-</v>
      </c>
      <c r="K2004" s="49"/>
    </row>
    <row r="2005" spans="1:11" x14ac:dyDescent="0.25">
      <c r="A2005" s="46" t="str" cm="1">
        <f t="array" ref="A2005">IFERROR(INDEX(#REF!,MATCH(TRUE,ISNUMBER(FIND(SUBSTITUTE(SUBSTITUTE(UPPER(#REF!)," ",""),":",": "),SUBSTITUTE(SUBSTITUTE(UPPER(S2005)," ",""),":",": "))),0)),"Undefined")</f>
        <v>Undefined</v>
      </c>
      <c r="B2005" s="42" t="str" cm="1">
        <f t="array" ref="B2005">IFERROR(INDEX({"URGENTE"},MATCH(TRUE,ISNUMBER(FIND(SUBSTITUTE(SUBSTITUTE(UPPER({"URGENTE"})," ",""),":",": "),SUBSTITUTE(SUBSTITUTE(UPPER(S2005)," ",""),":",": "))),0)),"-")</f>
        <v>-</v>
      </c>
      <c r="C2005" s="46" t="str" cm="1">
        <f t="array" ref="C2005">IFERROR(INDEX(#REF!,MATCH(TRUE,ISNUMBER(FIND(SUBSTITUTE(SUBSTITUTE(UPPER(#REF!)," ",""),":",": "),SUBSTITUTE(SUBSTITUTE(UPPER(S2005)," ",""),":",": "))),0)),"Não encontrado")</f>
        <v>Não encontrado</v>
      </c>
      <c r="D2005" s="46" t="str" cm="1">
        <f t="array" ref="D2005">IFERROR(INDEX(#REF!,MATCH(TRUE,ISNUMBER(FIND(SUBSTITUTE(SUBSTITUTE(UPPER(#REF!)," ",""),":",": "),SUBSTITUTE(SUBSTITUTE(UPPER(S2005)," ",""),":",": "))),0)),"Não encontrado")</f>
        <v>Não encontrado</v>
      </c>
      <c r="E2005" s="42" t="str" cm="1">
        <f t="array" ref="E2005">IFERROR(INDEX({"IMPEDITIVO"},MATCH(TRUE,ISNUMBER(FIND(SUBSTITUTE(SUBSTITUTE(UPPER({"IMPEDITIVO"})," ",""),":",": "),SUBSTITUTE(SUBSTITUTE(UPPER(S2005)," ",""),":",": "))),0)),"-")</f>
        <v>-</v>
      </c>
      <c r="K2005" s="49"/>
    </row>
    <row r="2006" spans="1:11" x14ac:dyDescent="0.25">
      <c r="A2006" s="46" t="str" cm="1">
        <f t="array" ref="A2006">IFERROR(INDEX(#REF!,MATCH(TRUE,ISNUMBER(FIND(SUBSTITUTE(SUBSTITUTE(UPPER(#REF!)," ",""),":",": "),SUBSTITUTE(SUBSTITUTE(UPPER(S2006)," ",""),":",": "))),0)),"Undefined")</f>
        <v>Undefined</v>
      </c>
      <c r="B2006" s="42" t="str" cm="1">
        <f t="array" ref="B2006">IFERROR(INDEX({"URGENTE"},MATCH(TRUE,ISNUMBER(FIND(SUBSTITUTE(SUBSTITUTE(UPPER({"URGENTE"})," ",""),":",": "),SUBSTITUTE(SUBSTITUTE(UPPER(S2006)," ",""),":",": "))),0)),"-")</f>
        <v>-</v>
      </c>
      <c r="C2006" s="46" t="str" cm="1">
        <f t="array" ref="C2006">IFERROR(INDEX(#REF!,MATCH(TRUE,ISNUMBER(FIND(SUBSTITUTE(SUBSTITUTE(UPPER(#REF!)," ",""),":",": "),SUBSTITUTE(SUBSTITUTE(UPPER(S2006)," ",""),":",": "))),0)),"Não encontrado")</f>
        <v>Não encontrado</v>
      </c>
      <c r="D2006" s="46" t="str" cm="1">
        <f t="array" ref="D2006">IFERROR(INDEX(#REF!,MATCH(TRUE,ISNUMBER(FIND(SUBSTITUTE(SUBSTITUTE(UPPER(#REF!)," ",""),":",": "),SUBSTITUTE(SUBSTITUTE(UPPER(S2006)," ",""),":",": "))),0)),"Não encontrado")</f>
        <v>Não encontrado</v>
      </c>
      <c r="E2006" s="42" t="str" cm="1">
        <f t="array" ref="E2006">IFERROR(INDEX({"IMPEDITIVO"},MATCH(TRUE,ISNUMBER(FIND(SUBSTITUTE(SUBSTITUTE(UPPER({"IMPEDITIVO"})," ",""),":",": "),SUBSTITUTE(SUBSTITUTE(UPPER(S2006)," ",""),":",": "))),0)),"-")</f>
        <v>-</v>
      </c>
      <c r="K2006" s="49"/>
    </row>
    <row r="2007" spans="1:11" x14ac:dyDescent="0.25">
      <c r="A2007" s="46" t="str" cm="1">
        <f t="array" ref="A2007">IFERROR(INDEX(#REF!,MATCH(TRUE,ISNUMBER(FIND(SUBSTITUTE(SUBSTITUTE(UPPER(#REF!)," ",""),":",": "),SUBSTITUTE(SUBSTITUTE(UPPER(S2007)," ",""),":",": "))),0)),"Undefined")</f>
        <v>Undefined</v>
      </c>
      <c r="B2007" s="42" t="str" cm="1">
        <f t="array" ref="B2007">IFERROR(INDEX({"URGENTE"},MATCH(TRUE,ISNUMBER(FIND(SUBSTITUTE(SUBSTITUTE(UPPER({"URGENTE"})," ",""),":",": "),SUBSTITUTE(SUBSTITUTE(UPPER(S2007)," ",""),":",": "))),0)),"-")</f>
        <v>-</v>
      </c>
      <c r="C2007" s="46" t="str" cm="1">
        <f t="array" ref="C2007">IFERROR(INDEX(#REF!,MATCH(TRUE,ISNUMBER(FIND(SUBSTITUTE(SUBSTITUTE(UPPER(#REF!)," ",""),":",": "),SUBSTITUTE(SUBSTITUTE(UPPER(S2007)," ",""),":",": "))),0)),"Não encontrado")</f>
        <v>Não encontrado</v>
      </c>
      <c r="D2007" s="46" t="str" cm="1">
        <f t="array" ref="D2007">IFERROR(INDEX(#REF!,MATCH(TRUE,ISNUMBER(FIND(SUBSTITUTE(SUBSTITUTE(UPPER(#REF!)," ",""),":",": "),SUBSTITUTE(SUBSTITUTE(UPPER(S2007)," ",""),":",": "))),0)),"Não encontrado")</f>
        <v>Não encontrado</v>
      </c>
      <c r="E2007" s="42" t="str" cm="1">
        <f t="array" ref="E2007">IFERROR(INDEX({"IMPEDITIVO"},MATCH(TRUE,ISNUMBER(FIND(SUBSTITUTE(SUBSTITUTE(UPPER({"IMPEDITIVO"})," ",""),":",": "),SUBSTITUTE(SUBSTITUTE(UPPER(S2007)," ",""),":",": "))),0)),"-")</f>
        <v>-</v>
      </c>
      <c r="K2007" s="49"/>
    </row>
    <row r="2008" spans="1:11" x14ac:dyDescent="0.25">
      <c r="A2008" s="46" t="str" cm="1">
        <f t="array" ref="A2008">IFERROR(INDEX(#REF!,MATCH(TRUE,ISNUMBER(FIND(SUBSTITUTE(SUBSTITUTE(UPPER(#REF!)," ",""),":",": "),SUBSTITUTE(SUBSTITUTE(UPPER(S2008)," ",""),":",": "))),0)),"Undefined")</f>
        <v>Undefined</v>
      </c>
      <c r="B2008" s="42" t="str" cm="1">
        <f t="array" ref="B2008">IFERROR(INDEX({"URGENTE"},MATCH(TRUE,ISNUMBER(FIND(SUBSTITUTE(SUBSTITUTE(UPPER({"URGENTE"})," ",""),":",": "),SUBSTITUTE(SUBSTITUTE(UPPER(S2008)," ",""),":",": "))),0)),"-")</f>
        <v>-</v>
      </c>
      <c r="C2008" s="46" t="str" cm="1">
        <f t="array" ref="C2008">IFERROR(INDEX(#REF!,MATCH(TRUE,ISNUMBER(FIND(SUBSTITUTE(SUBSTITUTE(UPPER(#REF!)," ",""),":",": "),SUBSTITUTE(SUBSTITUTE(UPPER(S2008)," ",""),":",": "))),0)),"Não encontrado")</f>
        <v>Não encontrado</v>
      </c>
      <c r="D2008" s="46" t="str" cm="1">
        <f t="array" ref="D2008">IFERROR(INDEX(#REF!,MATCH(TRUE,ISNUMBER(FIND(SUBSTITUTE(SUBSTITUTE(UPPER(#REF!)," ",""),":",": "),SUBSTITUTE(SUBSTITUTE(UPPER(S2008)," ",""),":",": "))),0)),"Não encontrado")</f>
        <v>Não encontrado</v>
      </c>
      <c r="E2008" s="42" t="str" cm="1">
        <f t="array" ref="E2008">IFERROR(INDEX({"IMPEDITIVO"},MATCH(TRUE,ISNUMBER(FIND(SUBSTITUTE(SUBSTITUTE(UPPER({"IMPEDITIVO"})," ",""),":",": "),SUBSTITUTE(SUBSTITUTE(UPPER(S2008)," ",""),":",": "))),0)),"-")</f>
        <v>-</v>
      </c>
      <c r="K2008" s="49"/>
    </row>
    <row r="2009" spans="1:11" x14ac:dyDescent="0.25">
      <c r="A2009" s="46" t="str" cm="1">
        <f t="array" ref="A2009">IFERROR(INDEX(#REF!,MATCH(TRUE,ISNUMBER(FIND(SUBSTITUTE(SUBSTITUTE(UPPER(#REF!)," ",""),":",": "),SUBSTITUTE(SUBSTITUTE(UPPER(S2009)," ",""),":",": "))),0)),"Undefined")</f>
        <v>Undefined</v>
      </c>
      <c r="B2009" s="42" t="str" cm="1">
        <f t="array" ref="B2009">IFERROR(INDEX({"URGENTE"},MATCH(TRUE,ISNUMBER(FIND(SUBSTITUTE(SUBSTITUTE(UPPER({"URGENTE"})," ",""),":",": "),SUBSTITUTE(SUBSTITUTE(UPPER(S2009)," ",""),":",": "))),0)),"-")</f>
        <v>-</v>
      </c>
      <c r="C2009" s="46" t="str" cm="1">
        <f t="array" ref="C2009">IFERROR(INDEX(#REF!,MATCH(TRUE,ISNUMBER(FIND(SUBSTITUTE(SUBSTITUTE(UPPER(#REF!)," ",""),":",": "),SUBSTITUTE(SUBSTITUTE(UPPER(S2009)," ",""),":",": "))),0)),"Não encontrado")</f>
        <v>Não encontrado</v>
      </c>
      <c r="D2009" s="46" t="str" cm="1">
        <f t="array" ref="D2009">IFERROR(INDEX(#REF!,MATCH(TRUE,ISNUMBER(FIND(SUBSTITUTE(SUBSTITUTE(UPPER(#REF!)," ",""),":",": "),SUBSTITUTE(SUBSTITUTE(UPPER(S2009)," ",""),":",": "))),0)),"Não encontrado")</f>
        <v>Não encontrado</v>
      </c>
      <c r="E2009" s="42" t="str" cm="1">
        <f t="array" ref="E2009">IFERROR(INDEX({"IMPEDITIVO"},MATCH(TRUE,ISNUMBER(FIND(SUBSTITUTE(SUBSTITUTE(UPPER({"IMPEDITIVO"})," ",""),":",": "),SUBSTITUTE(SUBSTITUTE(UPPER(S2009)," ",""),":",": "))),0)),"-")</f>
        <v>-</v>
      </c>
      <c r="K2009" s="49"/>
    </row>
    <row r="2010" spans="1:11" x14ac:dyDescent="0.25">
      <c r="A2010" s="46" t="str" cm="1">
        <f t="array" ref="A2010">IFERROR(INDEX(#REF!,MATCH(TRUE,ISNUMBER(FIND(SUBSTITUTE(SUBSTITUTE(UPPER(#REF!)," ",""),":",": "),SUBSTITUTE(SUBSTITUTE(UPPER(S2010)," ",""),":",": "))),0)),"Undefined")</f>
        <v>Undefined</v>
      </c>
      <c r="B2010" s="42" t="str" cm="1">
        <f t="array" ref="B2010">IFERROR(INDEX({"URGENTE"},MATCH(TRUE,ISNUMBER(FIND(SUBSTITUTE(SUBSTITUTE(UPPER({"URGENTE"})," ",""),":",": "),SUBSTITUTE(SUBSTITUTE(UPPER(S2010)," ",""),":",": "))),0)),"-")</f>
        <v>-</v>
      </c>
      <c r="C2010" s="46" t="str" cm="1">
        <f t="array" ref="C2010">IFERROR(INDEX(#REF!,MATCH(TRUE,ISNUMBER(FIND(SUBSTITUTE(SUBSTITUTE(UPPER(#REF!)," ",""),":",": "),SUBSTITUTE(SUBSTITUTE(UPPER(S2010)," ",""),":",": "))),0)),"Não encontrado")</f>
        <v>Não encontrado</v>
      </c>
      <c r="D2010" s="46" t="str" cm="1">
        <f t="array" ref="D2010">IFERROR(INDEX(#REF!,MATCH(TRUE,ISNUMBER(FIND(SUBSTITUTE(SUBSTITUTE(UPPER(#REF!)," ",""),":",": "),SUBSTITUTE(SUBSTITUTE(UPPER(S2010)," ",""),":",": "))),0)),"Não encontrado")</f>
        <v>Não encontrado</v>
      </c>
      <c r="E2010" s="42" t="str" cm="1">
        <f t="array" ref="E2010">IFERROR(INDEX({"IMPEDITIVO"},MATCH(TRUE,ISNUMBER(FIND(SUBSTITUTE(SUBSTITUTE(UPPER({"IMPEDITIVO"})," ",""),":",": "),SUBSTITUTE(SUBSTITUTE(UPPER(S2010)," ",""),":",": "))),0)),"-")</f>
        <v>-</v>
      </c>
      <c r="K2010" s="49"/>
    </row>
    <row r="2011" spans="1:11" x14ac:dyDescent="0.25">
      <c r="A2011" s="46" t="str" cm="1">
        <f t="array" ref="A2011">IFERROR(INDEX(#REF!,MATCH(TRUE,ISNUMBER(FIND(SUBSTITUTE(SUBSTITUTE(UPPER(#REF!)," ",""),":",": "),SUBSTITUTE(SUBSTITUTE(UPPER(S2011)," ",""),":",": "))),0)),"Undefined")</f>
        <v>Undefined</v>
      </c>
      <c r="B2011" s="42" t="str" cm="1">
        <f t="array" ref="B2011">IFERROR(INDEX({"URGENTE"},MATCH(TRUE,ISNUMBER(FIND(SUBSTITUTE(SUBSTITUTE(UPPER({"URGENTE"})," ",""),":",": "),SUBSTITUTE(SUBSTITUTE(UPPER(S2011)," ",""),":",": "))),0)),"-")</f>
        <v>-</v>
      </c>
      <c r="C2011" s="46" t="str" cm="1">
        <f t="array" ref="C2011">IFERROR(INDEX(#REF!,MATCH(TRUE,ISNUMBER(FIND(SUBSTITUTE(SUBSTITUTE(UPPER(#REF!)," ",""),":",": "),SUBSTITUTE(SUBSTITUTE(UPPER(S2011)," ",""),":",": "))),0)),"Não encontrado")</f>
        <v>Não encontrado</v>
      </c>
      <c r="D2011" s="46" t="str" cm="1">
        <f t="array" ref="D2011">IFERROR(INDEX(#REF!,MATCH(TRUE,ISNUMBER(FIND(SUBSTITUTE(SUBSTITUTE(UPPER(#REF!)," ",""),":",": "),SUBSTITUTE(SUBSTITUTE(UPPER(S2011)," ",""),":",": "))),0)),"Não encontrado")</f>
        <v>Não encontrado</v>
      </c>
      <c r="E2011" s="42" t="str" cm="1">
        <f t="array" ref="E2011">IFERROR(INDEX({"IMPEDITIVO"},MATCH(TRUE,ISNUMBER(FIND(SUBSTITUTE(SUBSTITUTE(UPPER({"IMPEDITIVO"})," ",""),":",": "),SUBSTITUTE(SUBSTITUTE(UPPER(S2011)," ",""),":",": "))),0)),"-")</f>
        <v>-</v>
      </c>
      <c r="K2011" s="49"/>
    </row>
    <row r="2012" spans="1:11" x14ac:dyDescent="0.25">
      <c r="A2012" s="46" t="str" cm="1">
        <f t="array" ref="A2012">IFERROR(INDEX(#REF!,MATCH(TRUE,ISNUMBER(FIND(SUBSTITUTE(SUBSTITUTE(UPPER(#REF!)," ",""),":",": "),SUBSTITUTE(SUBSTITUTE(UPPER(S2012)," ",""),":",": "))),0)),"Undefined")</f>
        <v>Undefined</v>
      </c>
      <c r="B2012" s="42" t="str" cm="1">
        <f t="array" ref="B2012">IFERROR(INDEX({"URGENTE"},MATCH(TRUE,ISNUMBER(FIND(SUBSTITUTE(SUBSTITUTE(UPPER({"URGENTE"})," ",""),":",": "),SUBSTITUTE(SUBSTITUTE(UPPER(S2012)," ",""),":",": "))),0)),"-")</f>
        <v>-</v>
      </c>
      <c r="C2012" s="46" t="str" cm="1">
        <f t="array" ref="C2012">IFERROR(INDEX(#REF!,MATCH(TRUE,ISNUMBER(FIND(SUBSTITUTE(SUBSTITUTE(UPPER(#REF!)," ",""),":",": "),SUBSTITUTE(SUBSTITUTE(UPPER(S2012)," ",""),":",": "))),0)),"Não encontrado")</f>
        <v>Não encontrado</v>
      </c>
      <c r="D2012" s="46" t="str" cm="1">
        <f t="array" ref="D2012">IFERROR(INDEX(#REF!,MATCH(TRUE,ISNUMBER(FIND(SUBSTITUTE(SUBSTITUTE(UPPER(#REF!)," ",""),":",": "),SUBSTITUTE(SUBSTITUTE(UPPER(S2012)," ",""),":",": "))),0)),"Não encontrado")</f>
        <v>Não encontrado</v>
      </c>
      <c r="E2012" s="42" t="str" cm="1">
        <f t="array" ref="E2012">IFERROR(INDEX({"IMPEDITIVO"},MATCH(TRUE,ISNUMBER(FIND(SUBSTITUTE(SUBSTITUTE(UPPER({"IMPEDITIVO"})," ",""),":",": "),SUBSTITUTE(SUBSTITUTE(UPPER(S2012)," ",""),":",": "))),0)),"-")</f>
        <v>-</v>
      </c>
      <c r="K2012" s="49"/>
    </row>
    <row r="2013" spans="1:11" x14ac:dyDescent="0.25">
      <c r="A2013" s="46" t="str" cm="1">
        <f t="array" ref="A2013">IFERROR(INDEX(#REF!,MATCH(TRUE,ISNUMBER(FIND(SUBSTITUTE(SUBSTITUTE(UPPER(#REF!)," ",""),":",": "),SUBSTITUTE(SUBSTITUTE(UPPER(S2013)," ",""),":",": "))),0)),"Undefined")</f>
        <v>Undefined</v>
      </c>
      <c r="B2013" s="42" t="str" cm="1">
        <f t="array" ref="B2013">IFERROR(INDEX({"URGENTE"},MATCH(TRUE,ISNUMBER(FIND(SUBSTITUTE(SUBSTITUTE(UPPER({"URGENTE"})," ",""),":",": "),SUBSTITUTE(SUBSTITUTE(UPPER(S2013)," ",""),":",": "))),0)),"-")</f>
        <v>-</v>
      </c>
      <c r="C2013" s="46" t="str" cm="1">
        <f t="array" ref="C2013">IFERROR(INDEX(#REF!,MATCH(TRUE,ISNUMBER(FIND(SUBSTITUTE(SUBSTITUTE(UPPER(#REF!)," ",""),":",": "),SUBSTITUTE(SUBSTITUTE(UPPER(S2013)," ",""),":",": "))),0)),"Não encontrado")</f>
        <v>Não encontrado</v>
      </c>
      <c r="D2013" s="46" t="str" cm="1">
        <f t="array" ref="D2013">IFERROR(INDEX(#REF!,MATCH(TRUE,ISNUMBER(FIND(SUBSTITUTE(SUBSTITUTE(UPPER(#REF!)," ",""),":",": "),SUBSTITUTE(SUBSTITUTE(UPPER(S2013)," ",""),":",": "))),0)),"Não encontrado")</f>
        <v>Não encontrado</v>
      </c>
      <c r="E2013" s="42" t="str" cm="1">
        <f t="array" ref="E2013">IFERROR(INDEX({"IMPEDITIVO"},MATCH(TRUE,ISNUMBER(FIND(SUBSTITUTE(SUBSTITUTE(UPPER({"IMPEDITIVO"})," ",""),":",": "),SUBSTITUTE(SUBSTITUTE(UPPER(S2013)," ",""),":",": "))),0)),"-")</f>
        <v>-</v>
      </c>
      <c r="K2013" s="49"/>
    </row>
    <row r="2014" spans="1:11" x14ac:dyDescent="0.25">
      <c r="A2014" s="46" t="str" cm="1">
        <f t="array" ref="A2014">IFERROR(INDEX(#REF!,MATCH(TRUE,ISNUMBER(FIND(SUBSTITUTE(SUBSTITUTE(UPPER(#REF!)," ",""),":",": "),SUBSTITUTE(SUBSTITUTE(UPPER(S2014)," ",""),":",": "))),0)),"Undefined")</f>
        <v>Undefined</v>
      </c>
      <c r="B2014" s="42" t="str" cm="1">
        <f t="array" ref="B2014">IFERROR(INDEX({"URGENTE"},MATCH(TRUE,ISNUMBER(FIND(SUBSTITUTE(SUBSTITUTE(UPPER({"URGENTE"})," ",""),":",": "),SUBSTITUTE(SUBSTITUTE(UPPER(S2014)," ",""),":",": "))),0)),"-")</f>
        <v>-</v>
      </c>
      <c r="C2014" s="46" t="str" cm="1">
        <f t="array" ref="C2014">IFERROR(INDEX(#REF!,MATCH(TRUE,ISNUMBER(FIND(SUBSTITUTE(SUBSTITUTE(UPPER(#REF!)," ",""),":",": "),SUBSTITUTE(SUBSTITUTE(UPPER(S2014)," ",""),":",": "))),0)),"Não encontrado")</f>
        <v>Não encontrado</v>
      </c>
      <c r="D2014" s="46" t="str" cm="1">
        <f t="array" ref="D2014">IFERROR(INDEX(#REF!,MATCH(TRUE,ISNUMBER(FIND(SUBSTITUTE(SUBSTITUTE(UPPER(#REF!)," ",""),":",": "),SUBSTITUTE(SUBSTITUTE(UPPER(S2014)," ",""),":",": "))),0)),"Não encontrado")</f>
        <v>Não encontrado</v>
      </c>
      <c r="E2014" s="42" t="str" cm="1">
        <f t="array" ref="E2014">IFERROR(INDEX({"IMPEDITIVO"},MATCH(TRUE,ISNUMBER(FIND(SUBSTITUTE(SUBSTITUTE(UPPER({"IMPEDITIVO"})," ",""),":",": "),SUBSTITUTE(SUBSTITUTE(UPPER(S2014)," ",""),":",": "))),0)),"-")</f>
        <v>-</v>
      </c>
      <c r="K2014" s="49"/>
    </row>
    <row r="2015" spans="1:11" x14ac:dyDescent="0.25">
      <c r="A2015" s="46" t="str" cm="1">
        <f t="array" ref="A2015">IFERROR(INDEX(#REF!,MATCH(TRUE,ISNUMBER(FIND(SUBSTITUTE(SUBSTITUTE(UPPER(#REF!)," ",""),":",": "),SUBSTITUTE(SUBSTITUTE(UPPER(S2015)," ",""),":",": "))),0)),"Undefined")</f>
        <v>Undefined</v>
      </c>
      <c r="B2015" s="42" t="str" cm="1">
        <f t="array" ref="B2015">IFERROR(INDEX({"URGENTE"},MATCH(TRUE,ISNUMBER(FIND(SUBSTITUTE(SUBSTITUTE(UPPER({"URGENTE"})," ",""),":",": "),SUBSTITUTE(SUBSTITUTE(UPPER(S2015)," ",""),":",": "))),0)),"-")</f>
        <v>-</v>
      </c>
      <c r="C2015" s="46" t="str" cm="1">
        <f t="array" ref="C2015">IFERROR(INDEX(#REF!,MATCH(TRUE,ISNUMBER(FIND(SUBSTITUTE(SUBSTITUTE(UPPER(#REF!)," ",""),":",": "),SUBSTITUTE(SUBSTITUTE(UPPER(S2015)," ",""),":",": "))),0)),"Não encontrado")</f>
        <v>Não encontrado</v>
      </c>
      <c r="D2015" s="46" t="str" cm="1">
        <f t="array" ref="D2015">IFERROR(INDEX(#REF!,MATCH(TRUE,ISNUMBER(FIND(SUBSTITUTE(SUBSTITUTE(UPPER(#REF!)," ",""),":",": "),SUBSTITUTE(SUBSTITUTE(UPPER(S2015)," ",""),":",": "))),0)),"Não encontrado")</f>
        <v>Não encontrado</v>
      </c>
      <c r="E2015" s="42" t="str" cm="1">
        <f t="array" ref="E2015">IFERROR(INDEX({"IMPEDITIVO"},MATCH(TRUE,ISNUMBER(FIND(SUBSTITUTE(SUBSTITUTE(UPPER({"IMPEDITIVO"})," ",""),":",": "),SUBSTITUTE(SUBSTITUTE(UPPER(S2015)," ",""),":",": "))),0)),"-")</f>
        <v>-</v>
      </c>
      <c r="K2015" s="49"/>
    </row>
    <row r="2016" spans="1:11" x14ac:dyDescent="0.25">
      <c r="A2016" s="46" t="str" cm="1">
        <f t="array" ref="A2016">IFERROR(INDEX(#REF!,MATCH(TRUE,ISNUMBER(FIND(SUBSTITUTE(SUBSTITUTE(UPPER(#REF!)," ",""),":",": "),SUBSTITUTE(SUBSTITUTE(UPPER(S2016)," ",""),":",": "))),0)),"Undefined")</f>
        <v>Undefined</v>
      </c>
      <c r="B2016" s="42" t="str" cm="1">
        <f t="array" ref="B2016">IFERROR(INDEX({"URGENTE"},MATCH(TRUE,ISNUMBER(FIND(SUBSTITUTE(SUBSTITUTE(UPPER({"URGENTE"})," ",""),":",": "),SUBSTITUTE(SUBSTITUTE(UPPER(S2016)," ",""),":",": "))),0)),"-")</f>
        <v>-</v>
      </c>
      <c r="C2016" s="46" t="str" cm="1">
        <f t="array" ref="C2016">IFERROR(INDEX(#REF!,MATCH(TRUE,ISNUMBER(FIND(SUBSTITUTE(SUBSTITUTE(UPPER(#REF!)," ",""),":",": "),SUBSTITUTE(SUBSTITUTE(UPPER(S2016)," ",""),":",": "))),0)),"Não encontrado")</f>
        <v>Não encontrado</v>
      </c>
      <c r="D2016" s="46" t="str" cm="1">
        <f t="array" ref="D2016">IFERROR(INDEX(#REF!,MATCH(TRUE,ISNUMBER(FIND(SUBSTITUTE(SUBSTITUTE(UPPER(#REF!)," ",""),":",": "),SUBSTITUTE(SUBSTITUTE(UPPER(S2016)," ",""),":",": "))),0)),"Não encontrado")</f>
        <v>Não encontrado</v>
      </c>
      <c r="E2016" s="42" t="str" cm="1">
        <f t="array" ref="E2016">IFERROR(INDEX({"IMPEDITIVO"},MATCH(TRUE,ISNUMBER(FIND(SUBSTITUTE(SUBSTITUTE(UPPER({"IMPEDITIVO"})," ",""),":",": "),SUBSTITUTE(SUBSTITUTE(UPPER(S2016)," ",""),":",": "))),0)),"-")</f>
        <v>-</v>
      </c>
      <c r="K2016" s="49"/>
    </row>
    <row r="2017" spans="1:11" x14ac:dyDescent="0.25">
      <c r="A2017" s="46" t="str" cm="1">
        <f t="array" ref="A2017">IFERROR(INDEX(#REF!,MATCH(TRUE,ISNUMBER(FIND(SUBSTITUTE(SUBSTITUTE(UPPER(#REF!)," ",""),":",": "),SUBSTITUTE(SUBSTITUTE(UPPER(S2017)," ",""),":",": "))),0)),"Undefined")</f>
        <v>Undefined</v>
      </c>
      <c r="B2017" s="42" t="str" cm="1">
        <f t="array" ref="B2017">IFERROR(INDEX({"URGENTE"},MATCH(TRUE,ISNUMBER(FIND(SUBSTITUTE(SUBSTITUTE(UPPER({"URGENTE"})," ",""),":",": "),SUBSTITUTE(SUBSTITUTE(UPPER(S2017)," ",""),":",": "))),0)),"-")</f>
        <v>-</v>
      </c>
      <c r="C2017" s="46" t="str" cm="1">
        <f t="array" ref="C2017">IFERROR(INDEX(#REF!,MATCH(TRUE,ISNUMBER(FIND(SUBSTITUTE(SUBSTITUTE(UPPER(#REF!)," ",""),":",": "),SUBSTITUTE(SUBSTITUTE(UPPER(S2017)," ",""),":",": "))),0)),"Não encontrado")</f>
        <v>Não encontrado</v>
      </c>
      <c r="D2017" s="46" t="str" cm="1">
        <f t="array" ref="D2017">IFERROR(INDEX(#REF!,MATCH(TRUE,ISNUMBER(FIND(SUBSTITUTE(SUBSTITUTE(UPPER(#REF!)," ",""),":",": "),SUBSTITUTE(SUBSTITUTE(UPPER(S2017)," ",""),":",": "))),0)),"Não encontrado")</f>
        <v>Não encontrado</v>
      </c>
      <c r="E2017" s="42" t="str" cm="1">
        <f t="array" ref="E2017">IFERROR(INDEX({"IMPEDITIVO"},MATCH(TRUE,ISNUMBER(FIND(SUBSTITUTE(SUBSTITUTE(UPPER({"IMPEDITIVO"})," ",""),":",": "),SUBSTITUTE(SUBSTITUTE(UPPER(S2017)," ",""),":",": "))),0)),"-")</f>
        <v>-</v>
      </c>
      <c r="K2017" s="49"/>
    </row>
    <row r="2018" spans="1:11" x14ac:dyDescent="0.25">
      <c r="A2018" s="46" t="str" cm="1">
        <f t="array" ref="A2018">IFERROR(INDEX(#REF!,MATCH(TRUE,ISNUMBER(FIND(SUBSTITUTE(SUBSTITUTE(UPPER(#REF!)," ",""),":",": "),SUBSTITUTE(SUBSTITUTE(UPPER(S2018)," ",""),":",": "))),0)),"Undefined")</f>
        <v>Undefined</v>
      </c>
      <c r="B2018" s="42" t="str" cm="1">
        <f t="array" ref="B2018">IFERROR(INDEX({"URGENTE"},MATCH(TRUE,ISNUMBER(FIND(SUBSTITUTE(SUBSTITUTE(UPPER({"URGENTE"})," ",""),":",": "),SUBSTITUTE(SUBSTITUTE(UPPER(S2018)," ",""),":",": "))),0)),"-")</f>
        <v>-</v>
      </c>
      <c r="C2018" s="46" t="str" cm="1">
        <f t="array" ref="C2018">IFERROR(INDEX(#REF!,MATCH(TRUE,ISNUMBER(FIND(SUBSTITUTE(SUBSTITUTE(UPPER(#REF!)," ",""),":",": "),SUBSTITUTE(SUBSTITUTE(UPPER(S2018)," ",""),":",": "))),0)),"Não encontrado")</f>
        <v>Não encontrado</v>
      </c>
      <c r="D2018" s="46" t="str" cm="1">
        <f t="array" ref="D2018">IFERROR(INDEX(#REF!,MATCH(TRUE,ISNUMBER(FIND(SUBSTITUTE(SUBSTITUTE(UPPER(#REF!)," ",""),":",": "),SUBSTITUTE(SUBSTITUTE(UPPER(S2018)," ",""),":",": "))),0)),"Não encontrado")</f>
        <v>Não encontrado</v>
      </c>
      <c r="E2018" s="42" t="str" cm="1">
        <f t="array" ref="E2018">IFERROR(INDEX({"IMPEDITIVO"},MATCH(TRUE,ISNUMBER(FIND(SUBSTITUTE(SUBSTITUTE(UPPER({"IMPEDITIVO"})," ",""),":",": "),SUBSTITUTE(SUBSTITUTE(UPPER(S2018)," ",""),":",": "))),0)),"-")</f>
        <v>-</v>
      </c>
      <c r="K2018" s="49"/>
    </row>
    <row r="2019" spans="1:11" x14ac:dyDescent="0.25">
      <c r="A2019" s="46" t="str" cm="1">
        <f t="array" ref="A2019">IFERROR(INDEX(#REF!,MATCH(TRUE,ISNUMBER(FIND(SUBSTITUTE(SUBSTITUTE(UPPER(#REF!)," ",""),":",": "),SUBSTITUTE(SUBSTITUTE(UPPER(S2019)," ",""),":",": "))),0)),"Undefined")</f>
        <v>Undefined</v>
      </c>
      <c r="B2019" s="42" t="str" cm="1">
        <f t="array" ref="B2019">IFERROR(INDEX({"URGENTE"},MATCH(TRUE,ISNUMBER(FIND(SUBSTITUTE(SUBSTITUTE(UPPER({"URGENTE"})," ",""),":",": "),SUBSTITUTE(SUBSTITUTE(UPPER(S2019)," ",""),":",": "))),0)),"-")</f>
        <v>-</v>
      </c>
      <c r="C2019" s="46" t="str" cm="1">
        <f t="array" ref="C2019">IFERROR(INDEX(#REF!,MATCH(TRUE,ISNUMBER(FIND(SUBSTITUTE(SUBSTITUTE(UPPER(#REF!)," ",""),":",": "),SUBSTITUTE(SUBSTITUTE(UPPER(S2019)," ",""),":",": "))),0)),"Não encontrado")</f>
        <v>Não encontrado</v>
      </c>
      <c r="D2019" s="46" t="str" cm="1">
        <f t="array" ref="D2019">IFERROR(INDEX(#REF!,MATCH(TRUE,ISNUMBER(FIND(SUBSTITUTE(SUBSTITUTE(UPPER(#REF!)," ",""),":",": "),SUBSTITUTE(SUBSTITUTE(UPPER(S2019)," ",""),":",": "))),0)),"Não encontrado")</f>
        <v>Não encontrado</v>
      </c>
      <c r="E2019" s="42" t="str" cm="1">
        <f t="array" ref="E2019">IFERROR(INDEX({"IMPEDITIVO"},MATCH(TRUE,ISNUMBER(FIND(SUBSTITUTE(SUBSTITUTE(UPPER({"IMPEDITIVO"})," ",""),":",": "),SUBSTITUTE(SUBSTITUTE(UPPER(S2019)," ",""),":",": "))),0)),"-")</f>
        <v>-</v>
      </c>
      <c r="K2019" s="49"/>
    </row>
    <row r="2020" spans="1:11" x14ac:dyDescent="0.25">
      <c r="A2020" s="46" t="str" cm="1">
        <f t="array" ref="A2020">IFERROR(INDEX(#REF!,MATCH(TRUE,ISNUMBER(FIND(SUBSTITUTE(SUBSTITUTE(UPPER(#REF!)," ",""),":",": "),SUBSTITUTE(SUBSTITUTE(UPPER(S2020)," ",""),":",": "))),0)),"Undefined")</f>
        <v>Undefined</v>
      </c>
      <c r="B2020" s="42" t="str" cm="1">
        <f t="array" ref="B2020">IFERROR(INDEX({"URGENTE"},MATCH(TRUE,ISNUMBER(FIND(SUBSTITUTE(SUBSTITUTE(UPPER({"URGENTE"})," ",""),":",": "),SUBSTITUTE(SUBSTITUTE(UPPER(S2020)," ",""),":",": "))),0)),"-")</f>
        <v>-</v>
      </c>
      <c r="C2020" s="46" t="str" cm="1">
        <f t="array" ref="C2020">IFERROR(INDEX(#REF!,MATCH(TRUE,ISNUMBER(FIND(SUBSTITUTE(SUBSTITUTE(UPPER(#REF!)," ",""),":",": "),SUBSTITUTE(SUBSTITUTE(UPPER(S2020)," ",""),":",": "))),0)),"Não encontrado")</f>
        <v>Não encontrado</v>
      </c>
      <c r="D2020" s="46" t="str" cm="1">
        <f t="array" ref="D2020">IFERROR(INDEX(#REF!,MATCH(TRUE,ISNUMBER(FIND(SUBSTITUTE(SUBSTITUTE(UPPER(#REF!)," ",""),":",": "),SUBSTITUTE(SUBSTITUTE(UPPER(S2020)," ",""),":",": "))),0)),"Não encontrado")</f>
        <v>Não encontrado</v>
      </c>
      <c r="E2020" s="42" t="str" cm="1">
        <f t="array" ref="E2020">IFERROR(INDEX({"IMPEDITIVO"},MATCH(TRUE,ISNUMBER(FIND(SUBSTITUTE(SUBSTITUTE(UPPER({"IMPEDITIVO"})," ",""),":",": "),SUBSTITUTE(SUBSTITUTE(UPPER(S2020)," ",""),":",": "))),0)),"-")</f>
        <v>-</v>
      </c>
      <c r="K2020" s="49"/>
    </row>
    <row r="2021" spans="1:11" x14ac:dyDescent="0.25">
      <c r="A2021" s="46" t="str" cm="1">
        <f t="array" ref="A2021">IFERROR(INDEX(#REF!,MATCH(TRUE,ISNUMBER(FIND(SUBSTITUTE(SUBSTITUTE(UPPER(#REF!)," ",""),":",": "),SUBSTITUTE(SUBSTITUTE(UPPER(S2021)," ",""),":",": "))),0)),"Undefined")</f>
        <v>Undefined</v>
      </c>
      <c r="B2021" s="42" t="str" cm="1">
        <f t="array" ref="B2021">IFERROR(INDEX({"URGENTE"},MATCH(TRUE,ISNUMBER(FIND(SUBSTITUTE(SUBSTITUTE(UPPER({"URGENTE"})," ",""),":",": "),SUBSTITUTE(SUBSTITUTE(UPPER(S2021)," ",""),":",": "))),0)),"-")</f>
        <v>-</v>
      </c>
      <c r="C2021" s="46" t="str" cm="1">
        <f t="array" ref="C2021">IFERROR(INDEX(#REF!,MATCH(TRUE,ISNUMBER(FIND(SUBSTITUTE(SUBSTITUTE(UPPER(#REF!)," ",""),":",": "),SUBSTITUTE(SUBSTITUTE(UPPER(S2021)," ",""),":",": "))),0)),"Não encontrado")</f>
        <v>Não encontrado</v>
      </c>
      <c r="D2021" s="46" t="str" cm="1">
        <f t="array" ref="D2021">IFERROR(INDEX(#REF!,MATCH(TRUE,ISNUMBER(FIND(SUBSTITUTE(SUBSTITUTE(UPPER(#REF!)," ",""),":",": "),SUBSTITUTE(SUBSTITUTE(UPPER(S2021)," ",""),":",": "))),0)),"Não encontrado")</f>
        <v>Não encontrado</v>
      </c>
      <c r="E2021" s="42" t="str" cm="1">
        <f t="array" ref="E2021">IFERROR(INDEX({"IMPEDITIVO"},MATCH(TRUE,ISNUMBER(FIND(SUBSTITUTE(SUBSTITUTE(UPPER({"IMPEDITIVO"})," ",""),":",": "),SUBSTITUTE(SUBSTITUTE(UPPER(S2021)," ",""),":",": "))),0)),"-")</f>
        <v>-</v>
      </c>
      <c r="K2021" s="49"/>
    </row>
    <row r="2022" spans="1:11" x14ac:dyDescent="0.25">
      <c r="A2022" s="46" t="str" cm="1">
        <f t="array" ref="A2022">IFERROR(INDEX(#REF!,MATCH(TRUE,ISNUMBER(FIND(SUBSTITUTE(SUBSTITUTE(UPPER(#REF!)," ",""),":",": "),SUBSTITUTE(SUBSTITUTE(UPPER(S2022)," ",""),":",": "))),0)),"Undefined")</f>
        <v>Undefined</v>
      </c>
      <c r="B2022" s="42" t="str" cm="1">
        <f t="array" ref="B2022">IFERROR(INDEX({"URGENTE"},MATCH(TRUE,ISNUMBER(FIND(SUBSTITUTE(SUBSTITUTE(UPPER({"URGENTE"})," ",""),":",": "),SUBSTITUTE(SUBSTITUTE(UPPER(S2022)," ",""),":",": "))),0)),"-")</f>
        <v>-</v>
      </c>
      <c r="C2022" s="46" t="str" cm="1">
        <f t="array" ref="C2022">IFERROR(INDEX(#REF!,MATCH(TRUE,ISNUMBER(FIND(SUBSTITUTE(SUBSTITUTE(UPPER(#REF!)," ",""),":",": "),SUBSTITUTE(SUBSTITUTE(UPPER(S2022)," ",""),":",": "))),0)),"Não encontrado")</f>
        <v>Não encontrado</v>
      </c>
      <c r="D2022" s="46" t="str" cm="1">
        <f t="array" ref="D2022">IFERROR(INDEX(#REF!,MATCH(TRUE,ISNUMBER(FIND(SUBSTITUTE(SUBSTITUTE(UPPER(#REF!)," ",""),":",": "),SUBSTITUTE(SUBSTITUTE(UPPER(S2022)," ",""),":",": "))),0)),"Não encontrado")</f>
        <v>Não encontrado</v>
      </c>
      <c r="E2022" s="42" t="str" cm="1">
        <f t="array" ref="E2022">IFERROR(INDEX({"IMPEDITIVO"},MATCH(TRUE,ISNUMBER(FIND(SUBSTITUTE(SUBSTITUTE(UPPER({"IMPEDITIVO"})," ",""),":",": "),SUBSTITUTE(SUBSTITUTE(UPPER(S2022)," ",""),":",": "))),0)),"-")</f>
        <v>-</v>
      </c>
      <c r="K2022" s="49"/>
    </row>
    <row r="2023" spans="1:11" x14ac:dyDescent="0.25">
      <c r="A2023" s="46" t="str" cm="1">
        <f t="array" ref="A2023">IFERROR(INDEX(#REF!,MATCH(TRUE,ISNUMBER(FIND(SUBSTITUTE(SUBSTITUTE(UPPER(#REF!)," ",""),":",": "),SUBSTITUTE(SUBSTITUTE(UPPER(S2023)," ",""),":",": "))),0)),"Undefined")</f>
        <v>Undefined</v>
      </c>
      <c r="B2023" s="42" t="str" cm="1">
        <f t="array" ref="B2023">IFERROR(INDEX({"URGENTE"},MATCH(TRUE,ISNUMBER(FIND(SUBSTITUTE(SUBSTITUTE(UPPER({"URGENTE"})," ",""),":",": "),SUBSTITUTE(SUBSTITUTE(UPPER(S2023)," ",""),":",": "))),0)),"-")</f>
        <v>-</v>
      </c>
      <c r="C2023" s="46" t="str" cm="1">
        <f t="array" ref="C2023">IFERROR(INDEX(#REF!,MATCH(TRUE,ISNUMBER(FIND(SUBSTITUTE(SUBSTITUTE(UPPER(#REF!)," ",""),":",": "),SUBSTITUTE(SUBSTITUTE(UPPER(S2023)," ",""),":",": "))),0)),"Não encontrado")</f>
        <v>Não encontrado</v>
      </c>
      <c r="D2023" s="46" t="str" cm="1">
        <f t="array" ref="D2023">IFERROR(INDEX(#REF!,MATCH(TRUE,ISNUMBER(FIND(SUBSTITUTE(SUBSTITUTE(UPPER(#REF!)," ",""),":",": "),SUBSTITUTE(SUBSTITUTE(UPPER(S2023)," ",""),":",": "))),0)),"Não encontrado")</f>
        <v>Não encontrado</v>
      </c>
      <c r="E2023" s="42" t="str" cm="1">
        <f t="array" ref="E2023">IFERROR(INDEX({"IMPEDITIVO"},MATCH(TRUE,ISNUMBER(FIND(SUBSTITUTE(SUBSTITUTE(UPPER({"IMPEDITIVO"})," ",""),":",": "),SUBSTITUTE(SUBSTITUTE(UPPER(S2023)," ",""),":",": "))),0)),"-")</f>
        <v>-</v>
      </c>
      <c r="K2023" s="49"/>
    </row>
    <row r="2024" spans="1:11" x14ac:dyDescent="0.25">
      <c r="A2024" s="46" t="str" cm="1">
        <f t="array" ref="A2024">IFERROR(INDEX(#REF!,MATCH(TRUE,ISNUMBER(FIND(SUBSTITUTE(SUBSTITUTE(UPPER(#REF!)," ",""),":",": "),SUBSTITUTE(SUBSTITUTE(UPPER(S2024)," ",""),":",": "))),0)),"Undefined")</f>
        <v>Undefined</v>
      </c>
      <c r="B2024" s="42" t="str" cm="1">
        <f t="array" ref="B2024">IFERROR(INDEX({"URGENTE"},MATCH(TRUE,ISNUMBER(FIND(SUBSTITUTE(SUBSTITUTE(UPPER({"URGENTE"})," ",""),":",": "),SUBSTITUTE(SUBSTITUTE(UPPER(S2024)," ",""),":",": "))),0)),"-")</f>
        <v>-</v>
      </c>
      <c r="C2024" s="46" t="str" cm="1">
        <f t="array" ref="C2024">IFERROR(INDEX(#REF!,MATCH(TRUE,ISNUMBER(FIND(SUBSTITUTE(SUBSTITUTE(UPPER(#REF!)," ",""),":",": "),SUBSTITUTE(SUBSTITUTE(UPPER(S2024)," ",""),":",": "))),0)),"Não encontrado")</f>
        <v>Não encontrado</v>
      </c>
      <c r="D2024" s="46" t="str" cm="1">
        <f t="array" ref="D2024">IFERROR(INDEX(#REF!,MATCH(TRUE,ISNUMBER(FIND(SUBSTITUTE(SUBSTITUTE(UPPER(#REF!)," ",""),":",": "),SUBSTITUTE(SUBSTITUTE(UPPER(S2024)," ",""),":",": "))),0)),"Não encontrado")</f>
        <v>Não encontrado</v>
      </c>
      <c r="E2024" s="42" t="str" cm="1">
        <f t="array" ref="E2024">IFERROR(INDEX({"IMPEDITIVO"},MATCH(TRUE,ISNUMBER(FIND(SUBSTITUTE(SUBSTITUTE(UPPER({"IMPEDITIVO"})," ",""),":",": "),SUBSTITUTE(SUBSTITUTE(UPPER(S2024)," ",""),":",": "))),0)),"-")</f>
        <v>-</v>
      </c>
      <c r="K2024" s="49"/>
    </row>
    <row r="2025" spans="1:11" x14ac:dyDescent="0.25">
      <c r="A2025" s="46" t="str" cm="1">
        <f t="array" ref="A2025">IFERROR(INDEX(#REF!,MATCH(TRUE,ISNUMBER(FIND(SUBSTITUTE(SUBSTITUTE(UPPER(#REF!)," ",""),":",": "),SUBSTITUTE(SUBSTITUTE(UPPER(S2025)," ",""),":",": "))),0)),"Undefined")</f>
        <v>Undefined</v>
      </c>
      <c r="B2025" s="42" t="str" cm="1">
        <f t="array" ref="B2025">IFERROR(INDEX({"URGENTE"},MATCH(TRUE,ISNUMBER(FIND(SUBSTITUTE(SUBSTITUTE(UPPER({"URGENTE"})," ",""),":",": "),SUBSTITUTE(SUBSTITUTE(UPPER(S2025)," ",""),":",": "))),0)),"-")</f>
        <v>-</v>
      </c>
      <c r="C2025" s="46" t="str" cm="1">
        <f t="array" ref="C2025">IFERROR(INDEX(#REF!,MATCH(TRUE,ISNUMBER(FIND(SUBSTITUTE(SUBSTITUTE(UPPER(#REF!)," ",""),":",": "),SUBSTITUTE(SUBSTITUTE(UPPER(S2025)," ",""),":",": "))),0)),"Não encontrado")</f>
        <v>Não encontrado</v>
      </c>
      <c r="D2025" s="46" t="str" cm="1">
        <f t="array" ref="D2025">IFERROR(INDEX(#REF!,MATCH(TRUE,ISNUMBER(FIND(SUBSTITUTE(SUBSTITUTE(UPPER(#REF!)," ",""),":",": "),SUBSTITUTE(SUBSTITUTE(UPPER(S2025)," ",""),":",": "))),0)),"Não encontrado")</f>
        <v>Não encontrado</v>
      </c>
      <c r="E2025" s="42" t="str" cm="1">
        <f t="array" ref="E2025">IFERROR(INDEX({"IMPEDITIVO"},MATCH(TRUE,ISNUMBER(FIND(SUBSTITUTE(SUBSTITUTE(UPPER({"IMPEDITIVO"})," ",""),":",": "),SUBSTITUTE(SUBSTITUTE(UPPER(S2025)," ",""),":",": "))),0)),"-")</f>
        <v>-</v>
      </c>
      <c r="K2025" s="49"/>
    </row>
    <row r="2026" spans="1:11" x14ac:dyDescent="0.25">
      <c r="A2026" s="46" t="str" cm="1">
        <f t="array" ref="A2026">IFERROR(INDEX(#REF!,MATCH(TRUE,ISNUMBER(FIND(SUBSTITUTE(SUBSTITUTE(UPPER(#REF!)," ",""),":",": "),SUBSTITUTE(SUBSTITUTE(UPPER(S2026)," ",""),":",": "))),0)),"Undefined")</f>
        <v>Undefined</v>
      </c>
      <c r="B2026" s="42" t="str" cm="1">
        <f t="array" ref="B2026">IFERROR(INDEX({"URGENTE"},MATCH(TRUE,ISNUMBER(FIND(SUBSTITUTE(SUBSTITUTE(UPPER({"URGENTE"})," ",""),":",": "),SUBSTITUTE(SUBSTITUTE(UPPER(S2026)," ",""),":",": "))),0)),"-")</f>
        <v>-</v>
      </c>
      <c r="C2026" s="46" t="str" cm="1">
        <f t="array" ref="C2026">IFERROR(INDEX(#REF!,MATCH(TRUE,ISNUMBER(FIND(SUBSTITUTE(SUBSTITUTE(UPPER(#REF!)," ",""),":",": "),SUBSTITUTE(SUBSTITUTE(UPPER(S2026)," ",""),":",": "))),0)),"Não encontrado")</f>
        <v>Não encontrado</v>
      </c>
      <c r="D2026" s="46" t="str" cm="1">
        <f t="array" ref="D2026">IFERROR(INDEX(#REF!,MATCH(TRUE,ISNUMBER(FIND(SUBSTITUTE(SUBSTITUTE(UPPER(#REF!)," ",""),":",": "),SUBSTITUTE(SUBSTITUTE(UPPER(S2026)," ",""),":",": "))),0)),"Não encontrado")</f>
        <v>Não encontrado</v>
      </c>
      <c r="E2026" s="42" t="str" cm="1">
        <f t="array" ref="E2026">IFERROR(INDEX({"IMPEDITIVO"},MATCH(TRUE,ISNUMBER(FIND(SUBSTITUTE(SUBSTITUTE(UPPER({"IMPEDITIVO"})," ",""),":",": "),SUBSTITUTE(SUBSTITUTE(UPPER(S2026)," ",""),":",": "))),0)),"-")</f>
        <v>-</v>
      </c>
      <c r="K2026" s="49"/>
    </row>
    <row r="2027" spans="1:11" x14ac:dyDescent="0.25">
      <c r="A2027" s="46" t="str" cm="1">
        <f t="array" ref="A2027">IFERROR(INDEX(#REF!,MATCH(TRUE,ISNUMBER(FIND(SUBSTITUTE(SUBSTITUTE(UPPER(#REF!)," ",""),":",": "),SUBSTITUTE(SUBSTITUTE(UPPER(S2027)," ",""),":",": "))),0)),"Undefined")</f>
        <v>Undefined</v>
      </c>
      <c r="B2027" s="42" t="str" cm="1">
        <f t="array" ref="B2027">IFERROR(INDEX({"URGENTE"},MATCH(TRUE,ISNUMBER(FIND(SUBSTITUTE(SUBSTITUTE(UPPER({"URGENTE"})," ",""),":",": "),SUBSTITUTE(SUBSTITUTE(UPPER(S2027)," ",""),":",": "))),0)),"-")</f>
        <v>-</v>
      </c>
      <c r="C2027" s="46" t="str" cm="1">
        <f t="array" ref="C2027">IFERROR(INDEX(#REF!,MATCH(TRUE,ISNUMBER(FIND(SUBSTITUTE(SUBSTITUTE(UPPER(#REF!)," ",""),":",": "),SUBSTITUTE(SUBSTITUTE(UPPER(S2027)," ",""),":",": "))),0)),"Não encontrado")</f>
        <v>Não encontrado</v>
      </c>
      <c r="D2027" s="46" t="str" cm="1">
        <f t="array" ref="D2027">IFERROR(INDEX(#REF!,MATCH(TRUE,ISNUMBER(FIND(SUBSTITUTE(SUBSTITUTE(UPPER(#REF!)," ",""),":",": "),SUBSTITUTE(SUBSTITUTE(UPPER(S2027)," ",""),":",": "))),0)),"Não encontrado")</f>
        <v>Não encontrado</v>
      </c>
      <c r="E2027" s="42" t="str" cm="1">
        <f t="array" ref="E2027">IFERROR(INDEX({"IMPEDITIVO"},MATCH(TRUE,ISNUMBER(FIND(SUBSTITUTE(SUBSTITUTE(UPPER({"IMPEDITIVO"})," ",""),":",": "),SUBSTITUTE(SUBSTITUTE(UPPER(S2027)," ",""),":",": "))),0)),"-")</f>
        <v>-</v>
      </c>
      <c r="K2027" s="49"/>
    </row>
    <row r="2028" spans="1:11" x14ac:dyDescent="0.25">
      <c r="A2028" s="46" t="str" cm="1">
        <f t="array" ref="A2028">IFERROR(INDEX(#REF!,MATCH(TRUE,ISNUMBER(FIND(SUBSTITUTE(SUBSTITUTE(UPPER(#REF!)," ",""),":",": "),SUBSTITUTE(SUBSTITUTE(UPPER(S2028)," ",""),":",": "))),0)),"Undefined")</f>
        <v>Undefined</v>
      </c>
      <c r="B2028" s="42" t="str" cm="1">
        <f t="array" ref="B2028">IFERROR(INDEX({"URGENTE"},MATCH(TRUE,ISNUMBER(FIND(SUBSTITUTE(SUBSTITUTE(UPPER({"URGENTE"})," ",""),":",": "),SUBSTITUTE(SUBSTITUTE(UPPER(S2028)," ",""),":",": "))),0)),"-")</f>
        <v>-</v>
      </c>
      <c r="C2028" s="46" t="str" cm="1">
        <f t="array" ref="C2028">IFERROR(INDEX(#REF!,MATCH(TRUE,ISNUMBER(FIND(SUBSTITUTE(SUBSTITUTE(UPPER(#REF!)," ",""),":",": "),SUBSTITUTE(SUBSTITUTE(UPPER(S2028)," ",""),":",": "))),0)),"Não encontrado")</f>
        <v>Não encontrado</v>
      </c>
      <c r="D2028" s="46" t="str" cm="1">
        <f t="array" ref="D2028">IFERROR(INDEX(#REF!,MATCH(TRUE,ISNUMBER(FIND(SUBSTITUTE(SUBSTITUTE(UPPER(#REF!)," ",""),":",": "),SUBSTITUTE(SUBSTITUTE(UPPER(S2028)," ",""),":",": "))),0)),"Não encontrado")</f>
        <v>Não encontrado</v>
      </c>
      <c r="E2028" s="42" t="str" cm="1">
        <f t="array" ref="E2028">IFERROR(INDEX({"IMPEDITIVO"},MATCH(TRUE,ISNUMBER(FIND(SUBSTITUTE(SUBSTITUTE(UPPER({"IMPEDITIVO"})," ",""),":",": "),SUBSTITUTE(SUBSTITUTE(UPPER(S2028)," ",""),":",": "))),0)),"-")</f>
        <v>-</v>
      </c>
      <c r="K2028" s="49"/>
    </row>
    <row r="2029" spans="1:11" x14ac:dyDescent="0.25">
      <c r="A2029" s="46" t="str" cm="1">
        <f t="array" ref="A2029">IFERROR(INDEX(#REF!,MATCH(TRUE,ISNUMBER(FIND(SUBSTITUTE(SUBSTITUTE(UPPER(#REF!)," ",""),":",": "),SUBSTITUTE(SUBSTITUTE(UPPER(S2029)," ",""),":",": "))),0)),"Undefined")</f>
        <v>Undefined</v>
      </c>
      <c r="B2029" s="42" t="str" cm="1">
        <f t="array" ref="B2029">IFERROR(INDEX({"URGENTE"},MATCH(TRUE,ISNUMBER(FIND(SUBSTITUTE(SUBSTITUTE(UPPER({"URGENTE"})," ",""),":",": "),SUBSTITUTE(SUBSTITUTE(UPPER(S2029)," ",""),":",": "))),0)),"-")</f>
        <v>-</v>
      </c>
      <c r="C2029" s="46" t="str" cm="1">
        <f t="array" ref="C2029">IFERROR(INDEX(#REF!,MATCH(TRUE,ISNUMBER(FIND(SUBSTITUTE(SUBSTITUTE(UPPER(#REF!)," ",""),":",": "),SUBSTITUTE(SUBSTITUTE(UPPER(S2029)," ",""),":",": "))),0)),"Não encontrado")</f>
        <v>Não encontrado</v>
      </c>
      <c r="D2029" s="46" t="str" cm="1">
        <f t="array" ref="D2029">IFERROR(INDEX(#REF!,MATCH(TRUE,ISNUMBER(FIND(SUBSTITUTE(SUBSTITUTE(UPPER(#REF!)," ",""),":",": "),SUBSTITUTE(SUBSTITUTE(UPPER(S2029)," ",""),":",": "))),0)),"Não encontrado")</f>
        <v>Não encontrado</v>
      </c>
      <c r="E2029" s="42" t="str" cm="1">
        <f t="array" ref="E2029">IFERROR(INDEX({"IMPEDITIVO"},MATCH(TRUE,ISNUMBER(FIND(SUBSTITUTE(SUBSTITUTE(UPPER({"IMPEDITIVO"})," ",""),":",": "),SUBSTITUTE(SUBSTITUTE(UPPER(S2029)," ",""),":",": "))),0)),"-")</f>
        <v>-</v>
      </c>
      <c r="K2029" s="49"/>
    </row>
    <row r="2030" spans="1:11" x14ac:dyDescent="0.25">
      <c r="A2030" s="46" t="str" cm="1">
        <f t="array" ref="A2030">IFERROR(INDEX(#REF!,MATCH(TRUE,ISNUMBER(FIND(SUBSTITUTE(SUBSTITUTE(UPPER(#REF!)," ",""),":",": "),SUBSTITUTE(SUBSTITUTE(UPPER(S2030)," ",""),":",": "))),0)),"Undefined")</f>
        <v>Undefined</v>
      </c>
      <c r="B2030" s="42" t="str" cm="1">
        <f t="array" ref="B2030">IFERROR(INDEX({"URGENTE"},MATCH(TRUE,ISNUMBER(FIND(SUBSTITUTE(SUBSTITUTE(UPPER({"URGENTE"})," ",""),":",": "),SUBSTITUTE(SUBSTITUTE(UPPER(S2030)," ",""),":",": "))),0)),"-")</f>
        <v>-</v>
      </c>
      <c r="C2030" s="46" t="str" cm="1">
        <f t="array" ref="C2030">IFERROR(INDEX(#REF!,MATCH(TRUE,ISNUMBER(FIND(SUBSTITUTE(SUBSTITUTE(UPPER(#REF!)," ",""),":",": "),SUBSTITUTE(SUBSTITUTE(UPPER(S2030)," ",""),":",": "))),0)),"Não encontrado")</f>
        <v>Não encontrado</v>
      </c>
      <c r="D2030" s="46" t="str" cm="1">
        <f t="array" ref="D2030">IFERROR(INDEX(#REF!,MATCH(TRUE,ISNUMBER(FIND(SUBSTITUTE(SUBSTITUTE(UPPER(#REF!)," ",""),":",": "),SUBSTITUTE(SUBSTITUTE(UPPER(S2030)," ",""),":",": "))),0)),"Não encontrado")</f>
        <v>Não encontrado</v>
      </c>
      <c r="E2030" s="42" t="str" cm="1">
        <f t="array" ref="E2030">IFERROR(INDEX({"IMPEDITIVO"},MATCH(TRUE,ISNUMBER(FIND(SUBSTITUTE(SUBSTITUTE(UPPER({"IMPEDITIVO"})," ",""),":",": "),SUBSTITUTE(SUBSTITUTE(UPPER(S2030)," ",""),":",": "))),0)),"-")</f>
        <v>-</v>
      </c>
      <c r="K2030" s="49"/>
    </row>
    <row r="2031" spans="1:11" x14ac:dyDescent="0.25">
      <c r="A2031" s="46" t="str" cm="1">
        <f t="array" ref="A2031">IFERROR(INDEX(#REF!,MATCH(TRUE,ISNUMBER(FIND(SUBSTITUTE(SUBSTITUTE(UPPER(#REF!)," ",""),":",": "),SUBSTITUTE(SUBSTITUTE(UPPER(S2031)," ",""),":",": "))),0)),"Undefined")</f>
        <v>Undefined</v>
      </c>
      <c r="B2031" s="42" t="str" cm="1">
        <f t="array" ref="B2031">IFERROR(INDEX({"URGENTE"},MATCH(TRUE,ISNUMBER(FIND(SUBSTITUTE(SUBSTITUTE(UPPER({"URGENTE"})," ",""),":",": "),SUBSTITUTE(SUBSTITUTE(UPPER(S2031)," ",""),":",": "))),0)),"-")</f>
        <v>-</v>
      </c>
      <c r="C2031" s="46" t="str" cm="1">
        <f t="array" ref="C2031">IFERROR(INDEX(#REF!,MATCH(TRUE,ISNUMBER(FIND(SUBSTITUTE(SUBSTITUTE(UPPER(#REF!)," ",""),":",": "),SUBSTITUTE(SUBSTITUTE(UPPER(S2031)," ",""),":",": "))),0)),"Não encontrado")</f>
        <v>Não encontrado</v>
      </c>
      <c r="D2031" s="46" t="str" cm="1">
        <f t="array" ref="D2031">IFERROR(INDEX(#REF!,MATCH(TRUE,ISNUMBER(FIND(SUBSTITUTE(SUBSTITUTE(UPPER(#REF!)," ",""),":",": "),SUBSTITUTE(SUBSTITUTE(UPPER(S2031)," ",""),":",": "))),0)),"Não encontrado")</f>
        <v>Não encontrado</v>
      </c>
      <c r="E2031" s="42" t="str" cm="1">
        <f t="array" ref="E2031">IFERROR(INDEX({"IMPEDITIVO"},MATCH(TRUE,ISNUMBER(FIND(SUBSTITUTE(SUBSTITUTE(UPPER({"IMPEDITIVO"})," ",""),":",": "),SUBSTITUTE(SUBSTITUTE(UPPER(S2031)," ",""),":",": "))),0)),"-")</f>
        <v>-</v>
      </c>
      <c r="K2031" s="49"/>
    </row>
    <row r="2032" spans="1:11" x14ac:dyDescent="0.25">
      <c r="A2032" s="46" t="str" cm="1">
        <f t="array" ref="A2032">IFERROR(INDEX(#REF!,MATCH(TRUE,ISNUMBER(FIND(SUBSTITUTE(SUBSTITUTE(UPPER(#REF!)," ",""),":",": "),SUBSTITUTE(SUBSTITUTE(UPPER(S2032)," ",""),":",": "))),0)),"Undefined")</f>
        <v>Undefined</v>
      </c>
      <c r="B2032" s="42" t="str" cm="1">
        <f t="array" ref="B2032">IFERROR(INDEX({"URGENTE"},MATCH(TRUE,ISNUMBER(FIND(SUBSTITUTE(SUBSTITUTE(UPPER({"URGENTE"})," ",""),":",": "),SUBSTITUTE(SUBSTITUTE(UPPER(S2032)," ",""),":",": "))),0)),"-")</f>
        <v>-</v>
      </c>
      <c r="C2032" s="46" t="str" cm="1">
        <f t="array" ref="C2032">IFERROR(INDEX(#REF!,MATCH(TRUE,ISNUMBER(FIND(SUBSTITUTE(SUBSTITUTE(UPPER(#REF!)," ",""),":",": "),SUBSTITUTE(SUBSTITUTE(UPPER(S2032)," ",""),":",": "))),0)),"Não encontrado")</f>
        <v>Não encontrado</v>
      </c>
      <c r="D2032" s="46" t="str" cm="1">
        <f t="array" ref="D2032">IFERROR(INDEX(#REF!,MATCH(TRUE,ISNUMBER(FIND(SUBSTITUTE(SUBSTITUTE(UPPER(#REF!)," ",""),":",": "),SUBSTITUTE(SUBSTITUTE(UPPER(S2032)," ",""),":",": "))),0)),"Não encontrado")</f>
        <v>Não encontrado</v>
      </c>
      <c r="E2032" s="42" t="str" cm="1">
        <f t="array" ref="E2032">IFERROR(INDEX({"IMPEDITIVO"},MATCH(TRUE,ISNUMBER(FIND(SUBSTITUTE(SUBSTITUTE(UPPER({"IMPEDITIVO"})," ",""),":",": "),SUBSTITUTE(SUBSTITUTE(UPPER(S2032)," ",""),":",": "))),0)),"-")</f>
        <v>-</v>
      </c>
      <c r="K2032" s="49"/>
    </row>
    <row r="2033" spans="1:11" x14ac:dyDescent="0.25">
      <c r="A2033" s="46" t="str" cm="1">
        <f t="array" ref="A2033">IFERROR(INDEX(#REF!,MATCH(TRUE,ISNUMBER(FIND(SUBSTITUTE(SUBSTITUTE(UPPER(#REF!)," ",""),":",": "),SUBSTITUTE(SUBSTITUTE(UPPER(S2033)," ",""),":",": "))),0)),"Undefined")</f>
        <v>Undefined</v>
      </c>
      <c r="B2033" s="42" t="str" cm="1">
        <f t="array" ref="B2033">IFERROR(INDEX({"URGENTE"},MATCH(TRUE,ISNUMBER(FIND(SUBSTITUTE(SUBSTITUTE(UPPER({"URGENTE"})," ",""),":",": "),SUBSTITUTE(SUBSTITUTE(UPPER(S2033)," ",""),":",": "))),0)),"-")</f>
        <v>-</v>
      </c>
      <c r="C2033" s="46" t="str" cm="1">
        <f t="array" ref="C2033">IFERROR(INDEX(#REF!,MATCH(TRUE,ISNUMBER(FIND(SUBSTITUTE(SUBSTITUTE(UPPER(#REF!)," ",""),":",": "),SUBSTITUTE(SUBSTITUTE(UPPER(S2033)," ",""),":",": "))),0)),"Não encontrado")</f>
        <v>Não encontrado</v>
      </c>
      <c r="D2033" s="46" t="str" cm="1">
        <f t="array" ref="D2033">IFERROR(INDEX(#REF!,MATCH(TRUE,ISNUMBER(FIND(SUBSTITUTE(SUBSTITUTE(UPPER(#REF!)," ",""),":",": "),SUBSTITUTE(SUBSTITUTE(UPPER(S2033)," ",""),":",": "))),0)),"Não encontrado")</f>
        <v>Não encontrado</v>
      </c>
      <c r="E2033" s="42" t="str" cm="1">
        <f t="array" ref="E2033">IFERROR(INDEX({"IMPEDITIVO"},MATCH(TRUE,ISNUMBER(FIND(SUBSTITUTE(SUBSTITUTE(UPPER({"IMPEDITIVO"})," ",""),":",": "),SUBSTITUTE(SUBSTITUTE(UPPER(S2033)," ",""),":",": "))),0)),"-")</f>
        <v>-</v>
      </c>
      <c r="K2033" s="49"/>
    </row>
    <row r="2034" spans="1:11" x14ac:dyDescent="0.25">
      <c r="A2034" s="46" t="str" cm="1">
        <f t="array" ref="A2034">IFERROR(INDEX(#REF!,MATCH(TRUE,ISNUMBER(FIND(SUBSTITUTE(SUBSTITUTE(UPPER(#REF!)," ",""),":",": "),SUBSTITUTE(SUBSTITUTE(UPPER(S2034)," ",""),":",": "))),0)),"Undefined")</f>
        <v>Undefined</v>
      </c>
      <c r="B2034" s="42" t="str" cm="1">
        <f t="array" ref="B2034">IFERROR(INDEX({"URGENTE"},MATCH(TRUE,ISNUMBER(FIND(SUBSTITUTE(SUBSTITUTE(UPPER({"URGENTE"})," ",""),":",": "),SUBSTITUTE(SUBSTITUTE(UPPER(S2034)," ",""),":",": "))),0)),"-")</f>
        <v>-</v>
      </c>
      <c r="C2034" s="46" t="str" cm="1">
        <f t="array" ref="C2034">IFERROR(INDEX(#REF!,MATCH(TRUE,ISNUMBER(FIND(SUBSTITUTE(SUBSTITUTE(UPPER(#REF!)," ",""),":",": "),SUBSTITUTE(SUBSTITUTE(UPPER(S2034)," ",""),":",": "))),0)),"Não encontrado")</f>
        <v>Não encontrado</v>
      </c>
      <c r="D2034" s="46" t="str" cm="1">
        <f t="array" ref="D2034">IFERROR(INDEX(#REF!,MATCH(TRUE,ISNUMBER(FIND(SUBSTITUTE(SUBSTITUTE(UPPER(#REF!)," ",""),":",": "),SUBSTITUTE(SUBSTITUTE(UPPER(S2034)," ",""),":",": "))),0)),"Não encontrado")</f>
        <v>Não encontrado</v>
      </c>
      <c r="E2034" s="42" t="str" cm="1">
        <f t="array" ref="E2034">IFERROR(INDEX({"IMPEDITIVO"},MATCH(TRUE,ISNUMBER(FIND(SUBSTITUTE(SUBSTITUTE(UPPER({"IMPEDITIVO"})," ",""),":",": "),SUBSTITUTE(SUBSTITUTE(UPPER(S2034)," ",""),":",": "))),0)),"-")</f>
        <v>-</v>
      </c>
      <c r="K2034" s="49"/>
    </row>
    <row r="2035" spans="1:11" x14ac:dyDescent="0.25">
      <c r="A2035" s="46" t="str" cm="1">
        <f t="array" ref="A2035">IFERROR(INDEX(#REF!,MATCH(TRUE,ISNUMBER(FIND(SUBSTITUTE(SUBSTITUTE(UPPER(#REF!)," ",""),":",": "),SUBSTITUTE(SUBSTITUTE(UPPER(S2035)," ",""),":",": "))),0)),"Undefined")</f>
        <v>Undefined</v>
      </c>
      <c r="B2035" s="42" t="str" cm="1">
        <f t="array" ref="B2035">IFERROR(INDEX({"URGENTE"},MATCH(TRUE,ISNUMBER(FIND(SUBSTITUTE(SUBSTITUTE(UPPER({"URGENTE"})," ",""),":",": "),SUBSTITUTE(SUBSTITUTE(UPPER(S2035)," ",""),":",": "))),0)),"-")</f>
        <v>-</v>
      </c>
      <c r="C2035" s="46" t="str" cm="1">
        <f t="array" ref="C2035">IFERROR(INDEX(#REF!,MATCH(TRUE,ISNUMBER(FIND(SUBSTITUTE(SUBSTITUTE(UPPER(#REF!)," ",""),":",": "),SUBSTITUTE(SUBSTITUTE(UPPER(S2035)," ",""),":",": "))),0)),"Não encontrado")</f>
        <v>Não encontrado</v>
      </c>
      <c r="D2035" s="46" t="str" cm="1">
        <f t="array" ref="D2035">IFERROR(INDEX(#REF!,MATCH(TRUE,ISNUMBER(FIND(SUBSTITUTE(SUBSTITUTE(UPPER(#REF!)," ",""),":",": "),SUBSTITUTE(SUBSTITUTE(UPPER(S2035)," ",""),":",": "))),0)),"Não encontrado")</f>
        <v>Não encontrado</v>
      </c>
      <c r="E2035" s="42" t="str" cm="1">
        <f t="array" ref="E2035">IFERROR(INDEX({"IMPEDITIVO"},MATCH(TRUE,ISNUMBER(FIND(SUBSTITUTE(SUBSTITUTE(UPPER({"IMPEDITIVO"})," ",""),":",": "),SUBSTITUTE(SUBSTITUTE(UPPER(S2035)," ",""),":",": "))),0)),"-")</f>
        <v>-</v>
      </c>
      <c r="K2035" s="49"/>
    </row>
    <row r="2036" spans="1:11" x14ac:dyDescent="0.25">
      <c r="A2036" s="46" t="str" cm="1">
        <f t="array" ref="A2036">IFERROR(INDEX(#REF!,MATCH(TRUE,ISNUMBER(FIND(SUBSTITUTE(SUBSTITUTE(UPPER(#REF!)," ",""),":",": "),SUBSTITUTE(SUBSTITUTE(UPPER(S2036)," ",""),":",": "))),0)),"Undefined")</f>
        <v>Undefined</v>
      </c>
      <c r="B2036" s="42" t="str" cm="1">
        <f t="array" ref="B2036">IFERROR(INDEX({"URGENTE"},MATCH(TRUE,ISNUMBER(FIND(SUBSTITUTE(SUBSTITUTE(UPPER({"URGENTE"})," ",""),":",": "),SUBSTITUTE(SUBSTITUTE(UPPER(S2036)," ",""),":",": "))),0)),"-")</f>
        <v>-</v>
      </c>
      <c r="C2036" s="46" t="str" cm="1">
        <f t="array" ref="C2036">IFERROR(INDEX(#REF!,MATCH(TRUE,ISNUMBER(FIND(SUBSTITUTE(SUBSTITUTE(UPPER(#REF!)," ",""),":",": "),SUBSTITUTE(SUBSTITUTE(UPPER(S2036)," ",""),":",": "))),0)),"Não encontrado")</f>
        <v>Não encontrado</v>
      </c>
      <c r="D2036" s="46" t="str" cm="1">
        <f t="array" ref="D2036">IFERROR(INDEX(#REF!,MATCH(TRUE,ISNUMBER(FIND(SUBSTITUTE(SUBSTITUTE(UPPER(#REF!)," ",""),":",": "),SUBSTITUTE(SUBSTITUTE(UPPER(S2036)," ",""),":",": "))),0)),"Não encontrado")</f>
        <v>Não encontrado</v>
      </c>
      <c r="E2036" s="42" t="str" cm="1">
        <f t="array" ref="E2036">IFERROR(INDEX({"IMPEDITIVO"},MATCH(TRUE,ISNUMBER(FIND(SUBSTITUTE(SUBSTITUTE(UPPER({"IMPEDITIVO"})," ",""),":",": "),SUBSTITUTE(SUBSTITUTE(UPPER(S2036)," ",""),":",": "))),0)),"-")</f>
        <v>-</v>
      </c>
      <c r="K2036" s="49"/>
    </row>
    <row r="2037" spans="1:11" x14ac:dyDescent="0.25">
      <c r="A2037" s="46" t="str" cm="1">
        <f t="array" ref="A2037">IFERROR(INDEX(#REF!,MATCH(TRUE,ISNUMBER(FIND(SUBSTITUTE(SUBSTITUTE(UPPER(#REF!)," ",""),":",": "),SUBSTITUTE(SUBSTITUTE(UPPER(S2037)," ",""),":",": "))),0)),"Undefined")</f>
        <v>Undefined</v>
      </c>
      <c r="B2037" s="42" t="str" cm="1">
        <f t="array" ref="B2037">IFERROR(INDEX({"URGENTE"},MATCH(TRUE,ISNUMBER(FIND(SUBSTITUTE(SUBSTITUTE(UPPER({"URGENTE"})," ",""),":",": "),SUBSTITUTE(SUBSTITUTE(UPPER(S2037)," ",""),":",": "))),0)),"-")</f>
        <v>-</v>
      </c>
      <c r="C2037" s="46" t="str" cm="1">
        <f t="array" ref="C2037">IFERROR(INDEX(#REF!,MATCH(TRUE,ISNUMBER(FIND(SUBSTITUTE(SUBSTITUTE(UPPER(#REF!)," ",""),":",": "),SUBSTITUTE(SUBSTITUTE(UPPER(S2037)," ",""),":",": "))),0)),"Não encontrado")</f>
        <v>Não encontrado</v>
      </c>
      <c r="D2037" s="46" t="str" cm="1">
        <f t="array" ref="D2037">IFERROR(INDEX(#REF!,MATCH(TRUE,ISNUMBER(FIND(SUBSTITUTE(SUBSTITUTE(UPPER(#REF!)," ",""),":",": "),SUBSTITUTE(SUBSTITUTE(UPPER(S2037)," ",""),":",": "))),0)),"Não encontrado")</f>
        <v>Não encontrado</v>
      </c>
      <c r="E2037" s="42" t="str" cm="1">
        <f t="array" ref="E2037">IFERROR(INDEX({"IMPEDITIVO"},MATCH(TRUE,ISNUMBER(FIND(SUBSTITUTE(SUBSTITUTE(UPPER({"IMPEDITIVO"})," ",""),":",": "),SUBSTITUTE(SUBSTITUTE(UPPER(S2037)," ",""),":",": "))),0)),"-")</f>
        <v>-</v>
      </c>
      <c r="K2037" s="49"/>
    </row>
    <row r="2038" spans="1:11" x14ac:dyDescent="0.25">
      <c r="A2038" s="46" t="str" cm="1">
        <f t="array" ref="A2038">IFERROR(INDEX(#REF!,MATCH(TRUE,ISNUMBER(FIND(SUBSTITUTE(SUBSTITUTE(UPPER(#REF!)," ",""),":",": "),SUBSTITUTE(SUBSTITUTE(UPPER(S2038)," ",""),":",": "))),0)),"Undefined")</f>
        <v>Undefined</v>
      </c>
      <c r="B2038" s="42" t="str" cm="1">
        <f t="array" ref="B2038">IFERROR(INDEX({"URGENTE"},MATCH(TRUE,ISNUMBER(FIND(SUBSTITUTE(SUBSTITUTE(UPPER({"URGENTE"})," ",""),":",": "),SUBSTITUTE(SUBSTITUTE(UPPER(S2038)," ",""),":",": "))),0)),"-")</f>
        <v>-</v>
      </c>
      <c r="C2038" s="46" t="str" cm="1">
        <f t="array" ref="C2038">IFERROR(INDEX(#REF!,MATCH(TRUE,ISNUMBER(FIND(SUBSTITUTE(SUBSTITUTE(UPPER(#REF!)," ",""),":",": "),SUBSTITUTE(SUBSTITUTE(UPPER(S2038)," ",""),":",": "))),0)),"Não encontrado")</f>
        <v>Não encontrado</v>
      </c>
      <c r="D2038" s="46" t="str" cm="1">
        <f t="array" ref="D2038">IFERROR(INDEX(#REF!,MATCH(TRUE,ISNUMBER(FIND(SUBSTITUTE(SUBSTITUTE(UPPER(#REF!)," ",""),":",": "),SUBSTITUTE(SUBSTITUTE(UPPER(S2038)," ",""),":",": "))),0)),"Não encontrado")</f>
        <v>Não encontrado</v>
      </c>
      <c r="E2038" s="42" t="str" cm="1">
        <f t="array" ref="E2038">IFERROR(INDEX({"IMPEDITIVO"},MATCH(TRUE,ISNUMBER(FIND(SUBSTITUTE(SUBSTITUTE(UPPER({"IMPEDITIVO"})," ",""),":",": "),SUBSTITUTE(SUBSTITUTE(UPPER(S2038)," ",""),":",": "))),0)),"-")</f>
        <v>-</v>
      </c>
      <c r="K2038" s="49"/>
    </row>
    <row r="2039" spans="1:11" x14ac:dyDescent="0.25">
      <c r="A2039" s="46" t="str" cm="1">
        <f t="array" ref="A2039">IFERROR(INDEX(#REF!,MATCH(TRUE,ISNUMBER(FIND(SUBSTITUTE(SUBSTITUTE(UPPER(#REF!)," ",""),":",": "),SUBSTITUTE(SUBSTITUTE(UPPER(S2039)," ",""),":",": "))),0)),"Undefined")</f>
        <v>Undefined</v>
      </c>
      <c r="B2039" s="42" t="str" cm="1">
        <f t="array" ref="B2039">IFERROR(INDEX({"URGENTE"},MATCH(TRUE,ISNUMBER(FIND(SUBSTITUTE(SUBSTITUTE(UPPER({"URGENTE"})," ",""),":",": "),SUBSTITUTE(SUBSTITUTE(UPPER(S2039)," ",""),":",": "))),0)),"-")</f>
        <v>-</v>
      </c>
      <c r="C2039" s="46" t="str" cm="1">
        <f t="array" ref="C2039">IFERROR(INDEX(#REF!,MATCH(TRUE,ISNUMBER(FIND(SUBSTITUTE(SUBSTITUTE(UPPER(#REF!)," ",""),":",": "),SUBSTITUTE(SUBSTITUTE(UPPER(S2039)," ",""),":",": "))),0)),"Não encontrado")</f>
        <v>Não encontrado</v>
      </c>
      <c r="D2039" s="46" t="str" cm="1">
        <f t="array" ref="D2039">IFERROR(INDEX(#REF!,MATCH(TRUE,ISNUMBER(FIND(SUBSTITUTE(SUBSTITUTE(UPPER(#REF!)," ",""),":",": "),SUBSTITUTE(SUBSTITUTE(UPPER(S2039)," ",""),":",": "))),0)),"Não encontrado")</f>
        <v>Não encontrado</v>
      </c>
      <c r="E2039" s="42" t="str" cm="1">
        <f t="array" ref="E2039">IFERROR(INDEX({"IMPEDITIVO"},MATCH(TRUE,ISNUMBER(FIND(SUBSTITUTE(SUBSTITUTE(UPPER({"IMPEDITIVO"})," ",""),":",": "),SUBSTITUTE(SUBSTITUTE(UPPER(S2039)," ",""),":",": "))),0)),"-")</f>
        <v>-</v>
      </c>
      <c r="K2039" s="49"/>
    </row>
    <row r="2040" spans="1:11" x14ac:dyDescent="0.25">
      <c r="A2040" s="46" t="str" cm="1">
        <f t="array" ref="A2040">IFERROR(INDEX(#REF!,MATCH(TRUE,ISNUMBER(FIND(SUBSTITUTE(SUBSTITUTE(UPPER(#REF!)," ",""),":",": "),SUBSTITUTE(SUBSTITUTE(UPPER(S2040)," ",""),":",": "))),0)),"Undefined")</f>
        <v>Undefined</v>
      </c>
      <c r="B2040" s="42" t="str" cm="1">
        <f t="array" ref="B2040">IFERROR(INDEX({"URGENTE"},MATCH(TRUE,ISNUMBER(FIND(SUBSTITUTE(SUBSTITUTE(UPPER({"URGENTE"})," ",""),":",": "),SUBSTITUTE(SUBSTITUTE(UPPER(S2040)," ",""),":",": "))),0)),"-")</f>
        <v>-</v>
      </c>
      <c r="C2040" s="46" t="str" cm="1">
        <f t="array" ref="C2040">IFERROR(INDEX(#REF!,MATCH(TRUE,ISNUMBER(FIND(SUBSTITUTE(SUBSTITUTE(UPPER(#REF!)," ",""),":",": "),SUBSTITUTE(SUBSTITUTE(UPPER(S2040)," ",""),":",": "))),0)),"Não encontrado")</f>
        <v>Não encontrado</v>
      </c>
      <c r="D2040" s="46" t="str" cm="1">
        <f t="array" ref="D2040">IFERROR(INDEX(#REF!,MATCH(TRUE,ISNUMBER(FIND(SUBSTITUTE(SUBSTITUTE(UPPER(#REF!)," ",""),":",": "),SUBSTITUTE(SUBSTITUTE(UPPER(S2040)," ",""),":",": "))),0)),"Não encontrado")</f>
        <v>Não encontrado</v>
      </c>
      <c r="E2040" s="42" t="str" cm="1">
        <f t="array" ref="E2040">IFERROR(INDEX({"IMPEDITIVO"},MATCH(TRUE,ISNUMBER(FIND(SUBSTITUTE(SUBSTITUTE(UPPER({"IMPEDITIVO"})," ",""),":",": "),SUBSTITUTE(SUBSTITUTE(UPPER(S2040)," ",""),":",": "))),0)),"-")</f>
        <v>-</v>
      </c>
      <c r="K2040" s="49"/>
    </row>
    <row r="2041" spans="1:11" x14ac:dyDescent="0.25">
      <c r="A2041" s="46" t="str" cm="1">
        <f t="array" ref="A2041">IFERROR(INDEX(#REF!,MATCH(TRUE,ISNUMBER(FIND(SUBSTITUTE(SUBSTITUTE(UPPER(#REF!)," ",""),":",": "),SUBSTITUTE(SUBSTITUTE(UPPER(S2041)," ",""),":",": "))),0)),"Undefined")</f>
        <v>Undefined</v>
      </c>
      <c r="B2041" s="42" t="str" cm="1">
        <f t="array" ref="B2041">IFERROR(INDEX({"URGENTE"},MATCH(TRUE,ISNUMBER(FIND(SUBSTITUTE(SUBSTITUTE(UPPER({"URGENTE"})," ",""),":",": "),SUBSTITUTE(SUBSTITUTE(UPPER(S2041)," ",""),":",": "))),0)),"-")</f>
        <v>-</v>
      </c>
      <c r="C2041" s="46" t="str" cm="1">
        <f t="array" ref="C2041">IFERROR(INDEX(#REF!,MATCH(TRUE,ISNUMBER(FIND(SUBSTITUTE(SUBSTITUTE(UPPER(#REF!)," ",""),":",": "),SUBSTITUTE(SUBSTITUTE(UPPER(S2041)," ",""),":",": "))),0)),"Não encontrado")</f>
        <v>Não encontrado</v>
      </c>
      <c r="D2041" s="46" t="str" cm="1">
        <f t="array" ref="D2041">IFERROR(INDEX(#REF!,MATCH(TRUE,ISNUMBER(FIND(SUBSTITUTE(SUBSTITUTE(UPPER(#REF!)," ",""),":",": "),SUBSTITUTE(SUBSTITUTE(UPPER(S2041)," ",""),":",": "))),0)),"Não encontrado")</f>
        <v>Não encontrado</v>
      </c>
      <c r="E2041" s="42" t="str" cm="1">
        <f t="array" ref="E2041">IFERROR(INDEX({"IMPEDITIVO"},MATCH(TRUE,ISNUMBER(FIND(SUBSTITUTE(SUBSTITUTE(UPPER({"IMPEDITIVO"})," ",""),":",": "),SUBSTITUTE(SUBSTITUTE(UPPER(S2041)," ",""),":",": "))),0)),"-")</f>
        <v>-</v>
      </c>
      <c r="K2041" s="49"/>
    </row>
    <row r="2042" spans="1:11" x14ac:dyDescent="0.25">
      <c r="A2042" s="46" t="str" cm="1">
        <f t="array" ref="A2042">IFERROR(INDEX(#REF!,MATCH(TRUE,ISNUMBER(FIND(SUBSTITUTE(SUBSTITUTE(UPPER(#REF!)," ",""),":",": "),SUBSTITUTE(SUBSTITUTE(UPPER(S2042)," ",""),":",": "))),0)),"Undefined")</f>
        <v>Undefined</v>
      </c>
      <c r="B2042" s="42" t="str" cm="1">
        <f t="array" ref="B2042">IFERROR(INDEX({"URGENTE"},MATCH(TRUE,ISNUMBER(FIND(SUBSTITUTE(SUBSTITUTE(UPPER({"URGENTE"})," ",""),":",": "),SUBSTITUTE(SUBSTITUTE(UPPER(S2042)," ",""),":",": "))),0)),"-")</f>
        <v>-</v>
      </c>
      <c r="C2042" s="46" t="str" cm="1">
        <f t="array" ref="C2042">IFERROR(INDEX(#REF!,MATCH(TRUE,ISNUMBER(FIND(SUBSTITUTE(SUBSTITUTE(UPPER(#REF!)," ",""),":",": "),SUBSTITUTE(SUBSTITUTE(UPPER(S2042)," ",""),":",": "))),0)),"Não encontrado")</f>
        <v>Não encontrado</v>
      </c>
      <c r="D2042" s="46" t="str" cm="1">
        <f t="array" ref="D2042">IFERROR(INDEX(#REF!,MATCH(TRUE,ISNUMBER(FIND(SUBSTITUTE(SUBSTITUTE(UPPER(#REF!)," ",""),":",": "),SUBSTITUTE(SUBSTITUTE(UPPER(S2042)," ",""),":",": "))),0)),"Não encontrado")</f>
        <v>Não encontrado</v>
      </c>
      <c r="E2042" s="42" t="str" cm="1">
        <f t="array" ref="E2042">IFERROR(INDEX({"IMPEDITIVO"},MATCH(TRUE,ISNUMBER(FIND(SUBSTITUTE(SUBSTITUTE(UPPER({"IMPEDITIVO"})," ",""),":",": "),SUBSTITUTE(SUBSTITUTE(UPPER(S2042)," ",""),":",": "))),0)),"-")</f>
        <v>-</v>
      </c>
      <c r="K2042" s="49"/>
    </row>
    <row r="2043" spans="1:11" x14ac:dyDescent="0.25">
      <c r="A2043" s="46" t="str" cm="1">
        <f t="array" ref="A2043">IFERROR(INDEX(#REF!,MATCH(TRUE,ISNUMBER(FIND(SUBSTITUTE(SUBSTITUTE(UPPER(#REF!)," ",""),":",": "),SUBSTITUTE(SUBSTITUTE(UPPER(S2043)," ",""),":",": "))),0)),"Undefined")</f>
        <v>Undefined</v>
      </c>
      <c r="B2043" s="42" t="str" cm="1">
        <f t="array" ref="B2043">IFERROR(INDEX({"URGENTE"},MATCH(TRUE,ISNUMBER(FIND(SUBSTITUTE(SUBSTITUTE(UPPER({"URGENTE"})," ",""),":",": "),SUBSTITUTE(SUBSTITUTE(UPPER(S2043)," ",""),":",": "))),0)),"-")</f>
        <v>-</v>
      </c>
      <c r="C2043" s="46" t="str" cm="1">
        <f t="array" ref="C2043">IFERROR(INDEX(#REF!,MATCH(TRUE,ISNUMBER(FIND(SUBSTITUTE(SUBSTITUTE(UPPER(#REF!)," ",""),":",": "),SUBSTITUTE(SUBSTITUTE(UPPER(S2043)," ",""),":",": "))),0)),"Não encontrado")</f>
        <v>Não encontrado</v>
      </c>
      <c r="D2043" s="46" t="str" cm="1">
        <f t="array" ref="D2043">IFERROR(INDEX(#REF!,MATCH(TRUE,ISNUMBER(FIND(SUBSTITUTE(SUBSTITUTE(UPPER(#REF!)," ",""),":",": "),SUBSTITUTE(SUBSTITUTE(UPPER(S2043)," ",""),":",": "))),0)),"Não encontrado")</f>
        <v>Não encontrado</v>
      </c>
      <c r="E2043" s="42" t="str" cm="1">
        <f t="array" ref="E2043">IFERROR(INDEX({"IMPEDITIVO"},MATCH(TRUE,ISNUMBER(FIND(SUBSTITUTE(SUBSTITUTE(UPPER({"IMPEDITIVO"})," ",""),":",": "),SUBSTITUTE(SUBSTITUTE(UPPER(S2043)," ",""),":",": "))),0)),"-")</f>
        <v>-</v>
      </c>
      <c r="K2043" s="49"/>
    </row>
    <row r="2044" spans="1:11" x14ac:dyDescent="0.25">
      <c r="A2044" s="46" t="str" cm="1">
        <f t="array" ref="A2044">IFERROR(INDEX(#REF!,MATCH(TRUE,ISNUMBER(FIND(SUBSTITUTE(SUBSTITUTE(UPPER(#REF!)," ",""),":",": "),SUBSTITUTE(SUBSTITUTE(UPPER(S2044)," ",""),":",": "))),0)),"Undefined")</f>
        <v>Undefined</v>
      </c>
      <c r="B2044" s="42" t="str" cm="1">
        <f t="array" ref="B2044">IFERROR(INDEX({"URGENTE"},MATCH(TRUE,ISNUMBER(FIND(SUBSTITUTE(SUBSTITUTE(UPPER({"URGENTE"})," ",""),":",": "),SUBSTITUTE(SUBSTITUTE(UPPER(S2044)," ",""),":",": "))),0)),"-")</f>
        <v>-</v>
      </c>
      <c r="C2044" s="46" t="str" cm="1">
        <f t="array" ref="C2044">IFERROR(INDEX(#REF!,MATCH(TRUE,ISNUMBER(FIND(SUBSTITUTE(SUBSTITUTE(UPPER(#REF!)," ",""),":",": "),SUBSTITUTE(SUBSTITUTE(UPPER(S2044)," ",""),":",": "))),0)),"Não encontrado")</f>
        <v>Não encontrado</v>
      </c>
      <c r="D2044" s="46" t="str" cm="1">
        <f t="array" ref="D2044">IFERROR(INDEX(#REF!,MATCH(TRUE,ISNUMBER(FIND(SUBSTITUTE(SUBSTITUTE(UPPER(#REF!)," ",""),":",": "),SUBSTITUTE(SUBSTITUTE(UPPER(S2044)," ",""),":",": "))),0)),"Não encontrado")</f>
        <v>Não encontrado</v>
      </c>
      <c r="E2044" s="42" t="str" cm="1">
        <f t="array" ref="E2044">IFERROR(INDEX({"IMPEDITIVO"},MATCH(TRUE,ISNUMBER(FIND(SUBSTITUTE(SUBSTITUTE(UPPER({"IMPEDITIVO"})," ",""),":",": "),SUBSTITUTE(SUBSTITUTE(UPPER(S2044)," ",""),":",": "))),0)),"-")</f>
        <v>-</v>
      </c>
      <c r="K2044" s="49"/>
    </row>
    <row r="2045" spans="1:11" x14ac:dyDescent="0.25">
      <c r="A2045" s="46" t="str" cm="1">
        <f t="array" ref="A2045">IFERROR(INDEX(#REF!,MATCH(TRUE,ISNUMBER(FIND(SUBSTITUTE(SUBSTITUTE(UPPER(#REF!)," ",""),":",": "),SUBSTITUTE(SUBSTITUTE(UPPER(S2045)," ",""),":",": "))),0)),"Undefined")</f>
        <v>Undefined</v>
      </c>
      <c r="B2045" s="42" t="str" cm="1">
        <f t="array" ref="B2045">IFERROR(INDEX({"URGENTE"},MATCH(TRUE,ISNUMBER(FIND(SUBSTITUTE(SUBSTITUTE(UPPER({"URGENTE"})," ",""),":",": "),SUBSTITUTE(SUBSTITUTE(UPPER(S2045)," ",""),":",": "))),0)),"-")</f>
        <v>-</v>
      </c>
      <c r="C2045" s="46" t="str" cm="1">
        <f t="array" ref="C2045">IFERROR(INDEX(#REF!,MATCH(TRUE,ISNUMBER(FIND(SUBSTITUTE(SUBSTITUTE(UPPER(#REF!)," ",""),":",": "),SUBSTITUTE(SUBSTITUTE(UPPER(S2045)," ",""),":",": "))),0)),"Não encontrado")</f>
        <v>Não encontrado</v>
      </c>
      <c r="D2045" s="46" t="str" cm="1">
        <f t="array" ref="D2045">IFERROR(INDEX(#REF!,MATCH(TRUE,ISNUMBER(FIND(SUBSTITUTE(SUBSTITUTE(UPPER(#REF!)," ",""),":",": "),SUBSTITUTE(SUBSTITUTE(UPPER(S2045)," ",""),":",": "))),0)),"Não encontrado")</f>
        <v>Não encontrado</v>
      </c>
      <c r="E2045" s="42" t="str" cm="1">
        <f t="array" ref="E2045">IFERROR(INDEX({"IMPEDITIVO"},MATCH(TRUE,ISNUMBER(FIND(SUBSTITUTE(SUBSTITUTE(UPPER({"IMPEDITIVO"})," ",""),":",": "),SUBSTITUTE(SUBSTITUTE(UPPER(S2045)," ",""),":",": "))),0)),"-")</f>
        <v>-</v>
      </c>
      <c r="K2045" s="49"/>
    </row>
    <row r="2046" spans="1:11" x14ac:dyDescent="0.25">
      <c r="A2046" s="46" t="str" cm="1">
        <f t="array" ref="A2046">IFERROR(INDEX(#REF!,MATCH(TRUE,ISNUMBER(FIND(SUBSTITUTE(SUBSTITUTE(UPPER(#REF!)," ",""),":",": "),SUBSTITUTE(SUBSTITUTE(UPPER(S2046)," ",""),":",": "))),0)),"Undefined")</f>
        <v>Undefined</v>
      </c>
      <c r="B2046" s="42" t="str" cm="1">
        <f t="array" ref="B2046">IFERROR(INDEX({"URGENTE"},MATCH(TRUE,ISNUMBER(FIND(SUBSTITUTE(SUBSTITUTE(UPPER({"URGENTE"})," ",""),":",": "),SUBSTITUTE(SUBSTITUTE(UPPER(S2046)," ",""),":",": "))),0)),"-")</f>
        <v>-</v>
      </c>
      <c r="C2046" s="46" t="str" cm="1">
        <f t="array" ref="C2046">IFERROR(INDEX(#REF!,MATCH(TRUE,ISNUMBER(FIND(SUBSTITUTE(SUBSTITUTE(UPPER(#REF!)," ",""),":",": "),SUBSTITUTE(SUBSTITUTE(UPPER(S2046)," ",""),":",": "))),0)),"Não encontrado")</f>
        <v>Não encontrado</v>
      </c>
      <c r="D2046" s="46" t="str" cm="1">
        <f t="array" ref="D2046">IFERROR(INDEX(#REF!,MATCH(TRUE,ISNUMBER(FIND(SUBSTITUTE(SUBSTITUTE(UPPER(#REF!)," ",""),":",": "),SUBSTITUTE(SUBSTITUTE(UPPER(S2046)," ",""),":",": "))),0)),"Não encontrado")</f>
        <v>Não encontrado</v>
      </c>
      <c r="E2046" s="42" t="str" cm="1">
        <f t="array" ref="E2046">IFERROR(INDEX({"IMPEDITIVO"},MATCH(TRUE,ISNUMBER(FIND(SUBSTITUTE(SUBSTITUTE(UPPER({"IMPEDITIVO"})," ",""),":",": "),SUBSTITUTE(SUBSTITUTE(UPPER(S2046)," ",""),":",": "))),0)),"-")</f>
        <v>-</v>
      </c>
      <c r="K2046" s="49"/>
    </row>
    <row r="2047" spans="1:11" x14ac:dyDescent="0.25">
      <c r="A2047" s="46" t="str" cm="1">
        <f t="array" ref="A2047">IFERROR(INDEX(#REF!,MATCH(TRUE,ISNUMBER(FIND(SUBSTITUTE(SUBSTITUTE(UPPER(#REF!)," ",""),":",": "),SUBSTITUTE(SUBSTITUTE(UPPER(S2047)," ",""),":",": "))),0)),"Undefined")</f>
        <v>Undefined</v>
      </c>
      <c r="B2047" s="42" t="str" cm="1">
        <f t="array" ref="B2047">IFERROR(INDEX({"URGENTE"},MATCH(TRUE,ISNUMBER(FIND(SUBSTITUTE(SUBSTITUTE(UPPER({"URGENTE"})," ",""),":",": "),SUBSTITUTE(SUBSTITUTE(UPPER(S2047)," ",""),":",": "))),0)),"-")</f>
        <v>-</v>
      </c>
      <c r="C2047" s="46" t="str" cm="1">
        <f t="array" ref="C2047">IFERROR(INDEX(#REF!,MATCH(TRUE,ISNUMBER(FIND(SUBSTITUTE(SUBSTITUTE(UPPER(#REF!)," ",""),":",": "),SUBSTITUTE(SUBSTITUTE(UPPER(S2047)," ",""),":",": "))),0)),"Não encontrado")</f>
        <v>Não encontrado</v>
      </c>
      <c r="D2047" s="46" t="str" cm="1">
        <f t="array" ref="D2047">IFERROR(INDEX(#REF!,MATCH(TRUE,ISNUMBER(FIND(SUBSTITUTE(SUBSTITUTE(UPPER(#REF!)," ",""),":",": "),SUBSTITUTE(SUBSTITUTE(UPPER(S2047)," ",""),":",": "))),0)),"Não encontrado")</f>
        <v>Não encontrado</v>
      </c>
      <c r="E2047" s="42" t="str" cm="1">
        <f t="array" ref="E2047">IFERROR(INDEX({"IMPEDITIVO"},MATCH(TRUE,ISNUMBER(FIND(SUBSTITUTE(SUBSTITUTE(UPPER({"IMPEDITIVO"})," ",""),":",": "),SUBSTITUTE(SUBSTITUTE(UPPER(S2047)," ",""),":",": "))),0)),"-")</f>
        <v>-</v>
      </c>
      <c r="K2047" s="49"/>
    </row>
    <row r="2048" spans="1:11" x14ac:dyDescent="0.25">
      <c r="A2048" s="46" t="str" cm="1">
        <f t="array" ref="A2048">IFERROR(INDEX(#REF!,MATCH(TRUE,ISNUMBER(FIND(SUBSTITUTE(SUBSTITUTE(UPPER(#REF!)," ",""),":",": "),SUBSTITUTE(SUBSTITUTE(UPPER(S2048)," ",""),":",": "))),0)),"Undefined")</f>
        <v>Undefined</v>
      </c>
      <c r="B2048" s="42" t="str" cm="1">
        <f t="array" ref="B2048">IFERROR(INDEX({"URGENTE"},MATCH(TRUE,ISNUMBER(FIND(SUBSTITUTE(SUBSTITUTE(UPPER({"URGENTE"})," ",""),":",": "),SUBSTITUTE(SUBSTITUTE(UPPER(S2048)," ",""),":",": "))),0)),"-")</f>
        <v>-</v>
      </c>
      <c r="C2048" s="46" t="str" cm="1">
        <f t="array" ref="C2048">IFERROR(INDEX(#REF!,MATCH(TRUE,ISNUMBER(FIND(SUBSTITUTE(SUBSTITUTE(UPPER(#REF!)," ",""),":",": "),SUBSTITUTE(SUBSTITUTE(UPPER(S2048)," ",""),":",": "))),0)),"Não encontrado")</f>
        <v>Não encontrado</v>
      </c>
      <c r="D2048" s="46" t="str" cm="1">
        <f t="array" ref="D2048">IFERROR(INDEX(#REF!,MATCH(TRUE,ISNUMBER(FIND(SUBSTITUTE(SUBSTITUTE(UPPER(#REF!)," ",""),":",": "),SUBSTITUTE(SUBSTITUTE(UPPER(S2048)," ",""),":",": "))),0)),"Não encontrado")</f>
        <v>Não encontrado</v>
      </c>
      <c r="E2048" s="42" t="str" cm="1">
        <f t="array" ref="E2048">IFERROR(INDEX({"IMPEDITIVO"},MATCH(TRUE,ISNUMBER(FIND(SUBSTITUTE(SUBSTITUTE(UPPER({"IMPEDITIVO"})," ",""),":",": "),SUBSTITUTE(SUBSTITUTE(UPPER(S2048)," ",""),":",": "))),0)),"-")</f>
        <v>-</v>
      </c>
      <c r="K2048" s="49"/>
    </row>
    <row r="2049" spans="1:11" x14ac:dyDescent="0.25">
      <c r="A2049" s="46" t="str" cm="1">
        <f t="array" ref="A2049">IFERROR(INDEX(#REF!,MATCH(TRUE,ISNUMBER(FIND(SUBSTITUTE(SUBSTITUTE(UPPER(#REF!)," ",""),":",": "),SUBSTITUTE(SUBSTITUTE(UPPER(S2049)," ",""),":",": "))),0)),"Undefined")</f>
        <v>Undefined</v>
      </c>
      <c r="B2049" s="42" t="str" cm="1">
        <f t="array" ref="B2049">IFERROR(INDEX({"URGENTE"},MATCH(TRUE,ISNUMBER(FIND(SUBSTITUTE(SUBSTITUTE(UPPER({"URGENTE"})," ",""),":",": "),SUBSTITUTE(SUBSTITUTE(UPPER(S2049)," ",""),":",": "))),0)),"-")</f>
        <v>-</v>
      </c>
      <c r="C2049" s="46" t="str" cm="1">
        <f t="array" ref="C2049">IFERROR(INDEX(#REF!,MATCH(TRUE,ISNUMBER(FIND(SUBSTITUTE(SUBSTITUTE(UPPER(#REF!)," ",""),":",": "),SUBSTITUTE(SUBSTITUTE(UPPER(S2049)," ",""),":",": "))),0)),"Não encontrado")</f>
        <v>Não encontrado</v>
      </c>
      <c r="D2049" s="46" t="str" cm="1">
        <f t="array" ref="D2049">IFERROR(INDEX(#REF!,MATCH(TRUE,ISNUMBER(FIND(SUBSTITUTE(SUBSTITUTE(UPPER(#REF!)," ",""),":",": "),SUBSTITUTE(SUBSTITUTE(UPPER(S2049)," ",""),":",": "))),0)),"Não encontrado")</f>
        <v>Não encontrado</v>
      </c>
      <c r="E2049" s="42" t="str" cm="1">
        <f t="array" ref="E2049">IFERROR(INDEX({"IMPEDITIVO"},MATCH(TRUE,ISNUMBER(FIND(SUBSTITUTE(SUBSTITUTE(UPPER({"IMPEDITIVO"})," ",""),":",": "),SUBSTITUTE(SUBSTITUTE(UPPER(S2049)," ",""),":",": "))),0)),"-")</f>
        <v>-</v>
      </c>
      <c r="K2049" s="49"/>
    </row>
    <row r="2050" spans="1:11" x14ac:dyDescent="0.25">
      <c r="A2050" s="46" t="str" cm="1">
        <f t="array" ref="A2050">IFERROR(INDEX(#REF!,MATCH(TRUE,ISNUMBER(FIND(SUBSTITUTE(SUBSTITUTE(UPPER(#REF!)," ",""),":",": "),SUBSTITUTE(SUBSTITUTE(UPPER(S2050)," ",""),":",": "))),0)),"Undefined")</f>
        <v>Undefined</v>
      </c>
      <c r="B2050" s="42" t="str" cm="1">
        <f t="array" ref="B2050">IFERROR(INDEX({"URGENTE"},MATCH(TRUE,ISNUMBER(FIND(SUBSTITUTE(SUBSTITUTE(UPPER({"URGENTE"})," ",""),":",": "),SUBSTITUTE(SUBSTITUTE(UPPER(S2050)," ",""),":",": "))),0)),"-")</f>
        <v>-</v>
      </c>
      <c r="C2050" s="46" t="str" cm="1">
        <f t="array" ref="C2050">IFERROR(INDEX(#REF!,MATCH(TRUE,ISNUMBER(FIND(SUBSTITUTE(SUBSTITUTE(UPPER(#REF!)," ",""),":",": "),SUBSTITUTE(SUBSTITUTE(UPPER(S2050)," ",""),":",": "))),0)),"Não encontrado")</f>
        <v>Não encontrado</v>
      </c>
      <c r="D2050" s="46" t="str" cm="1">
        <f t="array" ref="D2050">IFERROR(INDEX(#REF!,MATCH(TRUE,ISNUMBER(FIND(SUBSTITUTE(SUBSTITUTE(UPPER(#REF!)," ",""),":",": "),SUBSTITUTE(SUBSTITUTE(UPPER(S2050)," ",""),":",": "))),0)),"Não encontrado")</f>
        <v>Não encontrado</v>
      </c>
      <c r="E2050" s="42" t="str" cm="1">
        <f t="array" ref="E2050">IFERROR(INDEX({"IMPEDITIVO"},MATCH(TRUE,ISNUMBER(FIND(SUBSTITUTE(SUBSTITUTE(UPPER({"IMPEDITIVO"})," ",""),":",": "),SUBSTITUTE(SUBSTITUTE(UPPER(S2050)," ",""),":",": "))),0)),"-")</f>
        <v>-</v>
      </c>
      <c r="K2050" s="49"/>
    </row>
    <row r="2051" spans="1:11" x14ac:dyDescent="0.25">
      <c r="A2051" s="46" t="str" cm="1">
        <f t="array" ref="A2051">IFERROR(INDEX(#REF!,MATCH(TRUE,ISNUMBER(FIND(SUBSTITUTE(SUBSTITUTE(UPPER(#REF!)," ",""),":",": "),SUBSTITUTE(SUBSTITUTE(UPPER(S2051)," ",""),":",": "))),0)),"Undefined")</f>
        <v>Undefined</v>
      </c>
      <c r="B2051" s="42" t="str" cm="1">
        <f t="array" ref="B2051">IFERROR(INDEX({"URGENTE"},MATCH(TRUE,ISNUMBER(FIND(SUBSTITUTE(SUBSTITUTE(UPPER({"URGENTE"})," ",""),":",": "),SUBSTITUTE(SUBSTITUTE(UPPER(S2051)," ",""),":",": "))),0)),"-")</f>
        <v>-</v>
      </c>
      <c r="C2051" s="46" t="str" cm="1">
        <f t="array" ref="C2051">IFERROR(INDEX(#REF!,MATCH(TRUE,ISNUMBER(FIND(SUBSTITUTE(SUBSTITUTE(UPPER(#REF!)," ",""),":",": "),SUBSTITUTE(SUBSTITUTE(UPPER(S2051)," ",""),":",": "))),0)),"Não encontrado")</f>
        <v>Não encontrado</v>
      </c>
      <c r="D2051" s="46" t="str" cm="1">
        <f t="array" ref="D2051">IFERROR(INDEX(#REF!,MATCH(TRUE,ISNUMBER(FIND(SUBSTITUTE(SUBSTITUTE(UPPER(#REF!)," ",""),":",": "),SUBSTITUTE(SUBSTITUTE(UPPER(S2051)," ",""),":",": "))),0)),"Não encontrado")</f>
        <v>Não encontrado</v>
      </c>
      <c r="E2051" s="42" t="str" cm="1">
        <f t="array" ref="E2051">IFERROR(INDEX({"IMPEDITIVO"},MATCH(TRUE,ISNUMBER(FIND(SUBSTITUTE(SUBSTITUTE(UPPER({"IMPEDITIVO"})," ",""),":",": "),SUBSTITUTE(SUBSTITUTE(UPPER(S2051)," ",""),":",": "))),0)),"-")</f>
        <v>-</v>
      </c>
      <c r="K2051" s="49"/>
    </row>
    <row r="2052" spans="1:11" x14ac:dyDescent="0.25">
      <c r="A2052" s="46" t="str" cm="1">
        <f t="array" ref="A2052">IFERROR(INDEX(#REF!,MATCH(TRUE,ISNUMBER(FIND(SUBSTITUTE(SUBSTITUTE(UPPER(#REF!)," ",""),":",": "),SUBSTITUTE(SUBSTITUTE(UPPER(S2052)," ",""),":",": "))),0)),"Undefined")</f>
        <v>Undefined</v>
      </c>
      <c r="B2052" s="42" t="str" cm="1">
        <f t="array" ref="B2052">IFERROR(INDEX({"URGENTE"},MATCH(TRUE,ISNUMBER(FIND(SUBSTITUTE(SUBSTITUTE(UPPER({"URGENTE"})," ",""),":",": "),SUBSTITUTE(SUBSTITUTE(UPPER(S2052)," ",""),":",": "))),0)),"-")</f>
        <v>-</v>
      </c>
      <c r="C2052" s="46" t="str" cm="1">
        <f t="array" ref="C2052">IFERROR(INDEX(#REF!,MATCH(TRUE,ISNUMBER(FIND(SUBSTITUTE(SUBSTITUTE(UPPER(#REF!)," ",""),":",": "),SUBSTITUTE(SUBSTITUTE(UPPER(S2052)," ",""),":",": "))),0)),"Não encontrado")</f>
        <v>Não encontrado</v>
      </c>
      <c r="D2052" s="46" t="str" cm="1">
        <f t="array" ref="D2052">IFERROR(INDEX(#REF!,MATCH(TRUE,ISNUMBER(FIND(SUBSTITUTE(SUBSTITUTE(UPPER(#REF!)," ",""),":",": "),SUBSTITUTE(SUBSTITUTE(UPPER(S2052)," ",""),":",": "))),0)),"Não encontrado")</f>
        <v>Não encontrado</v>
      </c>
      <c r="E2052" s="42" t="str" cm="1">
        <f t="array" ref="E2052">IFERROR(INDEX({"IMPEDITIVO"},MATCH(TRUE,ISNUMBER(FIND(SUBSTITUTE(SUBSTITUTE(UPPER({"IMPEDITIVO"})," ",""),":",": "),SUBSTITUTE(SUBSTITUTE(UPPER(S2052)," ",""),":",": "))),0)),"-")</f>
        <v>-</v>
      </c>
      <c r="K2052" s="49"/>
    </row>
    <row r="2053" spans="1:11" x14ac:dyDescent="0.25">
      <c r="A2053" s="46" t="str" cm="1">
        <f t="array" ref="A2053">IFERROR(INDEX(#REF!,MATCH(TRUE,ISNUMBER(FIND(SUBSTITUTE(SUBSTITUTE(UPPER(#REF!)," ",""),":",": "),SUBSTITUTE(SUBSTITUTE(UPPER(S2053)," ",""),":",": "))),0)),"Undefined")</f>
        <v>Undefined</v>
      </c>
      <c r="B2053" s="42" t="str" cm="1">
        <f t="array" ref="B2053">IFERROR(INDEX({"URGENTE"},MATCH(TRUE,ISNUMBER(FIND(SUBSTITUTE(SUBSTITUTE(UPPER({"URGENTE"})," ",""),":",": "),SUBSTITUTE(SUBSTITUTE(UPPER(S2053)," ",""),":",": "))),0)),"-")</f>
        <v>-</v>
      </c>
      <c r="C2053" s="46" t="str" cm="1">
        <f t="array" ref="C2053">IFERROR(INDEX(#REF!,MATCH(TRUE,ISNUMBER(FIND(SUBSTITUTE(SUBSTITUTE(UPPER(#REF!)," ",""),":",": "),SUBSTITUTE(SUBSTITUTE(UPPER(S2053)," ",""),":",": "))),0)),"Não encontrado")</f>
        <v>Não encontrado</v>
      </c>
      <c r="D2053" s="46" t="str" cm="1">
        <f t="array" ref="D2053">IFERROR(INDEX(#REF!,MATCH(TRUE,ISNUMBER(FIND(SUBSTITUTE(SUBSTITUTE(UPPER(#REF!)," ",""),":",": "),SUBSTITUTE(SUBSTITUTE(UPPER(S2053)," ",""),":",": "))),0)),"Não encontrado")</f>
        <v>Não encontrado</v>
      </c>
      <c r="E2053" s="42" t="str" cm="1">
        <f t="array" ref="E2053">IFERROR(INDEX({"IMPEDITIVO"},MATCH(TRUE,ISNUMBER(FIND(SUBSTITUTE(SUBSTITUTE(UPPER({"IMPEDITIVO"})," ",""),":",": "),SUBSTITUTE(SUBSTITUTE(UPPER(S2053)," ",""),":",": "))),0)),"-")</f>
        <v>-</v>
      </c>
      <c r="K2053" s="49"/>
    </row>
    <row r="2054" spans="1:11" x14ac:dyDescent="0.25">
      <c r="A2054" s="46" t="str" cm="1">
        <f t="array" ref="A2054">IFERROR(INDEX(#REF!,MATCH(TRUE,ISNUMBER(FIND(SUBSTITUTE(SUBSTITUTE(UPPER(#REF!)," ",""),":",": "),SUBSTITUTE(SUBSTITUTE(UPPER(S2054)," ",""),":",": "))),0)),"Undefined")</f>
        <v>Undefined</v>
      </c>
      <c r="B2054" s="42" t="str" cm="1">
        <f t="array" ref="B2054">IFERROR(INDEX({"URGENTE"},MATCH(TRUE,ISNUMBER(FIND(SUBSTITUTE(SUBSTITUTE(UPPER({"URGENTE"})," ",""),":",": "),SUBSTITUTE(SUBSTITUTE(UPPER(S2054)," ",""),":",": "))),0)),"-")</f>
        <v>-</v>
      </c>
      <c r="C2054" s="46" t="str" cm="1">
        <f t="array" ref="C2054">IFERROR(INDEX(#REF!,MATCH(TRUE,ISNUMBER(FIND(SUBSTITUTE(SUBSTITUTE(UPPER(#REF!)," ",""),":",": "),SUBSTITUTE(SUBSTITUTE(UPPER(S2054)," ",""),":",": "))),0)),"Não encontrado")</f>
        <v>Não encontrado</v>
      </c>
      <c r="D2054" s="46" t="str" cm="1">
        <f t="array" ref="D2054">IFERROR(INDEX(#REF!,MATCH(TRUE,ISNUMBER(FIND(SUBSTITUTE(SUBSTITUTE(UPPER(#REF!)," ",""),":",": "),SUBSTITUTE(SUBSTITUTE(UPPER(S2054)," ",""),":",": "))),0)),"Não encontrado")</f>
        <v>Não encontrado</v>
      </c>
      <c r="E2054" s="42" t="str" cm="1">
        <f t="array" ref="E2054">IFERROR(INDEX({"IMPEDITIVO"},MATCH(TRUE,ISNUMBER(FIND(SUBSTITUTE(SUBSTITUTE(UPPER({"IMPEDITIVO"})," ",""),":",": "),SUBSTITUTE(SUBSTITUTE(UPPER(S2054)," ",""),":",": "))),0)),"-")</f>
        <v>-</v>
      </c>
      <c r="K2054" s="49"/>
    </row>
    <row r="2055" spans="1:11" x14ac:dyDescent="0.25">
      <c r="A2055" s="46" t="str" cm="1">
        <f t="array" ref="A2055">IFERROR(INDEX(#REF!,MATCH(TRUE,ISNUMBER(FIND(SUBSTITUTE(SUBSTITUTE(UPPER(#REF!)," ",""),":",": "),SUBSTITUTE(SUBSTITUTE(UPPER(S2055)," ",""),":",": "))),0)),"Undefined")</f>
        <v>Undefined</v>
      </c>
      <c r="B2055" s="42" t="str" cm="1">
        <f t="array" ref="B2055">IFERROR(INDEX({"URGENTE"},MATCH(TRUE,ISNUMBER(FIND(SUBSTITUTE(SUBSTITUTE(UPPER({"URGENTE"})," ",""),":",": "),SUBSTITUTE(SUBSTITUTE(UPPER(S2055)," ",""),":",": "))),0)),"-")</f>
        <v>-</v>
      </c>
      <c r="C2055" s="46" t="str" cm="1">
        <f t="array" ref="C2055">IFERROR(INDEX(#REF!,MATCH(TRUE,ISNUMBER(FIND(SUBSTITUTE(SUBSTITUTE(UPPER(#REF!)," ",""),":",": "),SUBSTITUTE(SUBSTITUTE(UPPER(S2055)," ",""),":",": "))),0)),"Não encontrado")</f>
        <v>Não encontrado</v>
      </c>
      <c r="D2055" s="46" t="str" cm="1">
        <f t="array" ref="D2055">IFERROR(INDEX(#REF!,MATCH(TRUE,ISNUMBER(FIND(SUBSTITUTE(SUBSTITUTE(UPPER(#REF!)," ",""),":",": "),SUBSTITUTE(SUBSTITUTE(UPPER(S2055)," ",""),":",": "))),0)),"Não encontrado")</f>
        <v>Não encontrado</v>
      </c>
      <c r="E2055" s="42" t="str" cm="1">
        <f t="array" ref="E2055">IFERROR(INDEX({"IMPEDITIVO"},MATCH(TRUE,ISNUMBER(FIND(SUBSTITUTE(SUBSTITUTE(UPPER({"IMPEDITIVO"})," ",""),":",": "),SUBSTITUTE(SUBSTITUTE(UPPER(S2055)," ",""),":",": "))),0)),"-")</f>
        <v>-</v>
      </c>
      <c r="K2055" s="49"/>
    </row>
    <row r="2056" spans="1:11" x14ac:dyDescent="0.25">
      <c r="A2056" s="46" t="str" cm="1">
        <f t="array" ref="A2056">IFERROR(INDEX(#REF!,MATCH(TRUE,ISNUMBER(FIND(SUBSTITUTE(SUBSTITUTE(UPPER(#REF!)," ",""),":",": "),SUBSTITUTE(SUBSTITUTE(UPPER(S2056)," ",""),":",": "))),0)),"Undefined")</f>
        <v>Undefined</v>
      </c>
      <c r="B2056" s="42" t="str" cm="1">
        <f t="array" ref="B2056">IFERROR(INDEX({"URGENTE"},MATCH(TRUE,ISNUMBER(FIND(SUBSTITUTE(SUBSTITUTE(UPPER({"URGENTE"})," ",""),":",": "),SUBSTITUTE(SUBSTITUTE(UPPER(S2056)," ",""),":",": "))),0)),"-")</f>
        <v>-</v>
      </c>
      <c r="C2056" s="46" t="str" cm="1">
        <f t="array" ref="C2056">IFERROR(INDEX(#REF!,MATCH(TRUE,ISNUMBER(FIND(SUBSTITUTE(SUBSTITUTE(UPPER(#REF!)," ",""),":",": "),SUBSTITUTE(SUBSTITUTE(UPPER(S2056)," ",""),":",": "))),0)),"Não encontrado")</f>
        <v>Não encontrado</v>
      </c>
      <c r="D2056" s="46" t="str" cm="1">
        <f t="array" ref="D2056">IFERROR(INDEX(#REF!,MATCH(TRUE,ISNUMBER(FIND(SUBSTITUTE(SUBSTITUTE(UPPER(#REF!)," ",""),":",": "),SUBSTITUTE(SUBSTITUTE(UPPER(S2056)," ",""),":",": "))),0)),"Não encontrado")</f>
        <v>Não encontrado</v>
      </c>
      <c r="E2056" s="42" t="str" cm="1">
        <f t="array" ref="E2056">IFERROR(INDEX({"IMPEDITIVO"},MATCH(TRUE,ISNUMBER(FIND(SUBSTITUTE(SUBSTITUTE(UPPER({"IMPEDITIVO"})," ",""),":",": "),SUBSTITUTE(SUBSTITUTE(UPPER(S2056)," ",""),":",": "))),0)),"-")</f>
        <v>-</v>
      </c>
      <c r="K2056" s="49"/>
    </row>
    <row r="2057" spans="1:11" x14ac:dyDescent="0.25">
      <c r="A2057" s="46" t="str" cm="1">
        <f t="array" ref="A2057">IFERROR(INDEX(#REF!,MATCH(TRUE,ISNUMBER(FIND(SUBSTITUTE(SUBSTITUTE(UPPER(#REF!)," ",""),":",": "),SUBSTITUTE(SUBSTITUTE(UPPER(S2057)," ",""),":",": "))),0)),"Undefined")</f>
        <v>Undefined</v>
      </c>
      <c r="B2057" s="42" t="str" cm="1">
        <f t="array" ref="B2057">IFERROR(INDEX({"URGENTE"},MATCH(TRUE,ISNUMBER(FIND(SUBSTITUTE(SUBSTITUTE(UPPER({"URGENTE"})," ",""),":",": "),SUBSTITUTE(SUBSTITUTE(UPPER(S2057)," ",""),":",": "))),0)),"-")</f>
        <v>-</v>
      </c>
      <c r="C2057" s="46" t="str" cm="1">
        <f t="array" ref="C2057">IFERROR(INDEX(#REF!,MATCH(TRUE,ISNUMBER(FIND(SUBSTITUTE(SUBSTITUTE(UPPER(#REF!)," ",""),":",": "),SUBSTITUTE(SUBSTITUTE(UPPER(S2057)," ",""),":",": "))),0)),"Não encontrado")</f>
        <v>Não encontrado</v>
      </c>
      <c r="D2057" s="46" t="str" cm="1">
        <f t="array" ref="D2057">IFERROR(INDEX(#REF!,MATCH(TRUE,ISNUMBER(FIND(SUBSTITUTE(SUBSTITUTE(UPPER(#REF!)," ",""),":",": "),SUBSTITUTE(SUBSTITUTE(UPPER(S2057)," ",""),":",": "))),0)),"Não encontrado")</f>
        <v>Não encontrado</v>
      </c>
      <c r="E2057" s="42" t="str" cm="1">
        <f t="array" ref="E2057">IFERROR(INDEX({"IMPEDITIVO"},MATCH(TRUE,ISNUMBER(FIND(SUBSTITUTE(SUBSTITUTE(UPPER({"IMPEDITIVO"})," ",""),":",": "),SUBSTITUTE(SUBSTITUTE(UPPER(S2057)," ",""),":",": "))),0)),"-")</f>
        <v>-</v>
      </c>
      <c r="K2057" s="49"/>
    </row>
    <row r="2058" spans="1:11" x14ac:dyDescent="0.25">
      <c r="A2058" s="46" t="str" cm="1">
        <f t="array" ref="A2058">IFERROR(INDEX(#REF!,MATCH(TRUE,ISNUMBER(FIND(SUBSTITUTE(SUBSTITUTE(UPPER(#REF!)," ",""),":",": "),SUBSTITUTE(SUBSTITUTE(UPPER(S2058)," ",""),":",": "))),0)),"Undefined")</f>
        <v>Undefined</v>
      </c>
      <c r="B2058" s="42" t="str" cm="1">
        <f t="array" ref="B2058">IFERROR(INDEX({"URGENTE"},MATCH(TRUE,ISNUMBER(FIND(SUBSTITUTE(SUBSTITUTE(UPPER({"URGENTE"})," ",""),":",": "),SUBSTITUTE(SUBSTITUTE(UPPER(S2058)," ",""),":",": "))),0)),"-")</f>
        <v>-</v>
      </c>
      <c r="C2058" s="46" t="str" cm="1">
        <f t="array" ref="C2058">IFERROR(INDEX(#REF!,MATCH(TRUE,ISNUMBER(FIND(SUBSTITUTE(SUBSTITUTE(UPPER(#REF!)," ",""),":",": "),SUBSTITUTE(SUBSTITUTE(UPPER(S2058)," ",""),":",": "))),0)),"Não encontrado")</f>
        <v>Não encontrado</v>
      </c>
      <c r="D2058" s="46" t="str" cm="1">
        <f t="array" ref="D2058">IFERROR(INDEX(#REF!,MATCH(TRUE,ISNUMBER(FIND(SUBSTITUTE(SUBSTITUTE(UPPER(#REF!)," ",""),":",": "),SUBSTITUTE(SUBSTITUTE(UPPER(S2058)," ",""),":",": "))),0)),"Não encontrado")</f>
        <v>Não encontrado</v>
      </c>
      <c r="E2058" s="42" t="str" cm="1">
        <f t="array" ref="E2058">IFERROR(INDEX({"IMPEDITIVO"},MATCH(TRUE,ISNUMBER(FIND(SUBSTITUTE(SUBSTITUTE(UPPER({"IMPEDITIVO"})," ",""),":",": "),SUBSTITUTE(SUBSTITUTE(UPPER(S2058)," ",""),":",": "))),0)),"-")</f>
        <v>-</v>
      </c>
      <c r="K2058" s="49"/>
    </row>
    <row r="2059" spans="1:11" x14ac:dyDescent="0.25">
      <c r="A2059" s="46" t="str" cm="1">
        <f t="array" ref="A2059">IFERROR(INDEX(#REF!,MATCH(TRUE,ISNUMBER(FIND(SUBSTITUTE(SUBSTITUTE(UPPER(#REF!)," ",""),":",": "),SUBSTITUTE(SUBSTITUTE(UPPER(S2059)," ",""),":",": "))),0)),"Undefined")</f>
        <v>Undefined</v>
      </c>
      <c r="B2059" s="42" t="str" cm="1">
        <f t="array" ref="B2059">IFERROR(INDEX({"URGENTE"},MATCH(TRUE,ISNUMBER(FIND(SUBSTITUTE(SUBSTITUTE(UPPER({"URGENTE"})," ",""),":",": "),SUBSTITUTE(SUBSTITUTE(UPPER(S2059)," ",""),":",": "))),0)),"-")</f>
        <v>-</v>
      </c>
      <c r="C2059" s="46" t="str" cm="1">
        <f t="array" ref="C2059">IFERROR(INDEX(#REF!,MATCH(TRUE,ISNUMBER(FIND(SUBSTITUTE(SUBSTITUTE(UPPER(#REF!)," ",""),":",": "),SUBSTITUTE(SUBSTITUTE(UPPER(S2059)," ",""),":",": "))),0)),"Não encontrado")</f>
        <v>Não encontrado</v>
      </c>
      <c r="D2059" s="46" t="str" cm="1">
        <f t="array" ref="D2059">IFERROR(INDEX(#REF!,MATCH(TRUE,ISNUMBER(FIND(SUBSTITUTE(SUBSTITUTE(UPPER(#REF!)," ",""),":",": "),SUBSTITUTE(SUBSTITUTE(UPPER(S2059)," ",""),":",": "))),0)),"Não encontrado")</f>
        <v>Não encontrado</v>
      </c>
      <c r="E2059" s="42" t="str" cm="1">
        <f t="array" ref="E2059">IFERROR(INDEX({"IMPEDITIVO"},MATCH(TRUE,ISNUMBER(FIND(SUBSTITUTE(SUBSTITUTE(UPPER({"IMPEDITIVO"})," ",""),":",": "),SUBSTITUTE(SUBSTITUTE(UPPER(S2059)," ",""),":",": "))),0)),"-")</f>
        <v>-</v>
      </c>
      <c r="K2059" s="49"/>
    </row>
    <row r="2060" spans="1:11" x14ac:dyDescent="0.25">
      <c r="A2060" s="46" t="str" cm="1">
        <f t="array" ref="A2060">IFERROR(INDEX(#REF!,MATCH(TRUE,ISNUMBER(FIND(SUBSTITUTE(SUBSTITUTE(UPPER(#REF!)," ",""),":",": "),SUBSTITUTE(SUBSTITUTE(UPPER(S2060)," ",""),":",": "))),0)),"Undefined")</f>
        <v>Undefined</v>
      </c>
      <c r="B2060" s="42" t="str" cm="1">
        <f t="array" ref="B2060">IFERROR(INDEX({"URGENTE"},MATCH(TRUE,ISNUMBER(FIND(SUBSTITUTE(SUBSTITUTE(UPPER({"URGENTE"})," ",""),":",": "),SUBSTITUTE(SUBSTITUTE(UPPER(S2060)," ",""),":",": "))),0)),"-")</f>
        <v>-</v>
      </c>
      <c r="C2060" s="46" t="str" cm="1">
        <f t="array" ref="C2060">IFERROR(INDEX(#REF!,MATCH(TRUE,ISNUMBER(FIND(SUBSTITUTE(SUBSTITUTE(UPPER(#REF!)," ",""),":",": "),SUBSTITUTE(SUBSTITUTE(UPPER(S2060)," ",""),":",": "))),0)),"Não encontrado")</f>
        <v>Não encontrado</v>
      </c>
      <c r="D2060" s="46" t="str" cm="1">
        <f t="array" ref="D2060">IFERROR(INDEX(#REF!,MATCH(TRUE,ISNUMBER(FIND(SUBSTITUTE(SUBSTITUTE(UPPER(#REF!)," ",""),":",": "),SUBSTITUTE(SUBSTITUTE(UPPER(S2060)," ",""),":",": "))),0)),"Não encontrado")</f>
        <v>Não encontrado</v>
      </c>
      <c r="E2060" s="42" t="str" cm="1">
        <f t="array" ref="E2060">IFERROR(INDEX({"IMPEDITIVO"},MATCH(TRUE,ISNUMBER(FIND(SUBSTITUTE(SUBSTITUTE(UPPER({"IMPEDITIVO"})," ",""),":",": "),SUBSTITUTE(SUBSTITUTE(UPPER(S2060)," ",""),":",": "))),0)),"-")</f>
        <v>-</v>
      </c>
      <c r="K2060" s="49"/>
    </row>
    <row r="2061" spans="1:11" x14ac:dyDescent="0.25">
      <c r="A2061" s="46" t="str" cm="1">
        <f t="array" ref="A2061">IFERROR(INDEX(#REF!,MATCH(TRUE,ISNUMBER(FIND(SUBSTITUTE(SUBSTITUTE(UPPER(#REF!)," ",""),":",": "),SUBSTITUTE(SUBSTITUTE(UPPER(S2061)," ",""),":",": "))),0)),"Undefined")</f>
        <v>Undefined</v>
      </c>
      <c r="B2061" s="42" t="str" cm="1">
        <f t="array" ref="B2061">IFERROR(INDEX({"URGENTE"},MATCH(TRUE,ISNUMBER(FIND(SUBSTITUTE(SUBSTITUTE(UPPER({"URGENTE"})," ",""),":",": "),SUBSTITUTE(SUBSTITUTE(UPPER(S2061)," ",""),":",": "))),0)),"-")</f>
        <v>-</v>
      </c>
      <c r="C2061" s="46" t="str" cm="1">
        <f t="array" ref="C2061">IFERROR(INDEX(#REF!,MATCH(TRUE,ISNUMBER(FIND(SUBSTITUTE(SUBSTITUTE(UPPER(#REF!)," ",""),":",": "),SUBSTITUTE(SUBSTITUTE(UPPER(S2061)," ",""),":",": "))),0)),"Não encontrado")</f>
        <v>Não encontrado</v>
      </c>
      <c r="D2061" s="46" t="str" cm="1">
        <f t="array" ref="D2061">IFERROR(INDEX(#REF!,MATCH(TRUE,ISNUMBER(FIND(SUBSTITUTE(SUBSTITUTE(UPPER(#REF!)," ",""),":",": "),SUBSTITUTE(SUBSTITUTE(UPPER(S2061)," ",""),":",": "))),0)),"Não encontrado")</f>
        <v>Não encontrado</v>
      </c>
      <c r="E2061" s="42" t="str" cm="1">
        <f t="array" ref="E2061">IFERROR(INDEX({"IMPEDITIVO"},MATCH(TRUE,ISNUMBER(FIND(SUBSTITUTE(SUBSTITUTE(UPPER({"IMPEDITIVO"})," ",""),":",": "),SUBSTITUTE(SUBSTITUTE(UPPER(S2061)," ",""),":",": "))),0)),"-")</f>
        <v>-</v>
      </c>
      <c r="K2061" s="49"/>
    </row>
    <row r="2062" spans="1:11" x14ac:dyDescent="0.25">
      <c r="A2062" s="46" t="str" cm="1">
        <f t="array" ref="A2062">IFERROR(INDEX(#REF!,MATCH(TRUE,ISNUMBER(FIND(SUBSTITUTE(SUBSTITUTE(UPPER(#REF!)," ",""),":",": "),SUBSTITUTE(SUBSTITUTE(UPPER(S2062)," ",""),":",": "))),0)),"Undefined")</f>
        <v>Undefined</v>
      </c>
      <c r="B2062" s="42" t="str" cm="1">
        <f t="array" ref="B2062">IFERROR(INDEX({"URGENTE"},MATCH(TRUE,ISNUMBER(FIND(SUBSTITUTE(SUBSTITUTE(UPPER({"URGENTE"})," ",""),":",": "),SUBSTITUTE(SUBSTITUTE(UPPER(S2062)," ",""),":",": "))),0)),"-")</f>
        <v>-</v>
      </c>
      <c r="C2062" s="46" t="str" cm="1">
        <f t="array" ref="C2062">IFERROR(INDEX(#REF!,MATCH(TRUE,ISNUMBER(FIND(SUBSTITUTE(SUBSTITUTE(UPPER(#REF!)," ",""),":",": "),SUBSTITUTE(SUBSTITUTE(UPPER(S2062)," ",""),":",": "))),0)),"Não encontrado")</f>
        <v>Não encontrado</v>
      </c>
      <c r="D2062" s="46" t="str" cm="1">
        <f t="array" ref="D2062">IFERROR(INDEX(#REF!,MATCH(TRUE,ISNUMBER(FIND(SUBSTITUTE(SUBSTITUTE(UPPER(#REF!)," ",""),":",": "),SUBSTITUTE(SUBSTITUTE(UPPER(S2062)," ",""),":",": "))),0)),"Não encontrado")</f>
        <v>Não encontrado</v>
      </c>
      <c r="E2062" s="42" t="str" cm="1">
        <f t="array" ref="E2062">IFERROR(INDEX({"IMPEDITIVO"},MATCH(TRUE,ISNUMBER(FIND(SUBSTITUTE(SUBSTITUTE(UPPER({"IMPEDITIVO"})," ",""),":",": "),SUBSTITUTE(SUBSTITUTE(UPPER(S2062)," ",""),":",": "))),0)),"-")</f>
        <v>-</v>
      </c>
      <c r="K2062" s="49"/>
    </row>
    <row r="2063" spans="1:11" x14ac:dyDescent="0.25">
      <c r="A2063" s="46" t="str" cm="1">
        <f t="array" ref="A2063">IFERROR(INDEX(#REF!,MATCH(TRUE,ISNUMBER(FIND(SUBSTITUTE(SUBSTITUTE(UPPER(#REF!)," ",""),":",": "),SUBSTITUTE(SUBSTITUTE(UPPER(S2063)," ",""),":",": "))),0)),"Undefined")</f>
        <v>Undefined</v>
      </c>
      <c r="B2063" s="42" t="str" cm="1">
        <f t="array" ref="B2063">IFERROR(INDEX({"URGENTE"},MATCH(TRUE,ISNUMBER(FIND(SUBSTITUTE(SUBSTITUTE(UPPER({"URGENTE"})," ",""),":",": "),SUBSTITUTE(SUBSTITUTE(UPPER(S2063)," ",""),":",": "))),0)),"-")</f>
        <v>-</v>
      </c>
      <c r="C2063" s="46" t="str" cm="1">
        <f t="array" ref="C2063">IFERROR(INDEX(#REF!,MATCH(TRUE,ISNUMBER(FIND(SUBSTITUTE(SUBSTITUTE(UPPER(#REF!)," ",""),":",": "),SUBSTITUTE(SUBSTITUTE(UPPER(S2063)," ",""),":",": "))),0)),"Não encontrado")</f>
        <v>Não encontrado</v>
      </c>
      <c r="D2063" s="46" t="str" cm="1">
        <f t="array" ref="D2063">IFERROR(INDEX(#REF!,MATCH(TRUE,ISNUMBER(FIND(SUBSTITUTE(SUBSTITUTE(UPPER(#REF!)," ",""),":",": "),SUBSTITUTE(SUBSTITUTE(UPPER(S2063)," ",""),":",": "))),0)),"Não encontrado")</f>
        <v>Não encontrado</v>
      </c>
      <c r="E2063" s="42" t="str" cm="1">
        <f t="array" ref="E2063">IFERROR(INDEX({"IMPEDITIVO"},MATCH(TRUE,ISNUMBER(FIND(SUBSTITUTE(SUBSTITUTE(UPPER({"IMPEDITIVO"})," ",""),":",": "),SUBSTITUTE(SUBSTITUTE(UPPER(S2063)," ",""),":",": "))),0)),"-")</f>
        <v>-</v>
      </c>
      <c r="K2063" s="49"/>
    </row>
    <row r="2064" spans="1:11" x14ac:dyDescent="0.25">
      <c r="A2064" s="46" t="str" cm="1">
        <f t="array" ref="A2064">IFERROR(INDEX(#REF!,MATCH(TRUE,ISNUMBER(FIND(SUBSTITUTE(SUBSTITUTE(UPPER(#REF!)," ",""),":",": "),SUBSTITUTE(SUBSTITUTE(UPPER(S2064)," ",""),":",": "))),0)),"Undefined")</f>
        <v>Undefined</v>
      </c>
      <c r="B2064" s="42" t="str" cm="1">
        <f t="array" ref="B2064">IFERROR(INDEX({"URGENTE"},MATCH(TRUE,ISNUMBER(FIND(SUBSTITUTE(SUBSTITUTE(UPPER({"URGENTE"})," ",""),":",": "),SUBSTITUTE(SUBSTITUTE(UPPER(S2064)," ",""),":",": "))),0)),"-")</f>
        <v>-</v>
      </c>
      <c r="C2064" s="46" t="str" cm="1">
        <f t="array" ref="C2064">IFERROR(INDEX(#REF!,MATCH(TRUE,ISNUMBER(FIND(SUBSTITUTE(SUBSTITUTE(UPPER(#REF!)," ",""),":",": "),SUBSTITUTE(SUBSTITUTE(UPPER(S2064)," ",""),":",": "))),0)),"Não encontrado")</f>
        <v>Não encontrado</v>
      </c>
      <c r="D2064" s="46" t="str" cm="1">
        <f t="array" ref="D2064">IFERROR(INDEX(#REF!,MATCH(TRUE,ISNUMBER(FIND(SUBSTITUTE(SUBSTITUTE(UPPER(#REF!)," ",""),":",": "),SUBSTITUTE(SUBSTITUTE(UPPER(S2064)," ",""),":",": "))),0)),"Não encontrado")</f>
        <v>Não encontrado</v>
      </c>
      <c r="E2064" s="42" t="str" cm="1">
        <f t="array" ref="E2064">IFERROR(INDEX({"IMPEDITIVO"},MATCH(TRUE,ISNUMBER(FIND(SUBSTITUTE(SUBSTITUTE(UPPER({"IMPEDITIVO"})," ",""),":",": "),SUBSTITUTE(SUBSTITUTE(UPPER(S2064)," ",""),":",": "))),0)),"-")</f>
        <v>-</v>
      </c>
      <c r="K2064" s="49"/>
    </row>
    <row r="2065" spans="1:11" x14ac:dyDescent="0.25">
      <c r="A2065" s="46" t="str" cm="1">
        <f t="array" ref="A2065">IFERROR(INDEX(#REF!,MATCH(TRUE,ISNUMBER(FIND(SUBSTITUTE(SUBSTITUTE(UPPER(#REF!)," ",""),":",": "),SUBSTITUTE(SUBSTITUTE(UPPER(S2065)," ",""),":",": "))),0)),"Undefined")</f>
        <v>Undefined</v>
      </c>
      <c r="B2065" s="42" t="str" cm="1">
        <f t="array" ref="B2065">IFERROR(INDEX({"URGENTE"},MATCH(TRUE,ISNUMBER(FIND(SUBSTITUTE(SUBSTITUTE(UPPER({"URGENTE"})," ",""),":",": "),SUBSTITUTE(SUBSTITUTE(UPPER(S2065)," ",""),":",": "))),0)),"-")</f>
        <v>-</v>
      </c>
      <c r="C2065" s="46" t="str" cm="1">
        <f t="array" ref="C2065">IFERROR(INDEX(#REF!,MATCH(TRUE,ISNUMBER(FIND(SUBSTITUTE(SUBSTITUTE(UPPER(#REF!)," ",""),":",": "),SUBSTITUTE(SUBSTITUTE(UPPER(S2065)," ",""),":",": "))),0)),"Não encontrado")</f>
        <v>Não encontrado</v>
      </c>
      <c r="D2065" s="46" t="str" cm="1">
        <f t="array" ref="D2065">IFERROR(INDEX(#REF!,MATCH(TRUE,ISNUMBER(FIND(SUBSTITUTE(SUBSTITUTE(UPPER(#REF!)," ",""),":",": "),SUBSTITUTE(SUBSTITUTE(UPPER(S2065)," ",""),":",": "))),0)),"Não encontrado")</f>
        <v>Não encontrado</v>
      </c>
      <c r="E2065" s="42" t="str" cm="1">
        <f t="array" ref="E2065">IFERROR(INDEX({"IMPEDITIVO"},MATCH(TRUE,ISNUMBER(FIND(SUBSTITUTE(SUBSTITUTE(UPPER({"IMPEDITIVO"})," ",""),":",": "),SUBSTITUTE(SUBSTITUTE(UPPER(S2065)," ",""),":",": "))),0)),"-")</f>
        <v>-</v>
      </c>
      <c r="K2065" s="49"/>
    </row>
    <row r="2066" spans="1:11" x14ac:dyDescent="0.25">
      <c r="A2066" s="46" t="str" cm="1">
        <f t="array" ref="A2066">IFERROR(INDEX(#REF!,MATCH(TRUE,ISNUMBER(FIND(SUBSTITUTE(SUBSTITUTE(UPPER(#REF!)," ",""),":",": "),SUBSTITUTE(SUBSTITUTE(UPPER(S2066)," ",""),":",": "))),0)),"Undefined")</f>
        <v>Undefined</v>
      </c>
      <c r="B2066" s="42" t="str" cm="1">
        <f t="array" ref="B2066">IFERROR(INDEX({"URGENTE"},MATCH(TRUE,ISNUMBER(FIND(SUBSTITUTE(SUBSTITUTE(UPPER({"URGENTE"})," ",""),":",": "),SUBSTITUTE(SUBSTITUTE(UPPER(S2066)," ",""),":",": "))),0)),"-")</f>
        <v>-</v>
      </c>
      <c r="C2066" s="46" t="str" cm="1">
        <f t="array" ref="C2066">IFERROR(INDEX(#REF!,MATCH(TRUE,ISNUMBER(FIND(SUBSTITUTE(SUBSTITUTE(UPPER(#REF!)," ",""),":",": "),SUBSTITUTE(SUBSTITUTE(UPPER(S2066)," ",""),":",": "))),0)),"Não encontrado")</f>
        <v>Não encontrado</v>
      </c>
      <c r="D2066" s="46" t="str" cm="1">
        <f t="array" ref="D2066">IFERROR(INDEX(#REF!,MATCH(TRUE,ISNUMBER(FIND(SUBSTITUTE(SUBSTITUTE(UPPER(#REF!)," ",""),":",": "),SUBSTITUTE(SUBSTITUTE(UPPER(S2066)," ",""),":",": "))),0)),"Não encontrado")</f>
        <v>Não encontrado</v>
      </c>
      <c r="E2066" s="42" t="str" cm="1">
        <f t="array" ref="E2066">IFERROR(INDEX({"IMPEDITIVO"},MATCH(TRUE,ISNUMBER(FIND(SUBSTITUTE(SUBSTITUTE(UPPER({"IMPEDITIVO"})," ",""),":",": "),SUBSTITUTE(SUBSTITUTE(UPPER(S2066)," ",""),":",": "))),0)),"-")</f>
        <v>-</v>
      </c>
      <c r="K2066" s="49"/>
    </row>
    <row r="2067" spans="1:11" x14ac:dyDescent="0.25">
      <c r="A2067" s="46" t="str" cm="1">
        <f t="array" ref="A2067">IFERROR(INDEX(#REF!,MATCH(TRUE,ISNUMBER(FIND(SUBSTITUTE(SUBSTITUTE(UPPER(#REF!)," ",""),":",": "),SUBSTITUTE(SUBSTITUTE(UPPER(S2067)," ",""),":",": "))),0)),"Undefined")</f>
        <v>Undefined</v>
      </c>
      <c r="B2067" s="42" t="str" cm="1">
        <f t="array" ref="B2067">IFERROR(INDEX({"URGENTE"},MATCH(TRUE,ISNUMBER(FIND(SUBSTITUTE(SUBSTITUTE(UPPER({"URGENTE"})," ",""),":",": "),SUBSTITUTE(SUBSTITUTE(UPPER(S2067)," ",""),":",": "))),0)),"-")</f>
        <v>-</v>
      </c>
      <c r="C2067" s="46" t="str" cm="1">
        <f t="array" ref="C2067">IFERROR(INDEX(#REF!,MATCH(TRUE,ISNUMBER(FIND(SUBSTITUTE(SUBSTITUTE(UPPER(#REF!)," ",""),":",": "),SUBSTITUTE(SUBSTITUTE(UPPER(S2067)," ",""),":",": "))),0)),"Não encontrado")</f>
        <v>Não encontrado</v>
      </c>
      <c r="D2067" s="46" t="str" cm="1">
        <f t="array" ref="D2067">IFERROR(INDEX(#REF!,MATCH(TRUE,ISNUMBER(FIND(SUBSTITUTE(SUBSTITUTE(UPPER(#REF!)," ",""),":",": "),SUBSTITUTE(SUBSTITUTE(UPPER(S2067)," ",""),":",": "))),0)),"Não encontrado")</f>
        <v>Não encontrado</v>
      </c>
      <c r="E2067" s="42" t="str" cm="1">
        <f t="array" ref="E2067">IFERROR(INDEX({"IMPEDITIVO"},MATCH(TRUE,ISNUMBER(FIND(SUBSTITUTE(SUBSTITUTE(UPPER({"IMPEDITIVO"})," ",""),":",": "),SUBSTITUTE(SUBSTITUTE(UPPER(S2067)," ",""),":",": "))),0)),"-")</f>
        <v>-</v>
      </c>
      <c r="K2067" s="49"/>
    </row>
    <row r="2068" spans="1:11" x14ac:dyDescent="0.25">
      <c r="A2068" s="46" t="str" cm="1">
        <f t="array" ref="A2068">IFERROR(INDEX(#REF!,MATCH(TRUE,ISNUMBER(FIND(SUBSTITUTE(SUBSTITUTE(UPPER(#REF!)," ",""),":",": "),SUBSTITUTE(SUBSTITUTE(UPPER(S2068)," ",""),":",": "))),0)),"Undefined")</f>
        <v>Undefined</v>
      </c>
      <c r="B2068" s="42" t="str" cm="1">
        <f t="array" ref="B2068">IFERROR(INDEX({"URGENTE"},MATCH(TRUE,ISNUMBER(FIND(SUBSTITUTE(SUBSTITUTE(UPPER({"URGENTE"})," ",""),":",": "),SUBSTITUTE(SUBSTITUTE(UPPER(S2068)," ",""),":",": "))),0)),"-")</f>
        <v>-</v>
      </c>
      <c r="C2068" s="46" t="str" cm="1">
        <f t="array" ref="C2068">IFERROR(INDEX(#REF!,MATCH(TRUE,ISNUMBER(FIND(SUBSTITUTE(SUBSTITUTE(UPPER(#REF!)," ",""),":",": "),SUBSTITUTE(SUBSTITUTE(UPPER(S2068)," ",""),":",": "))),0)),"Não encontrado")</f>
        <v>Não encontrado</v>
      </c>
      <c r="D2068" s="46" t="str" cm="1">
        <f t="array" ref="D2068">IFERROR(INDEX(#REF!,MATCH(TRUE,ISNUMBER(FIND(SUBSTITUTE(SUBSTITUTE(UPPER(#REF!)," ",""),":",": "),SUBSTITUTE(SUBSTITUTE(UPPER(S2068)," ",""),":",": "))),0)),"Não encontrado")</f>
        <v>Não encontrado</v>
      </c>
      <c r="E2068" s="42" t="str" cm="1">
        <f t="array" ref="E2068">IFERROR(INDEX({"IMPEDITIVO"},MATCH(TRUE,ISNUMBER(FIND(SUBSTITUTE(SUBSTITUTE(UPPER({"IMPEDITIVO"})," ",""),":",": "),SUBSTITUTE(SUBSTITUTE(UPPER(S2068)," ",""),":",": "))),0)),"-")</f>
        <v>-</v>
      </c>
      <c r="K2068" s="49"/>
    </row>
    <row r="2069" spans="1:11" x14ac:dyDescent="0.25">
      <c r="A2069" s="46" t="str" cm="1">
        <f t="array" ref="A2069">IFERROR(INDEX(#REF!,MATCH(TRUE,ISNUMBER(FIND(SUBSTITUTE(SUBSTITUTE(UPPER(#REF!)," ",""),":",": "),SUBSTITUTE(SUBSTITUTE(UPPER(S2069)," ",""),":",": "))),0)),"Undefined")</f>
        <v>Undefined</v>
      </c>
      <c r="B2069" s="42" t="str" cm="1">
        <f t="array" ref="B2069">IFERROR(INDEX({"URGENTE"},MATCH(TRUE,ISNUMBER(FIND(SUBSTITUTE(SUBSTITUTE(UPPER({"URGENTE"})," ",""),":",": "),SUBSTITUTE(SUBSTITUTE(UPPER(S2069)," ",""),":",": "))),0)),"-")</f>
        <v>-</v>
      </c>
      <c r="C2069" s="46" t="str" cm="1">
        <f t="array" ref="C2069">IFERROR(INDEX(#REF!,MATCH(TRUE,ISNUMBER(FIND(SUBSTITUTE(SUBSTITUTE(UPPER(#REF!)," ",""),":",": "),SUBSTITUTE(SUBSTITUTE(UPPER(S2069)," ",""),":",": "))),0)),"Não encontrado")</f>
        <v>Não encontrado</v>
      </c>
      <c r="D2069" s="46" t="str" cm="1">
        <f t="array" ref="D2069">IFERROR(INDEX(#REF!,MATCH(TRUE,ISNUMBER(FIND(SUBSTITUTE(SUBSTITUTE(UPPER(#REF!)," ",""),":",": "),SUBSTITUTE(SUBSTITUTE(UPPER(S2069)," ",""),":",": "))),0)),"Não encontrado")</f>
        <v>Não encontrado</v>
      </c>
      <c r="E2069" s="42" t="str" cm="1">
        <f t="array" ref="E2069">IFERROR(INDEX({"IMPEDITIVO"},MATCH(TRUE,ISNUMBER(FIND(SUBSTITUTE(SUBSTITUTE(UPPER({"IMPEDITIVO"})," ",""),":",": "),SUBSTITUTE(SUBSTITUTE(UPPER(S2069)," ",""),":",": "))),0)),"-")</f>
        <v>-</v>
      </c>
      <c r="K2069" s="49"/>
    </row>
    <row r="2070" spans="1:11" x14ac:dyDescent="0.25">
      <c r="A2070" s="46" t="str" cm="1">
        <f t="array" ref="A2070">IFERROR(INDEX(#REF!,MATCH(TRUE,ISNUMBER(FIND(SUBSTITUTE(SUBSTITUTE(UPPER(#REF!)," ",""),":",": "),SUBSTITUTE(SUBSTITUTE(UPPER(S2070)," ",""),":",": "))),0)),"Undefined")</f>
        <v>Undefined</v>
      </c>
      <c r="B2070" s="42" t="str" cm="1">
        <f t="array" ref="B2070">IFERROR(INDEX({"URGENTE"},MATCH(TRUE,ISNUMBER(FIND(SUBSTITUTE(SUBSTITUTE(UPPER({"URGENTE"})," ",""),":",": "),SUBSTITUTE(SUBSTITUTE(UPPER(S2070)," ",""),":",": "))),0)),"-")</f>
        <v>-</v>
      </c>
      <c r="C2070" s="46" t="str" cm="1">
        <f t="array" ref="C2070">IFERROR(INDEX(#REF!,MATCH(TRUE,ISNUMBER(FIND(SUBSTITUTE(SUBSTITUTE(UPPER(#REF!)," ",""),":",": "),SUBSTITUTE(SUBSTITUTE(UPPER(S2070)," ",""),":",": "))),0)),"Não encontrado")</f>
        <v>Não encontrado</v>
      </c>
      <c r="D2070" s="46" t="str" cm="1">
        <f t="array" ref="D2070">IFERROR(INDEX(#REF!,MATCH(TRUE,ISNUMBER(FIND(SUBSTITUTE(SUBSTITUTE(UPPER(#REF!)," ",""),":",": "),SUBSTITUTE(SUBSTITUTE(UPPER(S2070)," ",""),":",": "))),0)),"Não encontrado")</f>
        <v>Não encontrado</v>
      </c>
      <c r="E2070" s="42" t="str" cm="1">
        <f t="array" ref="E2070">IFERROR(INDEX({"IMPEDITIVO"},MATCH(TRUE,ISNUMBER(FIND(SUBSTITUTE(SUBSTITUTE(UPPER({"IMPEDITIVO"})," ",""),":",": "),SUBSTITUTE(SUBSTITUTE(UPPER(S2070)," ",""),":",": "))),0)),"-")</f>
        <v>-</v>
      </c>
      <c r="K2070" s="49"/>
    </row>
    <row r="2071" spans="1:11" x14ac:dyDescent="0.25">
      <c r="A2071" s="46" t="str" cm="1">
        <f t="array" ref="A2071">IFERROR(INDEX(#REF!,MATCH(TRUE,ISNUMBER(FIND(SUBSTITUTE(SUBSTITUTE(UPPER(#REF!)," ",""),":",": "),SUBSTITUTE(SUBSTITUTE(UPPER(S2071)," ",""),":",": "))),0)),"Undefined")</f>
        <v>Undefined</v>
      </c>
      <c r="B2071" s="42" t="str" cm="1">
        <f t="array" ref="B2071">IFERROR(INDEX({"URGENTE"},MATCH(TRUE,ISNUMBER(FIND(SUBSTITUTE(SUBSTITUTE(UPPER({"URGENTE"})," ",""),":",": "),SUBSTITUTE(SUBSTITUTE(UPPER(S2071)," ",""),":",": "))),0)),"-")</f>
        <v>-</v>
      </c>
      <c r="C2071" s="46" t="str" cm="1">
        <f t="array" ref="C2071">IFERROR(INDEX(#REF!,MATCH(TRUE,ISNUMBER(FIND(SUBSTITUTE(SUBSTITUTE(UPPER(#REF!)," ",""),":",": "),SUBSTITUTE(SUBSTITUTE(UPPER(S2071)," ",""),":",": "))),0)),"Não encontrado")</f>
        <v>Não encontrado</v>
      </c>
      <c r="D2071" s="46" t="str" cm="1">
        <f t="array" ref="D2071">IFERROR(INDEX(#REF!,MATCH(TRUE,ISNUMBER(FIND(SUBSTITUTE(SUBSTITUTE(UPPER(#REF!)," ",""),":",": "),SUBSTITUTE(SUBSTITUTE(UPPER(S2071)," ",""),":",": "))),0)),"Não encontrado")</f>
        <v>Não encontrado</v>
      </c>
      <c r="E2071" s="42" t="str" cm="1">
        <f t="array" ref="E2071">IFERROR(INDEX({"IMPEDITIVO"},MATCH(TRUE,ISNUMBER(FIND(SUBSTITUTE(SUBSTITUTE(UPPER({"IMPEDITIVO"})," ",""),":",": "),SUBSTITUTE(SUBSTITUTE(UPPER(S2071)," ",""),":",": "))),0)),"-")</f>
        <v>-</v>
      </c>
      <c r="K2071" s="49"/>
    </row>
    <row r="2072" spans="1:11" x14ac:dyDescent="0.25">
      <c r="A2072" s="46" t="str" cm="1">
        <f t="array" ref="A2072">IFERROR(INDEX(#REF!,MATCH(TRUE,ISNUMBER(FIND(SUBSTITUTE(SUBSTITUTE(UPPER(#REF!)," ",""),":",": "),SUBSTITUTE(SUBSTITUTE(UPPER(S2072)," ",""),":",": "))),0)),"Undefined")</f>
        <v>Undefined</v>
      </c>
      <c r="B2072" s="42" t="str" cm="1">
        <f t="array" ref="B2072">IFERROR(INDEX({"URGENTE"},MATCH(TRUE,ISNUMBER(FIND(SUBSTITUTE(SUBSTITUTE(UPPER({"URGENTE"})," ",""),":",": "),SUBSTITUTE(SUBSTITUTE(UPPER(S2072)," ",""),":",": "))),0)),"-")</f>
        <v>-</v>
      </c>
      <c r="C2072" s="46" t="str" cm="1">
        <f t="array" ref="C2072">IFERROR(INDEX(#REF!,MATCH(TRUE,ISNUMBER(FIND(SUBSTITUTE(SUBSTITUTE(UPPER(#REF!)," ",""),":",": "),SUBSTITUTE(SUBSTITUTE(UPPER(S2072)," ",""),":",": "))),0)),"Não encontrado")</f>
        <v>Não encontrado</v>
      </c>
      <c r="D2072" s="46" t="str" cm="1">
        <f t="array" ref="D2072">IFERROR(INDEX(#REF!,MATCH(TRUE,ISNUMBER(FIND(SUBSTITUTE(SUBSTITUTE(UPPER(#REF!)," ",""),":",": "),SUBSTITUTE(SUBSTITUTE(UPPER(S2072)," ",""),":",": "))),0)),"Não encontrado")</f>
        <v>Não encontrado</v>
      </c>
      <c r="E2072" s="42" t="str" cm="1">
        <f t="array" ref="E2072">IFERROR(INDEX({"IMPEDITIVO"},MATCH(TRUE,ISNUMBER(FIND(SUBSTITUTE(SUBSTITUTE(UPPER({"IMPEDITIVO"})," ",""),":",": "),SUBSTITUTE(SUBSTITUTE(UPPER(S2072)," ",""),":",": "))),0)),"-")</f>
        <v>-</v>
      </c>
      <c r="K2072" s="49"/>
    </row>
    <row r="2073" spans="1:11" x14ac:dyDescent="0.25">
      <c r="A2073" s="46" t="str" cm="1">
        <f t="array" ref="A2073">IFERROR(INDEX(#REF!,MATCH(TRUE,ISNUMBER(FIND(SUBSTITUTE(SUBSTITUTE(UPPER(#REF!)," ",""),":",": "),SUBSTITUTE(SUBSTITUTE(UPPER(S2073)," ",""),":",": "))),0)),"Undefined")</f>
        <v>Undefined</v>
      </c>
      <c r="B2073" s="42" t="str" cm="1">
        <f t="array" ref="B2073">IFERROR(INDEX({"URGENTE"},MATCH(TRUE,ISNUMBER(FIND(SUBSTITUTE(SUBSTITUTE(UPPER({"URGENTE"})," ",""),":",": "),SUBSTITUTE(SUBSTITUTE(UPPER(S2073)," ",""),":",": "))),0)),"-")</f>
        <v>-</v>
      </c>
      <c r="C2073" s="46" t="str" cm="1">
        <f t="array" ref="C2073">IFERROR(INDEX(#REF!,MATCH(TRUE,ISNUMBER(FIND(SUBSTITUTE(SUBSTITUTE(UPPER(#REF!)," ",""),":",": "),SUBSTITUTE(SUBSTITUTE(UPPER(S2073)," ",""),":",": "))),0)),"Não encontrado")</f>
        <v>Não encontrado</v>
      </c>
      <c r="D2073" s="46" t="str" cm="1">
        <f t="array" ref="D2073">IFERROR(INDEX(#REF!,MATCH(TRUE,ISNUMBER(FIND(SUBSTITUTE(SUBSTITUTE(UPPER(#REF!)," ",""),":",": "),SUBSTITUTE(SUBSTITUTE(UPPER(S2073)," ",""),":",": "))),0)),"Não encontrado")</f>
        <v>Não encontrado</v>
      </c>
      <c r="E2073" s="42" t="str" cm="1">
        <f t="array" ref="E2073">IFERROR(INDEX({"IMPEDITIVO"},MATCH(TRUE,ISNUMBER(FIND(SUBSTITUTE(SUBSTITUTE(UPPER({"IMPEDITIVO"})," ",""),":",": "),SUBSTITUTE(SUBSTITUTE(UPPER(S2073)," ",""),":",": "))),0)),"-")</f>
        <v>-</v>
      </c>
      <c r="K2073" s="49"/>
    </row>
    <row r="2074" spans="1:11" x14ac:dyDescent="0.25">
      <c r="A2074" s="46" t="str" cm="1">
        <f t="array" ref="A2074">IFERROR(INDEX(#REF!,MATCH(TRUE,ISNUMBER(FIND(SUBSTITUTE(SUBSTITUTE(UPPER(#REF!)," ",""),":",": "),SUBSTITUTE(SUBSTITUTE(UPPER(S2074)," ",""),":",": "))),0)),"Undefined")</f>
        <v>Undefined</v>
      </c>
      <c r="B2074" s="42" t="str" cm="1">
        <f t="array" ref="B2074">IFERROR(INDEX({"URGENTE"},MATCH(TRUE,ISNUMBER(FIND(SUBSTITUTE(SUBSTITUTE(UPPER({"URGENTE"})," ",""),":",": "),SUBSTITUTE(SUBSTITUTE(UPPER(S2074)," ",""),":",": "))),0)),"-")</f>
        <v>-</v>
      </c>
      <c r="C2074" s="46" t="str" cm="1">
        <f t="array" ref="C2074">IFERROR(INDEX(#REF!,MATCH(TRUE,ISNUMBER(FIND(SUBSTITUTE(SUBSTITUTE(UPPER(#REF!)," ",""),":",": "),SUBSTITUTE(SUBSTITUTE(UPPER(S2074)," ",""),":",": "))),0)),"Não encontrado")</f>
        <v>Não encontrado</v>
      </c>
      <c r="D2074" s="46" t="str" cm="1">
        <f t="array" ref="D2074">IFERROR(INDEX(#REF!,MATCH(TRUE,ISNUMBER(FIND(SUBSTITUTE(SUBSTITUTE(UPPER(#REF!)," ",""),":",": "),SUBSTITUTE(SUBSTITUTE(UPPER(S2074)," ",""),":",": "))),0)),"Não encontrado")</f>
        <v>Não encontrado</v>
      </c>
      <c r="E2074" s="42" t="str" cm="1">
        <f t="array" ref="E2074">IFERROR(INDEX({"IMPEDITIVO"},MATCH(TRUE,ISNUMBER(FIND(SUBSTITUTE(SUBSTITUTE(UPPER({"IMPEDITIVO"})," ",""),":",": "),SUBSTITUTE(SUBSTITUTE(UPPER(S2074)," ",""),":",": "))),0)),"-")</f>
        <v>-</v>
      </c>
      <c r="K2074" s="49"/>
    </row>
    <row r="2075" spans="1:11" x14ac:dyDescent="0.25">
      <c r="A2075" s="46" t="str" cm="1">
        <f t="array" ref="A2075">IFERROR(INDEX(#REF!,MATCH(TRUE,ISNUMBER(FIND(SUBSTITUTE(SUBSTITUTE(UPPER(#REF!)," ",""),":",": "),SUBSTITUTE(SUBSTITUTE(UPPER(S2075)," ",""),":",": "))),0)),"Undefined")</f>
        <v>Undefined</v>
      </c>
      <c r="B2075" s="42" t="str" cm="1">
        <f t="array" ref="B2075">IFERROR(INDEX({"URGENTE"},MATCH(TRUE,ISNUMBER(FIND(SUBSTITUTE(SUBSTITUTE(UPPER({"URGENTE"})," ",""),":",": "),SUBSTITUTE(SUBSTITUTE(UPPER(S2075)," ",""),":",": "))),0)),"-")</f>
        <v>-</v>
      </c>
      <c r="C2075" s="46" t="str" cm="1">
        <f t="array" ref="C2075">IFERROR(INDEX(#REF!,MATCH(TRUE,ISNUMBER(FIND(SUBSTITUTE(SUBSTITUTE(UPPER(#REF!)," ",""),":",": "),SUBSTITUTE(SUBSTITUTE(UPPER(S2075)," ",""),":",": "))),0)),"Não encontrado")</f>
        <v>Não encontrado</v>
      </c>
      <c r="D2075" s="46" t="str" cm="1">
        <f t="array" ref="D2075">IFERROR(INDEX(#REF!,MATCH(TRUE,ISNUMBER(FIND(SUBSTITUTE(SUBSTITUTE(UPPER(#REF!)," ",""),":",": "),SUBSTITUTE(SUBSTITUTE(UPPER(S2075)," ",""),":",": "))),0)),"Não encontrado")</f>
        <v>Não encontrado</v>
      </c>
      <c r="E2075" s="42" t="str" cm="1">
        <f t="array" ref="E2075">IFERROR(INDEX({"IMPEDITIVO"},MATCH(TRUE,ISNUMBER(FIND(SUBSTITUTE(SUBSTITUTE(UPPER({"IMPEDITIVO"})," ",""),":",": "),SUBSTITUTE(SUBSTITUTE(UPPER(S2075)," ",""),":",": "))),0)),"-")</f>
        <v>-</v>
      </c>
      <c r="K2075" s="49"/>
    </row>
    <row r="2076" spans="1:11" x14ac:dyDescent="0.25">
      <c r="A2076" s="46" t="str" cm="1">
        <f t="array" ref="A2076">IFERROR(INDEX(#REF!,MATCH(TRUE,ISNUMBER(FIND(SUBSTITUTE(SUBSTITUTE(UPPER(#REF!)," ",""),":",": "),SUBSTITUTE(SUBSTITUTE(UPPER(S2076)," ",""),":",": "))),0)),"Undefined")</f>
        <v>Undefined</v>
      </c>
      <c r="B2076" s="42" t="str" cm="1">
        <f t="array" ref="B2076">IFERROR(INDEX({"URGENTE"},MATCH(TRUE,ISNUMBER(FIND(SUBSTITUTE(SUBSTITUTE(UPPER({"URGENTE"})," ",""),":",": "),SUBSTITUTE(SUBSTITUTE(UPPER(S2076)," ",""),":",": "))),0)),"-")</f>
        <v>-</v>
      </c>
      <c r="C2076" s="46" t="str" cm="1">
        <f t="array" ref="C2076">IFERROR(INDEX(#REF!,MATCH(TRUE,ISNUMBER(FIND(SUBSTITUTE(SUBSTITUTE(UPPER(#REF!)," ",""),":",": "),SUBSTITUTE(SUBSTITUTE(UPPER(S2076)," ",""),":",": "))),0)),"Não encontrado")</f>
        <v>Não encontrado</v>
      </c>
      <c r="D2076" s="46" t="str" cm="1">
        <f t="array" ref="D2076">IFERROR(INDEX(#REF!,MATCH(TRUE,ISNUMBER(FIND(SUBSTITUTE(SUBSTITUTE(UPPER(#REF!)," ",""),":",": "),SUBSTITUTE(SUBSTITUTE(UPPER(S2076)," ",""),":",": "))),0)),"Não encontrado")</f>
        <v>Não encontrado</v>
      </c>
      <c r="E2076" s="42" t="str" cm="1">
        <f t="array" ref="E2076">IFERROR(INDEX({"IMPEDITIVO"},MATCH(TRUE,ISNUMBER(FIND(SUBSTITUTE(SUBSTITUTE(UPPER({"IMPEDITIVO"})," ",""),":",": "),SUBSTITUTE(SUBSTITUTE(UPPER(S2076)," ",""),":",": "))),0)),"-")</f>
        <v>-</v>
      </c>
      <c r="K2076" s="49"/>
    </row>
    <row r="2077" spans="1:11" x14ac:dyDescent="0.25">
      <c r="A2077" s="46" t="str" cm="1">
        <f t="array" ref="A2077">IFERROR(INDEX(#REF!,MATCH(TRUE,ISNUMBER(FIND(SUBSTITUTE(SUBSTITUTE(UPPER(#REF!)," ",""),":",": "),SUBSTITUTE(SUBSTITUTE(UPPER(S2077)," ",""),":",": "))),0)),"Undefined")</f>
        <v>Undefined</v>
      </c>
      <c r="B2077" s="42" t="str" cm="1">
        <f t="array" ref="B2077">IFERROR(INDEX({"URGENTE"},MATCH(TRUE,ISNUMBER(FIND(SUBSTITUTE(SUBSTITUTE(UPPER({"URGENTE"})," ",""),":",": "),SUBSTITUTE(SUBSTITUTE(UPPER(S2077)," ",""),":",": "))),0)),"-")</f>
        <v>-</v>
      </c>
      <c r="C2077" s="46" t="str" cm="1">
        <f t="array" ref="C2077">IFERROR(INDEX(#REF!,MATCH(TRUE,ISNUMBER(FIND(SUBSTITUTE(SUBSTITUTE(UPPER(#REF!)," ",""),":",": "),SUBSTITUTE(SUBSTITUTE(UPPER(S2077)," ",""),":",": "))),0)),"Não encontrado")</f>
        <v>Não encontrado</v>
      </c>
      <c r="D2077" s="46" t="str" cm="1">
        <f t="array" ref="D2077">IFERROR(INDEX(#REF!,MATCH(TRUE,ISNUMBER(FIND(SUBSTITUTE(SUBSTITUTE(UPPER(#REF!)," ",""),":",": "),SUBSTITUTE(SUBSTITUTE(UPPER(S2077)," ",""),":",": "))),0)),"Não encontrado")</f>
        <v>Não encontrado</v>
      </c>
      <c r="E2077" s="42" t="str" cm="1">
        <f t="array" ref="E2077">IFERROR(INDEX({"IMPEDITIVO"},MATCH(TRUE,ISNUMBER(FIND(SUBSTITUTE(SUBSTITUTE(UPPER({"IMPEDITIVO"})," ",""),":",": "),SUBSTITUTE(SUBSTITUTE(UPPER(S2077)," ",""),":",": "))),0)),"-")</f>
        <v>-</v>
      </c>
      <c r="K2077" s="49"/>
    </row>
    <row r="2078" spans="1:11" x14ac:dyDescent="0.25">
      <c r="A2078" s="46" t="str" cm="1">
        <f t="array" ref="A2078">IFERROR(INDEX(#REF!,MATCH(TRUE,ISNUMBER(FIND(SUBSTITUTE(SUBSTITUTE(UPPER(#REF!)," ",""),":",": "),SUBSTITUTE(SUBSTITUTE(UPPER(S2078)," ",""),":",": "))),0)),"Undefined")</f>
        <v>Undefined</v>
      </c>
      <c r="B2078" s="42" t="str" cm="1">
        <f t="array" ref="B2078">IFERROR(INDEX({"URGENTE"},MATCH(TRUE,ISNUMBER(FIND(SUBSTITUTE(SUBSTITUTE(UPPER({"URGENTE"})," ",""),":",": "),SUBSTITUTE(SUBSTITUTE(UPPER(S2078)," ",""),":",": "))),0)),"-")</f>
        <v>-</v>
      </c>
      <c r="C2078" s="46" t="str" cm="1">
        <f t="array" ref="C2078">IFERROR(INDEX(#REF!,MATCH(TRUE,ISNUMBER(FIND(SUBSTITUTE(SUBSTITUTE(UPPER(#REF!)," ",""),":",": "),SUBSTITUTE(SUBSTITUTE(UPPER(S2078)," ",""),":",": "))),0)),"Não encontrado")</f>
        <v>Não encontrado</v>
      </c>
      <c r="D2078" s="46" t="str" cm="1">
        <f t="array" ref="D2078">IFERROR(INDEX(#REF!,MATCH(TRUE,ISNUMBER(FIND(SUBSTITUTE(SUBSTITUTE(UPPER(#REF!)," ",""),":",": "),SUBSTITUTE(SUBSTITUTE(UPPER(S2078)," ",""),":",": "))),0)),"Não encontrado")</f>
        <v>Não encontrado</v>
      </c>
      <c r="E2078" s="42" t="str" cm="1">
        <f t="array" ref="E2078">IFERROR(INDEX({"IMPEDITIVO"},MATCH(TRUE,ISNUMBER(FIND(SUBSTITUTE(SUBSTITUTE(UPPER({"IMPEDITIVO"})," ",""),":",": "),SUBSTITUTE(SUBSTITUTE(UPPER(S2078)," ",""),":",": "))),0)),"-")</f>
        <v>-</v>
      </c>
      <c r="K2078" s="49"/>
    </row>
    <row r="2079" spans="1:11" x14ac:dyDescent="0.25">
      <c r="A2079" s="46" t="str" cm="1">
        <f t="array" ref="A2079">IFERROR(INDEX(#REF!,MATCH(TRUE,ISNUMBER(FIND(SUBSTITUTE(SUBSTITUTE(UPPER(#REF!)," ",""),":",": "),SUBSTITUTE(SUBSTITUTE(UPPER(S2079)," ",""),":",": "))),0)),"Undefined")</f>
        <v>Undefined</v>
      </c>
      <c r="B2079" s="42" t="str" cm="1">
        <f t="array" ref="B2079">IFERROR(INDEX({"URGENTE"},MATCH(TRUE,ISNUMBER(FIND(SUBSTITUTE(SUBSTITUTE(UPPER({"URGENTE"})," ",""),":",": "),SUBSTITUTE(SUBSTITUTE(UPPER(S2079)," ",""),":",": "))),0)),"-")</f>
        <v>-</v>
      </c>
      <c r="C2079" s="46" t="str" cm="1">
        <f t="array" ref="C2079">IFERROR(INDEX(#REF!,MATCH(TRUE,ISNUMBER(FIND(SUBSTITUTE(SUBSTITUTE(UPPER(#REF!)," ",""),":",": "),SUBSTITUTE(SUBSTITUTE(UPPER(S2079)," ",""),":",": "))),0)),"Não encontrado")</f>
        <v>Não encontrado</v>
      </c>
      <c r="D2079" s="46" t="str" cm="1">
        <f t="array" ref="D2079">IFERROR(INDEX(#REF!,MATCH(TRUE,ISNUMBER(FIND(SUBSTITUTE(SUBSTITUTE(UPPER(#REF!)," ",""),":",": "),SUBSTITUTE(SUBSTITUTE(UPPER(S2079)," ",""),":",": "))),0)),"Não encontrado")</f>
        <v>Não encontrado</v>
      </c>
      <c r="E2079" s="42" t="str" cm="1">
        <f t="array" ref="E2079">IFERROR(INDEX({"IMPEDITIVO"},MATCH(TRUE,ISNUMBER(FIND(SUBSTITUTE(SUBSTITUTE(UPPER({"IMPEDITIVO"})," ",""),":",": "),SUBSTITUTE(SUBSTITUTE(UPPER(S2079)," ",""),":",": "))),0)),"-")</f>
        <v>-</v>
      </c>
      <c r="K2079" s="49"/>
    </row>
    <row r="2080" spans="1:11" x14ac:dyDescent="0.25">
      <c r="A2080" s="46" t="str" cm="1">
        <f t="array" ref="A2080">IFERROR(INDEX(#REF!,MATCH(TRUE,ISNUMBER(FIND(SUBSTITUTE(SUBSTITUTE(UPPER(#REF!)," ",""),":",": "),SUBSTITUTE(SUBSTITUTE(UPPER(S2080)," ",""),":",": "))),0)),"Undefined")</f>
        <v>Undefined</v>
      </c>
      <c r="B2080" s="42" t="str" cm="1">
        <f t="array" ref="B2080">IFERROR(INDEX({"URGENTE"},MATCH(TRUE,ISNUMBER(FIND(SUBSTITUTE(SUBSTITUTE(UPPER({"URGENTE"})," ",""),":",": "),SUBSTITUTE(SUBSTITUTE(UPPER(S2080)," ",""),":",": "))),0)),"-")</f>
        <v>-</v>
      </c>
      <c r="C2080" s="46" t="str" cm="1">
        <f t="array" ref="C2080">IFERROR(INDEX(#REF!,MATCH(TRUE,ISNUMBER(FIND(SUBSTITUTE(SUBSTITUTE(UPPER(#REF!)," ",""),":",": "),SUBSTITUTE(SUBSTITUTE(UPPER(S2080)," ",""),":",": "))),0)),"Não encontrado")</f>
        <v>Não encontrado</v>
      </c>
      <c r="D2080" s="46" t="str" cm="1">
        <f t="array" ref="D2080">IFERROR(INDEX(#REF!,MATCH(TRUE,ISNUMBER(FIND(SUBSTITUTE(SUBSTITUTE(UPPER(#REF!)," ",""),":",": "),SUBSTITUTE(SUBSTITUTE(UPPER(S2080)," ",""),":",": "))),0)),"Não encontrado")</f>
        <v>Não encontrado</v>
      </c>
      <c r="E2080" s="42" t="str" cm="1">
        <f t="array" ref="E2080">IFERROR(INDEX({"IMPEDITIVO"},MATCH(TRUE,ISNUMBER(FIND(SUBSTITUTE(SUBSTITUTE(UPPER({"IMPEDITIVO"})," ",""),":",": "),SUBSTITUTE(SUBSTITUTE(UPPER(S2080)," ",""),":",": "))),0)),"-")</f>
        <v>-</v>
      </c>
      <c r="K2080" s="49"/>
    </row>
    <row r="2081" spans="1:11" x14ac:dyDescent="0.25">
      <c r="A2081" s="46" t="str" cm="1">
        <f t="array" ref="A2081">IFERROR(INDEX(#REF!,MATCH(TRUE,ISNUMBER(FIND(SUBSTITUTE(SUBSTITUTE(UPPER(#REF!)," ",""),":",": "),SUBSTITUTE(SUBSTITUTE(UPPER(S2081)," ",""),":",": "))),0)),"Undefined")</f>
        <v>Undefined</v>
      </c>
      <c r="B2081" s="42" t="str" cm="1">
        <f t="array" ref="B2081">IFERROR(INDEX({"URGENTE"},MATCH(TRUE,ISNUMBER(FIND(SUBSTITUTE(SUBSTITUTE(UPPER({"URGENTE"})," ",""),":",": "),SUBSTITUTE(SUBSTITUTE(UPPER(S2081)," ",""),":",": "))),0)),"-")</f>
        <v>-</v>
      </c>
      <c r="C2081" s="46" t="str" cm="1">
        <f t="array" ref="C2081">IFERROR(INDEX(#REF!,MATCH(TRUE,ISNUMBER(FIND(SUBSTITUTE(SUBSTITUTE(UPPER(#REF!)," ",""),":",": "),SUBSTITUTE(SUBSTITUTE(UPPER(S2081)," ",""),":",": "))),0)),"Não encontrado")</f>
        <v>Não encontrado</v>
      </c>
      <c r="D2081" s="46" t="str" cm="1">
        <f t="array" ref="D2081">IFERROR(INDEX(#REF!,MATCH(TRUE,ISNUMBER(FIND(SUBSTITUTE(SUBSTITUTE(UPPER(#REF!)," ",""),":",": "),SUBSTITUTE(SUBSTITUTE(UPPER(S2081)," ",""),":",": "))),0)),"Não encontrado")</f>
        <v>Não encontrado</v>
      </c>
      <c r="E2081" s="42" t="str" cm="1">
        <f t="array" ref="E2081">IFERROR(INDEX({"IMPEDITIVO"},MATCH(TRUE,ISNUMBER(FIND(SUBSTITUTE(SUBSTITUTE(UPPER({"IMPEDITIVO"})," ",""),":",": "),SUBSTITUTE(SUBSTITUTE(UPPER(S2081)," ",""),":",": "))),0)),"-")</f>
        <v>-</v>
      </c>
      <c r="K2081" s="49"/>
    </row>
    <row r="2082" spans="1:11" x14ac:dyDescent="0.25">
      <c r="A2082" s="46" t="str" cm="1">
        <f t="array" ref="A2082">IFERROR(INDEX(#REF!,MATCH(TRUE,ISNUMBER(FIND(SUBSTITUTE(SUBSTITUTE(UPPER(#REF!)," ",""),":",": "),SUBSTITUTE(SUBSTITUTE(UPPER(S2082)," ",""),":",": "))),0)),"Undefined")</f>
        <v>Undefined</v>
      </c>
      <c r="B2082" s="42" t="str" cm="1">
        <f t="array" ref="B2082">IFERROR(INDEX({"URGENTE"},MATCH(TRUE,ISNUMBER(FIND(SUBSTITUTE(SUBSTITUTE(UPPER({"URGENTE"})," ",""),":",": "),SUBSTITUTE(SUBSTITUTE(UPPER(S2082)," ",""),":",": "))),0)),"-")</f>
        <v>-</v>
      </c>
      <c r="C2082" s="46" t="str" cm="1">
        <f t="array" ref="C2082">IFERROR(INDEX(#REF!,MATCH(TRUE,ISNUMBER(FIND(SUBSTITUTE(SUBSTITUTE(UPPER(#REF!)," ",""),":",": "),SUBSTITUTE(SUBSTITUTE(UPPER(S2082)," ",""),":",": "))),0)),"Não encontrado")</f>
        <v>Não encontrado</v>
      </c>
      <c r="D2082" s="46" t="str" cm="1">
        <f t="array" ref="D2082">IFERROR(INDEX(#REF!,MATCH(TRUE,ISNUMBER(FIND(SUBSTITUTE(SUBSTITUTE(UPPER(#REF!)," ",""),":",": "),SUBSTITUTE(SUBSTITUTE(UPPER(S2082)," ",""),":",": "))),0)),"Não encontrado")</f>
        <v>Não encontrado</v>
      </c>
      <c r="E2082" s="42" t="str" cm="1">
        <f t="array" ref="E2082">IFERROR(INDEX({"IMPEDITIVO"},MATCH(TRUE,ISNUMBER(FIND(SUBSTITUTE(SUBSTITUTE(UPPER({"IMPEDITIVO"})," ",""),":",": "),SUBSTITUTE(SUBSTITUTE(UPPER(S2082)," ",""),":",": "))),0)),"-")</f>
        <v>-</v>
      </c>
      <c r="K2082" s="49"/>
    </row>
    <row r="2083" spans="1:11" x14ac:dyDescent="0.25">
      <c r="A2083" s="46" t="str" cm="1">
        <f t="array" ref="A2083">IFERROR(INDEX(#REF!,MATCH(TRUE,ISNUMBER(FIND(SUBSTITUTE(SUBSTITUTE(UPPER(#REF!)," ",""),":",": "),SUBSTITUTE(SUBSTITUTE(UPPER(S2083)," ",""),":",": "))),0)),"Undefined")</f>
        <v>Undefined</v>
      </c>
      <c r="B2083" s="42" t="str" cm="1">
        <f t="array" ref="B2083">IFERROR(INDEX({"URGENTE"},MATCH(TRUE,ISNUMBER(FIND(SUBSTITUTE(SUBSTITUTE(UPPER({"URGENTE"})," ",""),":",": "),SUBSTITUTE(SUBSTITUTE(UPPER(S2083)," ",""),":",": "))),0)),"-")</f>
        <v>-</v>
      </c>
      <c r="C2083" s="46" t="str" cm="1">
        <f t="array" ref="C2083">IFERROR(INDEX(#REF!,MATCH(TRUE,ISNUMBER(FIND(SUBSTITUTE(SUBSTITUTE(UPPER(#REF!)," ",""),":",": "),SUBSTITUTE(SUBSTITUTE(UPPER(S2083)," ",""),":",": "))),0)),"Não encontrado")</f>
        <v>Não encontrado</v>
      </c>
      <c r="D2083" s="46" t="str" cm="1">
        <f t="array" ref="D2083">IFERROR(INDEX(#REF!,MATCH(TRUE,ISNUMBER(FIND(SUBSTITUTE(SUBSTITUTE(UPPER(#REF!)," ",""),":",": "),SUBSTITUTE(SUBSTITUTE(UPPER(S2083)," ",""),":",": "))),0)),"Não encontrado")</f>
        <v>Não encontrado</v>
      </c>
      <c r="E2083" s="42" t="str" cm="1">
        <f t="array" ref="E2083">IFERROR(INDEX({"IMPEDITIVO"},MATCH(TRUE,ISNUMBER(FIND(SUBSTITUTE(SUBSTITUTE(UPPER({"IMPEDITIVO"})," ",""),":",": "),SUBSTITUTE(SUBSTITUTE(UPPER(S2083)," ",""),":",": "))),0)),"-")</f>
        <v>-</v>
      </c>
      <c r="K2083" s="49"/>
    </row>
    <row r="2084" spans="1:11" x14ac:dyDescent="0.25">
      <c r="A2084" s="46" t="str" cm="1">
        <f t="array" ref="A2084">IFERROR(INDEX(#REF!,MATCH(TRUE,ISNUMBER(FIND(SUBSTITUTE(SUBSTITUTE(UPPER(#REF!)," ",""),":",": "),SUBSTITUTE(SUBSTITUTE(UPPER(S2084)," ",""),":",": "))),0)),"Undefined")</f>
        <v>Undefined</v>
      </c>
      <c r="B2084" s="42" t="str" cm="1">
        <f t="array" ref="B2084">IFERROR(INDEX({"URGENTE"},MATCH(TRUE,ISNUMBER(FIND(SUBSTITUTE(SUBSTITUTE(UPPER({"URGENTE"})," ",""),":",": "),SUBSTITUTE(SUBSTITUTE(UPPER(S2084)," ",""),":",": "))),0)),"-")</f>
        <v>-</v>
      </c>
      <c r="C2084" s="46" t="str" cm="1">
        <f t="array" ref="C2084">IFERROR(INDEX(#REF!,MATCH(TRUE,ISNUMBER(FIND(SUBSTITUTE(SUBSTITUTE(UPPER(#REF!)," ",""),":",": "),SUBSTITUTE(SUBSTITUTE(UPPER(S2084)," ",""),":",": "))),0)),"Não encontrado")</f>
        <v>Não encontrado</v>
      </c>
      <c r="D2084" s="46" t="str" cm="1">
        <f t="array" ref="D2084">IFERROR(INDEX(#REF!,MATCH(TRUE,ISNUMBER(FIND(SUBSTITUTE(SUBSTITUTE(UPPER(#REF!)," ",""),":",": "),SUBSTITUTE(SUBSTITUTE(UPPER(S2084)," ",""),":",": "))),0)),"Não encontrado")</f>
        <v>Não encontrado</v>
      </c>
      <c r="E2084" s="42" t="str" cm="1">
        <f t="array" ref="E2084">IFERROR(INDEX({"IMPEDITIVO"},MATCH(TRUE,ISNUMBER(FIND(SUBSTITUTE(SUBSTITUTE(UPPER({"IMPEDITIVO"})," ",""),":",": "),SUBSTITUTE(SUBSTITUTE(UPPER(S2084)," ",""),":",": "))),0)),"-")</f>
        <v>-</v>
      </c>
      <c r="K2084" s="49"/>
    </row>
    <row r="2085" spans="1:11" x14ac:dyDescent="0.25">
      <c r="A2085" s="46" t="str" cm="1">
        <f t="array" ref="A2085">IFERROR(INDEX(#REF!,MATCH(TRUE,ISNUMBER(FIND(SUBSTITUTE(SUBSTITUTE(UPPER(#REF!)," ",""),":",": "),SUBSTITUTE(SUBSTITUTE(UPPER(S2085)," ",""),":",": "))),0)),"Undefined")</f>
        <v>Undefined</v>
      </c>
      <c r="B2085" s="42" t="str" cm="1">
        <f t="array" ref="B2085">IFERROR(INDEX({"URGENTE"},MATCH(TRUE,ISNUMBER(FIND(SUBSTITUTE(SUBSTITUTE(UPPER({"URGENTE"})," ",""),":",": "),SUBSTITUTE(SUBSTITUTE(UPPER(S2085)," ",""),":",": "))),0)),"-")</f>
        <v>-</v>
      </c>
      <c r="C2085" s="46" t="str" cm="1">
        <f t="array" ref="C2085">IFERROR(INDEX(#REF!,MATCH(TRUE,ISNUMBER(FIND(SUBSTITUTE(SUBSTITUTE(UPPER(#REF!)," ",""),":",": "),SUBSTITUTE(SUBSTITUTE(UPPER(S2085)," ",""),":",": "))),0)),"Não encontrado")</f>
        <v>Não encontrado</v>
      </c>
      <c r="D2085" s="46" t="str" cm="1">
        <f t="array" ref="D2085">IFERROR(INDEX(#REF!,MATCH(TRUE,ISNUMBER(FIND(SUBSTITUTE(SUBSTITUTE(UPPER(#REF!)," ",""),":",": "),SUBSTITUTE(SUBSTITUTE(UPPER(S2085)," ",""),":",": "))),0)),"Não encontrado")</f>
        <v>Não encontrado</v>
      </c>
      <c r="E2085" s="42" t="str" cm="1">
        <f t="array" ref="E2085">IFERROR(INDEX({"IMPEDITIVO"},MATCH(TRUE,ISNUMBER(FIND(SUBSTITUTE(SUBSTITUTE(UPPER({"IMPEDITIVO"})," ",""),":",": "),SUBSTITUTE(SUBSTITUTE(UPPER(S2085)," ",""),":",": "))),0)),"-")</f>
        <v>-</v>
      </c>
      <c r="K2085" s="49"/>
    </row>
    <row r="2086" spans="1:11" x14ac:dyDescent="0.25">
      <c r="A2086" s="46" t="str" cm="1">
        <f t="array" ref="A2086">IFERROR(INDEX(#REF!,MATCH(TRUE,ISNUMBER(FIND(SUBSTITUTE(SUBSTITUTE(UPPER(#REF!)," ",""),":",": "),SUBSTITUTE(SUBSTITUTE(UPPER(S2086)," ",""),":",": "))),0)),"Undefined")</f>
        <v>Undefined</v>
      </c>
      <c r="B2086" s="42" t="str" cm="1">
        <f t="array" ref="B2086">IFERROR(INDEX({"URGENTE"},MATCH(TRUE,ISNUMBER(FIND(SUBSTITUTE(SUBSTITUTE(UPPER({"URGENTE"})," ",""),":",": "),SUBSTITUTE(SUBSTITUTE(UPPER(S2086)," ",""),":",": "))),0)),"-")</f>
        <v>-</v>
      </c>
      <c r="C2086" s="46" t="str" cm="1">
        <f t="array" ref="C2086">IFERROR(INDEX(#REF!,MATCH(TRUE,ISNUMBER(FIND(SUBSTITUTE(SUBSTITUTE(UPPER(#REF!)," ",""),":",": "),SUBSTITUTE(SUBSTITUTE(UPPER(S2086)," ",""),":",": "))),0)),"Não encontrado")</f>
        <v>Não encontrado</v>
      </c>
      <c r="D2086" s="46" t="str" cm="1">
        <f t="array" ref="D2086">IFERROR(INDEX(#REF!,MATCH(TRUE,ISNUMBER(FIND(SUBSTITUTE(SUBSTITUTE(UPPER(#REF!)," ",""),":",": "),SUBSTITUTE(SUBSTITUTE(UPPER(S2086)," ",""),":",": "))),0)),"Não encontrado")</f>
        <v>Não encontrado</v>
      </c>
      <c r="E2086" s="42" t="str" cm="1">
        <f t="array" ref="E2086">IFERROR(INDEX({"IMPEDITIVO"},MATCH(TRUE,ISNUMBER(FIND(SUBSTITUTE(SUBSTITUTE(UPPER({"IMPEDITIVO"})," ",""),":",": "),SUBSTITUTE(SUBSTITUTE(UPPER(S2086)," ",""),":",": "))),0)),"-")</f>
        <v>-</v>
      </c>
      <c r="K2086" s="49"/>
    </row>
    <row r="2087" spans="1:11" x14ac:dyDescent="0.25">
      <c r="A2087" s="46" t="str" cm="1">
        <f t="array" ref="A2087">IFERROR(INDEX(#REF!,MATCH(TRUE,ISNUMBER(FIND(SUBSTITUTE(SUBSTITUTE(UPPER(#REF!)," ",""),":",": "),SUBSTITUTE(SUBSTITUTE(UPPER(S2087)," ",""),":",": "))),0)),"Undefined")</f>
        <v>Undefined</v>
      </c>
      <c r="B2087" s="42" t="str" cm="1">
        <f t="array" ref="B2087">IFERROR(INDEX({"URGENTE"},MATCH(TRUE,ISNUMBER(FIND(SUBSTITUTE(SUBSTITUTE(UPPER({"URGENTE"})," ",""),":",": "),SUBSTITUTE(SUBSTITUTE(UPPER(S2087)," ",""),":",": "))),0)),"-")</f>
        <v>-</v>
      </c>
      <c r="C2087" s="46" t="str" cm="1">
        <f t="array" ref="C2087">IFERROR(INDEX(#REF!,MATCH(TRUE,ISNUMBER(FIND(SUBSTITUTE(SUBSTITUTE(UPPER(#REF!)," ",""),":",": "),SUBSTITUTE(SUBSTITUTE(UPPER(S2087)," ",""),":",": "))),0)),"Não encontrado")</f>
        <v>Não encontrado</v>
      </c>
      <c r="D2087" s="46" t="str" cm="1">
        <f t="array" ref="D2087">IFERROR(INDEX(#REF!,MATCH(TRUE,ISNUMBER(FIND(SUBSTITUTE(SUBSTITUTE(UPPER(#REF!)," ",""),":",": "),SUBSTITUTE(SUBSTITUTE(UPPER(S2087)," ",""),":",": "))),0)),"Não encontrado")</f>
        <v>Não encontrado</v>
      </c>
      <c r="E2087" s="42" t="str" cm="1">
        <f t="array" ref="E2087">IFERROR(INDEX({"IMPEDITIVO"},MATCH(TRUE,ISNUMBER(FIND(SUBSTITUTE(SUBSTITUTE(UPPER({"IMPEDITIVO"})," ",""),":",": "),SUBSTITUTE(SUBSTITUTE(UPPER(S2087)," ",""),":",": "))),0)),"-")</f>
        <v>-</v>
      </c>
      <c r="K2087" s="49"/>
    </row>
    <row r="2088" spans="1:11" x14ac:dyDescent="0.25">
      <c r="A2088" s="46" t="str" cm="1">
        <f t="array" ref="A2088">IFERROR(INDEX(#REF!,MATCH(TRUE,ISNUMBER(FIND(SUBSTITUTE(SUBSTITUTE(UPPER(#REF!)," ",""),":",": "),SUBSTITUTE(SUBSTITUTE(UPPER(S2088)," ",""),":",": "))),0)),"Undefined")</f>
        <v>Undefined</v>
      </c>
      <c r="B2088" s="42" t="str" cm="1">
        <f t="array" ref="B2088">IFERROR(INDEX({"URGENTE"},MATCH(TRUE,ISNUMBER(FIND(SUBSTITUTE(SUBSTITUTE(UPPER({"URGENTE"})," ",""),":",": "),SUBSTITUTE(SUBSTITUTE(UPPER(S2088)," ",""),":",": "))),0)),"-")</f>
        <v>-</v>
      </c>
      <c r="C2088" s="46" t="str" cm="1">
        <f t="array" ref="C2088">IFERROR(INDEX(#REF!,MATCH(TRUE,ISNUMBER(FIND(SUBSTITUTE(SUBSTITUTE(UPPER(#REF!)," ",""),":",": "),SUBSTITUTE(SUBSTITUTE(UPPER(S2088)," ",""),":",": "))),0)),"Não encontrado")</f>
        <v>Não encontrado</v>
      </c>
      <c r="D2088" s="46" t="str" cm="1">
        <f t="array" ref="D2088">IFERROR(INDEX(#REF!,MATCH(TRUE,ISNUMBER(FIND(SUBSTITUTE(SUBSTITUTE(UPPER(#REF!)," ",""),":",": "),SUBSTITUTE(SUBSTITUTE(UPPER(S2088)," ",""),":",": "))),0)),"Não encontrado")</f>
        <v>Não encontrado</v>
      </c>
      <c r="E2088" s="42" t="str" cm="1">
        <f t="array" ref="E2088">IFERROR(INDEX({"IMPEDITIVO"},MATCH(TRUE,ISNUMBER(FIND(SUBSTITUTE(SUBSTITUTE(UPPER({"IMPEDITIVO"})," ",""),":",": "),SUBSTITUTE(SUBSTITUTE(UPPER(S2088)," ",""),":",": "))),0)),"-")</f>
        <v>-</v>
      </c>
      <c r="K2088" s="49"/>
    </row>
    <row r="2089" spans="1:11" x14ac:dyDescent="0.25">
      <c r="A2089" s="46" t="str" cm="1">
        <f t="array" ref="A2089">IFERROR(INDEX(#REF!,MATCH(TRUE,ISNUMBER(FIND(SUBSTITUTE(SUBSTITUTE(UPPER(#REF!)," ",""),":",": "),SUBSTITUTE(SUBSTITUTE(UPPER(S2089)," ",""),":",": "))),0)),"Undefined")</f>
        <v>Undefined</v>
      </c>
      <c r="B2089" s="42" t="str" cm="1">
        <f t="array" ref="B2089">IFERROR(INDEX({"URGENTE"},MATCH(TRUE,ISNUMBER(FIND(SUBSTITUTE(SUBSTITUTE(UPPER({"URGENTE"})," ",""),":",": "),SUBSTITUTE(SUBSTITUTE(UPPER(S2089)," ",""),":",": "))),0)),"-")</f>
        <v>-</v>
      </c>
      <c r="C2089" s="46" t="str" cm="1">
        <f t="array" ref="C2089">IFERROR(INDEX(#REF!,MATCH(TRUE,ISNUMBER(FIND(SUBSTITUTE(SUBSTITUTE(UPPER(#REF!)," ",""),":",": "),SUBSTITUTE(SUBSTITUTE(UPPER(S2089)," ",""),":",": "))),0)),"Não encontrado")</f>
        <v>Não encontrado</v>
      </c>
      <c r="D2089" s="46" t="str" cm="1">
        <f t="array" ref="D2089">IFERROR(INDEX(#REF!,MATCH(TRUE,ISNUMBER(FIND(SUBSTITUTE(SUBSTITUTE(UPPER(#REF!)," ",""),":",": "),SUBSTITUTE(SUBSTITUTE(UPPER(S2089)," ",""),":",": "))),0)),"Não encontrado")</f>
        <v>Não encontrado</v>
      </c>
      <c r="E2089" s="42" t="str" cm="1">
        <f t="array" ref="E2089">IFERROR(INDEX({"IMPEDITIVO"},MATCH(TRUE,ISNUMBER(FIND(SUBSTITUTE(SUBSTITUTE(UPPER({"IMPEDITIVO"})," ",""),":",": "),SUBSTITUTE(SUBSTITUTE(UPPER(S2089)," ",""),":",": "))),0)),"-")</f>
        <v>-</v>
      </c>
      <c r="K2089" s="49"/>
    </row>
    <row r="2090" spans="1:11" x14ac:dyDescent="0.25">
      <c r="A2090" s="46" t="str" cm="1">
        <f t="array" ref="A2090">IFERROR(INDEX(#REF!,MATCH(TRUE,ISNUMBER(FIND(SUBSTITUTE(SUBSTITUTE(UPPER(#REF!)," ",""),":",": "),SUBSTITUTE(SUBSTITUTE(UPPER(S2090)," ",""),":",": "))),0)),"Undefined")</f>
        <v>Undefined</v>
      </c>
      <c r="B2090" s="42" t="str" cm="1">
        <f t="array" ref="B2090">IFERROR(INDEX({"URGENTE"},MATCH(TRUE,ISNUMBER(FIND(SUBSTITUTE(SUBSTITUTE(UPPER({"URGENTE"})," ",""),":",": "),SUBSTITUTE(SUBSTITUTE(UPPER(S2090)," ",""),":",": "))),0)),"-")</f>
        <v>-</v>
      </c>
      <c r="C2090" s="46" t="str" cm="1">
        <f t="array" ref="C2090">IFERROR(INDEX(#REF!,MATCH(TRUE,ISNUMBER(FIND(SUBSTITUTE(SUBSTITUTE(UPPER(#REF!)," ",""),":",": "),SUBSTITUTE(SUBSTITUTE(UPPER(S2090)," ",""),":",": "))),0)),"Não encontrado")</f>
        <v>Não encontrado</v>
      </c>
      <c r="D2090" s="46" t="str" cm="1">
        <f t="array" ref="D2090">IFERROR(INDEX(#REF!,MATCH(TRUE,ISNUMBER(FIND(SUBSTITUTE(SUBSTITUTE(UPPER(#REF!)," ",""),":",": "),SUBSTITUTE(SUBSTITUTE(UPPER(S2090)," ",""),":",": "))),0)),"Não encontrado")</f>
        <v>Não encontrado</v>
      </c>
      <c r="E2090" s="42" t="str" cm="1">
        <f t="array" ref="E2090">IFERROR(INDEX({"IMPEDITIVO"},MATCH(TRUE,ISNUMBER(FIND(SUBSTITUTE(SUBSTITUTE(UPPER({"IMPEDITIVO"})," ",""),":",": "),SUBSTITUTE(SUBSTITUTE(UPPER(S2090)," ",""),":",": "))),0)),"-")</f>
        <v>-</v>
      </c>
      <c r="K2090" s="49"/>
    </row>
    <row r="2091" spans="1:11" x14ac:dyDescent="0.25">
      <c r="A2091" s="46" t="str" cm="1">
        <f t="array" ref="A2091">IFERROR(INDEX(#REF!,MATCH(TRUE,ISNUMBER(FIND(SUBSTITUTE(SUBSTITUTE(UPPER(#REF!)," ",""),":",": "),SUBSTITUTE(SUBSTITUTE(UPPER(S2091)," ",""),":",": "))),0)),"Undefined")</f>
        <v>Undefined</v>
      </c>
      <c r="B2091" s="42" t="str" cm="1">
        <f t="array" ref="B2091">IFERROR(INDEX({"URGENTE"},MATCH(TRUE,ISNUMBER(FIND(SUBSTITUTE(SUBSTITUTE(UPPER({"URGENTE"})," ",""),":",": "),SUBSTITUTE(SUBSTITUTE(UPPER(S2091)," ",""),":",": "))),0)),"-")</f>
        <v>-</v>
      </c>
      <c r="C2091" s="46" t="str" cm="1">
        <f t="array" ref="C2091">IFERROR(INDEX(#REF!,MATCH(TRUE,ISNUMBER(FIND(SUBSTITUTE(SUBSTITUTE(UPPER(#REF!)," ",""),":",": "),SUBSTITUTE(SUBSTITUTE(UPPER(S2091)," ",""),":",": "))),0)),"Não encontrado")</f>
        <v>Não encontrado</v>
      </c>
      <c r="D2091" s="46" t="str" cm="1">
        <f t="array" ref="D2091">IFERROR(INDEX(#REF!,MATCH(TRUE,ISNUMBER(FIND(SUBSTITUTE(SUBSTITUTE(UPPER(#REF!)," ",""),":",": "),SUBSTITUTE(SUBSTITUTE(UPPER(S2091)," ",""),":",": "))),0)),"Não encontrado")</f>
        <v>Não encontrado</v>
      </c>
      <c r="E2091" s="42" t="str" cm="1">
        <f t="array" ref="E2091">IFERROR(INDEX({"IMPEDITIVO"},MATCH(TRUE,ISNUMBER(FIND(SUBSTITUTE(SUBSTITUTE(UPPER({"IMPEDITIVO"})," ",""),":",": "),SUBSTITUTE(SUBSTITUTE(UPPER(S2091)," ",""),":",": "))),0)),"-")</f>
        <v>-</v>
      </c>
      <c r="K2091" s="49"/>
    </row>
    <row r="2092" spans="1:11" x14ac:dyDescent="0.25">
      <c r="A2092" s="46" t="str" cm="1">
        <f t="array" ref="A2092">IFERROR(INDEX(#REF!,MATCH(TRUE,ISNUMBER(FIND(SUBSTITUTE(SUBSTITUTE(UPPER(#REF!)," ",""),":",": "),SUBSTITUTE(SUBSTITUTE(UPPER(S2092)," ",""),":",": "))),0)),"Undefined")</f>
        <v>Undefined</v>
      </c>
      <c r="B2092" s="42" t="str" cm="1">
        <f t="array" ref="B2092">IFERROR(INDEX({"URGENTE"},MATCH(TRUE,ISNUMBER(FIND(SUBSTITUTE(SUBSTITUTE(UPPER({"URGENTE"})," ",""),":",": "),SUBSTITUTE(SUBSTITUTE(UPPER(S2092)," ",""),":",": "))),0)),"-")</f>
        <v>-</v>
      </c>
      <c r="C2092" s="46" t="str" cm="1">
        <f t="array" ref="C2092">IFERROR(INDEX(#REF!,MATCH(TRUE,ISNUMBER(FIND(SUBSTITUTE(SUBSTITUTE(UPPER(#REF!)," ",""),":",": "),SUBSTITUTE(SUBSTITUTE(UPPER(S2092)," ",""),":",": "))),0)),"Não encontrado")</f>
        <v>Não encontrado</v>
      </c>
      <c r="D2092" s="46" t="str" cm="1">
        <f t="array" ref="D2092">IFERROR(INDEX(#REF!,MATCH(TRUE,ISNUMBER(FIND(SUBSTITUTE(SUBSTITUTE(UPPER(#REF!)," ",""),":",": "),SUBSTITUTE(SUBSTITUTE(UPPER(S2092)," ",""),":",": "))),0)),"Não encontrado")</f>
        <v>Não encontrado</v>
      </c>
      <c r="E2092" s="42" t="str" cm="1">
        <f t="array" ref="E2092">IFERROR(INDEX({"IMPEDITIVO"},MATCH(TRUE,ISNUMBER(FIND(SUBSTITUTE(SUBSTITUTE(UPPER({"IMPEDITIVO"})," ",""),":",": "),SUBSTITUTE(SUBSTITUTE(UPPER(S2092)," ",""),":",": "))),0)),"-")</f>
        <v>-</v>
      </c>
      <c r="K2092" s="49"/>
    </row>
    <row r="2093" spans="1:11" x14ac:dyDescent="0.25">
      <c r="A2093" s="46" t="str" cm="1">
        <f t="array" ref="A2093">IFERROR(INDEX(#REF!,MATCH(TRUE,ISNUMBER(FIND(SUBSTITUTE(SUBSTITUTE(UPPER(#REF!)," ",""),":",": "),SUBSTITUTE(SUBSTITUTE(UPPER(S2093)," ",""),":",": "))),0)),"Undefined")</f>
        <v>Undefined</v>
      </c>
      <c r="B2093" s="42" t="str" cm="1">
        <f t="array" ref="B2093">IFERROR(INDEX({"URGENTE"},MATCH(TRUE,ISNUMBER(FIND(SUBSTITUTE(SUBSTITUTE(UPPER({"URGENTE"})," ",""),":",": "),SUBSTITUTE(SUBSTITUTE(UPPER(S2093)," ",""),":",": "))),0)),"-")</f>
        <v>-</v>
      </c>
      <c r="C2093" s="46" t="str" cm="1">
        <f t="array" ref="C2093">IFERROR(INDEX(#REF!,MATCH(TRUE,ISNUMBER(FIND(SUBSTITUTE(SUBSTITUTE(UPPER(#REF!)," ",""),":",": "),SUBSTITUTE(SUBSTITUTE(UPPER(S2093)," ",""),":",": "))),0)),"Não encontrado")</f>
        <v>Não encontrado</v>
      </c>
      <c r="D2093" s="46" t="str" cm="1">
        <f t="array" ref="D2093">IFERROR(INDEX(#REF!,MATCH(TRUE,ISNUMBER(FIND(SUBSTITUTE(SUBSTITUTE(UPPER(#REF!)," ",""),":",": "),SUBSTITUTE(SUBSTITUTE(UPPER(S2093)," ",""),":",": "))),0)),"Não encontrado")</f>
        <v>Não encontrado</v>
      </c>
      <c r="E2093" s="42" t="str" cm="1">
        <f t="array" ref="E2093">IFERROR(INDEX({"IMPEDITIVO"},MATCH(TRUE,ISNUMBER(FIND(SUBSTITUTE(SUBSTITUTE(UPPER({"IMPEDITIVO"})," ",""),":",": "),SUBSTITUTE(SUBSTITUTE(UPPER(S2093)," ",""),":",": "))),0)),"-")</f>
        <v>-</v>
      </c>
      <c r="K2093" s="49"/>
    </row>
    <row r="2094" spans="1:11" x14ac:dyDescent="0.25">
      <c r="A2094" s="46" t="str" cm="1">
        <f t="array" ref="A2094">IFERROR(INDEX(#REF!,MATCH(TRUE,ISNUMBER(FIND(SUBSTITUTE(SUBSTITUTE(UPPER(#REF!)," ",""),":",": "),SUBSTITUTE(SUBSTITUTE(UPPER(S2094)," ",""),":",": "))),0)),"Undefined")</f>
        <v>Undefined</v>
      </c>
      <c r="B2094" s="42" t="str" cm="1">
        <f t="array" ref="B2094">IFERROR(INDEX({"URGENTE"},MATCH(TRUE,ISNUMBER(FIND(SUBSTITUTE(SUBSTITUTE(UPPER({"URGENTE"})," ",""),":",": "),SUBSTITUTE(SUBSTITUTE(UPPER(S2094)," ",""),":",": "))),0)),"-")</f>
        <v>-</v>
      </c>
      <c r="C2094" s="46" t="str" cm="1">
        <f t="array" ref="C2094">IFERROR(INDEX(#REF!,MATCH(TRUE,ISNUMBER(FIND(SUBSTITUTE(SUBSTITUTE(UPPER(#REF!)," ",""),":",": "),SUBSTITUTE(SUBSTITUTE(UPPER(S2094)," ",""),":",": "))),0)),"Não encontrado")</f>
        <v>Não encontrado</v>
      </c>
      <c r="D2094" s="46" t="str" cm="1">
        <f t="array" ref="D2094">IFERROR(INDEX(#REF!,MATCH(TRUE,ISNUMBER(FIND(SUBSTITUTE(SUBSTITUTE(UPPER(#REF!)," ",""),":",": "),SUBSTITUTE(SUBSTITUTE(UPPER(S2094)," ",""),":",": "))),0)),"Não encontrado")</f>
        <v>Não encontrado</v>
      </c>
      <c r="E2094" s="42" t="str" cm="1">
        <f t="array" ref="E2094">IFERROR(INDEX({"IMPEDITIVO"},MATCH(TRUE,ISNUMBER(FIND(SUBSTITUTE(SUBSTITUTE(UPPER({"IMPEDITIVO"})," ",""),":",": "),SUBSTITUTE(SUBSTITUTE(UPPER(S2094)," ",""),":",": "))),0)),"-")</f>
        <v>-</v>
      </c>
      <c r="K2094" s="49"/>
    </row>
    <row r="2095" spans="1:11" x14ac:dyDescent="0.25">
      <c r="A2095" s="46" t="str" cm="1">
        <f t="array" ref="A2095">IFERROR(INDEX(#REF!,MATCH(TRUE,ISNUMBER(FIND(SUBSTITUTE(SUBSTITUTE(UPPER(#REF!)," ",""),":",": "),SUBSTITUTE(SUBSTITUTE(UPPER(S2095)," ",""),":",": "))),0)),"Undefined")</f>
        <v>Undefined</v>
      </c>
      <c r="B2095" s="42" t="str" cm="1">
        <f t="array" ref="B2095">IFERROR(INDEX({"URGENTE"},MATCH(TRUE,ISNUMBER(FIND(SUBSTITUTE(SUBSTITUTE(UPPER({"URGENTE"})," ",""),":",": "),SUBSTITUTE(SUBSTITUTE(UPPER(S2095)," ",""),":",": "))),0)),"-")</f>
        <v>-</v>
      </c>
      <c r="C2095" s="46" t="str" cm="1">
        <f t="array" ref="C2095">IFERROR(INDEX(#REF!,MATCH(TRUE,ISNUMBER(FIND(SUBSTITUTE(SUBSTITUTE(UPPER(#REF!)," ",""),":",": "),SUBSTITUTE(SUBSTITUTE(UPPER(S2095)," ",""),":",": "))),0)),"Não encontrado")</f>
        <v>Não encontrado</v>
      </c>
      <c r="D2095" s="46" t="str" cm="1">
        <f t="array" ref="D2095">IFERROR(INDEX(#REF!,MATCH(TRUE,ISNUMBER(FIND(SUBSTITUTE(SUBSTITUTE(UPPER(#REF!)," ",""),":",": "),SUBSTITUTE(SUBSTITUTE(UPPER(S2095)," ",""),":",": "))),0)),"Não encontrado")</f>
        <v>Não encontrado</v>
      </c>
      <c r="E2095" s="42" t="str" cm="1">
        <f t="array" ref="E2095">IFERROR(INDEX({"IMPEDITIVO"},MATCH(TRUE,ISNUMBER(FIND(SUBSTITUTE(SUBSTITUTE(UPPER({"IMPEDITIVO"})," ",""),":",": "),SUBSTITUTE(SUBSTITUTE(UPPER(S2095)," ",""),":",": "))),0)),"-")</f>
        <v>-</v>
      </c>
      <c r="K2095" s="49"/>
    </row>
    <row r="2096" spans="1:11" x14ac:dyDescent="0.25">
      <c r="A2096" s="46" t="str" cm="1">
        <f t="array" ref="A2096">IFERROR(INDEX(#REF!,MATCH(TRUE,ISNUMBER(FIND(SUBSTITUTE(SUBSTITUTE(UPPER(#REF!)," ",""),":",": "),SUBSTITUTE(SUBSTITUTE(UPPER(S2096)," ",""),":",": "))),0)),"Undefined")</f>
        <v>Undefined</v>
      </c>
      <c r="B2096" s="42" t="str" cm="1">
        <f t="array" ref="B2096">IFERROR(INDEX({"URGENTE"},MATCH(TRUE,ISNUMBER(FIND(SUBSTITUTE(SUBSTITUTE(UPPER({"URGENTE"})," ",""),":",": "),SUBSTITUTE(SUBSTITUTE(UPPER(S2096)," ",""),":",": "))),0)),"-")</f>
        <v>-</v>
      </c>
      <c r="C2096" s="46" t="str" cm="1">
        <f t="array" ref="C2096">IFERROR(INDEX(#REF!,MATCH(TRUE,ISNUMBER(FIND(SUBSTITUTE(SUBSTITUTE(UPPER(#REF!)," ",""),":",": "),SUBSTITUTE(SUBSTITUTE(UPPER(S2096)," ",""),":",": "))),0)),"Não encontrado")</f>
        <v>Não encontrado</v>
      </c>
      <c r="D2096" s="46" t="str" cm="1">
        <f t="array" ref="D2096">IFERROR(INDEX(#REF!,MATCH(TRUE,ISNUMBER(FIND(SUBSTITUTE(SUBSTITUTE(UPPER(#REF!)," ",""),":",": "),SUBSTITUTE(SUBSTITUTE(UPPER(S2096)," ",""),":",": "))),0)),"Não encontrado")</f>
        <v>Não encontrado</v>
      </c>
      <c r="E2096" s="42" t="str" cm="1">
        <f t="array" ref="E2096">IFERROR(INDEX({"IMPEDITIVO"},MATCH(TRUE,ISNUMBER(FIND(SUBSTITUTE(SUBSTITUTE(UPPER({"IMPEDITIVO"})," ",""),":",": "),SUBSTITUTE(SUBSTITUTE(UPPER(S2096)," ",""),":",": "))),0)),"-")</f>
        <v>-</v>
      </c>
      <c r="K2096" s="49"/>
    </row>
    <row r="2097" spans="1:11" x14ac:dyDescent="0.25">
      <c r="A2097" s="46" t="str" cm="1">
        <f t="array" ref="A2097">IFERROR(INDEX(#REF!,MATCH(TRUE,ISNUMBER(FIND(SUBSTITUTE(SUBSTITUTE(UPPER(#REF!)," ",""),":",": "),SUBSTITUTE(SUBSTITUTE(UPPER(S2097)," ",""),":",": "))),0)),"Undefined")</f>
        <v>Undefined</v>
      </c>
      <c r="B2097" s="42" t="str" cm="1">
        <f t="array" ref="B2097">IFERROR(INDEX({"URGENTE"},MATCH(TRUE,ISNUMBER(FIND(SUBSTITUTE(SUBSTITUTE(UPPER({"URGENTE"})," ",""),":",": "),SUBSTITUTE(SUBSTITUTE(UPPER(S2097)," ",""),":",": "))),0)),"-")</f>
        <v>-</v>
      </c>
      <c r="C2097" s="46" t="str" cm="1">
        <f t="array" ref="C2097">IFERROR(INDEX(#REF!,MATCH(TRUE,ISNUMBER(FIND(SUBSTITUTE(SUBSTITUTE(UPPER(#REF!)," ",""),":",": "),SUBSTITUTE(SUBSTITUTE(UPPER(S2097)," ",""),":",": "))),0)),"Não encontrado")</f>
        <v>Não encontrado</v>
      </c>
      <c r="D2097" s="46" t="str" cm="1">
        <f t="array" ref="D2097">IFERROR(INDEX(#REF!,MATCH(TRUE,ISNUMBER(FIND(SUBSTITUTE(SUBSTITUTE(UPPER(#REF!)," ",""),":",": "),SUBSTITUTE(SUBSTITUTE(UPPER(S2097)," ",""),":",": "))),0)),"Não encontrado")</f>
        <v>Não encontrado</v>
      </c>
      <c r="E2097" s="42" t="str" cm="1">
        <f t="array" ref="E2097">IFERROR(INDEX({"IMPEDITIVO"},MATCH(TRUE,ISNUMBER(FIND(SUBSTITUTE(SUBSTITUTE(UPPER({"IMPEDITIVO"})," ",""),":",": "),SUBSTITUTE(SUBSTITUTE(UPPER(S2097)," ",""),":",": "))),0)),"-")</f>
        <v>-</v>
      </c>
      <c r="K2097" s="49"/>
    </row>
    <row r="2098" spans="1:11" x14ac:dyDescent="0.25">
      <c r="A2098" s="46" t="str" cm="1">
        <f t="array" ref="A2098">IFERROR(INDEX(#REF!,MATCH(TRUE,ISNUMBER(FIND(SUBSTITUTE(SUBSTITUTE(UPPER(#REF!)," ",""),":",": "),SUBSTITUTE(SUBSTITUTE(UPPER(S2098)," ",""),":",": "))),0)),"Undefined")</f>
        <v>Undefined</v>
      </c>
      <c r="B2098" s="42" t="str" cm="1">
        <f t="array" ref="B2098">IFERROR(INDEX({"URGENTE"},MATCH(TRUE,ISNUMBER(FIND(SUBSTITUTE(SUBSTITUTE(UPPER({"URGENTE"})," ",""),":",": "),SUBSTITUTE(SUBSTITUTE(UPPER(S2098)," ",""),":",": "))),0)),"-")</f>
        <v>-</v>
      </c>
      <c r="C2098" s="46" t="str" cm="1">
        <f t="array" ref="C2098">IFERROR(INDEX(#REF!,MATCH(TRUE,ISNUMBER(FIND(SUBSTITUTE(SUBSTITUTE(UPPER(#REF!)," ",""),":",": "),SUBSTITUTE(SUBSTITUTE(UPPER(S2098)," ",""),":",": "))),0)),"Não encontrado")</f>
        <v>Não encontrado</v>
      </c>
      <c r="D2098" s="46" t="str" cm="1">
        <f t="array" ref="D2098">IFERROR(INDEX(#REF!,MATCH(TRUE,ISNUMBER(FIND(SUBSTITUTE(SUBSTITUTE(UPPER(#REF!)," ",""),":",": "),SUBSTITUTE(SUBSTITUTE(UPPER(S2098)," ",""),":",": "))),0)),"Não encontrado")</f>
        <v>Não encontrado</v>
      </c>
      <c r="E2098" s="42" t="str" cm="1">
        <f t="array" ref="E2098">IFERROR(INDEX({"IMPEDITIVO"},MATCH(TRUE,ISNUMBER(FIND(SUBSTITUTE(SUBSTITUTE(UPPER({"IMPEDITIVO"})," ",""),":",": "),SUBSTITUTE(SUBSTITUTE(UPPER(S2098)," ",""),":",": "))),0)),"-")</f>
        <v>-</v>
      </c>
      <c r="K2098" s="49"/>
    </row>
    <row r="2099" spans="1:11" x14ac:dyDescent="0.25">
      <c r="A2099" s="46" t="str" cm="1">
        <f t="array" ref="A2099">IFERROR(INDEX(#REF!,MATCH(TRUE,ISNUMBER(FIND(SUBSTITUTE(SUBSTITUTE(UPPER(#REF!)," ",""),":",": "),SUBSTITUTE(SUBSTITUTE(UPPER(S2099)," ",""),":",": "))),0)),"Undefined")</f>
        <v>Undefined</v>
      </c>
      <c r="B2099" s="42" t="str" cm="1">
        <f t="array" ref="B2099">IFERROR(INDEX({"URGENTE"},MATCH(TRUE,ISNUMBER(FIND(SUBSTITUTE(SUBSTITUTE(UPPER({"URGENTE"})," ",""),":",": "),SUBSTITUTE(SUBSTITUTE(UPPER(S2099)," ",""),":",": "))),0)),"-")</f>
        <v>-</v>
      </c>
      <c r="C2099" s="46" t="str" cm="1">
        <f t="array" ref="C2099">IFERROR(INDEX(#REF!,MATCH(TRUE,ISNUMBER(FIND(SUBSTITUTE(SUBSTITUTE(UPPER(#REF!)," ",""),":",": "),SUBSTITUTE(SUBSTITUTE(UPPER(S2099)," ",""),":",": "))),0)),"Não encontrado")</f>
        <v>Não encontrado</v>
      </c>
      <c r="D2099" s="46" t="str" cm="1">
        <f t="array" ref="D2099">IFERROR(INDEX(#REF!,MATCH(TRUE,ISNUMBER(FIND(SUBSTITUTE(SUBSTITUTE(UPPER(#REF!)," ",""),":",": "),SUBSTITUTE(SUBSTITUTE(UPPER(S2099)," ",""),":",": "))),0)),"Não encontrado")</f>
        <v>Não encontrado</v>
      </c>
      <c r="E2099" s="42" t="str" cm="1">
        <f t="array" ref="E2099">IFERROR(INDEX({"IMPEDITIVO"},MATCH(TRUE,ISNUMBER(FIND(SUBSTITUTE(SUBSTITUTE(UPPER({"IMPEDITIVO"})," ",""),":",": "),SUBSTITUTE(SUBSTITUTE(UPPER(S2099)," ",""),":",": "))),0)),"-")</f>
        <v>-</v>
      </c>
      <c r="K2099" s="49"/>
    </row>
    <row r="2100" spans="1:11" x14ac:dyDescent="0.25">
      <c r="A2100" s="46" t="str" cm="1">
        <f t="array" ref="A2100">IFERROR(INDEX(#REF!,MATCH(TRUE,ISNUMBER(FIND(SUBSTITUTE(SUBSTITUTE(UPPER(#REF!)," ",""),":",": "),SUBSTITUTE(SUBSTITUTE(UPPER(S2100)," ",""),":",": "))),0)),"Undefined")</f>
        <v>Undefined</v>
      </c>
      <c r="B2100" s="42" t="str" cm="1">
        <f t="array" ref="B2100">IFERROR(INDEX({"URGENTE"},MATCH(TRUE,ISNUMBER(FIND(SUBSTITUTE(SUBSTITUTE(UPPER({"URGENTE"})," ",""),":",": "),SUBSTITUTE(SUBSTITUTE(UPPER(S2100)," ",""),":",": "))),0)),"-")</f>
        <v>-</v>
      </c>
      <c r="C2100" s="46" t="str" cm="1">
        <f t="array" ref="C2100">IFERROR(INDEX(#REF!,MATCH(TRUE,ISNUMBER(FIND(SUBSTITUTE(SUBSTITUTE(UPPER(#REF!)," ",""),":",": "),SUBSTITUTE(SUBSTITUTE(UPPER(S2100)," ",""),":",": "))),0)),"Não encontrado")</f>
        <v>Não encontrado</v>
      </c>
      <c r="D2100" s="46" t="str" cm="1">
        <f t="array" ref="D2100">IFERROR(INDEX(#REF!,MATCH(TRUE,ISNUMBER(FIND(SUBSTITUTE(SUBSTITUTE(UPPER(#REF!)," ",""),":",": "),SUBSTITUTE(SUBSTITUTE(UPPER(S2100)," ",""),":",": "))),0)),"Não encontrado")</f>
        <v>Não encontrado</v>
      </c>
      <c r="E2100" s="42" t="str" cm="1">
        <f t="array" ref="E2100">IFERROR(INDEX({"IMPEDITIVO"},MATCH(TRUE,ISNUMBER(FIND(SUBSTITUTE(SUBSTITUTE(UPPER({"IMPEDITIVO"})," ",""),":",": "),SUBSTITUTE(SUBSTITUTE(UPPER(S2100)," ",""),":",": "))),0)),"-")</f>
        <v>-</v>
      </c>
      <c r="K2100" s="49"/>
    </row>
    <row r="2101" spans="1:11" x14ac:dyDescent="0.25">
      <c r="A2101" s="46" t="str" cm="1">
        <f t="array" ref="A2101">IFERROR(INDEX(#REF!,MATCH(TRUE,ISNUMBER(FIND(SUBSTITUTE(SUBSTITUTE(UPPER(#REF!)," ",""),":",": "),SUBSTITUTE(SUBSTITUTE(UPPER(S2101)," ",""),":",": "))),0)),"Undefined")</f>
        <v>Undefined</v>
      </c>
      <c r="B2101" s="42" t="str" cm="1">
        <f t="array" ref="B2101">IFERROR(INDEX({"URGENTE"},MATCH(TRUE,ISNUMBER(FIND(SUBSTITUTE(SUBSTITUTE(UPPER({"URGENTE"})," ",""),":",": "),SUBSTITUTE(SUBSTITUTE(UPPER(S2101)," ",""),":",": "))),0)),"-")</f>
        <v>-</v>
      </c>
      <c r="C2101" s="46" t="str" cm="1">
        <f t="array" ref="C2101">IFERROR(INDEX(#REF!,MATCH(TRUE,ISNUMBER(FIND(SUBSTITUTE(SUBSTITUTE(UPPER(#REF!)," ",""),":",": "),SUBSTITUTE(SUBSTITUTE(UPPER(S2101)," ",""),":",": "))),0)),"Não encontrado")</f>
        <v>Não encontrado</v>
      </c>
      <c r="D2101" s="46" t="str" cm="1">
        <f t="array" ref="D2101">IFERROR(INDEX(#REF!,MATCH(TRUE,ISNUMBER(FIND(SUBSTITUTE(SUBSTITUTE(UPPER(#REF!)," ",""),":",": "),SUBSTITUTE(SUBSTITUTE(UPPER(S2101)," ",""),":",": "))),0)),"Não encontrado")</f>
        <v>Não encontrado</v>
      </c>
      <c r="E2101" s="42" t="str" cm="1">
        <f t="array" ref="E2101">IFERROR(INDEX({"IMPEDITIVO"},MATCH(TRUE,ISNUMBER(FIND(SUBSTITUTE(SUBSTITUTE(UPPER({"IMPEDITIVO"})," ",""),":",": "),SUBSTITUTE(SUBSTITUTE(UPPER(S2101)," ",""),":",": "))),0)),"-")</f>
        <v>-</v>
      </c>
      <c r="K2101" s="49"/>
    </row>
    <row r="2102" spans="1:11" x14ac:dyDescent="0.25">
      <c r="A2102" s="46" t="str" cm="1">
        <f t="array" ref="A2102">IFERROR(INDEX(#REF!,MATCH(TRUE,ISNUMBER(FIND(SUBSTITUTE(SUBSTITUTE(UPPER(#REF!)," ",""),":",": "),SUBSTITUTE(SUBSTITUTE(UPPER(S2102)," ",""),":",": "))),0)),"Undefined")</f>
        <v>Undefined</v>
      </c>
      <c r="B2102" s="42" t="str" cm="1">
        <f t="array" ref="B2102">IFERROR(INDEX({"URGENTE"},MATCH(TRUE,ISNUMBER(FIND(SUBSTITUTE(SUBSTITUTE(UPPER({"URGENTE"})," ",""),":",": "),SUBSTITUTE(SUBSTITUTE(UPPER(S2102)," ",""),":",": "))),0)),"-")</f>
        <v>-</v>
      </c>
      <c r="C2102" s="46" t="str" cm="1">
        <f t="array" ref="C2102">IFERROR(INDEX(#REF!,MATCH(TRUE,ISNUMBER(FIND(SUBSTITUTE(SUBSTITUTE(UPPER(#REF!)," ",""),":",": "),SUBSTITUTE(SUBSTITUTE(UPPER(S2102)," ",""),":",": "))),0)),"Não encontrado")</f>
        <v>Não encontrado</v>
      </c>
      <c r="D2102" s="46" t="str" cm="1">
        <f t="array" ref="D2102">IFERROR(INDEX(#REF!,MATCH(TRUE,ISNUMBER(FIND(SUBSTITUTE(SUBSTITUTE(UPPER(#REF!)," ",""),":",": "),SUBSTITUTE(SUBSTITUTE(UPPER(S2102)," ",""),":",": "))),0)),"Não encontrado")</f>
        <v>Não encontrado</v>
      </c>
      <c r="E2102" s="42" t="str" cm="1">
        <f t="array" ref="E2102">IFERROR(INDEX({"IMPEDITIVO"},MATCH(TRUE,ISNUMBER(FIND(SUBSTITUTE(SUBSTITUTE(UPPER({"IMPEDITIVO"})," ",""),":",": "),SUBSTITUTE(SUBSTITUTE(UPPER(S2102)," ",""),":",": "))),0)),"-")</f>
        <v>-</v>
      </c>
      <c r="K2102" s="49"/>
    </row>
    <row r="2103" spans="1:11" x14ac:dyDescent="0.25">
      <c r="A2103" s="46" t="str" cm="1">
        <f t="array" ref="A2103">IFERROR(INDEX(#REF!,MATCH(TRUE,ISNUMBER(FIND(SUBSTITUTE(SUBSTITUTE(UPPER(#REF!)," ",""),":",": "),SUBSTITUTE(SUBSTITUTE(UPPER(S2103)," ",""),":",": "))),0)),"Undefined")</f>
        <v>Undefined</v>
      </c>
      <c r="B2103" s="42" t="str" cm="1">
        <f t="array" ref="B2103">IFERROR(INDEX({"URGENTE"},MATCH(TRUE,ISNUMBER(FIND(SUBSTITUTE(SUBSTITUTE(UPPER({"URGENTE"})," ",""),":",": "),SUBSTITUTE(SUBSTITUTE(UPPER(S2103)," ",""),":",": "))),0)),"-")</f>
        <v>-</v>
      </c>
      <c r="C2103" s="46" t="str" cm="1">
        <f t="array" ref="C2103">IFERROR(INDEX(#REF!,MATCH(TRUE,ISNUMBER(FIND(SUBSTITUTE(SUBSTITUTE(UPPER(#REF!)," ",""),":",": "),SUBSTITUTE(SUBSTITUTE(UPPER(S2103)," ",""),":",": "))),0)),"Não encontrado")</f>
        <v>Não encontrado</v>
      </c>
      <c r="D2103" s="46" t="str" cm="1">
        <f t="array" ref="D2103">IFERROR(INDEX(#REF!,MATCH(TRUE,ISNUMBER(FIND(SUBSTITUTE(SUBSTITUTE(UPPER(#REF!)," ",""),":",": "),SUBSTITUTE(SUBSTITUTE(UPPER(S2103)," ",""),":",": "))),0)),"Não encontrado")</f>
        <v>Não encontrado</v>
      </c>
      <c r="E2103" s="42" t="str" cm="1">
        <f t="array" ref="E2103">IFERROR(INDEX({"IMPEDITIVO"},MATCH(TRUE,ISNUMBER(FIND(SUBSTITUTE(SUBSTITUTE(UPPER({"IMPEDITIVO"})," ",""),":",": "),SUBSTITUTE(SUBSTITUTE(UPPER(S2103)," ",""),":",": "))),0)),"-")</f>
        <v>-</v>
      </c>
      <c r="K2103" s="49"/>
    </row>
    <row r="2104" spans="1:11" x14ac:dyDescent="0.25">
      <c r="A2104" s="46" t="str" cm="1">
        <f t="array" ref="A2104">IFERROR(INDEX(#REF!,MATCH(TRUE,ISNUMBER(FIND(SUBSTITUTE(SUBSTITUTE(UPPER(#REF!)," ",""),":",": "),SUBSTITUTE(SUBSTITUTE(UPPER(S2104)," ",""),":",": "))),0)),"Undefined")</f>
        <v>Undefined</v>
      </c>
      <c r="B2104" s="42" t="str" cm="1">
        <f t="array" ref="B2104">IFERROR(INDEX({"URGENTE"},MATCH(TRUE,ISNUMBER(FIND(SUBSTITUTE(SUBSTITUTE(UPPER({"URGENTE"})," ",""),":",": "),SUBSTITUTE(SUBSTITUTE(UPPER(S2104)," ",""),":",": "))),0)),"-")</f>
        <v>-</v>
      </c>
      <c r="C2104" s="46" t="str" cm="1">
        <f t="array" ref="C2104">IFERROR(INDEX(#REF!,MATCH(TRUE,ISNUMBER(FIND(SUBSTITUTE(SUBSTITUTE(UPPER(#REF!)," ",""),":",": "),SUBSTITUTE(SUBSTITUTE(UPPER(S2104)," ",""),":",": "))),0)),"Não encontrado")</f>
        <v>Não encontrado</v>
      </c>
      <c r="D2104" s="46" t="str" cm="1">
        <f t="array" ref="D2104">IFERROR(INDEX(#REF!,MATCH(TRUE,ISNUMBER(FIND(SUBSTITUTE(SUBSTITUTE(UPPER(#REF!)," ",""),":",": "),SUBSTITUTE(SUBSTITUTE(UPPER(S2104)," ",""),":",": "))),0)),"Não encontrado")</f>
        <v>Não encontrado</v>
      </c>
      <c r="E2104" s="42" t="str" cm="1">
        <f t="array" ref="E2104">IFERROR(INDEX({"IMPEDITIVO"},MATCH(TRUE,ISNUMBER(FIND(SUBSTITUTE(SUBSTITUTE(UPPER({"IMPEDITIVO"})," ",""),":",": "),SUBSTITUTE(SUBSTITUTE(UPPER(S2104)," ",""),":",": "))),0)),"-")</f>
        <v>-</v>
      </c>
      <c r="K2104" s="49"/>
    </row>
    <row r="2105" spans="1:11" x14ac:dyDescent="0.25">
      <c r="A2105" s="46" t="str" cm="1">
        <f t="array" ref="A2105">IFERROR(INDEX(#REF!,MATCH(TRUE,ISNUMBER(FIND(SUBSTITUTE(SUBSTITUTE(UPPER(#REF!)," ",""),":",": "),SUBSTITUTE(SUBSTITUTE(UPPER(S2105)," ",""),":",": "))),0)),"Undefined")</f>
        <v>Undefined</v>
      </c>
      <c r="B2105" s="42" t="str" cm="1">
        <f t="array" ref="B2105">IFERROR(INDEX({"URGENTE"},MATCH(TRUE,ISNUMBER(FIND(SUBSTITUTE(SUBSTITUTE(UPPER({"URGENTE"})," ",""),":",": "),SUBSTITUTE(SUBSTITUTE(UPPER(S2105)," ",""),":",": "))),0)),"-")</f>
        <v>-</v>
      </c>
      <c r="C2105" s="46" t="str" cm="1">
        <f t="array" ref="C2105">IFERROR(INDEX(#REF!,MATCH(TRUE,ISNUMBER(FIND(SUBSTITUTE(SUBSTITUTE(UPPER(#REF!)," ",""),":",": "),SUBSTITUTE(SUBSTITUTE(UPPER(S2105)," ",""),":",": "))),0)),"Não encontrado")</f>
        <v>Não encontrado</v>
      </c>
      <c r="D2105" s="46" t="str" cm="1">
        <f t="array" ref="D2105">IFERROR(INDEX(#REF!,MATCH(TRUE,ISNUMBER(FIND(SUBSTITUTE(SUBSTITUTE(UPPER(#REF!)," ",""),":",": "),SUBSTITUTE(SUBSTITUTE(UPPER(S2105)," ",""),":",": "))),0)),"Não encontrado")</f>
        <v>Não encontrado</v>
      </c>
      <c r="E2105" s="42" t="str" cm="1">
        <f t="array" ref="E2105">IFERROR(INDEX({"IMPEDITIVO"},MATCH(TRUE,ISNUMBER(FIND(SUBSTITUTE(SUBSTITUTE(UPPER({"IMPEDITIVO"})," ",""),":",": "),SUBSTITUTE(SUBSTITUTE(UPPER(S2105)," ",""),":",": "))),0)),"-")</f>
        <v>-</v>
      </c>
      <c r="K2105" s="49"/>
    </row>
    <row r="2106" spans="1:11" x14ac:dyDescent="0.25">
      <c r="A2106" s="46" t="str" cm="1">
        <f t="array" ref="A2106">IFERROR(INDEX(#REF!,MATCH(TRUE,ISNUMBER(FIND(SUBSTITUTE(SUBSTITUTE(UPPER(#REF!)," ",""),":",": "),SUBSTITUTE(SUBSTITUTE(UPPER(S2106)," ",""),":",": "))),0)),"Undefined")</f>
        <v>Undefined</v>
      </c>
      <c r="B2106" s="42" t="str" cm="1">
        <f t="array" ref="B2106">IFERROR(INDEX({"URGENTE"},MATCH(TRUE,ISNUMBER(FIND(SUBSTITUTE(SUBSTITUTE(UPPER({"URGENTE"})," ",""),":",": "),SUBSTITUTE(SUBSTITUTE(UPPER(S2106)," ",""),":",": "))),0)),"-")</f>
        <v>-</v>
      </c>
      <c r="C2106" s="46" t="str" cm="1">
        <f t="array" ref="C2106">IFERROR(INDEX(#REF!,MATCH(TRUE,ISNUMBER(FIND(SUBSTITUTE(SUBSTITUTE(UPPER(#REF!)," ",""),":",": "),SUBSTITUTE(SUBSTITUTE(UPPER(S2106)," ",""),":",": "))),0)),"Não encontrado")</f>
        <v>Não encontrado</v>
      </c>
      <c r="D2106" s="46" t="str" cm="1">
        <f t="array" ref="D2106">IFERROR(INDEX(#REF!,MATCH(TRUE,ISNUMBER(FIND(SUBSTITUTE(SUBSTITUTE(UPPER(#REF!)," ",""),":",": "),SUBSTITUTE(SUBSTITUTE(UPPER(S2106)," ",""),":",": "))),0)),"Não encontrado")</f>
        <v>Não encontrado</v>
      </c>
      <c r="E2106" s="42" t="str" cm="1">
        <f t="array" ref="E2106">IFERROR(INDEX({"IMPEDITIVO"},MATCH(TRUE,ISNUMBER(FIND(SUBSTITUTE(SUBSTITUTE(UPPER({"IMPEDITIVO"})," ",""),":",": "),SUBSTITUTE(SUBSTITUTE(UPPER(S2106)," ",""),":",": "))),0)),"-")</f>
        <v>-</v>
      </c>
      <c r="K2106" s="49"/>
    </row>
    <row r="2107" spans="1:11" x14ac:dyDescent="0.25">
      <c r="A2107" s="46" t="str" cm="1">
        <f t="array" ref="A2107">IFERROR(INDEX(#REF!,MATCH(TRUE,ISNUMBER(FIND(SUBSTITUTE(SUBSTITUTE(UPPER(#REF!)," ",""),":",": "),SUBSTITUTE(SUBSTITUTE(UPPER(S2107)," ",""),":",": "))),0)),"Undefined")</f>
        <v>Undefined</v>
      </c>
      <c r="B2107" s="42" t="str" cm="1">
        <f t="array" ref="B2107">IFERROR(INDEX({"URGENTE"},MATCH(TRUE,ISNUMBER(FIND(SUBSTITUTE(SUBSTITUTE(UPPER({"URGENTE"})," ",""),":",": "),SUBSTITUTE(SUBSTITUTE(UPPER(S2107)," ",""),":",": "))),0)),"-")</f>
        <v>-</v>
      </c>
      <c r="C2107" s="46" t="str" cm="1">
        <f t="array" ref="C2107">IFERROR(INDEX(#REF!,MATCH(TRUE,ISNUMBER(FIND(SUBSTITUTE(SUBSTITUTE(UPPER(#REF!)," ",""),":",": "),SUBSTITUTE(SUBSTITUTE(UPPER(S2107)," ",""),":",": "))),0)),"Não encontrado")</f>
        <v>Não encontrado</v>
      </c>
      <c r="D2107" s="46" t="str" cm="1">
        <f t="array" ref="D2107">IFERROR(INDEX(#REF!,MATCH(TRUE,ISNUMBER(FIND(SUBSTITUTE(SUBSTITUTE(UPPER(#REF!)," ",""),":",": "),SUBSTITUTE(SUBSTITUTE(UPPER(S2107)," ",""),":",": "))),0)),"Não encontrado")</f>
        <v>Não encontrado</v>
      </c>
      <c r="E2107" s="42" t="str" cm="1">
        <f t="array" ref="E2107">IFERROR(INDEX({"IMPEDITIVO"},MATCH(TRUE,ISNUMBER(FIND(SUBSTITUTE(SUBSTITUTE(UPPER({"IMPEDITIVO"})," ",""),":",": "),SUBSTITUTE(SUBSTITUTE(UPPER(S2107)," ",""),":",": "))),0)),"-")</f>
        <v>-</v>
      </c>
      <c r="K2107" s="49"/>
    </row>
    <row r="2108" spans="1:11" x14ac:dyDescent="0.25">
      <c r="A2108" s="46" t="str" cm="1">
        <f t="array" ref="A2108">IFERROR(INDEX(#REF!,MATCH(TRUE,ISNUMBER(FIND(SUBSTITUTE(SUBSTITUTE(UPPER(#REF!)," ",""),":",": "),SUBSTITUTE(SUBSTITUTE(UPPER(S2108)," ",""),":",": "))),0)),"Undefined")</f>
        <v>Undefined</v>
      </c>
      <c r="B2108" s="42" t="str" cm="1">
        <f t="array" ref="B2108">IFERROR(INDEX({"URGENTE"},MATCH(TRUE,ISNUMBER(FIND(SUBSTITUTE(SUBSTITUTE(UPPER({"URGENTE"})," ",""),":",": "),SUBSTITUTE(SUBSTITUTE(UPPER(S2108)," ",""),":",": "))),0)),"-")</f>
        <v>-</v>
      </c>
      <c r="C2108" s="46" t="str" cm="1">
        <f t="array" ref="C2108">IFERROR(INDEX(#REF!,MATCH(TRUE,ISNUMBER(FIND(SUBSTITUTE(SUBSTITUTE(UPPER(#REF!)," ",""),":",": "),SUBSTITUTE(SUBSTITUTE(UPPER(S2108)," ",""),":",": "))),0)),"Não encontrado")</f>
        <v>Não encontrado</v>
      </c>
      <c r="D2108" s="46" t="str" cm="1">
        <f t="array" ref="D2108">IFERROR(INDEX(#REF!,MATCH(TRUE,ISNUMBER(FIND(SUBSTITUTE(SUBSTITUTE(UPPER(#REF!)," ",""),":",": "),SUBSTITUTE(SUBSTITUTE(UPPER(S2108)," ",""),":",": "))),0)),"Não encontrado")</f>
        <v>Não encontrado</v>
      </c>
      <c r="E2108" s="42" t="str" cm="1">
        <f t="array" ref="E2108">IFERROR(INDEX({"IMPEDITIVO"},MATCH(TRUE,ISNUMBER(FIND(SUBSTITUTE(SUBSTITUTE(UPPER({"IMPEDITIVO"})," ",""),":",": "),SUBSTITUTE(SUBSTITUTE(UPPER(S2108)," ",""),":",": "))),0)),"-")</f>
        <v>-</v>
      </c>
      <c r="K2108" s="49"/>
    </row>
    <row r="2109" spans="1:11" x14ac:dyDescent="0.25">
      <c r="A2109" s="46" t="str" cm="1">
        <f t="array" ref="A2109">IFERROR(INDEX(#REF!,MATCH(TRUE,ISNUMBER(FIND(SUBSTITUTE(SUBSTITUTE(UPPER(#REF!)," ",""),":",": "),SUBSTITUTE(SUBSTITUTE(UPPER(S2109)," ",""),":",": "))),0)),"Undefined")</f>
        <v>Undefined</v>
      </c>
      <c r="B2109" s="42" t="str" cm="1">
        <f t="array" ref="B2109">IFERROR(INDEX({"URGENTE"},MATCH(TRUE,ISNUMBER(FIND(SUBSTITUTE(SUBSTITUTE(UPPER({"URGENTE"})," ",""),":",": "),SUBSTITUTE(SUBSTITUTE(UPPER(S2109)," ",""),":",": "))),0)),"-")</f>
        <v>-</v>
      </c>
      <c r="C2109" s="46" t="str" cm="1">
        <f t="array" ref="C2109">IFERROR(INDEX(#REF!,MATCH(TRUE,ISNUMBER(FIND(SUBSTITUTE(SUBSTITUTE(UPPER(#REF!)," ",""),":",": "),SUBSTITUTE(SUBSTITUTE(UPPER(S2109)," ",""),":",": "))),0)),"Não encontrado")</f>
        <v>Não encontrado</v>
      </c>
      <c r="D2109" s="46" t="str" cm="1">
        <f t="array" ref="D2109">IFERROR(INDEX(#REF!,MATCH(TRUE,ISNUMBER(FIND(SUBSTITUTE(SUBSTITUTE(UPPER(#REF!)," ",""),":",": "),SUBSTITUTE(SUBSTITUTE(UPPER(S2109)," ",""),":",": "))),0)),"Não encontrado")</f>
        <v>Não encontrado</v>
      </c>
      <c r="E2109" s="42" t="str" cm="1">
        <f t="array" ref="E2109">IFERROR(INDEX({"IMPEDITIVO"},MATCH(TRUE,ISNUMBER(FIND(SUBSTITUTE(SUBSTITUTE(UPPER({"IMPEDITIVO"})," ",""),":",": "),SUBSTITUTE(SUBSTITUTE(UPPER(S2109)," ",""),":",": "))),0)),"-")</f>
        <v>-</v>
      </c>
      <c r="K2109" s="49"/>
    </row>
    <row r="2110" spans="1:11" x14ac:dyDescent="0.25">
      <c r="A2110" s="46" t="str" cm="1">
        <f t="array" ref="A2110">IFERROR(INDEX(#REF!,MATCH(TRUE,ISNUMBER(FIND(SUBSTITUTE(SUBSTITUTE(UPPER(#REF!)," ",""),":",": "),SUBSTITUTE(SUBSTITUTE(UPPER(S2110)," ",""),":",": "))),0)),"Undefined")</f>
        <v>Undefined</v>
      </c>
      <c r="B2110" s="42" t="str" cm="1">
        <f t="array" ref="B2110">IFERROR(INDEX({"URGENTE"},MATCH(TRUE,ISNUMBER(FIND(SUBSTITUTE(SUBSTITUTE(UPPER({"URGENTE"})," ",""),":",": "),SUBSTITUTE(SUBSTITUTE(UPPER(S2110)," ",""),":",": "))),0)),"-")</f>
        <v>-</v>
      </c>
      <c r="C2110" s="46" t="str" cm="1">
        <f t="array" ref="C2110">IFERROR(INDEX(#REF!,MATCH(TRUE,ISNUMBER(FIND(SUBSTITUTE(SUBSTITUTE(UPPER(#REF!)," ",""),":",": "),SUBSTITUTE(SUBSTITUTE(UPPER(S2110)," ",""),":",": "))),0)),"Não encontrado")</f>
        <v>Não encontrado</v>
      </c>
      <c r="D2110" s="46" t="str" cm="1">
        <f t="array" ref="D2110">IFERROR(INDEX(#REF!,MATCH(TRUE,ISNUMBER(FIND(SUBSTITUTE(SUBSTITUTE(UPPER(#REF!)," ",""),":",": "),SUBSTITUTE(SUBSTITUTE(UPPER(S2110)," ",""),":",": "))),0)),"Não encontrado")</f>
        <v>Não encontrado</v>
      </c>
      <c r="E2110" s="42" t="str" cm="1">
        <f t="array" ref="E2110">IFERROR(INDEX({"IMPEDITIVO"},MATCH(TRUE,ISNUMBER(FIND(SUBSTITUTE(SUBSTITUTE(UPPER({"IMPEDITIVO"})," ",""),":",": "),SUBSTITUTE(SUBSTITUTE(UPPER(S2110)," ",""),":",": "))),0)),"-")</f>
        <v>-</v>
      </c>
      <c r="K2110" s="49"/>
    </row>
    <row r="2111" spans="1:11" x14ac:dyDescent="0.25">
      <c r="A2111" s="46" t="str" cm="1">
        <f t="array" ref="A2111">IFERROR(INDEX(#REF!,MATCH(TRUE,ISNUMBER(FIND(SUBSTITUTE(SUBSTITUTE(UPPER(#REF!)," ",""),":",": "),SUBSTITUTE(SUBSTITUTE(UPPER(S2111)," ",""),":",": "))),0)),"Undefined")</f>
        <v>Undefined</v>
      </c>
      <c r="B2111" s="42" t="str" cm="1">
        <f t="array" ref="B2111">IFERROR(INDEX({"URGENTE"},MATCH(TRUE,ISNUMBER(FIND(SUBSTITUTE(SUBSTITUTE(UPPER({"URGENTE"})," ",""),":",": "),SUBSTITUTE(SUBSTITUTE(UPPER(S2111)," ",""),":",": "))),0)),"-")</f>
        <v>-</v>
      </c>
      <c r="C2111" s="46" t="str" cm="1">
        <f t="array" ref="C2111">IFERROR(INDEX(#REF!,MATCH(TRUE,ISNUMBER(FIND(SUBSTITUTE(SUBSTITUTE(UPPER(#REF!)," ",""),":",": "),SUBSTITUTE(SUBSTITUTE(UPPER(S2111)," ",""),":",": "))),0)),"Não encontrado")</f>
        <v>Não encontrado</v>
      </c>
      <c r="D2111" s="46" t="str" cm="1">
        <f t="array" ref="D2111">IFERROR(INDEX(#REF!,MATCH(TRUE,ISNUMBER(FIND(SUBSTITUTE(SUBSTITUTE(UPPER(#REF!)," ",""),":",": "),SUBSTITUTE(SUBSTITUTE(UPPER(S2111)," ",""),":",": "))),0)),"Não encontrado")</f>
        <v>Não encontrado</v>
      </c>
      <c r="E2111" s="42" t="str" cm="1">
        <f t="array" ref="E2111">IFERROR(INDEX({"IMPEDITIVO"},MATCH(TRUE,ISNUMBER(FIND(SUBSTITUTE(SUBSTITUTE(UPPER({"IMPEDITIVO"})," ",""),":",": "),SUBSTITUTE(SUBSTITUTE(UPPER(S2111)," ",""),":",": "))),0)),"-")</f>
        <v>-</v>
      </c>
      <c r="K2111" s="49"/>
    </row>
    <row r="2112" spans="1:11" x14ac:dyDescent="0.25">
      <c r="A2112" s="46" t="str" cm="1">
        <f t="array" ref="A2112">IFERROR(INDEX(#REF!,MATCH(TRUE,ISNUMBER(FIND(SUBSTITUTE(SUBSTITUTE(UPPER(#REF!)," ",""),":",": "),SUBSTITUTE(SUBSTITUTE(UPPER(S2112)," ",""),":",": "))),0)),"Undefined")</f>
        <v>Undefined</v>
      </c>
      <c r="B2112" s="42" t="str" cm="1">
        <f t="array" ref="B2112">IFERROR(INDEX({"URGENTE"},MATCH(TRUE,ISNUMBER(FIND(SUBSTITUTE(SUBSTITUTE(UPPER({"URGENTE"})," ",""),":",": "),SUBSTITUTE(SUBSTITUTE(UPPER(S2112)," ",""),":",": "))),0)),"-")</f>
        <v>-</v>
      </c>
      <c r="C2112" s="46" t="str" cm="1">
        <f t="array" ref="C2112">IFERROR(INDEX(#REF!,MATCH(TRUE,ISNUMBER(FIND(SUBSTITUTE(SUBSTITUTE(UPPER(#REF!)," ",""),":",": "),SUBSTITUTE(SUBSTITUTE(UPPER(S2112)," ",""),":",": "))),0)),"Não encontrado")</f>
        <v>Não encontrado</v>
      </c>
      <c r="D2112" s="46" t="str" cm="1">
        <f t="array" ref="D2112">IFERROR(INDEX(#REF!,MATCH(TRUE,ISNUMBER(FIND(SUBSTITUTE(SUBSTITUTE(UPPER(#REF!)," ",""),":",": "),SUBSTITUTE(SUBSTITUTE(UPPER(S2112)," ",""),":",": "))),0)),"Não encontrado")</f>
        <v>Não encontrado</v>
      </c>
      <c r="E2112" s="42" t="str" cm="1">
        <f t="array" ref="E2112">IFERROR(INDEX({"IMPEDITIVO"},MATCH(TRUE,ISNUMBER(FIND(SUBSTITUTE(SUBSTITUTE(UPPER({"IMPEDITIVO"})," ",""),":",": "),SUBSTITUTE(SUBSTITUTE(UPPER(S2112)," ",""),":",": "))),0)),"-")</f>
        <v>-</v>
      </c>
      <c r="K2112" s="49"/>
    </row>
    <row r="2113" spans="1:11" x14ac:dyDescent="0.25">
      <c r="A2113" s="46" t="str" cm="1">
        <f t="array" ref="A2113">IFERROR(INDEX(#REF!,MATCH(TRUE,ISNUMBER(FIND(SUBSTITUTE(SUBSTITUTE(UPPER(#REF!)," ",""),":",": "),SUBSTITUTE(SUBSTITUTE(UPPER(S2113)," ",""),":",": "))),0)),"Undefined")</f>
        <v>Undefined</v>
      </c>
      <c r="B2113" s="42" t="str" cm="1">
        <f t="array" ref="B2113">IFERROR(INDEX({"URGENTE"},MATCH(TRUE,ISNUMBER(FIND(SUBSTITUTE(SUBSTITUTE(UPPER({"URGENTE"})," ",""),":",": "),SUBSTITUTE(SUBSTITUTE(UPPER(S2113)," ",""),":",": "))),0)),"-")</f>
        <v>-</v>
      </c>
      <c r="C2113" s="46" t="str" cm="1">
        <f t="array" ref="C2113">IFERROR(INDEX(#REF!,MATCH(TRUE,ISNUMBER(FIND(SUBSTITUTE(SUBSTITUTE(UPPER(#REF!)," ",""),":",": "),SUBSTITUTE(SUBSTITUTE(UPPER(S2113)," ",""),":",": "))),0)),"Não encontrado")</f>
        <v>Não encontrado</v>
      </c>
      <c r="D2113" s="46" t="str" cm="1">
        <f t="array" ref="D2113">IFERROR(INDEX(#REF!,MATCH(TRUE,ISNUMBER(FIND(SUBSTITUTE(SUBSTITUTE(UPPER(#REF!)," ",""),":",": "),SUBSTITUTE(SUBSTITUTE(UPPER(S2113)," ",""),":",": "))),0)),"Não encontrado")</f>
        <v>Não encontrado</v>
      </c>
      <c r="E2113" s="42" t="str" cm="1">
        <f t="array" ref="E2113">IFERROR(INDEX({"IMPEDITIVO"},MATCH(TRUE,ISNUMBER(FIND(SUBSTITUTE(SUBSTITUTE(UPPER({"IMPEDITIVO"})," ",""),":",": "),SUBSTITUTE(SUBSTITUTE(UPPER(S2113)," ",""),":",": "))),0)),"-")</f>
        <v>-</v>
      </c>
      <c r="K2113" s="49"/>
    </row>
    <row r="2114" spans="1:11" x14ac:dyDescent="0.25">
      <c r="A2114" s="46" t="str" cm="1">
        <f t="array" ref="A2114">IFERROR(INDEX(#REF!,MATCH(TRUE,ISNUMBER(FIND(SUBSTITUTE(SUBSTITUTE(UPPER(#REF!)," ",""),":",": "),SUBSTITUTE(SUBSTITUTE(UPPER(S2114)," ",""),":",": "))),0)),"Undefined")</f>
        <v>Undefined</v>
      </c>
      <c r="B2114" s="42" t="str" cm="1">
        <f t="array" ref="B2114">IFERROR(INDEX({"URGENTE"},MATCH(TRUE,ISNUMBER(FIND(SUBSTITUTE(SUBSTITUTE(UPPER({"URGENTE"})," ",""),":",": "),SUBSTITUTE(SUBSTITUTE(UPPER(S2114)," ",""),":",": "))),0)),"-")</f>
        <v>-</v>
      </c>
      <c r="C2114" s="46" t="str" cm="1">
        <f t="array" ref="C2114">IFERROR(INDEX(#REF!,MATCH(TRUE,ISNUMBER(FIND(SUBSTITUTE(SUBSTITUTE(UPPER(#REF!)," ",""),":",": "),SUBSTITUTE(SUBSTITUTE(UPPER(S2114)," ",""),":",": "))),0)),"Não encontrado")</f>
        <v>Não encontrado</v>
      </c>
      <c r="D2114" s="46" t="str" cm="1">
        <f t="array" ref="D2114">IFERROR(INDEX(#REF!,MATCH(TRUE,ISNUMBER(FIND(SUBSTITUTE(SUBSTITUTE(UPPER(#REF!)," ",""),":",": "),SUBSTITUTE(SUBSTITUTE(UPPER(S2114)," ",""),":",": "))),0)),"Não encontrado")</f>
        <v>Não encontrado</v>
      </c>
      <c r="E2114" s="42" t="str" cm="1">
        <f t="array" ref="E2114">IFERROR(INDEX({"IMPEDITIVO"},MATCH(TRUE,ISNUMBER(FIND(SUBSTITUTE(SUBSTITUTE(UPPER({"IMPEDITIVO"})," ",""),":",": "),SUBSTITUTE(SUBSTITUTE(UPPER(S2114)," ",""),":",": "))),0)),"-")</f>
        <v>-</v>
      </c>
      <c r="K2114" s="49"/>
    </row>
    <row r="2115" spans="1:11" x14ac:dyDescent="0.25">
      <c r="A2115" s="46" t="str" cm="1">
        <f t="array" ref="A2115">IFERROR(INDEX(#REF!,MATCH(TRUE,ISNUMBER(FIND(SUBSTITUTE(SUBSTITUTE(UPPER(#REF!)," ",""),":",": "),SUBSTITUTE(SUBSTITUTE(UPPER(S2115)," ",""),":",": "))),0)),"Undefined")</f>
        <v>Undefined</v>
      </c>
      <c r="B2115" s="42" t="str" cm="1">
        <f t="array" ref="B2115">IFERROR(INDEX({"URGENTE"},MATCH(TRUE,ISNUMBER(FIND(SUBSTITUTE(SUBSTITUTE(UPPER({"URGENTE"})," ",""),":",": "),SUBSTITUTE(SUBSTITUTE(UPPER(S2115)," ",""),":",": "))),0)),"-")</f>
        <v>-</v>
      </c>
      <c r="C2115" s="46" t="str" cm="1">
        <f t="array" ref="C2115">IFERROR(INDEX(#REF!,MATCH(TRUE,ISNUMBER(FIND(SUBSTITUTE(SUBSTITUTE(UPPER(#REF!)," ",""),":",": "),SUBSTITUTE(SUBSTITUTE(UPPER(S2115)," ",""),":",": "))),0)),"Não encontrado")</f>
        <v>Não encontrado</v>
      </c>
      <c r="D2115" s="46" t="str" cm="1">
        <f t="array" ref="D2115">IFERROR(INDEX(#REF!,MATCH(TRUE,ISNUMBER(FIND(SUBSTITUTE(SUBSTITUTE(UPPER(#REF!)," ",""),":",": "),SUBSTITUTE(SUBSTITUTE(UPPER(S2115)," ",""),":",": "))),0)),"Não encontrado")</f>
        <v>Não encontrado</v>
      </c>
      <c r="E2115" s="42" t="str" cm="1">
        <f t="array" ref="E2115">IFERROR(INDEX({"IMPEDITIVO"},MATCH(TRUE,ISNUMBER(FIND(SUBSTITUTE(SUBSTITUTE(UPPER({"IMPEDITIVO"})," ",""),":",": "),SUBSTITUTE(SUBSTITUTE(UPPER(S2115)," ",""),":",": "))),0)),"-")</f>
        <v>-</v>
      </c>
      <c r="K2115" s="49"/>
    </row>
    <row r="2116" spans="1:11" x14ac:dyDescent="0.25">
      <c r="A2116" s="46" t="str" cm="1">
        <f t="array" ref="A2116">IFERROR(INDEX(#REF!,MATCH(TRUE,ISNUMBER(FIND(SUBSTITUTE(SUBSTITUTE(UPPER(#REF!)," ",""),":",": "),SUBSTITUTE(SUBSTITUTE(UPPER(S2116)," ",""),":",": "))),0)),"Undefined")</f>
        <v>Undefined</v>
      </c>
      <c r="B2116" s="42" t="str" cm="1">
        <f t="array" ref="B2116">IFERROR(INDEX({"URGENTE"},MATCH(TRUE,ISNUMBER(FIND(SUBSTITUTE(SUBSTITUTE(UPPER({"URGENTE"})," ",""),":",": "),SUBSTITUTE(SUBSTITUTE(UPPER(S2116)," ",""),":",": "))),0)),"-")</f>
        <v>-</v>
      </c>
      <c r="C2116" s="46" t="str" cm="1">
        <f t="array" ref="C2116">IFERROR(INDEX(#REF!,MATCH(TRUE,ISNUMBER(FIND(SUBSTITUTE(SUBSTITUTE(UPPER(#REF!)," ",""),":",": "),SUBSTITUTE(SUBSTITUTE(UPPER(S2116)," ",""),":",": "))),0)),"Não encontrado")</f>
        <v>Não encontrado</v>
      </c>
      <c r="D2116" s="46" t="str" cm="1">
        <f t="array" ref="D2116">IFERROR(INDEX(#REF!,MATCH(TRUE,ISNUMBER(FIND(SUBSTITUTE(SUBSTITUTE(UPPER(#REF!)," ",""),":",": "),SUBSTITUTE(SUBSTITUTE(UPPER(S2116)," ",""),":",": "))),0)),"Não encontrado")</f>
        <v>Não encontrado</v>
      </c>
      <c r="E2116" s="42" t="str" cm="1">
        <f t="array" ref="E2116">IFERROR(INDEX({"IMPEDITIVO"},MATCH(TRUE,ISNUMBER(FIND(SUBSTITUTE(SUBSTITUTE(UPPER({"IMPEDITIVO"})," ",""),":",": "),SUBSTITUTE(SUBSTITUTE(UPPER(S2116)," ",""),":",": "))),0)),"-")</f>
        <v>-</v>
      </c>
      <c r="K2116" s="49"/>
    </row>
    <row r="2117" spans="1:11" x14ac:dyDescent="0.25">
      <c r="A2117" s="46" t="str" cm="1">
        <f t="array" ref="A2117">IFERROR(INDEX(#REF!,MATCH(TRUE,ISNUMBER(FIND(SUBSTITUTE(SUBSTITUTE(UPPER(#REF!)," ",""),":",": "),SUBSTITUTE(SUBSTITUTE(UPPER(S2117)," ",""),":",": "))),0)),"Undefined")</f>
        <v>Undefined</v>
      </c>
      <c r="B2117" s="42" t="str" cm="1">
        <f t="array" ref="B2117">IFERROR(INDEX({"URGENTE"},MATCH(TRUE,ISNUMBER(FIND(SUBSTITUTE(SUBSTITUTE(UPPER({"URGENTE"})," ",""),":",": "),SUBSTITUTE(SUBSTITUTE(UPPER(S2117)," ",""),":",": "))),0)),"-")</f>
        <v>-</v>
      </c>
      <c r="C2117" s="46" t="str" cm="1">
        <f t="array" ref="C2117">IFERROR(INDEX(#REF!,MATCH(TRUE,ISNUMBER(FIND(SUBSTITUTE(SUBSTITUTE(UPPER(#REF!)," ",""),":",": "),SUBSTITUTE(SUBSTITUTE(UPPER(S2117)," ",""),":",": "))),0)),"Não encontrado")</f>
        <v>Não encontrado</v>
      </c>
      <c r="D2117" s="46" t="str" cm="1">
        <f t="array" ref="D2117">IFERROR(INDEX(#REF!,MATCH(TRUE,ISNUMBER(FIND(SUBSTITUTE(SUBSTITUTE(UPPER(#REF!)," ",""),":",": "),SUBSTITUTE(SUBSTITUTE(UPPER(S2117)," ",""),":",": "))),0)),"Não encontrado")</f>
        <v>Não encontrado</v>
      </c>
      <c r="E2117" s="42" t="str" cm="1">
        <f t="array" ref="E2117">IFERROR(INDEX({"IMPEDITIVO"},MATCH(TRUE,ISNUMBER(FIND(SUBSTITUTE(SUBSTITUTE(UPPER({"IMPEDITIVO"})," ",""),":",": "),SUBSTITUTE(SUBSTITUTE(UPPER(S2117)," ",""),":",": "))),0)),"-")</f>
        <v>-</v>
      </c>
      <c r="K2117" s="49"/>
    </row>
    <row r="2118" spans="1:11" x14ac:dyDescent="0.25">
      <c r="A2118" s="46" t="str" cm="1">
        <f t="array" ref="A2118">IFERROR(INDEX(#REF!,MATCH(TRUE,ISNUMBER(FIND(SUBSTITUTE(SUBSTITUTE(UPPER(#REF!)," ",""),":",": "),SUBSTITUTE(SUBSTITUTE(UPPER(S2118)," ",""),":",": "))),0)),"Undefined")</f>
        <v>Undefined</v>
      </c>
      <c r="B2118" s="42" t="str" cm="1">
        <f t="array" ref="B2118">IFERROR(INDEX({"URGENTE"},MATCH(TRUE,ISNUMBER(FIND(SUBSTITUTE(SUBSTITUTE(UPPER({"URGENTE"})," ",""),":",": "),SUBSTITUTE(SUBSTITUTE(UPPER(S2118)," ",""),":",": "))),0)),"-")</f>
        <v>-</v>
      </c>
      <c r="C2118" s="46" t="str" cm="1">
        <f t="array" ref="C2118">IFERROR(INDEX(#REF!,MATCH(TRUE,ISNUMBER(FIND(SUBSTITUTE(SUBSTITUTE(UPPER(#REF!)," ",""),":",": "),SUBSTITUTE(SUBSTITUTE(UPPER(S2118)," ",""),":",": "))),0)),"Não encontrado")</f>
        <v>Não encontrado</v>
      </c>
      <c r="D2118" s="46" t="str" cm="1">
        <f t="array" ref="D2118">IFERROR(INDEX(#REF!,MATCH(TRUE,ISNUMBER(FIND(SUBSTITUTE(SUBSTITUTE(UPPER(#REF!)," ",""),":",": "),SUBSTITUTE(SUBSTITUTE(UPPER(S2118)," ",""),":",": "))),0)),"Não encontrado")</f>
        <v>Não encontrado</v>
      </c>
      <c r="E2118" s="42" t="str" cm="1">
        <f t="array" ref="E2118">IFERROR(INDEX({"IMPEDITIVO"},MATCH(TRUE,ISNUMBER(FIND(SUBSTITUTE(SUBSTITUTE(UPPER({"IMPEDITIVO"})," ",""),":",": "),SUBSTITUTE(SUBSTITUTE(UPPER(S2118)," ",""),":",": "))),0)),"-")</f>
        <v>-</v>
      </c>
      <c r="K2118" s="49"/>
    </row>
    <row r="2119" spans="1:11" x14ac:dyDescent="0.25">
      <c r="A2119" s="46" t="str" cm="1">
        <f t="array" ref="A2119">IFERROR(INDEX(#REF!,MATCH(TRUE,ISNUMBER(FIND(SUBSTITUTE(SUBSTITUTE(UPPER(#REF!)," ",""),":",": "),SUBSTITUTE(SUBSTITUTE(UPPER(S2119)," ",""),":",": "))),0)),"Undefined")</f>
        <v>Undefined</v>
      </c>
      <c r="B2119" s="42" t="str" cm="1">
        <f t="array" ref="B2119">IFERROR(INDEX({"URGENTE"},MATCH(TRUE,ISNUMBER(FIND(SUBSTITUTE(SUBSTITUTE(UPPER({"URGENTE"})," ",""),":",": "),SUBSTITUTE(SUBSTITUTE(UPPER(S2119)," ",""),":",": "))),0)),"-")</f>
        <v>-</v>
      </c>
      <c r="C2119" s="46" t="str" cm="1">
        <f t="array" ref="C2119">IFERROR(INDEX(#REF!,MATCH(TRUE,ISNUMBER(FIND(SUBSTITUTE(SUBSTITUTE(UPPER(#REF!)," ",""),":",": "),SUBSTITUTE(SUBSTITUTE(UPPER(S2119)," ",""),":",": "))),0)),"Não encontrado")</f>
        <v>Não encontrado</v>
      </c>
      <c r="D2119" s="46" t="str" cm="1">
        <f t="array" ref="D2119">IFERROR(INDEX(#REF!,MATCH(TRUE,ISNUMBER(FIND(SUBSTITUTE(SUBSTITUTE(UPPER(#REF!)," ",""),":",": "),SUBSTITUTE(SUBSTITUTE(UPPER(S2119)," ",""),":",": "))),0)),"Não encontrado")</f>
        <v>Não encontrado</v>
      </c>
      <c r="E2119" s="42" t="str" cm="1">
        <f t="array" ref="E2119">IFERROR(INDEX({"IMPEDITIVO"},MATCH(TRUE,ISNUMBER(FIND(SUBSTITUTE(SUBSTITUTE(UPPER({"IMPEDITIVO"})," ",""),":",": "),SUBSTITUTE(SUBSTITUTE(UPPER(S2119)," ",""),":",": "))),0)),"-")</f>
        <v>-</v>
      </c>
      <c r="K2119" s="49"/>
    </row>
    <row r="2120" spans="1:11" x14ac:dyDescent="0.25">
      <c r="A2120" s="46" t="str" cm="1">
        <f t="array" ref="A2120">IFERROR(INDEX(#REF!,MATCH(TRUE,ISNUMBER(FIND(SUBSTITUTE(SUBSTITUTE(UPPER(#REF!)," ",""),":",": "),SUBSTITUTE(SUBSTITUTE(UPPER(S2120)," ",""),":",": "))),0)),"Undefined")</f>
        <v>Undefined</v>
      </c>
      <c r="B2120" s="42" t="str" cm="1">
        <f t="array" ref="B2120">IFERROR(INDEX({"URGENTE"},MATCH(TRUE,ISNUMBER(FIND(SUBSTITUTE(SUBSTITUTE(UPPER({"URGENTE"})," ",""),":",": "),SUBSTITUTE(SUBSTITUTE(UPPER(S2120)," ",""),":",": "))),0)),"-")</f>
        <v>-</v>
      </c>
      <c r="C2120" s="46" t="str" cm="1">
        <f t="array" ref="C2120">IFERROR(INDEX(#REF!,MATCH(TRUE,ISNUMBER(FIND(SUBSTITUTE(SUBSTITUTE(UPPER(#REF!)," ",""),":",": "),SUBSTITUTE(SUBSTITUTE(UPPER(S2120)," ",""),":",": "))),0)),"Não encontrado")</f>
        <v>Não encontrado</v>
      </c>
      <c r="D2120" s="46" t="str" cm="1">
        <f t="array" ref="D2120">IFERROR(INDEX(#REF!,MATCH(TRUE,ISNUMBER(FIND(SUBSTITUTE(SUBSTITUTE(UPPER(#REF!)," ",""),":",": "),SUBSTITUTE(SUBSTITUTE(UPPER(S2120)," ",""),":",": "))),0)),"Não encontrado")</f>
        <v>Não encontrado</v>
      </c>
      <c r="E2120" s="42" t="str" cm="1">
        <f t="array" ref="E2120">IFERROR(INDEX({"IMPEDITIVO"},MATCH(TRUE,ISNUMBER(FIND(SUBSTITUTE(SUBSTITUTE(UPPER({"IMPEDITIVO"})," ",""),":",": "),SUBSTITUTE(SUBSTITUTE(UPPER(S2120)," ",""),":",": "))),0)),"-")</f>
        <v>-</v>
      </c>
      <c r="K2120" s="49"/>
    </row>
    <row r="2121" spans="1:11" x14ac:dyDescent="0.25">
      <c r="A2121" s="46" t="str" cm="1">
        <f t="array" ref="A2121">IFERROR(INDEX(#REF!,MATCH(TRUE,ISNUMBER(FIND(SUBSTITUTE(SUBSTITUTE(UPPER(#REF!)," ",""),":",": "),SUBSTITUTE(SUBSTITUTE(UPPER(S2121)," ",""),":",": "))),0)),"Undefined")</f>
        <v>Undefined</v>
      </c>
      <c r="B2121" s="42" t="str" cm="1">
        <f t="array" ref="B2121">IFERROR(INDEX({"URGENTE"},MATCH(TRUE,ISNUMBER(FIND(SUBSTITUTE(SUBSTITUTE(UPPER({"URGENTE"})," ",""),":",": "),SUBSTITUTE(SUBSTITUTE(UPPER(S2121)," ",""),":",": "))),0)),"-")</f>
        <v>-</v>
      </c>
      <c r="C2121" s="46" t="str" cm="1">
        <f t="array" ref="C2121">IFERROR(INDEX(#REF!,MATCH(TRUE,ISNUMBER(FIND(SUBSTITUTE(SUBSTITUTE(UPPER(#REF!)," ",""),":",": "),SUBSTITUTE(SUBSTITUTE(UPPER(S2121)," ",""),":",": "))),0)),"Não encontrado")</f>
        <v>Não encontrado</v>
      </c>
      <c r="D2121" s="46" t="str" cm="1">
        <f t="array" ref="D2121">IFERROR(INDEX(#REF!,MATCH(TRUE,ISNUMBER(FIND(SUBSTITUTE(SUBSTITUTE(UPPER(#REF!)," ",""),":",": "),SUBSTITUTE(SUBSTITUTE(UPPER(S2121)," ",""),":",": "))),0)),"Não encontrado")</f>
        <v>Não encontrado</v>
      </c>
      <c r="E2121" s="42" t="str" cm="1">
        <f t="array" ref="E2121">IFERROR(INDEX({"IMPEDITIVO"},MATCH(TRUE,ISNUMBER(FIND(SUBSTITUTE(SUBSTITUTE(UPPER({"IMPEDITIVO"})," ",""),":",": "),SUBSTITUTE(SUBSTITUTE(UPPER(S2121)," ",""),":",": "))),0)),"-")</f>
        <v>-</v>
      </c>
      <c r="K2121" s="49"/>
    </row>
    <row r="2122" spans="1:11" x14ac:dyDescent="0.25">
      <c r="A2122" s="46" t="str" cm="1">
        <f t="array" ref="A2122">IFERROR(INDEX(#REF!,MATCH(TRUE,ISNUMBER(FIND(SUBSTITUTE(SUBSTITUTE(UPPER(#REF!)," ",""),":",": "),SUBSTITUTE(SUBSTITUTE(UPPER(S2122)," ",""),":",": "))),0)),"Undefined")</f>
        <v>Undefined</v>
      </c>
      <c r="B2122" s="42" t="str" cm="1">
        <f t="array" ref="B2122">IFERROR(INDEX({"URGENTE"},MATCH(TRUE,ISNUMBER(FIND(SUBSTITUTE(SUBSTITUTE(UPPER({"URGENTE"})," ",""),":",": "),SUBSTITUTE(SUBSTITUTE(UPPER(S2122)," ",""),":",": "))),0)),"-")</f>
        <v>-</v>
      </c>
      <c r="C2122" s="46" t="str" cm="1">
        <f t="array" ref="C2122">IFERROR(INDEX(#REF!,MATCH(TRUE,ISNUMBER(FIND(SUBSTITUTE(SUBSTITUTE(UPPER(#REF!)," ",""),":",": "),SUBSTITUTE(SUBSTITUTE(UPPER(S2122)," ",""),":",": "))),0)),"Não encontrado")</f>
        <v>Não encontrado</v>
      </c>
      <c r="D2122" s="46" t="str" cm="1">
        <f t="array" ref="D2122">IFERROR(INDEX(#REF!,MATCH(TRUE,ISNUMBER(FIND(SUBSTITUTE(SUBSTITUTE(UPPER(#REF!)," ",""),":",": "),SUBSTITUTE(SUBSTITUTE(UPPER(S2122)," ",""),":",": "))),0)),"Não encontrado")</f>
        <v>Não encontrado</v>
      </c>
      <c r="E2122" s="42" t="str" cm="1">
        <f t="array" ref="E2122">IFERROR(INDEX({"IMPEDITIVO"},MATCH(TRUE,ISNUMBER(FIND(SUBSTITUTE(SUBSTITUTE(UPPER({"IMPEDITIVO"})," ",""),":",": "),SUBSTITUTE(SUBSTITUTE(UPPER(S2122)," ",""),":",": "))),0)),"-")</f>
        <v>-</v>
      </c>
      <c r="K2122" s="49"/>
    </row>
    <row r="2123" spans="1:11" x14ac:dyDescent="0.25">
      <c r="A2123" s="46" t="str" cm="1">
        <f t="array" ref="A2123">IFERROR(INDEX(#REF!,MATCH(TRUE,ISNUMBER(FIND(SUBSTITUTE(SUBSTITUTE(UPPER(#REF!)," ",""),":",": "),SUBSTITUTE(SUBSTITUTE(UPPER(S2123)," ",""),":",": "))),0)),"Undefined")</f>
        <v>Undefined</v>
      </c>
      <c r="B2123" s="42" t="str" cm="1">
        <f t="array" ref="B2123">IFERROR(INDEX({"URGENTE"},MATCH(TRUE,ISNUMBER(FIND(SUBSTITUTE(SUBSTITUTE(UPPER({"URGENTE"})," ",""),":",": "),SUBSTITUTE(SUBSTITUTE(UPPER(S2123)," ",""),":",": "))),0)),"-")</f>
        <v>-</v>
      </c>
      <c r="C2123" s="46" t="str" cm="1">
        <f t="array" ref="C2123">IFERROR(INDEX(#REF!,MATCH(TRUE,ISNUMBER(FIND(SUBSTITUTE(SUBSTITUTE(UPPER(#REF!)," ",""),":",": "),SUBSTITUTE(SUBSTITUTE(UPPER(S2123)," ",""),":",": "))),0)),"Não encontrado")</f>
        <v>Não encontrado</v>
      </c>
      <c r="D2123" s="46" t="str" cm="1">
        <f t="array" ref="D2123">IFERROR(INDEX(#REF!,MATCH(TRUE,ISNUMBER(FIND(SUBSTITUTE(SUBSTITUTE(UPPER(#REF!)," ",""),":",": "),SUBSTITUTE(SUBSTITUTE(UPPER(S2123)," ",""),":",": "))),0)),"Não encontrado")</f>
        <v>Não encontrado</v>
      </c>
      <c r="E2123" s="42" t="str" cm="1">
        <f t="array" ref="E2123">IFERROR(INDEX({"IMPEDITIVO"},MATCH(TRUE,ISNUMBER(FIND(SUBSTITUTE(SUBSTITUTE(UPPER({"IMPEDITIVO"})," ",""),":",": "),SUBSTITUTE(SUBSTITUTE(UPPER(S2123)," ",""),":",": "))),0)),"-")</f>
        <v>-</v>
      </c>
      <c r="K2123" s="49"/>
    </row>
    <row r="2124" spans="1:11" x14ac:dyDescent="0.25">
      <c r="A2124" s="46" t="str" cm="1">
        <f t="array" ref="A2124">IFERROR(INDEX(#REF!,MATCH(TRUE,ISNUMBER(FIND(SUBSTITUTE(SUBSTITUTE(UPPER(#REF!)," ",""),":",": "),SUBSTITUTE(SUBSTITUTE(UPPER(S2124)," ",""),":",": "))),0)),"Undefined")</f>
        <v>Undefined</v>
      </c>
      <c r="B2124" s="42" t="str" cm="1">
        <f t="array" ref="B2124">IFERROR(INDEX({"URGENTE"},MATCH(TRUE,ISNUMBER(FIND(SUBSTITUTE(SUBSTITUTE(UPPER({"URGENTE"})," ",""),":",": "),SUBSTITUTE(SUBSTITUTE(UPPER(S2124)," ",""),":",": "))),0)),"-")</f>
        <v>-</v>
      </c>
      <c r="C2124" s="46" t="str" cm="1">
        <f t="array" ref="C2124">IFERROR(INDEX(#REF!,MATCH(TRUE,ISNUMBER(FIND(SUBSTITUTE(SUBSTITUTE(UPPER(#REF!)," ",""),":",": "),SUBSTITUTE(SUBSTITUTE(UPPER(S2124)," ",""),":",": "))),0)),"Não encontrado")</f>
        <v>Não encontrado</v>
      </c>
      <c r="D2124" s="46" t="str" cm="1">
        <f t="array" ref="D2124">IFERROR(INDEX(#REF!,MATCH(TRUE,ISNUMBER(FIND(SUBSTITUTE(SUBSTITUTE(UPPER(#REF!)," ",""),":",": "),SUBSTITUTE(SUBSTITUTE(UPPER(S2124)," ",""),":",": "))),0)),"Não encontrado")</f>
        <v>Não encontrado</v>
      </c>
      <c r="E2124" s="42" t="str" cm="1">
        <f t="array" ref="E2124">IFERROR(INDEX({"IMPEDITIVO"},MATCH(TRUE,ISNUMBER(FIND(SUBSTITUTE(SUBSTITUTE(UPPER({"IMPEDITIVO"})," ",""),":",": "),SUBSTITUTE(SUBSTITUTE(UPPER(S2124)," ",""),":",": "))),0)),"-")</f>
        <v>-</v>
      </c>
      <c r="K2124" s="49"/>
    </row>
    <row r="2125" spans="1:11" x14ac:dyDescent="0.25">
      <c r="A2125" s="46" t="str" cm="1">
        <f t="array" ref="A2125">IFERROR(INDEX(#REF!,MATCH(TRUE,ISNUMBER(FIND(SUBSTITUTE(SUBSTITUTE(UPPER(#REF!)," ",""),":",": "),SUBSTITUTE(SUBSTITUTE(UPPER(S2125)," ",""),":",": "))),0)),"Undefined")</f>
        <v>Undefined</v>
      </c>
      <c r="B2125" s="42" t="str" cm="1">
        <f t="array" ref="B2125">IFERROR(INDEX({"URGENTE"},MATCH(TRUE,ISNUMBER(FIND(SUBSTITUTE(SUBSTITUTE(UPPER({"URGENTE"})," ",""),":",": "),SUBSTITUTE(SUBSTITUTE(UPPER(S2125)," ",""),":",": "))),0)),"-")</f>
        <v>-</v>
      </c>
      <c r="C2125" s="46" t="str" cm="1">
        <f t="array" ref="C2125">IFERROR(INDEX(#REF!,MATCH(TRUE,ISNUMBER(FIND(SUBSTITUTE(SUBSTITUTE(UPPER(#REF!)," ",""),":",": "),SUBSTITUTE(SUBSTITUTE(UPPER(S2125)," ",""),":",": "))),0)),"Não encontrado")</f>
        <v>Não encontrado</v>
      </c>
      <c r="D2125" s="46" t="str" cm="1">
        <f t="array" ref="D2125">IFERROR(INDEX(#REF!,MATCH(TRUE,ISNUMBER(FIND(SUBSTITUTE(SUBSTITUTE(UPPER(#REF!)," ",""),":",": "),SUBSTITUTE(SUBSTITUTE(UPPER(S2125)," ",""),":",": "))),0)),"Não encontrado")</f>
        <v>Não encontrado</v>
      </c>
      <c r="E2125" s="42" t="str" cm="1">
        <f t="array" ref="E2125">IFERROR(INDEX({"IMPEDITIVO"},MATCH(TRUE,ISNUMBER(FIND(SUBSTITUTE(SUBSTITUTE(UPPER({"IMPEDITIVO"})," ",""),":",": "),SUBSTITUTE(SUBSTITUTE(UPPER(S2125)," ",""),":",": "))),0)),"-")</f>
        <v>-</v>
      </c>
      <c r="K2125" s="49"/>
    </row>
    <row r="2126" spans="1:11" x14ac:dyDescent="0.25">
      <c r="A2126" s="46" t="str" cm="1">
        <f t="array" ref="A2126">IFERROR(INDEX(#REF!,MATCH(TRUE,ISNUMBER(FIND(SUBSTITUTE(SUBSTITUTE(UPPER(#REF!)," ",""),":",": "),SUBSTITUTE(SUBSTITUTE(UPPER(S2126)," ",""),":",": "))),0)),"Undefined")</f>
        <v>Undefined</v>
      </c>
      <c r="B2126" s="42" t="str" cm="1">
        <f t="array" ref="B2126">IFERROR(INDEX({"URGENTE"},MATCH(TRUE,ISNUMBER(FIND(SUBSTITUTE(SUBSTITUTE(UPPER({"URGENTE"})," ",""),":",": "),SUBSTITUTE(SUBSTITUTE(UPPER(S2126)," ",""),":",": "))),0)),"-")</f>
        <v>-</v>
      </c>
      <c r="C2126" s="46" t="str" cm="1">
        <f t="array" ref="C2126">IFERROR(INDEX(#REF!,MATCH(TRUE,ISNUMBER(FIND(SUBSTITUTE(SUBSTITUTE(UPPER(#REF!)," ",""),":",": "),SUBSTITUTE(SUBSTITUTE(UPPER(S2126)," ",""),":",": "))),0)),"Não encontrado")</f>
        <v>Não encontrado</v>
      </c>
      <c r="D2126" s="46" t="str" cm="1">
        <f t="array" ref="D2126">IFERROR(INDEX(#REF!,MATCH(TRUE,ISNUMBER(FIND(SUBSTITUTE(SUBSTITUTE(UPPER(#REF!)," ",""),":",": "),SUBSTITUTE(SUBSTITUTE(UPPER(S2126)," ",""),":",": "))),0)),"Não encontrado")</f>
        <v>Não encontrado</v>
      </c>
      <c r="E2126" s="42" t="str" cm="1">
        <f t="array" ref="E2126">IFERROR(INDEX({"IMPEDITIVO"},MATCH(TRUE,ISNUMBER(FIND(SUBSTITUTE(SUBSTITUTE(UPPER({"IMPEDITIVO"})," ",""),":",": "),SUBSTITUTE(SUBSTITUTE(UPPER(S2126)," ",""),":",": "))),0)),"-")</f>
        <v>-</v>
      </c>
      <c r="K2126" s="49"/>
    </row>
    <row r="2127" spans="1:11" x14ac:dyDescent="0.25">
      <c r="A2127" s="46" t="str" cm="1">
        <f t="array" ref="A2127">IFERROR(INDEX(#REF!,MATCH(TRUE,ISNUMBER(FIND(SUBSTITUTE(SUBSTITUTE(UPPER(#REF!)," ",""),":",": "),SUBSTITUTE(SUBSTITUTE(UPPER(S2127)," ",""),":",": "))),0)),"Undefined")</f>
        <v>Undefined</v>
      </c>
      <c r="B2127" s="42" t="str" cm="1">
        <f t="array" ref="B2127">IFERROR(INDEX({"URGENTE"},MATCH(TRUE,ISNUMBER(FIND(SUBSTITUTE(SUBSTITUTE(UPPER({"URGENTE"})," ",""),":",": "),SUBSTITUTE(SUBSTITUTE(UPPER(S2127)," ",""),":",": "))),0)),"-")</f>
        <v>-</v>
      </c>
      <c r="C2127" s="46" t="str" cm="1">
        <f t="array" ref="C2127">IFERROR(INDEX(#REF!,MATCH(TRUE,ISNUMBER(FIND(SUBSTITUTE(SUBSTITUTE(UPPER(#REF!)," ",""),":",": "),SUBSTITUTE(SUBSTITUTE(UPPER(S2127)," ",""),":",": "))),0)),"Não encontrado")</f>
        <v>Não encontrado</v>
      </c>
      <c r="D2127" s="46" t="str" cm="1">
        <f t="array" ref="D2127">IFERROR(INDEX(#REF!,MATCH(TRUE,ISNUMBER(FIND(SUBSTITUTE(SUBSTITUTE(UPPER(#REF!)," ",""),":",": "),SUBSTITUTE(SUBSTITUTE(UPPER(S2127)," ",""),":",": "))),0)),"Não encontrado")</f>
        <v>Não encontrado</v>
      </c>
      <c r="E2127" s="42" t="str" cm="1">
        <f t="array" ref="E2127">IFERROR(INDEX({"IMPEDITIVO"},MATCH(TRUE,ISNUMBER(FIND(SUBSTITUTE(SUBSTITUTE(UPPER({"IMPEDITIVO"})," ",""),":",": "),SUBSTITUTE(SUBSTITUTE(UPPER(S2127)," ",""),":",": "))),0)),"-")</f>
        <v>-</v>
      </c>
      <c r="K2127" s="49"/>
    </row>
    <row r="2128" spans="1:11" x14ac:dyDescent="0.25">
      <c r="A2128" s="46" t="str" cm="1">
        <f t="array" ref="A2128">IFERROR(INDEX(#REF!,MATCH(TRUE,ISNUMBER(FIND(SUBSTITUTE(SUBSTITUTE(UPPER(#REF!)," ",""),":",": "),SUBSTITUTE(SUBSTITUTE(UPPER(S2128)," ",""),":",": "))),0)),"Undefined")</f>
        <v>Undefined</v>
      </c>
      <c r="B2128" s="42" t="str" cm="1">
        <f t="array" ref="B2128">IFERROR(INDEX({"URGENTE"},MATCH(TRUE,ISNUMBER(FIND(SUBSTITUTE(SUBSTITUTE(UPPER({"URGENTE"})," ",""),":",": "),SUBSTITUTE(SUBSTITUTE(UPPER(S2128)," ",""),":",": "))),0)),"-")</f>
        <v>-</v>
      </c>
      <c r="C2128" s="46" t="str" cm="1">
        <f t="array" ref="C2128">IFERROR(INDEX(#REF!,MATCH(TRUE,ISNUMBER(FIND(SUBSTITUTE(SUBSTITUTE(UPPER(#REF!)," ",""),":",": "),SUBSTITUTE(SUBSTITUTE(UPPER(S2128)," ",""),":",": "))),0)),"Não encontrado")</f>
        <v>Não encontrado</v>
      </c>
      <c r="D2128" s="46" t="str" cm="1">
        <f t="array" ref="D2128">IFERROR(INDEX(#REF!,MATCH(TRUE,ISNUMBER(FIND(SUBSTITUTE(SUBSTITUTE(UPPER(#REF!)," ",""),":",": "),SUBSTITUTE(SUBSTITUTE(UPPER(S2128)," ",""),":",": "))),0)),"Não encontrado")</f>
        <v>Não encontrado</v>
      </c>
      <c r="E2128" s="42" t="str" cm="1">
        <f t="array" ref="E2128">IFERROR(INDEX({"IMPEDITIVO"},MATCH(TRUE,ISNUMBER(FIND(SUBSTITUTE(SUBSTITUTE(UPPER({"IMPEDITIVO"})," ",""),":",": "),SUBSTITUTE(SUBSTITUTE(UPPER(S2128)," ",""),":",": "))),0)),"-")</f>
        <v>-</v>
      </c>
      <c r="K2128" s="49"/>
    </row>
    <row r="2129" spans="1:11" x14ac:dyDescent="0.25">
      <c r="A2129" s="46" t="str" cm="1">
        <f t="array" ref="A2129">IFERROR(INDEX(#REF!,MATCH(TRUE,ISNUMBER(FIND(SUBSTITUTE(SUBSTITUTE(UPPER(#REF!)," ",""),":",": "),SUBSTITUTE(SUBSTITUTE(UPPER(S2129)," ",""),":",": "))),0)),"Undefined")</f>
        <v>Undefined</v>
      </c>
      <c r="B2129" s="42" t="str" cm="1">
        <f t="array" ref="B2129">IFERROR(INDEX({"URGENTE"},MATCH(TRUE,ISNUMBER(FIND(SUBSTITUTE(SUBSTITUTE(UPPER({"URGENTE"})," ",""),":",": "),SUBSTITUTE(SUBSTITUTE(UPPER(S2129)," ",""),":",": "))),0)),"-")</f>
        <v>-</v>
      </c>
      <c r="C2129" s="46" t="str" cm="1">
        <f t="array" ref="C2129">IFERROR(INDEX(#REF!,MATCH(TRUE,ISNUMBER(FIND(SUBSTITUTE(SUBSTITUTE(UPPER(#REF!)," ",""),":",": "),SUBSTITUTE(SUBSTITUTE(UPPER(S2129)," ",""),":",": "))),0)),"Não encontrado")</f>
        <v>Não encontrado</v>
      </c>
      <c r="D2129" s="46" t="str" cm="1">
        <f t="array" ref="D2129">IFERROR(INDEX(#REF!,MATCH(TRUE,ISNUMBER(FIND(SUBSTITUTE(SUBSTITUTE(UPPER(#REF!)," ",""),":",": "),SUBSTITUTE(SUBSTITUTE(UPPER(S2129)," ",""),":",": "))),0)),"Não encontrado")</f>
        <v>Não encontrado</v>
      </c>
      <c r="E2129" s="42" t="str" cm="1">
        <f t="array" ref="E2129">IFERROR(INDEX({"IMPEDITIVO"},MATCH(TRUE,ISNUMBER(FIND(SUBSTITUTE(SUBSTITUTE(UPPER({"IMPEDITIVO"})," ",""),":",": "),SUBSTITUTE(SUBSTITUTE(UPPER(S2129)," ",""),":",": "))),0)),"-")</f>
        <v>-</v>
      </c>
      <c r="K2129" s="49"/>
    </row>
    <row r="2130" spans="1:11" x14ac:dyDescent="0.25">
      <c r="A2130" s="46" t="str" cm="1">
        <f t="array" ref="A2130">IFERROR(INDEX(#REF!,MATCH(TRUE,ISNUMBER(FIND(SUBSTITUTE(SUBSTITUTE(UPPER(#REF!)," ",""),":",": "),SUBSTITUTE(SUBSTITUTE(UPPER(S2130)," ",""),":",": "))),0)),"Undefined")</f>
        <v>Undefined</v>
      </c>
      <c r="B2130" s="42" t="str" cm="1">
        <f t="array" ref="B2130">IFERROR(INDEX({"URGENTE"},MATCH(TRUE,ISNUMBER(FIND(SUBSTITUTE(SUBSTITUTE(UPPER({"URGENTE"})," ",""),":",": "),SUBSTITUTE(SUBSTITUTE(UPPER(S2130)," ",""),":",": "))),0)),"-")</f>
        <v>-</v>
      </c>
      <c r="C2130" s="46" t="str" cm="1">
        <f t="array" ref="C2130">IFERROR(INDEX(#REF!,MATCH(TRUE,ISNUMBER(FIND(SUBSTITUTE(SUBSTITUTE(UPPER(#REF!)," ",""),":",": "),SUBSTITUTE(SUBSTITUTE(UPPER(S2130)," ",""),":",": "))),0)),"Não encontrado")</f>
        <v>Não encontrado</v>
      </c>
      <c r="D2130" s="46" t="str" cm="1">
        <f t="array" ref="D2130">IFERROR(INDEX(#REF!,MATCH(TRUE,ISNUMBER(FIND(SUBSTITUTE(SUBSTITUTE(UPPER(#REF!)," ",""),":",": "),SUBSTITUTE(SUBSTITUTE(UPPER(S2130)," ",""),":",": "))),0)),"Não encontrado")</f>
        <v>Não encontrado</v>
      </c>
      <c r="E2130" s="42" t="str" cm="1">
        <f t="array" ref="E2130">IFERROR(INDEX({"IMPEDITIVO"},MATCH(TRUE,ISNUMBER(FIND(SUBSTITUTE(SUBSTITUTE(UPPER({"IMPEDITIVO"})," ",""),":",": "),SUBSTITUTE(SUBSTITUTE(UPPER(S2130)," ",""),":",": "))),0)),"-")</f>
        <v>-</v>
      </c>
      <c r="K2130" s="49"/>
    </row>
    <row r="2131" spans="1:11" x14ac:dyDescent="0.25">
      <c r="A2131" s="46" t="str" cm="1">
        <f t="array" ref="A2131">IFERROR(INDEX(#REF!,MATCH(TRUE,ISNUMBER(FIND(SUBSTITUTE(SUBSTITUTE(UPPER(#REF!)," ",""),":",": "),SUBSTITUTE(SUBSTITUTE(UPPER(S2131)," ",""),":",": "))),0)),"Undefined")</f>
        <v>Undefined</v>
      </c>
      <c r="B2131" s="42" t="str" cm="1">
        <f t="array" ref="B2131">IFERROR(INDEX({"URGENTE"},MATCH(TRUE,ISNUMBER(FIND(SUBSTITUTE(SUBSTITUTE(UPPER({"URGENTE"})," ",""),":",": "),SUBSTITUTE(SUBSTITUTE(UPPER(S2131)," ",""),":",": "))),0)),"-")</f>
        <v>-</v>
      </c>
      <c r="C2131" s="46" t="str" cm="1">
        <f t="array" ref="C2131">IFERROR(INDEX(#REF!,MATCH(TRUE,ISNUMBER(FIND(SUBSTITUTE(SUBSTITUTE(UPPER(#REF!)," ",""),":",": "),SUBSTITUTE(SUBSTITUTE(UPPER(S2131)," ",""),":",": "))),0)),"Não encontrado")</f>
        <v>Não encontrado</v>
      </c>
      <c r="D2131" s="46" t="str" cm="1">
        <f t="array" ref="D2131">IFERROR(INDEX(#REF!,MATCH(TRUE,ISNUMBER(FIND(SUBSTITUTE(SUBSTITUTE(UPPER(#REF!)," ",""),":",": "),SUBSTITUTE(SUBSTITUTE(UPPER(S2131)," ",""),":",": "))),0)),"Não encontrado")</f>
        <v>Não encontrado</v>
      </c>
      <c r="E2131" s="42" t="str" cm="1">
        <f t="array" ref="E2131">IFERROR(INDEX({"IMPEDITIVO"},MATCH(TRUE,ISNUMBER(FIND(SUBSTITUTE(SUBSTITUTE(UPPER({"IMPEDITIVO"})," ",""),":",": "),SUBSTITUTE(SUBSTITUTE(UPPER(S2131)," ",""),":",": "))),0)),"-")</f>
        <v>-</v>
      </c>
      <c r="K2131" s="49"/>
    </row>
    <row r="2132" spans="1:11" x14ac:dyDescent="0.25">
      <c r="A2132" s="46" t="str" cm="1">
        <f t="array" ref="A2132">IFERROR(INDEX(#REF!,MATCH(TRUE,ISNUMBER(FIND(SUBSTITUTE(SUBSTITUTE(UPPER(#REF!)," ",""),":",": "),SUBSTITUTE(SUBSTITUTE(UPPER(S2132)," ",""),":",": "))),0)),"Undefined")</f>
        <v>Undefined</v>
      </c>
      <c r="B2132" s="42" t="str" cm="1">
        <f t="array" ref="B2132">IFERROR(INDEX({"URGENTE"},MATCH(TRUE,ISNUMBER(FIND(SUBSTITUTE(SUBSTITUTE(UPPER({"URGENTE"})," ",""),":",": "),SUBSTITUTE(SUBSTITUTE(UPPER(S2132)," ",""),":",": "))),0)),"-")</f>
        <v>-</v>
      </c>
      <c r="C2132" s="46" t="str" cm="1">
        <f t="array" ref="C2132">IFERROR(INDEX(#REF!,MATCH(TRUE,ISNUMBER(FIND(SUBSTITUTE(SUBSTITUTE(UPPER(#REF!)," ",""),":",": "),SUBSTITUTE(SUBSTITUTE(UPPER(S2132)," ",""),":",": "))),0)),"Não encontrado")</f>
        <v>Não encontrado</v>
      </c>
      <c r="D2132" s="46" t="str" cm="1">
        <f t="array" ref="D2132">IFERROR(INDEX(#REF!,MATCH(TRUE,ISNUMBER(FIND(SUBSTITUTE(SUBSTITUTE(UPPER(#REF!)," ",""),":",": "),SUBSTITUTE(SUBSTITUTE(UPPER(S2132)," ",""),":",": "))),0)),"Não encontrado")</f>
        <v>Não encontrado</v>
      </c>
      <c r="E2132" s="42" t="str" cm="1">
        <f t="array" ref="E2132">IFERROR(INDEX({"IMPEDITIVO"},MATCH(TRUE,ISNUMBER(FIND(SUBSTITUTE(SUBSTITUTE(UPPER({"IMPEDITIVO"})," ",""),":",": "),SUBSTITUTE(SUBSTITUTE(UPPER(S2132)," ",""),":",": "))),0)),"-")</f>
        <v>-</v>
      </c>
      <c r="K2132" s="49"/>
    </row>
    <row r="2133" spans="1:11" x14ac:dyDescent="0.25">
      <c r="A2133" s="46" t="str" cm="1">
        <f t="array" ref="A2133">IFERROR(INDEX(#REF!,MATCH(TRUE,ISNUMBER(FIND(SUBSTITUTE(SUBSTITUTE(UPPER(#REF!)," ",""),":",": "),SUBSTITUTE(SUBSTITUTE(UPPER(S2133)," ",""),":",": "))),0)),"Undefined")</f>
        <v>Undefined</v>
      </c>
      <c r="B2133" s="42" t="str" cm="1">
        <f t="array" ref="B2133">IFERROR(INDEX({"URGENTE"},MATCH(TRUE,ISNUMBER(FIND(SUBSTITUTE(SUBSTITUTE(UPPER({"URGENTE"})," ",""),":",": "),SUBSTITUTE(SUBSTITUTE(UPPER(S2133)," ",""),":",": "))),0)),"-")</f>
        <v>-</v>
      </c>
      <c r="C2133" s="46" t="str" cm="1">
        <f t="array" ref="C2133">IFERROR(INDEX(#REF!,MATCH(TRUE,ISNUMBER(FIND(SUBSTITUTE(SUBSTITUTE(UPPER(#REF!)," ",""),":",": "),SUBSTITUTE(SUBSTITUTE(UPPER(S2133)," ",""),":",": "))),0)),"Não encontrado")</f>
        <v>Não encontrado</v>
      </c>
      <c r="D2133" s="46" t="str" cm="1">
        <f t="array" ref="D2133">IFERROR(INDEX(#REF!,MATCH(TRUE,ISNUMBER(FIND(SUBSTITUTE(SUBSTITUTE(UPPER(#REF!)," ",""),":",": "),SUBSTITUTE(SUBSTITUTE(UPPER(S2133)," ",""),":",": "))),0)),"Não encontrado")</f>
        <v>Não encontrado</v>
      </c>
      <c r="E2133" s="42" t="str" cm="1">
        <f t="array" ref="E2133">IFERROR(INDEX({"IMPEDITIVO"},MATCH(TRUE,ISNUMBER(FIND(SUBSTITUTE(SUBSTITUTE(UPPER({"IMPEDITIVO"})," ",""),":",": "),SUBSTITUTE(SUBSTITUTE(UPPER(S2133)," ",""),":",": "))),0)),"-")</f>
        <v>-</v>
      </c>
      <c r="K2133" s="49"/>
    </row>
    <row r="2134" spans="1:11" x14ac:dyDescent="0.25">
      <c r="A2134" s="46" t="str" cm="1">
        <f t="array" ref="A2134">IFERROR(INDEX(#REF!,MATCH(TRUE,ISNUMBER(FIND(SUBSTITUTE(SUBSTITUTE(UPPER(#REF!)," ",""),":",": "),SUBSTITUTE(SUBSTITUTE(UPPER(S2134)," ",""),":",": "))),0)),"Undefined")</f>
        <v>Undefined</v>
      </c>
      <c r="B2134" s="42" t="str" cm="1">
        <f t="array" ref="B2134">IFERROR(INDEX({"URGENTE"},MATCH(TRUE,ISNUMBER(FIND(SUBSTITUTE(SUBSTITUTE(UPPER({"URGENTE"})," ",""),":",": "),SUBSTITUTE(SUBSTITUTE(UPPER(S2134)," ",""),":",": "))),0)),"-")</f>
        <v>-</v>
      </c>
      <c r="C2134" s="46" t="str" cm="1">
        <f t="array" ref="C2134">IFERROR(INDEX(#REF!,MATCH(TRUE,ISNUMBER(FIND(SUBSTITUTE(SUBSTITUTE(UPPER(#REF!)," ",""),":",": "),SUBSTITUTE(SUBSTITUTE(UPPER(S2134)," ",""),":",": "))),0)),"Não encontrado")</f>
        <v>Não encontrado</v>
      </c>
      <c r="D2134" s="46" t="str" cm="1">
        <f t="array" ref="D2134">IFERROR(INDEX(#REF!,MATCH(TRUE,ISNUMBER(FIND(SUBSTITUTE(SUBSTITUTE(UPPER(#REF!)," ",""),":",": "),SUBSTITUTE(SUBSTITUTE(UPPER(S2134)," ",""),":",": "))),0)),"Não encontrado")</f>
        <v>Não encontrado</v>
      </c>
      <c r="E2134" s="42" t="str" cm="1">
        <f t="array" ref="E2134">IFERROR(INDEX({"IMPEDITIVO"},MATCH(TRUE,ISNUMBER(FIND(SUBSTITUTE(SUBSTITUTE(UPPER({"IMPEDITIVO"})," ",""),":",": "),SUBSTITUTE(SUBSTITUTE(UPPER(S2134)," ",""),":",": "))),0)),"-")</f>
        <v>-</v>
      </c>
      <c r="K2134" s="49"/>
    </row>
    <row r="2135" spans="1:11" x14ac:dyDescent="0.25">
      <c r="A2135" s="46" t="str" cm="1">
        <f t="array" ref="A2135">IFERROR(INDEX(#REF!,MATCH(TRUE,ISNUMBER(FIND(SUBSTITUTE(SUBSTITUTE(UPPER(#REF!)," ",""),":",": "),SUBSTITUTE(SUBSTITUTE(UPPER(S2135)," ",""),":",": "))),0)),"Undefined")</f>
        <v>Undefined</v>
      </c>
      <c r="B2135" s="42" t="str" cm="1">
        <f t="array" ref="B2135">IFERROR(INDEX({"URGENTE"},MATCH(TRUE,ISNUMBER(FIND(SUBSTITUTE(SUBSTITUTE(UPPER({"URGENTE"})," ",""),":",": "),SUBSTITUTE(SUBSTITUTE(UPPER(S2135)," ",""),":",": "))),0)),"-")</f>
        <v>-</v>
      </c>
      <c r="C2135" s="46" t="str" cm="1">
        <f t="array" ref="C2135">IFERROR(INDEX(#REF!,MATCH(TRUE,ISNUMBER(FIND(SUBSTITUTE(SUBSTITUTE(UPPER(#REF!)," ",""),":",": "),SUBSTITUTE(SUBSTITUTE(UPPER(S2135)," ",""),":",": "))),0)),"Não encontrado")</f>
        <v>Não encontrado</v>
      </c>
      <c r="D2135" s="46" t="str" cm="1">
        <f t="array" ref="D2135">IFERROR(INDEX(#REF!,MATCH(TRUE,ISNUMBER(FIND(SUBSTITUTE(SUBSTITUTE(UPPER(#REF!)," ",""),":",": "),SUBSTITUTE(SUBSTITUTE(UPPER(S2135)," ",""),":",": "))),0)),"Não encontrado")</f>
        <v>Não encontrado</v>
      </c>
      <c r="E2135" s="42" t="str" cm="1">
        <f t="array" ref="E2135">IFERROR(INDEX({"IMPEDITIVO"},MATCH(TRUE,ISNUMBER(FIND(SUBSTITUTE(SUBSTITUTE(UPPER({"IMPEDITIVO"})," ",""),":",": "),SUBSTITUTE(SUBSTITUTE(UPPER(S2135)," ",""),":",": "))),0)),"-")</f>
        <v>-</v>
      </c>
      <c r="K2135" s="49"/>
    </row>
    <row r="2136" spans="1:11" x14ac:dyDescent="0.25">
      <c r="A2136" s="46" t="str" cm="1">
        <f t="array" ref="A2136">IFERROR(INDEX(#REF!,MATCH(TRUE,ISNUMBER(FIND(SUBSTITUTE(SUBSTITUTE(UPPER(#REF!)," ",""),":",": "),SUBSTITUTE(SUBSTITUTE(UPPER(S2136)," ",""),":",": "))),0)),"Undefined")</f>
        <v>Undefined</v>
      </c>
      <c r="B2136" s="42" t="str" cm="1">
        <f t="array" ref="B2136">IFERROR(INDEX({"URGENTE"},MATCH(TRUE,ISNUMBER(FIND(SUBSTITUTE(SUBSTITUTE(UPPER({"URGENTE"})," ",""),":",": "),SUBSTITUTE(SUBSTITUTE(UPPER(S2136)," ",""),":",": "))),0)),"-")</f>
        <v>-</v>
      </c>
      <c r="C2136" s="46" t="str" cm="1">
        <f t="array" ref="C2136">IFERROR(INDEX(#REF!,MATCH(TRUE,ISNUMBER(FIND(SUBSTITUTE(SUBSTITUTE(UPPER(#REF!)," ",""),":",": "),SUBSTITUTE(SUBSTITUTE(UPPER(S2136)," ",""),":",": "))),0)),"Não encontrado")</f>
        <v>Não encontrado</v>
      </c>
      <c r="D2136" s="46" t="str" cm="1">
        <f t="array" ref="D2136">IFERROR(INDEX(#REF!,MATCH(TRUE,ISNUMBER(FIND(SUBSTITUTE(SUBSTITUTE(UPPER(#REF!)," ",""),":",": "),SUBSTITUTE(SUBSTITUTE(UPPER(S2136)," ",""),":",": "))),0)),"Não encontrado")</f>
        <v>Não encontrado</v>
      </c>
      <c r="E2136" s="42" t="str" cm="1">
        <f t="array" ref="E2136">IFERROR(INDEX({"IMPEDITIVO"},MATCH(TRUE,ISNUMBER(FIND(SUBSTITUTE(SUBSTITUTE(UPPER({"IMPEDITIVO"})," ",""),":",": "),SUBSTITUTE(SUBSTITUTE(UPPER(S2136)," ",""),":",": "))),0)),"-")</f>
        <v>-</v>
      </c>
      <c r="K2136" s="49"/>
    </row>
    <row r="2137" spans="1:11" x14ac:dyDescent="0.25">
      <c r="A2137" s="46" t="str" cm="1">
        <f t="array" ref="A2137">IFERROR(INDEX(#REF!,MATCH(TRUE,ISNUMBER(FIND(SUBSTITUTE(SUBSTITUTE(UPPER(#REF!)," ",""),":",": "),SUBSTITUTE(SUBSTITUTE(UPPER(S2137)," ",""),":",": "))),0)),"Undefined")</f>
        <v>Undefined</v>
      </c>
      <c r="B2137" s="42" t="str" cm="1">
        <f t="array" ref="B2137">IFERROR(INDEX({"URGENTE"},MATCH(TRUE,ISNUMBER(FIND(SUBSTITUTE(SUBSTITUTE(UPPER({"URGENTE"})," ",""),":",": "),SUBSTITUTE(SUBSTITUTE(UPPER(S2137)," ",""),":",": "))),0)),"-")</f>
        <v>-</v>
      </c>
      <c r="C2137" s="46" t="str" cm="1">
        <f t="array" ref="C2137">IFERROR(INDEX(#REF!,MATCH(TRUE,ISNUMBER(FIND(SUBSTITUTE(SUBSTITUTE(UPPER(#REF!)," ",""),":",": "),SUBSTITUTE(SUBSTITUTE(UPPER(S2137)," ",""),":",": "))),0)),"Não encontrado")</f>
        <v>Não encontrado</v>
      </c>
      <c r="D2137" s="46" t="str" cm="1">
        <f t="array" ref="D2137">IFERROR(INDEX(#REF!,MATCH(TRUE,ISNUMBER(FIND(SUBSTITUTE(SUBSTITUTE(UPPER(#REF!)," ",""),":",": "),SUBSTITUTE(SUBSTITUTE(UPPER(S2137)," ",""),":",": "))),0)),"Não encontrado")</f>
        <v>Não encontrado</v>
      </c>
      <c r="E2137" s="42" t="str" cm="1">
        <f t="array" ref="E2137">IFERROR(INDEX({"IMPEDITIVO"},MATCH(TRUE,ISNUMBER(FIND(SUBSTITUTE(SUBSTITUTE(UPPER({"IMPEDITIVO"})," ",""),":",": "),SUBSTITUTE(SUBSTITUTE(UPPER(S2137)," ",""),":",": "))),0)),"-")</f>
        <v>-</v>
      </c>
      <c r="K2137" s="49"/>
    </row>
    <row r="2138" spans="1:11" x14ac:dyDescent="0.25">
      <c r="A2138" s="46" t="str" cm="1">
        <f t="array" ref="A2138">IFERROR(INDEX(#REF!,MATCH(TRUE,ISNUMBER(FIND(SUBSTITUTE(SUBSTITUTE(UPPER(#REF!)," ",""),":",": "),SUBSTITUTE(SUBSTITUTE(UPPER(S2138)," ",""),":",": "))),0)),"Undefined")</f>
        <v>Undefined</v>
      </c>
      <c r="B2138" s="42" t="str" cm="1">
        <f t="array" ref="B2138">IFERROR(INDEX({"URGENTE"},MATCH(TRUE,ISNUMBER(FIND(SUBSTITUTE(SUBSTITUTE(UPPER({"URGENTE"})," ",""),":",": "),SUBSTITUTE(SUBSTITUTE(UPPER(S2138)," ",""),":",": "))),0)),"-")</f>
        <v>-</v>
      </c>
      <c r="C2138" s="46" t="str" cm="1">
        <f t="array" ref="C2138">IFERROR(INDEX(#REF!,MATCH(TRUE,ISNUMBER(FIND(SUBSTITUTE(SUBSTITUTE(UPPER(#REF!)," ",""),":",": "),SUBSTITUTE(SUBSTITUTE(UPPER(S2138)," ",""),":",": "))),0)),"Não encontrado")</f>
        <v>Não encontrado</v>
      </c>
      <c r="D2138" s="46" t="str" cm="1">
        <f t="array" ref="D2138">IFERROR(INDEX(#REF!,MATCH(TRUE,ISNUMBER(FIND(SUBSTITUTE(SUBSTITUTE(UPPER(#REF!)," ",""),":",": "),SUBSTITUTE(SUBSTITUTE(UPPER(S2138)," ",""),":",": "))),0)),"Não encontrado")</f>
        <v>Não encontrado</v>
      </c>
      <c r="E2138" s="42" t="str" cm="1">
        <f t="array" ref="E2138">IFERROR(INDEX({"IMPEDITIVO"},MATCH(TRUE,ISNUMBER(FIND(SUBSTITUTE(SUBSTITUTE(UPPER({"IMPEDITIVO"})," ",""),":",": "),SUBSTITUTE(SUBSTITUTE(UPPER(S2138)," ",""),":",": "))),0)),"-")</f>
        <v>-</v>
      </c>
      <c r="K2138" s="49"/>
    </row>
    <row r="2139" spans="1:11" x14ac:dyDescent="0.25">
      <c r="A2139" s="46" t="str" cm="1">
        <f t="array" ref="A2139">IFERROR(INDEX(#REF!,MATCH(TRUE,ISNUMBER(FIND(SUBSTITUTE(SUBSTITUTE(UPPER(#REF!)," ",""),":",": "),SUBSTITUTE(SUBSTITUTE(UPPER(S2139)," ",""),":",": "))),0)),"Undefined")</f>
        <v>Undefined</v>
      </c>
      <c r="B2139" s="42" t="str" cm="1">
        <f t="array" ref="B2139">IFERROR(INDEX({"URGENTE"},MATCH(TRUE,ISNUMBER(FIND(SUBSTITUTE(SUBSTITUTE(UPPER({"URGENTE"})," ",""),":",": "),SUBSTITUTE(SUBSTITUTE(UPPER(S2139)," ",""),":",": "))),0)),"-")</f>
        <v>-</v>
      </c>
      <c r="C2139" s="46" t="str" cm="1">
        <f t="array" ref="C2139">IFERROR(INDEX(#REF!,MATCH(TRUE,ISNUMBER(FIND(SUBSTITUTE(SUBSTITUTE(UPPER(#REF!)," ",""),":",": "),SUBSTITUTE(SUBSTITUTE(UPPER(S2139)," ",""),":",": "))),0)),"Não encontrado")</f>
        <v>Não encontrado</v>
      </c>
      <c r="D2139" s="46" t="str" cm="1">
        <f t="array" ref="D2139">IFERROR(INDEX(#REF!,MATCH(TRUE,ISNUMBER(FIND(SUBSTITUTE(SUBSTITUTE(UPPER(#REF!)," ",""),":",": "),SUBSTITUTE(SUBSTITUTE(UPPER(S2139)," ",""),":",": "))),0)),"Não encontrado")</f>
        <v>Não encontrado</v>
      </c>
      <c r="E2139" s="42" t="str" cm="1">
        <f t="array" ref="E2139">IFERROR(INDEX({"IMPEDITIVO"},MATCH(TRUE,ISNUMBER(FIND(SUBSTITUTE(SUBSTITUTE(UPPER({"IMPEDITIVO"})," ",""),":",": "),SUBSTITUTE(SUBSTITUTE(UPPER(S2139)," ",""),":",": "))),0)),"-")</f>
        <v>-</v>
      </c>
      <c r="K2139" s="49"/>
    </row>
    <row r="2140" spans="1:11" x14ac:dyDescent="0.25">
      <c r="A2140" s="46" t="str" cm="1">
        <f t="array" ref="A2140">IFERROR(INDEX(#REF!,MATCH(TRUE,ISNUMBER(FIND(SUBSTITUTE(SUBSTITUTE(UPPER(#REF!)," ",""),":",": "),SUBSTITUTE(SUBSTITUTE(UPPER(S2140)," ",""),":",": "))),0)),"Undefined")</f>
        <v>Undefined</v>
      </c>
      <c r="B2140" s="42" t="str" cm="1">
        <f t="array" ref="B2140">IFERROR(INDEX({"URGENTE"},MATCH(TRUE,ISNUMBER(FIND(SUBSTITUTE(SUBSTITUTE(UPPER({"URGENTE"})," ",""),":",": "),SUBSTITUTE(SUBSTITUTE(UPPER(S2140)," ",""),":",": "))),0)),"-")</f>
        <v>-</v>
      </c>
      <c r="C2140" s="46" t="str" cm="1">
        <f t="array" ref="C2140">IFERROR(INDEX(#REF!,MATCH(TRUE,ISNUMBER(FIND(SUBSTITUTE(SUBSTITUTE(UPPER(#REF!)," ",""),":",": "),SUBSTITUTE(SUBSTITUTE(UPPER(S2140)," ",""),":",": "))),0)),"Não encontrado")</f>
        <v>Não encontrado</v>
      </c>
      <c r="D2140" s="46" t="str" cm="1">
        <f t="array" ref="D2140">IFERROR(INDEX(#REF!,MATCH(TRUE,ISNUMBER(FIND(SUBSTITUTE(SUBSTITUTE(UPPER(#REF!)," ",""),":",": "),SUBSTITUTE(SUBSTITUTE(UPPER(S2140)," ",""),":",": "))),0)),"Não encontrado")</f>
        <v>Não encontrado</v>
      </c>
      <c r="E2140" s="42" t="str" cm="1">
        <f t="array" ref="E2140">IFERROR(INDEX({"IMPEDITIVO"},MATCH(TRUE,ISNUMBER(FIND(SUBSTITUTE(SUBSTITUTE(UPPER({"IMPEDITIVO"})," ",""),":",": "),SUBSTITUTE(SUBSTITUTE(UPPER(S2140)," ",""),":",": "))),0)),"-")</f>
        <v>-</v>
      </c>
      <c r="K2140" s="49"/>
    </row>
    <row r="2141" spans="1:11" x14ac:dyDescent="0.25">
      <c r="A2141" s="46" t="str" cm="1">
        <f t="array" ref="A2141">IFERROR(INDEX(#REF!,MATCH(TRUE,ISNUMBER(FIND(SUBSTITUTE(SUBSTITUTE(UPPER(#REF!)," ",""),":",": "),SUBSTITUTE(SUBSTITUTE(UPPER(S2141)," ",""),":",": "))),0)),"Undefined")</f>
        <v>Undefined</v>
      </c>
      <c r="B2141" s="42" t="str" cm="1">
        <f t="array" ref="B2141">IFERROR(INDEX({"URGENTE"},MATCH(TRUE,ISNUMBER(FIND(SUBSTITUTE(SUBSTITUTE(UPPER({"URGENTE"})," ",""),":",": "),SUBSTITUTE(SUBSTITUTE(UPPER(S2141)," ",""),":",": "))),0)),"-")</f>
        <v>-</v>
      </c>
      <c r="C2141" s="46" t="str" cm="1">
        <f t="array" ref="C2141">IFERROR(INDEX(#REF!,MATCH(TRUE,ISNUMBER(FIND(SUBSTITUTE(SUBSTITUTE(UPPER(#REF!)," ",""),":",": "),SUBSTITUTE(SUBSTITUTE(UPPER(S2141)," ",""),":",": "))),0)),"Não encontrado")</f>
        <v>Não encontrado</v>
      </c>
      <c r="D2141" s="46" t="str" cm="1">
        <f t="array" ref="D2141">IFERROR(INDEX(#REF!,MATCH(TRUE,ISNUMBER(FIND(SUBSTITUTE(SUBSTITUTE(UPPER(#REF!)," ",""),":",": "),SUBSTITUTE(SUBSTITUTE(UPPER(S2141)," ",""),":",": "))),0)),"Não encontrado")</f>
        <v>Não encontrado</v>
      </c>
      <c r="E2141" s="42" t="str" cm="1">
        <f t="array" ref="E2141">IFERROR(INDEX({"IMPEDITIVO"},MATCH(TRUE,ISNUMBER(FIND(SUBSTITUTE(SUBSTITUTE(UPPER({"IMPEDITIVO"})," ",""),":",": "),SUBSTITUTE(SUBSTITUTE(UPPER(S2141)," ",""),":",": "))),0)),"-")</f>
        <v>-</v>
      </c>
      <c r="K2141" s="49"/>
    </row>
    <row r="2142" spans="1:11" x14ac:dyDescent="0.25">
      <c r="A2142" s="46" t="str" cm="1">
        <f t="array" ref="A2142">IFERROR(INDEX(#REF!,MATCH(TRUE,ISNUMBER(FIND(SUBSTITUTE(SUBSTITUTE(UPPER(#REF!)," ",""),":",": "),SUBSTITUTE(SUBSTITUTE(UPPER(S2142)," ",""),":",": "))),0)),"Undefined")</f>
        <v>Undefined</v>
      </c>
      <c r="B2142" s="42" t="str" cm="1">
        <f t="array" ref="B2142">IFERROR(INDEX({"URGENTE"},MATCH(TRUE,ISNUMBER(FIND(SUBSTITUTE(SUBSTITUTE(UPPER({"URGENTE"})," ",""),":",": "),SUBSTITUTE(SUBSTITUTE(UPPER(S2142)," ",""),":",": "))),0)),"-")</f>
        <v>-</v>
      </c>
      <c r="C2142" s="46" t="str" cm="1">
        <f t="array" ref="C2142">IFERROR(INDEX(#REF!,MATCH(TRUE,ISNUMBER(FIND(SUBSTITUTE(SUBSTITUTE(UPPER(#REF!)," ",""),":",": "),SUBSTITUTE(SUBSTITUTE(UPPER(S2142)," ",""),":",": "))),0)),"Não encontrado")</f>
        <v>Não encontrado</v>
      </c>
      <c r="D2142" s="46" t="str" cm="1">
        <f t="array" ref="D2142">IFERROR(INDEX(#REF!,MATCH(TRUE,ISNUMBER(FIND(SUBSTITUTE(SUBSTITUTE(UPPER(#REF!)," ",""),":",": "),SUBSTITUTE(SUBSTITUTE(UPPER(S2142)," ",""),":",": "))),0)),"Não encontrado")</f>
        <v>Não encontrado</v>
      </c>
      <c r="E2142" s="42" t="str" cm="1">
        <f t="array" ref="E2142">IFERROR(INDEX({"IMPEDITIVO"},MATCH(TRUE,ISNUMBER(FIND(SUBSTITUTE(SUBSTITUTE(UPPER({"IMPEDITIVO"})," ",""),":",": "),SUBSTITUTE(SUBSTITUTE(UPPER(S2142)," ",""),":",": "))),0)),"-")</f>
        <v>-</v>
      </c>
      <c r="K2142" s="49"/>
    </row>
    <row r="2143" spans="1:11" x14ac:dyDescent="0.25">
      <c r="A2143" s="46" t="str" cm="1">
        <f t="array" ref="A2143">IFERROR(INDEX(#REF!,MATCH(TRUE,ISNUMBER(FIND(SUBSTITUTE(SUBSTITUTE(UPPER(#REF!)," ",""),":",": "),SUBSTITUTE(SUBSTITUTE(UPPER(S2143)," ",""),":",": "))),0)),"Undefined")</f>
        <v>Undefined</v>
      </c>
      <c r="B2143" s="42" t="str" cm="1">
        <f t="array" ref="B2143">IFERROR(INDEX({"URGENTE"},MATCH(TRUE,ISNUMBER(FIND(SUBSTITUTE(SUBSTITUTE(UPPER({"URGENTE"})," ",""),":",": "),SUBSTITUTE(SUBSTITUTE(UPPER(S2143)," ",""),":",": "))),0)),"-")</f>
        <v>-</v>
      </c>
      <c r="C2143" s="46" t="str" cm="1">
        <f t="array" ref="C2143">IFERROR(INDEX(#REF!,MATCH(TRUE,ISNUMBER(FIND(SUBSTITUTE(SUBSTITUTE(UPPER(#REF!)," ",""),":",": "),SUBSTITUTE(SUBSTITUTE(UPPER(S2143)," ",""),":",": "))),0)),"Não encontrado")</f>
        <v>Não encontrado</v>
      </c>
      <c r="D2143" s="46" t="str" cm="1">
        <f t="array" ref="D2143">IFERROR(INDEX(#REF!,MATCH(TRUE,ISNUMBER(FIND(SUBSTITUTE(SUBSTITUTE(UPPER(#REF!)," ",""),":",": "),SUBSTITUTE(SUBSTITUTE(UPPER(S2143)," ",""),":",": "))),0)),"Não encontrado")</f>
        <v>Não encontrado</v>
      </c>
      <c r="E2143" s="42" t="str" cm="1">
        <f t="array" ref="E2143">IFERROR(INDEX({"IMPEDITIVO"},MATCH(TRUE,ISNUMBER(FIND(SUBSTITUTE(SUBSTITUTE(UPPER({"IMPEDITIVO"})," ",""),":",": "),SUBSTITUTE(SUBSTITUTE(UPPER(S2143)," ",""),":",": "))),0)),"-")</f>
        <v>-</v>
      </c>
      <c r="K2143" s="49"/>
    </row>
    <row r="2144" spans="1:11" x14ac:dyDescent="0.25">
      <c r="A2144" s="46" t="str" cm="1">
        <f t="array" ref="A2144">IFERROR(INDEX(#REF!,MATCH(TRUE,ISNUMBER(FIND(SUBSTITUTE(SUBSTITUTE(UPPER(#REF!)," ",""),":",": "),SUBSTITUTE(SUBSTITUTE(UPPER(S2144)," ",""),":",": "))),0)),"Undefined")</f>
        <v>Undefined</v>
      </c>
      <c r="B2144" s="42" t="str" cm="1">
        <f t="array" ref="B2144">IFERROR(INDEX({"URGENTE"},MATCH(TRUE,ISNUMBER(FIND(SUBSTITUTE(SUBSTITUTE(UPPER({"URGENTE"})," ",""),":",": "),SUBSTITUTE(SUBSTITUTE(UPPER(S2144)," ",""),":",": "))),0)),"-")</f>
        <v>-</v>
      </c>
      <c r="C2144" s="46" t="str" cm="1">
        <f t="array" ref="C2144">IFERROR(INDEX(#REF!,MATCH(TRUE,ISNUMBER(FIND(SUBSTITUTE(SUBSTITUTE(UPPER(#REF!)," ",""),":",": "),SUBSTITUTE(SUBSTITUTE(UPPER(S2144)," ",""),":",": "))),0)),"Não encontrado")</f>
        <v>Não encontrado</v>
      </c>
      <c r="D2144" s="46" t="str" cm="1">
        <f t="array" ref="D2144">IFERROR(INDEX(#REF!,MATCH(TRUE,ISNUMBER(FIND(SUBSTITUTE(SUBSTITUTE(UPPER(#REF!)," ",""),":",": "),SUBSTITUTE(SUBSTITUTE(UPPER(S2144)," ",""),":",": "))),0)),"Não encontrado")</f>
        <v>Não encontrado</v>
      </c>
      <c r="E2144" s="42" t="str" cm="1">
        <f t="array" ref="E2144">IFERROR(INDEX({"IMPEDITIVO"},MATCH(TRUE,ISNUMBER(FIND(SUBSTITUTE(SUBSTITUTE(UPPER({"IMPEDITIVO"})," ",""),":",": "),SUBSTITUTE(SUBSTITUTE(UPPER(S2144)," ",""),":",": "))),0)),"-")</f>
        <v>-</v>
      </c>
      <c r="K2144" s="49"/>
    </row>
    <row r="2145" spans="1:11" x14ac:dyDescent="0.25">
      <c r="A2145" s="46" t="str" cm="1">
        <f t="array" ref="A2145">IFERROR(INDEX(#REF!,MATCH(TRUE,ISNUMBER(FIND(SUBSTITUTE(SUBSTITUTE(UPPER(#REF!)," ",""),":",": "),SUBSTITUTE(SUBSTITUTE(UPPER(S2145)," ",""),":",": "))),0)),"Undefined")</f>
        <v>Undefined</v>
      </c>
      <c r="B2145" s="42" t="str" cm="1">
        <f t="array" ref="B2145">IFERROR(INDEX({"URGENTE"},MATCH(TRUE,ISNUMBER(FIND(SUBSTITUTE(SUBSTITUTE(UPPER({"URGENTE"})," ",""),":",": "),SUBSTITUTE(SUBSTITUTE(UPPER(S2145)," ",""),":",": "))),0)),"-")</f>
        <v>-</v>
      </c>
      <c r="C2145" s="46" t="str" cm="1">
        <f t="array" ref="C2145">IFERROR(INDEX(#REF!,MATCH(TRUE,ISNUMBER(FIND(SUBSTITUTE(SUBSTITUTE(UPPER(#REF!)," ",""),":",": "),SUBSTITUTE(SUBSTITUTE(UPPER(S2145)," ",""),":",": "))),0)),"Não encontrado")</f>
        <v>Não encontrado</v>
      </c>
      <c r="D2145" s="46" t="str" cm="1">
        <f t="array" ref="D2145">IFERROR(INDEX(#REF!,MATCH(TRUE,ISNUMBER(FIND(SUBSTITUTE(SUBSTITUTE(UPPER(#REF!)," ",""),":",": "),SUBSTITUTE(SUBSTITUTE(UPPER(S2145)," ",""),":",": "))),0)),"Não encontrado")</f>
        <v>Não encontrado</v>
      </c>
      <c r="E2145" s="42" t="str" cm="1">
        <f t="array" ref="E2145">IFERROR(INDEX({"IMPEDITIVO"},MATCH(TRUE,ISNUMBER(FIND(SUBSTITUTE(SUBSTITUTE(UPPER({"IMPEDITIVO"})," ",""),":",": "),SUBSTITUTE(SUBSTITUTE(UPPER(S2145)," ",""),":",": "))),0)),"-")</f>
        <v>-</v>
      </c>
      <c r="K2145" s="49"/>
    </row>
    <row r="2146" spans="1:11" x14ac:dyDescent="0.25">
      <c r="A2146" s="46" t="str" cm="1">
        <f t="array" ref="A2146">IFERROR(INDEX(#REF!,MATCH(TRUE,ISNUMBER(FIND(SUBSTITUTE(SUBSTITUTE(UPPER(#REF!)," ",""),":",": "),SUBSTITUTE(SUBSTITUTE(UPPER(S2146)," ",""),":",": "))),0)),"Undefined")</f>
        <v>Undefined</v>
      </c>
      <c r="B2146" s="42" t="str" cm="1">
        <f t="array" ref="B2146">IFERROR(INDEX({"URGENTE"},MATCH(TRUE,ISNUMBER(FIND(SUBSTITUTE(SUBSTITUTE(UPPER({"URGENTE"})," ",""),":",": "),SUBSTITUTE(SUBSTITUTE(UPPER(S2146)," ",""),":",": "))),0)),"-")</f>
        <v>-</v>
      </c>
      <c r="C2146" s="46" t="str" cm="1">
        <f t="array" ref="C2146">IFERROR(INDEX(#REF!,MATCH(TRUE,ISNUMBER(FIND(SUBSTITUTE(SUBSTITUTE(UPPER(#REF!)," ",""),":",": "),SUBSTITUTE(SUBSTITUTE(UPPER(S2146)," ",""),":",": "))),0)),"Não encontrado")</f>
        <v>Não encontrado</v>
      </c>
      <c r="D2146" s="46" t="str" cm="1">
        <f t="array" ref="D2146">IFERROR(INDEX(#REF!,MATCH(TRUE,ISNUMBER(FIND(SUBSTITUTE(SUBSTITUTE(UPPER(#REF!)," ",""),":",": "),SUBSTITUTE(SUBSTITUTE(UPPER(S2146)," ",""),":",": "))),0)),"Não encontrado")</f>
        <v>Não encontrado</v>
      </c>
      <c r="E2146" s="42" t="str" cm="1">
        <f t="array" ref="E2146">IFERROR(INDEX({"IMPEDITIVO"},MATCH(TRUE,ISNUMBER(FIND(SUBSTITUTE(SUBSTITUTE(UPPER({"IMPEDITIVO"})," ",""),":",": "),SUBSTITUTE(SUBSTITUTE(UPPER(S2146)," ",""),":",": "))),0)),"-")</f>
        <v>-</v>
      </c>
      <c r="K2146" s="49"/>
    </row>
    <row r="2147" spans="1:11" x14ac:dyDescent="0.25">
      <c r="A2147" s="46" t="str" cm="1">
        <f t="array" ref="A2147">IFERROR(INDEX(#REF!,MATCH(TRUE,ISNUMBER(FIND(SUBSTITUTE(SUBSTITUTE(UPPER(#REF!)," ",""),":",": "),SUBSTITUTE(SUBSTITUTE(UPPER(S2147)," ",""),":",": "))),0)),"Undefined")</f>
        <v>Undefined</v>
      </c>
      <c r="B2147" s="42" t="str" cm="1">
        <f t="array" ref="B2147">IFERROR(INDEX({"URGENTE"},MATCH(TRUE,ISNUMBER(FIND(SUBSTITUTE(SUBSTITUTE(UPPER({"URGENTE"})," ",""),":",": "),SUBSTITUTE(SUBSTITUTE(UPPER(S2147)," ",""),":",": "))),0)),"-")</f>
        <v>-</v>
      </c>
      <c r="C2147" s="46" t="str" cm="1">
        <f t="array" ref="C2147">IFERROR(INDEX(#REF!,MATCH(TRUE,ISNUMBER(FIND(SUBSTITUTE(SUBSTITUTE(UPPER(#REF!)," ",""),":",": "),SUBSTITUTE(SUBSTITUTE(UPPER(S2147)," ",""),":",": "))),0)),"Não encontrado")</f>
        <v>Não encontrado</v>
      </c>
      <c r="D2147" s="46" t="str" cm="1">
        <f t="array" ref="D2147">IFERROR(INDEX(#REF!,MATCH(TRUE,ISNUMBER(FIND(SUBSTITUTE(SUBSTITUTE(UPPER(#REF!)," ",""),":",": "),SUBSTITUTE(SUBSTITUTE(UPPER(S2147)," ",""),":",": "))),0)),"Não encontrado")</f>
        <v>Não encontrado</v>
      </c>
      <c r="E2147" s="42" t="str" cm="1">
        <f t="array" ref="E2147">IFERROR(INDEX({"IMPEDITIVO"},MATCH(TRUE,ISNUMBER(FIND(SUBSTITUTE(SUBSTITUTE(UPPER({"IMPEDITIVO"})," ",""),":",": "),SUBSTITUTE(SUBSTITUTE(UPPER(S2147)," ",""),":",": "))),0)),"-")</f>
        <v>-</v>
      </c>
      <c r="K2147" s="49"/>
    </row>
    <row r="2148" spans="1:11" x14ac:dyDescent="0.25">
      <c r="A2148" s="46" t="str" cm="1">
        <f t="array" ref="A2148">IFERROR(INDEX(#REF!,MATCH(TRUE,ISNUMBER(FIND(SUBSTITUTE(SUBSTITUTE(UPPER(#REF!)," ",""),":",": "),SUBSTITUTE(SUBSTITUTE(UPPER(S2148)," ",""),":",": "))),0)),"Undefined")</f>
        <v>Undefined</v>
      </c>
      <c r="B2148" s="42" t="str" cm="1">
        <f t="array" ref="B2148">IFERROR(INDEX({"URGENTE"},MATCH(TRUE,ISNUMBER(FIND(SUBSTITUTE(SUBSTITUTE(UPPER({"URGENTE"})," ",""),":",": "),SUBSTITUTE(SUBSTITUTE(UPPER(S2148)," ",""),":",": "))),0)),"-")</f>
        <v>-</v>
      </c>
      <c r="C2148" s="46" t="str" cm="1">
        <f t="array" ref="C2148">IFERROR(INDEX(#REF!,MATCH(TRUE,ISNUMBER(FIND(SUBSTITUTE(SUBSTITUTE(UPPER(#REF!)," ",""),":",": "),SUBSTITUTE(SUBSTITUTE(UPPER(S2148)," ",""),":",": "))),0)),"Não encontrado")</f>
        <v>Não encontrado</v>
      </c>
      <c r="D2148" s="46" t="str" cm="1">
        <f t="array" ref="D2148">IFERROR(INDEX(#REF!,MATCH(TRUE,ISNUMBER(FIND(SUBSTITUTE(SUBSTITUTE(UPPER(#REF!)," ",""),":",": "),SUBSTITUTE(SUBSTITUTE(UPPER(S2148)," ",""),":",": "))),0)),"Não encontrado")</f>
        <v>Não encontrado</v>
      </c>
      <c r="E2148" s="42" t="str" cm="1">
        <f t="array" ref="E2148">IFERROR(INDEX({"IMPEDITIVO"},MATCH(TRUE,ISNUMBER(FIND(SUBSTITUTE(SUBSTITUTE(UPPER({"IMPEDITIVO"})," ",""),":",": "),SUBSTITUTE(SUBSTITUTE(UPPER(S2148)," ",""),":",": "))),0)),"-")</f>
        <v>-</v>
      </c>
      <c r="K2148" s="49"/>
    </row>
    <row r="2149" spans="1:11" x14ac:dyDescent="0.25">
      <c r="A2149" s="46" t="str" cm="1">
        <f t="array" ref="A2149">IFERROR(INDEX(#REF!,MATCH(TRUE,ISNUMBER(FIND(SUBSTITUTE(SUBSTITUTE(UPPER(#REF!)," ",""),":",": "),SUBSTITUTE(SUBSTITUTE(UPPER(S2149)," ",""),":",": "))),0)),"Undefined")</f>
        <v>Undefined</v>
      </c>
      <c r="B2149" s="42" t="str" cm="1">
        <f t="array" ref="B2149">IFERROR(INDEX({"URGENTE"},MATCH(TRUE,ISNUMBER(FIND(SUBSTITUTE(SUBSTITUTE(UPPER({"URGENTE"})," ",""),":",": "),SUBSTITUTE(SUBSTITUTE(UPPER(S2149)," ",""),":",": "))),0)),"-")</f>
        <v>-</v>
      </c>
      <c r="C2149" s="46" t="str" cm="1">
        <f t="array" ref="C2149">IFERROR(INDEX(#REF!,MATCH(TRUE,ISNUMBER(FIND(SUBSTITUTE(SUBSTITUTE(UPPER(#REF!)," ",""),":",": "),SUBSTITUTE(SUBSTITUTE(UPPER(S2149)," ",""),":",": "))),0)),"Não encontrado")</f>
        <v>Não encontrado</v>
      </c>
      <c r="D2149" s="46" t="str" cm="1">
        <f t="array" ref="D2149">IFERROR(INDEX(#REF!,MATCH(TRUE,ISNUMBER(FIND(SUBSTITUTE(SUBSTITUTE(UPPER(#REF!)," ",""),":",": "),SUBSTITUTE(SUBSTITUTE(UPPER(S2149)," ",""),":",": "))),0)),"Não encontrado")</f>
        <v>Não encontrado</v>
      </c>
      <c r="E2149" s="42" t="str" cm="1">
        <f t="array" ref="E2149">IFERROR(INDEX({"IMPEDITIVO"},MATCH(TRUE,ISNUMBER(FIND(SUBSTITUTE(SUBSTITUTE(UPPER({"IMPEDITIVO"})," ",""),":",": "),SUBSTITUTE(SUBSTITUTE(UPPER(S2149)," ",""),":",": "))),0)),"-")</f>
        <v>-</v>
      </c>
      <c r="K2149" s="49"/>
    </row>
    <row r="2150" spans="1:11" x14ac:dyDescent="0.25">
      <c r="A2150" s="46" t="str" cm="1">
        <f t="array" ref="A2150">IFERROR(INDEX(#REF!,MATCH(TRUE,ISNUMBER(FIND(SUBSTITUTE(SUBSTITUTE(UPPER(#REF!)," ",""),":",": "),SUBSTITUTE(SUBSTITUTE(UPPER(S2150)," ",""),":",": "))),0)),"Undefined")</f>
        <v>Undefined</v>
      </c>
      <c r="B2150" s="42" t="str" cm="1">
        <f t="array" ref="B2150">IFERROR(INDEX({"URGENTE"},MATCH(TRUE,ISNUMBER(FIND(SUBSTITUTE(SUBSTITUTE(UPPER({"URGENTE"})," ",""),":",": "),SUBSTITUTE(SUBSTITUTE(UPPER(S2150)," ",""),":",": "))),0)),"-")</f>
        <v>-</v>
      </c>
      <c r="C2150" s="46" t="str" cm="1">
        <f t="array" ref="C2150">IFERROR(INDEX(#REF!,MATCH(TRUE,ISNUMBER(FIND(SUBSTITUTE(SUBSTITUTE(UPPER(#REF!)," ",""),":",": "),SUBSTITUTE(SUBSTITUTE(UPPER(S2150)," ",""),":",": "))),0)),"Não encontrado")</f>
        <v>Não encontrado</v>
      </c>
      <c r="D2150" s="46" t="str" cm="1">
        <f t="array" ref="D2150">IFERROR(INDEX(#REF!,MATCH(TRUE,ISNUMBER(FIND(SUBSTITUTE(SUBSTITUTE(UPPER(#REF!)," ",""),":",": "),SUBSTITUTE(SUBSTITUTE(UPPER(S2150)," ",""),":",": "))),0)),"Não encontrado")</f>
        <v>Não encontrado</v>
      </c>
      <c r="E2150" s="42" t="str" cm="1">
        <f t="array" ref="E2150">IFERROR(INDEX({"IMPEDITIVO"},MATCH(TRUE,ISNUMBER(FIND(SUBSTITUTE(SUBSTITUTE(UPPER({"IMPEDITIVO"})," ",""),":",": "),SUBSTITUTE(SUBSTITUTE(UPPER(S2150)," ",""),":",": "))),0)),"-")</f>
        <v>-</v>
      </c>
      <c r="K2150" s="49"/>
    </row>
    <row r="2151" spans="1:11" x14ac:dyDescent="0.25">
      <c r="A2151" s="46" t="str" cm="1">
        <f t="array" ref="A2151">IFERROR(INDEX(#REF!,MATCH(TRUE,ISNUMBER(FIND(SUBSTITUTE(SUBSTITUTE(UPPER(#REF!)," ",""),":",": "),SUBSTITUTE(SUBSTITUTE(UPPER(S2151)," ",""),":",": "))),0)),"Undefined")</f>
        <v>Undefined</v>
      </c>
      <c r="B2151" s="42" t="str" cm="1">
        <f t="array" ref="B2151">IFERROR(INDEX({"URGENTE"},MATCH(TRUE,ISNUMBER(FIND(SUBSTITUTE(SUBSTITUTE(UPPER({"URGENTE"})," ",""),":",": "),SUBSTITUTE(SUBSTITUTE(UPPER(S2151)," ",""),":",": "))),0)),"-")</f>
        <v>-</v>
      </c>
      <c r="C2151" s="46" t="str" cm="1">
        <f t="array" ref="C2151">IFERROR(INDEX(#REF!,MATCH(TRUE,ISNUMBER(FIND(SUBSTITUTE(SUBSTITUTE(UPPER(#REF!)," ",""),":",": "),SUBSTITUTE(SUBSTITUTE(UPPER(S2151)," ",""),":",": "))),0)),"Não encontrado")</f>
        <v>Não encontrado</v>
      </c>
      <c r="D2151" s="46" t="str" cm="1">
        <f t="array" ref="D2151">IFERROR(INDEX(#REF!,MATCH(TRUE,ISNUMBER(FIND(SUBSTITUTE(SUBSTITUTE(UPPER(#REF!)," ",""),":",": "),SUBSTITUTE(SUBSTITUTE(UPPER(S2151)," ",""),":",": "))),0)),"Não encontrado")</f>
        <v>Não encontrado</v>
      </c>
      <c r="E2151" s="42" t="str" cm="1">
        <f t="array" ref="E2151">IFERROR(INDEX({"IMPEDITIVO"},MATCH(TRUE,ISNUMBER(FIND(SUBSTITUTE(SUBSTITUTE(UPPER({"IMPEDITIVO"})," ",""),":",": "),SUBSTITUTE(SUBSTITUTE(UPPER(S2151)," ",""),":",": "))),0)),"-")</f>
        <v>-</v>
      </c>
      <c r="K2151" s="49"/>
    </row>
    <row r="2152" spans="1:11" x14ac:dyDescent="0.25">
      <c r="A2152" s="46" t="str" cm="1">
        <f t="array" ref="A2152">IFERROR(INDEX(#REF!,MATCH(TRUE,ISNUMBER(FIND(SUBSTITUTE(SUBSTITUTE(UPPER(#REF!)," ",""),":",": "),SUBSTITUTE(SUBSTITUTE(UPPER(S2152)," ",""),":",": "))),0)),"Undefined")</f>
        <v>Undefined</v>
      </c>
      <c r="B2152" s="42" t="str" cm="1">
        <f t="array" ref="B2152">IFERROR(INDEX({"URGENTE"},MATCH(TRUE,ISNUMBER(FIND(SUBSTITUTE(SUBSTITUTE(UPPER({"URGENTE"})," ",""),":",": "),SUBSTITUTE(SUBSTITUTE(UPPER(S2152)," ",""),":",": "))),0)),"-")</f>
        <v>-</v>
      </c>
      <c r="C2152" s="46" t="str" cm="1">
        <f t="array" ref="C2152">IFERROR(INDEX(#REF!,MATCH(TRUE,ISNUMBER(FIND(SUBSTITUTE(SUBSTITUTE(UPPER(#REF!)," ",""),":",": "),SUBSTITUTE(SUBSTITUTE(UPPER(S2152)," ",""),":",": "))),0)),"Não encontrado")</f>
        <v>Não encontrado</v>
      </c>
      <c r="D2152" s="46" t="str" cm="1">
        <f t="array" ref="D2152">IFERROR(INDEX(#REF!,MATCH(TRUE,ISNUMBER(FIND(SUBSTITUTE(SUBSTITUTE(UPPER(#REF!)," ",""),":",": "),SUBSTITUTE(SUBSTITUTE(UPPER(S2152)," ",""),":",": "))),0)),"Não encontrado")</f>
        <v>Não encontrado</v>
      </c>
      <c r="E2152" s="42" t="str" cm="1">
        <f t="array" ref="E2152">IFERROR(INDEX({"IMPEDITIVO"},MATCH(TRUE,ISNUMBER(FIND(SUBSTITUTE(SUBSTITUTE(UPPER({"IMPEDITIVO"})," ",""),":",": "),SUBSTITUTE(SUBSTITUTE(UPPER(S2152)," ",""),":",": "))),0)),"-")</f>
        <v>-</v>
      </c>
      <c r="K2152" s="49"/>
    </row>
    <row r="2153" spans="1:11" x14ac:dyDescent="0.25">
      <c r="A2153" s="46" t="str" cm="1">
        <f t="array" ref="A2153">IFERROR(INDEX(#REF!,MATCH(TRUE,ISNUMBER(FIND(SUBSTITUTE(SUBSTITUTE(UPPER(#REF!)," ",""),":",": "),SUBSTITUTE(SUBSTITUTE(UPPER(S2153)," ",""),":",": "))),0)),"Undefined")</f>
        <v>Undefined</v>
      </c>
      <c r="B2153" s="42" t="str" cm="1">
        <f t="array" ref="B2153">IFERROR(INDEX({"URGENTE"},MATCH(TRUE,ISNUMBER(FIND(SUBSTITUTE(SUBSTITUTE(UPPER({"URGENTE"})," ",""),":",": "),SUBSTITUTE(SUBSTITUTE(UPPER(S2153)," ",""),":",": "))),0)),"-")</f>
        <v>-</v>
      </c>
      <c r="C2153" s="46" t="str" cm="1">
        <f t="array" ref="C2153">IFERROR(INDEX(#REF!,MATCH(TRUE,ISNUMBER(FIND(SUBSTITUTE(SUBSTITUTE(UPPER(#REF!)," ",""),":",": "),SUBSTITUTE(SUBSTITUTE(UPPER(S2153)," ",""),":",": "))),0)),"Não encontrado")</f>
        <v>Não encontrado</v>
      </c>
      <c r="D2153" s="46" t="str" cm="1">
        <f t="array" ref="D2153">IFERROR(INDEX(#REF!,MATCH(TRUE,ISNUMBER(FIND(SUBSTITUTE(SUBSTITUTE(UPPER(#REF!)," ",""),":",": "),SUBSTITUTE(SUBSTITUTE(UPPER(S2153)," ",""),":",": "))),0)),"Não encontrado")</f>
        <v>Não encontrado</v>
      </c>
      <c r="E2153" s="42" t="str" cm="1">
        <f t="array" ref="E2153">IFERROR(INDEX({"IMPEDITIVO"},MATCH(TRUE,ISNUMBER(FIND(SUBSTITUTE(SUBSTITUTE(UPPER({"IMPEDITIVO"})," ",""),":",": "),SUBSTITUTE(SUBSTITUTE(UPPER(S2153)," ",""),":",": "))),0)),"-")</f>
        <v>-</v>
      </c>
      <c r="K2153" s="49"/>
    </row>
    <row r="2154" spans="1:11" x14ac:dyDescent="0.25">
      <c r="A2154" s="46" t="str" cm="1">
        <f t="array" ref="A2154">IFERROR(INDEX(#REF!,MATCH(TRUE,ISNUMBER(FIND(SUBSTITUTE(SUBSTITUTE(UPPER(#REF!)," ",""),":",": "),SUBSTITUTE(SUBSTITUTE(UPPER(S2154)," ",""),":",": "))),0)),"Undefined")</f>
        <v>Undefined</v>
      </c>
      <c r="B2154" s="42" t="str" cm="1">
        <f t="array" ref="B2154">IFERROR(INDEX({"URGENTE"},MATCH(TRUE,ISNUMBER(FIND(SUBSTITUTE(SUBSTITUTE(UPPER({"URGENTE"})," ",""),":",": "),SUBSTITUTE(SUBSTITUTE(UPPER(S2154)," ",""),":",": "))),0)),"-")</f>
        <v>-</v>
      </c>
      <c r="C2154" s="46" t="str" cm="1">
        <f t="array" ref="C2154">IFERROR(INDEX(#REF!,MATCH(TRUE,ISNUMBER(FIND(SUBSTITUTE(SUBSTITUTE(UPPER(#REF!)," ",""),":",": "),SUBSTITUTE(SUBSTITUTE(UPPER(S2154)," ",""),":",": "))),0)),"Não encontrado")</f>
        <v>Não encontrado</v>
      </c>
      <c r="D2154" s="46" t="str" cm="1">
        <f t="array" ref="D2154">IFERROR(INDEX(#REF!,MATCH(TRUE,ISNUMBER(FIND(SUBSTITUTE(SUBSTITUTE(UPPER(#REF!)," ",""),":",": "),SUBSTITUTE(SUBSTITUTE(UPPER(S2154)," ",""),":",": "))),0)),"Não encontrado")</f>
        <v>Não encontrado</v>
      </c>
      <c r="E2154" s="42" t="str" cm="1">
        <f t="array" ref="E2154">IFERROR(INDEX({"IMPEDITIVO"},MATCH(TRUE,ISNUMBER(FIND(SUBSTITUTE(SUBSTITUTE(UPPER({"IMPEDITIVO"})," ",""),":",": "),SUBSTITUTE(SUBSTITUTE(UPPER(S2154)," ",""),":",": "))),0)),"-")</f>
        <v>-</v>
      </c>
      <c r="K2154" s="49"/>
    </row>
    <row r="2155" spans="1:11" x14ac:dyDescent="0.25">
      <c r="A2155" s="46" t="str" cm="1">
        <f t="array" ref="A2155">IFERROR(INDEX(#REF!,MATCH(TRUE,ISNUMBER(FIND(SUBSTITUTE(SUBSTITUTE(UPPER(#REF!)," ",""),":",": "),SUBSTITUTE(SUBSTITUTE(UPPER(S2155)," ",""),":",": "))),0)),"Undefined")</f>
        <v>Undefined</v>
      </c>
      <c r="B2155" s="42" t="str" cm="1">
        <f t="array" ref="B2155">IFERROR(INDEX({"URGENTE"},MATCH(TRUE,ISNUMBER(FIND(SUBSTITUTE(SUBSTITUTE(UPPER({"URGENTE"})," ",""),":",": "),SUBSTITUTE(SUBSTITUTE(UPPER(S2155)," ",""),":",": "))),0)),"-")</f>
        <v>-</v>
      </c>
      <c r="C2155" s="46" t="str" cm="1">
        <f t="array" ref="C2155">IFERROR(INDEX(#REF!,MATCH(TRUE,ISNUMBER(FIND(SUBSTITUTE(SUBSTITUTE(UPPER(#REF!)," ",""),":",": "),SUBSTITUTE(SUBSTITUTE(UPPER(S2155)," ",""),":",": "))),0)),"Não encontrado")</f>
        <v>Não encontrado</v>
      </c>
      <c r="D2155" s="46" t="str" cm="1">
        <f t="array" ref="D2155">IFERROR(INDEX(#REF!,MATCH(TRUE,ISNUMBER(FIND(SUBSTITUTE(SUBSTITUTE(UPPER(#REF!)," ",""),":",": "),SUBSTITUTE(SUBSTITUTE(UPPER(S2155)," ",""),":",": "))),0)),"Não encontrado")</f>
        <v>Não encontrado</v>
      </c>
      <c r="E2155" s="42" t="str" cm="1">
        <f t="array" ref="E2155">IFERROR(INDEX({"IMPEDITIVO"},MATCH(TRUE,ISNUMBER(FIND(SUBSTITUTE(SUBSTITUTE(UPPER({"IMPEDITIVO"})," ",""),":",": "),SUBSTITUTE(SUBSTITUTE(UPPER(S2155)," ",""),":",": "))),0)),"-")</f>
        <v>-</v>
      </c>
      <c r="K2155" s="49"/>
    </row>
    <row r="2156" spans="1:11" x14ac:dyDescent="0.25">
      <c r="A2156" s="46" t="str" cm="1">
        <f t="array" ref="A2156">IFERROR(INDEX(#REF!,MATCH(TRUE,ISNUMBER(FIND(SUBSTITUTE(SUBSTITUTE(UPPER(#REF!)," ",""),":",": "),SUBSTITUTE(SUBSTITUTE(UPPER(S2156)," ",""),":",": "))),0)),"Undefined")</f>
        <v>Undefined</v>
      </c>
      <c r="B2156" s="42" t="str" cm="1">
        <f t="array" ref="B2156">IFERROR(INDEX({"URGENTE"},MATCH(TRUE,ISNUMBER(FIND(SUBSTITUTE(SUBSTITUTE(UPPER({"URGENTE"})," ",""),":",": "),SUBSTITUTE(SUBSTITUTE(UPPER(S2156)," ",""),":",": "))),0)),"-")</f>
        <v>-</v>
      </c>
      <c r="C2156" s="46" t="str" cm="1">
        <f t="array" ref="C2156">IFERROR(INDEX(#REF!,MATCH(TRUE,ISNUMBER(FIND(SUBSTITUTE(SUBSTITUTE(UPPER(#REF!)," ",""),":",": "),SUBSTITUTE(SUBSTITUTE(UPPER(S2156)," ",""),":",": "))),0)),"Não encontrado")</f>
        <v>Não encontrado</v>
      </c>
      <c r="D2156" s="46" t="str" cm="1">
        <f t="array" ref="D2156">IFERROR(INDEX(#REF!,MATCH(TRUE,ISNUMBER(FIND(SUBSTITUTE(SUBSTITUTE(UPPER(#REF!)," ",""),":",": "),SUBSTITUTE(SUBSTITUTE(UPPER(S2156)," ",""),":",": "))),0)),"Não encontrado")</f>
        <v>Não encontrado</v>
      </c>
      <c r="E2156" s="42" t="str" cm="1">
        <f t="array" ref="E2156">IFERROR(INDEX({"IMPEDITIVO"},MATCH(TRUE,ISNUMBER(FIND(SUBSTITUTE(SUBSTITUTE(UPPER({"IMPEDITIVO"})," ",""),":",": "),SUBSTITUTE(SUBSTITUTE(UPPER(S2156)," ",""),":",": "))),0)),"-")</f>
        <v>-</v>
      </c>
      <c r="K2156" s="49"/>
    </row>
    <row r="2157" spans="1:11" x14ac:dyDescent="0.25">
      <c r="A2157" s="46" t="str" cm="1">
        <f t="array" ref="A2157">IFERROR(INDEX(#REF!,MATCH(TRUE,ISNUMBER(FIND(SUBSTITUTE(SUBSTITUTE(UPPER(#REF!)," ",""),":",": "),SUBSTITUTE(SUBSTITUTE(UPPER(S2157)," ",""),":",": "))),0)),"Undefined")</f>
        <v>Undefined</v>
      </c>
      <c r="B2157" s="42" t="str" cm="1">
        <f t="array" ref="B2157">IFERROR(INDEX({"URGENTE"},MATCH(TRUE,ISNUMBER(FIND(SUBSTITUTE(SUBSTITUTE(UPPER({"URGENTE"})," ",""),":",": "),SUBSTITUTE(SUBSTITUTE(UPPER(S2157)," ",""),":",": "))),0)),"-")</f>
        <v>-</v>
      </c>
      <c r="C2157" s="46" t="str" cm="1">
        <f t="array" ref="C2157">IFERROR(INDEX(#REF!,MATCH(TRUE,ISNUMBER(FIND(SUBSTITUTE(SUBSTITUTE(UPPER(#REF!)," ",""),":",": "),SUBSTITUTE(SUBSTITUTE(UPPER(S2157)," ",""),":",": "))),0)),"Não encontrado")</f>
        <v>Não encontrado</v>
      </c>
      <c r="D2157" s="46" t="str" cm="1">
        <f t="array" ref="D2157">IFERROR(INDEX(#REF!,MATCH(TRUE,ISNUMBER(FIND(SUBSTITUTE(SUBSTITUTE(UPPER(#REF!)," ",""),":",": "),SUBSTITUTE(SUBSTITUTE(UPPER(S2157)," ",""),":",": "))),0)),"Não encontrado")</f>
        <v>Não encontrado</v>
      </c>
      <c r="E2157" s="42" t="str" cm="1">
        <f t="array" ref="E2157">IFERROR(INDEX({"IMPEDITIVO"},MATCH(TRUE,ISNUMBER(FIND(SUBSTITUTE(SUBSTITUTE(UPPER({"IMPEDITIVO"})," ",""),":",": "),SUBSTITUTE(SUBSTITUTE(UPPER(S2157)," ",""),":",": "))),0)),"-")</f>
        <v>-</v>
      </c>
      <c r="K2157" s="49"/>
    </row>
    <row r="2158" spans="1:11" x14ac:dyDescent="0.25">
      <c r="A2158" s="46" t="str" cm="1">
        <f t="array" ref="A2158">IFERROR(INDEX(#REF!,MATCH(TRUE,ISNUMBER(FIND(SUBSTITUTE(SUBSTITUTE(UPPER(#REF!)," ",""),":",": "),SUBSTITUTE(SUBSTITUTE(UPPER(S2158)," ",""),":",": "))),0)),"Undefined")</f>
        <v>Undefined</v>
      </c>
      <c r="B2158" s="42" t="str" cm="1">
        <f t="array" ref="B2158">IFERROR(INDEX({"URGENTE"},MATCH(TRUE,ISNUMBER(FIND(SUBSTITUTE(SUBSTITUTE(UPPER({"URGENTE"})," ",""),":",": "),SUBSTITUTE(SUBSTITUTE(UPPER(S2158)," ",""),":",": "))),0)),"-")</f>
        <v>-</v>
      </c>
      <c r="C2158" s="46" t="str" cm="1">
        <f t="array" ref="C2158">IFERROR(INDEX(#REF!,MATCH(TRUE,ISNUMBER(FIND(SUBSTITUTE(SUBSTITUTE(UPPER(#REF!)," ",""),":",": "),SUBSTITUTE(SUBSTITUTE(UPPER(S2158)," ",""),":",": "))),0)),"Não encontrado")</f>
        <v>Não encontrado</v>
      </c>
      <c r="D2158" s="46" t="str" cm="1">
        <f t="array" ref="D2158">IFERROR(INDEX(#REF!,MATCH(TRUE,ISNUMBER(FIND(SUBSTITUTE(SUBSTITUTE(UPPER(#REF!)," ",""),":",": "),SUBSTITUTE(SUBSTITUTE(UPPER(S2158)," ",""),":",": "))),0)),"Não encontrado")</f>
        <v>Não encontrado</v>
      </c>
      <c r="E2158" s="42" t="str" cm="1">
        <f t="array" ref="E2158">IFERROR(INDEX({"IMPEDITIVO"},MATCH(TRUE,ISNUMBER(FIND(SUBSTITUTE(SUBSTITUTE(UPPER({"IMPEDITIVO"})," ",""),":",": "),SUBSTITUTE(SUBSTITUTE(UPPER(S2158)," ",""),":",": "))),0)),"-")</f>
        <v>-</v>
      </c>
      <c r="K2158" s="49"/>
    </row>
    <row r="2159" spans="1:11" x14ac:dyDescent="0.25">
      <c r="A2159" s="46" t="str" cm="1">
        <f t="array" ref="A2159">IFERROR(INDEX(#REF!,MATCH(TRUE,ISNUMBER(FIND(SUBSTITUTE(SUBSTITUTE(UPPER(#REF!)," ",""),":",": "),SUBSTITUTE(SUBSTITUTE(UPPER(S2159)," ",""),":",": "))),0)),"Undefined")</f>
        <v>Undefined</v>
      </c>
      <c r="B2159" s="42" t="str" cm="1">
        <f t="array" ref="B2159">IFERROR(INDEX({"URGENTE"},MATCH(TRUE,ISNUMBER(FIND(SUBSTITUTE(SUBSTITUTE(UPPER({"URGENTE"})," ",""),":",": "),SUBSTITUTE(SUBSTITUTE(UPPER(S2159)," ",""),":",": "))),0)),"-")</f>
        <v>-</v>
      </c>
      <c r="C2159" s="46" t="str" cm="1">
        <f t="array" ref="C2159">IFERROR(INDEX(#REF!,MATCH(TRUE,ISNUMBER(FIND(SUBSTITUTE(SUBSTITUTE(UPPER(#REF!)," ",""),":",": "),SUBSTITUTE(SUBSTITUTE(UPPER(S2159)," ",""),":",": "))),0)),"Não encontrado")</f>
        <v>Não encontrado</v>
      </c>
      <c r="D2159" s="46" t="str" cm="1">
        <f t="array" ref="D2159">IFERROR(INDEX(#REF!,MATCH(TRUE,ISNUMBER(FIND(SUBSTITUTE(SUBSTITUTE(UPPER(#REF!)," ",""),":",": "),SUBSTITUTE(SUBSTITUTE(UPPER(S2159)," ",""),":",": "))),0)),"Não encontrado")</f>
        <v>Não encontrado</v>
      </c>
      <c r="E2159" s="42" t="str" cm="1">
        <f t="array" ref="E2159">IFERROR(INDEX({"IMPEDITIVO"},MATCH(TRUE,ISNUMBER(FIND(SUBSTITUTE(SUBSTITUTE(UPPER({"IMPEDITIVO"})," ",""),":",": "),SUBSTITUTE(SUBSTITUTE(UPPER(S2159)," ",""),":",": "))),0)),"-")</f>
        <v>-</v>
      </c>
      <c r="K2159" s="49"/>
    </row>
    <row r="2160" spans="1:11" x14ac:dyDescent="0.25">
      <c r="A2160" s="46" t="str" cm="1">
        <f t="array" ref="A2160">IFERROR(INDEX(#REF!,MATCH(TRUE,ISNUMBER(FIND(SUBSTITUTE(SUBSTITUTE(UPPER(#REF!)," ",""),":",": "),SUBSTITUTE(SUBSTITUTE(UPPER(S2160)," ",""),":",": "))),0)),"Undefined")</f>
        <v>Undefined</v>
      </c>
      <c r="B2160" s="42" t="str" cm="1">
        <f t="array" ref="B2160">IFERROR(INDEX({"URGENTE"},MATCH(TRUE,ISNUMBER(FIND(SUBSTITUTE(SUBSTITUTE(UPPER({"URGENTE"})," ",""),":",": "),SUBSTITUTE(SUBSTITUTE(UPPER(S2160)," ",""),":",": "))),0)),"-")</f>
        <v>-</v>
      </c>
      <c r="C2160" s="46" t="str" cm="1">
        <f t="array" ref="C2160">IFERROR(INDEX(#REF!,MATCH(TRUE,ISNUMBER(FIND(SUBSTITUTE(SUBSTITUTE(UPPER(#REF!)," ",""),":",": "),SUBSTITUTE(SUBSTITUTE(UPPER(S2160)," ",""),":",": "))),0)),"Não encontrado")</f>
        <v>Não encontrado</v>
      </c>
      <c r="D2160" s="46" t="str" cm="1">
        <f t="array" ref="D2160">IFERROR(INDEX(#REF!,MATCH(TRUE,ISNUMBER(FIND(SUBSTITUTE(SUBSTITUTE(UPPER(#REF!)," ",""),":",": "),SUBSTITUTE(SUBSTITUTE(UPPER(S2160)," ",""),":",": "))),0)),"Não encontrado")</f>
        <v>Não encontrado</v>
      </c>
      <c r="E2160" s="42" t="str" cm="1">
        <f t="array" ref="E2160">IFERROR(INDEX({"IMPEDITIVO"},MATCH(TRUE,ISNUMBER(FIND(SUBSTITUTE(SUBSTITUTE(UPPER({"IMPEDITIVO"})," ",""),":",": "),SUBSTITUTE(SUBSTITUTE(UPPER(S2160)," ",""),":",": "))),0)),"-")</f>
        <v>-</v>
      </c>
      <c r="K2160" s="49"/>
    </row>
    <row r="2161" spans="1:11" x14ac:dyDescent="0.25">
      <c r="A2161" s="46" t="str" cm="1">
        <f t="array" ref="A2161">IFERROR(INDEX(#REF!,MATCH(TRUE,ISNUMBER(FIND(SUBSTITUTE(SUBSTITUTE(UPPER(#REF!)," ",""),":",": "),SUBSTITUTE(SUBSTITUTE(UPPER(S2161)," ",""),":",": "))),0)),"Undefined")</f>
        <v>Undefined</v>
      </c>
      <c r="B2161" s="42" t="str" cm="1">
        <f t="array" ref="B2161">IFERROR(INDEX({"URGENTE"},MATCH(TRUE,ISNUMBER(FIND(SUBSTITUTE(SUBSTITUTE(UPPER({"URGENTE"})," ",""),":",": "),SUBSTITUTE(SUBSTITUTE(UPPER(S2161)," ",""),":",": "))),0)),"-")</f>
        <v>-</v>
      </c>
      <c r="C2161" s="46" t="str" cm="1">
        <f t="array" ref="C2161">IFERROR(INDEX(#REF!,MATCH(TRUE,ISNUMBER(FIND(SUBSTITUTE(SUBSTITUTE(UPPER(#REF!)," ",""),":",": "),SUBSTITUTE(SUBSTITUTE(UPPER(S2161)," ",""),":",": "))),0)),"Não encontrado")</f>
        <v>Não encontrado</v>
      </c>
      <c r="D2161" s="46" t="str" cm="1">
        <f t="array" ref="D2161">IFERROR(INDEX(#REF!,MATCH(TRUE,ISNUMBER(FIND(SUBSTITUTE(SUBSTITUTE(UPPER(#REF!)," ",""),":",": "),SUBSTITUTE(SUBSTITUTE(UPPER(S2161)," ",""),":",": "))),0)),"Não encontrado")</f>
        <v>Não encontrado</v>
      </c>
      <c r="E2161" s="42" t="str" cm="1">
        <f t="array" ref="E2161">IFERROR(INDEX({"IMPEDITIVO"},MATCH(TRUE,ISNUMBER(FIND(SUBSTITUTE(SUBSTITUTE(UPPER({"IMPEDITIVO"})," ",""),":",": "),SUBSTITUTE(SUBSTITUTE(UPPER(S2161)," ",""),":",": "))),0)),"-")</f>
        <v>-</v>
      </c>
      <c r="K2161" s="49"/>
    </row>
    <row r="2162" spans="1:11" x14ac:dyDescent="0.25">
      <c r="A2162" s="46" t="str" cm="1">
        <f t="array" ref="A2162">IFERROR(INDEX(#REF!,MATCH(TRUE,ISNUMBER(FIND(SUBSTITUTE(SUBSTITUTE(UPPER(#REF!)," ",""),":",": "),SUBSTITUTE(SUBSTITUTE(UPPER(S2162)," ",""),":",": "))),0)),"Undefined")</f>
        <v>Undefined</v>
      </c>
      <c r="B2162" s="42" t="str" cm="1">
        <f t="array" ref="B2162">IFERROR(INDEX({"URGENTE"},MATCH(TRUE,ISNUMBER(FIND(SUBSTITUTE(SUBSTITUTE(UPPER({"URGENTE"})," ",""),":",": "),SUBSTITUTE(SUBSTITUTE(UPPER(S2162)," ",""),":",": "))),0)),"-")</f>
        <v>-</v>
      </c>
      <c r="C2162" s="46" t="str" cm="1">
        <f t="array" ref="C2162">IFERROR(INDEX(#REF!,MATCH(TRUE,ISNUMBER(FIND(SUBSTITUTE(SUBSTITUTE(UPPER(#REF!)," ",""),":",": "),SUBSTITUTE(SUBSTITUTE(UPPER(S2162)," ",""),":",": "))),0)),"Não encontrado")</f>
        <v>Não encontrado</v>
      </c>
      <c r="D2162" s="46" t="str" cm="1">
        <f t="array" ref="D2162">IFERROR(INDEX(#REF!,MATCH(TRUE,ISNUMBER(FIND(SUBSTITUTE(SUBSTITUTE(UPPER(#REF!)," ",""),":",": "),SUBSTITUTE(SUBSTITUTE(UPPER(S2162)," ",""),":",": "))),0)),"Não encontrado")</f>
        <v>Não encontrado</v>
      </c>
      <c r="E2162" s="42" t="str" cm="1">
        <f t="array" ref="E2162">IFERROR(INDEX({"IMPEDITIVO"},MATCH(TRUE,ISNUMBER(FIND(SUBSTITUTE(SUBSTITUTE(UPPER({"IMPEDITIVO"})," ",""),":",": "),SUBSTITUTE(SUBSTITUTE(UPPER(S2162)," ",""),":",": "))),0)),"-")</f>
        <v>-</v>
      </c>
      <c r="K2162" s="49"/>
    </row>
    <row r="2163" spans="1:11" x14ac:dyDescent="0.25">
      <c r="A2163" s="46" t="str" cm="1">
        <f t="array" ref="A2163">IFERROR(INDEX(#REF!,MATCH(TRUE,ISNUMBER(FIND(SUBSTITUTE(SUBSTITUTE(UPPER(#REF!)," ",""),":",": "),SUBSTITUTE(SUBSTITUTE(UPPER(S2163)," ",""),":",": "))),0)),"Undefined")</f>
        <v>Undefined</v>
      </c>
      <c r="B2163" s="42" t="str" cm="1">
        <f t="array" ref="B2163">IFERROR(INDEX({"URGENTE"},MATCH(TRUE,ISNUMBER(FIND(SUBSTITUTE(SUBSTITUTE(UPPER({"URGENTE"})," ",""),":",": "),SUBSTITUTE(SUBSTITUTE(UPPER(S2163)," ",""),":",": "))),0)),"-")</f>
        <v>-</v>
      </c>
      <c r="C2163" s="46" t="str" cm="1">
        <f t="array" ref="C2163">IFERROR(INDEX(#REF!,MATCH(TRUE,ISNUMBER(FIND(SUBSTITUTE(SUBSTITUTE(UPPER(#REF!)," ",""),":",": "),SUBSTITUTE(SUBSTITUTE(UPPER(S2163)," ",""),":",": "))),0)),"Não encontrado")</f>
        <v>Não encontrado</v>
      </c>
      <c r="D2163" s="46" t="str" cm="1">
        <f t="array" ref="D2163">IFERROR(INDEX(#REF!,MATCH(TRUE,ISNUMBER(FIND(SUBSTITUTE(SUBSTITUTE(UPPER(#REF!)," ",""),":",": "),SUBSTITUTE(SUBSTITUTE(UPPER(S2163)," ",""),":",": "))),0)),"Não encontrado")</f>
        <v>Não encontrado</v>
      </c>
      <c r="E2163" s="42" t="str" cm="1">
        <f t="array" ref="E2163">IFERROR(INDEX({"IMPEDITIVO"},MATCH(TRUE,ISNUMBER(FIND(SUBSTITUTE(SUBSTITUTE(UPPER({"IMPEDITIVO"})," ",""),":",": "),SUBSTITUTE(SUBSTITUTE(UPPER(S2163)," ",""),":",": "))),0)),"-")</f>
        <v>-</v>
      </c>
      <c r="K2163" s="49"/>
    </row>
    <row r="2164" spans="1:11" x14ac:dyDescent="0.25">
      <c r="A2164" s="46" t="str" cm="1">
        <f t="array" ref="A2164">IFERROR(INDEX(#REF!,MATCH(TRUE,ISNUMBER(FIND(SUBSTITUTE(SUBSTITUTE(UPPER(#REF!)," ",""),":",": "),SUBSTITUTE(SUBSTITUTE(UPPER(S2164)," ",""),":",": "))),0)),"Undefined")</f>
        <v>Undefined</v>
      </c>
      <c r="B2164" s="42" t="str" cm="1">
        <f t="array" ref="B2164">IFERROR(INDEX({"URGENTE"},MATCH(TRUE,ISNUMBER(FIND(SUBSTITUTE(SUBSTITUTE(UPPER({"URGENTE"})," ",""),":",": "),SUBSTITUTE(SUBSTITUTE(UPPER(S2164)," ",""),":",": "))),0)),"-")</f>
        <v>-</v>
      </c>
      <c r="C2164" s="46" t="str" cm="1">
        <f t="array" ref="C2164">IFERROR(INDEX(#REF!,MATCH(TRUE,ISNUMBER(FIND(SUBSTITUTE(SUBSTITUTE(UPPER(#REF!)," ",""),":",": "),SUBSTITUTE(SUBSTITUTE(UPPER(S2164)," ",""),":",": "))),0)),"Não encontrado")</f>
        <v>Não encontrado</v>
      </c>
      <c r="D2164" s="46" t="str" cm="1">
        <f t="array" ref="D2164">IFERROR(INDEX(#REF!,MATCH(TRUE,ISNUMBER(FIND(SUBSTITUTE(SUBSTITUTE(UPPER(#REF!)," ",""),":",": "),SUBSTITUTE(SUBSTITUTE(UPPER(S2164)," ",""),":",": "))),0)),"Não encontrado")</f>
        <v>Não encontrado</v>
      </c>
      <c r="E2164" s="42" t="str" cm="1">
        <f t="array" ref="E2164">IFERROR(INDEX({"IMPEDITIVO"},MATCH(TRUE,ISNUMBER(FIND(SUBSTITUTE(SUBSTITUTE(UPPER({"IMPEDITIVO"})," ",""),":",": "),SUBSTITUTE(SUBSTITUTE(UPPER(S2164)," ",""),":",": "))),0)),"-")</f>
        <v>-</v>
      </c>
      <c r="K2164" s="49"/>
    </row>
    <row r="2165" spans="1:11" x14ac:dyDescent="0.25">
      <c r="A2165" s="46" t="str" cm="1">
        <f t="array" ref="A2165">IFERROR(INDEX(#REF!,MATCH(TRUE,ISNUMBER(FIND(SUBSTITUTE(SUBSTITUTE(UPPER(#REF!)," ",""),":",": "),SUBSTITUTE(SUBSTITUTE(UPPER(S2165)," ",""),":",": "))),0)),"Undefined")</f>
        <v>Undefined</v>
      </c>
      <c r="B2165" s="42" t="str" cm="1">
        <f t="array" ref="B2165">IFERROR(INDEX({"URGENTE"},MATCH(TRUE,ISNUMBER(FIND(SUBSTITUTE(SUBSTITUTE(UPPER({"URGENTE"})," ",""),":",": "),SUBSTITUTE(SUBSTITUTE(UPPER(S2165)," ",""),":",": "))),0)),"-")</f>
        <v>-</v>
      </c>
      <c r="C2165" s="46" t="str" cm="1">
        <f t="array" ref="C2165">IFERROR(INDEX(#REF!,MATCH(TRUE,ISNUMBER(FIND(SUBSTITUTE(SUBSTITUTE(UPPER(#REF!)," ",""),":",": "),SUBSTITUTE(SUBSTITUTE(UPPER(S2165)," ",""),":",": "))),0)),"Não encontrado")</f>
        <v>Não encontrado</v>
      </c>
      <c r="D2165" s="46" t="str" cm="1">
        <f t="array" ref="D2165">IFERROR(INDEX(#REF!,MATCH(TRUE,ISNUMBER(FIND(SUBSTITUTE(SUBSTITUTE(UPPER(#REF!)," ",""),":",": "),SUBSTITUTE(SUBSTITUTE(UPPER(S2165)," ",""),":",": "))),0)),"Não encontrado")</f>
        <v>Não encontrado</v>
      </c>
      <c r="E2165" s="42" t="str" cm="1">
        <f t="array" ref="E2165">IFERROR(INDEX({"IMPEDITIVO"},MATCH(TRUE,ISNUMBER(FIND(SUBSTITUTE(SUBSTITUTE(UPPER({"IMPEDITIVO"})," ",""),":",": "),SUBSTITUTE(SUBSTITUTE(UPPER(S2165)," ",""),":",": "))),0)),"-")</f>
        <v>-</v>
      </c>
      <c r="K2165" s="49"/>
    </row>
    <row r="2166" spans="1:11" x14ac:dyDescent="0.25">
      <c r="A2166" s="46" t="str" cm="1">
        <f t="array" ref="A2166">IFERROR(INDEX(#REF!,MATCH(TRUE,ISNUMBER(FIND(SUBSTITUTE(SUBSTITUTE(UPPER(#REF!)," ",""),":",": "),SUBSTITUTE(SUBSTITUTE(UPPER(S2166)," ",""),":",": "))),0)),"Undefined")</f>
        <v>Undefined</v>
      </c>
      <c r="B2166" s="42" t="str" cm="1">
        <f t="array" ref="B2166">IFERROR(INDEX({"URGENTE"},MATCH(TRUE,ISNUMBER(FIND(SUBSTITUTE(SUBSTITUTE(UPPER({"URGENTE"})," ",""),":",": "),SUBSTITUTE(SUBSTITUTE(UPPER(S2166)," ",""),":",": "))),0)),"-")</f>
        <v>-</v>
      </c>
      <c r="C2166" s="46" t="str" cm="1">
        <f t="array" ref="C2166">IFERROR(INDEX(#REF!,MATCH(TRUE,ISNUMBER(FIND(SUBSTITUTE(SUBSTITUTE(UPPER(#REF!)," ",""),":",": "),SUBSTITUTE(SUBSTITUTE(UPPER(S2166)," ",""),":",": "))),0)),"Não encontrado")</f>
        <v>Não encontrado</v>
      </c>
      <c r="D2166" s="46" t="str" cm="1">
        <f t="array" ref="D2166">IFERROR(INDEX(#REF!,MATCH(TRUE,ISNUMBER(FIND(SUBSTITUTE(SUBSTITUTE(UPPER(#REF!)," ",""),":",": "),SUBSTITUTE(SUBSTITUTE(UPPER(S2166)," ",""),":",": "))),0)),"Não encontrado")</f>
        <v>Não encontrado</v>
      </c>
      <c r="E2166" s="42" t="str" cm="1">
        <f t="array" ref="E2166">IFERROR(INDEX({"IMPEDITIVO"},MATCH(TRUE,ISNUMBER(FIND(SUBSTITUTE(SUBSTITUTE(UPPER({"IMPEDITIVO"})," ",""),":",": "),SUBSTITUTE(SUBSTITUTE(UPPER(S2166)," ",""),":",": "))),0)),"-")</f>
        <v>-</v>
      </c>
      <c r="K2166" s="49"/>
    </row>
    <row r="2167" spans="1:11" x14ac:dyDescent="0.25">
      <c r="A2167" s="46" t="str" cm="1">
        <f t="array" ref="A2167">IFERROR(INDEX(#REF!,MATCH(TRUE,ISNUMBER(FIND(SUBSTITUTE(SUBSTITUTE(UPPER(#REF!)," ",""),":",": "),SUBSTITUTE(SUBSTITUTE(UPPER(S2167)," ",""),":",": "))),0)),"Undefined")</f>
        <v>Undefined</v>
      </c>
      <c r="B2167" s="42" t="str" cm="1">
        <f t="array" ref="B2167">IFERROR(INDEX({"URGENTE"},MATCH(TRUE,ISNUMBER(FIND(SUBSTITUTE(SUBSTITUTE(UPPER({"URGENTE"})," ",""),":",": "),SUBSTITUTE(SUBSTITUTE(UPPER(S2167)," ",""),":",": "))),0)),"-")</f>
        <v>-</v>
      </c>
      <c r="C2167" s="46" t="str" cm="1">
        <f t="array" ref="C2167">IFERROR(INDEX(#REF!,MATCH(TRUE,ISNUMBER(FIND(SUBSTITUTE(SUBSTITUTE(UPPER(#REF!)," ",""),":",": "),SUBSTITUTE(SUBSTITUTE(UPPER(S2167)," ",""),":",": "))),0)),"Não encontrado")</f>
        <v>Não encontrado</v>
      </c>
      <c r="D2167" s="46" t="str" cm="1">
        <f t="array" ref="D2167">IFERROR(INDEX(#REF!,MATCH(TRUE,ISNUMBER(FIND(SUBSTITUTE(SUBSTITUTE(UPPER(#REF!)," ",""),":",": "),SUBSTITUTE(SUBSTITUTE(UPPER(S2167)," ",""),":",": "))),0)),"Não encontrado")</f>
        <v>Não encontrado</v>
      </c>
      <c r="E2167" s="42" t="str" cm="1">
        <f t="array" ref="E2167">IFERROR(INDEX({"IMPEDITIVO"},MATCH(TRUE,ISNUMBER(FIND(SUBSTITUTE(SUBSTITUTE(UPPER({"IMPEDITIVO"})," ",""),":",": "),SUBSTITUTE(SUBSTITUTE(UPPER(S2167)," ",""),":",": "))),0)),"-")</f>
        <v>-</v>
      </c>
      <c r="K2167" s="49"/>
    </row>
    <row r="2168" spans="1:11" x14ac:dyDescent="0.25">
      <c r="A2168" s="46" t="str" cm="1">
        <f t="array" ref="A2168">IFERROR(INDEX(#REF!,MATCH(TRUE,ISNUMBER(FIND(SUBSTITUTE(SUBSTITUTE(UPPER(#REF!)," ",""),":",": "),SUBSTITUTE(SUBSTITUTE(UPPER(S2168)," ",""),":",": "))),0)),"Undefined")</f>
        <v>Undefined</v>
      </c>
      <c r="B2168" s="42" t="str" cm="1">
        <f t="array" ref="B2168">IFERROR(INDEX({"URGENTE"},MATCH(TRUE,ISNUMBER(FIND(SUBSTITUTE(SUBSTITUTE(UPPER({"URGENTE"})," ",""),":",": "),SUBSTITUTE(SUBSTITUTE(UPPER(S2168)," ",""),":",": "))),0)),"-")</f>
        <v>-</v>
      </c>
      <c r="C2168" s="46" t="str" cm="1">
        <f t="array" ref="C2168">IFERROR(INDEX(#REF!,MATCH(TRUE,ISNUMBER(FIND(SUBSTITUTE(SUBSTITUTE(UPPER(#REF!)," ",""),":",": "),SUBSTITUTE(SUBSTITUTE(UPPER(S2168)," ",""),":",": "))),0)),"Não encontrado")</f>
        <v>Não encontrado</v>
      </c>
      <c r="D2168" s="46" t="str" cm="1">
        <f t="array" ref="D2168">IFERROR(INDEX(#REF!,MATCH(TRUE,ISNUMBER(FIND(SUBSTITUTE(SUBSTITUTE(UPPER(#REF!)," ",""),":",": "),SUBSTITUTE(SUBSTITUTE(UPPER(S2168)," ",""),":",": "))),0)),"Não encontrado")</f>
        <v>Não encontrado</v>
      </c>
      <c r="E2168" s="42" t="str" cm="1">
        <f t="array" ref="E2168">IFERROR(INDEX({"IMPEDITIVO"},MATCH(TRUE,ISNUMBER(FIND(SUBSTITUTE(SUBSTITUTE(UPPER({"IMPEDITIVO"})," ",""),":",": "),SUBSTITUTE(SUBSTITUTE(UPPER(S2168)," ",""),":",": "))),0)),"-")</f>
        <v>-</v>
      </c>
      <c r="K2168" s="49"/>
    </row>
    <row r="2169" spans="1:11" x14ac:dyDescent="0.25">
      <c r="A2169" s="46" t="str" cm="1">
        <f t="array" ref="A2169">IFERROR(INDEX(#REF!,MATCH(TRUE,ISNUMBER(FIND(SUBSTITUTE(SUBSTITUTE(UPPER(#REF!)," ",""),":",": "),SUBSTITUTE(SUBSTITUTE(UPPER(S2169)," ",""),":",": "))),0)),"Undefined")</f>
        <v>Undefined</v>
      </c>
      <c r="B2169" s="42" t="str" cm="1">
        <f t="array" ref="B2169">IFERROR(INDEX({"URGENTE"},MATCH(TRUE,ISNUMBER(FIND(SUBSTITUTE(SUBSTITUTE(UPPER({"URGENTE"})," ",""),":",": "),SUBSTITUTE(SUBSTITUTE(UPPER(S2169)," ",""),":",": "))),0)),"-")</f>
        <v>-</v>
      </c>
      <c r="C2169" s="46" t="str" cm="1">
        <f t="array" ref="C2169">IFERROR(INDEX(#REF!,MATCH(TRUE,ISNUMBER(FIND(SUBSTITUTE(SUBSTITUTE(UPPER(#REF!)," ",""),":",": "),SUBSTITUTE(SUBSTITUTE(UPPER(S2169)," ",""),":",": "))),0)),"Não encontrado")</f>
        <v>Não encontrado</v>
      </c>
      <c r="D2169" s="46" t="str" cm="1">
        <f t="array" ref="D2169">IFERROR(INDEX(#REF!,MATCH(TRUE,ISNUMBER(FIND(SUBSTITUTE(SUBSTITUTE(UPPER(#REF!)," ",""),":",": "),SUBSTITUTE(SUBSTITUTE(UPPER(S2169)," ",""),":",": "))),0)),"Não encontrado")</f>
        <v>Não encontrado</v>
      </c>
      <c r="E2169" s="42" t="str" cm="1">
        <f t="array" ref="E2169">IFERROR(INDEX({"IMPEDITIVO"},MATCH(TRUE,ISNUMBER(FIND(SUBSTITUTE(SUBSTITUTE(UPPER({"IMPEDITIVO"})," ",""),":",": "),SUBSTITUTE(SUBSTITUTE(UPPER(S2169)," ",""),":",": "))),0)),"-")</f>
        <v>-</v>
      </c>
      <c r="K2169" s="49"/>
    </row>
    <row r="2170" spans="1:11" x14ac:dyDescent="0.25">
      <c r="A2170" s="46" t="str" cm="1">
        <f t="array" ref="A2170">IFERROR(INDEX(#REF!,MATCH(TRUE,ISNUMBER(FIND(SUBSTITUTE(SUBSTITUTE(UPPER(#REF!)," ",""),":",": "),SUBSTITUTE(SUBSTITUTE(UPPER(S2170)," ",""),":",": "))),0)),"Undefined")</f>
        <v>Undefined</v>
      </c>
      <c r="B2170" s="42" t="str" cm="1">
        <f t="array" ref="B2170">IFERROR(INDEX({"URGENTE"},MATCH(TRUE,ISNUMBER(FIND(SUBSTITUTE(SUBSTITUTE(UPPER({"URGENTE"})," ",""),":",": "),SUBSTITUTE(SUBSTITUTE(UPPER(S2170)," ",""),":",": "))),0)),"-")</f>
        <v>-</v>
      </c>
      <c r="C2170" s="46" t="str" cm="1">
        <f t="array" ref="C2170">IFERROR(INDEX(#REF!,MATCH(TRUE,ISNUMBER(FIND(SUBSTITUTE(SUBSTITUTE(UPPER(#REF!)," ",""),":",": "),SUBSTITUTE(SUBSTITUTE(UPPER(S2170)," ",""),":",": "))),0)),"Não encontrado")</f>
        <v>Não encontrado</v>
      </c>
      <c r="D2170" s="46" t="str" cm="1">
        <f t="array" ref="D2170">IFERROR(INDEX(#REF!,MATCH(TRUE,ISNUMBER(FIND(SUBSTITUTE(SUBSTITUTE(UPPER(#REF!)," ",""),":",": "),SUBSTITUTE(SUBSTITUTE(UPPER(S2170)," ",""),":",": "))),0)),"Não encontrado")</f>
        <v>Não encontrado</v>
      </c>
      <c r="E2170" s="42" t="str" cm="1">
        <f t="array" ref="E2170">IFERROR(INDEX({"IMPEDITIVO"},MATCH(TRUE,ISNUMBER(FIND(SUBSTITUTE(SUBSTITUTE(UPPER({"IMPEDITIVO"})," ",""),":",": "),SUBSTITUTE(SUBSTITUTE(UPPER(S2170)," ",""),":",": "))),0)),"-")</f>
        <v>-</v>
      </c>
      <c r="K2170" s="49"/>
    </row>
    <row r="2171" spans="1:11" x14ac:dyDescent="0.25">
      <c r="A2171" s="46" t="str" cm="1">
        <f t="array" ref="A2171">IFERROR(INDEX(#REF!,MATCH(TRUE,ISNUMBER(FIND(SUBSTITUTE(SUBSTITUTE(UPPER(#REF!)," ",""),":",": "),SUBSTITUTE(SUBSTITUTE(UPPER(S2171)," ",""),":",": "))),0)),"Undefined")</f>
        <v>Undefined</v>
      </c>
      <c r="B2171" s="42" t="str" cm="1">
        <f t="array" ref="B2171">IFERROR(INDEX({"URGENTE"},MATCH(TRUE,ISNUMBER(FIND(SUBSTITUTE(SUBSTITUTE(UPPER({"URGENTE"})," ",""),":",": "),SUBSTITUTE(SUBSTITUTE(UPPER(S2171)," ",""),":",": "))),0)),"-")</f>
        <v>-</v>
      </c>
      <c r="C2171" s="46" t="str" cm="1">
        <f t="array" ref="C2171">IFERROR(INDEX(#REF!,MATCH(TRUE,ISNUMBER(FIND(SUBSTITUTE(SUBSTITUTE(UPPER(#REF!)," ",""),":",": "),SUBSTITUTE(SUBSTITUTE(UPPER(S2171)," ",""),":",": "))),0)),"Não encontrado")</f>
        <v>Não encontrado</v>
      </c>
      <c r="D2171" s="46" t="str" cm="1">
        <f t="array" ref="D2171">IFERROR(INDEX(#REF!,MATCH(TRUE,ISNUMBER(FIND(SUBSTITUTE(SUBSTITUTE(UPPER(#REF!)," ",""),":",": "),SUBSTITUTE(SUBSTITUTE(UPPER(S2171)," ",""),":",": "))),0)),"Não encontrado")</f>
        <v>Não encontrado</v>
      </c>
      <c r="E2171" s="42" t="str" cm="1">
        <f t="array" ref="E2171">IFERROR(INDEX({"IMPEDITIVO"},MATCH(TRUE,ISNUMBER(FIND(SUBSTITUTE(SUBSTITUTE(UPPER({"IMPEDITIVO"})," ",""),":",": "),SUBSTITUTE(SUBSTITUTE(UPPER(S2171)," ",""),":",": "))),0)),"-")</f>
        <v>-</v>
      </c>
      <c r="K2171" s="49"/>
    </row>
    <row r="2172" spans="1:11" x14ac:dyDescent="0.25">
      <c r="A2172" s="46" t="str" cm="1">
        <f t="array" ref="A2172">IFERROR(INDEX(#REF!,MATCH(TRUE,ISNUMBER(FIND(SUBSTITUTE(SUBSTITUTE(UPPER(#REF!)," ",""),":",": "),SUBSTITUTE(SUBSTITUTE(UPPER(S2172)," ",""),":",": "))),0)),"Undefined")</f>
        <v>Undefined</v>
      </c>
      <c r="B2172" s="42" t="str" cm="1">
        <f t="array" ref="B2172">IFERROR(INDEX({"URGENTE"},MATCH(TRUE,ISNUMBER(FIND(SUBSTITUTE(SUBSTITUTE(UPPER({"URGENTE"})," ",""),":",": "),SUBSTITUTE(SUBSTITUTE(UPPER(S2172)," ",""),":",": "))),0)),"-")</f>
        <v>-</v>
      </c>
      <c r="C2172" s="46" t="str" cm="1">
        <f t="array" ref="C2172">IFERROR(INDEX(#REF!,MATCH(TRUE,ISNUMBER(FIND(SUBSTITUTE(SUBSTITUTE(UPPER(#REF!)," ",""),":",": "),SUBSTITUTE(SUBSTITUTE(UPPER(S2172)," ",""),":",": "))),0)),"Não encontrado")</f>
        <v>Não encontrado</v>
      </c>
      <c r="D2172" s="46" t="str" cm="1">
        <f t="array" ref="D2172">IFERROR(INDEX(#REF!,MATCH(TRUE,ISNUMBER(FIND(SUBSTITUTE(SUBSTITUTE(UPPER(#REF!)," ",""),":",": "),SUBSTITUTE(SUBSTITUTE(UPPER(S2172)," ",""),":",": "))),0)),"Não encontrado")</f>
        <v>Não encontrado</v>
      </c>
      <c r="E2172" s="42" t="str" cm="1">
        <f t="array" ref="E2172">IFERROR(INDEX({"IMPEDITIVO"},MATCH(TRUE,ISNUMBER(FIND(SUBSTITUTE(SUBSTITUTE(UPPER({"IMPEDITIVO"})," ",""),":",": "),SUBSTITUTE(SUBSTITUTE(UPPER(S2172)," ",""),":",": "))),0)),"-")</f>
        <v>-</v>
      </c>
      <c r="K2172" s="49"/>
    </row>
    <row r="2173" spans="1:11" x14ac:dyDescent="0.25">
      <c r="A2173" s="46" t="str" cm="1">
        <f t="array" ref="A2173">IFERROR(INDEX(#REF!,MATCH(TRUE,ISNUMBER(FIND(SUBSTITUTE(SUBSTITUTE(UPPER(#REF!)," ",""),":",": "),SUBSTITUTE(SUBSTITUTE(UPPER(S2173)," ",""),":",": "))),0)),"Undefined")</f>
        <v>Undefined</v>
      </c>
      <c r="B2173" s="42" t="str" cm="1">
        <f t="array" ref="B2173">IFERROR(INDEX({"URGENTE"},MATCH(TRUE,ISNUMBER(FIND(SUBSTITUTE(SUBSTITUTE(UPPER({"URGENTE"})," ",""),":",": "),SUBSTITUTE(SUBSTITUTE(UPPER(S2173)," ",""),":",": "))),0)),"-")</f>
        <v>-</v>
      </c>
      <c r="C2173" s="46" t="str" cm="1">
        <f t="array" ref="C2173">IFERROR(INDEX(#REF!,MATCH(TRUE,ISNUMBER(FIND(SUBSTITUTE(SUBSTITUTE(UPPER(#REF!)," ",""),":",": "),SUBSTITUTE(SUBSTITUTE(UPPER(S2173)," ",""),":",": "))),0)),"Não encontrado")</f>
        <v>Não encontrado</v>
      </c>
      <c r="D2173" s="46" t="str" cm="1">
        <f t="array" ref="D2173">IFERROR(INDEX(#REF!,MATCH(TRUE,ISNUMBER(FIND(SUBSTITUTE(SUBSTITUTE(UPPER(#REF!)," ",""),":",": "),SUBSTITUTE(SUBSTITUTE(UPPER(S2173)," ",""),":",": "))),0)),"Não encontrado")</f>
        <v>Não encontrado</v>
      </c>
      <c r="E2173" s="42" t="str" cm="1">
        <f t="array" ref="E2173">IFERROR(INDEX({"IMPEDITIVO"},MATCH(TRUE,ISNUMBER(FIND(SUBSTITUTE(SUBSTITUTE(UPPER({"IMPEDITIVO"})," ",""),":",": "),SUBSTITUTE(SUBSTITUTE(UPPER(S2173)," ",""),":",": "))),0)),"-")</f>
        <v>-</v>
      </c>
      <c r="K2173" s="49"/>
    </row>
    <row r="2174" spans="1:11" x14ac:dyDescent="0.25">
      <c r="A2174" s="46" t="str" cm="1">
        <f t="array" ref="A2174">IFERROR(INDEX(#REF!,MATCH(TRUE,ISNUMBER(FIND(SUBSTITUTE(SUBSTITUTE(UPPER(#REF!)," ",""),":",": "),SUBSTITUTE(SUBSTITUTE(UPPER(S2174)," ",""),":",": "))),0)),"Undefined")</f>
        <v>Undefined</v>
      </c>
      <c r="B2174" s="42" t="str" cm="1">
        <f t="array" ref="B2174">IFERROR(INDEX({"URGENTE"},MATCH(TRUE,ISNUMBER(FIND(SUBSTITUTE(SUBSTITUTE(UPPER({"URGENTE"})," ",""),":",": "),SUBSTITUTE(SUBSTITUTE(UPPER(S2174)," ",""),":",": "))),0)),"-")</f>
        <v>-</v>
      </c>
      <c r="C2174" s="46" t="str" cm="1">
        <f t="array" ref="C2174">IFERROR(INDEX(#REF!,MATCH(TRUE,ISNUMBER(FIND(SUBSTITUTE(SUBSTITUTE(UPPER(#REF!)," ",""),":",": "),SUBSTITUTE(SUBSTITUTE(UPPER(S2174)," ",""),":",": "))),0)),"Não encontrado")</f>
        <v>Não encontrado</v>
      </c>
      <c r="D2174" s="46" t="str" cm="1">
        <f t="array" ref="D2174">IFERROR(INDEX(#REF!,MATCH(TRUE,ISNUMBER(FIND(SUBSTITUTE(SUBSTITUTE(UPPER(#REF!)," ",""),":",": "),SUBSTITUTE(SUBSTITUTE(UPPER(S2174)," ",""),":",": "))),0)),"Não encontrado")</f>
        <v>Não encontrado</v>
      </c>
      <c r="E2174" s="42" t="str" cm="1">
        <f t="array" ref="E2174">IFERROR(INDEX({"IMPEDITIVO"},MATCH(TRUE,ISNUMBER(FIND(SUBSTITUTE(SUBSTITUTE(UPPER({"IMPEDITIVO"})," ",""),":",": "),SUBSTITUTE(SUBSTITUTE(UPPER(S2174)," ",""),":",": "))),0)),"-")</f>
        <v>-</v>
      </c>
      <c r="K2174" s="49"/>
    </row>
    <row r="2175" spans="1:11" x14ac:dyDescent="0.25">
      <c r="A2175" s="46" t="str" cm="1">
        <f t="array" ref="A2175">IFERROR(INDEX(#REF!,MATCH(TRUE,ISNUMBER(FIND(SUBSTITUTE(SUBSTITUTE(UPPER(#REF!)," ",""),":",": "),SUBSTITUTE(SUBSTITUTE(UPPER(S2175)," ",""),":",": "))),0)),"Undefined")</f>
        <v>Undefined</v>
      </c>
      <c r="B2175" s="42" t="str" cm="1">
        <f t="array" ref="B2175">IFERROR(INDEX({"URGENTE"},MATCH(TRUE,ISNUMBER(FIND(SUBSTITUTE(SUBSTITUTE(UPPER({"URGENTE"})," ",""),":",": "),SUBSTITUTE(SUBSTITUTE(UPPER(S2175)," ",""),":",": "))),0)),"-")</f>
        <v>-</v>
      </c>
      <c r="C2175" s="46" t="str" cm="1">
        <f t="array" ref="C2175">IFERROR(INDEX(#REF!,MATCH(TRUE,ISNUMBER(FIND(SUBSTITUTE(SUBSTITUTE(UPPER(#REF!)," ",""),":",": "),SUBSTITUTE(SUBSTITUTE(UPPER(S2175)," ",""),":",": "))),0)),"Não encontrado")</f>
        <v>Não encontrado</v>
      </c>
      <c r="D2175" s="46" t="str" cm="1">
        <f t="array" ref="D2175">IFERROR(INDEX(#REF!,MATCH(TRUE,ISNUMBER(FIND(SUBSTITUTE(SUBSTITUTE(UPPER(#REF!)," ",""),":",": "),SUBSTITUTE(SUBSTITUTE(UPPER(S2175)," ",""),":",": "))),0)),"Não encontrado")</f>
        <v>Não encontrado</v>
      </c>
      <c r="E2175" s="42" t="str" cm="1">
        <f t="array" ref="E2175">IFERROR(INDEX({"IMPEDITIVO"},MATCH(TRUE,ISNUMBER(FIND(SUBSTITUTE(SUBSTITUTE(UPPER({"IMPEDITIVO"})," ",""),":",": "),SUBSTITUTE(SUBSTITUTE(UPPER(S2175)," ",""),":",": "))),0)),"-")</f>
        <v>-</v>
      </c>
      <c r="K2175" s="49"/>
    </row>
    <row r="2176" spans="1:11" x14ac:dyDescent="0.25">
      <c r="A2176" s="46" t="str" cm="1">
        <f t="array" ref="A2176">IFERROR(INDEX(#REF!,MATCH(TRUE,ISNUMBER(FIND(SUBSTITUTE(SUBSTITUTE(UPPER(#REF!)," ",""),":",": "),SUBSTITUTE(SUBSTITUTE(UPPER(S2176)," ",""),":",": "))),0)),"Undefined")</f>
        <v>Undefined</v>
      </c>
      <c r="B2176" s="42" t="str" cm="1">
        <f t="array" ref="B2176">IFERROR(INDEX({"URGENTE"},MATCH(TRUE,ISNUMBER(FIND(SUBSTITUTE(SUBSTITUTE(UPPER({"URGENTE"})," ",""),":",": "),SUBSTITUTE(SUBSTITUTE(UPPER(S2176)," ",""),":",": "))),0)),"-")</f>
        <v>-</v>
      </c>
      <c r="C2176" s="46" t="str" cm="1">
        <f t="array" ref="C2176">IFERROR(INDEX(#REF!,MATCH(TRUE,ISNUMBER(FIND(SUBSTITUTE(SUBSTITUTE(UPPER(#REF!)," ",""),":",": "),SUBSTITUTE(SUBSTITUTE(UPPER(S2176)," ",""),":",": "))),0)),"Não encontrado")</f>
        <v>Não encontrado</v>
      </c>
      <c r="D2176" s="46" t="str" cm="1">
        <f t="array" ref="D2176">IFERROR(INDEX(#REF!,MATCH(TRUE,ISNUMBER(FIND(SUBSTITUTE(SUBSTITUTE(UPPER(#REF!)," ",""),":",": "),SUBSTITUTE(SUBSTITUTE(UPPER(S2176)," ",""),":",": "))),0)),"Não encontrado")</f>
        <v>Não encontrado</v>
      </c>
      <c r="E2176" s="42" t="str" cm="1">
        <f t="array" ref="E2176">IFERROR(INDEX({"IMPEDITIVO"},MATCH(TRUE,ISNUMBER(FIND(SUBSTITUTE(SUBSTITUTE(UPPER({"IMPEDITIVO"})," ",""),":",": "),SUBSTITUTE(SUBSTITUTE(UPPER(S2176)," ",""),":",": "))),0)),"-")</f>
        <v>-</v>
      </c>
      <c r="K2176" s="49"/>
    </row>
    <row r="2177" spans="1:11" x14ac:dyDescent="0.25">
      <c r="A2177" s="46" t="str" cm="1">
        <f t="array" ref="A2177">IFERROR(INDEX(#REF!,MATCH(TRUE,ISNUMBER(FIND(SUBSTITUTE(SUBSTITUTE(UPPER(#REF!)," ",""),":",": "),SUBSTITUTE(SUBSTITUTE(UPPER(S2177)," ",""),":",": "))),0)),"Undefined")</f>
        <v>Undefined</v>
      </c>
      <c r="B2177" s="42" t="str" cm="1">
        <f t="array" ref="B2177">IFERROR(INDEX({"URGENTE"},MATCH(TRUE,ISNUMBER(FIND(SUBSTITUTE(SUBSTITUTE(UPPER({"URGENTE"})," ",""),":",": "),SUBSTITUTE(SUBSTITUTE(UPPER(S2177)," ",""),":",": "))),0)),"-")</f>
        <v>-</v>
      </c>
      <c r="C2177" s="46" t="str" cm="1">
        <f t="array" ref="C2177">IFERROR(INDEX(#REF!,MATCH(TRUE,ISNUMBER(FIND(SUBSTITUTE(SUBSTITUTE(UPPER(#REF!)," ",""),":",": "),SUBSTITUTE(SUBSTITUTE(UPPER(S2177)," ",""),":",": "))),0)),"Não encontrado")</f>
        <v>Não encontrado</v>
      </c>
      <c r="D2177" s="46" t="str" cm="1">
        <f t="array" ref="D2177">IFERROR(INDEX(#REF!,MATCH(TRUE,ISNUMBER(FIND(SUBSTITUTE(SUBSTITUTE(UPPER(#REF!)," ",""),":",": "),SUBSTITUTE(SUBSTITUTE(UPPER(S2177)," ",""),":",": "))),0)),"Não encontrado")</f>
        <v>Não encontrado</v>
      </c>
      <c r="E2177" s="42" t="str" cm="1">
        <f t="array" ref="E2177">IFERROR(INDEX({"IMPEDITIVO"},MATCH(TRUE,ISNUMBER(FIND(SUBSTITUTE(SUBSTITUTE(UPPER({"IMPEDITIVO"})," ",""),":",": "),SUBSTITUTE(SUBSTITUTE(UPPER(S2177)," ",""),":",": "))),0)),"-")</f>
        <v>-</v>
      </c>
      <c r="K2177" s="49"/>
    </row>
    <row r="2178" spans="1:11" x14ac:dyDescent="0.25">
      <c r="A2178" s="46" t="str" cm="1">
        <f t="array" ref="A2178">IFERROR(INDEX(#REF!,MATCH(TRUE,ISNUMBER(FIND(SUBSTITUTE(SUBSTITUTE(UPPER(#REF!)," ",""),":",": "),SUBSTITUTE(SUBSTITUTE(UPPER(S2178)," ",""),":",": "))),0)),"Undefined")</f>
        <v>Undefined</v>
      </c>
      <c r="B2178" s="42" t="str" cm="1">
        <f t="array" ref="B2178">IFERROR(INDEX({"URGENTE"},MATCH(TRUE,ISNUMBER(FIND(SUBSTITUTE(SUBSTITUTE(UPPER({"URGENTE"})," ",""),":",": "),SUBSTITUTE(SUBSTITUTE(UPPER(S2178)," ",""),":",": "))),0)),"-")</f>
        <v>-</v>
      </c>
      <c r="C2178" s="46" t="str" cm="1">
        <f t="array" ref="C2178">IFERROR(INDEX(#REF!,MATCH(TRUE,ISNUMBER(FIND(SUBSTITUTE(SUBSTITUTE(UPPER(#REF!)," ",""),":",": "),SUBSTITUTE(SUBSTITUTE(UPPER(S2178)," ",""),":",": "))),0)),"Não encontrado")</f>
        <v>Não encontrado</v>
      </c>
      <c r="D2178" s="46" t="str" cm="1">
        <f t="array" ref="D2178">IFERROR(INDEX(#REF!,MATCH(TRUE,ISNUMBER(FIND(SUBSTITUTE(SUBSTITUTE(UPPER(#REF!)," ",""),":",": "),SUBSTITUTE(SUBSTITUTE(UPPER(S2178)," ",""),":",": "))),0)),"Não encontrado")</f>
        <v>Não encontrado</v>
      </c>
      <c r="E2178" s="42" t="str" cm="1">
        <f t="array" ref="E2178">IFERROR(INDEX({"IMPEDITIVO"},MATCH(TRUE,ISNUMBER(FIND(SUBSTITUTE(SUBSTITUTE(UPPER({"IMPEDITIVO"})," ",""),":",": "),SUBSTITUTE(SUBSTITUTE(UPPER(S2178)," ",""),":",": "))),0)),"-")</f>
        <v>-</v>
      </c>
      <c r="K2178" s="49"/>
    </row>
    <row r="2179" spans="1:11" x14ac:dyDescent="0.25">
      <c r="A2179" s="46" t="str" cm="1">
        <f t="array" ref="A2179">IFERROR(INDEX(#REF!,MATCH(TRUE,ISNUMBER(FIND(SUBSTITUTE(SUBSTITUTE(UPPER(#REF!)," ",""),":",": "),SUBSTITUTE(SUBSTITUTE(UPPER(S2179)," ",""),":",": "))),0)),"Undefined")</f>
        <v>Undefined</v>
      </c>
      <c r="B2179" s="42" t="str" cm="1">
        <f t="array" ref="B2179">IFERROR(INDEX({"URGENTE"},MATCH(TRUE,ISNUMBER(FIND(SUBSTITUTE(SUBSTITUTE(UPPER({"URGENTE"})," ",""),":",": "),SUBSTITUTE(SUBSTITUTE(UPPER(S2179)," ",""),":",": "))),0)),"-")</f>
        <v>-</v>
      </c>
      <c r="C2179" s="46" t="str" cm="1">
        <f t="array" ref="C2179">IFERROR(INDEX(#REF!,MATCH(TRUE,ISNUMBER(FIND(SUBSTITUTE(SUBSTITUTE(UPPER(#REF!)," ",""),":",": "),SUBSTITUTE(SUBSTITUTE(UPPER(S2179)," ",""),":",": "))),0)),"Não encontrado")</f>
        <v>Não encontrado</v>
      </c>
      <c r="D2179" s="46" t="str" cm="1">
        <f t="array" ref="D2179">IFERROR(INDEX(#REF!,MATCH(TRUE,ISNUMBER(FIND(SUBSTITUTE(SUBSTITUTE(UPPER(#REF!)," ",""),":",": "),SUBSTITUTE(SUBSTITUTE(UPPER(S2179)," ",""),":",": "))),0)),"Não encontrado")</f>
        <v>Não encontrado</v>
      </c>
      <c r="E2179" s="42" t="str" cm="1">
        <f t="array" ref="E2179">IFERROR(INDEX({"IMPEDITIVO"},MATCH(TRUE,ISNUMBER(FIND(SUBSTITUTE(SUBSTITUTE(UPPER({"IMPEDITIVO"})," ",""),":",": "),SUBSTITUTE(SUBSTITUTE(UPPER(S2179)," ",""),":",": "))),0)),"-")</f>
        <v>-</v>
      </c>
      <c r="K2179" s="49"/>
    </row>
    <row r="2180" spans="1:11" x14ac:dyDescent="0.25">
      <c r="A2180" s="46" t="str" cm="1">
        <f t="array" ref="A2180">IFERROR(INDEX(#REF!,MATCH(TRUE,ISNUMBER(FIND(SUBSTITUTE(SUBSTITUTE(UPPER(#REF!)," ",""),":",": "),SUBSTITUTE(SUBSTITUTE(UPPER(S2180)," ",""),":",": "))),0)),"Undefined")</f>
        <v>Undefined</v>
      </c>
      <c r="B2180" s="42" t="str" cm="1">
        <f t="array" ref="B2180">IFERROR(INDEX({"URGENTE"},MATCH(TRUE,ISNUMBER(FIND(SUBSTITUTE(SUBSTITUTE(UPPER({"URGENTE"})," ",""),":",": "),SUBSTITUTE(SUBSTITUTE(UPPER(S2180)," ",""),":",": "))),0)),"-")</f>
        <v>-</v>
      </c>
      <c r="C2180" s="46" t="str" cm="1">
        <f t="array" ref="C2180">IFERROR(INDEX(#REF!,MATCH(TRUE,ISNUMBER(FIND(SUBSTITUTE(SUBSTITUTE(UPPER(#REF!)," ",""),":",": "),SUBSTITUTE(SUBSTITUTE(UPPER(S2180)," ",""),":",": "))),0)),"Não encontrado")</f>
        <v>Não encontrado</v>
      </c>
      <c r="D2180" s="46" t="str" cm="1">
        <f t="array" ref="D2180">IFERROR(INDEX(#REF!,MATCH(TRUE,ISNUMBER(FIND(SUBSTITUTE(SUBSTITUTE(UPPER(#REF!)," ",""),":",": "),SUBSTITUTE(SUBSTITUTE(UPPER(S2180)," ",""),":",": "))),0)),"Não encontrado")</f>
        <v>Não encontrado</v>
      </c>
      <c r="E2180" s="42" t="str" cm="1">
        <f t="array" ref="E2180">IFERROR(INDEX({"IMPEDITIVO"},MATCH(TRUE,ISNUMBER(FIND(SUBSTITUTE(SUBSTITUTE(UPPER({"IMPEDITIVO"})," ",""),":",": "),SUBSTITUTE(SUBSTITUTE(UPPER(S2180)," ",""),":",": "))),0)),"-")</f>
        <v>-</v>
      </c>
      <c r="K2180" s="49"/>
    </row>
    <row r="2181" spans="1:11" x14ac:dyDescent="0.25">
      <c r="A2181" s="46" t="str" cm="1">
        <f t="array" ref="A2181">IFERROR(INDEX(#REF!,MATCH(TRUE,ISNUMBER(FIND(SUBSTITUTE(SUBSTITUTE(UPPER(#REF!)," ",""),":",": "),SUBSTITUTE(SUBSTITUTE(UPPER(S2181)," ",""),":",": "))),0)),"Undefined")</f>
        <v>Undefined</v>
      </c>
      <c r="B2181" s="42" t="str" cm="1">
        <f t="array" ref="B2181">IFERROR(INDEX({"URGENTE"},MATCH(TRUE,ISNUMBER(FIND(SUBSTITUTE(SUBSTITUTE(UPPER({"URGENTE"})," ",""),":",": "),SUBSTITUTE(SUBSTITUTE(UPPER(S2181)," ",""),":",": "))),0)),"-")</f>
        <v>-</v>
      </c>
      <c r="C2181" s="46" t="str" cm="1">
        <f t="array" ref="C2181">IFERROR(INDEX(#REF!,MATCH(TRUE,ISNUMBER(FIND(SUBSTITUTE(SUBSTITUTE(UPPER(#REF!)," ",""),":",": "),SUBSTITUTE(SUBSTITUTE(UPPER(S2181)," ",""),":",": "))),0)),"Não encontrado")</f>
        <v>Não encontrado</v>
      </c>
      <c r="D2181" s="46" t="str" cm="1">
        <f t="array" ref="D2181">IFERROR(INDEX(#REF!,MATCH(TRUE,ISNUMBER(FIND(SUBSTITUTE(SUBSTITUTE(UPPER(#REF!)," ",""),":",": "),SUBSTITUTE(SUBSTITUTE(UPPER(S2181)," ",""),":",": "))),0)),"Não encontrado")</f>
        <v>Não encontrado</v>
      </c>
      <c r="E2181" s="42" t="str" cm="1">
        <f t="array" ref="E2181">IFERROR(INDEX({"IMPEDITIVO"},MATCH(TRUE,ISNUMBER(FIND(SUBSTITUTE(SUBSTITUTE(UPPER({"IMPEDITIVO"})," ",""),":",": "),SUBSTITUTE(SUBSTITUTE(UPPER(S2181)," ",""),":",": "))),0)),"-")</f>
        <v>-</v>
      </c>
      <c r="K2181" s="49"/>
    </row>
    <row r="2182" spans="1:11" x14ac:dyDescent="0.25">
      <c r="A2182" s="46" t="str" cm="1">
        <f t="array" ref="A2182">IFERROR(INDEX(#REF!,MATCH(TRUE,ISNUMBER(FIND(SUBSTITUTE(SUBSTITUTE(UPPER(#REF!)," ",""),":",": "),SUBSTITUTE(SUBSTITUTE(UPPER(S2182)," ",""),":",": "))),0)),"Undefined")</f>
        <v>Undefined</v>
      </c>
      <c r="B2182" s="42" t="str" cm="1">
        <f t="array" ref="B2182">IFERROR(INDEX({"URGENTE"},MATCH(TRUE,ISNUMBER(FIND(SUBSTITUTE(SUBSTITUTE(UPPER({"URGENTE"})," ",""),":",": "),SUBSTITUTE(SUBSTITUTE(UPPER(S2182)," ",""),":",": "))),0)),"-")</f>
        <v>-</v>
      </c>
      <c r="C2182" s="46" t="str" cm="1">
        <f t="array" ref="C2182">IFERROR(INDEX(#REF!,MATCH(TRUE,ISNUMBER(FIND(SUBSTITUTE(SUBSTITUTE(UPPER(#REF!)," ",""),":",": "),SUBSTITUTE(SUBSTITUTE(UPPER(S2182)," ",""),":",": "))),0)),"Não encontrado")</f>
        <v>Não encontrado</v>
      </c>
      <c r="D2182" s="46" t="str" cm="1">
        <f t="array" ref="D2182">IFERROR(INDEX(#REF!,MATCH(TRUE,ISNUMBER(FIND(SUBSTITUTE(SUBSTITUTE(UPPER(#REF!)," ",""),":",": "),SUBSTITUTE(SUBSTITUTE(UPPER(S2182)," ",""),":",": "))),0)),"Não encontrado")</f>
        <v>Não encontrado</v>
      </c>
      <c r="E2182" s="42" t="str" cm="1">
        <f t="array" ref="E2182">IFERROR(INDEX({"IMPEDITIVO"},MATCH(TRUE,ISNUMBER(FIND(SUBSTITUTE(SUBSTITUTE(UPPER({"IMPEDITIVO"})," ",""),":",": "),SUBSTITUTE(SUBSTITUTE(UPPER(S2182)," ",""),":",": "))),0)),"-")</f>
        <v>-</v>
      </c>
      <c r="K2182" s="49"/>
    </row>
    <row r="2183" spans="1:11" x14ac:dyDescent="0.25">
      <c r="A2183" s="46" t="str" cm="1">
        <f t="array" ref="A2183">IFERROR(INDEX(#REF!,MATCH(TRUE,ISNUMBER(FIND(SUBSTITUTE(SUBSTITUTE(UPPER(#REF!)," ",""),":",": "),SUBSTITUTE(SUBSTITUTE(UPPER(S2183)," ",""),":",": "))),0)),"Undefined")</f>
        <v>Undefined</v>
      </c>
      <c r="B2183" s="42" t="str" cm="1">
        <f t="array" ref="B2183">IFERROR(INDEX({"URGENTE"},MATCH(TRUE,ISNUMBER(FIND(SUBSTITUTE(SUBSTITUTE(UPPER({"URGENTE"})," ",""),":",": "),SUBSTITUTE(SUBSTITUTE(UPPER(S2183)," ",""),":",": "))),0)),"-")</f>
        <v>-</v>
      </c>
      <c r="C2183" s="46" t="str" cm="1">
        <f t="array" ref="C2183">IFERROR(INDEX(#REF!,MATCH(TRUE,ISNUMBER(FIND(SUBSTITUTE(SUBSTITUTE(UPPER(#REF!)," ",""),":",": "),SUBSTITUTE(SUBSTITUTE(UPPER(S2183)," ",""),":",": "))),0)),"Não encontrado")</f>
        <v>Não encontrado</v>
      </c>
      <c r="D2183" s="46" t="str" cm="1">
        <f t="array" ref="D2183">IFERROR(INDEX(#REF!,MATCH(TRUE,ISNUMBER(FIND(SUBSTITUTE(SUBSTITUTE(UPPER(#REF!)," ",""),":",": "),SUBSTITUTE(SUBSTITUTE(UPPER(S2183)," ",""),":",": "))),0)),"Não encontrado")</f>
        <v>Não encontrado</v>
      </c>
      <c r="E2183" s="42" t="str" cm="1">
        <f t="array" ref="E2183">IFERROR(INDEX({"IMPEDITIVO"},MATCH(TRUE,ISNUMBER(FIND(SUBSTITUTE(SUBSTITUTE(UPPER({"IMPEDITIVO"})," ",""),":",": "),SUBSTITUTE(SUBSTITUTE(UPPER(S2183)," ",""),":",": "))),0)),"-")</f>
        <v>-</v>
      </c>
      <c r="K2183" s="49"/>
    </row>
    <row r="2184" spans="1:11" x14ac:dyDescent="0.25">
      <c r="A2184" s="46" t="str" cm="1">
        <f t="array" ref="A2184">IFERROR(INDEX(#REF!,MATCH(TRUE,ISNUMBER(FIND(SUBSTITUTE(SUBSTITUTE(UPPER(#REF!)," ",""),":",": "),SUBSTITUTE(SUBSTITUTE(UPPER(S2184)," ",""),":",": "))),0)),"Undefined")</f>
        <v>Undefined</v>
      </c>
      <c r="B2184" s="42" t="str" cm="1">
        <f t="array" ref="B2184">IFERROR(INDEX({"URGENTE"},MATCH(TRUE,ISNUMBER(FIND(SUBSTITUTE(SUBSTITUTE(UPPER({"URGENTE"})," ",""),":",": "),SUBSTITUTE(SUBSTITUTE(UPPER(S2184)," ",""),":",": "))),0)),"-")</f>
        <v>-</v>
      </c>
      <c r="C2184" s="46" t="str" cm="1">
        <f t="array" ref="C2184">IFERROR(INDEX(#REF!,MATCH(TRUE,ISNUMBER(FIND(SUBSTITUTE(SUBSTITUTE(UPPER(#REF!)," ",""),":",": "),SUBSTITUTE(SUBSTITUTE(UPPER(S2184)," ",""),":",": "))),0)),"Não encontrado")</f>
        <v>Não encontrado</v>
      </c>
      <c r="D2184" s="46" t="str" cm="1">
        <f t="array" ref="D2184">IFERROR(INDEX(#REF!,MATCH(TRUE,ISNUMBER(FIND(SUBSTITUTE(SUBSTITUTE(UPPER(#REF!)," ",""),":",": "),SUBSTITUTE(SUBSTITUTE(UPPER(S2184)," ",""),":",": "))),0)),"Não encontrado")</f>
        <v>Não encontrado</v>
      </c>
      <c r="E2184" s="42" t="str" cm="1">
        <f t="array" ref="E2184">IFERROR(INDEX({"IMPEDITIVO"},MATCH(TRUE,ISNUMBER(FIND(SUBSTITUTE(SUBSTITUTE(UPPER({"IMPEDITIVO"})," ",""),":",": "),SUBSTITUTE(SUBSTITUTE(UPPER(S2184)," ",""),":",": "))),0)),"-")</f>
        <v>-</v>
      </c>
      <c r="K2184" s="49"/>
    </row>
    <row r="2185" spans="1:11" x14ac:dyDescent="0.25">
      <c r="A2185" s="46" t="str" cm="1">
        <f t="array" ref="A2185">IFERROR(INDEX(#REF!,MATCH(TRUE,ISNUMBER(FIND(SUBSTITUTE(SUBSTITUTE(UPPER(#REF!)," ",""),":",": "),SUBSTITUTE(SUBSTITUTE(UPPER(S2185)," ",""),":",": "))),0)),"Undefined")</f>
        <v>Undefined</v>
      </c>
      <c r="B2185" s="42" t="str" cm="1">
        <f t="array" ref="B2185">IFERROR(INDEX({"URGENTE"},MATCH(TRUE,ISNUMBER(FIND(SUBSTITUTE(SUBSTITUTE(UPPER({"URGENTE"})," ",""),":",": "),SUBSTITUTE(SUBSTITUTE(UPPER(S2185)," ",""),":",": "))),0)),"-")</f>
        <v>-</v>
      </c>
      <c r="C2185" s="46" t="str" cm="1">
        <f t="array" ref="C2185">IFERROR(INDEX(#REF!,MATCH(TRUE,ISNUMBER(FIND(SUBSTITUTE(SUBSTITUTE(UPPER(#REF!)," ",""),":",": "),SUBSTITUTE(SUBSTITUTE(UPPER(S2185)," ",""),":",": "))),0)),"Não encontrado")</f>
        <v>Não encontrado</v>
      </c>
      <c r="D2185" s="46" t="str" cm="1">
        <f t="array" ref="D2185">IFERROR(INDEX(#REF!,MATCH(TRUE,ISNUMBER(FIND(SUBSTITUTE(SUBSTITUTE(UPPER(#REF!)," ",""),":",": "),SUBSTITUTE(SUBSTITUTE(UPPER(S2185)," ",""),":",": "))),0)),"Não encontrado")</f>
        <v>Não encontrado</v>
      </c>
      <c r="E2185" s="42" t="str" cm="1">
        <f t="array" ref="E2185">IFERROR(INDEX({"IMPEDITIVO"},MATCH(TRUE,ISNUMBER(FIND(SUBSTITUTE(SUBSTITUTE(UPPER({"IMPEDITIVO"})," ",""),":",": "),SUBSTITUTE(SUBSTITUTE(UPPER(S2185)," ",""),":",": "))),0)),"-")</f>
        <v>-</v>
      </c>
      <c r="K2185" s="49"/>
    </row>
    <row r="2186" spans="1:11" x14ac:dyDescent="0.25">
      <c r="A2186" s="46" t="str" cm="1">
        <f t="array" ref="A2186">IFERROR(INDEX(#REF!,MATCH(TRUE,ISNUMBER(FIND(SUBSTITUTE(SUBSTITUTE(UPPER(#REF!)," ",""),":",": "),SUBSTITUTE(SUBSTITUTE(UPPER(S2186)," ",""),":",": "))),0)),"Undefined")</f>
        <v>Undefined</v>
      </c>
      <c r="B2186" s="42" t="str" cm="1">
        <f t="array" ref="B2186">IFERROR(INDEX({"URGENTE"},MATCH(TRUE,ISNUMBER(FIND(SUBSTITUTE(SUBSTITUTE(UPPER({"URGENTE"})," ",""),":",": "),SUBSTITUTE(SUBSTITUTE(UPPER(S2186)," ",""),":",": "))),0)),"-")</f>
        <v>-</v>
      </c>
      <c r="C2186" s="46" t="str" cm="1">
        <f t="array" ref="C2186">IFERROR(INDEX(#REF!,MATCH(TRUE,ISNUMBER(FIND(SUBSTITUTE(SUBSTITUTE(UPPER(#REF!)," ",""),":",": "),SUBSTITUTE(SUBSTITUTE(UPPER(S2186)," ",""),":",": "))),0)),"Não encontrado")</f>
        <v>Não encontrado</v>
      </c>
      <c r="D2186" s="46" t="str" cm="1">
        <f t="array" ref="D2186">IFERROR(INDEX(#REF!,MATCH(TRUE,ISNUMBER(FIND(SUBSTITUTE(SUBSTITUTE(UPPER(#REF!)," ",""),":",": "),SUBSTITUTE(SUBSTITUTE(UPPER(S2186)," ",""),":",": "))),0)),"Não encontrado")</f>
        <v>Não encontrado</v>
      </c>
      <c r="E2186" s="42" t="str" cm="1">
        <f t="array" ref="E2186">IFERROR(INDEX({"IMPEDITIVO"},MATCH(TRUE,ISNUMBER(FIND(SUBSTITUTE(SUBSTITUTE(UPPER({"IMPEDITIVO"})," ",""),":",": "),SUBSTITUTE(SUBSTITUTE(UPPER(S2186)," ",""),":",": "))),0)),"-")</f>
        <v>-</v>
      </c>
      <c r="K2186" s="49"/>
    </row>
    <row r="2187" spans="1:11" x14ac:dyDescent="0.25">
      <c r="A2187" s="46" t="str" cm="1">
        <f t="array" ref="A2187">IFERROR(INDEX(#REF!,MATCH(TRUE,ISNUMBER(FIND(SUBSTITUTE(SUBSTITUTE(UPPER(#REF!)," ",""),":",": "),SUBSTITUTE(SUBSTITUTE(UPPER(S2187)," ",""),":",": "))),0)),"Undefined")</f>
        <v>Undefined</v>
      </c>
      <c r="B2187" s="42" t="str" cm="1">
        <f t="array" ref="B2187">IFERROR(INDEX({"URGENTE"},MATCH(TRUE,ISNUMBER(FIND(SUBSTITUTE(SUBSTITUTE(UPPER({"URGENTE"})," ",""),":",": "),SUBSTITUTE(SUBSTITUTE(UPPER(S2187)," ",""),":",": "))),0)),"-")</f>
        <v>-</v>
      </c>
      <c r="C2187" s="46" t="str" cm="1">
        <f t="array" ref="C2187">IFERROR(INDEX(#REF!,MATCH(TRUE,ISNUMBER(FIND(SUBSTITUTE(SUBSTITUTE(UPPER(#REF!)," ",""),":",": "),SUBSTITUTE(SUBSTITUTE(UPPER(S2187)," ",""),":",": "))),0)),"Não encontrado")</f>
        <v>Não encontrado</v>
      </c>
      <c r="D2187" s="46" t="str" cm="1">
        <f t="array" ref="D2187">IFERROR(INDEX(#REF!,MATCH(TRUE,ISNUMBER(FIND(SUBSTITUTE(SUBSTITUTE(UPPER(#REF!)," ",""),":",": "),SUBSTITUTE(SUBSTITUTE(UPPER(S2187)," ",""),":",": "))),0)),"Não encontrado")</f>
        <v>Não encontrado</v>
      </c>
      <c r="E2187" s="42" t="str" cm="1">
        <f t="array" ref="E2187">IFERROR(INDEX({"IMPEDITIVO"},MATCH(TRUE,ISNUMBER(FIND(SUBSTITUTE(SUBSTITUTE(UPPER({"IMPEDITIVO"})," ",""),":",": "),SUBSTITUTE(SUBSTITUTE(UPPER(S2187)," ",""),":",": "))),0)),"-")</f>
        <v>-</v>
      </c>
      <c r="K2187" s="49"/>
    </row>
    <row r="2188" spans="1:11" x14ac:dyDescent="0.25">
      <c r="A2188" s="46" t="str" cm="1">
        <f t="array" ref="A2188">IFERROR(INDEX(#REF!,MATCH(TRUE,ISNUMBER(FIND(SUBSTITUTE(SUBSTITUTE(UPPER(#REF!)," ",""),":",": "),SUBSTITUTE(SUBSTITUTE(UPPER(S2188)," ",""),":",": "))),0)),"Undefined")</f>
        <v>Undefined</v>
      </c>
      <c r="B2188" s="42" t="str" cm="1">
        <f t="array" ref="B2188">IFERROR(INDEX({"URGENTE"},MATCH(TRUE,ISNUMBER(FIND(SUBSTITUTE(SUBSTITUTE(UPPER({"URGENTE"})," ",""),":",": "),SUBSTITUTE(SUBSTITUTE(UPPER(S2188)," ",""),":",": "))),0)),"-")</f>
        <v>-</v>
      </c>
      <c r="C2188" s="46" t="str" cm="1">
        <f t="array" ref="C2188">IFERROR(INDEX(#REF!,MATCH(TRUE,ISNUMBER(FIND(SUBSTITUTE(SUBSTITUTE(UPPER(#REF!)," ",""),":",": "),SUBSTITUTE(SUBSTITUTE(UPPER(S2188)," ",""),":",": "))),0)),"Não encontrado")</f>
        <v>Não encontrado</v>
      </c>
      <c r="D2188" s="46" t="str" cm="1">
        <f t="array" ref="D2188">IFERROR(INDEX(#REF!,MATCH(TRUE,ISNUMBER(FIND(SUBSTITUTE(SUBSTITUTE(UPPER(#REF!)," ",""),":",": "),SUBSTITUTE(SUBSTITUTE(UPPER(S2188)," ",""),":",": "))),0)),"Não encontrado")</f>
        <v>Não encontrado</v>
      </c>
      <c r="E2188" s="42" t="str" cm="1">
        <f t="array" ref="E2188">IFERROR(INDEX({"IMPEDITIVO"},MATCH(TRUE,ISNUMBER(FIND(SUBSTITUTE(SUBSTITUTE(UPPER({"IMPEDITIVO"})," ",""),":",": "),SUBSTITUTE(SUBSTITUTE(UPPER(S2188)," ",""),":",": "))),0)),"-")</f>
        <v>-</v>
      </c>
      <c r="K2188" s="49"/>
    </row>
    <row r="2189" spans="1:11" x14ac:dyDescent="0.25">
      <c r="A2189" s="46" t="str" cm="1">
        <f t="array" ref="A2189">IFERROR(INDEX(#REF!,MATCH(TRUE,ISNUMBER(FIND(SUBSTITUTE(SUBSTITUTE(UPPER(#REF!)," ",""),":",": "),SUBSTITUTE(SUBSTITUTE(UPPER(S2189)," ",""),":",": "))),0)),"Undefined")</f>
        <v>Undefined</v>
      </c>
      <c r="B2189" s="42" t="str" cm="1">
        <f t="array" ref="B2189">IFERROR(INDEX({"URGENTE"},MATCH(TRUE,ISNUMBER(FIND(SUBSTITUTE(SUBSTITUTE(UPPER({"URGENTE"})," ",""),":",": "),SUBSTITUTE(SUBSTITUTE(UPPER(S2189)," ",""),":",": "))),0)),"-")</f>
        <v>-</v>
      </c>
      <c r="C2189" s="46" t="str" cm="1">
        <f t="array" ref="C2189">IFERROR(INDEX(#REF!,MATCH(TRUE,ISNUMBER(FIND(SUBSTITUTE(SUBSTITUTE(UPPER(#REF!)," ",""),":",": "),SUBSTITUTE(SUBSTITUTE(UPPER(S2189)," ",""),":",": "))),0)),"Não encontrado")</f>
        <v>Não encontrado</v>
      </c>
      <c r="D2189" s="46" t="str" cm="1">
        <f t="array" ref="D2189">IFERROR(INDEX(#REF!,MATCH(TRUE,ISNUMBER(FIND(SUBSTITUTE(SUBSTITUTE(UPPER(#REF!)," ",""),":",": "),SUBSTITUTE(SUBSTITUTE(UPPER(S2189)," ",""),":",": "))),0)),"Não encontrado")</f>
        <v>Não encontrado</v>
      </c>
      <c r="E2189" s="42" t="str" cm="1">
        <f t="array" ref="E2189">IFERROR(INDEX({"IMPEDITIVO"},MATCH(TRUE,ISNUMBER(FIND(SUBSTITUTE(SUBSTITUTE(UPPER({"IMPEDITIVO"})," ",""),":",": "),SUBSTITUTE(SUBSTITUTE(UPPER(S2189)," ",""),":",": "))),0)),"-")</f>
        <v>-</v>
      </c>
      <c r="K2189" s="49"/>
    </row>
    <row r="2190" spans="1:11" x14ac:dyDescent="0.25">
      <c r="A2190" s="46" t="str" cm="1">
        <f t="array" ref="A2190">IFERROR(INDEX(#REF!,MATCH(TRUE,ISNUMBER(FIND(SUBSTITUTE(SUBSTITUTE(UPPER(#REF!)," ",""),":",": "),SUBSTITUTE(SUBSTITUTE(UPPER(S2190)," ",""),":",": "))),0)),"Undefined")</f>
        <v>Undefined</v>
      </c>
      <c r="B2190" s="42" t="str" cm="1">
        <f t="array" ref="B2190">IFERROR(INDEX({"URGENTE"},MATCH(TRUE,ISNUMBER(FIND(SUBSTITUTE(SUBSTITUTE(UPPER({"URGENTE"})," ",""),":",": "),SUBSTITUTE(SUBSTITUTE(UPPER(S2190)," ",""),":",": "))),0)),"-")</f>
        <v>-</v>
      </c>
      <c r="C2190" s="46" t="str" cm="1">
        <f t="array" ref="C2190">IFERROR(INDEX(#REF!,MATCH(TRUE,ISNUMBER(FIND(SUBSTITUTE(SUBSTITUTE(UPPER(#REF!)," ",""),":",": "),SUBSTITUTE(SUBSTITUTE(UPPER(S2190)," ",""),":",": "))),0)),"Não encontrado")</f>
        <v>Não encontrado</v>
      </c>
      <c r="D2190" s="46" t="str" cm="1">
        <f t="array" ref="D2190">IFERROR(INDEX(#REF!,MATCH(TRUE,ISNUMBER(FIND(SUBSTITUTE(SUBSTITUTE(UPPER(#REF!)," ",""),":",": "),SUBSTITUTE(SUBSTITUTE(UPPER(S2190)," ",""),":",": "))),0)),"Não encontrado")</f>
        <v>Não encontrado</v>
      </c>
      <c r="E2190" s="42" t="str" cm="1">
        <f t="array" ref="E2190">IFERROR(INDEX({"IMPEDITIVO"},MATCH(TRUE,ISNUMBER(FIND(SUBSTITUTE(SUBSTITUTE(UPPER({"IMPEDITIVO"})," ",""),":",": "),SUBSTITUTE(SUBSTITUTE(UPPER(S2190)," ",""),":",": "))),0)),"-")</f>
        <v>-</v>
      </c>
      <c r="K2190" s="49"/>
    </row>
    <row r="2191" spans="1:11" x14ac:dyDescent="0.25">
      <c r="A2191" s="46" t="str" cm="1">
        <f t="array" ref="A2191">IFERROR(INDEX(#REF!,MATCH(TRUE,ISNUMBER(FIND(SUBSTITUTE(SUBSTITUTE(UPPER(#REF!)," ",""),":",": "),SUBSTITUTE(SUBSTITUTE(UPPER(S2191)," ",""),":",": "))),0)),"Undefined")</f>
        <v>Undefined</v>
      </c>
      <c r="B2191" s="42" t="str" cm="1">
        <f t="array" ref="B2191">IFERROR(INDEX({"URGENTE"},MATCH(TRUE,ISNUMBER(FIND(SUBSTITUTE(SUBSTITUTE(UPPER({"URGENTE"})," ",""),":",": "),SUBSTITUTE(SUBSTITUTE(UPPER(S2191)," ",""),":",": "))),0)),"-")</f>
        <v>-</v>
      </c>
      <c r="C2191" s="46" t="str" cm="1">
        <f t="array" ref="C2191">IFERROR(INDEX(#REF!,MATCH(TRUE,ISNUMBER(FIND(SUBSTITUTE(SUBSTITUTE(UPPER(#REF!)," ",""),":",": "),SUBSTITUTE(SUBSTITUTE(UPPER(S2191)," ",""),":",": "))),0)),"Não encontrado")</f>
        <v>Não encontrado</v>
      </c>
      <c r="D2191" s="46" t="str" cm="1">
        <f t="array" ref="D2191">IFERROR(INDEX(#REF!,MATCH(TRUE,ISNUMBER(FIND(SUBSTITUTE(SUBSTITUTE(UPPER(#REF!)," ",""),":",": "),SUBSTITUTE(SUBSTITUTE(UPPER(S2191)," ",""),":",": "))),0)),"Não encontrado")</f>
        <v>Não encontrado</v>
      </c>
      <c r="E2191" s="42" t="str" cm="1">
        <f t="array" ref="E2191">IFERROR(INDEX({"IMPEDITIVO"},MATCH(TRUE,ISNUMBER(FIND(SUBSTITUTE(SUBSTITUTE(UPPER({"IMPEDITIVO"})," ",""),":",": "),SUBSTITUTE(SUBSTITUTE(UPPER(S2191)," ",""),":",": "))),0)),"-")</f>
        <v>-</v>
      </c>
      <c r="K2191" s="49"/>
    </row>
    <row r="2192" spans="1:11" x14ac:dyDescent="0.25">
      <c r="A2192" s="46" t="str" cm="1">
        <f t="array" ref="A2192">IFERROR(INDEX(#REF!,MATCH(TRUE,ISNUMBER(FIND(SUBSTITUTE(SUBSTITUTE(UPPER(#REF!)," ",""),":",": "),SUBSTITUTE(SUBSTITUTE(UPPER(S2192)," ",""),":",": "))),0)),"Undefined")</f>
        <v>Undefined</v>
      </c>
      <c r="B2192" s="42" t="str" cm="1">
        <f t="array" ref="B2192">IFERROR(INDEX({"URGENTE"},MATCH(TRUE,ISNUMBER(FIND(SUBSTITUTE(SUBSTITUTE(UPPER({"URGENTE"})," ",""),":",": "),SUBSTITUTE(SUBSTITUTE(UPPER(S2192)," ",""),":",": "))),0)),"-")</f>
        <v>-</v>
      </c>
      <c r="C2192" s="46" t="str" cm="1">
        <f t="array" ref="C2192">IFERROR(INDEX(#REF!,MATCH(TRUE,ISNUMBER(FIND(SUBSTITUTE(SUBSTITUTE(UPPER(#REF!)," ",""),":",": "),SUBSTITUTE(SUBSTITUTE(UPPER(S2192)," ",""),":",": "))),0)),"Não encontrado")</f>
        <v>Não encontrado</v>
      </c>
      <c r="D2192" s="46" t="str" cm="1">
        <f t="array" ref="D2192">IFERROR(INDEX(#REF!,MATCH(TRUE,ISNUMBER(FIND(SUBSTITUTE(SUBSTITUTE(UPPER(#REF!)," ",""),":",": "),SUBSTITUTE(SUBSTITUTE(UPPER(S2192)," ",""),":",": "))),0)),"Não encontrado")</f>
        <v>Não encontrado</v>
      </c>
      <c r="E2192" s="42" t="str" cm="1">
        <f t="array" ref="E2192">IFERROR(INDEX({"IMPEDITIVO"},MATCH(TRUE,ISNUMBER(FIND(SUBSTITUTE(SUBSTITUTE(UPPER({"IMPEDITIVO"})," ",""),":",": "),SUBSTITUTE(SUBSTITUTE(UPPER(S2192)," ",""),":",": "))),0)),"-")</f>
        <v>-</v>
      </c>
      <c r="K2192" s="49"/>
    </row>
    <row r="2193" spans="1:11" x14ac:dyDescent="0.25">
      <c r="A2193" s="46" t="str" cm="1">
        <f t="array" ref="A2193">IFERROR(INDEX(#REF!,MATCH(TRUE,ISNUMBER(FIND(SUBSTITUTE(SUBSTITUTE(UPPER(#REF!)," ",""),":",": "),SUBSTITUTE(SUBSTITUTE(UPPER(S2193)," ",""),":",": "))),0)),"Undefined")</f>
        <v>Undefined</v>
      </c>
      <c r="B2193" s="42" t="str" cm="1">
        <f t="array" ref="B2193">IFERROR(INDEX({"URGENTE"},MATCH(TRUE,ISNUMBER(FIND(SUBSTITUTE(SUBSTITUTE(UPPER({"URGENTE"})," ",""),":",": "),SUBSTITUTE(SUBSTITUTE(UPPER(S2193)," ",""),":",": "))),0)),"-")</f>
        <v>-</v>
      </c>
      <c r="C2193" s="46" t="str" cm="1">
        <f t="array" ref="C2193">IFERROR(INDEX(#REF!,MATCH(TRUE,ISNUMBER(FIND(SUBSTITUTE(SUBSTITUTE(UPPER(#REF!)," ",""),":",": "),SUBSTITUTE(SUBSTITUTE(UPPER(S2193)," ",""),":",": "))),0)),"Não encontrado")</f>
        <v>Não encontrado</v>
      </c>
      <c r="D2193" s="46" t="str" cm="1">
        <f t="array" ref="D2193">IFERROR(INDEX(#REF!,MATCH(TRUE,ISNUMBER(FIND(SUBSTITUTE(SUBSTITUTE(UPPER(#REF!)," ",""),":",": "),SUBSTITUTE(SUBSTITUTE(UPPER(S2193)," ",""),":",": "))),0)),"Não encontrado")</f>
        <v>Não encontrado</v>
      </c>
      <c r="E2193" s="42" t="str" cm="1">
        <f t="array" ref="E2193">IFERROR(INDEX({"IMPEDITIVO"},MATCH(TRUE,ISNUMBER(FIND(SUBSTITUTE(SUBSTITUTE(UPPER({"IMPEDITIVO"})," ",""),":",": "),SUBSTITUTE(SUBSTITUTE(UPPER(S2193)," ",""),":",": "))),0)),"-")</f>
        <v>-</v>
      </c>
      <c r="K2193" s="49"/>
    </row>
    <row r="2194" spans="1:11" x14ac:dyDescent="0.25">
      <c r="A2194" s="46" t="str" cm="1">
        <f t="array" ref="A2194">IFERROR(INDEX(#REF!,MATCH(TRUE,ISNUMBER(FIND(SUBSTITUTE(SUBSTITUTE(UPPER(#REF!)," ",""),":",": "),SUBSTITUTE(SUBSTITUTE(UPPER(S2194)," ",""),":",": "))),0)),"Undefined")</f>
        <v>Undefined</v>
      </c>
      <c r="B2194" s="42" t="str" cm="1">
        <f t="array" ref="B2194">IFERROR(INDEX({"URGENTE"},MATCH(TRUE,ISNUMBER(FIND(SUBSTITUTE(SUBSTITUTE(UPPER({"URGENTE"})," ",""),":",": "),SUBSTITUTE(SUBSTITUTE(UPPER(S2194)," ",""),":",": "))),0)),"-")</f>
        <v>-</v>
      </c>
      <c r="C2194" s="46" t="str" cm="1">
        <f t="array" ref="C2194">IFERROR(INDEX(#REF!,MATCH(TRUE,ISNUMBER(FIND(SUBSTITUTE(SUBSTITUTE(UPPER(#REF!)," ",""),":",": "),SUBSTITUTE(SUBSTITUTE(UPPER(S2194)," ",""),":",": "))),0)),"Não encontrado")</f>
        <v>Não encontrado</v>
      </c>
      <c r="D2194" s="46" t="str" cm="1">
        <f t="array" ref="D2194">IFERROR(INDEX(#REF!,MATCH(TRUE,ISNUMBER(FIND(SUBSTITUTE(SUBSTITUTE(UPPER(#REF!)," ",""),":",": "),SUBSTITUTE(SUBSTITUTE(UPPER(S2194)," ",""),":",": "))),0)),"Não encontrado")</f>
        <v>Não encontrado</v>
      </c>
      <c r="E2194" s="42" t="str" cm="1">
        <f t="array" ref="E2194">IFERROR(INDEX({"IMPEDITIVO"},MATCH(TRUE,ISNUMBER(FIND(SUBSTITUTE(SUBSTITUTE(UPPER({"IMPEDITIVO"})," ",""),":",": "),SUBSTITUTE(SUBSTITUTE(UPPER(S2194)," ",""),":",": "))),0)),"-")</f>
        <v>-</v>
      </c>
      <c r="K2194" s="49"/>
    </row>
    <row r="2195" spans="1:11" x14ac:dyDescent="0.25">
      <c r="A2195" s="46" t="str" cm="1">
        <f t="array" ref="A2195">IFERROR(INDEX(#REF!,MATCH(TRUE,ISNUMBER(FIND(SUBSTITUTE(SUBSTITUTE(UPPER(#REF!)," ",""),":",": "),SUBSTITUTE(SUBSTITUTE(UPPER(S2195)," ",""),":",": "))),0)),"Undefined")</f>
        <v>Undefined</v>
      </c>
      <c r="B2195" s="42" t="str" cm="1">
        <f t="array" ref="B2195">IFERROR(INDEX({"URGENTE"},MATCH(TRUE,ISNUMBER(FIND(SUBSTITUTE(SUBSTITUTE(UPPER({"URGENTE"})," ",""),":",": "),SUBSTITUTE(SUBSTITUTE(UPPER(S2195)," ",""),":",": "))),0)),"-")</f>
        <v>-</v>
      </c>
      <c r="C2195" s="46" t="str" cm="1">
        <f t="array" ref="C2195">IFERROR(INDEX(#REF!,MATCH(TRUE,ISNUMBER(FIND(SUBSTITUTE(SUBSTITUTE(UPPER(#REF!)," ",""),":",": "),SUBSTITUTE(SUBSTITUTE(UPPER(S2195)," ",""),":",": "))),0)),"Não encontrado")</f>
        <v>Não encontrado</v>
      </c>
      <c r="D2195" s="46" t="str" cm="1">
        <f t="array" ref="D2195">IFERROR(INDEX(#REF!,MATCH(TRUE,ISNUMBER(FIND(SUBSTITUTE(SUBSTITUTE(UPPER(#REF!)," ",""),":",": "),SUBSTITUTE(SUBSTITUTE(UPPER(S2195)," ",""),":",": "))),0)),"Não encontrado")</f>
        <v>Não encontrado</v>
      </c>
      <c r="E2195" s="42" t="str" cm="1">
        <f t="array" ref="E2195">IFERROR(INDEX({"IMPEDITIVO"},MATCH(TRUE,ISNUMBER(FIND(SUBSTITUTE(SUBSTITUTE(UPPER({"IMPEDITIVO"})," ",""),":",": "),SUBSTITUTE(SUBSTITUTE(UPPER(S2195)," ",""),":",": "))),0)),"-")</f>
        <v>-</v>
      </c>
      <c r="K2195" s="49"/>
    </row>
    <row r="2196" spans="1:11" x14ac:dyDescent="0.25">
      <c r="A2196" s="46" t="str" cm="1">
        <f t="array" ref="A2196">IFERROR(INDEX(#REF!,MATCH(TRUE,ISNUMBER(FIND(SUBSTITUTE(SUBSTITUTE(UPPER(#REF!)," ",""),":",": "),SUBSTITUTE(SUBSTITUTE(UPPER(S2196)," ",""),":",": "))),0)),"Undefined")</f>
        <v>Undefined</v>
      </c>
      <c r="B2196" s="42" t="str" cm="1">
        <f t="array" ref="B2196">IFERROR(INDEX({"URGENTE"},MATCH(TRUE,ISNUMBER(FIND(SUBSTITUTE(SUBSTITUTE(UPPER({"URGENTE"})," ",""),":",": "),SUBSTITUTE(SUBSTITUTE(UPPER(S2196)," ",""),":",": "))),0)),"-")</f>
        <v>-</v>
      </c>
      <c r="C2196" s="46" t="str" cm="1">
        <f t="array" ref="C2196">IFERROR(INDEX(#REF!,MATCH(TRUE,ISNUMBER(FIND(SUBSTITUTE(SUBSTITUTE(UPPER(#REF!)," ",""),":",": "),SUBSTITUTE(SUBSTITUTE(UPPER(S2196)," ",""),":",": "))),0)),"Não encontrado")</f>
        <v>Não encontrado</v>
      </c>
      <c r="D2196" s="46" t="str" cm="1">
        <f t="array" ref="D2196">IFERROR(INDEX(#REF!,MATCH(TRUE,ISNUMBER(FIND(SUBSTITUTE(SUBSTITUTE(UPPER(#REF!)," ",""),":",": "),SUBSTITUTE(SUBSTITUTE(UPPER(S2196)," ",""),":",": "))),0)),"Não encontrado")</f>
        <v>Não encontrado</v>
      </c>
      <c r="E2196" s="42" t="str" cm="1">
        <f t="array" ref="E2196">IFERROR(INDEX({"IMPEDITIVO"},MATCH(TRUE,ISNUMBER(FIND(SUBSTITUTE(SUBSTITUTE(UPPER({"IMPEDITIVO"})," ",""),":",": "),SUBSTITUTE(SUBSTITUTE(UPPER(S2196)," ",""),":",": "))),0)),"-")</f>
        <v>-</v>
      </c>
      <c r="K2196" s="49"/>
    </row>
    <row r="2197" spans="1:11" x14ac:dyDescent="0.25">
      <c r="A2197" s="46" t="str" cm="1">
        <f t="array" ref="A2197">IFERROR(INDEX(#REF!,MATCH(TRUE,ISNUMBER(FIND(SUBSTITUTE(SUBSTITUTE(UPPER(#REF!)," ",""),":",": "),SUBSTITUTE(SUBSTITUTE(UPPER(S2197)," ",""),":",": "))),0)),"Undefined")</f>
        <v>Undefined</v>
      </c>
      <c r="B2197" s="42" t="str" cm="1">
        <f t="array" ref="B2197">IFERROR(INDEX({"URGENTE"},MATCH(TRUE,ISNUMBER(FIND(SUBSTITUTE(SUBSTITUTE(UPPER({"URGENTE"})," ",""),":",": "),SUBSTITUTE(SUBSTITUTE(UPPER(S2197)," ",""),":",": "))),0)),"-")</f>
        <v>-</v>
      </c>
      <c r="C2197" s="46" t="str" cm="1">
        <f t="array" ref="C2197">IFERROR(INDEX(#REF!,MATCH(TRUE,ISNUMBER(FIND(SUBSTITUTE(SUBSTITUTE(UPPER(#REF!)," ",""),":",": "),SUBSTITUTE(SUBSTITUTE(UPPER(S2197)," ",""),":",": "))),0)),"Não encontrado")</f>
        <v>Não encontrado</v>
      </c>
      <c r="D2197" s="46" t="str" cm="1">
        <f t="array" ref="D2197">IFERROR(INDEX(#REF!,MATCH(TRUE,ISNUMBER(FIND(SUBSTITUTE(SUBSTITUTE(UPPER(#REF!)," ",""),":",": "),SUBSTITUTE(SUBSTITUTE(UPPER(S2197)," ",""),":",": "))),0)),"Não encontrado")</f>
        <v>Não encontrado</v>
      </c>
      <c r="E2197" s="42" t="str" cm="1">
        <f t="array" ref="E2197">IFERROR(INDEX({"IMPEDITIVO"},MATCH(TRUE,ISNUMBER(FIND(SUBSTITUTE(SUBSTITUTE(UPPER({"IMPEDITIVO"})," ",""),":",": "),SUBSTITUTE(SUBSTITUTE(UPPER(S2197)," ",""),":",": "))),0)),"-")</f>
        <v>-</v>
      </c>
      <c r="K2197" s="49"/>
    </row>
    <row r="2198" spans="1:11" x14ac:dyDescent="0.25">
      <c r="A2198" s="46" t="str" cm="1">
        <f t="array" ref="A2198">IFERROR(INDEX(#REF!,MATCH(TRUE,ISNUMBER(FIND(SUBSTITUTE(SUBSTITUTE(UPPER(#REF!)," ",""),":",": "),SUBSTITUTE(SUBSTITUTE(UPPER(S2198)," ",""),":",": "))),0)),"Undefined")</f>
        <v>Undefined</v>
      </c>
      <c r="B2198" s="42" t="str" cm="1">
        <f t="array" ref="B2198">IFERROR(INDEX({"URGENTE"},MATCH(TRUE,ISNUMBER(FIND(SUBSTITUTE(SUBSTITUTE(UPPER({"URGENTE"})," ",""),":",": "),SUBSTITUTE(SUBSTITUTE(UPPER(S2198)," ",""),":",": "))),0)),"-")</f>
        <v>-</v>
      </c>
      <c r="C2198" s="46" t="str" cm="1">
        <f t="array" ref="C2198">IFERROR(INDEX(#REF!,MATCH(TRUE,ISNUMBER(FIND(SUBSTITUTE(SUBSTITUTE(UPPER(#REF!)," ",""),":",": "),SUBSTITUTE(SUBSTITUTE(UPPER(S2198)," ",""),":",": "))),0)),"Não encontrado")</f>
        <v>Não encontrado</v>
      </c>
      <c r="D2198" s="46" t="str" cm="1">
        <f t="array" ref="D2198">IFERROR(INDEX(#REF!,MATCH(TRUE,ISNUMBER(FIND(SUBSTITUTE(SUBSTITUTE(UPPER(#REF!)," ",""),":",": "),SUBSTITUTE(SUBSTITUTE(UPPER(S2198)," ",""),":",": "))),0)),"Não encontrado")</f>
        <v>Não encontrado</v>
      </c>
      <c r="E2198" s="42" t="str" cm="1">
        <f t="array" ref="E2198">IFERROR(INDEX({"IMPEDITIVO"},MATCH(TRUE,ISNUMBER(FIND(SUBSTITUTE(SUBSTITUTE(UPPER({"IMPEDITIVO"})," ",""),":",": "),SUBSTITUTE(SUBSTITUTE(UPPER(S2198)," ",""),":",": "))),0)),"-")</f>
        <v>-</v>
      </c>
      <c r="K2198" s="49"/>
    </row>
    <row r="2199" spans="1:11" x14ac:dyDescent="0.25">
      <c r="A2199" s="46" t="str" cm="1">
        <f t="array" ref="A2199">IFERROR(INDEX(#REF!,MATCH(TRUE,ISNUMBER(FIND(SUBSTITUTE(SUBSTITUTE(UPPER(#REF!)," ",""),":",": "),SUBSTITUTE(SUBSTITUTE(UPPER(S2199)," ",""),":",": "))),0)),"Undefined")</f>
        <v>Undefined</v>
      </c>
      <c r="B2199" s="42" t="str" cm="1">
        <f t="array" ref="B2199">IFERROR(INDEX({"URGENTE"},MATCH(TRUE,ISNUMBER(FIND(SUBSTITUTE(SUBSTITUTE(UPPER({"URGENTE"})," ",""),":",": "),SUBSTITUTE(SUBSTITUTE(UPPER(S2199)," ",""),":",": "))),0)),"-")</f>
        <v>-</v>
      </c>
      <c r="C2199" s="46" t="str" cm="1">
        <f t="array" ref="C2199">IFERROR(INDEX(#REF!,MATCH(TRUE,ISNUMBER(FIND(SUBSTITUTE(SUBSTITUTE(UPPER(#REF!)," ",""),":",": "),SUBSTITUTE(SUBSTITUTE(UPPER(S2199)," ",""),":",": "))),0)),"Não encontrado")</f>
        <v>Não encontrado</v>
      </c>
      <c r="D2199" s="46" t="str" cm="1">
        <f t="array" ref="D2199">IFERROR(INDEX(#REF!,MATCH(TRUE,ISNUMBER(FIND(SUBSTITUTE(SUBSTITUTE(UPPER(#REF!)," ",""),":",": "),SUBSTITUTE(SUBSTITUTE(UPPER(S2199)," ",""),":",": "))),0)),"Não encontrado")</f>
        <v>Não encontrado</v>
      </c>
      <c r="E2199" s="42" t="str" cm="1">
        <f t="array" ref="E2199">IFERROR(INDEX({"IMPEDITIVO"},MATCH(TRUE,ISNUMBER(FIND(SUBSTITUTE(SUBSTITUTE(UPPER({"IMPEDITIVO"})," ",""),":",": "),SUBSTITUTE(SUBSTITUTE(UPPER(S2199)," ",""),":",": "))),0)),"-")</f>
        <v>-</v>
      </c>
      <c r="K2199" s="49"/>
    </row>
    <row r="2200" spans="1:11" x14ac:dyDescent="0.25">
      <c r="A2200" s="46" t="str" cm="1">
        <f t="array" ref="A2200">IFERROR(INDEX(#REF!,MATCH(TRUE,ISNUMBER(FIND(SUBSTITUTE(SUBSTITUTE(UPPER(#REF!)," ",""),":",": "),SUBSTITUTE(SUBSTITUTE(UPPER(S2200)," ",""),":",": "))),0)),"Undefined")</f>
        <v>Undefined</v>
      </c>
      <c r="B2200" s="42" t="str" cm="1">
        <f t="array" ref="B2200">IFERROR(INDEX({"URGENTE"},MATCH(TRUE,ISNUMBER(FIND(SUBSTITUTE(SUBSTITUTE(UPPER({"URGENTE"})," ",""),":",": "),SUBSTITUTE(SUBSTITUTE(UPPER(S2200)," ",""),":",": "))),0)),"-")</f>
        <v>-</v>
      </c>
      <c r="C2200" s="46" t="str" cm="1">
        <f t="array" ref="C2200">IFERROR(INDEX(#REF!,MATCH(TRUE,ISNUMBER(FIND(SUBSTITUTE(SUBSTITUTE(UPPER(#REF!)," ",""),":",": "),SUBSTITUTE(SUBSTITUTE(UPPER(S2200)," ",""),":",": "))),0)),"Não encontrado")</f>
        <v>Não encontrado</v>
      </c>
      <c r="D2200" s="46" t="str" cm="1">
        <f t="array" ref="D2200">IFERROR(INDEX(#REF!,MATCH(TRUE,ISNUMBER(FIND(SUBSTITUTE(SUBSTITUTE(UPPER(#REF!)," ",""),":",": "),SUBSTITUTE(SUBSTITUTE(UPPER(S2200)," ",""),":",": "))),0)),"Não encontrado")</f>
        <v>Não encontrado</v>
      </c>
      <c r="E2200" s="42" t="str" cm="1">
        <f t="array" ref="E2200">IFERROR(INDEX({"IMPEDITIVO"},MATCH(TRUE,ISNUMBER(FIND(SUBSTITUTE(SUBSTITUTE(UPPER({"IMPEDITIVO"})," ",""),":",": "),SUBSTITUTE(SUBSTITUTE(UPPER(S2200)," ",""),":",": "))),0)),"-")</f>
        <v>-</v>
      </c>
      <c r="K2200" s="49"/>
    </row>
    <row r="2201" spans="1:11" x14ac:dyDescent="0.25">
      <c r="A2201" s="46" t="str" cm="1">
        <f t="array" ref="A2201">IFERROR(INDEX(#REF!,MATCH(TRUE,ISNUMBER(FIND(SUBSTITUTE(SUBSTITUTE(UPPER(#REF!)," ",""),":",": "),SUBSTITUTE(SUBSTITUTE(UPPER(S2201)," ",""),":",": "))),0)),"Undefined")</f>
        <v>Undefined</v>
      </c>
      <c r="B2201" s="42" t="str" cm="1">
        <f t="array" ref="B2201">IFERROR(INDEX({"URGENTE"},MATCH(TRUE,ISNUMBER(FIND(SUBSTITUTE(SUBSTITUTE(UPPER({"URGENTE"})," ",""),":",": "),SUBSTITUTE(SUBSTITUTE(UPPER(S2201)," ",""),":",": "))),0)),"-")</f>
        <v>-</v>
      </c>
      <c r="C2201" s="46" t="str" cm="1">
        <f t="array" ref="C2201">IFERROR(INDEX(#REF!,MATCH(TRUE,ISNUMBER(FIND(SUBSTITUTE(SUBSTITUTE(UPPER(#REF!)," ",""),":",": "),SUBSTITUTE(SUBSTITUTE(UPPER(S2201)," ",""),":",": "))),0)),"Não encontrado")</f>
        <v>Não encontrado</v>
      </c>
      <c r="D2201" s="46" t="str" cm="1">
        <f t="array" ref="D2201">IFERROR(INDEX(#REF!,MATCH(TRUE,ISNUMBER(FIND(SUBSTITUTE(SUBSTITUTE(UPPER(#REF!)," ",""),":",": "),SUBSTITUTE(SUBSTITUTE(UPPER(S2201)," ",""),":",": "))),0)),"Não encontrado")</f>
        <v>Não encontrado</v>
      </c>
      <c r="E2201" s="42" t="str" cm="1">
        <f t="array" ref="E2201">IFERROR(INDEX({"IMPEDITIVO"},MATCH(TRUE,ISNUMBER(FIND(SUBSTITUTE(SUBSTITUTE(UPPER({"IMPEDITIVO"})," ",""),":",": "),SUBSTITUTE(SUBSTITUTE(UPPER(S2201)," ",""),":",": "))),0)),"-")</f>
        <v>-</v>
      </c>
      <c r="K2201" s="49"/>
    </row>
    <row r="2202" spans="1:11" x14ac:dyDescent="0.25">
      <c r="A2202" s="46" t="str" cm="1">
        <f t="array" ref="A2202">IFERROR(INDEX(#REF!,MATCH(TRUE,ISNUMBER(FIND(SUBSTITUTE(SUBSTITUTE(UPPER(#REF!)," ",""),":",": "),SUBSTITUTE(SUBSTITUTE(UPPER(S2202)," ",""),":",": "))),0)),"Undefined")</f>
        <v>Undefined</v>
      </c>
      <c r="B2202" s="42" t="str" cm="1">
        <f t="array" ref="B2202">IFERROR(INDEX({"URGENTE"},MATCH(TRUE,ISNUMBER(FIND(SUBSTITUTE(SUBSTITUTE(UPPER({"URGENTE"})," ",""),":",": "),SUBSTITUTE(SUBSTITUTE(UPPER(S2202)," ",""),":",": "))),0)),"-")</f>
        <v>-</v>
      </c>
      <c r="C2202" s="46" t="str" cm="1">
        <f t="array" ref="C2202">IFERROR(INDEX(#REF!,MATCH(TRUE,ISNUMBER(FIND(SUBSTITUTE(SUBSTITUTE(UPPER(#REF!)," ",""),":",": "),SUBSTITUTE(SUBSTITUTE(UPPER(S2202)," ",""),":",": "))),0)),"Não encontrado")</f>
        <v>Não encontrado</v>
      </c>
      <c r="D2202" s="46" t="str" cm="1">
        <f t="array" ref="D2202">IFERROR(INDEX(#REF!,MATCH(TRUE,ISNUMBER(FIND(SUBSTITUTE(SUBSTITUTE(UPPER(#REF!)," ",""),":",": "),SUBSTITUTE(SUBSTITUTE(UPPER(S2202)," ",""),":",": "))),0)),"Não encontrado")</f>
        <v>Não encontrado</v>
      </c>
      <c r="E2202" s="42" t="str" cm="1">
        <f t="array" ref="E2202">IFERROR(INDEX({"IMPEDITIVO"},MATCH(TRUE,ISNUMBER(FIND(SUBSTITUTE(SUBSTITUTE(UPPER({"IMPEDITIVO"})," ",""),":",": "),SUBSTITUTE(SUBSTITUTE(UPPER(S2202)," ",""),":",": "))),0)),"-")</f>
        <v>-</v>
      </c>
      <c r="K2202" s="49"/>
    </row>
    <row r="2203" spans="1:11" x14ac:dyDescent="0.25">
      <c r="A2203" s="46" t="str" cm="1">
        <f t="array" ref="A2203">IFERROR(INDEX(#REF!,MATCH(TRUE,ISNUMBER(FIND(SUBSTITUTE(SUBSTITUTE(UPPER(#REF!)," ",""),":",": "),SUBSTITUTE(SUBSTITUTE(UPPER(S2203)," ",""),":",": "))),0)),"Undefined")</f>
        <v>Undefined</v>
      </c>
      <c r="B2203" s="42" t="str" cm="1">
        <f t="array" ref="B2203">IFERROR(INDEX({"URGENTE"},MATCH(TRUE,ISNUMBER(FIND(SUBSTITUTE(SUBSTITUTE(UPPER({"URGENTE"})," ",""),":",": "),SUBSTITUTE(SUBSTITUTE(UPPER(S2203)," ",""),":",": "))),0)),"-")</f>
        <v>-</v>
      </c>
      <c r="C2203" s="46" t="str" cm="1">
        <f t="array" ref="C2203">IFERROR(INDEX(#REF!,MATCH(TRUE,ISNUMBER(FIND(SUBSTITUTE(SUBSTITUTE(UPPER(#REF!)," ",""),":",": "),SUBSTITUTE(SUBSTITUTE(UPPER(S2203)," ",""),":",": "))),0)),"Não encontrado")</f>
        <v>Não encontrado</v>
      </c>
      <c r="D2203" s="46" t="str" cm="1">
        <f t="array" ref="D2203">IFERROR(INDEX(#REF!,MATCH(TRUE,ISNUMBER(FIND(SUBSTITUTE(SUBSTITUTE(UPPER(#REF!)," ",""),":",": "),SUBSTITUTE(SUBSTITUTE(UPPER(S2203)," ",""),":",": "))),0)),"Não encontrado")</f>
        <v>Não encontrado</v>
      </c>
      <c r="E2203" s="42" t="str" cm="1">
        <f t="array" ref="E2203">IFERROR(INDEX({"IMPEDITIVO"},MATCH(TRUE,ISNUMBER(FIND(SUBSTITUTE(SUBSTITUTE(UPPER({"IMPEDITIVO"})," ",""),":",": "),SUBSTITUTE(SUBSTITUTE(UPPER(S2203)," ",""),":",": "))),0)),"-")</f>
        <v>-</v>
      </c>
      <c r="K2203" s="49"/>
    </row>
    <row r="2204" spans="1:11" x14ac:dyDescent="0.25">
      <c r="A2204" s="46" t="str" cm="1">
        <f t="array" ref="A2204">IFERROR(INDEX(#REF!,MATCH(TRUE,ISNUMBER(FIND(SUBSTITUTE(SUBSTITUTE(UPPER(#REF!)," ",""),":",": "),SUBSTITUTE(SUBSTITUTE(UPPER(S2204)," ",""),":",": "))),0)),"Undefined")</f>
        <v>Undefined</v>
      </c>
      <c r="B2204" s="42" t="str" cm="1">
        <f t="array" ref="B2204">IFERROR(INDEX({"URGENTE"},MATCH(TRUE,ISNUMBER(FIND(SUBSTITUTE(SUBSTITUTE(UPPER({"URGENTE"})," ",""),":",": "),SUBSTITUTE(SUBSTITUTE(UPPER(S2204)," ",""),":",": "))),0)),"-")</f>
        <v>-</v>
      </c>
      <c r="C2204" s="46" t="str" cm="1">
        <f t="array" ref="C2204">IFERROR(INDEX(#REF!,MATCH(TRUE,ISNUMBER(FIND(SUBSTITUTE(SUBSTITUTE(UPPER(#REF!)," ",""),":",": "),SUBSTITUTE(SUBSTITUTE(UPPER(S2204)," ",""),":",": "))),0)),"Não encontrado")</f>
        <v>Não encontrado</v>
      </c>
      <c r="D2204" s="46" t="str" cm="1">
        <f t="array" ref="D2204">IFERROR(INDEX(#REF!,MATCH(TRUE,ISNUMBER(FIND(SUBSTITUTE(SUBSTITUTE(UPPER(#REF!)," ",""),":",": "),SUBSTITUTE(SUBSTITUTE(UPPER(S2204)," ",""),":",": "))),0)),"Não encontrado")</f>
        <v>Não encontrado</v>
      </c>
      <c r="E2204" s="42" t="str" cm="1">
        <f t="array" ref="E2204">IFERROR(INDEX({"IMPEDITIVO"},MATCH(TRUE,ISNUMBER(FIND(SUBSTITUTE(SUBSTITUTE(UPPER({"IMPEDITIVO"})," ",""),":",": "),SUBSTITUTE(SUBSTITUTE(UPPER(S2204)," ",""),":",": "))),0)),"-")</f>
        <v>-</v>
      </c>
      <c r="K2204" s="49"/>
    </row>
    <row r="2205" spans="1:11" x14ac:dyDescent="0.25">
      <c r="A2205" s="46" t="str" cm="1">
        <f t="array" ref="A2205">IFERROR(INDEX(#REF!,MATCH(TRUE,ISNUMBER(FIND(SUBSTITUTE(SUBSTITUTE(UPPER(#REF!)," ",""),":",": "),SUBSTITUTE(SUBSTITUTE(UPPER(S2205)," ",""),":",": "))),0)),"Undefined")</f>
        <v>Undefined</v>
      </c>
      <c r="B2205" s="42" t="str" cm="1">
        <f t="array" ref="B2205">IFERROR(INDEX({"URGENTE"},MATCH(TRUE,ISNUMBER(FIND(SUBSTITUTE(SUBSTITUTE(UPPER({"URGENTE"})," ",""),":",": "),SUBSTITUTE(SUBSTITUTE(UPPER(S2205)," ",""),":",": "))),0)),"-")</f>
        <v>-</v>
      </c>
      <c r="C2205" s="46" t="str" cm="1">
        <f t="array" ref="C2205">IFERROR(INDEX(#REF!,MATCH(TRUE,ISNUMBER(FIND(SUBSTITUTE(SUBSTITUTE(UPPER(#REF!)," ",""),":",": "),SUBSTITUTE(SUBSTITUTE(UPPER(S2205)," ",""),":",": "))),0)),"Não encontrado")</f>
        <v>Não encontrado</v>
      </c>
      <c r="D2205" s="46" t="str" cm="1">
        <f t="array" ref="D2205">IFERROR(INDEX(#REF!,MATCH(TRUE,ISNUMBER(FIND(SUBSTITUTE(SUBSTITUTE(UPPER(#REF!)," ",""),":",": "),SUBSTITUTE(SUBSTITUTE(UPPER(S2205)," ",""),":",": "))),0)),"Não encontrado")</f>
        <v>Não encontrado</v>
      </c>
      <c r="E2205" s="42" t="str" cm="1">
        <f t="array" ref="E2205">IFERROR(INDEX({"IMPEDITIVO"},MATCH(TRUE,ISNUMBER(FIND(SUBSTITUTE(SUBSTITUTE(UPPER({"IMPEDITIVO"})," ",""),":",": "),SUBSTITUTE(SUBSTITUTE(UPPER(S2205)," ",""),":",": "))),0)),"-")</f>
        <v>-</v>
      </c>
      <c r="K2205" s="49"/>
    </row>
    <row r="2206" spans="1:11" x14ac:dyDescent="0.25">
      <c r="A2206" s="46" t="str" cm="1">
        <f t="array" ref="A2206">IFERROR(INDEX(#REF!,MATCH(TRUE,ISNUMBER(FIND(SUBSTITUTE(SUBSTITUTE(UPPER(#REF!)," ",""),":",": "),SUBSTITUTE(SUBSTITUTE(UPPER(S2206)," ",""),":",": "))),0)),"Undefined")</f>
        <v>Undefined</v>
      </c>
      <c r="B2206" s="42" t="str" cm="1">
        <f t="array" ref="B2206">IFERROR(INDEX({"URGENTE"},MATCH(TRUE,ISNUMBER(FIND(SUBSTITUTE(SUBSTITUTE(UPPER({"URGENTE"})," ",""),":",": "),SUBSTITUTE(SUBSTITUTE(UPPER(S2206)," ",""),":",": "))),0)),"-")</f>
        <v>-</v>
      </c>
      <c r="C2206" s="46" t="str" cm="1">
        <f t="array" ref="C2206">IFERROR(INDEX(#REF!,MATCH(TRUE,ISNUMBER(FIND(SUBSTITUTE(SUBSTITUTE(UPPER(#REF!)," ",""),":",": "),SUBSTITUTE(SUBSTITUTE(UPPER(S2206)," ",""),":",": "))),0)),"Não encontrado")</f>
        <v>Não encontrado</v>
      </c>
      <c r="D2206" s="46" t="str" cm="1">
        <f t="array" ref="D2206">IFERROR(INDEX(#REF!,MATCH(TRUE,ISNUMBER(FIND(SUBSTITUTE(SUBSTITUTE(UPPER(#REF!)," ",""),":",": "),SUBSTITUTE(SUBSTITUTE(UPPER(S2206)," ",""),":",": "))),0)),"Não encontrado")</f>
        <v>Não encontrado</v>
      </c>
      <c r="E2206" s="42" t="str" cm="1">
        <f t="array" ref="E2206">IFERROR(INDEX({"IMPEDITIVO"},MATCH(TRUE,ISNUMBER(FIND(SUBSTITUTE(SUBSTITUTE(UPPER({"IMPEDITIVO"})," ",""),":",": "),SUBSTITUTE(SUBSTITUTE(UPPER(S2206)," ",""),":",": "))),0)),"-")</f>
        <v>-</v>
      </c>
      <c r="K2206" s="49"/>
    </row>
    <row r="2207" spans="1:11" x14ac:dyDescent="0.25">
      <c r="A2207" s="46" t="str" cm="1">
        <f t="array" ref="A2207">IFERROR(INDEX(#REF!,MATCH(TRUE,ISNUMBER(FIND(SUBSTITUTE(SUBSTITUTE(UPPER(#REF!)," ",""),":",": "),SUBSTITUTE(SUBSTITUTE(UPPER(S2207)," ",""),":",": "))),0)),"Undefined")</f>
        <v>Undefined</v>
      </c>
      <c r="B2207" s="42" t="str" cm="1">
        <f t="array" ref="B2207">IFERROR(INDEX({"URGENTE"},MATCH(TRUE,ISNUMBER(FIND(SUBSTITUTE(SUBSTITUTE(UPPER({"URGENTE"})," ",""),":",": "),SUBSTITUTE(SUBSTITUTE(UPPER(S2207)," ",""),":",": "))),0)),"-")</f>
        <v>-</v>
      </c>
      <c r="C2207" s="46" t="str" cm="1">
        <f t="array" ref="C2207">IFERROR(INDEX(#REF!,MATCH(TRUE,ISNUMBER(FIND(SUBSTITUTE(SUBSTITUTE(UPPER(#REF!)," ",""),":",": "),SUBSTITUTE(SUBSTITUTE(UPPER(S2207)," ",""),":",": "))),0)),"Não encontrado")</f>
        <v>Não encontrado</v>
      </c>
      <c r="D2207" s="46" t="str" cm="1">
        <f t="array" ref="D2207">IFERROR(INDEX(#REF!,MATCH(TRUE,ISNUMBER(FIND(SUBSTITUTE(SUBSTITUTE(UPPER(#REF!)," ",""),":",": "),SUBSTITUTE(SUBSTITUTE(UPPER(S2207)," ",""),":",": "))),0)),"Não encontrado")</f>
        <v>Não encontrado</v>
      </c>
      <c r="E2207" s="42" t="str" cm="1">
        <f t="array" ref="E2207">IFERROR(INDEX({"IMPEDITIVO"},MATCH(TRUE,ISNUMBER(FIND(SUBSTITUTE(SUBSTITUTE(UPPER({"IMPEDITIVO"})," ",""),":",": "),SUBSTITUTE(SUBSTITUTE(UPPER(S2207)," ",""),":",": "))),0)),"-")</f>
        <v>-</v>
      </c>
      <c r="K2207" s="49"/>
    </row>
    <row r="2208" spans="1:11" x14ac:dyDescent="0.25">
      <c r="A2208" s="46" t="str" cm="1">
        <f t="array" ref="A2208">IFERROR(INDEX(#REF!,MATCH(TRUE,ISNUMBER(FIND(SUBSTITUTE(SUBSTITUTE(UPPER(#REF!)," ",""),":",": "),SUBSTITUTE(SUBSTITUTE(UPPER(S2208)," ",""),":",": "))),0)),"Undefined")</f>
        <v>Undefined</v>
      </c>
      <c r="B2208" s="42" t="str" cm="1">
        <f t="array" ref="B2208">IFERROR(INDEX({"URGENTE"},MATCH(TRUE,ISNUMBER(FIND(SUBSTITUTE(SUBSTITUTE(UPPER({"URGENTE"})," ",""),":",": "),SUBSTITUTE(SUBSTITUTE(UPPER(S2208)," ",""),":",": "))),0)),"-")</f>
        <v>-</v>
      </c>
      <c r="C2208" s="46" t="str" cm="1">
        <f t="array" ref="C2208">IFERROR(INDEX(#REF!,MATCH(TRUE,ISNUMBER(FIND(SUBSTITUTE(SUBSTITUTE(UPPER(#REF!)," ",""),":",": "),SUBSTITUTE(SUBSTITUTE(UPPER(S2208)," ",""),":",": "))),0)),"Não encontrado")</f>
        <v>Não encontrado</v>
      </c>
      <c r="D2208" s="46" t="str" cm="1">
        <f t="array" ref="D2208">IFERROR(INDEX(#REF!,MATCH(TRUE,ISNUMBER(FIND(SUBSTITUTE(SUBSTITUTE(UPPER(#REF!)," ",""),":",": "),SUBSTITUTE(SUBSTITUTE(UPPER(S2208)," ",""),":",": "))),0)),"Não encontrado")</f>
        <v>Não encontrado</v>
      </c>
      <c r="E2208" s="42" t="str" cm="1">
        <f t="array" ref="E2208">IFERROR(INDEX({"IMPEDITIVO"},MATCH(TRUE,ISNUMBER(FIND(SUBSTITUTE(SUBSTITUTE(UPPER({"IMPEDITIVO"})," ",""),":",": "),SUBSTITUTE(SUBSTITUTE(UPPER(S2208)," ",""),":",": "))),0)),"-")</f>
        <v>-</v>
      </c>
      <c r="K2208" s="49"/>
    </row>
    <row r="2209" spans="1:11" x14ac:dyDescent="0.25">
      <c r="A2209" s="46" t="str" cm="1">
        <f t="array" ref="A2209">IFERROR(INDEX(#REF!,MATCH(TRUE,ISNUMBER(FIND(SUBSTITUTE(SUBSTITUTE(UPPER(#REF!)," ",""),":",": "),SUBSTITUTE(SUBSTITUTE(UPPER(S2209)," ",""),":",": "))),0)),"Undefined")</f>
        <v>Undefined</v>
      </c>
      <c r="B2209" s="42" t="str" cm="1">
        <f t="array" ref="B2209">IFERROR(INDEX({"URGENTE"},MATCH(TRUE,ISNUMBER(FIND(SUBSTITUTE(SUBSTITUTE(UPPER({"URGENTE"})," ",""),":",": "),SUBSTITUTE(SUBSTITUTE(UPPER(S2209)," ",""),":",": "))),0)),"-")</f>
        <v>-</v>
      </c>
      <c r="C2209" s="46" t="str" cm="1">
        <f t="array" ref="C2209">IFERROR(INDEX(#REF!,MATCH(TRUE,ISNUMBER(FIND(SUBSTITUTE(SUBSTITUTE(UPPER(#REF!)," ",""),":",": "),SUBSTITUTE(SUBSTITUTE(UPPER(S2209)," ",""),":",": "))),0)),"Não encontrado")</f>
        <v>Não encontrado</v>
      </c>
      <c r="D2209" s="46" t="str" cm="1">
        <f t="array" ref="D2209">IFERROR(INDEX(#REF!,MATCH(TRUE,ISNUMBER(FIND(SUBSTITUTE(SUBSTITUTE(UPPER(#REF!)," ",""),":",": "),SUBSTITUTE(SUBSTITUTE(UPPER(S2209)," ",""),":",": "))),0)),"Não encontrado")</f>
        <v>Não encontrado</v>
      </c>
      <c r="E2209" s="42" t="str" cm="1">
        <f t="array" ref="E2209">IFERROR(INDEX({"IMPEDITIVO"},MATCH(TRUE,ISNUMBER(FIND(SUBSTITUTE(SUBSTITUTE(UPPER({"IMPEDITIVO"})," ",""),":",": "),SUBSTITUTE(SUBSTITUTE(UPPER(S2209)," ",""),":",": "))),0)),"-")</f>
        <v>-</v>
      </c>
      <c r="K2209" s="49"/>
    </row>
    <row r="2210" spans="1:11" x14ac:dyDescent="0.25">
      <c r="A2210" s="46" t="str" cm="1">
        <f t="array" ref="A2210">IFERROR(INDEX(#REF!,MATCH(TRUE,ISNUMBER(FIND(SUBSTITUTE(SUBSTITUTE(UPPER(#REF!)," ",""),":",": "),SUBSTITUTE(SUBSTITUTE(UPPER(S2210)," ",""),":",": "))),0)),"Undefined")</f>
        <v>Undefined</v>
      </c>
      <c r="B2210" s="42" t="str" cm="1">
        <f t="array" ref="B2210">IFERROR(INDEX({"URGENTE"},MATCH(TRUE,ISNUMBER(FIND(SUBSTITUTE(SUBSTITUTE(UPPER({"URGENTE"})," ",""),":",": "),SUBSTITUTE(SUBSTITUTE(UPPER(S2210)," ",""),":",": "))),0)),"-")</f>
        <v>-</v>
      </c>
      <c r="C2210" s="46" t="str" cm="1">
        <f t="array" ref="C2210">IFERROR(INDEX(#REF!,MATCH(TRUE,ISNUMBER(FIND(SUBSTITUTE(SUBSTITUTE(UPPER(#REF!)," ",""),":",": "),SUBSTITUTE(SUBSTITUTE(UPPER(S2210)," ",""),":",": "))),0)),"Não encontrado")</f>
        <v>Não encontrado</v>
      </c>
      <c r="D2210" s="46" t="str" cm="1">
        <f t="array" ref="D2210">IFERROR(INDEX(#REF!,MATCH(TRUE,ISNUMBER(FIND(SUBSTITUTE(SUBSTITUTE(UPPER(#REF!)," ",""),":",": "),SUBSTITUTE(SUBSTITUTE(UPPER(S2210)," ",""),":",": "))),0)),"Não encontrado")</f>
        <v>Não encontrado</v>
      </c>
      <c r="E2210" s="42" t="str" cm="1">
        <f t="array" ref="E2210">IFERROR(INDEX({"IMPEDITIVO"},MATCH(TRUE,ISNUMBER(FIND(SUBSTITUTE(SUBSTITUTE(UPPER({"IMPEDITIVO"})," ",""),":",": "),SUBSTITUTE(SUBSTITUTE(UPPER(S2210)," ",""),":",": "))),0)),"-")</f>
        <v>-</v>
      </c>
      <c r="K2210" s="49"/>
    </row>
    <row r="2211" spans="1:11" x14ac:dyDescent="0.25">
      <c r="A2211" s="46" t="str" cm="1">
        <f t="array" ref="A2211">IFERROR(INDEX(#REF!,MATCH(TRUE,ISNUMBER(FIND(SUBSTITUTE(SUBSTITUTE(UPPER(#REF!)," ",""),":",": "),SUBSTITUTE(SUBSTITUTE(UPPER(S2211)," ",""),":",": "))),0)),"Undefined")</f>
        <v>Undefined</v>
      </c>
      <c r="B2211" s="42" t="str" cm="1">
        <f t="array" ref="B2211">IFERROR(INDEX({"URGENTE"},MATCH(TRUE,ISNUMBER(FIND(SUBSTITUTE(SUBSTITUTE(UPPER({"URGENTE"})," ",""),":",": "),SUBSTITUTE(SUBSTITUTE(UPPER(S2211)," ",""),":",": "))),0)),"-")</f>
        <v>-</v>
      </c>
      <c r="C2211" s="46" t="str" cm="1">
        <f t="array" ref="C2211">IFERROR(INDEX(#REF!,MATCH(TRUE,ISNUMBER(FIND(SUBSTITUTE(SUBSTITUTE(UPPER(#REF!)," ",""),":",": "),SUBSTITUTE(SUBSTITUTE(UPPER(S2211)," ",""),":",": "))),0)),"Não encontrado")</f>
        <v>Não encontrado</v>
      </c>
      <c r="D2211" s="46" t="str" cm="1">
        <f t="array" ref="D2211">IFERROR(INDEX(#REF!,MATCH(TRUE,ISNUMBER(FIND(SUBSTITUTE(SUBSTITUTE(UPPER(#REF!)," ",""),":",": "),SUBSTITUTE(SUBSTITUTE(UPPER(S2211)," ",""),":",": "))),0)),"Não encontrado")</f>
        <v>Não encontrado</v>
      </c>
      <c r="E2211" s="42" t="str" cm="1">
        <f t="array" ref="E2211">IFERROR(INDEX({"IMPEDITIVO"},MATCH(TRUE,ISNUMBER(FIND(SUBSTITUTE(SUBSTITUTE(UPPER({"IMPEDITIVO"})," ",""),":",": "),SUBSTITUTE(SUBSTITUTE(UPPER(S2211)," ",""),":",": "))),0)),"-")</f>
        <v>-</v>
      </c>
      <c r="K2211" s="49"/>
    </row>
    <row r="2212" spans="1:11" x14ac:dyDescent="0.25">
      <c r="A2212" s="46" t="str" cm="1">
        <f t="array" ref="A2212">IFERROR(INDEX(#REF!,MATCH(TRUE,ISNUMBER(FIND(SUBSTITUTE(SUBSTITUTE(UPPER(#REF!)," ",""),":",": "),SUBSTITUTE(SUBSTITUTE(UPPER(S2212)," ",""),":",": "))),0)),"Undefined")</f>
        <v>Undefined</v>
      </c>
      <c r="B2212" s="42" t="str" cm="1">
        <f t="array" ref="B2212">IFERROR(INDEX({"URGENTE"},MATCH(TRUE,ISNUMBER(FIND(SUBSTITUTE(SUBSTITUTE(UPPER({"URGENTE"})," ",""),":",": "),SUBSTITUTE(SUBSTITUTE(UPPER(S2212)," ",""),":",": "))),0)),"-")</f>
        <v>-</v>
      </c>
      <c r="C2212" s="46" t="str" cm="1">
        <f t="array" ref="C2212">IFERROR(INDEX(#REF!,MATCH(TRUE,ISNUMBER(FIND(SUBSTITUTE(SUBSTITUTE(UPPER(#REF!)," ",""),":",": "),SUBSTITUTE(SUBSTITUTE(UPPER(S2212)," ",""),":",": "))),0)),"Não encontrado")</f>
        <v>Não encontrado</v>
      </c>
      <c r="D2212" s="46" t="str" cm="1">
        <f t="array" ref="D2212">IFERROR(INDEX(#REF!,MATCH(TRUE,ISNUMBER(FIND(SUBSTITUTE(SUBSTITUTE(UPPER(#REF!)," ",""),":",": "),SUBSTITUTE(SUBSTITUTE(UPPER(S2212)," ",""),":",": "))),0)),"Não encontrado")</f>
        <v>Não encontrado</v>
      </c>
      <c r="E2212" s="42" t="str" cm="1">
        <f t="array" ref="E2212">IFERROR(INDEX({"IMPEDITIVO"},MATCH(TRUE,ISNUMBER(FIND(SUBSTITUTE(SUBSTITUTE(UPPER({"IMPEDITIVO"})," ",""),":",": "),SUBSTITUTE(SUBSTITUTE(UPPER(S2212)," ",""),":",": "))),0)),"-")</f>
        <v>-</v>
      </c>
      <c r="K2212" s="49"/>
    </row>
    <row r="2213" spans="1:11" x14ac:dyDescent="0.25">
      <c r="A2213" s="46" t="str" cm="1">
        <f t="array" ref="A2213">IFERROR(INDEX(#REF!,MATCH(TRUE,ISNUMBER(FIND(SUBSTITUTE(SUBSTITUTE(UPPER(#REF!)," ",""),":",": "),SUBSTITUTE(SUBSTITUTE(UPPER(S2213)," ",""),":",": "))),0)),"Undefined")</f>
        <v>Undefined</v>
      </c>
      <c r="B2213" s="42" t="str" cm="1">
        <f t="array" ref="B2213">IFERROR(INDEX({"URGENTE"},MATCH(TRUE,ISNUMBER(FIND(SUBSTITUTE(SUBSTITUTE(UPPER({"URGENTE"})," ",""),":",": "),SUBSTITUTE(SUBSTITUTE(UPPER(S2213)," ",""),":",": "))),0)),"-")</f>
        <v>-</v>
      </c>
      <c r="C2213" s="46" t="str" cm="1">
        <f t="array" ref="C2213">IFERROR(INDEX(#REF!,MATCH(TRUE,ISNUMBER(FIND(SUBSTITUTE(SUBSTITUTE(UPPER(#REF!)," ",""),":",": "),SUBSTITUTE(SUBSTITUTE(UPPER(S2213)," ",""),":",": "))),0)),"Não encontrado")</f>
        <v>Não encontrado</v>
      </c>
      <c r="D2213" s="46" t="str" cm="1">
        <f t="array" ref="D2213">IFERROR(INDEX(#REF!,MATCH(TRUE,ISNUMBER(FIND(SUBSTITUTE(SUBSTITUTE(UPPER(#REF!)," ",""),":",": "),SUBSTITUTE(SUBSTITUTE(UPPER(S2213)," ",""),":",": "))),0)),"Não encontrado")</f>
        <v>Não encontrado</v>
      </c>
      <c r="E2213" s="42" t="str" cm="1">
        <f t="array" ref="E2213">IFERROR(INDEX({"IMPEDITIVO"},MATCH(TRUE,ISNUMBER(FIND(SUBSTITUTE(SUBSTITUTE(UPPER({"IMPEDITIVO"})," ",""),":",": "),SUBSTITUTE(SUBSTITUTE(UPPER(S2213)," ",""),":",": "))),0)),"-")</f>
        <v>-</v>
      </c>
      <c r="K2213" s="49"/>
    </row>
    <row r="2214" spans="1:11" x14ac:dyDescent="0.25">
      <c r="A2214" s="46" t="str" cm="1">
        <f t="array" ref="A2214">IFERROR(INDEX(#REF!,MATCH(TRUE,ISNUMBER(FIND(SUBSTITUTE(SUBSTITUTE(UPPER(#REF!)," ",""),":",": "),SUBSTITUTE(SUBSTITUTE(UPPER(S2214)," ",""),":",": "))),0)),"Undefined")</f>
        <v>Undefined</v>
      </c>
      <c r="B2214" s="42" t="str" cm="1">
        <f t="array" ref="B2214">IFERROR(INDEX({"URGENTE"},MATCH(TRUE,ISNUMBER(FIND(SUBSTITUTE(SUBSTITUTE(UPPER({"URGENTE"})," ",""),":",": "),SUBSTITUTE(SUBSTITUTE(UPPER(S2214)," ",""),":",": "))),0)),"-")</f>
        <v>-</v>
      </c>
      <c r="C2214" s="46" t="str" cm="1">
        <f t="array" ref="C2214">IFERROR(INDEX(#REF!,MATCH(TRUE,ISNUMBER(FIND(SUBSTITUTE(SUBSTITUTE(UPPER(#REF!)," ",""),":",": "),SUBSTITUTE(SUBSTITUTE(UPPER(S2214)," ",""),":",": "))),0)),"Não encontrado")</f>
        <v>Não encontrado</v>
      </c>
      <c r="D2214" s="46" t="str" cm="1">
        <f t="array" ref="D2214">IFERROR(INDEX(#REF!,MATCH(TRUE,ISNUMBER(FIND(SUBSTITUTE(SUBSTITUTE(UPPER(#REF!)," ",""),":",": "),SUBSTITUTE(SUBSTITUTE(UPPER(S2214)," ",""),":",": "))),0)),"Não encontrado")</f>
        <v>Não encontrado</v>
      </c>
      <c r="E2214" s="42" t="str" cm="1">
        <f t="array" ref="E2214">IFERROR(INDEX({"IMPEDITIVO"},MATCH(TRUE,ISNUMBER(FIND(SUBSTITUTE(SUBSTITUTE(UPPER({"IMPEDITIVO"})," ",""),":",": "),SUBSTITUTE(SUBSTITUTE(UPPER(S2214)," ",""),":",": "))),0)),"-")</f>
        <v>-</v>
      </c>
      <c r="K2214" s="49"/>
    </row>
    <row r="2215" spans="1:11" x14ac:dyDescent="0.25">
      <c r="A2215" s="46" t="str" cm="1">
        <f t="array" ref="A2215">IFERROR(INDEX(#REF!,MATCH(TRUE,ISNUMBER(FIND(SUBSTITUTE(SUBSTITUTE(UPPER(#REF!)," ",""),":",": "),SUBSTITUTE(SUBSTITUTE(UPPER(S2215)," ",""),":",": "))),0)),"Undefined")</f>
        <v>Undefined</v>
      </c>
      <c r="B2215" s="42" t="str" cm="1">
        <f t="array" ref="B2215">IFERROR(INDEX({"URGENTE"},MATCH(TRUE,ISNUMBER(FIND(SUBSTITUTE(SUBSTITUTE(UPPER({"URGENTE"})," ",""),":",": "),SUBSTITUTE(SUBSTITUTE(UPPER(S2215)," ",""),":",": "))),0)),"-")</f>
        <v>-</v>
      </c>
      <c r="C2215" s="46" t="str" cm="1">
        <f t="array" ref="C2215">IFERROR(INDEX(#REF!,MATCH(TRUE,ISNUMBER(FIND(SUBSTITUTE(SUBSTITUTE(UPPER(#REF!)," ",""),":",": "),SUBSTITUTE(SUBSTITUTE(UPPER(S2215)," ",""),":",": "))),0)),"Não encontrado")</f>
        <v>Não encontrado</v>
      </c>
      <c r="D2215" s="46" t="str" cm="1">
        <f t="array" ref="D2215">IFERROR(INDEX(#REF!,MATCH(TRUE,ISNUMBER(FIND(SUBSTITUTE(SUBSTITUTE(UPPER(#REF!)," ",""),":",": "),SUBSTITUTE(SUBSTITUTE(UPPER(S2215)," ",""),":",": "))),0)),"Não encontrado")</f>
        <v>Não encontrado</v>
      </c>
      <c r="E2215" s="42" t="str" cm="1">
        <f t="array" ref="E2215">IFERROR(INDEX({"IMPEDITIVO"},MATCH(TRUE,ISNUMBER(FIND(SUBSTITUTE(SUBSTITUTE(UPPER({"IMPEDITIVO"})," ",""),":",": "),SUBSTITUTE(SUBSTITUTE(UPPER(S2215)," ",""),":",": "))),0)),"-")</f>
        <v>-</v>
      </c>
      <c r="K2215" s="49"/>
    </row>
    <row r="2216" spans="1:11" x14ac:dyDescent="0.25">
      <c r="A2216" s="46" t="str" cm="1">
        <f t="array" ref="A2216">IFERROR(INDEX(#REF!,MATCH(TRUE,ISNUMBER(FIND(SUBSTITUTE(SUBSTITUTE(UPPER(#REF!)," ",""),":",": "),SUBSTITUTE(SUBSTITUTE(UPPER(S2216)," ",""),":",": "))),0)),"Undefined")</f>
        <v>Undefined</v>
      </c>
      <c r="B2216" s="42" t="str" cm="1">
        <f t="array" ref="B2216">IFERROR(INDEX({"URGENTE"},MATCH(TRUE,ISNUMBER(FIND(SUBSTITUTE(SUBSTITUTE(UPPER({"URGENTE"})," ",""),":",": "),SUBSTITUTE(SUBSTITUTE(UPPER(S2216)," ",""),":",": "))),0)),"-")</f>
        <v>-</v>
      </c>
      <c r="C2216" s="46" t="str" cm="1">
        <f t="array" ref="C2216">IFERROR(INDEX(#REF!,MATCH(TRUE,ISNUMBER(FIND(SUBSTITUTE(SUBSTITUTE(UPPER(#REF!)," ",""),":",": "),SUBSTITUTE(SUBSTITUTE(UPPER(S2216)," ",""),":",": "))),0)),"Não encontrado")</f>
        <v>Não encontrado</v>
      </c>
      <c r="D2216" s="46" t="str" cm="1">
        <f t="array" ref="D2216">IFERROR(INDEX(#REF!,MATCH(TRUE,ISNUMBER(FIND(SUBSTITUTE(SUBSTITUTE(UPPER(#REF!)," ",""),":",": "),SUBSTITUTE(SUBSTITUTE(UPPER(S2216)," ",""),":",": "))),0)),"Não encontrado")</f>
        <v>Não encontrado</v>
      </c>
      <c r="E2216" s="42" t="str" cm="1">
        <f t="array" ref="E2216">IFERROR(INDEX({"IMPEDITIVO"},MATCH(TRUE,ISNUMBER(FIND(SUBSTITUTE(SUBSTITUTE(UPPER({"IMPEDITIVO"})," ",""),":",": "),SUBSTITUTE(SUBSTITUTE(UPPER(S2216)," ",""),":",": "))),0)),"-")</f>
        <v>-</v>
      </c>
      <c r="K2216" s="49"/>
    </row>
    <row r="2217" spans="1:11" x14ac:dyDescent="0.25">
      <c r="A2217" s="46" t="str" cm="1">
        <f t="array" ref="A2217">IFERROR(INDEX(#REF!,MATCH(TRUE,ISNUMBER(FIND(SUBSTITUTE(SUBSTITUTE(UPPER(#REF!)," ",""),":",": "),SUBSTITUTE(SUBSTITUTE(UPPER(S2217)," ",""),":",": "))),0)),"Undefined")</f>
        <v>Undefined</v>
      </c>
      <c r="B2217" s="42" t="str" cm="1">
        <f t="array" ref="B2217">IFERROR(INDEX({"URGENTE"},MATCH(TRUE,ISNUMBER(FIND(SUBSTITUTE(SUBSTITUTE(UPPER({"URGENTE"})," ",""),":",": "),SUBSTITUTE(SUBSTITUTE(UPPER(S2217)," ",""),":",": "))),0)),"-")</f>
        <v>-</v>
      </c>
      <c r="C2217" s="46" t="str" cm="1">
        <f t="array" ref="C2217">IFERROR(INDEX(#REF!,MATCH(TRUE,ISNUMBER(FIND(SUBSTITUTE(SUBSTITUTE(UPPER(#REF!)," ",""),":",": "),SUBSTITUTE(SUBSTITUTE(UPPER(S2217)," ",""),":",": "))),0)),"Não encontrado")</f>
        <v>Não encontrado</v>
      </c>
      <c r="D2217" s="46" t="str" cm="1">
        <f t="array" ref="D2217">IFERROR(INDEX(#REF!,MATCH(TRUE,ISNUMBER(FIND(SUBSTITUTE(SUBSTITUTE(UPPER(#REF!)," ",""),":",": "),SUBSTITUTE(SUBSTITUTE(UPPER(S2217)," ",""),":",": "))),0)),"Não encontrado")</f>
        <v>Não encontrado</v>
      </c>
      <c r="E2217" s="42" t="str" cm="1">
        <f t="array" ref="E2217">IFERROR(INDEX({"IMPEDITIVO"},MATCH(TRUE,ISNUMBER(FIND(SUBSTITUTE(SUBSTITUTE(UPPER({"IMPEDITIVO"})," ",""),":",": "),SUBSTITUTE(SUBSTITUTE(UPPER(S2217)," ",""),":",": "))),0)),"-")</f>
        <v>-</v>
      </c>
      <c r="K2217" s="49"/>
    </row>
    <row r="2218" spans="1:11" x14ac:dyDescent="0.25">
      <c r="A2218" s="46" t="str" cm="1">
        <f t="array" ref="A2218">IFERROR(INDEX(#REF!,MATCH(TRUE,ISNUMBER(FIND(SUBSTITUTE(SUBSTITUTE(UPPER(#REF!)," ",""),":",": "),SUBSTITUTE(SUBSTITUTE(UPPER(S2218)," ",""),":",": "))),0)),"Undefined")</f>
        <v>Undefined</v>
      </c>
      <c r="B2218" s="42" t="str" cm="1">
        <f t="array" ref="B2218">IFERROR(INDEX({"URGENTE"},MATCH(TRUE,ISNUMBER(FIND(SUBSTITUTE(SUBSTITUTE(UPPER({"URGENTE"})," ",""),":",": "),SUBSTITUTE(SUBSTITUTE(UPPER(S2218)," ",""),":",": "))),0)),"-")</f>
        <v>-</v>
      </c>
      <c r="C2218" s="46" t="str" cm="1">
        <f t="array" ref="C2218">IFERROR(INDEX(#REF!,MATCH(TRUE,ISNUMBER(FIND(SUBSTITUTE(SUBSTITUTE(UPPER(#REF!)," ",""),":",": "),SUBSTITUTE(SUBSTITUTE(UPPER(S2218)," ",""),":",": "))),0)),"Não encontrado")</f>
        <v>Não encontrado</v>
      </c>
      <c r="D2218" s="46" t="str" cm="1">
        <f t="array" ref="D2218">IFERROR(INDEX(#REF!,MATCH(TRUE,ISNUMBER(FIND(SUBSTITUTE(SUBSTITUTE(UPPER(#REF!)," ",""),":",": "),SUBSTITUTE(SUBSTITUTE(UPPER(S2218)," ",""),":",": "))),0)),"Não encontrado")</f>
        <v>Não encontrado</v>
      </c>
      <c r="E2218" s="42" t="str" cm="1">
        <f t="array" ref="E2218">IFERROR(INDEX({"IMPEDITIVO"},MATCH(TRUE,ISNUMBER(FIND(SUBSTITUTE(SUBSTITUTE(UPPER({"IMPEDITIVO"})," ",""),":",": "),SUBSTITUTE(SUBSTITUTE(UPPER(S2218)," ",""),":",": "))),0)),"-")</f>
        <v>-</v>
      </c>
      <c r="K2218" s="49"/>
    </row>
    <row r="2219" spans="1:11" x14ac:dyDescent="0.25">
      <c r="A2219" s="46" t="str" cm="1">
        <f t="array" ref="A2219">IFERROR(INDEX(#REF!,MATCH(TRUE,ISNUMBER(FIND(SUBSTITUTE(SUBSTITUTE(UPPER(#REF!)," ",""),":",": "),SUBSTITUTE(SUBSTITUTE(UPPER(S2219)," ",""),":",": "))),0)),"Undefined")</f>
        <v>Undefined</v>
      </c>
      <c r="B2219" s="42" t="str" cm="1">
        <f t="array" ref="B2219">IFERROR(INDEX({"URGENTE"},MATCH(TRUE,ISNUMBER(FIND(SUBSTITUTE(SUBSTITUTE(UPPER({"URGENTE"})," ",""),":",": "),SUBSTITUTE(SUBSTITUTE(UPPER(S2219)," ",""),":",": "))),0)),"-")</f>
        <v>-</v>
      </c>
      <c r="C2219" s="46" t="str" cm="1">
        <f t="array" ref="C2219">IFERROR(INDEX(#REF!,MATCH(TRUE,ISNUMBER(FIND(SUBSTITUTE(SUBSTITUTE(UPPER(#REF!)," ",""),":",": "),SUBSTITUTE(SUBSTITUTE(UPPER(S2219)," ",""),":",": "))),0)),"Não encontrado")</f>
        <v>Não encontrado</v>
      </c>
      <c r="D2219" s="46" t="str" cm="1">
        <f t="array" ref="D2219">IFERROR(INDEX(#REF!,MATCH(TRUE,ISNUMBER(FIND(SUBSTITUTE(SUBSTITUTE(UPPER(#REF!)," ",""),":",": "),SUBSTITUTE(SUBSTITUTE(UPPER(S2219)," ",""),":",": "))),0)),"Não encontrado")</f>
        <v>Não encontrado</v>
      </c>
      <c r="E2219" s="42" t="str" cm="1">
        <f t="array" ref="E2219">IFERROR(INDEX({"IMPEDITIVO"},MATCH(TRUE,ISNUMBER(FIND(SUBSTITUTE(SUBSTITUTE(UPPER({"IMPEDITIVO"})," ",""),":",": "),SUBSTITUTE(SUBSTITUTE(UPPER(S2219)," ",""),":",": "))),0)),"-")</f>
        <v>-</v>
      </c>
      <c r="K2219" s="49"/>
    </row>
    <row r="2220" spans="1:11" x14ac:dyDescent="0.25">
      <c r="A2220" s="46" t="str" cm="1">
        <f t="array" ref="A2220">IFERROR(INDEX(#REF!,MATCH(TRUE,ISNUMBER(FIND(SUBSTITUTE(SUBSTITUTE(UPPER(#REF!)," ",""),":",": "),SUBSTITUTE(SUBSTITUTE(UPPER(S2220)," ",""),":",": "))),0)),"Undefined")</f>
        <v>Undefined</v>
      </c>
      <c r="B2220" s="42" t="str" cm="1">
        <f t="array" ref="B2220">IFERROR(INDEX({"URGENTE"},MATCH(TRUE,ISNUMBER(FIND(SUBSTITUTE(SUBSTITUTE(UPPER({"URGENTE"})," ",""),":",": "),SUBSTITUTE(SUBSTITUTE(UPPER(S2220)," ",""),":",": "))),0)),"-")</f>
        <v>-</v>
      </c>
      <c r="C2220" s="46" t="str" cm="1">
        <f t="array" ref="C2220">IFERROR(INDEX(#REF!,MATCH(TRUE,ISNUMBER(FIND(SUBSTITUTE(SUBSTITUTE(UPPER(#REF!)," ",""),":",": "),SUBSTITUTE(SUBSTITUTE(UPPER(S2220)," ",""),":",": "))),0)),"Não encontrado")</f>
        <v>Não encontrado</v>
      </c>
      <c r="D2220" s="46" t="str" cm="1">
        <f t="array" ref="D2220">IFERROR(INDEX(#REF!,MATCH(TRUE,ISNUMBER(FIND(SUBSTITUTE(SUBSTITUTE(UPPER(#REF!)," ",""),":",": "),SUBSTITUTE(SUBSTITUTE(UPPER(S2220)," ",""),":",": "))),0)),"Não encontrado")</f>
        <v>Não encontrado</v>
      </c>
      <c r="E2220" s="42" t="str" cm="1">
        <f t="array" ref="E2220">IFERROR(INDEX({"IMPEDITIVO"},MATCH(TRUE,ISNUMBER(FIND(SUBSTITUTE(SUBSTITUTE(UPPER({"IMPEDITIVO"})," ",""),":",": "),SUBSTITUTE(SUBSTITUTE(UPPER(S2220)," ",""),":",": "))),0)),"-")</f>
        <v>-</v>
      </c>
      <c r="K2220" s="49"/>
    </row>
    <row r="2221" spans="1:11" x14ac:dyDescent="0.25">
      <c r="A2221" s="46" t="str" cm="1">
        <f t="array" ref="A2221">IFERROR(INDEX(#REF!,MATCH(TRUE,ISNUMBER(FIND(SUBSTITUTE(SUBSTITUTE(UPPER(#REF!)," ",""),":",": "),SUBSTITUTE(SUBSTITUTE(UPPER(S2221)," ",""),":",": "))),0)),"Undefined")</f>
        <v>Undefined</v>
      </c>
      <c r="B2221" s="42" t="str" cm="1">
        <f t="array" ref="B2221">IFERROR(INDEX({"URGENTE"},MATCH(TRUE,ISNUMBER(FIND(SUBSTITUTE(SUBSTITUTE(UPPER({"URGENTE"})," ",""),":",": "),SUBSTITUTE(SUBSTITUTE(UPPER(S2221)," ",""),":",": "))),0)),"-")</f>
        <v>-</v>
      </c>
      <c r="C2221" s="46" t="str" cm="1">
        <f t="array" ref="C2221">IFERROR(INDEX(#REF!,MATCH(TRUE,ISNUMBER(FIND(SUBSTITUTE(SUBSTITUTE(UPPER(#REF!)," ",""),":",": "),SUBSTITUTE(SUBSTITUTE(UPPER(S2221)," ",""),":",": "))),0)),"Não encontrado")</f>
        <v>Não encontrado</v>
      </c>
      <c r="D2221" s="46" t="str" cm="1">
        <f t="array" ref="D2221">IFERROR(INDEX(#REF!,MATCH(TRUE,ISNUMBER(FIND(SUBSTITUTE(SUBSTITUTE(UPPER(#REF!)," ",""),":",": "),SUBSTITUTE(SUBSTITUTE(UPPER(S2221)," ",""),":",": "))),0)),"Não encontrado")</f>
        <v>Não encontrado</v>
      </c>
      <c r="E2221" s="42" t="str" cm="1">
        <f t="array" ref="E2221">IFERROR(INDEX({"IMPEDITIVO"},MATCH(TRUE,ISNUMBER(FIND(SUBSTITUTE(SUBSTITUTE(UPPER({"IMPEDITIVO"})," ",""),":",": "),SUBSTITUTE(SUBSTITUTE(UPPER(S2221)," ",""),":",": "))),0)),"-")</f>
        <v>-</v>
      </c>
      <c r="K2221" s="49"/>
    </row>
    <row r="2222" spans="1:11" x14ac:dyDescent="0.25">
      <c r="A2222" s="46" t="str" cm="1">
        <f t="array" ref="A2222">IFERROR(INDEX(#REF!,MATCH(TRUE,ISNUMBER(FIND(SUBSTITUTE(SUBSTITUTE(UPPER(#REF!)," ",""),":",": "),SUBSTITUTE(SUBSTITUTE(UPPER(S2222)," ",""),":",": "))),0)),"Undefined")</f>
        <v>Undefined</v>
      </c>
      <c r="B2222" s="42" t="str" cm="1">
        <f t="array" ref="B2222">IFERROR(INDEX({"URGENTE"},MATCH(TRUE,ISNUMBER(FIND(SUBSTITUTE(SUBSTITUTE(UPPER({"URGENTE"})," ",""),":",": "),SUBSTITUTE(SUBSTITUTE(UPPER(S2222)," ",""),":",": "))),0)),"-")</f>
        <v>-</v>
      </c>
      <c r="C2222" s="46" t="str" cm="1">
        <f t="array" ref="C2222">IFERROR(INDEX(#REF!,MATCH(TRUE,ISNUMBER(FIND(SUBSTITUTE(SUBSTITUTE(UPPER(#REF!)," ",""),":",": "),SUBSTITUTE(SUBSTITUTE(UPPER(S2222)," ",""),":",": "))),0)),"Não encontrado")</f>
        <v>Não encontrado</v>
      </c>
      <c r="D2222" s="46" t="str" cm="1">
        <f t="array" ref="D2222">IFERROR(INDEX(#REF!,MATCH(TRUE,ISNUMBER(FIND(SUBSTITUTE(SUBSTITUTE(UPPER(#REF!)," ",""),":",": "),SUBSTITUTE(SUBSTITUTE(UPPER(S2222)," ",""),":",": "))),0)),"Não encontrado")</f>
        <v>Não encontrado</v>
      </c>
      <c r="E2222" s="42" t="str" cm="1">
        <f t="array" ref="E2222">IFERROR(INDEX({"IMPEDITIVO"},MATCH(TRUE,ISNUMBER(FIND(SUBSTITUTE(SUBSTITUTE(UPPER({"IMPEDITIVO"})," ",""),":",": "),SUBSTITUTE(SUBSTITUTE(UPPER(S2222)," ",""),":",": "))),0)),"-")</f>
        <v>-</v>
      </c>
      <c r="K2222" s="49"/>
    </row>
    <row r="2223" spans="1:11" x14ac:dyDescent="0.25">
      <c r="A2223" s="46" t="str" cm="1">
        <f t="array" ref="A2223">IFERROR(INDEX(#REF!,MATCH(TRUE,ISNUMBER(FIND(SUBSTITUTE(SUBSTITUTE(UPPER(#REF!)," ",""),":",": "),SUBSTITUTE(SUBSTITUTE(UPPER(S2223)," ",""),":",": "))),0)),"Undefined")</f>
        <v>Undefined</v>
      </c>
      <c r="B2223" s="42" t="str" cm="1">
        <f t="array" ref="B2223">IFERROR(INDEX({"URGENTE"},MATCH(TRUE,ISNUMBER(FIND(SUBSTITUTE(SUBSTITUTE(UPPER({"URGENTE"})," ",""),":",": "),SUBSTITUTE(SUBSTITUTE(UPPER(S2223)," ",""),":",": "))),0)),"-")</f>
        <v>-</v>
      </c>
      <c r="C2223" s="46" t="str" cm="1">
        <f t="array" ref="C2223">IFERROR(INDEX(#REF!,MATCH(TRUE,ISNUMBER(FIND(SUBSTITUTE(SUBSTITUTE(UPPER(#REF!)," ",""),":",": "),SUBSTITUTE(SUBSTITUTE(UPPER(S2223)," ",""),":",": "))),0)),"Não encontrado")</f>
        <v>Não encontrado</v>
      </c>
      <c r="D2223" s="46" t="str" cm="1">
        <f t="array" ref="D2223">IFERROR(INDEX(#REF!,MATCH(TRUE,ISNUMBER(FIND(SUBSTITUTE(SUBSTITUTE(UPPER(#REF!)," ",""),":",": "),SUBSTITUTE(SUBSTITUTE(UPPER(S2223)," ",""),":",": "))),0)),"Não encontrado")</f>
        <v>Não encontrado</v>
      </c>
      <c r="E2223" s="42" t="str" cm="1">
        <f t="array" ref="E2223">IFERROR(INDEX({"IMPEDITIVO"},MATCH(TRUE,ISNUMBER(FIND(SUBSTITUTE(SUBSTITUTE(UPPER({"IMPEDITIVO"})," ",""),":",": "),SUBSTITUTE(SUBSTITUTE(UPPER(S2223)," ",""),":",": "))),0)),"-")</f>
        <v>-</v>
      </c>
      <c r="K2223" s="49"/>
    </row>
    <row r="2224" spans="1:11" x14ac:dyDescent="0.25">
      <c r="A2224" s="46" t="str" cm="1">
        <f t="array" ref="A2224">IFERROR(INDEX(#REF!,MATCH(TRUE,ISNUMBER(FIND(SUBSTITUTE(SUBSTITUTE(UPPER(#REF!)," ",""),":",": "),SUBSTITUTE(SUBSTITUTE(UPPER(S2224)," ",""),":",": "))),0)),"Undefined")</f>
        <v>Undefined</v>
      </c>
      <c r="B2224" s="42" t="str" cm="1">
        <f t="array" ref="B2224">IFERROR(INDEX({"URGENTE"},MATCH(TRUE,ISNUMBER(FIND(SUBSTITUTE(SUBSTITUTE(UPPER({"URGENTE"})," ",""),":",": "),SUBSTITUTE(SUBSTITUTE(UPPER(S2224)," ",""),":",": "))),0)),"-")</f>
        <v>-</v>
      </c>
      <c r="C2224" s="46" t="str" cm="1">
        <f t="array" ref="C2224">IFERROR(INDEX(#REF!,MATCH(TRUE,ISNUMBER(FIND(SUBSTITUTE(SUBSTITUTE(UPPER(#REF!)," ",""),":",": "),SUBSTITUTE(SUBSTITUTE(UPPER(S2224)," ",""),":",": "))),0)),"Não encontrado")</f>
        <v>Não encontrado</v>
      </c>
      <c r="D2224" s="46" t="str" cm="1">
        <f t="array" ref="D2224">IFERROR(INDEX(#REF!,MATCH(TRUE,ISNUMBER(FIND(SUBSTITUTE(SUBSTITUTE(UPPER(#REF!)," ",""),":",": "),SUBSTITUTE(SUBSTITUTE(UPPER(S2224)," ",""),":",": "))),0)),"Não encontrado")</f>
        <v>Não encontrado</v>
      </c>
      <c r="E2224" s="42" t="str" cm="1">
        <f t="array" ref="E2224">IFERROR(INDEX({"IMPEDITIVO"},MATCH(TRUE,ISNUMBER(FIND(SUBSTITUTE(SUBSTITUTE(UPPER({"IMPEDITIVO"})," ",""),":",": "),SUBSTITUTE(SUBSTITUTE(UPPER(S2224)," ",""),":",": "))),0)),"-")</f>
        <v>-</v>
      </c>
      <c r="K2224" s="49"/>
    </row>
    <row r="2225" spans="1:11" x14ac:dyDescent="0.25">
      <c r="A2225" s="46" t="str" cm="1">
        <f t="array" ref="A2225">IFERROR(INDEX(#REF!,MATCH(TRUE,ISNUMBER(FIND(SUBSTITUTE(SUBSTITUTE(UPPER(#REF!)," ",""),":",": "),SUBSTITUTE(SUBSTITUTE(UPPER(S2225)," ",""),":",": "))),0)),"Undefined")</f>
        <v>Undefined</v>
      </c>
      <c r="B2225" s="42" t="str" cm="1">
        <f t="array" ref="B2225">IFERROR(INDEX({"URGENTE"},MATCH(TRUE,ISNUMBER(FIND(SUBSTITUTE(SUBSTITUTE(UPPER({"URGENTE"})," ",""),":",": "),SUBSTITUTE(SUBSTITUTE(UPPER(S2225)," ",""),":",": "))),0)),"-")</f>
        <v>-</v>
      </c>
      <c r="C2225" s="46" t="str" cm="1">
        <f t="array" ref="C2225">IFERROR(INDEX(#REF!,MATCH(TRUE,ISNUMBER(FIND(SUBSTITUTE(SUBSTITUTE(UPPER(#REF!)," ",""),":",": "),SUBSTITUTE(SUBSTITUTE(UPPER(S2225)," ",""),":",": "))),0)),"Não encontrado")</f>
        <v>Não encontrado</v>
      </c>
      <c r="D2225" s="46" t="str" cm="1">
        <f t="array" ref="D2225">IFERROR(INDEX(#REF!,MATCH(TRUE,ISNUMBER(FIND(SUBSTITUTE(SUBSTITUTE(UPPER(#REF!)," ",""),":",": "),SUBSTITUTE(SUBSTITUTE(UPPER(S2225)," ",""),":",": "))),0)),"Não encontrado")</f>
        <v>Não encontrado</v>
      </c>
      <c r="E2225" s="42" t="str" cm="1">
        <f t="array" ref="E2225">IFERROR(INDEX({"IMPEDITIVO"},MATCH(TRUE,ISNUMBER(FIND(SUBSTITUTE(SUBSTITUTE(UPPER({"IMPEDITIVO"})," ",""),":",": "),SUBSTITUTE(SUBSTITUTE(UPPER(S2225)," ",""),":",": "))),0)),"-")</f>
        <v>-</v>
      </c>
      <c r="K2225" s="49"/>
    </row>
    <row r="2226" spans="1:11" x14ac:dyDescent="0.25">
      <c r="A2226" s="46" t="str" cm="1">
        <f t="array" ref="A2226">IFERROR(INDEX(#REF!,MATCH(TRUE,ISNUMBER(FIND(SUBSTITUTE(SUBSTITUTE(UPPER(#REF!)," ",""),":",": "),SUBSTITUTE(SUBSTITUTE(UPPER(S2226)," ",""),":",": "))),0)),"Undefined")</f>
        <v>Undefined</v>
      </c>
      <c r="B2226" s="42" t="str" cm="1">
        <f t="array" ref="B2226">IFERROR(INDEX({"URGENTE"},MATCH(TRUE,ISNUMBER(FIND(SUBSTITUTE(SUBSTITUTE(UPPER({"URGENTE"})," ",""),":",": "),SUBSTITUTE(SUBSTITUTE(UPPER(S2226)," ",""),":",": "))),0)),"-")</f>
        <v>-</v>
      </c>
      <c r="C2226" s="46" t="str" cm="1">
        <f t="array" ref="C2226">IFERROR(INDEX(#REF!,MATCH(TRUE,ISNUMBER(FIND(SUBSTITUTE(SUBSTITUTE(UPPER(#REF!)," ",""),":",": "),SUBSTITUTE(SUBSTITUTE(UPPER(S2226)," ",""),":",": "))),0)),"Não encontrado")</f>
        <v>Não encontrado</v>
      </c>
      <c r="D2226" s="46" t="str" cm="1">
        <f t="array" ref="D2226">IFERROR(INDEX(#REF!,MATCH(TRUE,ISNUMBER(FIND(SUBSTITUTE(SUBSTITUTE(UPPER(#REF!)," ",""),":",": "),SUBSTITUTE(SUBSTITUTE(UPPER(S2226)," ",""),":",": "))),0)),"Não encontrado")</f>
        <v>Não encontrado</v>
      </c>
      <c r="E2226" s="42" t="str" cm="1">
        <f t="array" ref="E2226">IFERROR(INDEX({"IMPEDITIVO"},MATCH(TRUE,ISNUMBER(FIND(SUBSTITUTE(SUBSTITUTE(UPPER({"IMPEDITIVO"})," ",""),":",": "),SUBSTITUTE(SUBSTITUTE(UPPER(S2226)," ",""),":",": "))),0)),"-")</f>
        <v>-</v>
      </c>
      <c r="K2226" s="49"/>
    </row>
    <row r="2227" spans="1:11" x14ac:dyDescent="0.25">
      <c r="A2227" s="46" t="str" cm="1">
        <f t="array" ref="A2227">IFERROR(INDEX(#REF!,MATCH(TRUE,ISNUMBER(FIND(SUBSTITUTE(SUBSTITUTE(UPPER(#REF!)," ",""),":",": "),SUBSTITUTE(SUBSTITUTE(UPPER(S2227)," ",""),":",": "))),0)),"Undefined")</f>
        <v>Undefined</v>
      </c>
      <c r="B2227" s="42" t="str" cm="1">
        <f t="array" ref="B2227">IFERROR(INDEX({"URGENTE"},MATCH(TRUE,ISNUMBER(FIND(SUBSTITUTE(SUBSTITUTE(UPPER({"URGENTE"})," ",""),":",": "),SUBSTITUTE(SUBSTITUTE(UPPER(S2227)," ",""),":",": "))),0)),"-")</f>
        <v>-</v>
      </c>
      <c r="C2227" s="46" t="str" cm="1">
        <f t="array" ref="C2227">IFERROR(INDEX(#REF!,MATCH(TRUE,ISNUMBER(FIND(SUBSTITUTE(SUBSTITUTE(UPPER(#REF!)," ",""),":",": "),SUBSTITUTE(SUBSTITUTE(UPPER(S2227)," ",""),":",": "))),0)),"Não encontrado")</f>
        <v>Não encontrado</v>
      </c>
      <c r="D2227" s="46" t="str" cm="1">
        <f t="array" ref="D2227">IFERROR(INDEX(#REF!,MATCH(TRUE,ISNUMBER(FIND(SUBSTITUTE(SUBSTITUTE(UPPER(#REF!)," ",""),":",": "),SUBSTITUTE(SUBSTITUTE(UPPER(S2227)," ",""),":",": "))),0)),"Não encontrado")</f>
        <v>Não encontrado</v>
      </c>
      <c r="E2227" s="42" t="str" cm="1">
        <f t="array" ref="E2227">IFERROR(INDEX({"IMPEDITIVO"},MATCH(TRUE,ISNUMBER(FIND(SUBSTITUTE(SUBSTITUTE(UPPER({"IMPEDITIVO"})," ",""),":",": "),SUBSTITUTE(SUBSTITUTE(UPPER(S2227)," ",""),":",": "))),0)),"-")</f>
        <v>-</v>
      </c>
      <c r="K2227" s="49"/>
    </row>
    <row r="2228" spans="1:11" x14ac:dyDescent="0.25">
      <c r="A2228" s="46" t="str" cm="1">
        <f t="array" ref="A2228">IFERROR(INDEX(#REF!,MATCH(TRUE,ISNUMBER(FIND(SUBSTITUTE(SUBSTITUTE(UPPER(#REF!)," ",""),":",": "),SUBSTITUTE(SUBSTITUTE(UPPER(S2228)," ",""),":",": "))),0)),"Undefined")</f>
        <v>Undefined</v>
      </c>
      <c r="B2228" s="42" t="str" cm="1">
        <f t="array" ref="B2228">IFERROR(INDEX({"URGENTE"},MATCH(TRUE,ISNUMBER(FIND(SUBSTITUTE(SUBSTITUTE(UPPER({"URGENTE"})," ",""),":",": "),SUBSTITUTE(SUBSTITUTE(UPPER(S2228)," ",""),":",": "))),0)),"-")</f>
        <v>-</v>
      </c>
      <c r="C2228" s="46" t="str" cm="1">
        <f t="array" ref="C2228">IFERROR(INDEX(#REF!,MATCH(TRUE,ISNUMBER(FIND(SUBSTITUTE(SUBSTITUTE(UPPER(#REF!)," ",""),":",": "),SUBSTITUTE(SUBSTITUTE(UPPER(S2228)," ",""),":",": "))),0)),"Não encontrado")</f>
        <v>Não encontrado</v>
      </c>
      <c r="D2228" s="46" t="str" cm="1">
        <f t="array" ref="D2228">IFERROR(INDEX(#REF!,MATCH(TRUE,ISNUMBER(FIND(SUBSTITUTE(SUBSTITUTE(UPPER(#REF!)," ",""),":",": "),SUBSTITUTE(SUBSTITUTE(UPPER(S2228)," ",""),":",": "))),0)),"Não encontrado")</f>
        <v>Não encontrado</v>
      </c>
      <c r="E2228" s="42" t="str" cm="1">
        <f t="array" ref="E2228">IFERROR(INDEX({"IMPEDITIVO"},MATCH(TRUE,ISNUMBER(FIND(SUBSTITUTE(SUBSTITUTE(UPPER({"IMPEDITIVO"})," ",""),":",": "),SUBSTITUTE(SUBSTITUTE(UPPER(S2228)," ",""),":",": "))),0)),"-")</f>
        <v>-</v>
      </c>
      <c r="K2228" s="49"/>
    </row>
    <row r="2229" spans="1:11" x14ac:dyDescent="0.25">
      <c r="A2229" s="46" t="str" cm="1">
        <f t="array" ref="A2229">IFERROR(INDEX(#REF!,MATCH(TRUE,ISNUMBER(FIND(SUBSTITUTE(SUBSTITUTE(UPPER(#REF!)," ",""),":",": "),SUBSTITUTE(SUBSTITUTE(UPPER(S2229)," ",""),":",": "))),0)),"Undefined")</f>
        <v>Undefined</v>
      </c>
      <c r="B2229" s="42" t="str" cm="1">
        <f t="array" ref="B2229">IFERROR(INDEX({"URGENTE"},MATCH(TRUE,ISNUMBER(FIND(SUBSTITUTE(SUBSTITUTE(UPPER({"URGENTE"})," ",""),":",": "),SUBSTITUTE(SUBSTITUTE(UPPER(S2229)," ",""),":",": "))),0)),"-")</f>
        <v>-</v>
      </c>
      <c r="C2229" s="46" t="str" cm="1">
        <f t="array" ref="C2229">IFERROR(INDEX(#REF!,MATCH(TRUE,ISNUMBER(FIND(SUBSTITUTE(SUBSTITUTE(UPPER(#REF!)," ",""),":",": "),SUBSTITUTE(SUBSTITUTE(UPPER(S2229)," ",""),":",": "))),0)),"Não encontrado")</f>
        <v>Não encontrado</v>
      </c>
      <c r="D2229" s="46" t="str" cm="1">
        <f t="array" ref="D2229">IFERROR(INDEX(#REF!,MATCH(TRUE,ISNUMBER(FIND(SUBSTITUTE(SUBSTITUTE(UPPER(#REF!)," ",""),":",": "),SUBSTITUTE(SUBSTITUTE(UPPER(S2229)," ",""),":",": "))),0)),"Não encontrado")</f>
        <v>Não encontrado</v>
      </c>
      <c r="E2229" s="42" t="str" cm="1">
        <f t="array" ref="E2229">IFERROR(INDEX({"IMPEDITIVO"},MATCH(TRUE,ISNUMBER(FIND(SUBSTITUTE(SUBSTITUTE(UPPER({"IMPEDITIVO"})," ",""),":",": "),SUBSTITUTE(SUBSTITUTE(UPPER(S2229)," ",""),":",": "))),0)),"-")</f>
        <v>-</v>
      </c>
      <c r="K2229" s="49"/>
    </row>
    <row r="2230" spans="1:11" x14ac:dyDescent="0.25">
      <c r="A2230" s="46" t="str" cm="1">
        <f t="array" ref="A2230">IFERROR(INDEX(#REF!,MATCH(TRUE,ISNUMBER(FIND(SUBSTITUTE(SUBSTITUTE(UPPER(#REF!)," ",""),":",": "),SUBSTITUTE(SUBSTITUTE(UPPER(S2230)," ",""),":",": "))),0)),"Undefined")</f>
        <v>Undefined</v>
      </c>
      <c r="B2230" s="42" t="str" cm="1">
        <f t="array" ref="B2230">IFERROR(INDEX({"URGENTE"},MATCH(TRUE,ISNUMBER(FIND(SUBSTITUTE(SUBSTITUTE(UPPER({"URGENTE"})," ",""),":",": "),SUBSTITUTE(SUBSTITUTE(UPPER(S2230)," ",""),":",": "))),0)),"-")</f>
        <v>-</v>
      </c>
      <c r="C2230" s="46" t="str" cm="1">
        <f t="array" ref="C2230">IFERROR(INDEX(#REF!,MATCH(TRUE,ISNUMBER(FIND(SUBSTITUTE(SUBSTITUTE(UPPER(#REF!)," ",""),":",": "),SUBSTITUTE(SUBSTITUTE(UPPER(S2230)," ",""),":",": "))),0)),"Não encontrado")</f>
        <v>Não encontrado</v>
      </c>
      <c r="D2230" s="46" t="str" cm="1">
        <f t="array" ref="D2230">IFERROR(INDEX(#REF!,MATCH(TRUE,ISNUMBER(FIND(SUBSTITUTE(SUBSTITUTE(UPPER(#REF!)," ",""),":",": "),SUBSTITUTE(SUBSTITUTE(UPPER(S2230)," ",""),":",": "))),0)),"Não encontrado")</f>
        <v>Não encontrado</v>
      </c>
      <c r="E2230" s="42" t="str" cm="1">
        <f t="array" ref="E2230">IFERROR(INDEX({"IMPEDITIVO"},MATCH(TRUE,ISNUMBER(FIND(SUBSTITUTE(SUBSTITUTE(UPPER({"IMPEDITIVO"})," ",""),":",": "),SUBSTITUTE(SUBSTITUTE(UPPER(S2230)," ",""),":",": "))),0)),"-")</f>
        <v>-</v>
      </c>
      <c r="K2230" s="49"/>
    </row>
    <row r="2231" spans="1:11" x14ac:dyDescent="0.25">
      <c r="A2231" s="46" t="str" cm="1">
        <f t="array" ref="A2231">IFERROR(INDEX(#REF!,MATCH(TRUE,ISNUMBER(FIND(SUBSTITUTE(SUBSTITUTE(UPPER(#REF!)," ",""),":",": "),SUBSTITUTE(SUBSTITUTE(UPPER(S2231)," ",""),":",": "))),0)),"Undefined")</f>
        <v>Undefined</v>
      </c>
      <c r="B2231" s="42" t="str" cm="1">
        <f t="array" ref="B2231">IFERROR(INDEX({"URGENTE"},MATCH(TRUE,ISNUMBER(FIND(SUBSTITUTE(SUBSTITUTE(UPPER({"URGENTE"})," ",""),":",": "),SUBSTITUTE(SUBSTITUTE(UPPER(S2231)," ",""),":",": "))),0)),"-")</f>
        <v>-</v>
      </c>
      <c r="C2231" s="46" t="str" cm="1">
        <f t="array" ref="C2231">IFERROR(INDEX(#REF!,MATCH(TRUE,ISNUMBER(FIND(SUBSTITUTE(SUBSTITUTE(UPPER(#REF!)," ",""),":",": "),SUBSTITUTE(SUBSTITUTE(UPPER(S2231)," ",""),":",": "))),0)),"Não encontrado")</f>
        <v>Não encontrado</v>
      </c>
      <c r="D2231" s="46" t="str" cm="1">
        <f t="array" ref="D2231">IFERROR(INDEX(#REF!,MATCH(TRUE,ISNUMBER(FIND(SUBSTITUTE(SUBSTITUTE(UPPER(#REF!)," ",""),":",": "),SUBSTITUTE(SUBSTITUTE(UPPER(S2231)," ",""),":",": "))),0)),"Não encontrado")</f>
        <v>Não encontrado</v>
      </c>
      <c r="E2231" s="42" t="str" cm="1">
        <f t="array" ref="E2231">IFERROR(INDEX({"IMPEDITIVO"},MATCH(TRUE,ISNUMBER(FIND(SUBSTITUTE(SUBSTITUTE(UPPER({"IMPEDITIVO"})," ",""),":",": "),SUBSTITUTE(SUBSTITUTE(UPPER(S2231)," ",""),":",": "))),0)),"-")</f>
        <v>-</v>
      </c>
      <c r="K2231" s="49"/>
    </row>
    <row r="2232" spans="1:11" x14ac:dyDescent="0.25">
      <c r="A2232" s="46" t="str" cm="1">
        <f t="array" ref="A2232">IFERROR(INDEX(#REF!,MATCH(TRUE,ISNUMBER(FIND(SUBSTITUTE(SUBSTITUTE(UPPER(#REF!)," ",""),":",": "),SUBSTITUTE(SUBSTITUTE(UPPER(S2232)," ",""),":",": "))),0)),"Undefined")</f>
        <v>Undefined</v>
      </c>
      <c r="B2232" s="42" t="str" cm="1">
        <f t="array" ref="B2232">IFERROR(INDEX({"URGENTE"},MATCH(TRUE,ISNUMBER(FIND(SUBSTITUTE(SUBSTITUTE(UPPER({"URGENTE"})," ",""),":",": "),SUBSTITUTE(SUBSTITUTE(UPPER(S2232)," ",""),":",": "))),0)),"-")</f>
        <v>-</v>
      </c>
      <c r="C2232" s="46" t="str" cm="1">
        <f t="array" ref="C2232">IFERROR(INDEX(#REF!,MATCH(TRUE,ISNUMBER(FIND(SUBSTITUTE(SUBSTITUTE(UPPER(#REF!)," ",""),":",": "),SUBSTITUTE(SUBSTITUTE(UPPER(S2232)," ",""),":",": "))),0)),"Não encontrado")</f>
        <v>Não encontrado</v>
      </c>
      <c r="D2232" s="46" t="str" cm="1">
        <f t="array" ref="D2232">IFERROR(INDEX(#REF!,MATCH(TRUE,ISNUMBER(FIND(SUBSTITUTE(SUBSTITUTE(UPPER(#REF!)," ",""),":",": "),SUBSTITUTE(SUBSTITUTE(UPPER(S2232)," ",""),":",": "))),0)),"Não encontrado")</f>
        <v>Não encontrado</v>
      </c>
      <c r="E2232" s="42" t="str" cm="1">
        <f t="array" ref="E2232">IFERROR(INDEX({"IMPEDITIVO"},MATCH(TRUE,ISNUMBER(FIND(SUBSTITUTE(SUBSTITUTE(UPPER({"IMPEDITIVO"})," ",""),":",": "),SUBSTITUTE(SUBSTITUTE(UPPER(S2232)," ",""),":",": "))),0)),"-")</f>
        <v>-</v>
      </c>
      <c r="K2232" s="49"/>
    </row>
    <row r="2233" spans="1:11" x14ac:dyDescent="0.25">
      <c r="A2233" s="46" t="str" cm="1">
        <f t="array" ref="A2233">IFERROR(INDEX(#REF!,MATCH(TRUE,ISNUMBER(FIND(SUBSTITUTE(SUBSTITUTE(UPPER(#REF!)," ",""),":",": "),SUBSTITUTE(SUBSTITUTE(UPPER(S2233)," ",""),":",": "))),0)),"Undefined")</f>
        <v>Undefined</v>
      </c>
      <c r="B2233" s="42" t="str" cm="1">
        <f t="array" ref="B2233">IFERROR(INDEX({"URGENTE"},MATCH(TRUE,ISNUMBER(FIND(SUBSTITUTE(SUBSTITUTE(UPPER({"URGENTE"})," ",""),":",": "),SUBSTITUTE(SUBSTITUTE(UPPER(S2233)," ",""),":",": "))),0)),"-")</f>
        <v>-</v>
      </c>
      <c r="C2233" s="46" t="str" cm="1">
        <f t="array" ref="C2233">IFERROR(INDEX(#REF!,MATCH(TRUE,ISNUMBER(FIND(SUBSTITUTE(SUBSTITUTE(UPPER(#REF!)," ",""),":",": "),SUBSTITUTE(SUBSTITUTE(UPPER(S2233)," ",""),":",": "))),0)),"Não encontrado")</f>
        <v>Não encontrado</v>
      </c>
      <c r="D2233" s="46" t="str" cm="1">
        <f t="array" ref="D2233">IFERROR(INDEX(#REF!,MATCH(TRUE,ISNUMBER(FIND(SUBSTITUTE(SUBSTITUTE(UPPER(#REF!)," ",""),":",": "),SUBSTITUTE(SUBSTITUTE(UPPER(S2233)," ",""),":",": "))),0)),"Não encontrado")</f>
        <v>Não encontrado</v>
      </c>
      <c r="E2233" s="42" t="str" cm="1">
        <f t="array" ref="E2233">IFERROR(INDEX({"IMPEDITIVO"},MATCH(TRUE,ISNUMBER(FIND(SUBSTITUTE(SUBSTITUTE(UPPER({"IMPEDITIVO"})," ",""),":",": "),SUBSTITUTE(SUBSTITUTE(UPPER(S2233)," ",""),":",": "))),0)),"-")</f>
        <v>-</v>
      </c>
      <c r="K2233" s="49"/>
    </row>
    <row r="2234" spans="1:11" x14ac:dyDescent="0.25">
      <c r="A2234" s="46" t="str" cm="1">
        <f t="array" ref="A2234">IFERROR(INDEX(#REF!,MATCH(TRUE,ISNUMBER(FIND(SUBSTITUTE(SUBSTITUTE(UPPER(#REF!)," ",""),":",": "),SUBSTITUTE(SUBSTITUTE(UPPER(S2234)," ",""),":",": "))),0)),"Undefined")</f>
        <v>Undefined</v>
      </c>
      <c r="B2234" s="42" t="str" cm="1">
        <f t="array" ref="B2234">IFERROR(INDEX({"URGENTE"},MATCH(TRUE,ISNUMBER(FIND(SUBSTITUTE(SUBSTITUTE(UPPER({"URGENTE"})," ",""),":",": "),SUBSTITUTE(SUBSTITUTE(UPPER(S2234)," ",""),":",": "))),0)),"-")</f>
        <v>-</v>
      </c>
      <c r="C2234" s="46" t="str" cm="1">
        <f t="array" ref="C2234">IFERROR(INDEX(#REF!,MATCH(TRUE,ISNUMBER(FIND(SUBSTITUTE(SUBSTITUTE(UPPER(#REF!)," ",""),":",": "),SUBSTITUTE(SUBSTITUTE(UPPER(S2234)," ",""),":",": "))),0)),"Não encontrado")</f>
        <v>Não encontrado</v>
      </c>
      <c r="D2234" s="46" t="str" cm="1">
        <f t="array" ref="D2234">IFERROR(INDEX(#REF!,MATCH(TRUE,ISNUMBER(FIND(SUBSTITUTE(SUBSTITUTE(UPPER(#REF!)," ",""),":",": "),SUBSTITUTE(SUBSTITUTE(UPPER(S2234)," ",""),":",": "))),0)),"Não encontrado")</f>
        <v>Não encontrado</v>
      </c>
      <c r="E2234" s="42" t="str" cm="1">
        <f t="array" ref="E2234">IFERROR(INDEX({"IMPEDITIVO"},MATCH(TRUE,ISNUMBER(FIND(SUBSTITUTE(SUBSTITUTE(UPPER({"IMPEDITIVO"})," ",""),":",": "),SUBSTITUTE(SUBSTITUTE(UPPER(S2234)," ",""),":",": "))),0)),"-")</f>
        <v>-</v>
      </c>
      <c r="K2234" s="49"/>
    </row>
    <row r="2235" spans="1:11" x14ac:dyDescent="0.25">
      <c r="A2235" s="46" t="str" cm="1">
        <f t="array" ref="A2235">IFERROR(INDEX(#REF!,MATCH(TRUE,ISNUMBER(FIND(SUBSTITUTE(SUBSTITUTE(UPPER(#REF!)," ",""),":",": "),SUBSTITUTE(SUBSTITUTE(UPPER(S2235)," ",""),":",": "))),0)),"Undefined")</f>
        <v>Undefined</v>
      </c>
      <c r="B2235" s="42" t="str" cm="1">
        <f t="array" ref="B2235">IFERROR(INDEX({"URGENTE"},MATCH(TRUE,ISNUMBER(FIND(SUBSTITUTE(SUBSTITUTE(UPPER({"URGENTE"})," ",""),":",": "),SUBSTITUTE(SUBSTITUTE(UPPER(S2235)," ",""),":",": "))),0)),"-")</f>
        <v>-</v>
      </c>
      <c r="C2235" s="46" t="str" cm="1">
        <f t="array" ref="C2235">IFERROR(INDEX(#REF!,MATCH(TRUE,ISNUMBER(FIND(SUBSTITUTE(SUBSTITUTE(UPPER(#REF!)," ",""),":",": "),SUBSTITUTE(SUBSTITUTE(UPPER(S2235)," ",""),":",": "))),0)),"Não encontrado")</f>
        <v>Não encontrado</v>
      </c>
      <c r="D2235" s="46" t="str" cm="1">
        <f t="array" ref="D2235">IFERROR(INDEX(#REF!,MATCH(TRUE,ISNUMBER(FIND(SUBSTITUTE(SUBSTITUTE(UPPER(#REF!)," ",""),":",": "),SUBSTITUTE(SUBSTITUTE(UPPER(S2235)," ",""),":",": "))),0)),"Não encontrado")</f>
        <v>Não encontrado</v>
      </c>
      <c r="E2235" s="42" t="str" cm="1">
        <f t="array" ref="E2235">IFERROR(INDEX({"IMPEDITIVO"},MATCH(TRUE,ISNUMBER(FIND(SUBSTITUTE(SUBSTITUTE(UPPER({"IMPEDITIVO"})," ",""),":",": "),SUBSTITUTE(SUBSTITUTE(UPPER(S2235)," ",""),":",": "))),0)),"-")</f>
        <v>-</v>
      </c>
      <c r="K2235" s="49"/>
    </row>
    <row r="2236" spans="1:11" x14ac:dyDescent="0.25">
      <c r="A2236" s="46" t="str" cm="1">
        <f t="array" ref="A2236">IFERROR(INDEX(#REF!,MATCH(TRUE,ISNUMBER(FIND(SUBSTITUTE(SUBSTITUTE(UPPER(#REF!)," ",""),":",": "),SUBSTITUTE(SUBSTITUTE(UPPER(S2236)," ",""),":",": "))),0)),"Undefined")</f>
        <v>Undefined</v>
      </c>
      <c r="B2236" s="42" t="str" cm="1">
        <f t="array" ref="B2236">IFERROR(INDEX({"URGENTE"},MATCH(TRUE,ISNUMBER(FIND(SUBSTITUTE(SUBSTITUTE(UPPER({"URGENTE"})," ",""),":",": "),SUBSTITUTE(SUBSTITUTE(UPPER(S2236)," ",""),":",": "))),0)),"-")</f>
        <v>-</v>
      </c>
      <c r="C2236" s="46" t="str" cm="1">
        <f t="array" ref="C2236">IFERROR(INDEX(#REF!,MATCH(TRUE,ISNUMBER(FIND(SUBSTITUTE(SUBSTITUTE(UPPER(#REF!)," ",""),":",": "),SUBSTITUTE(SUBSTITUTE(UPPER(S2236)," ",""),":",": "))),0)),"Não encontrado")</f>
        <v>Não encontrado</v>
      </c>
      <c r="D2236" s="46" t="str" cm="1">
        <f t="array" ref="D2236">IFERROR(INDEX(#REF!,MATCH(TRUE,ISNUMBER(FIND(SUBSTITUTE(SUBSTITUTE(UPPER(#REF!)," ",""),":",": "),SUBSTITUTE(SUBSTITUTE(UPPER(S2236)," ",""),":",": "))),0)),"Não encontrado")</f>
        <v>Não encontrado</v>
      </c>
      <c r="E2236" s="42" t="str" cm="1">
        <f t="array" ref="E2236">IFERROR(INDEX({"IMPEDITIVO"},MATCH(TRUE,ISNUMBER(FIND(SUBSTITUTE(SUBSTITUTE(UPPER({"IMPEDITIVO"})," ",""),":",": "),SUBSTITUTE(SUBSTITUTE(UPPER(S2236)," ",""),":",": "))),0)),"-")</f>
        <v>-</v>
      </c>
      <c r="K2236" s="49"/>
    </row>
    <row r="2237" spans="1:11" x14ac:dyDescent="0.25">
      <c r="A2237" s="46" t="str" cm="1">
        <f t="array" ref="A2237">IFERROR(INDEX(#REF!,MATCH(TRUE,ISNUMBER(FIND(SUBSTITUTE(SUBSTITUTE(UPPER(#REF!)," ",""),":",": "),SUBSTITUTE(SUBSTITUTE(UPPER(S2237)," ",""),":",": "))),0)),"Undefined")</f>
        <v>Undefined</v>
      </c>
      <c r="B2237" s="42" t="str" cm="1">
        <f t="array" ref="B2237">IFERROR(INDEX({"URGENTE"},MATCH(TRUE,ISNUMBER(FIND(SUBSTITUTE(SUBSTITUTE(UPPER({"URGENTE"})," ",""),":",": "),SUBSTITUTE(SUBSTITUTE(UPPER(S2237)," ",""),":",": "))),0)),"-")</f>
        <v>-</v>
      </c>
      <c r="C2237" s="46" t="str" cm="1">
        <f t="array" ref="C2237">IFERROR(INDEX(#REF!,MATCH(TRUE,ISNUMBER(FIND(SUBSTITUTE(SUBSTITUTE(UPPER(#REF!)," ",""),":",": "),SUBSTITUTE(SUBSTITUTE(UPPER(S2237)," ",""),":",": "))),0)),"Não encontrado")</f>
        <v>Não encontrado</v>
      </c>
      <c r="D2237" s="46" t="str" cm="1">
        <f t="array" ref="D2237">IFERROR(INDEX(#REF!,MATCH(TRUE,ISNUMBER(FIND(SUBSTITUTE(SUBSTITUTE(UPPER(#REF!)," ",""),":",": "),SUBSTITUTE(SUBSTITUTE(UPPER(S2237)," ",""),":",": "))),0)),"Não encontrado")</f>
        <v>Não encontrado</v>
      </c>
      <c r="E2237" s="42" t="str" cm="1">
        <f t="array" ref="E2237">IFERROR(INDEX({"IMPEDITIVO"},MATCH(TRUE,ISNUMBER(FIND(SUBSTITUTE(SUBSTITUTE(UPPER({"IMPEDITIVO"})," ",""),":",": "),SUBSTITUTE(SUBSTITUTE(UPPER(S2237)," ",""),":",": "))),0)),"-")</f>
        <v>-</v>
      </c>
      <c r="K2237" s="49"/>
    </row>
    <row r="2238" spans="1:11" x14ac:dyDescent="0.25">
      <c r="A2238" s="46" t="str" cm="1">
        <f t="array" ref="A2238">IFERROR(INDEX(#REF!,MATCH(TRUE,ISNUMBER(FIND(SUBSTITUTE(SUBSTITUTE(UPPER(#REF!)," ",""),":",": "),SUBSTITUTE(SUBSTITUTE(UPPER(S2238)," ",""),":",": "))),0)),"Undefined")</f>
        <v>Undefined</v>
      </c>
      <c r="B2238" s="42" t="str" cm="1">
        <f t="array" ref="B2238">IFERROR(INDEX({"URGENTE"},MATCH(TRUE,ISNUMBER(FIND(SUBSTITUTE(SUBSTITUTE(UPPER({"URGENTE"})," ",""),":",": "),SUBSTITUTE(SUBSTITUTE(UPPER(S2238)," ",""),":",": "))),0)),"-")</f>
        <v>-</v>
      </c>
      <c r="C2238" s="46" t="str" cm="1">
        <f t="array" ref="C2238">IFERROR(INDEX(#REF!,MATCH(TRUE,ISNUMBER(FIND(SUBSTITUTE(SUBSTITUTE(UPPER(#REF!)," ",""),":",": "),SUBSTITUTE(SUBSTITUTE(UPPER(S2238)," ",""),":",": "))),0)),"Não encontrado")</f>
        <v>Não encontrado</v>
      </c>
      <c r="D2238" s="46" t="str" cm="1">
        <f t="array" ref="D2238">IFERROR(INDEX(#REF!,MATCH(TRUE,ISNUMBER(FIND(SUBSTITUTE(SUBSTITUTE(UPPER(#REF!)," ",""),":",": "),SUBSTITUTE(SUBSTITUTE(UPPER(S2238)," ",""),":",": "))),0)),"Não encontrado")</f>
        <v>Não encontrado</v>
      </c>
      <c r="E2238" s="42" t="str" cm="1">
        <f t="array" ref="E2238">IFERROR(INDEX({"IMPEDITIVO"},MATCH(TRUE,ISNUMBER(FIND(SUBSTITUTE(SUBSTITUTE(UPPER({"IMPEDITIVO"})," ",""),":",": "),SUBSTITUTE(SUBSTITUTE(UPPER(S2238)," ",""),":",": "))),0)),"-")</f>
        <v>-</v>
      </c>
      <c r="K2238" s="49"/>
    </row>
    <row r="2239" spans="1:11" x14ac:dyDescent="0.25">
      <c r="A2239" s="46" t="str" cm="1">
        <f t="array" ref="A2239">IFERROR(INDEX(#REF!,MATCH(TRUE,ISNUMBER(FIND(SUBSTITUTE(SUBSTITUTE(UPPER(#REF!)," ",""),":",": "),SUBSTITUTE(SUBSTITUTE(UPPER(S2239)," ",""),":",": "))),0)),"Undefined")</f>
        <v>Undefined</v>
      </c>
      <c r="B2239" s="42" t="str" cm="1">
        <f t="array" ref="B2239">IFERROR(INDEX({"URGENTE"},MATCH(TRUE,ISNUMBER(FIND(SUBSTITUTE(SUBSTITUTE(UPPER({"URGENTE"})," ",""),":",": "),SUBSTITUTE(SUBSTITUTE(UPPER(S2239)," ",""),":",": "))),0)),"-")</f>
        <v>-</v>
      </c>
      <c r="C2239" s="46" t="str" cm="1">
        <f t="array" ref="C2239">IFERROR(INDEX(#REF!,MATCH(TRUE,ISNUMBER(FIND(SUBSTITUTE(SUBSTITUTE(UPPER(#REF!)," ",""),":",": "),SUBSTITUTE(SUBSTITUTE(UPPER(S2239)," ",""),":",": "))),0)),"Não encontrado")</f>
        <v>Não encontrado</v>
      </c>
      <c r="D2239" s="46" t="str" cm="1">
        <f t="array" ref="D2239">IFERROR(INDEX(#REF!,MATCH(TRUE,ISNUMBER(FIND(SUBSTITUTE(SUBSTITUTE(UPPER(#REF!)," ",""),":",": "),SUBSTITUTE(SUBSTITUTE(UPPER(S2239)," ",""),":",": "))),0)),"Não encontrado")</f>
        <v>Não encontrado</v>
      </c>
      <c r="E2239" s="42" t="str" cm="1">
        <f t="array" ref="E2239">IFERROR(INDEX({"IMPEDITIVO"},MATCH(TRUE,ISNUMBER(FIND(SUBSTITUTE(SUBSTITUTE(UPPER({"IMPEDITIVO"})," ",""),":",": "),SUBSTITUTE(SUBSTITUTE(UPPER(S2239)," ",""),":",": "))),0)),"-")</f>
        <v>-</v>
      </c>
      <c r="K2239" s="49"/>
    </row>
    <row r="2240" spans="1:11" x14ac:dyDescent="0.25">
      <c r="A2240" s="46" t="str" cm="1">
        <f t="array" ref="A2240">IFERROR(INDEX(#REF!,MATCH(TRUE,ISNUMBER(FIND(SUBSTITUTE(SUBSTITUTE(UPPER(#REF!)," ",""),":",": "),SUBSTITUTE(SUBSTITUTE(UPPER(S2240)," ",""),":",": "))),0)),"Undefined")</f>
        <v>Undefined</v>
      </c>
      <c r="B2240" s="42" t="str" cm="1">
        <f t="array" ref="B2240">IFERROR(INDEX({"URGENTE"},MATCH(TRUE,ISNUMBER(FIND(SUBSTITUTE(SUBSTITUTE(UPPER({"URGENTE"})," ",""),":",": "),SUBSTITUTE(SUBSTITUTE(UPPER(S2240)," ",""),":",": "))),0)),"-")</f>
        <v>-</v>
      </c>
      <c r="C2240" s="46" t="str" cm="1">
        <f t="array" ref="C2240">IFERROR(INDEX(#REF!,MATCH(TRUE,ISNUMBER(FIND(SUBSTITUTE(SUBSTITUTE(UPPER(#REF!)," ",""),":",": "),SUBSTITUTE(SUBSTITUTE(UPPER(S2240)," ",""),":",": "))),0)),"Não encontrado")</f>
        <v>Não encontrado</v>
      </c>
      <c r="D2240" s="46" t="str" cm="1">
        <f t="array" ref="D2240">IFERROR(INDEX(#REF!,MATCH(TRUE,ISNUMBER(FIND(SUBSTITUTE(SUBSTITUTE(UPPER(#REF!)," ",""),":",": "),SUBSTITUTE(SUBSTITUTE(UPPER(S2240)," ",""),":",": "))),0)),"Não encontrado")</f>
        <v>Não encontrado</v>
      </c>
      <c r="E2240" s="42" t="str" cm="1">
        <f t="array" ref="E2240">IFERROR(INDEX({"IMPEDITIVO"},MATCH(TRUE,ISNUMBER(FIND(SUBSTITUTE(SUBSTITUTE(UPPER({"IMPEDITIVO"})," ",""),":",": "),SUBSTITUTE(SUBSTITUTE(UPPER(S2240)," ",""),":",": "))),0)),"-")</f>
        <v>-</v>
      </c>
      <c r="K2240" s="49"/>
    </row>
    <row r="2241" spans="1:11" x14ac:dyDescent="0.25">
      <c r="A2241" s="46" t="str" cm="1">
        <f t="array" ref="A2241">IFERROR(INDEX(#REF!,MATCH(TRUE,ISNUMBER(FIND(SUBSTITUTE(SUBSTITUTE(UPPER(#REF!)," ",""),":",": "),SUBSTITUTE(SUBSTITUTE(UPPER(S2241)," ",""),":",": "))),0)),"Undefined")</f>
        <v>Undefined</v>
      </c>
      <c r="B2241" s="42" t="str" cm="1">
        <f t="array" ref="B2241">IFERROR(INDEX({"URGENTE"},MATCH(TRUE,ISNUMBER(FIND(SUBSTITUTE(SUBSTITUTE(UPPER({"URGENTE"})," ",""),":",": "),SUBSTITUTE(SUBSTITUTE(UPPER(S2241)," ",""),":",": "))),0)),"-")</f>
        <v>-</v>
      </c>
      <c r="C2241" s="46" t="str" cm="1">
        <f t="array" ref="C2241">IFERROR(INDEX(#REF!,MATCH(TRUE,ISNUMBER(FIND(SUBSTITUTE(SUBSTITUTE(UPPER(#REF!)," ",""),":",": "),SUBSTITUTE(SUBSTITUTE(UPPER(S2241)," ",""),":",": "))),0)),"Não encontrado")</f>
        <v>Não encontrado</v>
      </c>
      <c r="D2241" s="46" t="str" cm="1">
        <f t="array" ref="D2241">IFERROR(INDEX(#REF!,MATCH(TRUE,ISNUMBER(FIND(SUBSTITUTE(SUBSTITUTE(UPPER(#REF!)," ",""),":",": "),SUBSTITUTE(SUBSTITUTE(UPPER(S2241)," ",""),":",": "))),0)),"Não encontrado")</f>
        <v>Não encontrado</v>
      </c>
      <c r="E2241" s="42" t="str" cm="1">
        <f t="array" ref="E2241">IFERROR(INDEX({"IMPEDITIVO"},MATCH(TRUE,ISNUMBER(FIND(SUBSTITUTE(SUBSTITUTE(UPPER({"IMPEDITIVO"})," ",""),":",": "),SUBSTITUTE(SUBSTITUTE(UPPER(S2241)," ",""),":",": "))),0)),"-")</f>
        <v>-</v>
      </c>
      <c r="K2241" s="49"/>
    </row>
    <row r="2242" spans="1:11" x14ac:dyDescent="0.25">
      <c r="A2242" s="46" t="str" cm="1">
        <f t="array" ref="A2242">IFERROR(INDEX(#REF!,MATCH(TRUE,ISNUMBER(FIND(SUBSTITUTE(SUBSTITUTE(UPPER(#REF!)," ",""),":",": "),SUBSTITUTE(SUBSTITUTE(UPPER(S2242)," ",""),":",": "))),0)),"Undefined")</f>
        <v>Undefined</v>
      </c>
      <c r="B2242" s="42" t="str" cm="1">
        <f t="array" ref="B2242">IFERROR(INDEX({"URGENTE"},MATCH(TRUE,ISNUMBER(FIND(SUBSTITUTE(SUBSTITUTE(UPPER({"URGENTE"})," ",""),":",": "),SUBSTITUTE(SUBSTITUTE(UPPER(S2242)," ",""),":",": "))),0)),"-")</f>
        <v>-</v>
      </c>
      <c r="C2242" s="46" t="str" cm="1">
        <f t="array" ref="C2242">IFERROR(INDEX(#REF!,MATCH(TRUE,ISNUMBER(FIND(SUBSTITUTE(SUBSTITUTE(UPPER(#REF!)," ",""),":",": "),SUBSTITUTE(SUBSTITUTE(UPPER(S2242)," ",""),":",": "))),0)),"Não encontrado")</f>
        <v>Não encontrado</v>
      </c>
      <c r="D2242" s="46" t="str" cm="1">
        <f t="array" ref="D2242">IFERROR(INDEX(#REF!,MATCH(TRUE,ISNUMBER(FIND(SUBSTITUTE(SUBSTITUTE(UPPER(#REF!)," ",""),":",": "),SUBSTITUTE(SUBSTITUTE(UPPER(S2242)," ",""),":",": "))),0)),"Não encontrado")</f>
        <v>Não encontrado</v>
      </c>
      <c r="E2242" s="42" t="str" cm="1">
        <f t="array" ref="E2242">IFERROR(INDEX({"IMPEDITIVO"},MATCH(TRUE,ISNUMBER(FIND(SUBSTITUTE(SUBSTITUTE(UPPER({"IMPEDITIVO"})," ",""),":",": "),SUBSTITUTE(SUBSTITUTE(UPPER(S2242)," ",""),":",": "))),0)),"-")</f>
        <v>-</v>
      </c>
      <c r="K2242" s="49"/>
    </row>
    <row r="2243" spans="1:11" x14ac:dyDescent="0.25">
      <c r="A2243" s="46" t="str" cm="1">
        <f t="array" ref="A2243">IFERROR(INDEX(#REF!,MATCH(TRUE,ISNUMBER(FIND(SUBSTITUTE(SUBSTITUTE(UPPER(#REF!)," ",""),":",": "),SUBSTITUTE(SUBSTITUTE(UPPER(S2243)," ",""),":",": "))),0)),"Undefined")</f>
        <v>Undefined</v>
      </c>
      <c r="B2243" s="42" t="str" cm="1">
        <f t="array" ref="B2243">IFERROR(INDEX({"URGENTE"},MATCH(TRUE,ISNUMBER(FIND(SUBSTITUTE(SUBSTITUTE(UPPER({"URGENTE"})," ",""),":",": "),SUBSTITUTE(SUBSTITUTE(UPPER(S2243)," ",""),":",": "))),0)),"-")</f>
        <v>-</v>
      </c>
      <c r="C2243" s="46" t="str" cm="1">
        <f t="array" ref="C2243">IFERROR(INDEX(#REF!,MATCH(TRUE,ISNUMBER(FIND(SUBSTITUTE(SUBSTITUTE(UPPER(#REF!)," ",""),":",": "),SUBSTITUTE(SUBSTITUTE(UPPER(S2243)," ",""),":",": "))),0)),"Não encontrado")</f>
        <v>Não encontrado</v>
      </c>
      <c r="D2243" s="46" t="str" cm="1">
        <f t="array" ref="D2243">IFERROR(INDEX(#REF!,MATCH(TRUE,ISNUMBER(FIND(SUBSTITUTE(SUBSTITUTE(UPPER(#REF!)," ",""),":",": "),SUBSTITUTE(SUBSTITUTE(UPPER(S2243)," ",""),":",": "))),0)),"Não encontrado")</f>
        <v>Não encontrado</v>
      </c>
      <c r="E2243" s="42" t="str" cm="1">
        <f t="array" ref="E2243">IFERROR(INDEX({"IMPEDITIVO"},MATCH(TRUE,ISNUMBER(FIND(SUBSTITUTE(SUBSTITUTE(UPPER({"IMPEDITIVO"})," ",""),":",": "),SUBSTITUTE(SUBSTITUTE(UPPER(S2243)," ",""),":",": "))),0)),"-")</f>
        <v>-</v>
      </c>
      <c r="K2243" s="49"/>
    </row>
    <row r="2244" spans="1:11" x14ac:dyDescent="0.25">
      <c r="A2244" s="46" t="str" cm="1">
        <f t="array" ref="A2244">IFERROR(INDEX(#REF!,MATCH(TRUE,ISNUMBER(FIND(SUBSTITUTE(SUBSTITUTE(UPPER(#REF!)," ",""),":",": "),SUBSTITUTE(SUBSTITUTE(UPPER(S2244)," ",""),":",": "))),0)),"Undefined")</f>
        <v>Undefined</v>
      </c>
      <c r="B2244" s="42" t="str" cm="1">
        <f t="array" ref="B2244">IFERROR(INDEX({"URGENTE"},MATCH(TRUE,ISNUMBER(FIND(SUBSTITUTE(SUBSTITUTE(UPPER({"URGENTE"})," ",""),":",": "),SUBSTITUTE(SUBSTITUTE(UPPER(S2244)," ",""),":",": "))),0)),"-")</f>
        <v>-</v>
      </c>
      <c r="C2244" s="46" t="str" cm="1">
        <f t="array" ref="C2244">IFERROR(INDEX(#REF!,MATCH(TRUE,ISNUMBER(FIND(SUBSTITUTE(SUBSTITUTE(UPPER(#REF!)," ",""),":",": "),SUBSTITUTE(SUBSTITUTE(UPPER(S2244)," ",""),":",": "))),0)),"Não encontrado")</f>
        <v>Não encontrado</v>
      </c>
      <c r="D2244" s="46" t="str" cm="1">
        <f t="array" ref="D2244">IFERROR(INDEX(#REF!,MATCH(TRUE,ISNUMBER(FIND(SUBSTITUTE(SUBSTITUTE(UPPER(#REF!)," ",""),":",": "),SUBSTITUTE(SUBSTITUTE(UPPER(S2244)," ",""),":",": "))),0)),"Não encontrado")</f>
        <v>Não encontrado</v>
      </c>
      <c r="E2244" s="42" t="str" cm="1">
        <f t="array" ref="E2244">IFERROR(INDEX({"IMPEDITIVO"},MATCH(TRUE,ISNUMBER(FIND(SUBSTITUTE(SUBSTITUTE(UPPER({"IMPEDITIVO"})," ",""),":",": "),SUBSTITUTE(SUBSTITUTE(UPPER(S2244)," ",""),":",": "))),0)),"-")</f>
        <v>-</v>
      </c>
      <c r="K2244" s="49"/>
    </row>
    <row r="2245" spans="1:11" x14ac:dyDescent="0.25">
      <c r="A2245" s="46" t="str" cm="1">
        <f t="array" ref="A2245">IFERROR(INDEX(#REF!,MATCH(TRUE,ISNUMBER(FIND(SUBSTITUTE(SUBSTITUTE(UPPER(#REF!)," ",""),":",": "),SUBSTITUTE(SUBSTITUTE(UPPER(S2245)," ",""),":",": "))),0)),"Undefined")</f>
        <v>Undefined</v>
      </c>
      <c r="B2245" s="42" t="str" cm="1">
        <f t="array" ref="B2245">IFERROR(INDEX({"URGENTE"},MATCH(TRUE,ISNUMBER(FIND(SUBSTITUTE(SUBSTITUTE(UPPER({"URGENTE"})," ",""),":",": "),SUBSTITUTE(SUBSTITUTE(UPPER(S2245)," ",""),":",": "))),0)),"-")</f>
        <v>-</v>
      </c>
      <c r="C2245" s="46" t="str" cm="1">
        <f t="array" ref="C2245">IFERROR(INDEX(#REF!,MATCH(TRUE,ISNUMBER(FIND(SUBSTITUTE(SUBSTITUTE(UPPER(#REF!)," ",""),":",": "),SUBSTITUTE(SUBSTITUTE(UPPER(S2245)," ",""),":",": "))),0)),"Não encontrado")</f>
        <v>Não encontrado</v>
      </c>
      <c r="D2245" s="46" t="str" cm="1">
        <f t="array" ref="D2245">IFERROR(INDEX(#REF!,MATCH(TRUE,ISNUMBER(FIND(SUBSTITUTE(SUBSTITUTE(UPPER(#REF!)," ",""),":",": "),SUBSTITUTE(SUBSTITUTE(UPPER(S2245)," ",""),":",": "))),0)),"Não encontrado")</f>
        <v>Não encontrado</v>
      </c>
      <c r="E2245" s="42" t="str" cm="1">
        <f t="array" ref="E2245">IFERROR(INDEX({"IMPEDITIVO"},MATCH(TRUE,ISNUMBER(FIND(SUBSTITUTE(SUBSTITUTE(UPPER({"IMPEDITIVO"})," ",""),":",": "),SUBSTITUTE(SUBSTITUTE(UPPER(S2245)," ",""),":",": "))),0)),"-")</f>
        <v>-</v>
      </c>
      <c r="K2245" s="49"/>
    </row>
    <row r="2246" spans="1:11" x14ac:dyDescent="0.25">
      <c r="A2246" s="46" t="str" cm="1">
        <f t="array" ref="A2246">IFERROR(INDEX(#REF!,MATCH(TRUE,ISNUMBER(FIND(SUBSTITUTE(SUBSTITUTE(UPPER(#REF!)," ",""),":",": "),SUBSTITUTE(SUBSTITUTE(UPPER(S2246)," ",""),":",": "))),0)),"Undefined")</f>
        <v>Undefined</v>
      </c>
      <c r="B2246" s="42" t="str" cm="1">
        <f t="array" ref="B2246">IFERROR(INDEX({"URGENTE"},MATCH(TRUE,ISNUMBER(FIND(SUBSTITUTE(SUBSTITUTE(UPPER({"URGENTE"})," ",""),":",": "),SUBSTITUTE(SUBSTITUTE(UPPER(S2246)," ",""),":",": "))),0)),"-")</f>
        <v>-</v>
      </c>
      <c r="C2246" s="46" t="str" cm="1">
        <f t="array" ref="C2246">IFERROR(INDEX(#REF!,MATCH(TRUE,ISNUMBER(FIND(SUBSTITUTE(SUBSTITUTE(UPPER(#REF!)," ",""),":",": "),SUBSTITUTE(SUBSTITUTE(UPPER(S2246)," ",""),":",": "))),0)),"Não encontrado")</f>
        <v>Não encontrado</v>
      </c>
      <c r="D2246" s="46" t="str" cm="1">
        <f t="array" ref="D2246">IFERROR(INDEX(#REF!,MATCH(TRUE,ISNUMBER(FIND(SUBSTITUTE(SUBSTITUTE(UPPER(#REF!)," ",""),":",": "),SUBSTITUTE(SUBSTITUTE(UPPER(S2246)," ",""),":",": "))),0)),"Não encontrado")</f>
        <v>Não encontrado</v>
      </c>
      <c r="E2246" s="42" t="str" cm="1">
        <f t="array" ref="E2246">IFERROR(INDEX({"IMPEDITIVO"},MATCH(TRUE,ISNUMBER(FIND(SUBSTITUTE(SUBSTITUTE(UPPER({"IMPEDITIVO"})," ",""),":",": "),SUBSTITUTE(SUBSTITUTE(UPPER(S2246)," ",""),":",": "))),0)),"-")</f>
        <v>-</v>
      </c>
      <c r="K2246" s="49"/>
    </row>
    <row r="2247" spans="1:11" x14ac:dyDescent="0.25">
      <c r="A2247" s="46" t="str" cm="1">
        <f t="array" ref="A2247">IFERROR(INDEX(#REF!,MATCH(TRUE,ISNUMBER(FIND(SUBSTITUTE(SUBSTITUTE(UPPER(#REF!)," ",""),":",": "),SUBSTITUTE(SUBSTITUTE(UPPER(S2247)," ",""),":",": "))),0)),"Undefined")</f>
        <v>Undefined</v>
      </c>
      <c r="B2247" s="42" t="str" cm="1">
        <f t="array" ref="B2247">IFERROR(INDEX({"URGENTE"},MATCH(TRUE,ISNUMBER(FIND(SUBSTITUTE(SUBSTITUTE(UPPER({"URGENTE"})," ",""),":",": "),SUBSTITUTE(SUBSTITUTE(UPPER(S2247)," ",""),":",": "))),0)),"-")</f>
        <v>-</v>
      </c>
      <c r="C2247" s="46" t="str" cm="1">
        <f t="array" ref="C2247">IFERROR(INDEX(#REF!,MATCH(TRUE,ISNUMBER(FIND(SUBSTITUTE(SUBSTITUTE(UPPER(#REF!)," ",""),":",": "),SUBSTITUTE(SUBSTITUTE(UPPER(S2247)," ",""),":",": "))),0)),"Não encontrado")</f>
        <v>Não encontrado</v>
      </c>
      <c r="D2247" s="46" t="str" cm="1">
        <f t="array" ref="D2247">IFERROR(INDEX(#REF!,MATCH(TRUE,ISNUMBER(FIND(SUBSTITUTE(SUBSTITUTE(UPPER(#REF!)," ",""),":",": "),SUBSTITUTE(SUBSTITUTE(UPPER(S2247)," ",""),":",": "))),0)),"Não encontrado")</f>
        <v>Não encontrado</v>
      </c>
      <c r="E2247" s="42" t="str" cm="1">
        <f t="array" ref="E2247">IFERROR(INDEX({"IMPEDITIVO"},MATCH(TRUE,ISNUMBER(FIND(SUBSTITUTE(SUBSTITUTE(UPPER({"IMPEDITIVO"})," ",""),":",": "),SUBSTITUTE(SUBSTITUTE(UPPER(S2247)," ",""),":",": "))),0)),"-")</f>
        <v>-</v>
      </c>
      <c r="K2247" s="49"/>
    </row>
    <row r="2248" spans="1:11" x14ac:dyDescent="0.25">
      <c r="A2248" s="46" t="str" cm="1">
        <f t="array" ref="A2248">IFERROR(INDEX(#REF!,MATCH(TRUE,ISNUMBER(FIND(SUBSTITUTE(SUBSTITUTE(UPPER(#REF!)," ",""),":",": "),SUBSTITUTE(SUBSTITUTE(UPPER(S2248)," ",""),":",": "))),0)),"Undefined")</f>
        <v>Undefined</v>
      </c>
      <c r="B2248" s="42" t="str" cm="1">
        <f t="array" ref="B2248">IFERROR(INDEX({"URGENTE"},MATCH(TRUE,ISNUMBER(FIND(SUBSTITUTE(SUBSTITUTE(UPPER({"URGENTE"})," ",""),":",": "),SUBSTITUTE(SUBSTITUTE(UPPER(S2248)," ",""),":",": "))),0)),"-")</f>
        <v>-</v>
      </c>
      <c r="C2248" s="46" t="str" cm="1">
        <f t="array" ref="C2248">IFERROR(INDEX(#REF!,MATCH(TRUE,ISNUMBER(FIND(SUBSTITUTE(SUBSTITUTE(UPPER(#REF!)," ",""),":",": "),SUBSTITUTE(SUBSTITUTE(UPPER(S2248)," ",""),":",": "))),0)),"Não encontrado")</f>
        <v>Não encontrado</v>
      </c>
      <c r="D2248" s="46" t="str" cm="1">
        <f t="array" ref="D2248">IFERROR(INDEX(#REF!,MATCH(TRUE,ISNUMBER(FIND(SUBSTITUTE(SUBSTITUTE(UPPER(#REF!)," ",""),":",": "),SUBSTITUTE(SUBSTITUTE(UPPER(S2248)," ",""),":",": "))),0)),"Não encontrado")</f>
        <v>Não encontrado</v>
      </c>
      <c r="E2248" s="42" t="str" cm="1">
        <f t="array" ref="E2248">IFERROR(INDEX({"IMPEDITIVO"},MATCH(TRUE,ISNUMBER(FIND(SUBSTITUTE(SUBSTITUTE(UPPER({"IMPEDITIVO"})," ",""),":",": "),SUBSTITUTE(SUBSTITUTE(UPPER(S2248)," ",""),":",": "))),0)),"-")</f>
        <v>-</v>
      </c>
      <c r="K2248" s="49"/>
    </row>
    <row r="2249" spans="1:11" x14ac:dyDescent="0.25">
      <c r="A2249" s="46" t="str" cm="1">
        <f t="array" ref="A2249">IFERROR(INDEX(#REF!,MATCH(TRUE,ISNUMBER(FIND(SUBSTITUTE(SUBSTITUTE(UPPER(#REF!)," ",""),":",": "),SUBSTITUTE(SUBSTITUTE(UPPER(S2249)," ",""),":",": "))),0)),"Undefined")</f>
        <v>Undefined</v>
      </c>
      <c r="B2249" s="42" t="str" cm="1">
        <f t="array" ref="B2249">IFERROR(INDEX({"URGENTE"},MATCH(TRUE,ISNUMBER(FIND(SUBSTITUTE(SUBSTITUTE(UPPER({"URGENTE"})," ",""),":",": "),SUBSTITUTE(SUBSTITUTE(UPPER(S2249)," ",""),":",": "))),0)),"-")</f>
        <v>-</v>
      </c>
      <c r="C2249" s="46" t="str" cm="1">
        <f t="array" ref="C2249">IFERROR(INDEX(#REF!,MATCH(TRUE,ISNUMBER(FIND(SUBSTITUTE(SUBSTITUTE(UPPER(#REF!)," ",""),":",": "),SUBSTITUTE(SUBSTITUTE(UPPER(S2249)," ",""),":",": "))),0)),"Não encontrado")</f>
        <v>Não encontrado</v>
      </c>
      <c r="D2249" s="46" t="str" cm="1">
        <f t="array" ref="D2249">IFERROR(INDEX(#REF!,MATCH(TRUE,ISNUMBER(FIND(SUBSTITUTE(SUBSTITUTE(UPPER(#REF!)," ",""),":",": "),SUBSTITUTE(SUBSTITUTE(UPPER(S2249)," ",""),":",": "))),0)),"Não encontrado")</f>
        <v>Não encontrado</v>
      </c>
      <c r="E2249" s="42" t="str" cm="1">
        <f t="array" ref="E2249">IFERROR(INDEX({"IMPEDITIVO"},MATCH(TRUE,ISNUMBER(FIND(SUBSTITUTE(SUBSTITUTE(UPPER({"IMPEDITIVO"})," ",""),":",": "),SUBSTITUTE(SUBSTITUTE(UPPER(S2249)," ",""),":",": "))),0)),"-")</f>
        <v>-</v>
      </c>
      <c r="K2249" s="49"/>
    </row>
    <row r="2250" spans="1:11" x14ac:dyDescent="0.25">
      <c r="A2250" s="46" t="str" cm="1">
        <f t="array" ref="A2250">IFERROR(INDEX(#REF!,MATCH(TRUE,ISNUMBER(FIND(SUBSTITUTE(SUBSTITUTE(UPPER(#REF!)," ",""),":",": "),SUBSTITUTE(SUBSTITUTE(UPPER(S2250)," ",""),":",": "))),0)),"Undefined")</f>
        <v>Undefined</v>
      </c>
      <c r="B2250" s="42" t="str" cm="1">
        <f t="array" ref="B2250">IFERROR(INDEX({"URGENTE"},MATCH(TRUE,ISNUMBER(FIND(SUBSTITUTE(SUBSTITUTE(UPPER({"URGENTE"})," ",""),":",": "),SUBSTITUTE(SUBSTITUTE(UPPER(S2250)," ",""),":",": "))),0)),"-")</f>
        <v>-</v>
      </c>
      <c r="C2250" s="46" t="str" cm="1">
        <f t="array" ref="C2250">IFERROR(INDEX(#REF!,MATCH(TRUE,ISNUMBER(FIND(SUBSTITUTE(SUBSTITUTE(UPPER(#REF!)," ",""),":",": "),SUBSTITUTE(SUBSTITUTE(UPPER(S2250)," ",""),":",": "))),0)),"Não encontrado")</f>
        <v>Não encontrado</v>
      </c>
      <c r="D2250" s="46" t="str" cm="1">
        <f t="array" ref="D2250">IFERROR(INDEX(#REF!,MATCH(TRUE,ISNUMBER(FIND(SUBSTITUTE(SUBSTITUTE(UPPER(#REF!)," ",""),":",": "),SUBSTITUTE(SUBSTITUTE(UPPER(S2250)," ",""),":",": "))),0)),"Não encontrado")</f>
        <v>Não encontrado</v>
      </c>
      <c r="E2250" s="42" t="str" cm="1">
        <f t="array" ref="E2250">IFERROR(INDEX({"IMPEDITIVO"},MATCH(TRUE,ISNUMBER(FIND(SUBSTITUTE(SUBSTITUTE(UPPER({"IMPEDITIVO"})," ",""),":",": "),SUBSTITUTE(SUBSTITUTE(UPPER(S2250)," ",""),":",": "))),0)),"-")</f>
        <v>-</v>
      </c>
      <c r="K2250" s="49"/>
    </row>
    <row r="2251" spans="1:11" x14ac:dyDescent="0.25">
      <c r="A2251" s="46" t="str" cm="1">
        <f t="array" ref="A2251">IFERROR(INDEX(#REF!,MATCH(TRUE,ISNUMBER(FIND(SUBSTITUTE(SUBSTITUTE(UPPER(#REF!)," ",""),":",": "),SUBSTITUTE(SUBSTITUTE(UPPER(S2251)," ",""),":",": "))),0)),"Undefined")</f>
        <v>Undefined</v>
      </c>
      <c r="B2251" s="42" t="str" cm="1">
        <f t="array" ref="B2251">IFERROR(INDEX({"URGENTE"},MATCH(TRUE,ISNUMBER(FIND(SUBSTITUTE(SUBSTITUTE(UPPER({"URGENTE"})," ",""),":",": "),SUBSTITUTE(SUBSTITUTE(UPPER(S2251)," ",""),":",": "))),0)),"-")</f>
        <v>-</v>
      </c>
      <c r="C2251" s="46" t="str" cm="1">
        <f t="array" ref="C2251">IFERROR(INDEX(#REF!,MATCH(TRUE,ISNUMBER(FIND(SUBSTITUTE(SUBSTITUTE(UPPER(#REF!)," ",""),":",": "),SUBSTITUTE(SUBSTITUTE(UPPER(S2251)," ",""),":",": "))),0)),"Não encontrado")</f>
        <v>Não encontrado</v>
      </c>
      <c r="D2251" s="46" t="str" cm="1">
        <f t="array" ref="D2251">IFERROR(INDEX(#REF!,MATCH(TRUE,ISNUMBER(FIND(SUBSTITUTE(SUBSTITUTE(UPPER(#REF!)," ",""),":",": "),SUBSTITUTE(SUBSTITUTE(UPPER(S2251)," ",""),":",": "))),0)),"Não encontrado")</f>
        <v>Não encontrado</v>
      </c>
      <c r="E2251" s="42" t="str" cm="1">
        <f t="array" ref="E2251">IFERROR(INDEX({"IMPEDITIVO"},MATCH(TRUE,ISNUMBER(FIND(SUBSTITUTE(SUBSTITUTE(UPPER({"IMPEDITIVO"})," ",""),":",": "),SUBSTITUTE(SUBSTITUTE(UPPER(S2251)," ",""),":",": "))),0)),"-")</f>
        <v>-</v>
      </c>
      <c r="K2251" s="49"/>
    </row>
    <row r="2252" spans="1:11" x14ac:dyDescent="0.25">
      <c r="A2252" s="46" t="str" cm="1">
        <f t="array" ref="A2252">IFERROR(INDEX(#REF!,MATCH(TRUE,ISNUMBER(FIND(SUBSTITUTE(SUBSTITUTE(UPPER(#REF!)," ",""),":",": "),SUBSTITUTE(SUBSTITUTE(UPPER(S2252)," ",""),":",": "))),0)),"Undefined")</f>
        <v>Undefined</v>
      </c>
      <c r="B2252" s="42" t="str" cm="1">
        <f t="array" ref="B2252">IFERROR(INDEX({"URGENTE"},MATCH(TRUE,ISNUMBER(FIND(SUBSTITUTE(SUBSTITUTE(UPPER({"URGENTE"})," ",""),":",": "),SUBSTITUTE(SUBSTITUTE(UPPER(S2252)," ",""),":",": "))),0)),"-")</f>
        <v>-</v>
      </c>
      <c r="C2252" s="46" t="str" cm="1">
        <f t="array" ref="C2252">IFERROR(INDEX(#REF!,MATCH(TRUE,ISNUMBER(FIND(SUBSTITUTE(SUBSTITUTE(UPPER(#REF!)," ",""),":",": "),SUBSTITUTE(SUBSTITUTE(UPPER(S2252)," ",""),":",": "))),0)),"Não encontrado")</f>
        <v>Não encontrado</v>
      </c>
      <c r="D2252" s="46" t="str" cm="1">
        <f t="array" ref="D2252">IFERROR(INDEX(#REF!,MATCH(TRUE,ISNUMBER(FIND(SUBSTITUTE(SUBSTITUTE(UPPER(#REF!)," ",""),":",": "),SUBSTITUTE(SUBSTITUTE(UPPER(S2252)," ",""),":",": "))),0)),"Não encontrado")</f>
        <v>Não encontrado</v>
      </c>
      <c r="E2252" s="42" t="str" cm="1">
        <f t="array" ref="E2252">IFERROR(INDEX({"IMPEDITIVO"},MATCH(TRUE,ISNUMBER(FIND(SUBSTITUTE(SUBSTITUTE(UPPER({"IMPEDITIVO"})," ",""),":",": "),SUBSTITUTE(SUBSTITUTE(UPPER(S2252)," ",""),":",": "))),0)),"-")</f>
        <v>-</v>
      </c>
      <c r="K2252" s="49"/>
    </row>
    <row r="2253" spans="1:11" x14ac:dyDescent="0.25">
      <c r="A2253" s="46" t="str" cm="1">
        <f t="array" ref="A2253">IFERROR(INDEX(#REF!,MATCH(TRUE,ISNUMBER(FIND(SUBSTITUTE(SUBSTITUTE(UPPER(#REF!)," ",""),":",": "),SUBSTITUTE(SUBSTITUTE(UPPER(S2253)," ",""),":",": "))),0)),"Undefined")</f>
        <v>Undefined</v>
      </c>
      <c r="B2253" s="42" t="str" cm="1">
        <f t="array" ref="B2253">IFERROR(INDEX({"URGENTE"},MATCH(TRUE,ISNUMBER(FIND(SUBSTITUTE(SUBSTITUTE(UPPER({"URGENTE"})," ",""),":",": "),SUBSTITUTE(SUBSTITUTE(UPPER(S2253)," ",""),":",": "))),0)),"-")</f>
        <v>-</v>
      </c>
      <c r="C2253" s="46" t="str" cm="1">
        <f t="array" ref="C2253">IFERROR(INDEX(#REF!,MATCH(TRUE,ISNUMBER(FIND(SUBSTITUTE(SUBSTITUTE(UPPER(#REF!)," ",""),":",": "),SUBSTITUTE(SUBSTITUTE(UPPER(S2253)," ",""),":",": "))),0)),"Não encontrado")</f>
        <v>Não encontrado</v>
      </c>
      <c r="D2253" s="46" t="str" cm="1">
        <f t="array" ref="D2253">IFERROR(INDEX(#REF!,MATCH(TRUE,ISNUMBER(FIND(SUBSTITUTE(SUBSTITUTE(UPPER(#REF!)," ",""),":",": "),SUBSTITUTE(SUBSTITUTE(UPPER(S2253)," ",""),":",": "))),0)),"Não encontrado")</f>
        <v>Não encontrado</v>
      </c>
      <c r="E2253" s="42" t="str" cm="1">
        <f t="array" ref="E2253">IFERROR(INDEX({"IMPEDITIVO"},MATCH(TRUE,ISNUMBER(FIND(SUBSTITUTE(SUBSTITUTE(UPPER({"IMPEDITIVO"})," ",""),":",": "),SUBSTITUTE(SUBSTITUTE(UPPER(S2253)," ",""),":",": "))),0)),"-")</f>
        <v>-</v>
      </c>
      <c r="K2253" s="49"/>
    </row>
    <row r="2254" spans="1:11" x14ac:dyDescent="0.25">
      <c r="A2254" s="46" t="str" cm="1">
        <f t="array" ref="A2254">IFERROR(INDEX(#REF!,MATCH(TRUE,ISNUMBER(FIND(SUBSTITUTE(SUBSTITUTE(UPPER(#REF!)," ",""),":",": "),SUBSTITUTE(SUBSTITUTE(UPPER(S2254)," ",""),":",": "))),0)),"Undefined")</f>
        <v>Undefined</v>
      </c>
      <c r="B2254" s="42" t="str" cm="1">
        <f t="array" ref="B2254">IFERROR(INDEX({"URGENTE"},MATCH(TRUE,ISNUMBER(FIND(SUBSTITUTE(SUBSTITUTE(UPPER({"URGENTE"})," ",""),":",": "),SUBSTITUTE(SUBSTITUTE(UPPER(S2254)," ",""),":",": "))),0)),"-")</f>
        <v>-</v>
      </c>
      <c r="C2254" s="46" t="str" cm="1">
        <f t="array" ref="C2254">IFERROR(INDEX(#REF!,MATCH(TRUE,ISNUMBER(FIND(SUBSTITUTE(SUBSTITUTE(UPPER(#REF!)," ",""),":",": "),SUBSTITUTE(SUBSTITUTE(UPPER(S2254)," ",""),":",": "))),0)),"Não encontrado")</f>
        <v>Não encontrado</v>
      </c>
      <c r="D2254" s="46" t="str" cm="1">
        <f t="array" ref="D2254">IFERROR(INDEX(#REF!,MATCH(TRUE,ISNUMBER(FIND(SUBSTITUTE(SUBSTITUTE(UPPER(#REF!)," ",""),":",": "),SUBSTITUTE(SUBSTITUTE(UPPER(S2254)," ",""),":",": "))),0)),"Não encontrado")</f>
        <v>Não encontrado</v>
      </c>
      <c r="E2254" s="42" t="str" cm="1">
        <f t="array" ref="E2254">IFERROR(INDEX({"IMPEDITIVO"},MATCH(TRUE,ISNUMBER(FIND(SUBSTITUTE(SUBSTITUTE(UPPER({"IMPEDITIVO"})," ",""),":",": "),SUBSTITUTE(SUBSTITUTE(UPPER(S2254)," ",""),":",": "))),0)),"-")</f>
        <v>-</v>
      </c>
      <c r="K2254" s="49"/>
    </row>
    <row r="2255" spans="1:11" x14ac:dyDescent="0.25">
      <c r="A2255" s="46" t="str" cm="1">
        <f t="array" ref="A2255">IFERROR(INDEX(#REF!,MATCH(TRUE,ISNUMBER(FIND(SUBSTITUTE(SUBSTITUTE(UPPER(#REF!)," ",""),":",": "),SUBSTITUTE(SUBSTITUTE(UPPER(S2255)," ",""),":",": "))),0)),"Undefined")</f>
        <v>Undefined</v>
      </c>
      <c r="B2255" s="42" t="str" cm="1">
        <f t="array" ref="B2255">IFERROR(INDEX({"URGENTE"},MATCH(TRUE,ISNUMBER(FIND(SUBSTITUTE(SUBSTITUTE(UPPER({"URGENTE"})," ",""),":",": "),SUBSTITUTE(SUBSTITUTE(UPPER(S2255)," ",""),":",": "))),0)),"-")</f>
        <v>-</v>
      </c>
      <c r="C2255" s="46" t="str" cm="1">
        <f t="array" ref="C2255">IFERROR(INDEX(#REF!,MATCH(TRUE,ISNUMBER(FIND(SUBSTITUTE(SUBSTITUTE(UPPER(#REF!)," ",""),":",": "),SUBSTITUTE(SUBSTITUTE(UPPER(S2255)," ",""),":",": "))),0)),"Não encontrado")</f>
        <v>Não encontrado</v>
      </c>
      <c r="D2255" s="46" t="str" cm="1">
        <f t="array" ref="D2255">IFERROR(INDEX(#REF!,MATCH(TRUE,ISNUMBER(FIND(SUBSTITUTE(SUBSTITUTE(UPPER(#REF!)," ",""),":",": "),SUBSTITUTE(SUBSTITUTE(UPPER(S2255)," ",""),":",": "))),0)),"Não encontrado")</f>
        <v>Não encontrado</v>
      </c>
      <c r="E2255" s="42" t="str" cm="1">
        <f t="array" ref="E2255">IFERROR(INDEX({"IMPEDITIVO"},MATCH(TRUE,ISNUMBER(FIND(SUBSTITUTE(SUBSTITUTE(UPPER({"IMPEDITIVO"})," ",""),":",": "),SUBSTITUTE(SUBSTITUTE(UPPER(S2255)," ",""),":",": "))),0)),"-")</f>
        <v>-</v>
      </c>
      <c r="K2255" s="49"/>
    </row>
    <row r="2256" spans="1:11" x14ac:dyDescent="0.25">
      <c r="A2256" s="46" t="str" cm="1">
        <f t="array" ref="A2256">IFERROR(INDEX(#REF!,MATCH(TRUE,ISNUMBER(FIND(SUBSTITUTE(SUBSTITUTE(UPPER(#REF!)," ",""),":",": "),SUBSTITUTE(SUBSTITUTE(UPPER(S2256)," ",""),":",": "))),0)),"Undefined")</f>
        <v>Undefined</v>
      </c>
      <c r="B2256" s="42" t="str" cm="1">
        <f t="array" ref="B2256">IFERROR(INDEX({"URGENTE"},MATCH(TRUE,ISNUMBER(FIND(SUBSTITUTE(SUBSTITUTE(UPPER({"URGENTE"})," ",""),":",": "),SUBSTITUTE(SUBSTITUTE(UPPER(S2256)," ",""),":",": "))),0)),"-")</f>
        <v>-</v>
      </c>
      <c r="C2256" s="46" t="str" cm="1">
        <f t="array" ref="C2256">IFERROR(INDEX(#REF!,MATCH(TRUE,ISNUMBER(FIND(SUBSTITUTE(SUBSTITUTE(UPPER(#REF!)," ",""),":",": "),SUBSTITUTE(SUBSTITUTE(UPPER(S2256)," ",""),":",": "))),0)),"Não encontrado")</f>
        <v>Não encontrado</v>
      </c>
      <c r="D2256" s="46" t="str" cm="1">
        <f t="array" ref="D2256">IFERROR(INDEX(#REF!,MATCH(TRUE,ISNUMBER(FIND(SUBSTITUTE(SUBSTITUTE(UPPER(#REF!)," ",""),":",": "),SUBSTITUTE(SUBSTITUTE(UPPER(S2256)," ",""),":",": "))),0)),"Não encontrado")</f>
        <v>Não encontrado</v>
      </c>
      <c r="E2256" s="42" t="str" cm="1">
        <f t="array" ref="E2256">IFERROR(INDEX({"IMPEDITIVO"},MATCH(TRUE,ISNUMBER(FIND(SUBSTITUTE(SUBSTITUTE(UPPER({"IMPEDITIVO"})," ",""),":",": "),SUBSTITUTE(SUBSTITUTE(UPPER(S2256)," ",""),":",": "))),0)),"-")</f>
        <v>-</v>
      </c>
      <c r="K2256" s="49"/>
    </row>
    <row r="2257" spans="1:11" x14ac:dyDescent="0.25">
      <c r="A2257" s="46" t="str" cm="1">
        <f t="array" ref="A2257">IFERROR(INDEX(#REF!,MATCH(TRUE,ISNUMBER(FIND(SUBSTITUTE(SUBSTITUTE(UPPER(#REF!)," ",""),":",": "),SUBSTITUTE(SUBSTITUTE(UPPER(S2257)," ",""),":",": "))),0)),"Undefined")</f>
        <v>Undefined</v>
      </c>
      <c r="B2257" s="42" t="str" cm="1">
        <f t="array" ref="B2257">IFERROR(INDEX({"URGENTE"},MATCH(TRUE,ISNUMBER(FIND(SUBSTITUTE(SUBSTITUTE(UPPER({"URGENTE"})," ",""),":",": "),SUBSTITUTE(SUBSTITUTE(UPPER(S2257)," ",""),":",": "))),0)),"-")</f>
        <v>-</v>
      </c>
      <c r="C2257" s="46" t="str" cm="1">
        <f t="array" ref="C2257">IFERROR(INDEX(#REF!,MATCH(TRUE,ISNUMBER(FIND(SUBSTITUTE(SUBSTITUTE(UPPER(#REF!)," ",""),":",": "),SUBSTITUTE(SUBSTITUTE(UPPER(S2257)," ",""),":",": "))),0)),"Não encontrado")</f>
        <v>Não encontrado</v>
      </c>
      <c r="D2257" s="46" t="str" cm="1">
        <f t="array" ref="D2257">IFERROR(INDEX(#REF!,MATCH(TRUE,ISNUMBER(FIND(SUBSTITUTE(SUBSTITUTE(UPPER(#REF!)," ",""),":",": "),SUBSTITUTE(SUBSTITUTE(UPPER(S2257)," ",""),":",": "))),0)),"Não encontrado")</f>
        <v>Não encontrado</v>
      </c>
      <c r="E2257" s="42" t="str" cm="1">
        <f t="array" ref="E2257">IFERROR(INDEX({"IMPEDITIVO"},MATCH(TRUE,ISNUMBER(FIND(SUBSTITUTE(SUBSTITUTE(UPPER({"IMPEDITIVO"})," ",""),":",": "),SUBSTITUTE(SUBSTITUTE(UPPER(S2257)," ",""),":",": "))),0)),"-")</f>
        <v>-</v>
      </c>
      <c r="K2257" s="49"/>
    </row>
    <row r="2258" spans="1:11" x14ac:dyDescent="0.25">
      <c r="A2258" s="46" t="str" cm="1">
        <f t="array" ref="A2258">IFERROR(INDEX(#REF!,MATCH(TRUE,ISNUMBER(FIND(SUBSTITUTE(SUBSTITUTE(UPPER(#REF!)," ",""),":",": "),SUBSTITUTE(SUBSTITUTE(UPPER(S2258)," ",""),":",": "))),0)),"Undefined")</f>
        <v>Undefined</v>
      </c>
      <c r="B2258" s="42" t="str" cm="1">
        <f t="array" ref="B2258">IFERROR(INDEX({"URGENTE"},MATCH(TRUE,ISNUMBER(FIND(SUBSTITUTE(SUBSTITUTE(UPPER({"URGENTE"})," ",""),":",": "),SUBSTITUTE(SUBSTITUTE(UPPER(S2258)," ",""),":",": "))),0)),"-")</f>
        <v>-</v>
      </c>
      <c r="C2258" s="46" t="str" cm="1">
        <f t="array" ref="C2258">IFERROR(INDEX(#REF!,MATCH(TRUE,ISNUMBER(FIND(SUBSTITUTE(SUBSTITUTE(UPPER(#REF!)," ",""),":",": "),SUBSTITUTE(SUBSTITUTE(UPPER(S2258)," ",""),":",": "))),0)),"Não encontrado")</f>
        <v>Não encontrado</v>
      </c>
      <c r="D2258" s="46" t="str" cm="1">
        <f t="array" ref="D2258">IFERROR(INDEX(#REF!,MATCH(TRUE,ISNUMBER(FIND(SUBSTITUTE(SUBSTITUTE(UPPER(#REF!)," ",""),":",": "),SUBSTITUTE(SUBSTITUTE(UPPER(S2258)," ",""),":",": "))),0)),"Não encontrado")</f>
        <v>Não encontrado</v>
      </c>
      <c r="E2258" s="42" t="str" cm="1">
        <f t="array" ref="E2258">IFERROR(INDEX({"IMPEDITIVO"},MATCH(TRUE,ISNUMBER(FIND(SUBSTITUTE(SUBSTITUTE(UPPER({"IMPEDITIVO"})," ",""),":",": "),SUBSTITUTE(SUBSTITUTE(UPPER(S2258)," ",""),":",": "))),0)),"-")</f>
        <v>-</v>
      </c>
      <c r="K2258" s="49"/>
    </row>
    <row r="2259" spans="1:11" x14ac:dyDescent="0.25">
      <c r="A2259" s="46" t="str" cm="1">
        <f t="array" ref="A2259">IFERROR(INDEX(#REF!,MATCH(TRUE,ISNUMBER(FIND(SUBSTITUTE(SUBSTITUTE(UPPER(#REF!)," ",""),":",": "),SUBSTITUTE(SUBSTITUTE(UPPER(S2259)," ",""),":",": "))),0)),"Undefined")</f>
        <v>Undefined</v>
      </c>
      <c r="B2259" s="42" t="str" cm="1">
        <f t="array" ref="B2259">IFERROR(INDEX({"URGENTE"},MATCH(TRUE,ISNUMBER(FIND(SUBSTITUTE(SUBSTITUTE(UPPER({"URGENTE"})," ",""),":",": "),SUBSTITUTE(SUBSTITUTE(UPPER(S2259)," ",""),":",": "))),0)),"-")</f>
        <v>-</v>
      </c>
      <c r="C2259" s="46" t="str" cm="1">
        <f t="array" ref="C2259">IFERROR(INDEX(#REF!,MATCH(TRUE,ISNUMBER(FIND(SUBSTITUTE(SUBSTITUTE(UPPER(#REF!)," ",""),":",": "),SUBSTITUTE(SUBSTITUTE(UPPER(S2259)," ",""),":",": "))),0)),"Não encontrado")</f>
        <v>Não encontrado</v>
      </c>
      <c r="D2259" s="46" t="str" cm="1">
        <f t="array" ref="D2259">IFERROR(INDEX(#REF!,MATCH(TRUE,ISNUMBER(FIND(SUBSTITUTE(SUBSTITUTE(UPPER(#REF!)," ",""),":",": "),SUBSTITUTE(SUBSTITUTE(UPPER(S2259)," ",""),":",": "))),0)),"Não encontrado")</f>
        <v>Não encontrado</v>
      </c>
      <c r="E2259" s="42" t="str" cm="1">
        <f t="array" ref="E2259">IFERROR(INDEX({"IMPEDITIVO"},MATCH(TRUE,ISNUMBER(FIND(SUBSTITUTE(SUBSTITUTE(UPPER({"IMPEDITIVO"})," ",""),":",": "),SUBSTITUTE(SUBSTITUTE(UPPER(S2259)," ",""),":",": "))),0)),"-")</f>
        <v>-</v>
      </c>
      <c r="K2259" s="49"/>
    </row>
    <row r="2260" spans="1:11" x14ac:dyDescent="0.25">
      <c r="A2260" s="46" t="str" cm="1">
        <f t="array" ref="A2260">IFERROR(INDEX(#REF!,MATCH(TRUE,ISNUMBER(FIND(SUBSTITUTE(SUBSTITUTE(UPPER(#REF!)," ",""),":",": "),SUBSTITUTE(SUBSTITUTE(UPPER(S2260)," ",""),":",": "))),0)),"Undefined")</f>
        <v>Undefined</v>
      </c>
      <c r="B2260" s="42" t="str" cm="1">
        <f t="array" ref="B2260">IFERROR(INDEX({"URGENTE"},MATCH(TRUE,ISNUMBER(FIND(SUBSTITUTE(SUBSTITUTE(UPPER({"URGENTE"})," ",""),":",": "),SUBSTITUTE(SUBSTITUTE(UPPER(S2260)," ",""),":",": "))),0)),"-")</f>
        <v>-</v>
      </c>
      <c r="C2260" s="46" t="str" cm="1">
        <f t="array" ref="C2260">IFERROR(INDEX(#REF!,MATCH(TRUE,ISNUMBER(FIND(SUBSTITUTE(SUBSTITUTE(UPPER(#REF!)," ",""),":",": "),SUBSTITUTE(SUBSTITUTE(UPPER(S2260)," ",""),":",": "))),0)),"Não encontrado")</f>
        <v>Não encontrado</v>
      </c>
      <c r="D2260" s="46" t="str" cm="1">
        <f t="array" ref="D2260">IFERROR(INDEX(#REF!,MATCH(TRUE,ISNUMBER(FIND(SUBSTITUTE(SUBSTITUTE(UPPER(#REF!)," ",""),":",": "),SUBSTITUTE(SUBSTITUTE(UPPER(S2260)," ",""),":",": "))),0)),"Não encontrado")</f>
        <v>Não encontrado</v>
      </c>
      <c r="E2260" s="42" t="str" cm="1">
        <f t="array" ref="E2260">IFERROR(INDEX({"IMPEDITIVO"},MATCH(TRUE,ISNUMBER(FIND(SUBSTITUTE(SUBSTITUTE(UPPER({"IMPEDITIVO"})," ",""),":",": "),SUBSTITUTE(SUBSTITUTE(UPPER(S2260)," ",""),":",": "))),0)),"-")</f>
        <v>-</v>
      </c>
      <c r="K2260" s="49"/>
    </row>
    <row r="2261" spans="1:11" x14ac:dyDescent="0.25">
      <c r="A2261" s="46" t="str" cm="1">
        <f t="array" ref="A2261">IFERROR(INDEX(#REF!,MATCH(TRUE,ISNUMBER(FIND(SUBSTITUTE(SUBSTITUTE(UPPER(#REF!)," ",""),":",": "),SUBSTITUTE(SUBSTITUTE(UPPER(S2261)," ",""),":",": "))),0)),"Undefined")</f>
        <v>Undefined</v>
      </c>
      <c r="B2261" s="42" t="str" cm="1">
        <f t="array" ref="B2261">IFERROR(INDEX({"URGENTE"},MATCH(TRUE,ISNUMBER(FIND(SUBSTITUTE(SUBSTITUTE(UPPER({"URGENTE"})," ",""),":",": "),SUBSTITUTE(SUBSTITUTE(UPPER(S2261)," ",""),":",": "))),0)),"-")</f>
        <v>-</v>
      </c>
      <c r="C2261" s="46" t="str" cm="1">
        <f t="array" ref="C2261">IFERROR(INDEX(#REF!,MATCH(TRUE,ISNUMBER(FIND(SUBSTITUTE(SUBSTITUTE(UPPER(#REF!)," ",""),":",": "),SUBSTITUTE(SUBSTITUTE(UPPER(S2261)," ",""),":",": "))),0)),"Não encontrado")</f>
        <v>Não encontrado</v>
      </c>
      <c r="D2261" s="46" t="str" cm="1">
        <f t="array" ref="D2261">IFERROR(INDEX(#REF!,MATCH(TRUE,ISNUMBER(FIND(SUBSTITUTE(SUBSTITUTE(UPPER(#REF!)," ",""),":",": "),SUBSTITUTE(SUBSTITUTE(UPPER(S2261)," ",""),":",": "))),0)),"Não encontrado")</f>
        <v>Não encontrado</v>
      </c>
      <c r="E2261" s="42" t="str" cm="1">
        <f t="array" ref="E2261">IFERROR(INDEX({"IMPEDITIVO"},MATCH(TRUE,ISNUMBER(FIND(SUBSTITUTE(SUBSTITUTE(UPPER({"IMPEDITIVO"})," ",""),":",": "),SUBSTITUTE(SUBSTITUTE(UPPER(S2261)," ",""),":",": "))),0)),"-")</f>
        <v>-</v>
      </c>
      <c r="K2261" s="49"/>
    </row>
    <row r="2262" spans="1:11" x14ac:dyDescent="0.25">
      <c r="A2262" s="46" t="str" cm="1">
        <f t="array" ref="A2262">IFERROR(INDEX(#REF!,MATCH(TRUE,ISNUMBER(FIND(SUBSTITUTE(SUBSTITUTE(UPPER(#REF!)," ",""),":",": "),SUBSTITUTE(SUBSTITUTE(UPPER(S2262)," ",""),":",": "))),0)),"Undefined")</f>
        <v>Undefined</v>
      </c>
      <c r="B2262" s="42" t="str" cm="1">
        <f t="array" ref="B2262">IFERROR(INDEX({"URGENTE"},MATCH(TRUE,ISNUMBER(FIND(SUBSTITUTE(SUBSTITUTE(UPPER({"URGENTE"})," ",""),":",": "),SUBSTITUTE(SUBSTITUTE(UPPER(S2262)," ",""),":",": "))),0)),"-")</f>
        <v>-</v>
      </c>
      <c r="C2262" s="46" t="str" cm="1">
        <f t="array" ref="C2262">IFERROR(INDEX(#REF!,MATCH(TRUE,ISNUMBER(FIND(SUBSTITUTE(SUBSTITUTE(UPPER(#REF!)," ",""),":",": "),SUBSTITUTE(SUBSTITUTE(UPPER(S2262)," ",""),":",": "))),0)),"Não encontrado")</f>
        <v>Não encontrado</v>
      </c>
      <c r="D2262" s="46" t="str" cm="1">
        <f t="array" ref="D2262">IFERROR(INDEX(#REF!,MATCH(TRUE,ISNUMBER(FIND(SUBSTITUTE(SUBSTITUTE(UPPER(#REF!)," ",""),":",": "),SUBSTITUTE(SUBSTITUTE(UPPER(S2262)," ",""),":",": "))),0)),"Não encontrado")</f>
        <v>Não encontrado</v>
      </c>
      <c r="E2262" s="42" t="str" cm="1">
        <f t="array" ref="E2262">IFERROR(INDEX({"IMPEDITIVO"},MATCH(TRUE,ISNUMBER(FIND(SUBSTITUTE(SUBSTITUTE(UPPER({"IMPEDITIVO"})," ",""),":",": "),SUBSTITUTE(SUBSTITUTE(UPPER(S2262)," ",""),":",": "))),0)),"-")</f>
        <v>-</v>
      </c>
      <c r="K2262" s="49"/>
    </row>
    <row r="2263" spans="1:11" x14ac:dyDescent="0.25">
      <c r="A2263" s="46" t="str" cm="1">
        <f t="array" ref="A2263">IFERROR(INDEX(#REF!,MATCH(TRUE,ISNUMBER(FIND(SUBSTITUTE(SUBSTITUTE(UPPER(#REF!)," ",""),":",": "),SUBSTITUTE(SUBSTITUTE(UPPER(S2263)," ",""),":",": "))),0)),"Undefined")</f>
        <v>Undefined</v>
      </c>
      <c r="B2263" s="42" t="str" cm="1">
        <f t="array" ref="B2263">IFERROR(INDEX({"URGENTE"},MATCH(TRUE,ISNUMBER(FIND(SUBSTITUTE(SUBSTITUTE(UPPER({"URGENTE"})," ",""),":",": "),SUBSTITUTE(SUBSTITUTE(UPPER(S2263)," ",""),":",": "))),0)),"-")</f>
        <v>-</v>
      </c>
      <c r="C2263" s="46" t="str" cm="1">
        <f t="array" ref="C2263">IFERROR(INDEX(#REF!,MATCH(TRUE,ISNUMBER(FIND(SUBSTITUTE(SUBSTITUTE(UPPER(#REF!)," ",""),":",": "),SUBSTITUTE(SUBSTITUTE(UPPER(S2263)," ",""),":",": "))),0)),"Não encontrado")</f>
        <v>Não encontrado</v>
      </c>
      <c r="D2263" s="46" t="str" cm="1">
        <f t="array" ref="D2263">IFERROR(INDEX(#REF!,MATCH(TRUE,ISNUMBER(FIND(SUBSTITUTE(SUBSTITUTE(UPPER(#REF!)," ",""),":",": "),SUBSTITUTE(SUBSTITUTE(UPPER(S2263)," ",""),":",": "))),0)),"Não encontrado")</f>
        <v>Não encontrado</v>
      </c>
      <c r="E2263" s="42" t="str" cm="1">
        <f t="array" ref="E2263">IFERROR(INDEX({"IMPEDITIVO"},MATCH(TRUE,ISNUMBER(FIND(SUBSTITUTE(SUBSTITUTE(UPPER({"IMPEDITIVO"})," ",""),":",": "),SUBSTITUTE(SUBSTITUTE(UPPER(S2263)," ",""),":",": "))),0)),"-")</f>
        <v>-</v>
      </c>
      <c r="K2263" s="49"/>
    </row>
    <row r="2264" spans="1:11" x14ac:dyDescent="0.25">
      <c r="A2264" s="46" t="str" cm="1">
        <f t="array" ref="A2264">IFERROR(INDEX(#REF!,MATCH(TRUE,ISNUMBER(FIND(SUBSTITUTE(SUBSTITUTE(UPPER(#REF!)," ",""),":",": "),SUBSTITUTE(SUBSTITUTE(UPPER(S2264)," ",""),":",": "))),0)),"Undefined")</f>
        <v>Undefined</v>
      </c>
      <c r="B2264" s="42" t="str" cm="1">
        <f t="array" ref="B2264">IFERROR(INDEX({"URGENTE"},MATCH(TRUE,ISNUMBER(FIND(SUBSTITUTE(SUBSTITUTE(UPPER({"URGENTE"})," ",""),":",": "),SUBSTITUTE(SUBSTITUTE(UPPER(S2264)," ",""),":",": "))),0)),"-")</f>
        <v>-</v>
      </c>
      <c r="C2264" s="46" t="str" cm="1">
        <f t="array" ref="C2264">IFERROR(INDEX(#REF!,MATCH(TRUE,ISNUMBER(FIND(SUBSTITUTE(SUBSTITUTE(UPPER(#REF!)," ",""),":",": "),SUBSTITUTE(SUBSTITUTE(UPPER(S2264)," ",""),":",": "))),0)),"Não encontrado")</f>
        <v>Não encontrado</v>
      </c>
      <c r="D2264" s="46" t="str" cm="1">
        <f t="array" ref="D2264">IFERROR(INDEX(#REF!,MATCH(TRUE,ISNUMBER(FIND(SUBSTITUTE(SUBSTITUTE(UPPER(#REF!)," ",""),":",": "),SUBSTITUTE(SUBSTITUTE(UPPER(S2264)," ",""),":",": "))),0)),"Não encontrado")</f>
        <v>Não encontrado</v>
      </c>
      <c r="E2264" s="42" t="str" cm="1">
        <f t="array" ref="E2264">IFERROR(INDEX({"IMPEDITIVO"},MATCH(TRUE,ISNUMBER(FIND(SUBSTITUTE(SUBSTITUTE(UPPER({"IMPEDITIVO"})," ",""),":",": "),SUBSTITUTE(SUBSTITUTE(UPPER(S2264)," ",""),":",": "))),0)),"-")</f>
        <v>-</v>
      </c>
      <c r="K2264" s="49"/>
    </row>
    <row r="2265" spans="1:11" x14ac:dyDescent="0.25">
      <c r="A2265" s="46" t="str" cm="1">
        <f t="array" ref="A2265">IFERROR(INDEX(#REF!,MATCH(TRUE,ISNUMBER(FIND(SUBSTITUTE(SUBSTITUTE(UPPER(#REF!)," ",""),":",": "),SUBSTITUTE(SUBSTITUTE(UPPER(S2265)," ",""),":",": "))),0)),"Undefined")</f>
        <v>Undefined</v>
      </c>
      <c r="B2265" s="42" t="str" cm="1">
        <f t="array" ref="B2265">IFERROR(INDEX({"URGENTE"},MATCH(TRUE,ISNUMBER(FIND(SUBSTITUTE(SUBSTITUTE(UPPER({"URGENTE"})," ",""),":",": "),SUBSTITUTE(SUBSTITUTE(UPPER(S2265)," ",""),":",": "))),0)),"-")</f>
        <v>-</v>
      </c>
      <c r="C2265" s="46" t="str" cm="1">
        <f t="array" ref="C2265">IFERROR(INDEX(#REF!,MATCH(TRUE,ISNUMBER(FIND(SUBSTITUTE(SUBSTITUTE(UPPER(#REF!)," ",""),":",": "),SUBSTITUTE(SUBSTITUTE(UPPER(S2265)," ",""),":",": "))),0)),"Não encontrado")</f>
        <v>Não encontrado</v>
      </c>
      <c r="D2265" s="46" t="str" cm="1">
        <f t="array" ref="D2265">IFERROR(INDEX(#REF!,MATCH(TRUE,ISNUMBER(FIND(SUBSTITUTE(SUBSTITUTE(UPPER(#REF!)," ",""),":",": "),SUBSTITUTE(SUBSTITUTE(UPPER(S2265)," ",""),":",": "))),0)),"Não encontrado")</f>
        <v>Não encontrado</v>
      </c>
      <c r="E2265" s="42" t="str" cm="1">
        <f t="array" ref="E2265">IFERROR(INDEX({"IMPEDITIVO"},MATCH(TRUE,ISNUMBER(FIND(SUBSTITUTE(SUBSTITUTE(UPPER({"IMPEDITIVO"})," ",""),":",": "),SUBSTITUTE(SUBSTITUTE(UPPER(S2265)," ",""),":",": "))),0)),"-")</f>
        <v>-</v>
      </c>
      <c r="K2265" s="49"/>
    </row>
    <row r="2266" spans="1:11" x14ac:dyDescent="0.25">
      <c r="A2266" s="46" t="str" cm="1">
        <f t="array" ref="A2266">IFERROR(INDEX(#REF!,MATCH(TRUE,ISNUMBER(FIND(SUBSTITUTE(SUBSTITUTE(UPPER(#REF!)," ",""),":",": "),SUBSTITUTE(SUBSTITUTE(UPPER(S2266)," ",""),":",": "))),0)),"Undefined")</f>
        <v>Undefined</v>
      </c>
      <c r="B2266" s="42" t="str" cm="1">
        <f t="array" ref="B2266">IFERROR(INDEX({"URGENTE"},MATCH(TRUE,ISNUMBER(FIND(SUBSTITUTE(SUBSTITUTE(UPPER({"URGENTE"})," ",""),":",": "),SUBSTITUTE(SUBSTITUTE(UPPER(S2266)," ",""),":",": "))),0)),"-")</f>
        <v>-</v>
      </c>
      <c r="C2266" s="46" t="str" cm="1">
        <f t="array" ref="C2266">IFERROR(INDEX(#REF!,MATCH(TRUE,ISNUMBER(FIND(SUBSTITUTE(SUBSTITUTE(UPPER(#REF!)," ",""),":",": "),SUBSTITUTE(SUBSTITUTE(UPPER(S2266)," ",""),":",": "))),0)),"Não encontrado")</f>
        <v>Não encontrado</v>
      </c>
      <c r="D2266" s="46" t="str" cm="1">
        <f t="array" ref="D2266">IFERROR(INDEX(#REF!,MATCH(TRUE,ISNUMBER(FIND(SUBSTITUTE(SUBSTITUTE(UPPER(#REF!)," ",""),":",": "),SUBSTITUTE(SUBSTITUTE(UPPER(S2266)," ",""),":",": "))),0)),"Não encontrado")</f>
        <v>Não encontrado</v>
      </c>
      <c r="E2266" s="42" t="str" cm="1">
        <f t="array" ref="E2266">IFERROR(INDEX({"IMPEDITIVO"},MATCH(TRUE,ISNUMBER(FIND(SUBSTITUTE(SUBSTITUTE(UPPER({"IMPEDITIVO"})," ",""),":",": "),SUBSTITUTE(SUBSTITUTE(UPPER(S2266)," ",""),":",": "))),0)),"-")</f>
        <v>-</v>
      </c>
      <c r="K2266" s="49"/>
    </row>
    <row r="2267" spans="1:11" x14ac:dyDescent="0.25">
      <c r="A2267" s="46" t="str" cm="1">
        <f t="array" ref="A2267">IFERROR(INDEX(#REF!,MATCH(TRUE,ISNUMBER(FIND(SUBSTITUTE(SUBSTITUTE(UPPER(#REF!)," ",""),":",": "),SUBSTITUTE(SUBSTITUTE(UPPER(S2267)," ",""),":",": "))),0)),"Undefined")</f>
        <v>Undefined</v>
      </c>
      <c r="B2267" s="42" t="str" cm="1">
        <f t="array" ref="B2267">IFERROR(INDEX({"URGENTE"},MATCH(TRUE,ISNUMBER(FIND(SUBSTITUTE(SUBSTITUTE(UPPER({"URGENTE"})," ",""),":",": "),SUBSTITUTE(SUBSTITUTE(UPPER(S2267)," ",""),":",": "))),0)),"-")</f>
        <v>-</v>
      </c>
      <c r="C2267" s="46" t="str" cm="1">
        <f t="array" ref="C2267">IFERROR(INDEX(#REF!,MATCH(TRUE,ISNUMBER(FIND(SUBSTITUTE(SUBSTITUTE(UPPER(#REF!)," ",""),":",": "),SUBSTITUTE(SUBSTITUTE(UPPER(S2267)," ",""),":",": "))),0)),"Não encontrado")</f>
        <v>Não encontrado</v>
      </c>
      <c r="D2267" s="46" t="str" cm="1">
        <f t="array" ref="D2267">IFERROR(INDEX(#REF!,MATCH(TRUE,ISNUMBER(FIND(SUBSTITUTE(SUBSTITUTE(UPPER(#REF!)," ",""),":",": "),SUBSTITUTE(SUBSTITUTE(UPPER(S2267)," ",""),":",": "))),0)),"Não encontrado")</f>
        <v>Não encontrado</v>
      </c>
      <c r="E2267" s="42" t="str" cm="1">
        <f t="array" ref="E2267">IFERROR(INDEX({"IMPEDITIVO"},MATCH(TRUE,ISNUMBER(FIND(SUBSTITUTE(SUBSTITUTE(UPPER({"IMPEDITIVO"})," ",""),":",": "),SUBSTITUTE(SUBSTITUTE(UPPER(S2267)," ",""),":",": "))),0)),"-")</f>
        <v>-</v>
      </c>
      <c r="K2267" s="49"/>
    </row>
    <row r="2268" spans="1:11" x14ac:dyDescent="0.25">
      <c r="A2268" s="46" t="str" cm="1">
        <f t="array" ref="A2268">IFERROR(INDEX(#REF!,MATCH(TRUE,ISNUMBER(FIND(SUBSTITUTE(SUBSTITUTE(UPPER(#REF!)," ",""),":",": "),SUBSTITUTE(SUBSTITUTE(UPPER(S2268)," ",""),":",": "))),0)),"Undefined")</f>
        <v>Undefined</v>
      </c>
      <c r="B2268" s="42" t="str" cm="1">
        <f t="array" ref="B2268">IFERROR(INDEX({"URGENTE"},MATCH(TRUE,ISNUMBER(FIND(SUBSTITUTE(SUBSTITUTE(UPPER({"URGENTE"})," ",""),":",": "),SUBSTITUTE(SUBSTITUTE(UPPER(S2268)," ",""),":",": "))),0)),"-")</f>
        <v>-</v>
      </c>
      <c r="C2268" s="46" t="str" cm="1">
        <f t="array" ref="C2268">IFERROR(INDEX(#REF!,MATCH(TRUE,ISNUMBER(FIND(SUBSTITUTE(SUBSTITUTE(UPPER(#REF!)," ",""),":",": "),SUBSTITUTE(SUBSTITUTE(UPPER(S2268)," ",""),":",": "))),0)),"Não encontrado")</f>
        <v>Não encontrado</v>
      </c>
      <c r="D2268" s="46" t="str" cm="1">
        <f t="array" ref="D2268">IFERROR(INDEX(#REF!,MATCH(TRUE,ISNUMBER(FIND(SUBSTITUTE(SUBSTITUTE(UPPER(#REF!)," ",""),":",": "),SUBSTITUTE(SUBSTITUTE(UPPER(S2268)," ",""),":",": "))),0)),"Não encontrado")</f>
        <v>Não encontrado</v>
      </c>
      <c r="E2268" s="42" t="str" cm="1">
        <f t="array" ref="E2268">IFERROR(INDEX({"IMPEDITIVO"},MATCH(TRUE,ISNUMBER(FIND(SUBSTITUTE(SUBSTITUTE(UPPER({"IMPEDITIVO"})," ",""),":",": "),SUBSTITUTE(SUBSTITUTE(UPPER(S2268)," ",""),":",": "))),0)),"-")</f>
        <v>-</v>
      </c>
      <c r="K2268" s="49"/>
    </row>
    <row r="2269" spans="1:11" x14ac:dyDescent="0.25">
      <c r="A2269" s="46" t="str" cm="1">
        <f t="array" ref="A2269">IFERROR(INDEX(#REF!,MATCH(TRUE,ISNUMBER(FIND(SUBSTITUTE(SUBSTITUTE(UPPER(#REF!)," ",""),":",": "),SUBSTITUTE(SUBSTITUTE(UPPER(S2269)," ",""),":",": "))),0)),"Undefined")</f>
        <v>Undefined</v>
      </c>
      <c r="B2269" s="42" t="str" cm="1">
        <f t="array" ref="B2269">IFERROR(INDEX({"URGENTE"},MATCH(TRUE,ISNUMBER(FIND(SUBSTITUTE(SUBSTITUTE(UPPER({"URGENTE"})," ",""),":",": "),SUBSTITUTE(SUBSTITUTE(UPPER(S2269)," ",""),":",": "))),0)),"-")</f>
        <v>-</v>
      </c>
      <c r="C2269" s="46" t="str" cm="1">
        <f t="array" ref="C2269">IFERROR(INDEX(#REF!,MATCH(TRUE,ISNUMBER(FIND(SUBSTITUTE(SUBSTITUTE(UPPER(#REF!)," ",""),":",": "),SUBSTITUTE(SUBSTITUTE(UPPER(S2269)," ",""),":",": "))),0)),"Não encontrado")</f>
        <v>Não encontrado</v>
      </c>
      <c r="D2269" s="46" t="str" cm="1">
        <f t="array" ref="D2269">IFERROR(INDEX(#REF!,MATCH(TRUE,ISNUMBER(FIND(SUBSTITUTE(SUBSTITUTE(UPPER(#REF!)," ",""),":",": "),SUBSTITUTE(SUBSTITUTE(UPPER(S2269)," ",""),":",": "))),0)),"Não encontrado")</f>
        <v>Não encontrado</v>
      </c>
      <c r="E2269" s="42" t="str" cm="1">
        <f t="array" ref="E2269">IFERROR(INDEX({"IMPEDITIVO"},MATCH(TRUE,ISNUMBER(FIND(SUBSTITUTE(SUBSTITUTE(UPPER({"IMPEDITIVO"})," ",""),":",": "),SUBSTITUTE(SUBSTITUTE(UPPER(S2269)," ",""),":",": "))),0)),"-")</f>
        <v>-</v>
      </c>
      <c r="K2269" s="49"/>
    </row>
    <row r="2270" spans="1:11" x14ac:dyDescent="0.25">
      <c r="A2270" s="46" t="str" cm="1">
        <f t="array" ref="A2270">IFERROR(INDEX(#REF!,MATCH(TRUE,ISNUMBER(FIND(SUBSTITUTE(SUBSTITUTE(UPPER(#REF!)," ",""),":",": "),SUBSTITUTE(SUBSTITUTE(UPPER(S2270)," ",""),":",": "))),0)),"Undefined")</f>
        <v>Undefined</v>
      </c>
      <c r="B2270" s="42" t="str" cm="1">
        <f t="array" ref="B2270">IFERROR(INDEX({"URGENTE"},MATCH(TRUE,ISNUMBER(FIND(SUBSTITUTE(SUBSTITUTE(UPPER({"URGENTE"})," ",""),":",": "),SUBSTITUTE(SUBSTITUTE(UPPER(S2270)," ",""),":",": "))),0)),"-")</f>
        <v>-</v>
      </c>
      <c r="C2270" s="46" t="str" cm="1">
        <f t="array" ref="C2270">IFERROR(INDEX(#REF!,MATCH(TRUE,ISNUMBER(FIND(SUBSTITUTE(SUBSTITUTE(UPPER(#REF!)," ",""),":",": "),SUBSTITUTE(SUBSTITUTE(UPPER(S2270)," ",""),":",": "))),0)),"Não encontrado")</f>
        <v>Não encontrado</v>
      </c>
      <c r="D2270" s="46" t="str" cm="1">
        <f t="array" ref="D2270">IFERROR(INDEX(#REF!,MATCH(TRUE,ISNUMBER(FIND(SUBSTITUTE(SUBSTITUTE(UPPER(#REF!)," ",""),":",": "),SUBSTITUTE(SUBSTITUTE(UPPER(S2270)," ",""),":",": "))),0)),"Não encontrado")</f>
        <v>Não encontrado</v>
      </c>
      <c r="E2270" s="42" t="str" cm="1">
        <f t="array" ref="E2270">IFERROR(INDEX({"IMPEDITIVO"},MATCH(TRUE,ISNUMBER(FIND(SUBSTITUTE(SUBSTITUTE(UPPER({"IMPEDITIVO"})," ",""),":",": "),SUBSTITUTE(SUBSTITUTE(UPPER(S2270)," ",""),":",": "))),0)),"-")</f>
        <v>-</v>
      </c>
      <c r="K2270" s="49"/>
    </row>
    <row r="2271" spans="1:11" x14ac:dyDescent="0.25">
      <c r="A2271" s="46" t="str" cm="1">
        <f t="array" ref="A2271">IFERROR(INDEX(#REF!,MATCH(TRUE,ISNUMBER(FIND(SUBSTITUTE(SUBSTITUTE(UPPER(#REF!)," ",""),":",": "),SUBSTITUTE(SUBSTITUTE(UPPER(S2271)," ",""),":",": "))),0)),"Undefined")</f>
        <v>Undefined</v>
      </c>
      <c r="B2271" s="42" t="str" cm="1">
        <f t="array" ref="B2271">IFERROR(INDEX({"URGENTE"},MATCH(TRUE,ISNUMBER(FIND(SUBSTITUTE(SUBSTITUTE(UPPER({"URGENTE"})," ",""),":",": "),SUBSTITUTE(SUBSTITUTE(UPPER(S2271)," ",""),":",": "))),0)),"-")</f>
        <v>-</v>
      </c>
      <c r="C2271" s="46" t="str" cm="1">
        <f t="array" ref="C2271">IFERROR(INDEX(#REF!,MATCH(TRUE,ISNUMBER(FIND(SUBSTITUTE(SUBSTITUTE(UPPER(#REF!)," ",""),":",": "),SUBSTITUTE(SUBSTITUTE(UPPER(S2271)," ",""),":",": "))),0)),"Não encontrado")</f>
        <v>Não encontrado</v>
      </c>
      <c r="D2271" s="46" t="str" cm="1">
        <f t="array" ref="D2271">IFERROR(INDEX(#REF!,MATCH(TRUE,ISNUMBER(FIND(SUBSTITUTE(SUBSTITUTE(UPPER(#REF!)," ",""),":",": "),SUBSTITUTE(SUBSTITUTE(UPPER(S2271)," ",""),":",": "))),0)),"Não encontrado")</f>
        <v>Não encontrado</v>
      </c>
      <c r="E2271" s="42" t="str" cm="1">
        <f t="array" ref="E2271">IFERROR(INDEX({"IMPEDITIVO"},MATCH(TRUE,ISNUMBER(FIND(SUBSTITUTE(SUBSTITUTE(UPPER({"IMPEDITIVO"})," ",""),":",": "),SUBSTITUTE(SUBSTITUTE(UPPER(S2271)," ",""),":",": "))),0)),"-")</f>
        <v>-</v>
      </c>
      <c r="K2271" s="49"/>
    </row>
    <row r="2272" spans="1:11" x14ac:dyDescent="0.25">
      <c r="A2272" s="46" t="str" cm="1">
        <f t="array" ref="A2272">IFERROR(INDEX(#REF!,MATCH(TRUE,ISNUMBER(FIND(SUBSTITUTE(SUBSTITUTE(UPPER(#REF!)," ",""),":",": "),SUBSTITUTE(SUBSTITUTE(UPPER(S2272)," ",""),":",": "))),0)),"Undefined")</f>
        <v>Undefined</v>
      </c>
      <c r="B2272" s="42" t="str" cm="1">
        <f t="array" ref="B2272">IFERROR(INDEX({"URGENTE"},MATCH(TRUE,ISNUMBER(FIND(SUBSTITUTE(SUBSTITUTE(UPPER({"URGENTE"})," ",""),":",": "),SUBSTITUTE(SUBSTITUTE(UPPER(S2272)," ",""),":",": "))),0)),"-")</f>
        <v>-</v>
      </c>
      <c r="C2272" s="46" t="str" cm="1">
        <f t="array" ref="C2272">IFERROR(INDEX(#REF!,MATCH(TRUE,ISNUMBER(FIND(SUBSTITUTE(SUBSTITUTE(UPPER(#REF!)," ",""),":",": "),SUBSTITUTE(SUBSTITUTE(UPPER(S2272)," ",""),":",": "))),0)),"Não encontrado")</f>
        <v>Não encontrado</v>
      </c>
      <c r="D2272" s="46" t="str" cm="1">
        <f t="array" ref="D2272">IFERROR(INDEX(#REF!,MATCH(TRUE,ISNUMBER(FIND(SUBSTITUTE(SUBSTITUTE(UPPER(#REF!)," ",""),":",": "),SUBSTITUTE(SUBSTITUTE(UPPER(S2272)," ",""),":",": "))),0)),"Não encontrado")</f>
        <v>Não encontrado</v>
      </c>
      <c r="E2272" s="42" t="str" cm="1">
        <f t="array" ref="E2272">IFERROR(INDEX({"IMPEDITIVO"},MATCH(TRUE,ISNUMBER(FIND(SUBSTITUTE(SUBSTITUTE(UPPER({"IMPEDITIVO"})," ",""),":",": "),SUBSTITUTE(SUBSTITUTE(UPPER(S2272)," ",""),":",": "))),0)),"-")</f>
        <v>-</v>
      </c>
      <c r="K2272" s="49"/>
    </row>
    <row r="2273" spans="1:11" x14ac:dyDescent="0.25">
      <c r="A2273" s="46" t="str" cm="1">
        <f t="array" ref="A2273">IFERROR(INDEX(#REF!,MATCH(TRUE,ISNUMBER(FIND(SUBSTITUTE(SUBSTITUTE(UPPER(#REF!)," ",""),":",": "),SUBSTITUTE(SUBSTITUTE(UPPER(S2273)," ",""),":",": "))),0)),"Undefined")</f>
        <v>Undefined</v>
      </c>
      <c r="B2273" s="42" t="str" cm="1">
        <f t="array" ref="B2273">IFERROR(INDEX({"URGENTE"},MATCH(TRUE,ISNUMBER(FIND(SUBSTITUTE(SUBSTITUTE(UPPER({"URGENTE"})," ",""),":",": "),SUBSTITUTE(SUBSTITUTE(UPPER(S2273)," ",""),":",": "))),0)),"-")</f>
        <v>-</v>
      </c>
      <c r="C2273" s="46" t="str" cm="1">
        <f t="array" ref="C2273">IFERROR(INDEX(#REF!,MATCH(TRUE,ISNUMBER(FIND(SUBSTITUTE(SUBSTITUTE(UPPER(#REF!)," ",""),":",": "),SUBSTITUTE(SUBSTITUTE(UPPER(S2273)," ",""),":",": "))),0)),"Não encontrado")</f>
        <v>Não encontrado</v>
      </c>
      <c r="D2273" s="46" t="str" cm="1">
        <f t="array" ref="D2273">IFERROR(INDEX(#REF!,MATCH(TRUE,ISNUMBER(FIND(SUBSTITUTE(SUBSTITUTE(UPPER(#REF!)," ",""),":",": "),SUBSTITUTE(SUBSTITUTE(UPPER(S2273)," ",""),":",": "))),0)),"Não encontrado")</f>
        <v>Não encontrado</v>
      </c>
      <c r="E2273" s="42" t="str" cm="1">
        <f t="array" ref="E2273">IFERROR(INDEX({"IMPEDITIVO"},MATCH(TRUE,ISNUMBER(FIND(SUBSTITUTE(SUBSTITUTE(UPPER({"IMPEDITIVO"})," ",""),":",": "),SUBSTITUTE(SUBSTITUTE(UPPER(S2273)," ",""),":",": "))),0)),"-")</f>
        <v>-</v>
      </c>
      <c r="K2273" s="49"/>
    </row>
    <row r="2274" spans="1:11" x14ac:dyDescent="0.25">
      <c r="A2274" s="46" t="str" cm="1">
        <f t="array" ref="A2274">IFERROR(INDEX(#REF!,MATCH(TRUE,ISNUMBER(FIND(SUBSTITUTE(SUBSTITUTE(UPPER(#REF!)," ",""),":",": "),SUBSTITUTE(SUBSTITUTE(UPPER(S2274)," ",""),":",": "))),0)),"Undefined")</f>
        <v>Undefined</v>
      </c>
      <c r="B2274" s="42" t="str" cm="1">
        <f t="array" ref="B2274">IFERROR(INDEX({"URGENTE"},MATCH(TRUE,ISNUMBER(FIND(SUBSTITUTE(SUBSTITUTE(UPPER({"URGENTE"})," ",""),":",": "),SUBSTITUTE(SUBSTITUTE(UPPER(S2274)," ",""),":",": "))),0)),"-")</f>
        <v>-</v>
      </c>
      <c r="C2274" s="46" t="str" cm="1">
        <f t="array" ref="C2274">IFERROR(INDEX(#REF!,MATCH(TRUE,ISNUMBER(FIND(SUBSTITUTE(SUBSTITUTE(UPPER(#REF!)," ",""),":",": "),SUBSTITUTE(SUBSTITUTE(UPPER(S2274)," ",""),":",": "))),0)),"Não encontrado")</f>
        <v>Não encontrado</v>
      </c>
      <c r="D2274" s="46" t="str" cm="1">
        <f t="array" ref="D2274">IFERROR(INDEX(#REF!,MATCH(TRUE,ISNUMBER(FIND(SUBSTITUTE(SUBSTITUTE(UPPER(#REF!)," ",""),":",": "),SUBSTITUTE(SUBSTITUTE(UPPER(S2274)," ",""),":",": "))),0)),"Não encontrado")</f>
        <v>Não encontrado</v>
      </c>
      <c r="E2274" s="42" t="str" cm="1">
        <f t="array" ref="E2274">IFERROR(INDEX({"IMPEDITIVO"},MATCH(TRUE,ISNUMBER(FIND(SUBSTITUTE(SUBSTITUTE(UPPER({"IMPEDITIVO"})," ",""),":",": "),SUBSTITUTE(SUBSTITUTE(UPPER(S2274)," ",""),":",": "))),0)),"-")</f>
        <v>-</v>
      </c>
      <c r="K2274" s="49"/>
    </row>
    <row r="2275" spans="1:11" x14ac:dyDescent="0.25">
      <c r="A2275" s="46" t="str" cm="1">
        <f t="array" ref="A2275">IFERROR(INDEX(#REF!,MATCH(TRUE,ISNUMBER(FIND(SUBSTITUTE(SUBSTITUTE(UPPER(#REF!)," ",""),":",": "),SUBSTITUTE(SUBSTITUTE(UPPER(S2275)," ",""),":",": "))),0)),"Undefined")</f>
        <v>Undefined</v>
      </c>
      <c r="B2275" s="42" t="str" cm="1">
        <f t="array" ref="B2275">IFERROR(INDEX({"URGENTE"},MATCH(TRUE,ISNUMBER(FIND(SUBSTITUTE(SUBSTITUTE(UPPER({"URGENTE"})," ",""),":",": "),SUBSTITUTE(SUBSTITUTE(UPPER(S2275)," ",""),":",": "))),0)),"-")</f>
        <v>-</v>
      </c>
      <c r="C2275" s="46" t="str" cm="1">
        <f t="array" ref="C2275">IFERROR(INDEX(#REF!,MATCH(TRUE,ISNUMBER(FIND(SUBSTITUTE(SUBSTITUTE(UPPER(#REF!)," ",""),":",": "),SUBSTITUTE(SUBSTITUTE(UPPER(S2275)," ",""),":",": "))),0)),"Não encontrado")</f>
        <v>Não encontrado</v>
      </c>
      <c r="D2275" s="46" t="str" cm="1">
        <f t="array" ref="D2275">IFERROR(INDEX(#REF!,MATCH(TRUE,ISNUMBER(FIND(SUBSTITUTE(SUBSTITUTE(UPPER(#REF!)," ",""),":",": "),SUBSTITUTE(SUBSTITUTE(UPPER(S2275)," ",""),":",": "))),0)),"Não encontrado")</f>
        <v>Não encontrado</v>
      </c>
      <c r="E2275" s="42" t="str" cm="1">
        <f t="array" ref="E2275">IFERROR(INDEX({"IMPEDITIVO"},MATCH(TRUE,ISNUMBER(FIND(SUBSTITUTE(SUBSTITUTE(UPPER({"IMPEDITIVO"})," ",""),":",": "),SUBSTITUTE(SUBSTITUTE(UPPER(S2275)," ",""),":",": "))),0)),"-")</f>
        <v>-</v>
      </c>
      <c r="K2275" s="49"/>
    </row>
    <row r="2276" spans="1:11" x14ac:dyDescent="0.25">
      <c r="A2276" s="46" t="str" cm="1">
        <f t="array" ref="A2276">IFERROR(INDEX(#REF!,MATCH(TRUE,ISNUMBER(FIND(SUBSTITUTE(SUBSTITUTE(UPPER(#REF!)," ",""),":",": "),SUBSTITUTE(SUBSTITUTE(UPPER(S2276)," ",""),":",": "))),0)),"Undefined")</f>
        <v>Undefined</v>
      </c>
      <c r="B2276" s="42" t="str" cm="1">
        <f t="array" ref="B2276">IFERROR(INDEX({"URGENTE"},MATCH(TRUE,ISNUMBER(FIND(SUBSTITUTE(SUBSTITUTE(UPPER({"URGENTE"})," ",""),":",": "),SUBSTITUTE(SUBSTITUTE(UPPER(S2276)," ",""),":",": "))),0)),"-")</f>
        <v>-</v>
      </c>
      <c r="C2276" s="46" t="str" cm="1">
        <f t="array" ref="C2276">IFERROR(INDEX(#REF!,MATCH(TRUE,ISNUMBER(FIND(SUBSTITUTE(SUBSTITUTE(UPPER(#REF!)," ",""),":",": "),SUBSTITUTE(SUBSTITUTE(UPPER(S2276)," ",""),":",": "))),0)),"Não encontrado")</f>
        <v>Não encontrado</v>
      </c>
      <c r="D2276" s="46" t="str" cm="1">
        <f t="array" ref="D2276">IFERROR(INDEX(#REF!,MATCH(TRUE,ISNUMBER(FIND(SUBSTITUTE(SUBSTITUTE(UPPER(#REF!)," ",""),":",": "),SUBSTITUTE(SUBSTITUTE(UPPER(S2276)," ",""),":",": "))),0)),"Não encontrado")</f>
        <v>Não encontrado</v>
      </c>
      <c r="E2276" s="42" t="str" cm="1">
        <f t="array" ref="E2276">IFERROR(INDEX({"IMPEDITIVO"},MATCH(TRUE,ISNUMBER(FIND(SUBSTITUTE(SUBSTITUTE(UPPER({"IMPEDITIVO"})," ",""),":",": "),SUBSTITUTE(SUBSTITUTE(UPPER(S2276)," ",""),":",": "))),0)),"-")</f>
        <v>-</v>
      </c>
      <c r="K2276" s="49"/>
    </row>
    <row r="2277" spans="1:11" x14ac:dyDescent="0.25">
      <c r="A2277" s="46" t="str" cm="1">
        <f t="array" ref="A2277">IFERROR(INDEX(#REF!,MATCH(TRUE,ISNUMBER(FIND(SUBSTITUTE(SUBSTITUTE(UPPER(#REF!)," ",""),":",": "),SUBSTITUTE(SUBSTITUTE(UPPER(S2277)," ",""),":",": "))),0)),"Undefined")</f>
        <v>Undefined</v>
      </c>
      <c r="B2277" s="42" t="str" cm="1">
        <f t="array" ref="B2277">IFERROR(INDEX({"URGENTE"},MATCH(TRUE,ISNUMBER(FIND(SUBSTITUTE(SUBSTITUTE(UPPER({"URGENTE"})," ",""),":",": "),SUBSTITUTE(SUBSTITUTE(UPPER(S2277)," ",""),":",": "))),0)),"-")</f>
        <v>-</v>
      </c>
      <c r="C2277" s="46" t="str" cm="1">
        <f t="array" ref="C2277">IFERROR(INDEX(#REF!,MATCH(TRUE,ISNUMBER(FIND(SUBSTITUTE(SUBSTITUTE(UPPER(#REF!)," ",""),":",": "),SUBSTITUTE(SUBSTITUTE(UPPER(S2277)," ",""),":",": "))),0)),"Não encontrado")</f>
        <v>Não encontrado</v>
      </c>
      <c r="D2277" s="46" t="str" cm="1">
        <f t="array" ref="D2277">IFERROR(INDEX(#REF!,MATCH(TRUE,ISNUMBER(FIND(SUBSTITUTE(SUBSTITUTE(UPPER(#REF!)," ",""),":",": "),SUBSTITUTE(SUBSTITUTE(UPPER(S2277)," ",""),":",": "))),0)),"Não encontrado")</f>
        <v>Não encontrado</v>
      </c>
      <c r="E2277" s="42" t="str" cm="1">
        <f t="array" ref="E2277">IFERROR(INDEX({"IMPEDITIVO"},MATCH(TRUE,ISNUMBER(FIND(SUBSTITUTE(SUBSTITUTE(UPPER({"IMPEDITIVO"})," ",""),":",": "),SUBSTITUTE(SUBSTITUTE(UPPER(S2277)," ",""),":",": "))),0)),"-")</f>
        <v>-</v>
      </c>
      <c r="K2277" s="49"/>
    </row>
    <row r="2278" spans="1:11" x14ac:dyDescent="0.25">
      <c r="A2278" s="46" t="str" cm="1">
        <f t="array" ref="A2278">IFERROR(INDEX(#REF!,MATCH(TRUE,ISNUMBER(FIND(SUBSTITUTE(SUBSTITUTE(UPPER(#REF!)," ",""),":",": "),SUBSTITUTE(SUBSTITUTE(UPPER(S2278)," ",""),":",": "))),0)),"Undefined")</f>
        <v>Undefined</v>
      </c>
      <c r="B2278" s="42" t="str" cm="1">
        <f t="array" ref="B2278">IFERROR(INDEX({"URGENTE"},MATCH(TRUE,ISNUMBER(FIND(SUBSTITUTE(SUBSTITUTE(UPPER({"URGENTE"})," ",""),":",": "),SUBSTITUTE(SUBSTITUTE(UPPER(S2278)," ",""),":",": "))),0)),"-")</f>
        <v>-</v>
      </c>
      <c r="C2278" s="46" t="str" cm="1">
        <f t="array" ref="C2278">IFERROR(INDEX(#REF!,MATCH(TRUE,ISNUMBER(FIND(SUBSTITUTE(SUBSTITUTE(UPPER(#REF!)," ",""),":",": "),SUBSTITUTE(SUBSTITUTE(UPPER(S2278)," ",""),":",": "))),0)),"Não encontrado")</f>
        <v>Não encontrado</v>
      </c>
      <c r="D2278" s="46" t="str" cm="1">
        <f t="array" ref="D2278">IFERROR(INDEX(#REF!,MATCH(TRUE,ISNUMBER(FIND(SUBSTITUTE(SUBSTITUTE(UPPER(#REF!)," ",""),":",": "),SUBSTITUTE(SUBSTITUTE(UPPER(S2278)," ",""),":",": "))),0)),"Não encontrado")</f>
        <v>Não encontrado</v>
      </c>
      <c r="E2278" s="42" t="str" cm="1">
        <f t="array" ref="E2278">IFERROR(INDEX({"IMPEDITIVO"},MATCH(TRUE,ISNUMBER(FIND(SUBSTITUTE(SUBSTITUTE(UPPER({"IMPEDITIVO"})," ",""),":",": "),SUBSTITUTE(SUBSTITUTE(UPPER(S2278)," ",""),":",": "))),0)),"-")</f>
        <v>-</v>
      </c>
      <c r="K2278" s="49"/>
    </row>
    <row r="2279" spans="1:11" x14ac:dyDescent="0.25">
      <c r="A2279" s="46" t="str" cm="1">
        <f t="array" ref="A2279">IFERROR(INDEX(#REF!,MATCH(TRUE,ISNUMBER(FIND(SUBSTITUTE(SUBSTITUTE(UPPER(#REF!)," ",""),":",": "),SUBSTITUTE(SUBSTITUTE(UPPER(S2279)," ",""),":",": "))),0)),"Undefined")</f>
        <v>Undefined</v>
      </c>
      <c r="B2279" s="42" t="str" cm="1">
        <f t="array" ref="B2279">IFERROR(INDEX({"URGENTE"},MATCH(TRUE,ISNUMBER(FIND(SUBSTITUTE(SUBSTITUTE(UPPER({"URGENTE"})," ",""),":",": "),SUBSTITUTE(SUBSTITUTE(UPPER(S2279)," ",""),":",": "))),0)),"-")</f>
        <v>-</v>
      </c>
      <c r="C2279" s="46" t="str" cm="1">
        <f t="array" ref="C2279">IFERROR(INDEX(#REF!,MATCH(TRUE,ISNUMBER(FIND(SUBSTITUTE(SUBSTITUTE(UPPER(#REF!)," ",""),":",": "),SUBSTITUTE(SUBSTITUTE(UPPER(S2279)," ",""),":",": "))),0)),"Não encontrado")</f>
        <v>Não encontrado</v>
      </c>
      <c r="D2279" s="46" t="str" cm="1">
        <f t="array" ref="D2279">IFERROR(INDEX(#REF!,MATCH(TRUE,ISNUMBER(FIND(SUBSTITUTE(SUBSTITUTE(UPPER(#REF!)," ",""),":",": "),SUBSTITUTE(SUBSTITUTE(UPPER(S2279)," ",""),":",": "))),0)),"Não encontrado")</f>
        <v>Não encontrado</v>
      </c>
      <c r="E2279" s="42" t="str" cm="1">
        <f t="array" ref="E2279">IFERROR(INDEX({"IMPEDITIVO"},MATCH(TRUE,ISNUMBER(FIND(SUBSTITUTE(SUBSTITUTE(UPPER({"IMPEDITIVO"})," ",""),":",": "),SUBSTITUTE(SUBSTITUTE(UPPER(S2279)," ",""),":",": "))),0)),"-")</f>
        <v>-</v>
      </c>
      <c r="K2279" s="49"/>
    </row>
    <row r="2280" spans="1:11" x14ac:dyDescent="0.25">
      <c r="A2280" s="46" t="str" cm="1">
        <f t="array" ref="A2280">IFERROR(INDEX(#REF!,MATCH(TRUE,ISNUMBER(FIND(SUBSTITUTE(SUBSTITUTE(UPPER(#REF!)," ",""),":",": "),SUBSTITUTE(SUBSTITUTE(UPPER(S2280)," ",""),":",": "))),0)),"Undefined")</f>
        <v>Undefined</v>
      </c>
      <c r="B2280" s="42" t="str" cm="1">
        <f t="array" ref="B2280">IFERROR(INDEX({"URGENTE"},MATCH(TRUE,ISNUMBER(FIND(SUBSTITUTE(SUBSTITUTE(UPPER({"URGENTE"})," ",""),":",": "),SUBSTITUTE(SUBSTITUTE(UPPER(S2280)," ",""),":",": "))),0)),"-")</f>
        <v>-</v>
      </c>
      <c r="C2280" s="46" t="str" cm="1">
        <f t="array" ref="C2280">IFERROR(INDEX(#REF!,MATCH(TRUE,ISNUMBER(FIND(SUBSTITUTE(SUBSTITUTE(UPPER(#REF!)," ",""),":",": "),SUBSTITUTE(SUBSTITUTE(UPPER(S2280)," ",""),":",": "))),0)),"Não encontrado")</f>
        <v>Não encontrado</v>
      </c>
      <c r="D2280" s="46" t="str" cm="1">
        <f t="array" ref="D2280">IFERROR(INDEX(#REF!,MATCH(TRUE,ISNUMBER(FIND(SUBSTITUTE(SUBSTITUTE(UPPER(#REF!)," ",""),":",": "),SUBSTITUTE(SUBSTITUTE(UPPER(S2280)," ",""),":",": "))),0)),"Não encontrado")</f>
        <v>Não encontrado</v>
      </c>
      <c r="E2280" s="42" t="str" cm="1">
        <f t="array" ref="E2280">IFERROR(INDEX({"IMPEDITIVO"},MATCH(TRUE,ISNUMBER(FIND(SUBSTITUTE(SUBSTITUTE(UPPER({"IMPEDITIVO"})," ",""),":",": "),SUBSTITUTE(SUBSTITUTE(UPPER(S2280)," ",""),":",": "))),0)),"-")</f>
        <v>-</v>
      </c>
      <c r="K2280" s="49"/>
    </row>
    <row r="2281" spans="1:11" x14ac:dyDescent="0.25">
      <c r="A2281" s="46" t="str" cm="1">
        <f t="array" ref="A2281">IFERROR(INDEX(#REF!,MATCH(TRUE,ISNUMBER(FIND(SUBSTITUTE(SUBSTITUTE(UPPER(#REF!)," ",""),":",": "),SUBSTITUTE(SUBSTITUTE(UPPER(S2281)," ",""),":",": "))),0)),"Undefined")</f>
        <v>Undefined</v>
      </c>
      <c r="B2281" s="42" t="str" cm="1">
        <f t="array" ref="B2281">IFERROR(INDEX({"URGENTE"},MATCH(TRUE,ISNUMBER(FIND(SUBSTITUTE(SUBSTITUTE(UPPER({"URGENTE"})," ",""),":",": "),SUBSTITUTE(SUBSTITUTE(UPPER(S2281)," ",""),":",": "))),0)),"-")</f>
        <v>-</v>
      </c>
      <c r="C2281" s="46" t="str" cm="1">
        <f t="array" ref="C2281">IFERROR(INDEX(#REF!,MATCH(TRUE,ISNUMBER(FIND(SUBSTITUTE(SUBSTITUTE(UPPER(#REF!)," ",""),":",": "),SUBSTITUTE(SUBSTITUTE(UPPER(S2281)," ",""),":",": "))),0)),"Não encontrado")</f>
        <v>Não encontrado</v>
      </c>
      <c r="D2281" s="46" t="str" cm="1">
        <f t="array" ref="D2281">IFERROR(INDEX(#REF!,MATCH(TRUE,ISNUMBER(FIND(SUBSTITUTE(SUBSTITUTE(UPPER(#REF!)," ",""),":",": "),SUBSTITUTE(SUBSTITUTE(UPPER(S2281)," ",""),":",": "))),0)),"Não encontrado")</f>
        <v>Não encontrado</v>
      </c>
      <c r="E2281" s="42" t="str" cm="1">
        <f t="array" ref="E2281">IFERROR(INDEX({"IMPEDITIVO"},MATCH(TRUE,ISNUMBER(FIND(SUBSTITUTE(SUBSTITUTE(UPPER({"IMPEDITIVO"})," ",""),":",": "),SUBSTITUTE(SUBSTITUTE(UPPER(S2281)," ",""),":",": "))),0)),"-")</f>
        <v>-</v>
      </c>
      <c r="K2281" s="49"/>
    </row>
    <row r="2282" spans="1:11" x14ac:dyDescent="0.25">
      <c r="A2282" s="46" t="str" cm="1">
        <f t="array" ref="A2282">IFERROR(INDEX(#REF!,MATCH(TRUE,ISNUMBER(FIND(SUBSTITUTE(SUBSTITUTE(UPPER(#REF!)," ",""),":",": "),SUBSTITUTE(SUBSTITUTE(UPPER(S2282)," ",""),":",": "))),0)),"Undefined")</f>
        <v>Undefined</v>
      </c>
      <c r="B2282" s="42" t="str" cm="1">
        <f t="array" ref="B2282">IFERROR(INDEX({"URGENTE"},MATCH(TRUE,ISNUMBER(FIND(SUBSTITUTE(SUBSTITUTE(UPPER({"URGENTE"})," ",""),":",": "),SUBSTITUTE(SUBSTITUTE(UPPER(S2282)," ",""),":",": "))),0)),"-")</f>
        <v>-</v>
      </c>
      <c r="C2282" s="46" t="str" cm="1">
        <f t="array" ref="C2282">IFERROR(INDEX(#REF!,MATCH(TRUE,ISNUMBER(FIND(SUBSTITUTE(SUBSTITUTE(UPPER(#REF!)," ",""),":",": "),SUBSTITUTE(SUBSTITUTE(UPPER(S2282)," ",""),":",": "))),0)),"Não encontrado")</f>
        <v>Não encontrado</v>
      </c>
      <c r="D2282" s="46" t="str" cm="1">
        <f t="array" ref="D2282">IFERROR(INDEX(#REF!,MATCH(TRUE,ISNUMBER(FIND(SUBSTITUTE(SUBSTITUTE(UPPER(#REF!)," ",""),":",": "),SUBSTITUTE(SUBSTITUTE(UPPER(S2282)," ",""),":",": "))),0)),"Não encontrado")</f>
        <v>Não encontrado</v>
      </c>
      <c r="E2282" s="42" t="str" cm="1">
        <f t="array" ref="E2282">IFERROR(INDEX({"IMPEDITIVO"},MATCH(TRUE,ISNUMBER(FIND(SUBSTITUTE(SUBSTITUTE(UPPER({"IMPEDITIVO"})," ",""),":",": "),SUBSTITUTE(SUBSTITUTE(UPPER(S2282)," ",""),":",": "))),0)),"-")</f>
        <v>-</v>
      </c>
      <c r="K2282" s="49"/>
    </row>
    <row r="2283" spans="1:11" x14ac:dyDescent="0.25">
      <c r="A2283" s="46" t="str" cm="1">
        <f t="array" ref="A2283">IFERROR(INDEX(#REF!,MATCH(TRUE,ISNUMBER(FIND(SUBSTITUTE(SUBSTITUTE(UPPER(#REF!)," ",""),":",": "),SUBSTITUTE(SUBSTITUTE(UPPER(S2283)," ",""),":",": "))),0)),"Undefined")</f>
        <v>Undefined</v>
      </c>
      <c r="B2283" s="42" t="str" cm="1">
        <f t="array" ref="B2283">IFERROR(INDEX({"URGENTE"},MATCH(TRUE,ISNUMBER(FIND(SUBSTITUTE(SUBSTITUTE(UPPER({"URGENTE"})," ",""),":",": "),SUBSTITUTE(SUBSTITUTE(UPPER(S2283)," ",""),":",": "))),0)),"-")</f>
        <v>-</v>
      </c>
      <c r="C2283" s="46" t="str" cm="1">
        <f t="array" ref="C2283">IFERROR(INDEX(#REF!,MATCH(TRUE,ISNUMBER(FIND(SUBSTITUTE(SUBSTITUTE(UPPER(#REF!)," ",""),":",": "),SUBSTITUTE(SUBSTITUTE(UPPER(S2283)," ",""),":",": "))),0)),"Não encontrado")</f>
        <v>Não encontrado</v>
      </c>
      <c r="D2283" s="46" t="str" cm="1">
        <f t="array" ref="D2283">IFERROR(INDEX(#REF!,MATCH(TRUE,ISNUMBER(FIND(SUBSTITUTE(SUBSTITUTE(UPPER(#REF!)," ",""),":",": "),SUBSTITUTE(SUBSTITUTE(UPPER(S2283)," ",""),":",": "))),0)),"Não encontrado")</f>
        <v>Não encontrado</v>
      </c>
      <c r="E2283" s="42" t="str" cm="1">
        <f t="array" ref="E2283">IFERROR(INDEX({"IMPEDITIVO"},MATCH(TRUE,ISNUMBER(FIND(SUBSTITUTE(SUBSTITUTE(UPPER({"IMPEDITIVO"})," ",""),":",": "),SUBSTITUTE(SUBSTITUTE(UPPER(S2283)," ",""),":",": "))),0)),"-")</f>
        <v>-</v>
      </c>
      <c r="K2283" s="49"/>
    </row>
    <row r="2284" spans="1:11" x14ac:dyDescent="0.25">
      <c r="A2284" s="46" t="str" cm="1">
        <f t="array" ref="A2284">IFERROR(INDEX(#REF!,MATCH(TRUE,ISNUMBER(FIND(SUBSTITUTE(SUBSTITUTE(UPPER(#REF!)," ",""),":",": "),SUBSTITUTE(SUBSTITUTE(UPPER(S2284)," ",""),":",": "))),0)),"Undefined")</f>
        <v>Undefined</v>
      </c>
      <c r="B2284" s="42" t="str" cm="1">
        <f t="array" ref="B2284">IFERROR(INDEX({"URGENTE"},MATCH(TRUE,ISNUMBER(FIND(SUBSTITUTE(SUBSTITUTE(UPPER({"URGENTE"})," ",""),":",": "),SUBSTITUTE(SUBSTITUTE(UPPER(S2284)," ",""),":",": "))),0)),"-")</f>
        <v>-</v>
      </c>
      <c r="C2284" s="46" t="str" cm="1">
        <f t="array" ref="C2284">IFERROR(INDEX(#REF!,MATCH(TRUE,ISNUMBER(FIND(SUBSTITUTE(SUBSTITUTE(UPPER(#REF!)," ",""),":",": "),SUBSTITUTE(SUBSTITUTE(UPPER(S2284)," ",""),":",": "))),0)),"Não encontrado")</f>
        <v>Não encontrado</v>
      </c>
      <c r="D2284" s="46" t="str" cm="1">
        <f t="array" ref="D2284">IFERROR(INDEX(#REF!,MATCH(TRUE,ISNUMBER(FIND(SUBSTITUTE(SUBSTITUTE(UPPER(#REF!)," ",""),":",": "),SUBSTITUTE(SUBSTITUTE(UPPER(S2284)," ",""),":",": "))),0)),"Não encontrado")</f>
        <v>Não encontrado</v>
      </c>
      <c r="E2284" s="42" t="str" cm="1">
        <f t="array" ref="E2284">IFERROR(INDEX({"IMPEDITIVO"},MATCH(TRUE,ISNUMBER(FIND(SUBSTITUTE(SUBSTITUTE(UPPER({"IMPEDITIVO"})," ",""),":",": "),SUBSTITUTE(SUBSTITUTE(UPPER(S2284)," ",""),":",": "))),0)),"-")</f>
        <v>-</v>
      </c>
      <c r="K2284" s="49"/>
    </row>
    <row r="2285" spans="1:11" x14ac:dyDescent="0.25">
      <c r="A2285" s="46" t="str" cm="1">
        <f t="array" ref="A2285">IFERROR(INDEX(#REF!,MATCH(TRUE,ISNUMBER(FIND(SUBSTITUTE(SUBSTITUTE(UPPER(#REF!)," ",""),":",": "),SUBSTITUTE(SUBSTITUTE(UPPER(S2285)," ",""),":",": "))),0)),"Undefined")</f>
        <v>Undefined</v>
      </c>
      <c r="B2285" s="42" t="str" cm="1">
        <f t="array" ref="B2285">IFERROR(INDEX({"URGENTE"},MATCH(TRUE,ISNUMBER(FIND(SUBSTITUTE(SUBSTITUTE(UPPER({"URGENTE"})," ",""),":",": "),SUBSTITUTE(SUBSTITUTE(UPPER(S2285)," ",""),":",": "))),0)),"-")</f>
        <v>-</v>
      </c>
      <c r="C2285" s="46" t="str" cm="1">
        <f t="array" ref="C2285">IFERROR(INDEX(#REF!,MATCH(TRUE,ISNUMBER(FIND(SUBSTITUTE(SUBSTITUTE(UPPER(#REF!)," ",""),":",": "),SUBSTITUTE(SUBSTITUTE(UPPER(S2285)," ",""),":",": "))),0)),"Não encontrado")</f>
        <v>Não encontrado</v>
      </c>
      <c r="D2285" s="46" t="str" cm="1">
        <f t="array" ref="D2285">IFERROR(INDEX(#REF!,MATCH(TRUE,ISNUMBER(FIND(SUBSTITUTE(SUBSTITUTE(UPPER(#REF!)," ",""),":",": "),SUBSTITUTE(SUBSTITUTE(UPPER(S2285)," ",""),":",": "))),0)),"Não encontrado")</f>
        <v>Não encontrado</v>
      </c>
      <c r="E2285" s="42" t="str" cm="1">
        <f t="array" ref="E2285">IFERROR(INDEX({"IMPEDITIVO"},MATCH(TRUE,ISNUMBER(FIND(SUBSTITUTE(SUBSTITUTE(UPPER({"IMPEDITIVO"})," ",""),":",": "),SUBSTITUTE(SUBSTITUTE(UPPER(S2285)," ",""),":",": "))),0)),"-")</f>
        <v>-</v>
      </c>
      <c r="K2285" s="49"/>
    </row>
    <row r="2286" spans="1:11" x14ac:dyDescent="0.25">
      <c r="A2286" s="46" t="str" cm="1">
        <f t="array" ref="A2286">IFERROR(INDEX(#REF!,MATCH(TRUE,ISNUMBER(FIND(SUBSTITUTE(SUBSTITUTE(UPPER(#REF!)," ",""),":",": "),SUBSTITUTE(SUBSTITUTE(UPPER(S2286)," ",""),":",": "))),0)),"Undefined")</f>
        <v>Undefined</v>
      </c>
      <c r="B2286" s="42" t="str" cm="1">
        <f t="array" ref="B2286">IFERROR(INDEX({"URGENTE"},MATCH(TRUE,ISNUMBER(FIND(SUBSTITUTE(SUBSTITUTE(UPPER({"URGENTE"})," ",""),":",": "),SUBSTITUTE(SUBSTITUTE(UPPER(S2286)," ",""),":",": "))),0)),"-")</f>
        <v>-</v>
      </c>
      <c r="C2286" s="46" t="str" cm="1">
        <f t="array" ref="C2286">IFERROR(INDEX(#REF!,MATCH(TRUE,ISNUMBER(FIND(SUBSTITUTE(SUBSTITUTE(UPPER(#REF!)," ",""),":",": "),SUBSTITUTE(SUBSTITUTE(UPPER(S2286)," ",""),":",": "))),0)),"Não encontrado")</f>
        <v>Não encontrado</v>
      </c>
      <c r="D2286" s="46" t="str" cm="1">
        <f t="array" ref="D2286">IFERROR(INDEX(#REF!,MATCH(TRUE,ISNUMBER(FIND(SUBSTITUTE(SUBSTITUTE(UPPER(#REF!)," ",""),":",": "),SUBSTITUTE(SUBSTITUTE(UPPER(S2286)," ",""),":",": "))),0)),"Não encontrado")</f>
        <v>Não encontrado</v>
      </c>
      <c r="E2286" s="42" t="str" cm="1">
        <f t="array" ref="E2286">IFERROR(INDEX({"IMPEDITIVO"},MATCH(TRUE,ISNUMBER(FIND(SUBSTITUTE(SUBSTITUTE(UPPER({"IMPEDITIVO"})," ",""),":",": "),SUBSTITUTE(SUBSTITUTE(UPPER(S2286)," ",""),":",": "))),0)),"-")</f>
        <v>-</v>
      </c>
      <c r="K2286" s="49"/>
    </row>
    <row r="2287" spans="1:11" x14ac:dyDescent="0.25">
      <c r="A2287" s="46" t="str" cm="1">
        <f t="array" ref="A2287">IFERROR(INDEX(#REF!,MATCH(TRUE,ISNUMBER(FIND(SUBSTITUTE(SUBSTITUTE(UPPER(#REF!)," ",""),":",": "),SUBSTITUTE(SUBSTITUTE(UPPER(S2287)," ",""),":",": "))),0)),"Undefined")</f>
        <v>Undefined</v>
      </c>
      <c r="B2287" s="42" t="str" cm="1">
        <f t="array" ref="B2287">IFERROR(INDEX({"URGENTE"},MATCH(TRUE,ISNUMBER(FIND(SUBSTITUTE(SUBSTITUTE(UPPER({"URGENTE"})," ",""),":",": "),SUBSTITUTE(SUBSTITUTE(UPPER(S2287)," ",""),":",": "))),0)),"-")</f>
        <v>-</v>
      </c>
      <c r="C2287" s="46" t="str" cm="1">
        <f t="array" ref="C2287">IFERROR(INDEX(#REF!,MATCH(TRUE,ISNUMBER(FIND(SUBSTITUTE(SUBSTITUTE(UPPER(#REF!)," ",""),":",": "),SUBSTITUTE(SUBSTITUTE(UPPER(S2287)," ",""),":",": "))),0)),"Não encontrado")</f>
        <v>Não encontrado</v>
      </c>
      <c r="D2287" s="46" t="str" cm="1">
        <f t="array" ref="D2287">IFERROR(INDEX(#REF!,MATCH(TRUE,ISNUMBER(FIND(SUBSTITUTE(SUBSTITUTE(UPPER(#REF!)," ",""),":",": "),SUBSTITUTE(SUBSTITUTE(UPPER(S2287)," ",""),":",": "))),0)),"Não encontrado")</f>
        <v>Não encontrado</v>
      </c>
      <c r="E2287" s="42" t="str" cm="1">
        <f t="array" ref="E2287">IFERROR(INDEX({"IMPEDITIVO"},MATCH(TRUE,ISNUMBER(FIND(SUBSTITUTE(SUBSTITUTE(UPPER({"IMPEDITIVO"})," ",""),":",": "),SUBSTITUTE(SUBSTITUTE(UPPER(S2287)," ",""),":",": "))),0)),"-")</f>
        <v>-</v>
      </c>
      <c r="K2287" s="49"/>
    </row>
    <row r="2288" spans="1:11" x14ac:dyDescent="0.25">
      <c r="A2288" s="46" t="str" cm="1">
        <f t="array" ref="A2288">IFERROR(INDEX(#REF!,MATCH(TRUE,ISNUMBER(FIND(SUBSTITUTE(SUBSTITUTE(UPPER(#REF!)," ",""),":",": "),SUBSTITUTE(SUBSTITUTE(UPPER(S2288)," ",""),":",": "))),0)),"Undefined")</f>
        <v>Undefined</v>
      </c>
      <c r="B2288" s="42" t="str" cm="1">
        <f t="array" ref="B2288">IFERROR(INDEX({"URGENTE"},MATCH(TRUE,ISNUMBER(FIND(SUBSTITUTE(SUBSTITUTE(UPPER({"URGENTE"})," ",""),":",": "),SUBSTITUTE(SUBSTITUTE(UPPER(S2288)," ",""),":",": "))),0)),"-")</f>
        <v>-</v>
      </c>
      <c r="C2288" s="46" t="str" cm="1">
        <f t="array" ref="C2288">IFERROR(INDEX(#REF!,MATCH(TRUE,ISNUMBER(FIND(SUBSTITUTE(SUBSTITUTE(UPPER(#REF!)," ",""),":",": "),SUBSTITUTE(SUBSTITUTE(UPPER(S2288)," ",""),":",": "))),0)),"Não encontrado")</f>
        <v>Não encontrado</v>
      </c>
      <c r="D2288" s="46" t="str" cm="1">
        <f t="array" ref="D2288">IFERROR(INDEX(#REF!,MATCH(TRUE,ISNUMBER(FIND(SUBSTITUTE(SUBSTITUTE(UPPER(#REF!)," ",""),":",": "),SUBSTITUTE(SUBSTITUTE(UPPER(S2288)," ",""),":",": "))),0)),"Não encontrado")</f>
        <v>Não encontrado</v>
      </c>
      <c r="E2288" s="42" t="str" cm="1">
        <f t="array" ref="E2288">IFERROR(INDEX({"IMPEDITIVO"},MATCH(TRUE,ISNUMBER(FIND(SUBSTITUTE(SUBSTITUTE(UPPER({"IMPEDITIVO"})," ",""),":",": "),SUBSTITUTE(SUBSTITUTE(UPPER(S2288)," ",""),":",": "))),0)),"-")</f>
        <v>-</v>
      </c>
      <c r="K2288" s="49"/>
    </row>
    <row r="2289" spans="1:11" x14ac:dyDescent="0.25">
      <c r="A2289" s="46" t="str" cm="1">
        <f t="array" ref="A2289">IFERROR(INDEX(#REF!,MATCH(TRUE,ISNUMBER(FIND(SUBSTITUTE(SUBSTITUTE(UPPER(#REF!)," ",""),":",": "),SUBSTITUTE(SUBSTITUTE(UPPER(S2289)," ",""),":",": "))),0)),"Undefined")</f>
        <v>Undefined</v>
      </c>
      <c r="B2289" s="42" t="str" cm="1">
        <f t="array" ref="B2289">IFERROR(INDEX({"URGENTE"},MATCH(TRUE,ISNUMBER(FIND(SUBSTITUTE(SUBSTITUTE(UPPER({"URGENTE"})," ",""),":",": "),SUBSTITUTE(SUBSTITUTE(UPPER(S2289)," ",""),":",": "))),0)),"-")</f>
        <v>-</v>
      </c>
      <c r="C2289" s="46" t="str" cm="1">
        <f t="array" ref="C2289">IFERROR(INDEX(#REF!,MATCH(TRUE,ISNUMBER(FIND(SUBSTITUTE(SUBSTITUTE(UPPER(#REF!)," ",""),":",": "),SUBSTITUTE(SUBSTITUTE(UPPER(S2289)," ",""),":",": "))),0)),"Não encontrado")</f>
        <v>Não encontrado</v>
      </c>
      <c r="D2289" s="46" t="str" cm="1">
        <f t="array" ref="D2289">IFERROR(INDEX(#REF!,MATCH(TRUE,ISNUMBER(FIND(SUBSTITUTE(SUBSTITUTE(UPPER(#REF!)," ",""),":",": "),SUBSTITUTE(SUBSTITUTE(UPPER(S2289)," ",""),":",": "))),0)),"Não encontrado")</f>
        <v>Não encontrado</v>
      </c>
      <c r="E2289" s="42" t="str" cm="1">
        <f t="array" ref="E2289">IFERROR(INDEX({"IMPEDITIVO"},MATCH(TRUE,ISNUMBER(FIND(SUBSTITUTE(SUBSTITUTE(UPPER({"IMPEDITIVO"})," ",""),":",": "),SUBSTITUTE(SUBSTITUTE(UPPER(S2289)," ",""),":",": "))),0)),"-")</f>
        <v>-</v>
      </c>
      <c r="K2289" s="49"/>
    </row>
    <row r="2290" spans="1:11" x14ac:dyDescent="0.25">
      <c r="A2290" s="46" t="str" cm="1">
        <f t="array" ref="A2290">IFERROR(INDEX(#REF!,MATCH(TRUE,ISNUMBER(FIND(SUBSTITUTE(SUBSTITUTE(UPPER(#REF!)," ",""),":",": "),SUBSTITUTE(SUBSTITUTE(UPPER(S2290)," ",""),":",": "))),0)),"Undefined")</f>
        <v>Undefined</v>
      </c>
      <c r="B2290" s="42" t="str" cm="1">
        <f t="array" ref="B2290">IFERROR(INDEX({"URGENTE"},MATCH(TRUE,ISNUMBER(FIND(SUBSTITUTE(SUBSTITUTE(UPPER({"URGENTE"})," ",""),":",": "),SUBSTITUTE(SUBSTITUTE(UPPER(S2290)," ",""),":",": "))),0)),"-")</f>
        <v>-</v>
      </c>
      <c r="C2290" s="46" t="str" cm="1">
        <f t="array" ref="C2290">IFERROR(INDEX(#REF!,MATCH(TRUE,ISNUMBER(FIND(SUBSTITUTE(SUBSTITUTE(UPPER(#REF!)," ",""),":",": "),SUBSTITUTE(SUBSTITUTE(UPPER(S2290)," ",""),":",": "))),0)),"Não encontrado")</f>
        <v>Não encontrado</v>
      </c>
      <c r="D2290" s="46" t="str" cm="1">
        <f t="array" ref="D2290">IFERROR(INDEX(#REF!,MATCH(TRUE,ISNUMBER(FIND(SUBSTITUTE(SUBSTITUTE(UPPER(#REF!)," ",""),":",": "),SUBSTITUTE(SUBSTITUTE(UPPER(S2290)," ",""),":",": "))),0)),"Não encontrado")</f>
        <v>Não encontrado</v>
      </c>
      <c r="E2290" s="42" t="str" cm="1">
        <f t="array" ref="E2290">IFERROR(INDEX({"IMPEDITIVO"},MATCH(TRUE,ISNUMBER(FIND(SUBSTITUTE(SUBSTITUTE(UPPER({"IMPEDITIVO"})," ",""),":",": "),SUBSTITUTE(SUBSTITUTE(UPPER(S2290)," ",""),":",": "))),0)),"-")</f>
        <v>-</v>
      </c>
      <c r="K2290" s="49"/>
    </row>
    <row r="2291" spans="1:11" x14ac:dyDescent="0.25">
      <c r="A2291" s="46" t="str" cm="1">
        <f t="array" ref="A2291">IFERROR(INDEX(#REF!,MATCH(TRUE,ISNUMBER(FIND(SUBSTITUTE(SUBSTITUTE(UPPER(#REF!)," ",""),":",": "),SUBSTITUTE(SUBSTITUTE(UPPER(S2291)," ",""),":",": "))),0)),"Undefined")</f>
        <v>Undefined</v>
      </c>
      <c r="B2291" s="42" t="str" cm="1">
        <f t="array" ref="B2291">IFERROR(INDEX({"URGENTE"},MATCH(TRUE,ISNUMBER(FIND(SUBSTITUTE(SUBSTITUTE(UPPER({"URGENTE"})," ",""),":",": "),SUBSTITUTE(SUBSTITUTE(UPPER(S2291)," ",""),":",": "))),0)),"-")</f>
        <v>-</v>
      </c>
      <c r="C2291" s="46" t="str" cm="1">
        <f t="array" ref="C2291">IFERROR(INDEX(#REF!,MATCH(TRUE,ISNUMBER(FIND(SUBSTITUTE(SUBSTITUTE(UPPER(#REF!)," ",""),":",": "),SUBSTITUTE(SUBSTITUTE(UPPER(S2291)," ",""),":",": "))),0)),"Não encontrado")</f>
        <v>Não encontrado</v>
      </c>
      <c r="D2291" s="46" t="str" cm="1">
        <f t="array" ref="D2291">IFERROR(INDEX(#REF!,MATCH(TRUE,ISNUMBER(FIND(SUBSTITUTE(SUBSTITUTE(UPPER(#REF!)," ",""),":",": "),SUBSTITUTE(SUBSTITUTE(UPPER(S2291)," ",""),":",": "))),0)),"Não encontrado")</f>
        <v>Não encontrado</v>
      </c>
      <c r="E2291" s="42" t="str" cm="1">
        <f t="array" ref="E2291">IFERROR(INDEX({"IMPEDITIVO"},MATCH(TRUE,ISNUMBER(FIND(SUBSTITUTE(SUBSTITUTE(UPPER({"IMPEDITIVO"})," ",""),":",": "),SUBSTITUTE(SUBSTITUTE(UPPER(S2291)," ",""),":",": "))),0)),"-")</f>
        <v>-</v>
      </c>
      <c r="K2291" s="49"/>
    </row>
    <row r="2292" spans="1:11" x14ac:dyDescent="0.25">
      <c r="A2292" s="46" t="str" cm="1">
        <f t="array" ref="A2292">IFERROR(INDEX(#REF!,MATCH(TRUE,ISNUMBER(FIND(SUBSTITUTE(SUBSTITUTE(UPPER(#REF!)," ",""),":",": "),SUBSTITUTE(SUBSTITUTE(UPPER(S2292)," ",""),":",": "))),0)),"Undefined")</f>
        <v>Undefined</v>
      </c>
      <c r="B2292" s="42" t="str" cm="1">
        <f t="array" ref="B2292">IFERROR(INDEX({"URGENTE"},MATCH(TRUE,ISNUMBER(FIND(SUBSTITUTE(SUBSTITUTE(UPPER({"URGENTE"})," ",""),":",": "),SUBSTITUTE(SUBSTITUTE(UPPER(S2292)," ",""),":",": "))),0)),"-")</f>
        <v>-</v>
      </c>
      <c r="C2292" s="46" t="str" cm="1">
        <f t="array" ref="C2292">IFERROR(INDEX(#REF!,MATCH(TRUE,ISNUMBER(FIND(SUBSTITUTE(SUBSTITUTE(UPPER(#REF!)," ",""),":",": "),SUBSTITUTE(SUBSTITUTE(UPPER(S2292)," ",""),":",": "))),0)),"Não encontrado")</f>
        <v>Não encontrado</v>
      </c>
      <c r="D2292" s="46" t="str" cm="1">
        <f t="array" ref="D2292">IFERROR(INDEX(#REF!,MATCH(TRUE,ISNUMBER(FIND(SUBSTITUTE(SUBSTITUTE(UPPER(#REF!)," ",""),":",": "),SUBSTITUTE(SUBSTITUTE(UPPER(S2292)," ",""),":",": "))),0)),"Não encontrado")</f>
        <v>Não encontrado</v>
      </c>
      <c r="E2292" s="42" t="str" cm="1">
        <f t="array" ref="E2292">IFERROR(INDEX({"IMPEDITIVO"},MATCH(TRUE,ISNUMBER(FIND(SUBSTITUTE(SUBSTITUTE(UPPER({"IMPEDITIVO"})," ",""),":",": "),SUBSTITUTE(SUBSTITUTE(UPPER(S2292)," ",""),":",": "))),0)),"-")</f>
        <v>-</v>
      </c>
      <c r="K2292" s="49"/>
    </row>
    <row r="2293" spans="1:11" x14ac:dyDescent="0.25">
      <c r="A2293" s="46" t="str" cm="1">
        <f t="array" ref="A2293">IFERROR(INDEX(#REF!,MATCH(TRUE,ISNUMBER(FIND(SUBSTITUTE(SUBSTITUTE(UPPER(#REF!)," ",""),":",": "),SUBSTITUTE(SUBSTITUTE(UPPER(S2293)," ",""),":",": "))),0)),"Undefined")</f>
        <v>Undefined</v>
      </c>
      <c r="B2293" s="42" t="str" cm="1">
        <f t="array" ref="B2293">IFERROR(INDEX({"URGENTE"},MATCH(TRUE,ISNUMBER(FIND(SUBSTITUTE(SUBSTITUTE(UPPER({"URGENTE"})," ",""),":",": "),SUBSTITUTE(SUBSTITUTE(UPPER(S2293)," ",""),":",": "))),0)),"-")</f>
        <v>-</v>
      </c>
      <c r="C2293" s="46" t="str" cm="1">
        <f t="array" ref="C2293">IFERROR(INDEX(#REF!,MATCH(TRUE,ISNUMBER(FIND(SUBSTITUTE(SUBSTITUTE(UPPER(#REF!)," ",""),":",": "),SUBSTITUTE(SUBSTITUTE(UPPER(S2293)," ",""),":",": "))),0)),"Não encontrado")</f>
        <v>Não encontrado</v>
      </c>
      <c r="D2293" s="46" t="str" cm="1">
        <f t="array" ref="D2293">IFERROR(INDEX(#REF!,MATCH(TRUE,ISNUMBER(FIND(SUBSTITUTE(SUBSTITUTE(UPPER(#REF!)," ",""),":",": "),SUBSTITUTE(SUBSTITUTE(UPPER(S2293)," ",""),":",": "))),0)),"Não encontrado")</f>
        <v>Não encontrado</v>
      </c>
      <c r="E2293" s="42" t="str" cm="1">
        <f t="array" ref="E2293">IFERROR(INDEX({"IMPEDITIVO"},MATCH(TRUE,ISNUMBER(FIND(SUBSTITUTE(SUBSTITUTE(UPPER({"IMPEDITIVO"})," ",""),":",": "),SUBSTITUTE(SUBSTITUTE(UPPER(S2293)," ",""),":",": "))),0)),"-")</f>
        <v>-</v>
      </c>
      <c r="K2293" s="49"/>
    </row>
    <row r="2294" spans="1:11" x14ac:dyDescent="0.25">
      <c r="A2294" s="46" t="str" cm="1">
        <f t="array" ref="A2294">IFERROR(INDEX(#REF!,MATCH(TRUE,ISNUMBER(FIND(SUBSTITUTE(SUBSTITUTE(UPPER(#REF!)," ",""),":",": "),SUBSTITUTE(SUBSTITUTE(UPPER(S2294)," ",""),":",": "))),0)),"Undefined")</f>
        <v>Undefined</v>
      </c>
      <c r="B2294" s="42" t="str" cm="1">
        <f t="array" ref="B2294">IFERROR(INDEX({"URGENTE"},MATCH(TRUE,ISNUMBER(FIND(SUBSTITUTE(SUBSTITUTE(UPPER({"URGENTE"})," ",""),":",": "),SUBSTITUTE(SUBSTITUTE(UPPER(S2294)," ",""),":",": "))),0)),"-")</f>
        <v>-</v>
      </c>
      <c r="C2294" s="46" t="str" cm="1">
        <f t="array" ref="C2294">IFERROR(INDEX(#REF!,MATCH(TRUE,ISNUMBER(FIND(SUBSTITUTE(SUBSTITUTE(UPPER(#REF!)," ",""),":",": "),SUBSTITUTE(SUBSTITUTE(UPPER(S2294)," ",""),":",": "))),0)),"Não encontrado")</f>
        <v>Não encontrado</v>
      </c>
      <c r="D2294" s="46" t="str" cm="1">
        <f t="array" ref="D2294">IFERROR(INDEX(#REF!,MATCH(TRUE,ISNUMBER(FIND(SUBSTITUTE(SUBSTITUTE(UPPER(#REF!)," ",""),":",": "),SUBSTITUTE(SUBSTITUTE(UPPER(S2294)," ",""),":",": "))),0)),"Não encontrado")</f>
        <v>Não encontrado</v>
      </c>
      <c r="E2294" s="42" t="str" cm="1">
        <f t="array" ref="E2294">IFERROR(INDEX({"IMPEDITIVO"},MATCH(TRUE,ISNUMBER(FIND(SUBSTITUTE(SUBSTITUTE(UPPER({"IMPEDITIVO"})," ",""),":",": "),SUBSTITUTE(SUBSTITUTE(UPPER(S2294)," ",""),":",": "))),0)),"-")</f>
        <v>-</v>
      </c>
      <c r="K2294" s="49"/>
    </row>
    <row r="2295" spans="1:11" x14ac:dyDescent="0.25">
      <c r="A2295" s="46" t="str" cm="1">
        <f t="array" ref="A2295">IFERROR(INDEX(#REF!,MATCH(TRUE,ISNUMBER(FIND(SUBSTITUTE(SUBSTITUTE(UPPER(#REF!)," ",""),":",": "),SUBSTITUTE(SUBSTITUTE(UPPER(S2295)," ",""),":",": "))),0)),"Undefined")</f>
        <v>Undefined</v>
      </c>
      <c r="B2295" s="42" t="str" cm="1">
        <f t="array" ref="B2295">IFERROR(INDEX({"URGENTE"},MATCH(TRUE,ISNUMBER(FIND(SUBSTITUTE(SUBSTITUTE(UPPER({"URGENTE"})," ",""),":",": "),SUBSTITUTE(SUBSTITUTE(UPPER(S2295)," ",""),":",": "))),0)),"-")</f>
        <v>-</v>
      </c>
      <c r="C2295" s="46" t="str" cm="1">
        <f t="array" ref="C2295">IFERROR(INDEX(#REF!,MATCH(TRUE,ISNUMBER(FIND(SUBSTITUTE(SUBSTITUTE(UPPER(#REF!)," ",""),":",": "),SUBSTITUTE(SUBSTITUTE(UPPER(S2295)," ",""),":",": "))),0)),"Não encontrado")</f>
        <v>Não encontrado</v>
      </c>
      <c r="D2295" s="46" t="str" cm="1">
        <f t="array" ref="D2295">IFERROR(INDEX(#REF!,MATCH(TRUE,ISNUMBER(FIND(SUBSTITUTE(SUBSTITUTE(UPPER(#REF!)," ",""),":",": "),SUBSTITUTE(SUBSTITUTE(UPPER(S2295)," ",""),":",": "))),0)),"Não encontrado")</f>
        <v>Não encontrado</v>
      </c>
      <c r="E2295" s="42" t="str" cm="1">
        <f t="array" ref="E2295">IFERROR(INDEX({"IMPEDITIVO"},MATCH(TRUE,ISNUMBER(FIND(SUBSTITUTE(SUBSTITUTE(UPPER({"IMPEDITIVO"})," ",""),":",": "),SUBSTITUTE(SUBSTITUTE(UPPER(S2295)," ",""),":",": "))),0)),"-")</f>
        <v>-</v>
      </c>
      <c r="K2295" s="49"/>
    </row>
    <row r="2296" spans="1:11" x14ac:dyDescent="0.25">
      <c r="A2296" s="46" t="str" cm="1">
        <f t="array" ref="A2296">IFERROR(INDEX(#REF!,MATCH(TRUE,ISNUMBER(FIND(SUBSTITUTE(SUBSTITUTE(UPPER(#REF!)," ",""),":",": "),SUBSTITUTE(SUBSTITUTE(UPPER(S2296)," ",""),":",": "))),0)),"Undefined")</f>
        <v>Undefined</v>
      </c>
      <c r="B2296" s="42" t="str" cm="1">
        <f t="array" ref="B2296">IFERROR(INDEX({"URGENTE"},MATCH(TRUE,ISNUMBER(FIND(SUBSTITUTE(SUBSTITUTE(UPPER({"URGENTE"})," ",""),":",": "),SUBSTITUTE(SUBSTITUTE(UPPER(S2296)," ",""),":",": "))),0)),"-")</f>
        <v>-</v>
      </c>
      <c r="C2296" s="46" t="str" cm="1">
        <f t="array" ref="C2296">IFERROR(INDEX(#REF!,MATCH(TRUE,ISNUMBER(FIND(SUBSTITUTE(SUBSTITUTE(UPPER(#REF!)," ",""),":",": "),SUBSTITUTE(SUBSTITUTE(UPPER(S2296)," ",""),":",": "))),0)),"Não encontrado")</f>
        <v>Não encontrado</v>
      </c>
      <c r="D2296" s="46" t="str" cm="1">
        <f t="array" ref="D2296">IFERROR(INDEX(#REF!,MATCH(TRUE,ISNUMBER(FIND(SUBSTITUTE(SUBSTITUTE(UPPER(#REF!)," ",""),":",": "),SUBSTITUTE(SUBSTITUTE(UPPER(S2296)," ",""),":",": "))),0)),"Não encontrado")</f>
        <v>Não encontrado</v>
      </c>
      <c r="E2296" s="42" t="str" cm="1">
        <f t="array" ref="E2296">IFERROR(INDEX({"IMPEDITIVO"},MATCH(TRUE,ISNUMBER(FIND(SUBSTITUTE(SUBSTITUTE(UPPER({"IMPEDITIVO"})," ",""),":",": "),SUBSTITUTE(SUBSTITUTE(UPPER(S2296)," ",""),":",": "))),0)),"-")</f>
        <v>-</v>
      </c>
      <c r="K2296" s="49"/>
    </row>
    <row r="2297" spans="1:11" x14ac:dyDescent="0.25">
      <c r="A2297" s="46" t="str" cm="1">
        <f t="array" ref="A2297">IFERROR(INDEX(#REF!,MATCH(TRUE,ISNUMBER(FIND(SUBSTITUTE(SUBSTITUTE(UPPER(#REF!)," ",""),":",": "),SUBSTITUTE(SUBSTITUTE(UPPER(S2297)," ",""),":",": "))),0)),"Undefined")</f>
        <v>Undefined</v>
      </c>
      <c r="B2297" s="42" t="str" cm="1">
        <f t="array" ref="B2297">IFERROR(INDEX({"URGENTE"},MATCH(TRUE,ISNUMBER(FIND(SUBSTITUTE(SUBSTITUTE(UPPER({"URGENTE"})," ",""),":",": "),SUBSTITUTE(SUBSTITUTE(UPPER(S2297)," ",""),":",": "))),0)),"-")</f>
        <v>-</v>
      </c>
      <c r="C2297" s="46" t="str" cm="1">
        <f t="array" ref="C2297">IFERROR(INDEX(#REF!,MATCH(TRUE,ISNUMBER(FIND(SUBSTITUTE(SUBSTITUTE(UPPER(#REF!)," ",""),":",": "),SUBSTITUTE(SUBSTITUTE(UPPER(S2297)," ",""),":",": "))),0)),"Não encontrado")</f>
        <v>Não encontrado</v>
      </c>
      <c r="D2297" s="46" t="str" cm="1">
        <f t="array" ref="D2297">IFERROR(INDEX(#REF!,MATCH(TRUE,ISNUMBER(FIND(SUBSTITUTE(SUBSTITUTE(UPPER(#REF!)," ",""),":",": "),SUBSTITUTE(SUBSTITUTE(UPPER(S2297)," ",""),":",": "))),0)),"Não encontrado")</f>
        <v>Não encontrado</v>
      </c>
      <c r="E2297" s="42" t="str" cm="1">
        <f t="array" ref="E2297">IFERROR(INDEX({"IMPEDITIVO"},MATCH(TRUE,ISNUMBER(FIND(SUBSTITUTE(SUBSTITUTE(UPPER({"IMPEDITIVO"})," ",""),":",": "),SUBSTITUTE(SUBSTITUTE(UPPER(S2297)," ",""),":",": "))),0)),"-")</f>
        <v>-</v>
      </c>
      <c r="K2297" s="49"/>
    </row>
    <row r="2298" spans="1:11" x14ac:dyDescent="0.25">
      <c r="A2298" s="46" t="str" cm="1">
        <f t="array" ref="A2298">IFERROR(INDEX(#REF!,MATCH(TRUE,ISNUMBER(FIND(SUBSTITUTE(SUBSTITUTE(UPPER(#REF!)," ",""),":",": "),SUBSTITUTE(SUBSTITUTE(UPPER(S2298)," ",""),":",": "))),0)),"Undefined")</f>
        <v>Undefined</v>
      </c>
      <c r="B2298" s="42" t="str" cm="1">
        <f t="array" ref="B2298">IFERROR(INDEX({"URGENTE"},MATCH(TRUE,ISNUMBER(FIND(SUBSTITUTE(SUBSTITUTE(UPPER({"URGENTE"})," ",""),":",": "),SUBSTITUTE(SUBSTITUTE(UPPER(S2298)," ",""),":",": "))),0)),"-")</f>
        <v>-</v>
      </c>
      <c r="C2298" s="46" t="str" cm="1">
        <f t="array" ref="C2298">IFERROR(INDEX(#REF!,MATCH(TRUE,ISNUMBER(FIND(SUBSTITUTE(SUBSTITUTE(UPPER(#REF!)," ",""),":",": "),SUBSTITUTE(SUBSTITUTE(UPPER(S2298)," ",""),":",": "))),0)),"Não encontrado")</f>
        <v>Não encontrado</v>
      </c>
      <c r="D2298" s="46" t="str" cm="1">
        <f t="array" ref="D2298">IFERROR(INDEX(#REF!,MATCH(TRUE,ISNUMBER(FIND(SUBSTITUTE(SUBSTITUTE(UPPER(#REF!)," ",""),":",": "),SUBSTITUTE(SUBSTITUTE(UPPER(S2298)," ",""),":",": "))),0)),"Não encontrado")</f>
        <v>Não encontrado</v>
      </c>
      <c r="E2298" s="42" t="str" cm="1">
        <f t="array" ref="E2298">IFERROR(INDEX({"IMPEDITIVO"},MATCH(TRUE,ISNUMBER(FIND(SUBSTITUTE(SUBSTITUTE(UPPER({"IMPEDITIVO"})," ",""),":",": "),SUBSTITUTE(SUBSTITUTE(UPPER(S2298)," ",""),":",": "))),0)),"-")</f>
        <v>-</v>
      </c>
      <c r="K2298" s="49"/>
    </row>
    <row r="2299" spans="1:11" x14ac:dyDescent="0.25">
      <c r="A2299" s="46" t="str" cm="1">
        <f t="array" ref="A2299">IFERROR(INDEX(#REF!,MATCH(TRUE,ISNUMBER(FIND(SUBSTITUTE(SUBSTITUTE(UPPER(#REF!)," ",""),":",": "),SUBSTITUTE(SUBSTITUTE(UPPER(S2299)," ",""),":",": "))),0)),"Undefined")</f>
        <v>Undefined</v>
      </c>
      <c r="B2299" s="42" t="str" cm="1">
        <f t="array" ref="B2299">IFERROR(INDEX({"URGENTE"},MATCH(TRUE,ISNUMBER(FIND(SUBSTITUTE(SUBSTITUTE(UPPER({"URGENTE"})," ",""),":",": "),SUBSTITUTE(SUBSTITUTE(UPPER(S2299)," ",""),":",": "))),0)),"-")</f>
        <v>-</v>
      </c>
      <c r="C2299" s="46" t="str" cm="1">
        <f t="array" ref="C2299">IFERROR(INDEX(#REF!,MATCH(TRUE,ISNUMBER(FIND(SUBSTITUTE(SUBSTITUTE(UPPER(#REF!)," ",""),":",": "),SUBSTITUTE(SUBSTITUTE(UPPER(S2299)," ",""),":",": "))),0)),"Não encontrado")</f>
        <v>Não encontrado</v>
      </c>
      <c r="D2299" s="46" t="str" cm="1">
        <f t="array" ref="D2299">IFERROR(INDEX(#REF!,MATCH(TRUE,ISNUMBER(FIND(SUBSTITUTE(SUBSTITUTE(UPPER(#REF!)," ",""),":",": "),SUBSTITUTE(SUBSTITUTE(UPPER(S2299)," ",""),":",": "))),0)),"Não encontrado")</f>
        <v>Não encontrado</v>
      </c>
      <c r="E2299" s="42" t="str" cm="1">
        <f t="array" ref="E2299">IFERROR(INDEX({"IMPEDITIVO"},MATCH(TRUE,ISNUMBER(FIND(SUBSTITUTE(SUBSTITUTE(UPPER({"IMPEDITIVO"})," ",""),":",": "),SUBSTITUTE(SUBSTITUTE(UPPER(S2299)," ",""),":",": "))),0)),"-")</f>
        <v>-</v>
      </c>
      <c r="K2299" s="49"/>
    </row>
    <row r="2300" spans="1:11" x14ac:dyDescent="0.25">
      <c r="A2300" s="46" t="str" cm="1">
        <f t="array" ref="A2300">IFERROR(INDEX(#REF!,MATCH(TRUE,ISNUMBER(FIND(SUBSTITUTE(SUBSTITUTE(UPPER(#REF!)," ",""),":",": "),SUBSTITUTE(SUBSTITUTE(UPPER(S2300)," ",""),":",": "))),0)),"Undefined")</f>
        <v>Undefined</v>
      </c>
      <c r="B2300" s="42" t="str" cm="1">
        <f t="array" ref="B2300">IFERROR(INDEX({"URGENTE"},MATCH(TRUE,ISNUMBER(FIND(SUBSTITUTE(SUBSTITUTE(UPPER({"URGENTE"})," ",""),":",": "),SUBSTITUTE(SUBSTITUTE(UPPER(S2300)," ",""),":",": "))),0)),"-")</f>
        <v>-</v>
      </c>
      <c r="C2300" s="46" t="str" cm="1">
        <f t="array" ref="C2300">IFERROR(INDEX(#REF!,MATCH(TRUE,ISNUMBER(FIND(SUBSTITUTE(SUBSTITUTE(UPPER(#REF!)," ",""),":",": "),SUBSTITUTE(SUBSTITUTE(UPPER(S2300)," ",""),":",": "))),0)),"Não encontrado")</f>
        <v>Não encontrado</v>
      </c>
      <c r="D2300" s="46" t="str" cm="1">
        <f t="array" ref="D2300">IFERROR(INDEX(#REF!,MATCH(TRUE,ISNUMBER(FIND(SUBSTITUTE(SUBSTITUTE(UPPER(#REF!)," ",""),":",": "),SUBSTITUTE(SUBSTITUTE(UPPER(S2300)," ",""),":",": "))),0)),"Não encontrado")</f>
        <v>Não encontrado</v>
      </c>
      <c r="E2300" s="42" t="str" cm="1">
        <f t="array" ref="E2300">IFERROR(INDEX({"IMPEDITIVO"},MATCH(TRUE,ISNUMBER(FIND(SUBSTITUTE(SUBSTITUTE(UPPER({"IMPEDITIVO"})," ",""),":",": "),SUBSTITUTE(SUBSTITUTE(UPPER(S2300)," ",""),":",": "))),0)),"-")</f>
        <v>-</v>
      </c>
      <c r="K2300" s="49"/>
    </row>
    <row r="2301" spans="1:11" x14ac:dyDescent="0.25">
      <c r="A2301" s="46" t="str" cm="1">
        <f t="array" ref="A2301">IFERROR(INDEX(#REF!,MATCH(TRUE,ISNUMBER(FIND(SUBSTITUTE(SUBSTITUTE(UPPER(#REF!)," ",""),":",": "),SUBSTITUTE(SUBSTITUTE(UPPER(S2301)," ",""),":",": "))),0)),"Undefined")</f>
        <v>Undefined</v>
      </c>
      <c r="B2301" s="42" t="str" cm="1">
        <f t="array" ref="B2301">IFERROR(INDEX({"URGENTE"},MATCH(TRUE,ISNUMBER(FIND(SUBSTITUTE(SUBSTITUTE(UPPER({"URGENTE"})," ",""),":",": "),SUBSTITUTE(SUBSTITUTE(UPPER(S2301)," ",""),":",": "))),0)),"-")</f>
        <v>-</v>
      </c>
      <c r="C2301" s="46" t="str" cm="1">
        <f t="array" ref="C2301">IFERROR(INDEX(#REF!,MATCH(TRUE,ISNUMBER(FIND(SUBSTITUTE(SUBSTITUTE(UPPER(#REF!)," ",""),":",": "),SUBSTITUTE(SUBSTITUTE(UPPER(S2301)," ",""),":",": "))),0)),"Não encontrado")</f>
        <v>Não encontrado</v>
      </c>
      <c r="D2301" s="46" t="str" cm="1">
        <f t="array" ref="D2301">IFERROR(INDEX(#REF!,MATCH(TRUE,ISNUMBER(FIND(SUBSTITUTE(SUBSTITUTE(UPPER(#REF!)," ",""),":",": "),SUBSTITUTE(SUBSTITUTE(UPPER(S2301)," ",""),":",": "))),0)),"Não encontrado")</f>
        <v>Não encontrado</v>
      </c>
      <c r="E2301" s="42" t="str" cm="1">
        <f t="array" ref="E2301">IFERROR(INDEX({"IMPEDITIVO"},MATCH(TRUE,ISNUMBER(FIND(SUBSTITUTE(SUBSTITUTE(UPPER({"IMPEDITIVO"})," ",""),":",": "),SUBSTITUTE(SUBSTITUTE(UPPER(S2301)," ",""),":",": "))),0)),"-")</f>
        <v>-</v>
      </c>
      <c r="K2301" s="49"/>
    </row>
    <row r="2302" spans="1:11" x14ac:dyDescent="0.25">
      <c r="A2302" s="46" t="str" cm="1">
        <f t="array" ref="A2302">IFERROR(INDEX(#REF!,MATCH(TRUE,ISNUMBER(FIND(SUBSTITUTE(SUBSTITUTE(UPPER(#REF!)," ",""),":",": "),SUBSTITUTE(SUBSTITUTE(UPPER(S2302)," ",""),":",": "))),0)),"Undefined")</f>
        <v>Undefined</v>
      </c>
      <c r="B2302" s="42" t="str" cm="1">
        <f t="array" ref="B2302">IFERROR(INDEX({"URGENTE"},MATCH(TRUE,ISNUMBER(FIND(SUBSTITUTE(SUBSTITUTE(UPPER({"URGENTE"})," ",""),":",": "),SUBSTITUTE(SUBSTITUTE(UPPER(S2302)," ",""),":",": "))),0)),"-")</f>
        <v>-</v>
      </c>
      <c r="C2302" s="46" t="str" cm="1">
        <f t="array" ref="C2302">IFERROR(INDEX(#REF!,MATCH(TRUE,ISNUMBER(FIND(SUBSTITUTE(SUBSTITUTE(UPPER(#REF!)," ",""),":",": "),SUBSTITUTE(SUBSTITUTE(UPPER(S2302)," ",""),":",": "))),0)),"Não encontrado")</f>
        <v>Não encontrado</v>
      </c>
      <c r="D2302" s="46" t="str" cm="1">
        <f t="array" ref="D2302">IFERROR(INDEX(#REF!,MATCH(TRUE,ISNUMBER(FIND(SUBSTITUTE(SUBSTITUTE(UPPER(#REF!)," ",""),":",": "),SUBSTITUTE(SUBSTITUTE(UPPER(S2302)," ",""),":",": "))),0)),"Não encontrado")</f>
        <v>Não encontrado</v>
      </c>
      <c r="E2302" s="42" t="str" cm="1">
        <f t="array" ref="E2302">IFERROR(INDEX({"IMPEDITIVO"},MATCH(TRUE,ISNUMBER(FIND(SUBSTITUTE(SUBSTITUTE(UPPER({"IMPEDITIVO"})," ",""),":",": "),SUBSTITUTE(SUBSTITUTE(UPPER(S2302)," ",""),":",": "))),0)),"-")</f>
        <v>-</v>
      </c>
      <c r="K2302" s="49"/>
    </row>
    <row r="2303" spans="1:11" x14ac:dyDescent="0.25">
      <c r="A2303" s="46" t="str" cm="1">
        <f t="array" ref="A2303">IFERROR(INDEX(#REF!,MATCH(TRUE,ISNUMBER(FIND(SUBSTITUTE(SUBSTITUTE(UPPER(#REF!)," ",""),":",": "),SUBSTITUTE(SUBSTITUTE(UPPER(S2303)," ",""),":",": "))),0)),"Undefined")</f>
        <v>Undefined</v>
      </c>
      <c r="B2303" s="42" t="str" cm="1">
        <f t="array" ref="B2303">IFERROR(INDEX({"URGENTE"},MATCH(TRUE,ISNUMBER(FIND(SUBSTITUTE(SUBSTITUTE(UPPER({"URGENTE"})," ",""),":",": "),SUBSTITUTE(SUBSTITUTE(UPPER(S2303)," ",""),":",": "))),0)),"-")</f>
        <v>-</v>
      </c>
      <c r="C2303" s="46" t="str" cm="1">
        <f t="array" ref="C2303">IFERROR(INDEX(#REF!,MATCH(TRUE,ISNUMBER(FIND(SUBSTITUTE(SUBSTITUTE(UPPER(#REF!)," ",""),":",": "),SUBSTITUTE(SUBSTITUTE(UPPER(S2303)," ",""),":",": "))),0)),"Não encontrado")</f>
        <v>Não encontrado</v>
      </c>
      <c r="D2303" s="46" t="str" cm="1">
        <f t="array" ref="D2303">IFERROR(INDEX(#REF!,MATCH(TRUE,ISNUMBER(FIND(SUBSTITUTE(SUBSTITUTE(UPPER(#REF!)," ",""),":",": "),SUBSTITUTE(SUBSTITUTE(UPPER(S2303)," ",""),":",": "))),0)),"Não encontrado")</f>
        <v>Não encontrado</v>
      </c>
      <c r="E2303" s="42" t="str" cm="1">
        <f t="array" ref="E2303">IFERROR(INDEX({"IMPEDITIVO"},MATCH(TRUE,ISNUMBER(FIND(SUBSTITUTE(SUBSTITUTE(UPPER({"IMPEDITIVO"})," ",""),":",": "),SUBSTITUTE(SUBSTITUTE(UPPER(S2303)," ",""),":",": "))),0)),"-")</f>
        <v>-</v>
      </c>
      <c r="K2303" s="49"/>
    </row>
    <row r="2304" spans="1:11" x14ac:dyDescent="0.25">
      <c r="A2304" s="46" t="str" cm="1">
        <f t="array" ref="A2304">IFERROR(INDEX(#REF!,MATCH(TRUE,ISNUMBER(FIND(SUBSTITUTE(SUBSTITUTE(UPPER(#REF!)," ",""),":",": "),SUBSTITUTE(SUBSTITUTE(UPPER(S2304)," ",""),":",": "))),0)),"Undefined")</f>
        <v>Undefined</v>
      </c>
      <c r="B2304" s="42" t="str" cm="1">
        <f t="array" ref="B2304">IFERROR(INDEX({"URGENTE"},MATCH(TRUE,ISNUMBER(FIND(SUBSTITUTE(SUBSTITUTE(UPPER({"URGENTE"})," ",""),":",": "),SUBSTITUTE(SUBSTITUTE(UPPER(S2304)," ",""),":",": "))),0)),"-")</f>
        <v>-</v>
      </c>
      <c r="C2304" s="46" t="str" cm="1">
        <f t="array" ref="C2304">IFERROR(INDEX(#REF!,MATCH(TRUE,ISNUMBER(FIND(SUBSTITUTE(SUBSTITUTE(UPPER(#REF!)," ",""),":",": "),SUBSTITUTE(SUBSTITUTE(UPPER(S2304)," ",""),":",": "))),0)),"Não encontrado")</f>
        <v>Não encontrado</v>
      </c>
      <c r="D2304" s="46" t="str" cm="1">
        <f t="array" ref="D2304">IFERROR(INDEX(#REF!,MATCH(TRUE,ISNUMBER(FIND(SUBSTITUTE(SUBSTITUTE(UPPER(#REF!)," ",""),":",": "),SUBSTITUTE(SUBSTITUTE(UPPER(S2304)," ",""),":",": "))),0)),"Não encontrado")</f>
        <v>Não encontrado</v>
      </c>
      <c r="E2304" s="42" t="str" cm="1">
        <f t="array" ref="E2304">IFERROR(INDEX({"IMPEDITIVO"},MATCH(TRUE,ISNUMBER(FIND(SUBSTITUTE(SUBSTITUTE(UPPER({"IMPEDITIVO"})," ",""),":",": "),SUBSTITUTE(SUBSTITUTE(UPPER(S2304)," ",""),":",": "))),0)),"-")</f>
        <v>-</v>
      </c>
      <c r="K2304" s="49"/>
    </row>
    <row r="2305" spans="1:11" x14ac:dyDescent="0.25">
      <c r="A2305" s="46" t="str" cm="1">
        <f t="array" ref="A2305">IFERROR(INDEX(#REF!,MATCH(TRUE,ISNUMBER(FIND(SUBSTITUTE(SUBSTITUTE(UPPER(#REF!)," ",""),":",": "),SUBSTITUTE(SUBSTITUTE(UPPER(S2305)," ",""),":",": "))),0)),"Undefined")</f>
        <v>Undefined</v>
      </c>
      <c r="B2305" s="42" t="str" cm="1">
        <f t="array" ref="B2305">IFERROR(INDEX({"URGENTE"},MATCH(TRUE,ISNUMBER(FIND(SUBSTITUTE(SUBSTITUTE(UPPER({"URGENTE"})," ",""),":",": "),SUBSTITUTE(SUBSTITUTE(UPPER(S2305)," ",""),":",": "))),0)),"-")</f>
        <v>-</v>
      </c>
      <c r="C2305" s="46" t="str" cm="1">
        <f t="array" ref="C2305">IFERROR(INDEX(#REF!,MATCH(TRUE,ISNUMBER(FIND(SUBSTITUTE(SUBSTITUTE(UPPER(#REF!)," ",""),":",": "),SUBSTITUTE(SUBSTITUTE(UPPER(S2305)," ",""),":",": "))),0)),"Não encontrado")</f>
        <v>Não encontrado</v>
      </c>
      <c r="D2305" s="46" t="str" cm="1">
        <f t="array" ref="D2305">IFERROR(INDEX(#REF!,MATCH(TRUE,ISNUMBER(FIND(SUBSTITUTE(SUBSTITUTE(UPPER(#REF!)," ",""),":",": "),SUBSTITUTE(SUBSTITUTE(UPPER(S2305)," ",""),":",": "))),0)),"Não encontrado")</f>
        <v>Não encontrado</v>
      </c>
      <c r="E2305" s="42" t="str" cm="1">
        <f t="array" ref="E2305">IFERROR(INDEX({"IMPEDITIVO"},MATCH(TRUE,ISNUMBER(FIND(SUBSTITUTE(SUBSTITUTE(UPPER({"IMPEDITIVO"})," ",""),":",": "),SUBSTITUTE(SUBSTITUTE(UPPER(S2305)," ",""),":",": "))),0)),"-")</f>
        <v>-</v>
      </c>
      <c r="K2305" s="49"/>
    </row>
    <row r="2306" spans="1:11" x14ac:dyDescent="0.25">
      <c r="A2306" s="46" t="str" cm="1">
        <f t="array" ref="A2306">IFERROR(INDEX(#REF!,MATCH(TRUE,ISNUMBER(FIND(SUBSTITUTE(SUBSTITUTE(UPPER(#REF!)," ",""),":",": "),SUBSTITUTE(SUBSTITUTE(UPPER(S2306)," ",""),":",": "))),0)),"Undefined")</f>
        <v>Undefined</v>
      </c>
      <c r="B2306" s="42" t="str" cm="1">
        <f t="array" ref="B2306">IFERROR(INDEX({"URGENTE"},MATCH(TRUE,ISNUMBER(FIND(SUBSTITUTE(SUBSTITUTE(UPPER({"URGENTE"})," ",""),":",": "),SUBSTITUTE(SUBSTITUTE(UPPER(S2306)," ",""),":",": "))),0)),"-")</f>
        <v>-</v>
      </c>
      <c r="C2306" s="46" t="str" cm="1">
        <f t="array" ref="C2306">IFERROR(INDEX(#REF!,MATCH(TRUE,ISNUMBER(FIND(SUBSTITUTE(SUBSTITUTE(UPPER(#REF!)," ",""),":",": "),SUBSTITUTE(SUBSTITUTE(UPPER(S2306)," ",""),":",": "))),0)),"Não encontrado")</f>
        <v>Não encontrado</v>
      </c>
      <c r="D2306" s="46" t="str" cm="1">
        <f t="array" ref="D2306">IFERROR(INDEX(#REF!,MATCH(TRUE,ISNUMBER(FIND(SUBSTITUTE(SUBSTITUTE(UPPER(#REF!)," ",""),":",": "),SUBSTITUTE(SUBSTITUTE(UPPER(S2306)," ",""),":",": "))),0)),"Não encontrado")</f>
        <v>Não encontrado</v>
      </c>
      <c r="E2306" s="42" t="str" cm="1">
        <f t="array" ref="E2306">IFERROR(INDEX({"IMPEDITIVO"},MATCH(TRUE,ISNUMBER(FIND(SUBSTITUTE(SUBSTITUTE(UPPER({"IMPEDITIVO"})," ",""),":",": "),SUBSTITUTE(SUBSTITUTE(UPPER(S2306)," ",""),":",": "))),0)),"-")</f>
        <v>-</v>
      </c>
      <c r="K2306" s="49"/>
    </row>
    <row r="2307" spans="1:11" x14ac:dyDescent="0.25">
      <c r="A2307" s="46" t="str" cm="1">
        <f t="array" ref="A2307">IFERROR(INDEX(#REF!,MATCH(TRUE,ISNUMBER(FIND(SUBSTITUTE(SUBSTITUTE(UPPER(#REF!)," ",""),":",": "),SUBSTITUTE(SUBSTITUTE(UPPER(S2307)," ",""),":",": "))),0)),"Undefined")</f>
        <v>Undefined</v>
      </c>
      <c r="B2307" s="42" t="str" cm="1">
        <f t="array" ref="B2307">IFERROR(INDEX({"URGENTE"},MATCH(TRUE,ISNUMBER(FIND(SUBSTITUTE(SUBSTITUTE(UPPER({"URGENTE"})," ",""),":",": "),SUBSTITUTE(SUBSTITUTE(UPPER(S2307)," ",""),":",": "))),0)),"-")</f>
        <v>-</v>
      </c>
      <c r="C2307" s="46" t="str" cm="1">
        <f t="array" ref="C2307">IFERROR(INDEX(#REF!,MATCH(TRUE,ISNUMBER(FIND(SUBSTITUTE(SUBSTITUTE(UPPER(#REF!)," ",""),":",": "),SUBSTITUTE(SUBSTITUTE(UPPER(S2307)," ",""),":",": "))),0)),"Não encontrado")</f>
        <v>Não encontrado</v>
      </c>
      <c r="D2307" s="46" t="str" cm="1">
        <f t="array" ref="D2307">IFERROR(INDEX(#REF!,MATCH(TRUE,ISNUMBER(FIND(SUBSTITUTE(SUBSTITUTE(UPPER(#REF!)," ",""),":",": "),SUBSTITUTE(SUBSTITUTE(UPPER(S2307)," ",""),":",": "))),0)),"Não encontrado")</f>
        <v>Não encontrado</v>
      </c>
      <c r="E2307" s="42" t="str" cm="1">
        <f t="array" ref="E2307">IFERROR(INDEX({"IMPEDITIVO"},MATCH(TRUE,ISNUMBER(FIND(SUBSTITUTE(SUBSTITUTE(UPPER({"IMPEDITIVO"})," ",""),":",": "),SUBSTITUTE(SUBSTITUTE(UPPER(S2307)," ",""),":",": "))),0)),"-")</f>
        <v>-</v>
      </c>
      <c r="K2307" s="49"/>
    </row>
    <row r="2308" spans="1:11" x14ac:dyDescent="0.25">
      <c r="A2308" s="46" t="str" cm="1">
        <f t="array" ref="A2308">IFERROR(INDEX(#REF!,MATCH(TRUE,ISNUMBER(FIND(SUBSTITUTE(SUBSTITUTE(UPPER(#REF!)," ",""),":",": "),SUBSTITUTE(SUBSTITUTE(UPPER(S2308)," ",""),":",": "))),0)),"Undefined")</f>
        <v>Undefined</v>
      </c>
      <c r="B2308" s="42" t="str" cm="1">
        <f t="array" ref="B2308">IFERROR(INDEX({"URGENTE"},MATCH(TRUE,ISNUMBER(FIND(SUBSTITUTE(SUBSTITUTE(UPPER({"URGENTE"})," ",""),":",": "),SUBSTITUTE(SUBSTITUTE(UPPER(S2308)," ",""),":",": "))),0)),"-")</f>
        <v>-</v>
      </c>
      <c r="C2308" s="46" t="str" cm="1">
        <f t="array" ref="C2308">IFERROR(INDEX(#REF!,MATCH(TRUE,ISNUMBER(FIND(SUBSTITUTE(SUBSTITUTE(UPPER(#REF!)," ",""),":",": "),SUBSTITUTE(SUBSTITUTE(UPPER(S2308)," ",""),":",": "))),0)),"Não encontrado")</f>
        <v>Não encontrado</v>
      </c>
      <c r="D2308" s="46" t="str" cm="1">
        <f t="array" ref="D2308">IFERROR(INDEX(#REF!,MATCH(TRUE,ISNUMBER(FIND(SUBSTITUTE(SUBSTITUTE(UPPER(#REF!)," ",""),":",": "),SUBSTITUTE(SUBSTITUTE(UPPER(S2308)," ",""),":",": "))),0)),"Não encontrado")</f>
        <v>Não encontrado</v>
      </c>
      <c r="E2308" s="42" t="str" cm="1">
        <f t="array" ref="E2308">IFERROR(INDEX({"IMPEDITIVO"},MATCH(TRUE,ISNUMBER(FIND(SUBSTITUTE(SUBSTITUTE(UPPER({"IMPEDITIVO"})," ",""),":",": "),SUBSTITUTE(SUBSTITUTE(UPPER(S2308)," ",""),":",": "))),0)),"-")</f>
        <v>-</v>
      </c>
      <c r="K2308" s="49"/>
    </row>
    <row r="2309" spans="1:11" x14ac:dyDescent="0.25">
      <c r="A2309" s="46" t="str" cm="1">
        <f t="array" ref="A2309">IFERROR(INDEX(#REF!,MATCH(TRUE,ISNUMBER(FIND(SUBSTITUTE(SUBSTITUTE(UPPER(#REF!)," ",""),":",": "),SUBSTITUTE(SUBSTITUTE(UPPER(S2309)," ",""),":",": "))),0)),"Undefined")</f>
        <v>Undefined</v>
      </c>
      <c r="B2309" s="42" t="str" cm="1">
        <f t="array" ref="B2309">IFERROR(INDEX({"URGENTE"},MATCH(TRUE,ISNUMBER(FIND(SUBSTITUTE(SUBSTITUTE(UPPER({"URGENTE"})," ",""),":",": "),SUBSTITUTE(SUBSTITUTE(UPPER(S2309)," ",""),":",": "))),0)),"-")</f>
        <v>-</v>
      </c>
      <c r="C2309" s="46" t="str" cm="1">
        <f t="array" ref="C2309">IFERROR(INDEX(#REF!,MATCH(TRUE,ISNUMBER(FIND(SUBSTITUTE(SUBSTITUTE(UPPER(#REF!)," ",""),":",": "),SUBSTITUTE(SUBSTITUTE(UPPER(S2309)," ",""),":",": "))),0)),"Não encontrado")</f>
        <v>Não encontrado</v>
      </c>
      <c r="D2309" s="46" t="str" cm="1">
        <f t="array" ref="D2309">IFERROR(INDEX(#REF!,MATCH(TRUE,ISNUMBER(FIND(SUBSTITUTE(SUBSTITUTE(UPPER(#REF!)," ",""),":",": "),SUBSTITUTE(SUBSTITUTE(UPPER(S2309)," ",""),":",": "))),0)),"Não encontrado")</f>
        <v>Não encontrado</v>
      </c>
      <c r="E2309" s="42" t="str" cm="1">
        <f t="array" ref="E2309">IFERROR(INDEX({"IMPEDITIVO"},MATCH(TRUE,ISNUMBER(FIND(SUBSTITUTE(SUBSTITUTE(UPPER({"IMPEDITIVO"})," ",""),":",": "),SUBSTITUTE(SUBSTITUTE(UPPER(S2309)," ",""),":",": "))),0)),"-")</f>
        <v>-</v>
      </c>
      <c r="K2309" s="49"/>
    </row>
    <row r="2310" spans="1:11" x14ac:dyDescent="0.25">
      <c r="A2310" s="46" t="str" cm="1">
        <f t="array" ref="A2310">IFERROR(INDEX(#REF!,MATCH(TRUE,ISNUMBER(FIND(SUBSTITUTE(SUBSTITUTE(UPPER(#REF!)," ",""),":",": "),SUBSTITUTE(SUBSTITUTE(UPPER(S2310)," ",""),":",": "))),0)),"Undefined")</f>
        <v>Undefined</v>
      </c>
      <c r="B2310" s="42" t="str" cm="1">
        <f t="array" ref="B2310">IFERROR(INDEX({"URGENTE"},MATCH(TRUE,ISNUMBER(FIND(SUBSTITUTE(SUBSTITUTE(UPPER({"URGENTE"})," ",""),":",": "),SUBSTITUTE(SUBSTITUTE(UPPER(S2310)," ",""),":",": "))),0)),"-")</f>
        <v>-</v>
      </c>
      <c r="C2310" s="46" t="str" cm="1">
        <f t="array" ref="C2310">IFERROR(INDEX(#REF!,MATCH(TRUE,ISNUMBER(FIND(SUBSTITUTE(SUBSTITUTE(UPPER(#REF!)," ",""),":",": "),SUBSTITUTE(SUBSTITUTE(UPPER(S2310)," ",""),":",": "))),0)),"Não encontrado")</f>
        <v>Não encontrado</v>
      </c>
      <c r="D2310" s="46" t="str" cm="1">
        <f t="array" ref="D2310">IFERROR(INDEX(#REF!,MATCH(TRUE,ISNUMBER(FIND(SUBSTITUTE(SUBSTITUTE(UPPER(#REF!)," ",""),":",": "),SUBSTITUTE(SUBSTITUTE(UPPER(S2310)," ",""),":",": "))),0)),"Não encontrado")</f>
        <v>Não encontrado</v>
      </c>
      <c r="E2310" s="42" t="str" cm="1">
        <f t="array" ref="E2310">IFERROR(INDEX({"IMPEDITIVO"},MATCH(TRUE,ISNUMBER(FIND(SUBSTITUTE(SUBSTITUTE(UPPER({"IMPEDITIVO"})," ",""),":",": "),SUBSTITUTE(SUBSTITUTE(UPPER(S2310)," ",""),":",": "))),0)),"-")</f>
        <v>-</v>
      </c>
      <c r="K2310" s="49"/>
    </row>
    <row r="2311" spans="1:11" x14ac:dyDescent="0.25">
      <c r="A2311" s="46" t="str" cm="1">
        <f t="array" ref="A2311">IFERROR(INDEX(#REF!,MATCH(TRUE,ISNUMBER(FIND(SUBSTITUTE(SUBSTITUTE(UPPER(#REF!)," ",""),":",": "),SUBSTITUTE(SUBSTITUTE(UPPER(S2311)," ",""),":",": "))),0)),"Undefined")</f>
        <v>Undefined</v>
      </c>
      <c r="B2311" s="42" t="str" cm="1">
        <f t="array" ref="B2311">IFERROR(INDEX({"URGENTE"},MATCH(TRUE,ISNUMBER(FIND(SUBSTITUTE(SUBSTITUTE(UPPER({"URGENTE"})," ",""),":",": "),SUBSTITUTE(SUBSTITUTE(UPPER(S2311)," ",""),":",": "))),0)),"-")</f>
        <v>-</v>
      </c>
      <c r="C2311" s="46" t="str" cm="1">
        <f t="array" ref="C2311">IFERROR(INDEX(#REF!,MATCH(TRUE,ISNUMBER(FIND(SUBSTITUTE(SUBSTITUTE(UPPER(#REF!)," ",""),":",": "),SUBSTITUTE(SUBSTITUTE(UPPER(S2311)," ",""),":",": "))),0)),"Não encontrado")</f>
        <v>Não encontrado</v>
      </c>
      <c r="D2311" s="46" t="str" cm="1">
        <f t="array" ref="D2311">IFERROR(INDEX(#REF!,MATCH(TRUE,ISNUMBER(FIND(SUBSTITUTE(SUBSTITUTE(UPPER(#REF!)," ",""),":",": "),SUBSTITUTE(SUBSTITUTE(UPPER(S2311)," ",""),":",": "))),0)),"Não encontrado")</f>
        <v>Não encontrado</v>
      </c>
      <c r="E2311" s="42" t="str" cm="1">
        <f t="array" ref="E2311">IFERROR(INDEX({"IMPEDITIVO"},MATCH(TRUE,ISNUMBER(FIND(SUBSTITUTE(SUBSTITUTE(UPPER({"IMPEDITIVO"})," ",""),":",": "),SUBSTITUTE(SUBSTITUTE(UPPER(S2311)," ",""),":",": "))),0)),"-")</f>
        <v>-</v>
      </c>
      <c r="K2311" s="49"/>
    </row>
    <row r="2312" spans="1:11" x14ac:dyDescent="0.25">
      <c r="A2312" s="46" t="str" cm="1">
        <f t="array" ref="A2312">IFERROR(INDEX(#REF!,MATCH(TRUE,ISNUMBER(FIND(SUBSTITUTE(SUBSTITUTE(UPPER(#REF!)," ",""),":",": "),SUBSTITUTE(SUBSTITUTE(UPPER(S2312)," ",""),":",": "))),0)),"Undefined")</f>
        <v>Undefined</v>
      </c>
      <c r="B2312" s="42" t="str" cm="1">
        <f t="array" ref="B2312">IFERROR(INDEX({"URGENTE"},MATCH(TRUE,ISNUMBER(FIND(SUBSTITUTE(SUBSTITUTE(UPPER({"URGENTE"})," ",""),":",": "),SUBSTITUTE(SUBSTITUTE(UPPER(S2312)," ",""),":",": "))),0)),"-")</f>
        <v>-</v>
      </c>
      <c r="C2312" s="46" t="str" cm="1">
        <f t="array" ref="C2312">IFERROR(INDEX(#REF!,MATCH(TRUE,ISNUMBER(FIND(SUBSTITUTE(SUBSTITUTE(UPPER(#REF!)," ",""),":",": "),SUBSTITUTE(SUBSTITUTE(UPPER(S2312)," ",""),":",": "))),0)),"Não encontrado")</f>
        <v>Não encontrado</v>
      </c>
      <c r="D2312" s="46" t="str" cm="1">
        <f t="array" ref="D2312">IFERROR(INDEX(#REF!,MATCH(TRUE,ISNUMBER(FIND(SUBSTITUTE(SUBSTITUTE(UPPER(#REF!)," ",""),":",": "),SUBSTITUTE(SUBSTITUTE(UPPER(S2312)," ",""),":",": "))),0)),"Não encontrado")</f>
        <v>Não encontrado</v>
      </c>
      <c r="E2312" s="42" t="str" cm="1">
        <f t="array" ref="E2312">IFERROR(INDEX({"IMPEDITIVO"},MATCH(TRUE,ISNUMBER(FIND(SUBSTITUTE(SUBSTITUTE(UPPER({"IMPEDITIVO"})," ",""),":",": "),SUBSTITUTE(SUBSTITUTE(UPPER(S2312)," ",""),":",": "))),0)),"-")</f>
        <v>-</v>
      </c>
      <c r="K2312" s="49"/>
    </row>
    <row r="2313" spans="1:11" x14ac:dyDescent="0.25">
      <c r="A2313" s="46" t="str" cm="1">
        <f t="array" ref="A2313">IFERROR(INDEX(#REF!,MATCH(TRUE,ISNUMBER(FIND(SUBSTITUTE(SUBSTITUTE(UPPER(#REF!)," ",""),":",": "),SUBSTITUTE(SUBSTITUTE(UPPER(S2313)," ",""),":",": "))),0)),"Undefined")</f>
        <v>Undefined</v>
      </c>
      <c r="B2313" s="42" t="str" cm="1">
        <f t="array" ref="B2313">IFERROR(INDEX({"URGENTE"},MATCH(TRUE,ISNUMBER(FIND(SUBSTITUTE(SUBSTITUTE(UPPER({"URGENTE"})," ",""),":",": "),SUBSTITUTE(SUBSTITUTE(UPPER(S2313)," ",""),":",": "))),0)),"-")</f>
        <v>-</v>
      </c>
      <c r="C2313" s="46" t="str" cm="1">
        <f t="array" ref="C2313">IFERROR(INDEX(#REF!,MATCH(TRUE,ISNUMBER(FIND(SUBSTITUTE(SUBSTITUTE(UPPER(#REF!)," ",""),":",": "),SUBSTITUTE(SUBSTITUTE(UPPER(S2313)," ",""),":",": "))),0)),"Não encontrado")</f>
        <v>Não encontrado</v>
      </c>
      <c r="D2313" s="46" t="str" cm="1">
        <f t="array" ref="D2313">IFERROR(INDEX(#REF!,MATCH(TRUE,ISNUMBER(FIND(SUBSTITUTE(SUBSTITUTE(UPPER(#REF!)," ",""),":",": "),SUBSTITUTE(SUBSTITUTE(UPPER(S2313)," ",""),":",": "))),0)),"Não encontrado")</f>
        <v>Não encontrado</v>
      </c>
      <c r="E2313" s="42" t="str" cm="1">
        <f t="array" ref="E2313">IFERROR(INDEX({"IMPEDITIVO"},MATCH(TRUE,ISNUMBER(FIND(SUBSTITUTE(SUBSTITUTE(UPPER({"IMPEDITIVO"})," ",""),":",": "),SUBSTITUTE(SUBSTITUTE(UPPER(S2313)," ",""),":",": "))),0)),"-")</f>
        <v>-</v>
      </c>
      <c r="K2313" s="49"/>
    </row>
    <row r="2314" spans="1:11" x14ac:dyDescent="0.25">
      <c r="A2314" s="46" t="str" cm="1">
        <f t="array" ref="A2314">IFERROR(INDEX(#REF!,MATCH(TRUE,ISNUMBER(FIND(SUBSTITUTE(SUBSTITUTE(UPPER(#REF!)," ",""),":",": "),SUBSTITUTE(SUBSTITUTE(UPPER(S2314)," ",""),":",": "))),0)),"Undefined")</f>
        <v>Undefined</v>
      </c>
      <c r="B2314" s="42" t="str" cm="1">
        <f t="array" ref="B2314">IFERROR(INDEX({"URGENTE"},MATCH(TRUE,ISNUMBER(FIND(SUBSTITUTE(SUBSTITUTE(UPPER({"URGENTE"})," ",""),":",": "),SUBSTITUTE(SUBSTITUTE(UPPER(S2314)," ",""),":",": "))),0)),"-")</f>
        <v>-</v>
      </c>
      <c r="C2314" s="46" t="str" cm="1">
        <f t="array" ref="C2314">IFERROR(INDEX(#REF!,MATCH(TRUE,ISNUMBER(FIND(SUBSTITUTE(SUBSTITUTE(UPPER(#REF!)," ",""),":",": "),SUBSTITUTE(SUBSTITUTE(UPPER(S2314)," ",""),":",": "))),0)),"Não encontrado")</f>
        <v>Não encontrado</v>
      </c>
      <c r="D2314" s="46" t="str" cm="1">
        <f t="array" ref="D2314">IFERROR(INDEX(#REF!,MATCH(TRUE,ISNUMBER(FIND(SUBSTITUTE(SUBSTITUTE(UPPER(#REF!)," ",""),":",": "),SUBSTITUTE(SUBSTITUTE(UPPER(S2314)," ",""),":",": "))),0)),"Não encontrado")</f>
        <v>Não encontrado</v>
      </c>
      <c r="E2314" s="42" t="str" cm="1">
        <f t="array" ref="E2314">IFERROR(INDEX({"IMPEDITIVO"},MATCH(TRUE,ISNUMBER(FIND(SUBSTITUTE(SUBSTITUTE(UPPER({"IMPEDITIVO"})," ",""),":",": "),SUBSTITUTE(SUBSTITUTE(UPPER(S2314)," ",""),":",": "))),0)),"-")</f>
        <v>-</v>
      </c>
      <c r="K2314" s="49"/>
    </row>
    <row r="2315" spans="1:11" x14ac:dyDescent="0.25">
      <c r="A2315" s="46" t="str" cm="1">
        <f t="array" ref="A2315">IFERROR(INDEX(#REF!,MATCH(TRUE,ISNUMBER(FIND(SUBSTITUTE(SUBSTITUTE(UPPER(#REF!)," ",""),":",": "),SUBSTITUTE(SUBSTITUTE(UPPER(S2315)," ",""),":",": "))),0)),"Undefined")</f>
        <v>Undefined</v>
      </c>
      <c r="B2315" s="42" t="str" cm="1">
        <f t="array" ref="B2315">IFERROR(INDEX({"URGENTE"},MATCH(TRUE,ISNUMBER(FIND(SUBSTITUTE(SUBSTITUTE(UPPER({"URGENTE"})," ",""),":",": "),SUBSTITUTE(SUBSTITUTE(UPPER(S2315)," ",""),":",": "))),0)),"-")</f>
        <v>-</v>
      </c>
      <c r="C2315" s="46" t="str" cm="1">
        <f t="array" ref="C2315">IFERROR(INDEX(#REF!,MATCH(TRUE,ISNUMBER(FIND(SUBSTITUTE(SUBSTITUTE(UPPER(#REF!)," ",""),":",": "),SUBSTITUTE(SUBSTITUTE(UPPER(S2315)," ",""),":",": "))),0)),"Não encontrado")</f>
        <v>Não encontrado</v>
      </c>
      <c r="D2315" s="46" t="str" cm="1">
        <f t="array" ref="D2315">IFERROR(INDEX(#REF!,MATCH(TRUE,ISNUMBER(FIND(SUBSTITUTE(SUBSTITUTE(UPPER(#REF!)," ",""),":",": "),SUBSTITUTE(SUBSTITUTE(UPPER(S2315)," ",""),":",": "))),0)),"Não encontrado")</f>
        <v>Não encontrado</v>
      </c>
      <c r="E2315" s="42" t="str" cm="1">
        <f t="array" ref="E2315">IFERROR(INDEX({"IMPEDITIVO"},MATCH(TRUE,ISNUMBER(FIND(SUBSTITUTE(SUBSTITUTE(UPPER({"IMPEDITIVO"})," ",""),":",": "),SUBSTITUTE(SUBSTITUTE(UPPER(S2315)," ",""),":",": "))),0)),"-")</f>
        <v>-</v>
      </c>
      <c r="K2315" s="49"/>
    </row>
    <row r="2316" spans="1:11" x14ac:dyDescent="0.25">
      <c r="A2316" s="46" t="str" cm="1">
        <f t="array" ref="A2316">IFERROR(INDEX(#REF!,MATCH(TRUE,ISNUMBER(FIND(SUBSTITUTE(SUBSTITUTE(UPPER(#REF!)," ",""),":",": "),SUBSTITUTE(SUBSTITUTE(UPPER(S2316)," ",""),":",": "))),0)),"Undefined")</f>
        <v>Undefined</v>
      </c>
      <c r="B2316" s="42" t="str" cm="1">
        <f t="array" ref="B2316">IFERROR(INDEX({"URGENTE"},MATCH(TRUE,ISNUMBER(FIND(SUBSTITUTE(SUBSTITUTE(UPPER({"URGENTE"})," ",""),":",": "),SUBSTITUTE(SUBSTITUTE(UPPER(S2316)," ",""),":",": "))),0)),"-")</f>
        <v>-</v>
      </c>
      <c r="C2316" s="46" t="str" cm="1">
        <f t="array" ref="C2316">IFERROR(INDEX(#REF!,MATCH(TRUE,ISNUMBER(FIND(SUBSTITUTE(SUBSTITUTE(UPPER(#REF!)," ",""),":",": "),SUBSTITUTE(SUBSTITUTE(UPPER(S2316)," ",""),":",": "))),0)),"Não encontrado")</f>
        <v>Não encontrado</v>
      </c>
      <c r="D2316" s="46" t="str" cm="1">
        <f t="array" ref="D2316">IFERROR(INDEX(#REF!,MATCH(TRUE,ISNUMBER(FIND(SUBSTITUTE(SUBSTITUTE(UPPER(#REF!)," ",""),":",": "),SUBSTITUTE(SUBSTITUTE(UPPER(S2316)," ",""),":",": "))),0)),"Não encontrado")</f>
        <v>Não encontrado</v>
      </c>
      <c r="E2316" s="42" t="str" cm="1">
        <f t="array" ref="E2316">IFERROR(INDEX({"IMPEDITIVO"},MATCH(TRUE,ISNUMBER(FIND(SUBSTITUTE(SUBSTITUTE(UPPER({"IMPEDITIVO"})," ",""),":",": "),SUBSTITUTE(SUBSTITUTE(UPPER(S2316)," ",""),":",": "))),0)),"-")</f>
        <v>-</v>
      </c>
      <c r="K2316" s="49"/>
    </row>
    <row r="2317" spans="1:11" x14ac:dyDescent="0.25">
      <c r="A2317" s="46" t="str" cm="1">
        <f t="array" ref="A2317">IFERROR(INDEX(#REF!,MATCH(TRUE,ISNUMBER(FIND(SUBSTITUTE(SUBSTITUTE(UPPER(#REF!)," ",""),":",": "),SUBSTITUTE(SUBSTITUTE(UPPER(S2317)," ",""),":",": "))),0)),"Undefined")</f>
        <v>Undefined</v>
      </c>
      <c r="B2317" s="42" t="str" cm="1">
        <f t="array" ref="B2317">IFERROR(INDEX({"URGENTE"},MATCH(TRUE,ISNUMBER(FIND(SUBSTITUTE(SUBSTITUTE(UPPER({"URGENTE"})," ",""),":",": "),SUBSTITUTE(SUBSTITUTE(UPPER(S2317)," ",""),":",": "))),0)),"-")</f>
        <v>-</v>
      </c>
      <c r="C2317" s="46" t="str" cm="1">
        <f t="array" ref="C2317">IFERROR(INDEX(#REF!,MATCH(TRUE,ISNUMBER(FIND(SUBSTITUTE(SUBSTITUTE(UPPER(#REF!)," ",""),":",": "),SUBSTITUTE(SUBSTITUTE(UPPER(S2317)," ",""),":",": "))),0)),"Não encontrado")</f>
        <v>Não encontrado</v>
      </c>
      <c r="D2317" s="46" t="str" cm="1">
        <f t="array" ref="D2317">IFERROR(INDEX(#REF!,MATCH(TRUE,ISNUMBER(FIND(SUBSTITUTE(SUBSTITUTE(UPPER(#REF!)," ",""),":",": "),SUBSTITUTE(SUBSTITUTE(UPPER(S2317)," ",""),":",": "))),0)),"Não encontrado")</f>
        <v>Não encontrado</v>
      </c>
      <c r="E2317" s="42" t="str" cm="1">
        <f t="array" ref="E2317">IFERROR(INDEX({"IMPEDITIVO"},MATCH(TRUE,ISNUMBER(FIND(SUBSTITUTE(SUBSTITUTE(UPPER({"IMPEDITIVO"})," ",""),":",": "),SUBSTITUTE(SUBSTITUTE(UPPER(S2317)," ",""),":",": "))),0)),"-")</f>
        <v>-</v>
      </c>
      <c r="K2317" s="49"/>
    </row>
    <row r="2318" spans="1:11" x14ac:dyDescent="0.25">
      <c r="A2318" s="46" t="str" cm="1">
        <f t="array" ref="A2318">IFERROR(INDEX(#REF!,MATCH(TRUE,ISNUMBER(FIND(SUBSTITUTE(SUBSTITUTE(UPPER(#REF!)," ",""),":",": "),SUBSTITUTE(SUBSTITUTE(UPPER(S2318)," ",""),":",": "))),0)),"Undefined")</f>
        <v>Undefined</v>
      </c>
      <c r="B2318" s="42" t="str" cm="1">
        <f t="array" ref="B2318">IFERROR(INDEX({"URGENTE"},MATCH(TRUE,ISNUMBER(FIND(SUBSTITUTE(SUBSTITUTE(UPPER({"URGENTE"})," ",""),":",": "),SUBSTITUTE(SUBSTITUTE(UPPER(S2318)," ",""),":",": "))),0)),"-")</f>
        <v>-</v>
      </c>
      <c r="C2318" s="46" t="str" cm="1">
        <f t="array" ref="C2318">IFERROR(INDEX(#REF!,MATCH(TRUE,ISNUMBER(FIND(SUBSTITUTE(SUBSTITUTE(UPPER(#REF!)," ",""),":",": "),SUBSTITUTE(SUBSTITUTE(UPPER(S2318)," ",""),":",": "))),0)),"Não encontrado")</f>
        <v>Não encontrado</v>
      </c>
      <c r="D2318" s="46" t="str" cm="1">
        <f t="array" ref="D2318">IFERROR(INDEX(#REF!,MATCH(TRUE,ISNUMBER(FIND(SUBSTITUTE(SUBSTITUTE(UPPER(#REF!)," ",""),":",": "),SUBSTITUTE(SUBSTITUTE(UPPER(S2318)," ",""),":",": "))),0)),"Não encontrado")</f>
        <v>Não encontrado</v>
      </c>
      <c r="E2318" s="42" t="str" cm="1">
        <f t="array" ref="E2318">IFERROR(INDEX({"IMPEDITIVO"},MATCH(TRUE,ISNUMBER(FIND(SUBSTITUTE(SUBSTITUTE(UPPER({"IMPEDITIVO"})," ",""),":",": "),SUBSTITUTE(SUBSTITUTE(UPPER(S2318)," ",""),":",": "))),0)),"-")</f>
        <v>-</v>
      </c>
      <c r="K2318" s="49"/>
    </row>
    <row r="2319" spans="1:11" x14ac:dyDescent="0.25">
      <c r="A2319" s="46" t="str" cm="1">
        <f t="array" ref="A2319">IFERROR(INDEX(#REF!,MATCH(TRUE,ISNUMBER(FIND(SUBSTITUTE(SUBSTITUTE(UPPER(#REF!)," ",""),":",": "),SUBSTITUTE(SUBSTITUTE(UPPER(S2319)," ",""),":",": "))),0)),"Undefined")</f>
        <v>Undefined</v>
      </c>
      <c r="B2319" s="42" t="str" cm="1">
        <f t="array" ref="B2319">IFERROR(INDEX({"URGENTE"},MATCH(TRUE,ISNUMBER(FIND(SUBSTITUTE(SUBSTITUTE(UPPER({"URGENTE"})," ",""),":",": "),SUBSTITUTE(SUBSTITUTE(UPPER(S2319)," ",""),":",": "))),0)),"-")</f>
        <v>-</v>
      </c>
      <c r="C2319" s="46" t="str" cm="1">
        <f t="array" ref="C2319">IFERROR(INDEX(#REF!,MATCH(TRUE,ISNUMBER(FIND(SUBSTITUTE(SUBSTITUTE(UPPER(#REF!)," ",""),":",": "),SUBSTITUTE(SUBSTITUTE(UPPER(S2319)," ",""),":",": "))),0)),"Não encontrado")</f>
        <v>Não encontrado</v>
      </c>
      <c r="D2319" s="46" t="str" cm="1">
        <f t="array" ref="D2319">IFERROR(INDEX(#REF!,MATCH(TRUE,ISNUMBER(FIND(SUBSTITUTE(SUBSTITUTE(UPPER(#REF!)," ",""),":",": "),SUBSTITUTE(SUBSTITUTE(UPPER(S2319)," ",""),":",": "))),0)),"Não encontrado")</f>
        <v>Não encontrado</v>
      </c>
      <c r="E2319" s="42" t="str" cm="1">
        <f t="array" ref="E2319">IFERROR(INDEX({"IMPEDITIVO"},MATCH(TRUE,ISNUMBER(FIND(SUBSTITUTE(SUBSTITUTE(UPPER({"IMPEDITIVO"})," ",""),":",": "),SUBSTITUTE(SUBSTITUTE(UPPER(S2319)," ",""),":",": "))),0)),"-")</f>
        <v>-</v>
      </c>
      <c r="K2319" s="49"/>
    </row>
    <row r="2320" spans="1:11" x14ac:dyDescent="0.25">
      <c r="A2320" s="46" t="str" cm="1">
        <f t="array" ref="A2320">IFERROR(INDEX(#REF!,MATCH(TRUE,ISNUMBER(FIND(SUBSTITUTE(SUBSTITUTE(UPPER(#REF!)," ",""),":",": "),SUBSTITUTE(SUBSTITUTE(UPPER(S2320)," ",""),":",": "))),0)),"Undefined")</f>
        <v>Undefined</v>
      </c>
      <c r="B2320" s="42" t="str" cm="1">
        <f t="array" ref="B2320">IFERROR(INDEX({"URGENTE"},MATCH(TRUE,ISNUMBER(FIND(SUBSTITUTE(SUBSTITUTE(UPPER({"URGENTE"})," ",""),":",": "),SUBSTITUTE(SUBSTITUTE(UPPER(S2320)," ",""),":",": "))),0)),"-")</f>
        <v>-</v>
      </c>
      <c r="C2320" s="46" t="str" cm="1">
        <f t="array" ref="C2320">IFERROR(INDEX(#REF!,MATCH(TRUE,ISNUMBER(FIND(SUBSTITUTE(SUBSTITUTE(UPPER(#REF!)," ",""),":",": "),SUBSTITUTE(SUBSTITUTE(UPPER(S2320)," ",""),":",": "))),0)),"Não encontrado")</f>
        <v>Não encontrado</v>
      </c>
      <c r="D2320" s="46" t="str" cm="1">
        <f t="array" ref="D2320">IFERROR(INDEX(#REF!,MATCH(TRUE,ISNUMBER(FIND(SUBSTITUTE(SUBSTITUTE(UPPER(#REF!)," ",""),":",": "),SUBSTITUTE(SUBSTITUTE(UPPER(S2320)," ",""),":",": "))),0)),"Não encontrado")</f>
        <v>Não encontrado</v>
      </c>
      <c r="E2320" s="42" t="str" cm="1">
        <f t="array" ref="E2320">IFERROR(INDEX({"IMPEDITIVO"},MATCH(TRUE,ISNUMBER(FIND(SUBSTITUTE(SUBSTITUTE(UPPER({"IMPEDITIVO"})," ",""),":",": "),SUBSTITUTE(SUBSTITUTE(UPPER(S2320)," ",""),":",": "))),0)),"-")</f>
        <v>-</v>
      </c>
      <c r="K2320" s="49"/>
    </row>
    <row r="2321" spans="1:11" x14ac:dyDescent="0.25">
      <c r="A2321" s="46" t="str" cm="1">
        <f t="array" ref="A2321">IFERROR(INDEX(#REF!,MATCH(TRUE,ISNUMBER(FIND(SUBSTITUTE(SUBSTITUTE(UPPER(#REF!)," ",""),":",": "),SUBSTITUTE(SUBSTITUTE(UPPER(S2321)," ",""),":",": "))),0)),"Undefined")</f>
        <v>Undefined</v>
      </c>
      <c r="B2321" s="42" t="str" cm="1">
        <f t="array" ref="B2321">IFERROR(INDEX({"URGENTE"},MATCH(TRUE,ISNUMBER(FIND(SUBSTITUTE(SUBSTITUTE(UPPER({"URGENTE"})," ",""),":",": "),SUBSTITUTE(SUBSTITUTE(UPPER(S2321)," ",""),":",": "))),0)),"-")</f>
        <v>-</v>
      </c>
      <c r="C2321" s="46" t="str" cm="1">
        <f t="array" ref="C2321">IFERROR(INDEX(#REF!,MATCH(TRUE,ISNUMBER(FIND(SUBSTITUTE(SUBSTITUTE(UPPER(#REF!)," ",""),":",": "),SUBSTITUTE(SUBSTITUTE(UPPER(S2321)," ",""),":",": "))),0)),"Não encontrado")</f>
        <v>Não encontrado</v>
      </c>
      <c r="D2321" s="46" t="str" cm="1">
        <f t="array" ref="D2321">IFERROR(INDEX(#REF!,MATCH(TRUE,ISNUMBER(FIND(SUBSTITUTE(SUBSTITUTE(UPPER(#REF!)," ",""),":",": "),SUBSTITUTE(SUBSTITUTE(UPPER(S2321)," ",""),":",": "))),0)),"Não encontrado")</f>
        <v>Não encontrado</v>
      </c>
      <c r="E2321" s="42" t="str" cm="1">
        <f t="array" ref="E2321">IFERROR(INDEX({"IMPEDITIVO"},MATCH(TRUE,ISNUMBER(FIND(SUBSTITUTE(SUBSTITUTE(UPPER({"IMPEDITIVO"})," ",""),":",": "),SUBSTITUTE(SUBSTITUTE(UPPER(S2321)," ",""),":",": "))),0)),"-")</f>
        <v>-</v>
      </c>
      <c r="K2321" s="49"/>
    </row>
    <row r="2322" spans="1:11" x14ac:dyDescent="0.25">
      <c r="A2322" s="46" t="str" cm="1">
        <f t="array" ref="A2322">IFERROR(INDEX(#REF!,MATCH(TRUE,ISNUMBER(FIND(SUBSTITUTE(SUBSTITUTE(UPPER(#REF!)," ",""),":",": "),SUBSTITUTE(SUBSTITUTE(UPPER(S2322)," ",""),":",": "))),0)),"Undefined")</f>
        <v>Undefined</v>
      </c>
      <c r="B2322" s="42" t="str" cm="1">
        <f t="array" ref="B2322">IFERROR(INDEX({"URGENTE"},MATCH(TRUE,ISNUMBER(FIND(SUBSTITUTE(SUBSTITUTE(UPPER({"URGENTE"})," ",""),":",": "),SUBSTITUTE(SUBSTITUTE(UPPER(S2322)," ",""),":",": "))),0)),"-")</f>
        <v>-</v>
      </c>
      <c r="C2322" s="46" t="str" cm="1">
        <f t="array" ref="C2322">IFERROR(INDEX(#REF!,MATCH(TRUE,ISNUMBER(FIND(SUBSTITUTE(SUBSTITUTE(UPPER(#REF!)," ",""),":",": "),SUBSTITUTE(SUBSTITUTE(UPPER(S2322)," ",""),":",": "))),0)),"Não encontrado")</f>
        <v>Não encontrado</v>
      </c>
      <c r="D2322" s="46" t="str" cm="1">
        <f t="array" ref="D2322">IFERROR(INDEX(#REF!,MATCH(TRUE,ISNUMBER(FIND(SUBSTITUTE(SUBSTITUTE(UPPER(#REF!)," ",""),":",": "),SUBSTITUTE(SUBSTITUTE(UPPER(S2322)," ",""),":",": "))),0)),"Não encontrado")</f>
        <v>Não encontrado</v>
      </c>
      <c r="E2322" s="42" t="str" cm="1">
        <f t="array" ref="E2322">IFERROR(INDEX({"IMPEDITIVO"},MATCH(TRUE,ISNUMBER(FIND(SUBSTITUTE(SUBSTITUTE(UPPER({"IMPEDITIVO"})," ",""),":",": "),SUBSTITUTE(SUBSTITUTE(UPPER(S2322)," ",""),":",": "))),0)),"-")</f>
        <v>-</v>
      </c>
      <c r="K2322" s="49"/>
    </row>
    <row r="2323" spans="1:11" x14ac:dyDescent="0.25">
      <c r="A2323" s="46" t="str" cm="1">
        <f t="array" ref="A2323">IFERROR(INDEX(#REF!,MATCH(TRUE,ISNUMBER(FIND(SUBSTITUTE(SUBSTITUTE(UPPER(#REF!)," ",""),":",": "),SUBSTITUTE(SUBSTITUTE(UPPER(S2323)," ",""),":",": "))),0)),"Undefined")</f>
        <v>Undefined</v>
      </c>
      <c r="B2323" s="42" t="str" cm="1">
        <f t="array" ref="B2323">IFERROR(INDEX({"URGENTE"},MATCH(TRUE,ISNUMBER(FIND(SUBSTITUTE(SUBSTITUTE(UPPER({"URGENTE"})," ",""),":",": "),SUBSTITUTE(SUBSTITUTE(UPPER(S2323)," ",""),":",": "))),0)),"-")</f>
        <v>-</v>
      </c>
      <c r="C2323" s="46" t="str" cm="1">
        <f t="array" ref="C2323">IFERROR(INDEX(#REF!,MATCH(TRUE,ISNUMBER(FIND(SUBSTITUTE(SUBSTITUTE(UPPER(#REF!)," ",""),":",": "),SUBSTITUTE(SUBSTITUTE(UPPER(S2323)," ",""),":",": "))),0)),"Não encontrado")</f>
        <v>Não encontrado</v>
      </c>
      <c r="D2323" s="46" t="str" cm="1">
        <f t="array" ref="D2323">IFERROR(INDEX(#REF!,MATCH(TRUE,ISNUMBER(FIND(SUBSTITUTE(SUBSTITUTE(UPPER(#REF!)," ",""),":",": "),SUBSTITUTE(SUBSTITUTE(UPPER(S2323)," ",""),":",": "))),0)),"Não encontrado")</f>
        <v>Não encontrado</v>
      </c>
      <c r="E2323" s="42" t="str" cm="1">
        <f t="array" ref="E2323">IFERROR(INDEX({"IMPEDITIVO"},MATCH(TRUE,ISNUMBER(FIND(SUBSTITUTE(SUBSTITUTE(UPPER({"IMPEDITIVO"})," ",""),":",": "),SUBSTITUTE(SUBSTITUTE(UPPER(S2323)," ",""),":",": "))),0)),"-")</f>
        <v>-</v>
      </c>
      <c r="K2323" s="49"/>
    </row>
    <row r="2324" spans="1:11" x14ac:dyDescent="0.25">
      <c r="A2324" s="46" t="str" cm="1">
        <f t="array" ref="A2324">IFERROR(INDEX(#REF!,MATCH(TRUE,ISNUMBER(FIND(SUBSTITUTE(SUBSTITUTE(UPPER(#REF!)," ",""),":",": "),SUBSTITUTE(SUBSTITUTE(UPPER(S2324)," ",""),":",": "))),0)),"Undefined")</f>
        <v>Undefined</v>
      </c>
      <c r="B2324" s="42" t="str" cm="1">
        <f t="array" ref="B2324">IFERROR(INDEX({"URGENTE"},MATCH(TRUE,ISNUMBER(FIND(SUBSTITUTE(SUBSTITUTE(UPPER({"URGENTE"})," ",""),":",": "),SUBSTITUTE(SUBSTITUTE(UPPER(S2324)," ",""),":",": "))),0)),"-")</f>
        <v>-</v>
      </c>
      <c r="C2324" s="46" t="str" cm="1">
        <f t="array" ref="C2324">IFERROR(INDEX(#REF!,MATCH(TRUE,ISNUMBER(FIND(SUBSTITUTE(SUBSTITUTE(UPPER(#REF!)," ",""),":",": "),SUBSTITUTE(SUBSTITUTE(UPPER(S2324)," ",""),":",": "))),0)),"Não encontrado")</f>
        <v>Não encontrado</v>
      </c>
      <c r="D2324" s="46" t="str" cm="1">
        <f t="array" ref="D2324">IFERROR(INDEX(#REF!,MATCH(TRUE,ISNUMBER(FIND(SUBSTITUTE(SUBSTITUTE(UPPER(#REF!)," ",""),":",": "),SUBSTITUTE(SUBSTITUTE(UPPER(S2324)," ",""),":",": "))),0)),"Não encontrado")</f>
        <v>Não encontrado</v>
      </c>
      <c r="E2324" s="42" t="str" cm="1">
        <f t="array" ref="E2324">IFERROR(INDEX({"IMPEDITIVO"},MATCH(TRUE,ISNUMBER(FIND(SUBSTITUTE(SUBSTITUTE(UPPER({"IMPEDITIVO"})," ",""),":",": "),SUBSTITUTE(SUBSTITUTE(UPPER(S2324)," ",""),":",": "))),0)),"-")</f>
        <v>-</v>
      </c>
      <c r="K2324" s="49"/>
    </row>
    <row r="2325" spans="1:11" x14ac:dyDescent="0.25">
      <c r="A2325" s="46" t="str" cm="1">
        <f t="array" ref="A2325">IFERROR(INDEX(#REF!,MATCH(TRUE,ISNUMBER(FIND(SUBSTITUTE(SUBSTITUTE(UPPER(#REF!)," ",""),":",": "),SUBSTITUTE(SUBSTITUTE(UPPER(S2325)," ",""),":",": "))),0)),"Undefined")</f>
        <v>Undefined</v>
      </c>
      <c r="B2325" s="42" t="str" cm="1">
        <f t="array" ref="B2325">IFERROR(INDEX({"URGENTE"},MATCH(TRUE,ISNUMBER(FIND(SUBSTITUTE(SUBSTITUTE(UPPER({"URGENTE"})," ",""),":",": "),SUBSTITUTE(SUBSTITUTE(UPPER(S2325)," ",""),":",": "))),0)),"-")</f>
        <v>-</v>
      </c>
      <c r="C2325" s="46" t="str" cm="1">
        <f t="array" ref="C2325">IFERROR(INDEX(#REF!,MATCH(TRUE,ISNUMBER(FIND(SUBSTITUTE(SUBSTITUTE(UPPER(#REF!)," ",""),":",": "),SUBSTITUTE(SUBSTITUTE(UPPER(S2325)," ",""),":",": "))),0)),"Não encontrado")</f>
        <v>Não encontrado</v>
      </c>
      <c r="D2325" s="46" t="str" cm="1">
        <f t="array" ref="D2325">IFERROR(INDEX(#REF!,MATCH(TRUE,ISNUMBER(FIND(SUBSTITUTE(SUBSTITUTE(UPPER(#REF!)," ",""),":",": "),SUBSTITUTE(SUBSTITUTE(UPPER(S2325)," ",""),":",": "))),0)),"Não encontrado")</f>
        <v>Não encontrado</v>
      </c>
      <c r="E2325" s="42" t="str" cm="1">
        <f t="array" ref="E2325">IFERROR(INDEX({"IMPEDITIVO"},MATCH(TRUE,ISNUMBER(FIND(SUBSTITUTE(SUBSTITUTE(UPPER({"IMPEDITIVO"})," ",""),":",": "),SUBSTITUTE(SUBSTITUTE(UPPER(S2325)," ",""),":",": "))),0)),"-")</f>
        <v>-</v>
      </c>
      <c r="K2325" s="49"/>
    </row>
    <row r="2326" spans="1:11" x14ac:dyDescent="0.25">
      <c r="A2326" s="46" t="str" cm="1">
        <f t="array" ref="A2326">IFERROR(INDEX(#REF!,MATCH(TRUE,ISNUMBER(FIND(SUBSTITUTE(SUBSTITUTE(UPPER(#REF!)," ",""),":",": "),SUBSTITUTE(SUBSTITUTE(UPPER(S2326)," ",""),":",": "))),0)),"Undefined")</f>
        <v>Undefined</v>
      </c>
      <c r="B2326" s="42" t="str" cm="1">
        <f t="array" ref="B2326">IFERROR(INDEX({"URGENTE"},MATCH(TRUE,ISNUMBER(FIND(SUBSTITUTE(SUBSTITUTE(UPPER({"URGENTE"})," ",""),":",": "),SUBSTITUTE(SUBSTITUTE(UPPER(S2326)," ",""),":",": "))),0)),"-")</f>
        <v>-</v>
      </c>
      <c r="C2326" s="46" t="str" cm="1">
        <f t="array" ref="C2326">IFERROR(INDEX(#REF!,MATCH(TRUE,ISNUMBER(FIND(SUBSTITUTE(SUBSTITUTE(UPPER(#REF!)," ",""),":",": "),SUBSTITUTE(SUBSTITUTE(UPPER(S2326)," ",""),":",": "))),0)),"Não encontrado")</f>
        <v>Não encontrado</v>
      </c>
      <c r="D2326" s="46" t="str" cm="1">
        <f t="array" ref="D2326">IFERROR(INDEX(#REF!,MATCH(TRUE,ISNUMBER(FIND(SUBSTITUTE(SUBSTITUTE(UPPER(#REF!)," ",""),":",": "),SUBSTITUTE(SUBSTITUTE(UPPER(S2326)," ",""),":",": "))),0)),"Não encontrado")</f>
        <v>Não encontrado</v>
      </c>
      <c r="E2326" s="42" t="str" cm="1">
        <f t="array" ref="E2326">IFERROR(INDEX({"IMPEDITIVO"},MATCH(TRUE,ISNUMBER(FIND(SUBSTITUTE(SUBSTITUTE(UPPER({"IMPEDITIVO"})," ",""),":",": "),SUBSTITUTE(SUBSTITUTE(UPPER(S2326)," ",""),":",": "))),0)),"-")</f>
        <v>-</v>
      </c>
      <c r="K2326" s="49"/>
    </row>
    <row r="2327" spans="1:11" x14ac:dyDescent="0.25">
      <c r="A2327" s="46" t="str" cm="1">
        <f t="array" ref="A2327">IFERROR(INDEX(#REF!,MATCH(TRUE,ISNUMBER(FIND(SUBSTITUTE(SUBSTITUTE(UPPER(#REF!)," ",""),":",": "),SUBSTITUTE(SUBSTITUTE(UPPER(S2327)," ",""),":",": "))),0)),"Undefined")</f>
        <v>Undefined</v>
      </c>
      <c r="B2327" s="42" t="str" cm="1">
        <f t="array" ref="B2327">IFERROR(INDEX({"URGENTE"},MATCH(TRUE,ISNUMBER(FIND(SUBSTITUTE(SUBSTITUTE(UPPER({"URGENTE"})," ",""),":",": "),SUBSTITUTE(SUBSTITUTE(UPPER(S2327)," ",""),":",": "))),0)),"-")</f>
        <v>-</v>
      </c>
      <c r="C2327" s="46" t="str" cm="1">
        <f t="array" ref="C2327">IFERROR(INDEX(#REF!,MATCH(TRUE,ISNUMBER(FIND(SUBSTITUTE(SUBSTITUTE(UPPER(#REF!)," ",""),":",": "),SUBSTITUTE(SUBSTITUTE(UPPER(S2327)," ",""),":",": "))),0)),"Não encontrado")</f>
        <v>Não encontrado</v>
      </c>
      <c r="D2327" s="46" t="str" cm="1">
        <f t="array" ref="D2327">IFERROR(INDEX(#REF!,MATCH(TRUE,ISNUMBER(FIND(SUBSTITUTE(SUBSTITUTE(UPPER(#REF!)," ",""),":",": "),SUBSTITUTE(SUBSTITUTE(UPPER(S2327)," ",""),":",": "))),0)),"Não encontrado")</f>
        <v>Não encontrado</v>
      </c>
      <c r="E2327" s="42" t="str" cm="1">
        <f t="array" ref="E2327">IFERROR(INDEX({"IMPEDITIVO"},MATCH(TRUE,ISNUMBER(FIND(SUBSTITUTE(SUBSTITUTE(UPPER({"IMPEDITIVO"})," ",""),":",": "),SUBSTITUTE(SUBSTITUTE(UPPER(S2327)," ",""),":",": "))),0)),"-")</f>
        <v>-</v>
      </c>
      <c r="K2327" s="49"/>
    </row>
    <row r="2328" spans="1:11" x14ac:dyDescent="0.25">
      <c r="A2328" s="46" t="str" cm="1">
        <f t="array" ref="A2328">IFERROR(INDEX(#REF!,MATCH(TRUE,ISNUMBER(FIND(SUBSTITUTE(SUBSTITUTE(UPPER(#REF!)," ",""),":",": "),SUBSTITUTE(SUBSTITUTE(UPPER(S2328)," ",""),":",": "))),0)),"Undefined")</f>
        <v>Undefined</v>
      </c>
      <c r="B2328" s="42" t="str" cm="1">
        <f t="array" ref="B2328">IFERROR(INDEX({"URGENTE"},MATCH(TRUE,ISNUMBER(FIND(SUBSTITUTE(SUBSTITUTE(UPPER({"URGENTE"})," ",""),":",": "),SUBSTITUTE(SUBSTITUTE(UPPER(S2328)," ",""),":",": "))),0)),"-")</f>
        <v>-</v>
      </c>
      <c r="C2328" s="46" t="str" cm="1">
        <f t="array" ref="C2328">IFERROR(INDEX(#REF!,MATCH(TRUE,ISNUMBER(FIND(SUBSTITUTE(SUBSTITUTE(UPPER(#REF!)," ",""),":",": "),SUBSTITUTE(SUBSTITUTE(UPPER(S2328)," ",""),":",": "))),0)),"Não encontrado")</f>
        <v>Não encontrado</v>
      </c>
      <c r="D2328" s="46" t="str" cm="1">
        <f t="array" ref="D2328">IFERROR(INDEX(#REF!,MATCH(TRUE,ISNUMBER(FIND(SUBSTITUTE(SUBSTITUTE(UPPER(#REF!)," ",""),":",": "),SUBSTITUTE(SUBSTITUTE(UPPER(S2328)," ",""),":",": "))),0)),"Não encontrado")</f>
        <v>Não encontrado</v>
      </c>
      <c r="E2328" s="42" t="str" cm="1">
        <f t="array" ref="E2328">IFERROR(INDEX({"IMPEDITIVO"},MATCH(TRUE,ISNUMBER(FIND(SUBSTITUTE(SUBSTITUTE(UPPER({"IMPEDITIVO"})," ",""),":",": "),SUBSTITUTE(SUBSTITUTE(UPPER(S2328)," ",""),":",": "))),0)),"-")</f>
        <v>-</v>
      </c>
      <c r="K2328" s="49"/>
    </row>
    <row r="2329" spans="1:11" x14ac:dyDescent="0.25">
      <c r="A2329" s="46" t="str" cm="1">
        <f t="array" ref="A2329">IFERROR(INDEX(#REF!,MATCH(TRUE,ISNUMBER(FIND(SUBSTITUTE(SUBSTITUTE(UPPER(#REF!)," ",""),":",": "),SUBSTITUTE(SUBSTITUTE(UPPER(S2329)," ",""),":",": "))),0)),"Undefined")</f>
        <v>Undefined</v>
      </c>
      <c r="B2329" s="42" t="str" cm="1">
        <f t="array" ref="B2329">IFERROR(INDEX({"URGENTE"},MATCH(TRUE,ISNUMBER(FIND(SUBSTITUTE(SUBSTITUTE(UPPER({"URGENTE"})," ",""),":",": "),SUBSTITUTE(SUBSTITUTE(UPPER(S2329)," ",""),":",": "))),0)),"-")</f>
        <v>-</v>
      </c>
      <c r="C2329" s="46" t="str" cm="1">
        <f t="array" ref="C2329">IFERROR(INDEX(#REF!,MATCH(TRUE,ISNUMBER(FIND(SUBSTITUTE(SUBSTITUTE(UPPER(#REF!)," ",""),":",": "),SUBSTITUTE(SUBSTITUTE(UPPER(S2329)," ",""),":",": "))),0)),"Não encontrado")</f>
        <v>Não encontrado</v>
      </c>
      <c r="D2329" s="46" t="str" cm="1">
        <f t="array" ref="D2329">IFERROR(INDEX(#REF!,MATCH(TRUE,ISNUMBER(FIND(SUBSTITUTE(SUBSTITUTE(UPPER(#REF!)," ",""),":",": "),SUBSTITUTE(SUBSTITUTE(UPPER(S2329)," ",""),":",": "))),0)),"Não encontrado")</f>
        <v>Não encontrado</v>
      </c>
      <c r="E2329" s="42" t="str" cm="1">
        <f t="array" ref="E2329">IFERROR(INDEX({"IMPEDITIVO"},MATCH(TRUE,ISNUMBER(FIND(SUBSTITUTE(SUBSTITUTE(UPPER({"IMPEDITIVO"})," ",""),":",": "),SUBSTITUTE(SUBSTITUTE(UPPER(S2329)," ",""),":",": "))),0)),"-")</f>
        <v>-</v>
      </c>
      <c r="K2329" s="49"/>
    </row>
    <row r="2330" spans="1:11" x14ac:dyDescent="0.25">
      <c r="A2330" s="46" t="str" cm="1">
        <f t="array" ref="A2330">IFERROR(INDEX(#REF!,MATCH(TRUE,ISNUMBER(FIND(SUBSTITUTE(SUBSTITUTE(UPPER(#REF!)," ",""),":",": "),SUBSTITUTE(SUBSTITUTE(UPPER(S2330)," ",""),":",": "))),0)),"Undefined")</f>
        <v>Undefined</v>
      </c>
      <c r="B2330" s="42" t="str" cm="1">
        <f t="array" ref="B2330">IFERROR(INDEX({"URGENTE"},MATCH(TRUE,ISNUMBER(FIND(SUBSTITUTE(SUBSTITUTE(UPPER({"URGENTE"})," ",""),":",": "),SUBSTITUTE(SUBSTITUTE(UPPER(S2330)," ",""),":",": "))),0)),"-")</f>
        <v>-</v>
      </c>
      <c r="C2330" s="46" t="str" cm="1">
        <f t="array" ref="C2330">IFERROR(INDEX(#REF!,MATCH(TRUE,ISNUMBER(FIND(SUBSTITUTE(SUBSTITUTE(UPPER(#REF!)," ",""),":",": "),SUBSTITUTE(SUBSTITUTE(UPPER(S2330)," ",""),":",": "))),0)),"Não encontrado")</f>
        <v>Não encontrado</v>
      </c>
      <c r="D2330" s="46" t="str" cm="1">
        <f t="array" ref="D2330">IFERROR(INDEX(#REF!,MATCH(TRUE,ISNUMBER(FIND(SUBSTITUTE(SUBSTITUTE(UPPER(#REF!)," ",""),":",": "),SUBSTITUTE(SUBSTITUTE(UPPER(S2330)," ",""),":",": "))),0)),"Não encontrado")</f>
        <v>Não encontrado</v>
      </c>
      <c r="E2330" s="42" t="str" cm="1">
        <f t="array" ref="E2330">IFERROR(INDEX({"IMPEDITIVO"},MATCH(TRUE,ISNUMBER(FIND(SUBSTITUTE(SUBSTITUTE(UPPER({"IMPEDITIVO"})," ",""),":",": "),SUBSTITUTE(SUBSTITUTE(UPPER(S2330)," ",""),":",": "))),0)),"-")</f>
        <v>-</v>
      </c>
      <c r="K2330" s="49"/>
    </row>
    <row r="2331" spans="1:11" x14ac:dyDescent="0.25">
      <c r="A2331" s="46" t="str" cm="1">
        <f t="array" ref="A2331">IFERROR(INDEX(#REF!,MATCH(TRUE,ISNUMBER(FIND(SUBSTITUTE(SUBSTITUTE(UPPER(#REF!)," ",""),":",": "),SUBSTITUTE(SUBSTITUTE(UPPER(S2331)," ",""),":",": "))),0)),"Undefined")</f>
        <v>Undefined</v>
      </c>
      <c r="B2331" s="42" t="str" cm="1">
        <f t="array" ref="B2331">IFERROR(INDEX({"URGENTE"},MATCH(TRUE,ISNUMBER(FIND(SUBSTITUTE(SUBSTITUTE(UPPER({"URGENTE"})," ",""),":",": "),SUBSTITUTE(SUBSTITUTE(UPPER(S2331)," ",""),":",": "))),0)),"-")</f>
        <v>-</v>
      </c>
      <c r="C2331" s="46" t="str" cm="1">
        <f t="array" ref="C2331">IFERROR(INDEX(#REF!,MATCH(TRUE,ISNUMBER(FIND(SUBSTITUTE(SUBSTITUTE(UPPER(#REF!)," ",""),":",": "),SUBSTITUTE(SUBSTITUTE(UPPER(S2331)," ",""),":",": "))),0)),"Não encontrado")</f>
        <v>Não encontrado</v>
      </c>
      <c r="D2331" s="46" t="str" cm="1">
        <f t="array" ref="D2331">IFERROR(INDEX(#REF!,MATCH(TRUE,ISNUMBER(FIND(SUBSTITUTE(SUBSTITUTE(UPPER(#REF!)," ",""),":",": "),SUBSTITUTE(SUBSTITUTE(UPPER(S2331)," ",""),":",": "))),0)),"Não encontrado")</f>
        <v>Não encontrado</v>
      </c>
      <c r="E2331" s="42" t="str" cm="1">
        <f t="array" ref="E2331">IFERROR(INDEX({"IMPEDITIVO"},MATCH(TRUE,ISNUMBER(FIND(SUBSTITUTE(SUBSTITUTE(UPPER({"IMPEDITIVO"})," ",""),":",": "),SUBSTITUTE(SUBSTITUTE(UPPER(S2331)," ",""),":",": "))),0)),"-")</f>
        <v>-</v>
      </c>
      <c r="K2331" s="49"/>
    </row>
    <row r="2332" spans="1:11" x14ac:dyDescent="0.25">
      <c r="A2332" s="46" t="str" cm="1">
        <f t="array" ref="A2332">IFERROR(INDEX(#REF!,MATCH(TRUE,ISNUMBER(FIND(SUBSTITUTE(SUBSTITUTE(UPPER(#REF!)," ",""),":",": "),SUBSTITUTE(SUBSTITUTE(UPPER(S2332)," ",""),":",": "))),0)),"Undefined")</f>
        <v>Undefined</v>
      </c>
      <c r="B2332" s="42" t="str" cm="1">
        <f t="array" ref="B2332">IFERROR(INDEX({"URGENTE"},MATCH(TRUE,ISNUMBER(FIND(SUBSTITUTE(SUBSTITUTE(UPPER({"URGENTE"})," ",""),":",": "),SUBSTITUTE(SUBSTITUTE(UPPER(S2332)," ",""),":",": "))),0)),"-")</f>
        <v>-</v>
      </c>
      <c r="C2332" s="46" t="str" cm="1">
        <f t="array" ref="C2332">IFERROR(INDEX(#REF!,MATCH(TRUE,ISNUMBER(FIND(SUBSTITUTE(SUBSTITUTE(UPPER(#REF!)," ",""),":",": "),SUBSTITUTE(SUBSTITUTE(UPPER(S2332)," ",""),":",": "))),0)),"Não encontrado")</f>
        <v>Não encontrado</v>
      </c>
      <c r="D2332" s="46" t="str" cm="1">
        <f t="array" ref="D2332">IFERROR(INDEX(#REF!,MATCH(TRUE,ISNUMBER(FIND(SUBSTITUTE(SUBSTITUTE(UPPER(#REF!)," ",""),":",": "),SUBSTITUTE(SUBSTITUTE(UPPER(S2332)," ",""),":",": "))),0)),"Não encontrado")</f>
        <v>Não encontrado</v>
      </c>
      <c r="E2332" s="42" t="str" cm="1">
        <f t="array" ref="E2332">IFERROR(INDEX({"IMPEDITIVO"},MATCH(TRUE,ISNUMBER(FIND(SUBSTITUTE(SUBSTITUTE(UPPER({"IMPEDITIVO"})," ",""),":",": "),SUBSTITUTE(SUBSTITUTE(UPPER(S2332)," ",""),":",": "))),0)),"-")</f>
        <v>-</v>
      </c>
      <c r="K2332" s="49"/>
    </row>
    <row r="2333" spans="1:11" x14ac:dyDescent="0.25">
      <c r="A2333" s="46" t="str" cm="1">
        <f t="array" ref="A2333">IFERROR(INDEX(#REF!,MATCH(TRUE,ISNUMBER(FIND(SUBSTITUTE(SUBSTITUTE(UPPER(#REF!)," ",""),":",": "),SUBSTITUTE(SUBSTITUTE(UPPER(S2333)," ",""),":",": "))),0)),"Undefined")</f>
        <v>Undefined</v>
      </c>
      <c r="B2333" s="42" t="str" cm="1">
        <f t="array" ref="B2333">IFERROR(INDEX({"URGENTE"},MATCH(TRUE,ISNUMBER(FIND(SUBSTITUTE(SUBSTITUTE(UPPER({"URGENTE"})," ",""),":",": "),SUBSTITUTE(SUBSTITUTE(UPPER(S2333)," ",""),":",": "))),0)),"-")</f>
        <v>-</v>
      </c>
      <c r="C2333" s="46" t="str" cm="1">
        <f t="array" ref="C2333">IFERROR(INDEX(#REF!,MATCH(TRUE,ISNUMBER(FIND(SUBSTITUTE(SUBSTITUTE(UPPER(#REF!)," ",""),":",": "),SUBSTITUTE(SUBSTITUTE(UPPER(S2333)," ",""),":",": "))),0)),"Não encontrado")</f>
        <v>Não encontrado</v>
      </c>
      <c r="D2333" s="46" t="str" cm="1">
        <f t="array" ref="D2333">IFERROR(INDEX(#REF!,MATCH(TRUE,ISNUMBER(FIND(SUBSTITUTE(SUBSTITUTE(UPPER(#REF!)," ",""),":",": "),SUBSTITUTE(SUBSTITUTE(UPPER(S2333)," ",""),":",": "))),0)),"Não encontrado")</f>
        <v>Não encontrado</v>
      </c>
      <c r="E2333" s="42" t="str" cm="1">
        <f t="array" ref="E2333">IFERROR(INDEX({"IMPEDITIVO"},MATCH(TRUE,ISNUMBER(FIND(SUBSTITUTE(SUBSTITUTE(UPPER({"IMPEDITIVO"})," ",""),":",": "),SUBSTITUTE(SUBSTITUTE(UPPER(S2333)," ",""),":",": "))),0)),"-")</f>
        <v>-</v>
      </c>
      <c r="K2333" s="49"/>
    </row>
    <row r="2334" spans="1:11" x14ac:dyDescent="0.25">
      <c r="A2334" s="46" t="str" cm="1">
        <f t="array" ref="A2334">IFERROR(INDEX(#REF!,MATCH(TRUE,ISNUMBER(FIND(SUBSTITUTE(SUBSTITUTE(UPPER(#REF!)," ",""),":",": "),SUBSTITUTE(SUBSTITUTE(UPPER(S2334)," ",""),":",": "))),0)),"Undefined")</f>
        <v>Undefined</v>
      </c>
      <c r="B2334" s="42" t="str" cm="1">
        <f t="array" ref="B2334">IFERROR(INDEX({"URGENTE"},MATCH(TRUE,ISNUMBER(FIND(SUBSTITUTE(SUBSTITUTE(UPPER({"URGENTE"})," ",""),":",": "),SUBSTITUTE(SUBSTITUTE(UPPER(S2334)," ",""),":",": "))),0)),"-")</f>
        <v>-</v>
      </c>
      <c r="C2334" s="46" t="str" cm="1">
        <f t="array" ref="C2334">IFERROR(INDEX(#REF!,MATCH(TRUE,ISNUMBER(FIND(SUBSTITUTE(SUBSTITUTE(UPPER(#REF!)," ",""),":",": "),SUBSTITUTE(SUBSTITUTE(UPPER(S2334)," ",""),":",": "))),0)),"Não encontrado")</f>
        <v>Não encontrado</v>
      </c>
      <c r="D2334" s="46" t="str" cm="1">
        <f t="array" ref="D2334">IFERROR(INDEX(#REF!,MATCH(TRUE,ISNUMBER(FIND(SUBSTITUTE(SUBSTITUTE(UPPER(#REF!)," ",""),":",": "),SUBSTITUTE(SUBSTITUTE(UPPER(S2334)," ",""),":",": "))),0)),"Não encontrado")</f>
        <v>Não encontrado</v>
      </c>
      <c r="E2334" s="42" t="str" cm="1">
        <f t="array" ref="E2334">IFERROR(INDEX({"IMPEDITIVO"},MATCH(TRUE,ISNUMBER(FIND(SUBSTITUTE(SUBSTITUTE(UPPER({"IMPEDITIVO"})," ",""),":",": "),SUBSTITUTE(SUBSTITUTE(UPPER(S2334)," ",""),":",": "))),0)),"-")</f>
        <v>-</v>
      </c>
      <c r="K2334" s="49"/>
    </row>
    <row r="2335" spans="1:11" x14ac:dyDescent="0.25">
      <c r="A2335" s="46" t="str" cm="1">
        <f t="array" ref="A2335">IFERROR(INDEX(#REF!,MATCH(TRUE,ISNUMBER(FIND(SUBSTITUTE(SUBSTITUTE(UPPER(#REF!)," ",""),":",": "),SUBSTITUTE(SUBSTITUTE(UPPER(S2335)," ",""),":",": "))),0)),"Undefined")</f>
        <v>Undefined</v>
      </c>
      <c r="B2335" s="42" t="str" cm="1">
        <f t="array" ref="B2335">IFERROR(INDEX({"URGENTE"},MATCH(TRUE,ISNUMBER(FIND(SUBSTITUTE(SUBSTITUTE(UPPER({"URGENTE"})," ",""),":",": "),SUBSTITUTE(SUBSTITUTE(UPPER(S2335)," ",""),":",": "))),0)),"-")</f>
        <v>-</v>
      </c>
      <c r="C2335" s="46" t="str" cm="1">
        <f t="array" ref="C2335">IFERROR(INDEX(#REF!,MATCH(TRUE,ISNUMBER(FIND(SUBSTITUTE(SUBSTITUTE(UPPER(#REF!)," ",""),":",": "),SUBSTITUTE(SUBSTITUTE(UPPER(S2335)," ",""),":",": "))),0)),"Não encontrado")</f>
        <v>Não encontrado</v>
      </c>
      <c r="D2335" s="46" t="str" cm="1">
        <f t="array" ref="D2335">IFERROR(INDEX(#REF!,MATCH(TRUE,ISNUMBER(FIND(SUBSTITUTE(SUBSTITUTE(UPPER(#REF!)," ",""),":",": "),SUBSTITUTE(SUBSTITUTE(UPPER(S2335)," ",""),":",": "))),0)),"Não encontrado")</f>
        <v>Não encontrado</v>
      </c>
      <c r="E2335" s="42" t="str" cm="1">
        <f t="array" ref="E2335">IFERROR(INDEX({"IMPEDITIVO"},MATCH(TRUE,ISNUMBER(FIND(SUBSTITUTE(SUBSTITUTE(UPPER({"IMPEDITIVO"})," ",""),":",": "),SUBSTITUTE(SUBSTITUTE(UPPER(S2335)," ",""),":",": "))),0)),"-")</f>
        <v>-</v>
      </c>
      <c r="K2335" s="49"/>
    </row>
    <row r="2336" spans="1:11" x14ac:dyDescent="0.25">
      <c r="A2336" s="46" t="str" cm="1">
        <f t="array" ref="A2336">IFERROR(INDEX(#REF!,MATCH(TRUE,ISNUMBER(FIND(SUBSTITUTE(SUBSTITUTE(UPPER(#REF!)," ",""),":",": "),SUBSTITUTE(SUBSTITUTE(UPPER(S2336)," ",""),":",": "))),0)),"Undefined")</f>
        <v>Undefined</v>
      </c>
      <c r="B2336" s="42" t="str" cm="1">
        <f t="array" ref="B2336">IFERROR(INDEX({"URGENTE"},MATCH(TRUE,ISNUMBER(FIND(SUBSTITUTE(SUBSTITUTE(UPPER({"URGENTE"})," ",""),":",": "),SUBSTITUTE(SUBSTITUTE(UPPER(S2336)," ",""),":",": "))),0)),"-")</f>
        <v>-</v>
      </c>
      <c r="C2336" s="46" t="str" cm="1">
        <f t="array" ref="C2336">IFERROR(INDEX(#REF!,MATCH(TRUE,ISNUMBER(FIND(SUBSTITUTE(SUBSTITUTE(UPPER(#REF!)," ",""),":",": "),SUBSTITUTE(SUBSTITUTE(UPPER(S2336)," ",""),":",": "))),0)),"Não encontrado")</f>
        <v>Não encontrado</v>
      </c>
      <c r="D2336" s="46" t="str" cm="1">
        <f t="array" ref="D2336">IFERROR(INDEX(#REF!,MATCH(TRUE,ISNUMBER(FIND(SUBSTITUTE(SUBSTITUTE(UPPER(#REF!)," ",""),":",": "),SUBSTITUTE(SUBSTITUTE(UPPER(S2336)," ",""),":",": "))),0)),"Não encontrado")</f>
        <v>Não encontrado</v>
      </c>
      <c r="E2336" s="42" t="str" cm="1">
        <f t="array" ref="E2336">IFERROR(INDEX({"IMPEDITIVO"},MATCH(TRUE,ISNUMBER(FIND(SUBSTITUTE(SUBSTITUTE(UPPER({"IMPEDITIVO"})," ",""),":",": "),SUBSTITUTE(SUBSTITUTE(UPPER(S2336)," ",""),":",": "))),0)),"-")</f>
        <v>-</v>
      </c>
      <c r="K2336" s="49"/>
    </row>
    <row r="2337" spans="1:11" x14ac:dyDescent="0.25">
      <c r="A2337" s="46" t="str" cm="1">
        <f t="array" ref="A2337">IFERROR(INDEX(#REF!,MATCH(TRUE,ISNUMBER(FIND(SUBSTITUTE(SUBSTITUTE(UPPER(#REF!)," ",""),":",": "),SUBSTITUTE(SUBSTITUTE(UPPER(S2337)," ",""),":",": "))),0)),"Undefined")</f>
        <v>Undefined</v>
      </c>
      <c r="B2337" s="42" t="str" cm="1">
        <f t="array" ref="B2337">IFERROR(INDEX({"URGENTE"},MATCH(TRUE,ISNUMBER(FIND(SUBSTITUTE(SUBSTITUTE(UPPER({"URGENTE"})," ",""),":",": "),SUBSTITUTE(SUBSTITUTE(UPPER(S2337)," ",""),":",": "))),0)),"-")</f>
        <v>-</v>
      </c>
      <c r="C2337" s="46" t="str" cm="1">
        <f t="array" ref="C2337">IFERROR(INDEX(#REF!,MATCH(TRUE,ISNUMBER(FIND(SUBSTITUTE(SUBSTITUTE(UPPER(#REF!)," ",""),":",": "),SUBSTITUTE(SUBSTITUTE(UPPER(S2337)," ",""),":",": "))),0)),"Não encontrado")</f>
        <v>Não encontrado</v>
      </c>
      <c r="D2337" s="46" t="str" cm="1">
        <f t="array" ref="D2337">IFERROR(INDEX(#REF!,MATCH(TRUE,ISNUMBER(FIND(SUBSTITUTE(SUBSTITUTE(UPPER(#REF!)," ",""),":",": "),SUBSTITUTE(SUBSTITUTE(UPPER(S2337)," ",""),":",": "))),0)),"Não encontrado")</f>
        <v>Não encontrado</v>
      </c>
      <c r="E2337" s="42" t="str" cm="1">
        <f t="array" ref="E2337">IFERROR(INDEX({"IMPEDITIVO"},MATCH(TRUE,ISNUMBER(FIND(SUBSTITUTE(SUBSTITUTE(UPPER({"IMPEDITIVO"})," ",""),":",": "),SUBSTITUTE(SUBSTITUTE(UPPER(S2337)," ",""),":",": "))),0)),"-")</f>
        <v>-</v>
      </c>
      <c r="K2337" s="49"/>
    </row>
    <row r="2338" spans="1:11" x14ac:dyDescent="0.25">
      <c r="A2338" s="46" t="str" cm="1">
        <f t="array" ref="A2338">IFERROR(INDEX(#REF!,MATCH(TRUE,ISNUMBER(FIND(SUBSTITUTE(SUBSTITUTE(UPPER(#REF!)," ",""),":",": "),SUBSTITUTE(SUBSTITUTE(UPPER(S2338)," ",""),":",": "))),0)),"Undefined")</f>
        <v>Undefined</v>
      </c>
      <c r="B2338" s="42" t="str" cm="1">
        <f t="array" ref="B2338">IFERROR(INDEX({"URGENTE"},MATCH(TRUE,ISNUMBER(FIND(SUBSTITUTE(SUBSTITUTE(UPPER({"URGENTE"})," ",""),":",": "),SUBSTITUTE(SUBSTITUTE(UPPER(S2338)," ",""),":",": "))),0)),"-")</f>
        <v>-</v>
      </c>
      <c r="C2338" s="46" t="str" cm="1">
        <f t="array" ref="C2338">IFERROR(INDEX(#REF!,MATCH(TRUE,ISNUMBER(FIND(SUBSTITUTE(SUBSTITUTE(UPPER(#REF!)," ",""),":",": "),SUBSTITUTE(SUBSTITUTE(UPPER(S2338)," ",""),":",": "))),0)),"Não encontrado")</f>
        <v>Não encontrado</v>
      </c>
      <c r="D2338" s="46" t="str" cm="1">
        <f t="array" ref="D2338">IFERROR(INDEX(#REF!,MATCH(TRUE,ISNUMBER(FIND(SUBSTITUTE(SUBSTITUTE(UPPER(#REF!)," ",""),":",": "),SUBSTITUTE(SUBSTITUTE(UPPER(S2338)," ",""),":",": "))),0)),"Não encontrado")</f>
        <v>Não encontrado</v>
      </c>
      <c r="E2338" s="42" t="str" cm="1">
        <f t="array" ref="E2338">IFERROR(INDEX({"IMPEDITIVO"},MATCH(TRUE,ISNUMBER(FIND(SUBSTITUTE(SUBSTITUTE(UPPER({"IMPEDITIVO"})," ",""),":",": "),SUBSTITUTE(SUBSTITUTE(UPPER(S2338)," ",""),":",": "))),0)),"-")</f>
        <v>-</v>
      </c>
      <c r="K2338" s="49"/>
    </row>
    <row r="2339" spans="1:11" x14ac:dyDescent="0.25">
      <c r="A2339" s="46" t="str" cm="1">
        <f t="array" ref="A2339">IFERROR(INDEX(#REF!,MATCH(TRUE,ISNUMBER(FIND(SUBSTITUTE(SUBSTITUTE(UPPER(#REF!)," ",""),":",": "),SUBSTITUTE(SUBSTITUTE(UPPER(S2339)," ",""),":",": "))),0)),"Undefined")</f>
        <v>Undefined</v>
      </c>
      <c r="B2339" s="42" t="str" cm="1">
        <f t="array" ref="B2339">IFERROR(INDEX({"URGENTE"},MATCH(TRUE,ISNUMBER(FIND(SUBSTITUTE(SUBSTITUTE(UPPER({"URGENTE"})," ",""),":",": "),SUBSTITUTE(SUBSTITUTE(UPPER(S2339)," ",""),":",": "))),0)),"-")</f>
        <v>-</v>
      </c>
      <c r="C2339" s="46" t="str" cm="1">
        <f t="array" ref="C2339">IFERROR(INDEX(#REF!,MATCH(TRUE,ISNUMBER(FIND(SUBSTITUTE(SUBSTITUTE(UPPER(#REF!)," ",""),":",": "),SUBSTITUTE(SUBSTITUTE(UPPER(S2339)," ",""),":",": "))),0)),"Não encontrado")</f>
        <v>Não encontrado</v>
      </c>
      <c r="D2339" s="46" t="str" cm="1">
        <f t="array" ref="D2339">IFERROR(INDEX(#REF!,MATCH(TRUE,ISNUMBER(FIND(SUBSTITUTE(SUBSTITUTE(UPPER(#REF!)," ",""),":",": "),SUBSTITUTE(SUBSTITUTE(UPPER(S2339)," ",""),":",": "))),0)),"Não encontrado")</f>
        <v>Não encontrado</v>
      </c>
      <c r="E2339" s="42" t="str" cm="1">
        <f t="array" ref="E2339">IFERROR(INDEX({"IMPEDITIVO"},MATCH(TRUE,ISNUMBER(FIND(SUBSTITUTE(SUBSTITUTE(UPPER({"IMPEDITIVO"})," ",""),":",": "),SUBSTITUTE(SUBSTITUTE(UPPER(S2339)," ",""),":",": "))),0)),"-")</f>
        <v>-</v>
      </c>
      <c r="K2339" s="49"/>
    </row>
    <row r="2340" spans="1:11" x14ac:dyDescent="0.25">
      <c r="A2340" s="46" t="str" cm="1">
        <f t="array" ref="A2340">IFERROR(INDEX(#REF!,MATCH(TRUE,ISNUMBER(FIND(SUBSTITUTE(SUBSTITUTE(UPPER(#REF!)," ",""),":",": "),SUBSTITUTE(SUBSTITUTE(UPPER(S2340)," ",""),":",": "))),0)),"Undefined")</f>
        <v>Undefined</v>
      </c>
      <c r="B2340" s="42" t="str" cm="1">
        <f t="array" ref="B2340">IFERROR(INDEX({"URGENTE"},MATCH(TRUE,ISNUMBER(FIND(SUBSTITUTE(SUBSTITUTE(UPPER({"URGENTE"})," ",""),":",": "),SUBSTITUTE(SUBSTITUTE(UPPER(S2340)," ",""),":",": "))),0)),"-")</f>
        <v>-</v>
      </c>
      <c r="C2340" s="46" t="str" cm="1">
        <f t="array" ref="C2340">IFERROR(INDEX(#REF!,MATCH(TRUE,ISNUMBER(FIND(SUBSTITUTE(SUBSTITUTE(UPPER(#REF!)," ",""),":",": "),SUBSTITUTE(SUBSTITUTE(UPPER(S2340)," ",""),":",": "))),0)),"Não encontrado")</f>
        <v>Não encontrado</v>
      </c>
      <c r="D2340" s="46" t="str" cm="1">
        <f t="array" ref="D2340">IFERROR(INDEX(#REF!,MATCH(TRUE,ISNUMBER(FIND(SUBSTITUTE(SUBSTITUTE(UPPER(#REF!)," ",""),":",": "),SUBSTITUTE(SUBSTITUTE(UPPER(S2340)," ",""),":",": "))),0)),"Não encontrado")</f>
        <v>Não encontrado</v>
      </c>
      <c r="E2340" s="42" t="str" cm="1">
        <f t="array" ref="E2340">IFERROR(INDEX({"IMPEDITIVO"},MATCH(TRUE,ISNUMBER(FIND(SUBSTITUTE(SUBSTITUTE(UPPER({"IMPEDITIVO"})," ",""),":",": "),SUBSTITUTE(SUBSTITUTE(UPPER(S2340)," ",""),":",": "))),0)),"-")</f>
        <v>-</v>
      </c>
      <c r="K2340" s="49"/>
    </row>
    <row r="2341" spans="1:11" x14ac:dyDescent="0.25">
      <c r="A2341" s="46" t="str" cm="1">
        <f t="array" ref="A2341">IFERROR(INDEX(#REF!,MATCH(TRUE,ISNUMBER(FIND(SUBSTITUTE(SUBSTITUTE(UPPER(#REF!)," ",""),":",": "),SUBSTITUTE(SUBSTITUTE(UPPER(S2341)," ",""),":",": "))),0)),"Undefined")</f>
        <v>Undefined</v>
      </c>
      <c r="B2341" s="42" t="str" cm="1">
        <f t="array" ref="B2341">IFERROR(INDEX({"URGENTE"},MATCH(TRUE,ISNUMBER(FIND(SUBSTITUTE(SUBSTITUTE(UPPER({"URGENTE"})," ",""),":",": "),SUBSTITUTE(SUBSTITUTE(UPPER(S2341)," ",""),":",": "))),0)),"-")</f>
        <v>-</v>
      </c>
      <c r="C2341" s="46" t="str" cm="1">
        <f t="array" ref="C2341">IFERROR(INDEX(#REF!,MATCH(TRUE,ISNUMBER(FIND(SUBSTITUTE(SUBSTITUTE(UPPER(#REF!)," ",""),":",": "),SUBSTITUTE(SUBSTITUTE(UPPER(S2341)," ",""),":",": "))),0)),"Não encontrado")</f>
        <v>Não encontrado</v>
      </c>
      <c r="D2341" s="46" t="str" cm="1">
        <f t="array" ref="D2341">IFERROR(INDEX(#REF!,MATCH(TRUE,ISNUMBER(FIND(SUBSTITUTE(SUBSTITUTE(UPPER(#REF!)," ",""),":",": "),SUBSTITUTE(SUBSTITUTE(UPPER(S2341)," ",""),":",": "))),0)),"Não encontrado")</f>
        <v>Não encontrado</v>
      </c>
      <c r="E2341" s="42" t="str" cm="1">
        <f t="array" ref="E2341">IFERROR(INDEX({"IMPEDITIVO"},MATCH(TRUE,ISNUMBER(FIND(SUBSTITUTE(SUBSTITUTE(UPPER({"IMPEDITIVO"})," ",""),":",": "),SUBSTITUTE(SUBSTITUTE(UPPER(S2341)," ",""),":",": "))),0)),"-")</f>
        <v>-</v>
      </c>
      <c r="K2341" s="49"/>
    </row>
    <row r="2342" spans="1:11" x14ac:dyDescent="0.25">
      <c r="A2342" s="46" t="str" cm="1">
        <f t="array" ref="A2342">IFERROR(INDEX(#REF!,MATCH(TRUE,ISNUMBER(FIND(SUBSTITUTE(SUBSTITUTE(UPPER(#REF!)," ",""),":",": "),SUBSTITUTE(SUBSTITUTE(UPPER(S2342)," ",""),":",": "))),0)),"Undefined")</f>
        <v>Undefined</v>
      </c>
      <c r="B2342" s="42" t="str" cm="1">
        <f t="array" ref="B2342">IFERROR(INDEX({"URGENTE"},MATCH(TRUE,ISNUMBER(FIND(SUBSTITUTE(SUBSTITUTE(UPPER({"URGENTE"})," ",""),":",": "),SUBSTITUTE(SUBSTITUTE(UPPER(S2342)," ",""),":",": "))),0)),"-")</f>
        <v>-</v>
      </c>
      <c r="C2342" s="46" t="str" cm="1">
        <f t="array" ref="C2342">IFERROR(INDEX(#REF!,MATCH(TRUE,ISNUMBER(FIND(SUBSTITUTE(SUBSTITUTE(UPPER(#REF!)," ",""),":",": "),SUBSTITUTE(SUBSTITUTE(UPPER(S2342)," ",""),":",": "))),0)),"Não encontrado")</f>
        <v>Não encontrado</v>
      </c>
      <c r="D2342" s="46" t="str" cm="1">
        <f t="array" ref="D2342">IFERROR(INDEX(#REF!,MATCH(TRUE,ISNUMBER(FIND(SUBSTITUTE(SUBSTITUTE(UPPER(#REF!)," ",""),":",": "),SUBSTITUTE(SUBSTITUTE(UPPER(S2342)," ",""),":",": "))),0)),"Não encontrado")</f>
        <v>Não encontrado</v>
      </c>
      <c r="E2342" s="42" t="str" cm="1">
        <f t="array" ref="E2342">IFERROR(INDEX({"IMPEDITIVO"},MATCH(TRUE,ISNUMBER(FIND(SUBSTITUTE(SUBSTITUTE(UPPER({"IMPEDITIVO"})," ",""),":",": "),SUBSTITUTE(SUBSTITUTE(UPPER(S2342)," ",""),":",": "))),0)),"-")</f>
        <v>-</v>
      </c>
      <c r="K2342" s="49"/>
    </row>
    <row r="2343" spans="1:11" x14ac:dyDescent="0.25">
      <c r="A2343" s="46" t="str" cm="1">
        <f t="array" ref="A2343">IFERROR(INDEX(#REF!,MATCH(TRUE,ISNUMBER(FIND(SUBSTITUTE(SUBSTITUTE(UPPER(#REF!)," ",""),":",": "),SUBSTITUTE(SUBSTITUTE(UPPER(S2343)," ",""),":",": "))),0)),"Undefined")</f>
        <v>Undefined</v>
      </c>
      <c r="B2343" s="42" t="str" cm="1">
        <f t="array" ref="B2343">IFERROR(INDEX({"URGENTE"},MATCH(TRUE,ISNUMBER(FIND(SUBSTITUTE(SUBSTITUTE(UPPER({"URGENTE"})," ",""),":",": "),SUBSTITUTE(SUBSTITUTE(UPPER(S2343)," ",""),":",": "))),0)),"-")</f>
        <v>-</v>
      </c>
      <c r="C2343" s="46" t="str" cm="1">
        <f t="array" ref="C2343">IFERROR(INDEX(#REF!,MATCH(TRUE,ISNUMBER(FIND(SUBSTITUTE(SUBSTITUTE(UPPER(#REF!)," ",""),":",": "),SUBSTITUTE(SUBSTITUTE(UPPER(S2343)," ",""),":",": "))),0)),"Não encontrado")</f>
        <v>Não encontrado</v>
      </c>
      <c r="D2343" s="46" t="str" cm="1">
        <f t="array" ref="D2343">IFERROR(INDEX(#REF!,MATCH(TRUE,ISNUMBER(FIND(SUBSTITUTE(SUBSTITUTE(UPPER(#REF!)," ",""),":",": "),SUBSTITUTE(SUBSTITUTE(UPPER(S2343)," ",""),":",": "))),0)),"Não encontrado")</f>
        <v>Não encontrado</v>
      </c>
      <c r="E2343" s="42" t="str" cm="1">
        <f t="array" ref="E2343">IFERROR(INDEX({"IMPEDITIVO"},MATCH(TRUE,ISNUMBER(FIND(SUBSTITUTE(SUBSTITUTE(UPPER({"IMPEDITIVO"})," ",""),":",": "),SUBSTITUTE(SUBSTITUTE(UPPER(S2343)," ",""),":",": "))),0)),"-")</f>
        <v>-</v>
      </c>
      <c r="K2343" s="49"/>
    </row>
    <row r="2344" spans="1:11" x14ac:dyDescent="0.25">
      <c r="A2344" s="46" t="str" cm="1">
        <f t="array" ref="A2344">IFERROR(INDEX(#REF!,MATCH(TRUE,ISNUMBER(FIND(SUBSTITUTE(SUBSTITUTE(UPPER(#REF!)," ",""),":",": "),SUBSTITUTE(SUBSTITUTE(UPPER(S2344)," ",""),":",": "))),0)),"Undefined")</f>
        <v>Undefined</v>
      </c>
      <c r="B2344" s="42" t="str" cm="1">
        <f t="array" ref="B2344">IFERROR(INDEX({"URGENTE"},MATCH(TRUE,ISNUMBER(FIND(SUBSTITUTE(SUBSTITUTE(UPPER({"URGENTE"})," ",""),":",": "),SUBSTITUTE(SUBSTITUTE(UPPER(S2344)," ",""),":",": "))),0)),"-")</f>
        <v>-</v>
      </c>
      <c r="C2344" s="46" t="str" cm="1">
        <f t="array" ref="C2344">IFERROR(INDEX(#REF!,MATCH(TRUE,ISNUMBER(FIND(SUBSTITUTE(SUBSTITUTE(UPPER(#REF!)," ",""),":",": "),SUBSTITUTE(SUBSTITUTE(UPPER(S2344)," ",""),":",": "))),0)),"Não encontrado")</f>
        <v>Não encontrado</v>
      </c>
      <c r="D2344" s="46" t="str" cm="1">
        <f t="array" ref="D2344">IFERROR(INDEX(#REF!,MATCH(TRUE,ISNUMBER(FIND(SUBSTITUTE(SUBSTITUTE(UPPER(#REF!)," ",""),":",": "),SUBSTITUTE(SUBSTITUTE(UPPER(S2344)," ",""),":",": "))),0)),"Não encontrado")</f>
        <v>Não encontrado</v>
      </c>
      <c r="E2344" s="42" t="str" cm="1">
        <f t="array" ref="E2344">IFERROR(INDEX({"IMPEDITIVO"},MATCH(TRUE,ISNUMBER(FIND(SUBSTITUTE(SUBSTITUTE(UPPER({"IMPEDITIVO"})," ",""),":",": "),SUBSTITUTE(SUBSTITUTE(UPPER(S2344)," ",""),":",": "))),0)),"-")</f>
        <v>-</v>
      </c>
      <c r="K2344" s="49"/>
    </row>
    <row r="2345" spans="1:11" x14ac:dyDescent="0.25">
      <c r="A2345" s="46" t="str" cm="1">
        <f t="array" ref="A2345">IFERROR(INDEX(#REF!,MATCH(TRUE,ISNUMBER(FIND(SUBSTITUTE(SUBSTITUTE(UPPER(#REF!)," ",""),":",": "),SUBSTITUTE(SUBSTITUTE(UPPER(S2345)," ",""),":",": "))),0)),"Undefined")</f>
        <v>Undefined</v>
      </c>
      <c r="B2345" s="42" t="str" cm="1">
        <f t="array" ref="B2345">IFERROR(INDEX({"URGENTE"},MATCH(TRUE,ISNUMBER(FIND(SUBSTITUTE(SUBSTITUTE(UPPER({"URGENTE"})," ",""),":",": "),SUBSTITUTE(SUBSTITUTE(UPPER(S2345)," ",""),":",": "))),0)),"-")</f>
        <v>-</v>
      </c>
      <c r="C2345" s="46" t="str" cm="1">
        <f t="array" ref="C2345">IFERROR(INDEX(#REF!,MATCH(TRUE,ISNUMBER(FIND(SUBSTITUTE(SUBSTITUTE(UPPER(#REF!)," ",""),":",": "),SUBSTITUTE(SUBSTITUTE(UPPER(S2345)," ",""),":",": "))),0)),"Não encontrado")</f>
        <v>Não encontrado</v>
      </c>
      <c r="D2345" s="46" t="str" cm="1">
        <f t="array" ref="D2345">IFERROR(INDEX(#REF!,MATCH(TRUE,ISNUMBER(FIND(SUBSTITUTE(SUBSTITUTE(UPPER(#REF!)," ",""),":",": "),SUBSTITUTE(SUBSTITUTE(UPPER(S2345)," ",""),":",": "))),0)),"Não encontrado")</f>
        <v>Não encontrado</v>
      </c>
      <c r="E2345" s="42" t="str" cm="1">
        <f t="array" ref="E2345">IFERROR(INDEX({"IMPEDITIVO"},MATCH(TRUE,ISNUMBER(FIND(SUBSTITUTE(SUBSTITUTE(UPPER({"IMPEDITIVO"})," ",""),":",": "),SUBSTITUTE(SUBSTITUTE(UPPER(S2345)," ",""),":",": "))),0)),"-")</f>
        <v>-</v>
      </c>
      <c r="K2345" s="49"/>
    </row>
    <row r="2346" spans="1:11" x14ac:dyDescent="0.25">
      <c r="A2346" s="46" t="str" cm="1">
        <f t="array" ref="A2346">IFERROR(INDEX(#REF!,MATCH(TRUE,ISNUMBER(FIND(SUBSTITUTE(SUBSTITUTE(UPPER(#REF!)," ",""),":",": "),SUBSTITUTE(SUBSTITUTE(UPPER(S2346)," ",""),":",": "))),0)),"Undefined")</f>
        <v>Undefined</v>
      </c>
      <c r="B2346" s="42" t="str" cm="1">
        <f t="array" ref="B2346">IFERROR(INDEX({"URGENTE"},MATCH(TRUE,ISNUMBER(FIND(SUBSTITUTE(SUBSTITUTE(UPPER({"URGENTE"})," ",""),":",": "),SUBSTITUTE(SUBSTITUTE(UPPER(S2346)," ",""),":",": "))),0)),"-")</f>
        <v>-</v>
      </c>
      <c r="C2346" s="46" t="str" cm="1">
        <f t="array" ref="C2346">IFERROR(INDEX(#REF!,MATCH(TRUE,ISNUMBER(FIND(SUBSTITUTE(SUBSTITUTE(UPPER(#REF!)," ",""),":",": "),SUBSTITUTE(SUBSTITUTE(UPPER(S2346)," ",""),":",": "))),0)),"Não encontrado")</f>
        <v>Não encontrado</v>
      </c>
      <c r="D2346" s="46" t="str" cm="1">
        <f t="array" ref="D2346">IFERROR(INDEX(#REF!,MATCH(TRUE,ISNUMBER(FIND(SUBSTITUTE(SUBSTITUTE(UPPER(#REF!)," ",""),":",": "),SUBSTITUTE(SUBSTITUTE(UPPER(S2346)," ",""),":",": "))),0)),"Não encontrado")</f>
        <v>Não encontrado</v>
      </c>
      <c r="E2346" s="42" t="str" cm="1">
        <f t="array" ref="E2346">IFERROR(INDEX({"IMPEDITIVO"},MATCH(TRUE,ISNUMBER(FIND(SUBSTITUTE(SUBSTITUTE(UPPER({"IMPEDITIVO"})," ",""),":",": "),SUBSTITUTE(SUBSTITUTE(UPPER(S2346)," ",""),":",": "))),0)),"-")</f>
        <v>-</v>
      </c>
      <c r="K2346" s="49"/>
    </row>
    <row r="2347" spans="1:11" x14ac:dyDescent="0.25">
      <c r="A2347" s="46" t="str" cm="1">
        <f t="array" ref="A2347">IFERROR(INDEX(#REF!,MATCH(TRUE,ISNUMBER(FIND(SUBSTITUTE(SUBSTITUTE(UPPER(#REF!)," ",""),":",": "),SUBSTITUTE(SUBSTITUTE(UPPER(S2347)," ",""),":",": "))),0)),"Undefined")</f>
        <v>Undefined</v>
      </c>
      <c r="B2347" s="42" t="str" cm="1">
        <f t="array" ref="B2347">IFERROR(INDEX({"URGENTE"},MATCH(TRUE,ISNUMBER(FIND(SUBSTITUTE(SUBSTITUTE(UPPER({"URGENTE"})," ",""),":",": "),SUBSTITUTE(SUBSTITUTE(UPPER(S2347)," ",""),":",": "))),0)),"-")</f>
        <v>-</v>
      </c>
      <c r="C2347" s="46" t="str" cm="1">
        <f t="array" ref="C2347">IFERROR(INDEX(#REF!,MATCH(TRUE,ISNUMBER(FIND(SUBSTITUTE(SUBSTITUTE(UPPER(#REF!)," ",""),":",": "),SUBSTITUTE(SUBSTITUTE(UPPER(S2347)," ",""),":",": "))),0)),"Não encontrado")</f>
        <v>Não encontrado</v>
      </c>
      <c r="D2347" s="46" t="str" cm="1">
        <f t="array" ref="D2347">IFERROR(INDEX(#REF!,MATCH(TRUE,ISNUMBER(FIND(SUBSTITUTE(SUBSTITUTE(UPPER(#REF!)," ",""),":",": "),SUBSTITUTE(SUBSTITUTE(UPPER(S2347)," ",""),":",": "))),0)),"Não encontrado")</f>
        <v>Não encontrado</v>
      </c>
      <c r="E2347" s="42" t="str" cm="1">
        <f t="array" ref="E2347">IFERROR(INDEX({"IMPEDITIVO"},MATCH(TRUE,ISNUMBER(FIND(SUBSTITUTE(SUBSTITUTE(UPPER({"IMPEDITIVO"})," ",""),":",": "),SUBSTITUTE(SUBSTITUTE(UPPER(S2347)," ",""),":",": "))),0)),"-")</f>
        <v>-</v>
      </c>
      <c r="K2347" s="49"/>
    </row>
    <row r="2348" spans="1:11" x14ac:dyDescent="0.25">
      <c r="A2348" s="46" t="str" cm="1">
        <f t="array" ref="A2348">IFERROR(INDEX(#REF!,MATCH(TRUE,ISNUMBER(FIND(SUBSTITUTE(SUBSTITUTE(UPPER(#REF!)," ",""),":",": "),SUBSTITUTE(SUBSTITUTE(UPPER(S2348)," ",""),":",": "))),0)),"Undefined")</f>
        <v>Undefined</v>
      </c>
      <c r="B2348" s="42" t="str" cm="1">
        <f t="array" ref="B2348">IFERROR(INDEX({"URGENTE"},MATCH(TRUE,ISNUMBER(FIND(SUBSTITUTE(SUBSTITUTE(UPPER({"URGENTE"})," ",""),":",": "),SUBSTITUTE(SUBSTITUTE(UPPER(S2348)," ",""),":",": "))),0)),"-")</f>
        <v>-</v>
      </c>
      <c r="C2348" s="46" t="str" cm="1">
        <f t="array" ref="C2348">IFERROR(INDEX(#REF!,MATCH(TRUE,ISNUMBER(FIND(SUBSTITUTE(SUBSTITUTE(UPPER(#REF!)," ",""),":",": "),SUBSTITUTE(SUBSTITUTE(UPPER(S2348)," ",""),":",": "))),0)),"Não encontrado")</f>
        <v>Não encontrado</v>
      </c>
      <c r="D2348" s="46" t="str" cm="1">
        <f t="array" ref="D2348">IFERROR(INDEX(#REF!,MATCH(TRUE,ISNUMBER(FIND(SUBSTITUTE(SUBSTITUTE(UPPER(#REF!)," ",""),":",": "),SUBSTITUTE(SUBSTITUTE(UPPER(S2348)," ",""),":",": "))),0)),"Não encontrado")</f>
        <v>Não encontrado</v>
      </c>
      <c r="E2348" s="42" t="str" cm="1">
        <f t="array" ref="E2348">IFERROR(INDEX({"IMPEDITIVO"},MATCH(TRUE,ISNUMBER(FIND(SUBSTITUTE(SUBSTITUTE(UPPER({"IMPEDITIVO"})," ",""),":",": "),SUBSTITUTE(SUBSTITUTE(UPPER(S2348)," ",""),":",": "))),0)),"-")</f>
        <v>-</v>
      </c>
      <c r="K2348" s="49"/>
    </row>
    <row r="2349" spans="1:11" x14ac:dyDescent="0.25">
      <c r="A2349" s="46" t="str" cm="1">
        <f t="array" ref="A2349">IFERROR(INDEX(#REF!,MATCH(TRUE,ISNUMBER(FIND(SUBSTITUTE(SUBSTITUTE(UPPER(#REF!)," ",""),":",": "),SUBSTITUTE(SUBSTITUTE(UPPER(S2349)," ",""),":",": "))),0)),"Undefined")</f>
        <v>Undefined</v>
      </c>
      <c r="B2349" s="42" t="str" cm="1">
        <f t="array" ref="B2349">IFERROR(INDEX({"URGENTE"},MATCH(TRUE,ISNUMBER(FIND(SUBSTITUTE(SUBSTITUTE(UPPER({"URGENTE"})," ",""),":",": "),SUBSTITUTE(SUBSTITUTE(UPPER(S2349)," ",""),":",": "))),0)),"-")</f>
        <v>-</v>
      </c>
      <c r="C2349" s="46" t="str" cm="1">
        <f t="array" ref="C2349">IFERROR(INDEX(#REF!,MATCH(TRUE,ISNUMBER(FIND(SUBSTITUTE(SUBSTITUTE(UPPER(#REF!)," ",""),":",": "),SUBSTITUTE(SUBSTITUTE(UPPER(S2349)," ",""),":",": "))),0)),"Não encontrado")</f>
        <v>Não encontrado</v>
      </c>
      <c r="D2349" s="46" t="str" cm="1">
        <f t="array" ref="D2349">IFERROR(INDEX(#REF!,MATCH(TRUE,ISNUMBER(FIND(SUBSTITUTE(SUBSTITUTE(UPPER(#REF!)," ",""),":",": "),SUBSTITUTE(SUBSTITUTE(UPPER(S2349)," ",""),":",": "))),0)),"Não encontrado")</f>
        <v>Não encontrado</v>
      </c>
      <c r="E2349" s="42" t="str" cm="1">
        <f t="array" ref="E2349">IFERROR(INDEX({"IMPEDITIVO"},MATCH(TRUE,ISNUMBER(FIND(SUBSTITUTE(SUBSTITUTE(UPPER({"IMPEDITIVO"})," ",""),":",": "),SUBSTITUTE(SUBSTITUTE(UPPER(S2349)," ",""),":",": "))),0)),"-")</f>
        <v>-</v>
      </c>
      <c r="K2349" s="49"/>
    </row>
    <row r="2350" spans="1:11" x14ac:dyDescent="0.25">
      <c r="A2350" s="46" t="str" cm="1">
        <f t="array" ref="A2350">IFERROR(INDEX(#REF!,MATCH(TRUE,ISNUMBER(FIND(SUBSTITUTE(SUBSTITUTE(UPPER(#REF!)," ",""),":",": "),SUBSTITUTE(SUBSTITUTE(UPPER(S2350)," ",""),":",": "))),0)),"Undefined")</f>
        <v>Undefined</v>
      </c>
      <c r="B2350" s="42" t="str" cm="1">
        <f t="array" ref="B2350">IFERROR(INDEX({"URGENTE"},MATCH(TRUE,ISNUMBER(FIND(SUBSTITUTE(SUBSTITUTE(UPPER({"URGENTE"})," ",""),":",": "),SUBSTITUTE(SUBSTITUTE(UPPER(S2350)," ",""),":",": "))),0)),"-")</f>
        <v>-</v>
      </c>
      <c r="C2350" s="46" t="str" cm="1">
        <f t="array" ref="C2350">IFERROR(INDEX(#REF!,MATCH(TRUE,ISNUMBER(FIND(SUBSTITUTE(SUBSTITUTE(UPPER(#REF!)," ",""),":",": "),SUBSTITUTE(SUBSTITUTE(UPPER(S2350)," ",""),":",": "))),0)),"Não encontrado")</f>
        <v>Não encontrado</v>
      </c>
      <c r="D2350" s="46" t="str" cm="1">
        <f t="array" ref="D2350">IFERROR(INDEX(#REF!,MATCH(TRUE,ISNUMBER(FIND(SUBSTITUTE(SUBSTITUTE(UPPER(#REF!)," ",""),":",": "),SUBSTITUTE(SUBSTITUTE(UPPER(S2350)," ",""),":",": "))),0)),"Não encontrado")</f>
        <v>Não encontrado</v>
      </c>
      <c r="E2350" s="42" t="str" cm="1">
        <f t="array" ref="E2350">IFERROR(INDEX({"IMPEDITIVO"},MATCH(TRUE,ISNUMBER(FIND(SUBSTITUTE(SUBSTITUTE(UPPER({"IMPEDITIVO"})," ",""),":",": "),SUBSTITUTE(SUBSTITUTE(UPPER(S2350)," ",""),":",": "))),0)),"-")</f>
        <v>-</v>
      </c>
      <c r="K2350" s="49"/>
    </row>
    <row r="2351" spans="1:11" x14ac:dyDescent="0.25">
      <c r="A2351" s="46" t="str" cm="1">
        <f t="array" ref="A2351">IFERROR(INDEX(#REF!,MATCH(TRUE,ISNUMBER(FIND(SUBSTITUTE(SUBSTITUTE(UPPER(#REF!)," ",""),":",": "),SUBSTITUTE(SUBSTITUTE(UPPER(S2351)," ",""),":",": "))),0)),"Undefined")</f>
        <v>Undefined</v>
      </c>
      <c r="B2351" s="42" t="str" cm="1">
        <f t="array" ref="B2351">IFERROR(INDEX({"URGENTE"},MATCH(TRUE,ISNUMBER(FIND(SUBSTITUTE(SUBSTITUTE(UPPER({"URGENTE"})," ",""),":",": "),SUBSTITUTE(SUBSTITUTE(UPPER(S2351)," ",""),":",": "))),0)),"-")</f>
        <v>-</v>
      </c>
      <c r="C2351" s="46" t="str" cm="1">
        <f t="array" ref="C2351">IFERROR(INDEX(#REF!,MATCH(TRUE,ISNUMBER(FIND(SUBSTITUTE(SUBSTITUTE(UPPER(#REF!)," ",""),":",": "),SUBSTITUTE(SUBSTITUTE(UPPER(S2351)," ",""),":",": "))),0)),"Não encontrado")</f>
        <v>Não encontrado</v>
      </c>
      <c r="D2351" s="46" t="str" cm="1">
        <f t="array" ref="D2351">IFERROR(INDEX(#REF!,MATCH(TRUE,ISNUMBER(FIND(SUBSTITUTE(SUBSTITUTE(UPPER(#REF!)," ",""),":",": "),SUBSTITUTE(SUBSTITUTE(UPPER(S2351)," ",""),":",": "))),0)),"Não encontrado")</f>
        <v>Não encontrado</v>
      </c>
      <c r="E2351" s="42" t="str" cm="1">
        <f t="array" ref="E2351">IFERROR(INDEX({"IMPEDITIVO"},MATCH(TRUE,ISNUMBER(FIND(SUBSTITUTE(SUBSTITUTE(UPPER({"IMPEDITIVO"})," ",""),":",": "),SUBSTITUTE(SUBSTITUTE(UPPER(S2351)," ",""),":",": "))),0)),"-")</f>
        <v>-</v>
      </c>
      <c r="K2351" s="49"/>
    </row>
    <row r="2352" spans="1:11" x14ac:dyDescent="0.25">
      <c r="A2352" s="46" t="str" cm="1">
        <f t="array" ref="A2352">IFERROR(INDEX(#REF!,MATCH(TRUE,ISNUMBER(FIND(SUBSTITUTE(SUBSTITUTE(UPPER(#REF!)," ",""),":",": "),SUBSTITUTE(SUBSTITUTE(UPPER(S2352)," ",""),":",": "))),0)),"Undefined")</f>
        <v>Undefined</v>
      </c>
      <c r="B2352" s="42" t="str" cm="1">
        <f t="array" ref="B2352">IFERROR(INDEX({"URGENTE"},MATCH(TRUE,ISNUMBER(FIND(SUBSTITUTE(SUBSTITUTE(UPPER({"URGENTE"})," ",""),":",": "),SUBSTITUTE(SUBSTITUTE(UPPER(S2352)," ",""),":",": "))),0)),"-")</f>
        <v>-</v>
      </c>
      <c r="C2352" s="46" t="str" cm="1">
        <f t="array" ref="C2352">IFERROR(INDEX(#REF!,MATCH(TRUE,ISNUMBER(FIND(SUBSTITUTE(SUBSTITUTE(UPPER(#REF!)," ",""),":",": "),SUBSTITUTE(SUBSTITUTE(UPPER(S2352)," ",""),":",": "))),0)),"Não encontrado")</f>
        <v>Não encontrado</v>
      </c>
      <c r="D2352" s="46" t="str" cm="1">
        <f t="array" ref="D2352">IFERROR(INDEX(#REF!,MATCH(TRUE,ISNUMBER(FIND(SUBSTITUTE(SUBSTITUTE(UPPER(#REF!)," ",""),":",": "),SUBSTITUTE(SUBSTITUTE(UPPER(S2352)," ",""),":",": "))),0)),"Não encontrado")</f>
        <v>Não encontrado</v>
      </c>
      <c r="E2352" s="42" t="str" cm="1">
        <f t="array" ref="E2352">IFERROR(INDEX({"IMPEDITIVO"},MATCH(TRUE,ISNUMBER(FIND(SUBSTITUTE(SUBSTITUTE(UPPER({"IMPEDITIVO"})," ",""),":",": "),SUBSTITUTE(SUBSTITUTE(UPPER(S2352)," ",""),":",": "))),0)),"-")</f>
        <v>-</v>
      </c>
      <c r="K2352" s="49"/>
    </row>
    <row r="2353" spans="1:11" x14ac:dyDescent="0.25">
      <c r="A2353" s="46" t="str" cm="1">
        <f t="array" ref="A2353">IFERROR(INDEX(#REF!,MATCH(TRUE,ISNUMBER(FIND(SUBSTITUTE(SUBSTITUTE(UPPER(#REF!)," ",""),":",": "),SUBSTITUTE(SUBSTITUTE(UPPER(S2353)," ",""),":",": "))),0)),"Undefined")</f>
        <v>Undefined</v>
      </c>
      <c r="B2353" s="42" t="str" cm="1">
        <f t="array" ref="B2353">IFERROR(INDEX({"URGENTE"},MATCH(TRUE,ISNUMBER(FIND(SUBSTITUTE(SUBSTITUTE(UPPER({"URGENTE"})," ",""),":",": "),SUBSTITUTE(SUBSTITUTE(UPPER(S2353)," ",""),":",": "))),0)),"-")</f>
        <v>-</v>
      </c>
      <c r="C2353" s="46" t="str" cm="1">
        <f t="array" ref="C2353">IFERROR(INDEX(#REF!,MATCH(TRUE,ISNUMBER(FIND(SUBSTITUTE(SUBSTITUTE(UPPER(#REF!)," ",""),":",": "),SUBSTITUTE(SUBSTITUTE(UPPER(S2353)," ",""),":",": "))),0)),"Não encontrado")</f>
        <v>Não encontrado</v>
      </c>
      <c r="D2353" s="46" t="str" cm="1">
        <f t="array" ref="D2353">IFERROR(INDEX(#REF!,MATCH(TRUE,ISNUMBER(FIND(SUBSTITUTE(SUBSTITUTE(UPPER(#REF!)," ",""),":",": "),SUBSTITUTE(SUBSTITUTE(UPPER(S2353)," ",""),":",": "))),0)),"Não encontrado")</f>
        <v>Não encontrado</v>
      </c>
      <c r="E2353" s="42" t="str" cm="1">
        <f t="array" ref="E2353">IFERROR(INDEX({"IMPEDITIVO"},MATCH(TRUE,ISNUMBER(FIND(SUBSTITUTE(SUBSTITUTE(UPPER({"IMPEDITIVO"})," ",""),":",": "),SUBSTITUTE(SUBSTITUTE(UPPER(S2353)," ",""),":",": "))),0)),"-")</f>
        <v>-</v>
      </c>
      <c r="K2353" s="49"/>
    </row>
    <row r="2354" spans="1:11" x14ac:dyDescent="0.25">
      <c r="A2354" s="46" t="str" cm="1">
        <f t="array" ref="A2354">IFERROR(INDEX(#REF!,MATCH(TRUE,ISNUMBER(FIND(SUBSTITUTE(SUBSTITUTE(UPPER(#REF!)," ",""),":",": "),SUBSTITUTE(SUBSTITUTE(UPPER(S2354)," ",""),":",": "))),0)),"Undefined")</f>
        <v>Undefined</v>
      </c>
      <c r="B2354" s="42" t="str" cm="1">
        <f t="array" ref="B2354">IFERROR(INDEX({"URGENTE"},MATCH(TRUE,ISNUMBER(FIND(SUBSTITUTE(SUBSTITUTE(UPPER({"URGENTE"})," ",""),":",": "),SUBSTITUTE(SUBSTITUTE(UPPER(S2354)," ",""),":",": "))),0)),"-")</f>
        <v>-</v>
      </c>
      <c r="C2354" s="46" t="str" cm="1">
        <f t="array" ref="C2354">IFERROR(INDEX(#REF!,MATCH(TRUE,ISNUMBER(FIND(SUBSTITUTE(SUBSTITUTE(UPPER(#REF!)," ",""),":",": "),SUBSTITUTE(SUBSTITUTE(UPPER(S2354)," ",""),":",": "))),0)),"Não encontrado")</f>
        <v>Não encontrado</v>
      </c>
      <c r="D2354" s="46" t="str" cm="1">
        <f t="array" ref="D2354">IFERROR(INDEX(#REF!,MATCH(TRUE,ISNUMBER(FIND(SUBSTITUTE(SUBSTITUTE(UPPER(#REF!)," ",""),":",": "),SUBSTITUTE(SUBSTITUTE(UPPER(S2354)," ",""),":",": "))),0)),"Não encontrado")</f>
        <v>Não encontrado</v>
      </c>
      <c r="E2354" s="42" t="str" cm="1">
        <f t="array" ref="E2354">IFERROR(INDEX({"IMPEDITIVO"},MATCH(TRUE,ISNUMBER(FIND(SUBSTITUTE(SUBSTITUTE(UPPER({"IMPEDITIVO"})," ",""),":",": "),SUBSTITUTE(SUBSTITUTE(UPPER(S2354)," ",""),":",": "))),0)),"-")</f>
        <v>-</v>
      </c>
      <c r="K2354" s="49"/>
    </row>
    <row r="2355" spans="1:11" x14ac:dyDescent="0.25">
      <c r="A2355" s="46" t="str" cm="1">
        <f t="array" ref="A2355">IFERROR(INDEX(#REF!,MATCH(TRUE,ISNUMBER(FIND(SUBSTITUTE(SUBSTITUTE(UPPER(#REF!)," ",""),":",": "),SUBSTITUTE(SUBSTITUTE(UPPER(S2355)," ",""),":",": "))),0)),"Undefined")</f>
        <v>Undefined</v>
      </c>
      <c r="B2355" s="42" t="str" cm="1">
        <f t="array" ref="B2355">IFERROR(INDEX({"URGENTE"},MATCH(TRUE,ISNUMBER(FIND(SUBSTITUTE(SUBSTITUTE(UPPER({"URGENTE"})," ",""),":",": "),SUBSTITUTE(SUBSTITUTE(UPPER(S2355)," ",""),":",": "))),0)),"-")</f>
        <v>-</v>
      </c>
      <c r="C2355" s="46" t="str" cm="1">
        <f t="array" ref="C2355">IFERROR(INDEX(#REF!,MATCH(TRUE,ISNUMBER(FIND(SUBSTITUTE(SUBSTITUTE(UPPER(#REF!)," ",""),":",": "),SUBSTITUTE(SUBSTITUTE(UPPER(S2355)," ",""),":",": "))),0)),"Não encontrado")</f>
        <v>Não encontrado</v>
      </c>
      <c r="D2355" s="46" t="str" cm="1">
        <f t="array" ref="D2355">IFERROR(INDEX(#REF!,MATCH(TRUE,ISNUMBER(FIND(SUBSTITUTE(SUBSTITUTE(UPPER(#REF!)," ",""),":",": "),SUBSTITUTE(SUBSTITUTE(UPPER(S2355)," ",""),":",": "))),0)),"Não encontrado")</f>
        <v>Não encontrado</v>
      </c>
      <c r="E2355" s="42" t="str" cm="1">
        <f t="array" ref="E2355">IFERROR(INDEX({"IMPEDITIVO"},MATCH(TRUE,ISNUMBER(FIND(SUBSTITUTE(SUBSTITUTE(UPPER({"IMPEDITIVO"})," ",""),":",": "),SUBSTITUTE(SUBSTITUTE(UPPER(S2355)," ",""),":",": "))),0)),"-")</f>
        <v>-</v>
      </c>
      <c r="K2355" s="49"/>
    </row>
    <row r="2356" spans="1:11" x14ac:dyDescent="0.25">
      <c r="A2356" s="46" t="str" cm="1">
        <f t="array" ref="A2356">IFERROR(INDEX(#REF!,MATCH(TRUE,ISNUMBER(FIND(SUBSTITUTE(SUBSTITUTE(UPPER(#REF!)," ",""),":",": "),SUBSTITUTE(SUBSTITUTE(UPPER(S2356)," ",""),":",": "))),0)),"Undefined")</f>
        <v>Undefined</v>
      </c>
      <c r="B2356" s="42" t="str" cm="1">
        <f t="array" ref="B2356">IFERROR(INDEX({"URGENTE"},MATCH(TRUE,ISNUMBER(FIND(SUBSTITUTE(SUBSTITUTE(UPPER({"URGENTE"})," ",""),":",": "),SUBSTITUTE(SUBSTITUTE(UPPER(S2356)," ",""),":",": "))),0)),"-")</f>
        <v>-</v>
      </c>
      <c r="C2356" s="46" t="str" cm="1">
        <f t="array" ref="C2356">IFERROR(INDEX(#REF!,MATCH(TRUE,ISNUMBER(FIND(SUBSTITUTE(SUBSTITUTE(UPPER(#REF!)," ",""),":",": "),SUBSTITUTE(SUBSTITUTE(UPPER(S2356)," ",""),":",": "))),0)),"Não encontrado")</f>
        <v>Não encontrado</v>
      </c>
      <c r="D2356" s="46" t="str" cm="1">
        <f t="array" ref="D2356">IFERROR(INDEX(#REF!,MATCH(TRUE,ISNUMBER(FIND(SUBSTITUTE(SUBSTITUTE(UPPER(#REF!)," ",""),":",": "),SUBSTITUTE(SUBSTITUTE(UPPER(S2356)," ",""),":",": "))),0)),"Não encontrado")</f>
        <v>Não encontrado</v>
      </c>
      <c r="E2356" s="42" t="str" cm="1">
        <f t="array" ref="E2356">IFERROR(INDEX({"IMPEDITIVO"},MATCH(TRUE,ISNUMBER(FIND(SUBSTITUTE(SUBSTITUTE(UPPER({"IMPEDITIVO"})," ",""),":",": "),SUBSTITUTE(SUBSTITUTE(UPPER(S2356)," ",""),":",": "))),0)),"-")</f>
        <v>-</v>
      </c>
      <c r="K2356" s="49"/>
    </row>
    <row r="2357" spans="1:11" x14ac:dyDescent="0.25">
      <c r="A2357" s="46" t="str" cm="1">
        <f t="array" ref="A2357">IFERROR(INDEX(#REF!,MATCH(TRUE,ISNUMBER(FIND(SUBSTITUTE(SUBSTITUTE(UPPER(#REF!)," ",""),":",": "),SUBSTITUTE(SUBSTITUTE(UPPER(S2357)," ",""),":",": "))),0)),"Undefined")</f>
        <v>Undefined</v>
      </c>
      <c r="B2357" s="42" t="str" cm="1">
        <f t="array" ref="B2357">IFERROR(INDEX({"URGENTE"},MATCH(TRUE,ISNUMBER(FIND(SUBSTITUTE(SUBSTITUTE(UPPER({"URGENTE"})," ",""),":",": "),SUBSTITUTE(SUBSTITUTE(UPPER(S2357)," ",""),":",": "))),0)),"-")</f>
        <v>-</v>
      </c>
      <c r="C2357" s="46" t="str" cm="1">
        <f t="array" ref="C2357">IFERROR(INDEX(#REF!,MATCH(TRUE,ISNUMBER(FIND(SUBSTITUTE(SUBSTITUTE(UPPER(#REF!)," ",""),":",": "),SUBSTITUTE(SUBSTITUTE(UPPER(S2357)," ",""),":",": "))),0)),"Não encontrado")</f>
        <v>Não encontrado</v>
      </c>
      <c r="D2357" s="46" t="str" cm="1">
        <f t="array" ref="D2357">IFERROR(INDEX(#REF!,MATCH(TRUE,ISNUMBER(FIND(SUBSTITUTE(SUBSTITUTE(UPPER(#REF!)," ",""),":",": "),SUBSTITUTE(SUBSTITUTE(UPPER(S2357)," ",""),":",": "))),0)),"Não encontrado")</f>
        <v>Não encontrado</v>
      </c>
      <c r="E2357" s="42" t="str" cm="1">
        <f t="array" ref="E2357">IFERROR(INDEX({"IMPEDITIVO"},MATCH(TRUE,ISNUMBER(FIND(SUBSTITUTE(SUBSTITUTE(UPPER({"IMPEDITIVO"})," ",""),":",": "),SUBSTITUTE(SUBSTITUTE(UPPER(S2357)," ",""),":",": "))),0)),"-")</f>
        <v>-</v>
      </c>
      <c r="K2357" s="49"/>
    </row>
    <row r="2358" spans="1:11" x14ac:dyDescent="0.25">
      <c r="A2358" s="46" t="str" cm="1">
        <f t="array" ref="A2358">IFERROR(INDEX(#REF!,MATCH(TRUE,ISNUMBER(FIND(SUBSTITUTE(SUBSTITUTE(UPPER(#REF!)," ",""),":",": "),SUBSTITUTE(SUBSTITUTE(UPPER(S2358)," ",""),":",": "))),0)),"Undefined")</f>
        <v>Undefined</v>
      </c>
      <c r="B2358" s="42" t="str" cm="1">
        <f t="array" ref="B2358">IFERROR(INDEX({"URGENTE"},MATCH(TRUE,ISNUMBER(FIND(SUBSTITUTE(SUBSTITUTE(UPPER({"URGENTE"})," ",""),":",": "),SUBSTITUTE(SUBSTITUTE(UPPER(S2358)," ",""),":",": "))),0)),"-")</f>
        <v>-</v>
      </c>
      <c r="C2358" s="46" t="str" cm="1">
        <f t="array" ref="C2358">IFERROR(INDEX(#REF!,MATCH(TRUE,ISNUMBER(FIND(SUBSTITUTE(SUBSTITUTE(UPPER(#REF!)," ",""),":",": "),SUBSTITUTE(SUBSTITUTE(UPPER(S2358)," ",""),":",": "))),0)),"Não encontrado")</f>
        <v>Não encontrado</v>
      </c>
      <c r="D2358" s="46" t="str" cm="1">
        <f t="array" ref="D2358">IFERROR(INDEX(#REF!,MATCH(TRUE,ISNUMBER(FIND(SUBSTITUTE(SUBSTITUTE(UPPER(#REF!)," ",""),":",": "),SUBSTITUTE(SUBSTITUTE(UPPER(S2358)," ",""),":",": "))),0)),"Não encontrado")</f>
        <v>Não encontrado</v>
      </c>
      <c r="E2358" s="42" t="str" cm="1">
        <f t="array" ref="E2358">IFERROR(INDEX({"IMPEDITIVO"},MATCH(TRUE,ISNUMBER(FIND(SUBSTITUTE(SUBSTITUTE(UPPER({"IMPEDITIVO"})," ",""),":",": "),SUBSTITUTE(SUBSTITUTE(UPPER(S2358)," ",""),":",": "))),0)),"-")</f>
        <v>-</v>
      </c>
      <c r="K2358" s="49"/>
    </row>
    <row r="2359" spans="1:11" x14ac:dyDescent="0.25">
      <c r="A2359" s="46" t="str" cm="1">
        <f t="array" ref="A2359">IFERROR(INDEX(#REF!,MATCH(TRUE,ISNUMBER(FIND(SUBSTITUTE(SUBSTITUTE(UPPER(#REF!)," ",""),":",": "),SUBSTITUTE(SUBSTITUTE(UPPER(S2359)," ",""),":",": "))),0)),"Undefined")</f>
        <v>Undefined</v>
      </c>
      <c r="B2359" s="42" t="str" cm="1">
        <f t="array" ref="B2359">IFERROR(INDEX({"URGENTE"},MATCH(TRUE,ISNUMBER(FIND(SUBSTITUTE(SUBSTITUTE(UPPER({"URGENTE"})," ",""),":",": "),SUBSTITUTE(SUBSTITUTE(UPPER(S2359)," ",""),":",": "))),0)),"-")</f>
        <v>-</v>
      </c>
      <c r="C2359" s="46" t="str" cm="1">
        <f t="array" ref="C2359">IFERROR(INDEX(#REF!,MATCH(TRUE,ISNUMBER(FIND(SUBSTITUTE(SUBSTITUTE(UPPER(#REF!)," ",""),":",": "),SUBSTITUTE(SUBSTITUTE(UPPER(S2359)," ",""),":",": "))),0)),"Não encontrado")</f>
        <v>Não encontrado</v>
      </c>
      <c r="D2359" s="46" t="str" cm="1">
        <f t="array" ref="D2359">IFERROR(INDEX(#REF!,MATCH(TRUE,ISNUMBER(FIND(SUBSTITUTE(SUBSTITUTE(UPPER(#REF!)," ",""),":",": "),SUBSTITUTE(SUBSTITUTE(UPPER(S2359)," ",""),":",": "))),0)),"Não encontrado")</f>
        <v>Não encontrado</v>
      </c>
      <c r="E2359" s="42" t="str" cm="1">
        <f t="array" ref="E2359">IFERROR(INDEX({"IMPEDITIVO"},MATCH(TRUE,ISNUMBER(FIND(SUBSTITUTE(SUBSTITUTE(UPPER({"IMPEDITIVO"})," ",""),":",": "),SUBSTITUTE(SUBSTITUTE(UPPER(S2359)," ",""),":",": "))),0)),"-")</f>
        <v>-</v>
      </c>
      <c r="K2359" s="49"/>
    </row>
    <row r="2360" spans="1:11" x14ac:dyDescent="0.25">
      <c r="A2360" s="46" t="str" cm="1">
        <f t="array" ref="A2360">IFERROR(INDEX(#REF!,MATCH(TRUE,ISNUMBER(FIND(SUBSTITUTE(SUBSTITUTE(UPPER(#REF!)," ",""),":",": "),SUBSTITUTE(SUBSTITUTE(UPPER(S2360)," ",""),":",": "))),0)),"Undefined")</f>
        <v>Undefined</v>
      </c>
      <c r="B2360" s="42" t="str" cm="1">
        <f t="array" ref="B2360">IFERROR(INDEX({"URGENTE"},MATCH(TRUE,ISNUMBER(FIND(SUBSTITUTE(SUBSTITUTE(UPPER({"URGENTE"})," ",""),":",": "),SUBSTITUTE(SUBSTITUTE(UPPER(S2360)," ",""),":",": "))),0)),"-")</f>
        <v>-</v>
      </c>
      <c r="C2360" s="46" t="str" cm="1">
        <f t="array" ref="C2360">IFERROR(INDEX(#REF!,MATCH(TRUE,ISNUMBER(FIND(SUBSTITUTE(SUBSTITUTE(UPPER(#REF!)," ",""),":",": "),SUBSTITUTE(SUBSTITUTE(UPPER(S2360)," ",""),":",": "))),0)),"Não encontrado")</f>
        <v>Não encontrado</v>
      </c>
      <c r="D2360" s="46" t="str" cm="1">
        <f t="array" ref="D2360">IFERROR(INDEX(#REF!,MATCH(TRUE,ISNUMBER(FIND(SUBSTITUTE(SUBSTITUTE(UPPER(#REF!)," ",""),":",": "),SUBSTITUTE(SUBSTITUTE(UPPER(S2360)," ",""),":",": "))),0)),"Não encontrado")</f>
        <v>Não encontrado</v>
      </c>
      <c r="E2360" s="42" t="str" cm="1">
        <f t="array" ref="E2360">IFERROR(INDEX({"IMPEDITIVO"},MATCH(TRUE,ISNUMBER(FIND(SUBSTITUTE(SUBSTITUTE(UPPER({"IMPEDITIVO"})," ",""),":",": "),SUBSTITUTE(SUBSTITUTE(UPPER(S2360)," ",""),":",": "))),0)),"-")</f>
        <v>-</v>
      </c>
      <c r="K2360" s="49"/>
    </row>
    <row r="2361" spans="1:11" x14ac:dyDescent="0.25">
      <c r="A2361" s="46" t="str" cm="1">
        <f t="array" ref="A2361">IFERROR(INDEX(#REF!,MATCH(TRUE,ISNUMBER(FIND(SUBSTITUTE(SUBSTITUTE(UPPER(#REF!)," ",""),":",": "),SUBSTITUTE(SUBSTITUTE(UPPER(S2361)," ",""),":",": "))),0)),"Undefined")</f>
        <v>Undefined</v>
      </c>
      <c r="B2361" s="42" t="str" cm="1">
        <f t="array" ref="B2361">IFERROR(INDEX({"URGENTE"},MATCH(TRUE,ISNUMBER(FIND(SUBSTITUTE(SUBSTITUTE(UPPER({"URGENTE"})," ",""),":",": "),SUBSTITUTE(SUBSTITUTE(UPPER(S2361)," ",""),":",": "))),0)),"-")</f>
        <v>-</v>
      </c>
      <c r="C2361" s="46" t="str" cm="1">
        <f t="array" ref="C2361">IFERROR(INDEX(#REF!,MATCH(TRUE,ISNUMBER(FIND(SUBSTITUTE(SUBSTITUTE(UPPER(#REF!)," ",""),":",": "),SUBSTITUTE(SUBSTITUTE(UPPER(S2361)," ",""),":",": "))),0)),"Não encontrado")</f>
        <v>Não encontrado</v>
      </c>
      <c r="D2361" s="46" t="str" cm="1">
        <f t="array" ref="D2361">IFERROR(INDEX(#REF!,MATCH(TRUE,ISNUMBER(FIND(SUBSTITUTE(SUBSTITUTE(UPPER(#REF!)," ",""),":",": "),SUBSTITUTE(SUBSTITUTE(UPPER(S2361)," ",""),":",": "))),0)),"Não encontrado")</f>
        <v>Não encontrado</v>
      </c>
      <c r="E2361" s="42" t="str" cm="1">
        <f t="array" ref="E2361">IFERROR(INDEX({"IMPEDITIVO"},MATCH(TRUE,ISNUMBER(FIND(SUBSTITUTE(SUBSTITUTE(UPPER({"IMPEDITIVO"})," ",""),":",": "),SUBSTITUTE(SUBSTITUTE(UPPER(S2361)," ",""),":",": "))),0)),"-")</f>
        <v>-</v>
      </c>
      <c r="K2361" s="49"/>
    </row>
    <row r="2362" spans="1:11" x14ac:dyDescent="0.25">
      <c r="A2362" s="46" t="str" cm="1">
        <f t="array" ref="A2362">IFERROR(INDEX(#REF!,MATCH(TRUE,ISNUMBER(FIND(SUBSTITUTE(SUBSTITUTE(UPPER(#REF!)," ",""),":",": "),SUBSTITUTE(SUBSTITUTE(UPPER(S2362)," ",""),":",": "))),0)),"Undefined")</f>
        <v>Undefined</v>
      </c>
      <c r="B2362" s="42" t="str" cm="1">
        <f t="array" ref="B2362">IFERROR(INDEX({"URGENTE"},MATCH(TRUE,ISNUMBER(FIND(SUBSTITUTE(SUBSTITUTE(UPPER({"URGENTE"})," ",""),":",": "),SUBSTITUTE(SUBSTITUTE(UPPER(S2362)," ",""),":",": "))),0)),"-")</f>
        <v>-</v>
      </c>
      <c r="C2362" s="46" t="str" cm="1">
        <f t="array" ref="C2362">IFERROR(INDEX(#REF!,MATCH(TRUE,ISNUMBER(FIND(SUBSTITUTE(SUBSTITUTE(UPPER(#REF!)," ",""),":",": "),SUBSTITUTE(SUBSTITUTE(UPPER(S2362)," ",""),":",": "))),0)),"Não encontrado")</f>
        <v>Não encontrado</v>
      </c>
      <c r="D2362" s="46" t="str" cm="1">
        <f t="array" ref="D2362">IFERROR(INDEX(#REF!,MATCH(TRUE,ISNUMBER(FIND(SUBSTITUTE(SUBSTITUTE(UPPER(#REF!)," ",""),":",": "),SUBSTITUTE(SUBSTITUTE(UPPER(S2362)," ",""),":",": "))),0)),"Não encontrado")</f>
        <v>Não encontrado</v>
      </c>
      <c r="E2362" s="42" t="str" cm="1">
        <f t="array" ref="E2362">IFERROR(INDEX({"IMPEDITIVO"},MATCH(TRUE,ISNUMBER(FIND(SUBSTITUTE(SUBSTITUTE(UPPER({"IMPEDITIVO"})," ",""),":",": "),SUBSTITUTE(SUBSTITUTE(UPPER(S2362)," ",""),":",": "))),0)),"-")</f>
        <v>-</v>
      </c>
      <c r="K2362" s="49"/>
    </row>
    <row r="2363" spans="1:11" x14ac:dyDescent="0.25">
      <c r="A2363" s="46" t="str" cm="1">
        <f t="array" ref="A2363">IFERROR(INDEX(#REF!,MATCH(TRUE,ISNUMBER(FIND(SUBSTITUTE(SUBSTITUTE(UPPER(#REF!)," ",""),":",": "),SUBSTITUTE(SUBSTITUTE(UPPER(S2363)," ",""),":",": "))),0)),"Undefined")</f>
        <v>Undefined</v>
      </c>
      <c r="B2363" s="42" t="str" cm="1">
        <f t="array" ref="B2363">IFERROR(INDEX({"URGENTE"},MATCH(TRUE,ISNUMBER(FIND(SUBSTITUTE(SUBSTITUTE(UPPER({"URGENTE"})," ",""),":",": "),SUBSTITUTE(SUBSTITUTE(UPPER(S2363)," ",""),":",": "))),0)),"-")</f>
        <v>-</v>
      </c>
      <c r="C2363" s="46" t="str" cm="1">
        <f t="array" ref="C2363">IFERROR(INDEX(#REF!,MATCH(TRUE,ISNUMBER(FIND(SUBSTITUTE(SUBSTITUTE(UPPER(#REF!)," ",""),":",": "),SUBSTITUTE(SUBSTITUTE(UPPER(S2363)," ",""),":",": "))),0)),"Não encontrado")</f>
        <v>Não encontrado</v>
      </c>
      <c r="D2363" s="46" t="str" cm="1">
        <f t="array" ref="D2363">IFERROR(INDEX(#REF!,MATCH(TRUE,ISNUMBER(FIND(SUBSTITUTE(SUBSTITUTE(UPPER(#REF!)," ",""),":",": "),SUBSTITUTE(SUBSTITUTE(UPPER(S2363)," ",""),":",": "))),0)),"Não encontrado")</f>
        <v>Não encontrado</v>
      </c>
      <c r="E2363" s="42" t="str" cm="1">
        <f t="array" ref="E2363">IFERROR(INDEX({"IMPEDITIVO"},MATCH(TRUE,ISNUMBER(FIND(SUBSTITUTE(SUBSTITUTE(UPPER({"IMPEDITIVO"})," ",""),":",": "),SUBSTITUTE(SUBSTITUTE(UPPER(S2363)," ",""),":",": "))),0)),"-")</f>
        <v>-</v>
      </c>
      <c r="K2363" s="49"/>
    </row>
    <row r="2364" spans="1:11" x14ac:dyDescent="0.25">
      <c r="A2364" s="46" t="str" cm="1">
        <f t="array" ref="A2364">IFERROR(INDEX(#REF!,MATCH(TRUE,ISNUMBER(FIND(SUBSTITUTE(SUBSTITUTE(UPPER(#REF!)," ",""),":",": "),SUBSTITUTE(SUBSTITUTE(UPPER(S2364)," ",""),":",": "))),0)),"Undefined")</f>
        <v>Undefined</v>
      </c>
      <c r="B2364" s="42" t="str" cm="1">
        <f t="array" ref="B2364">IFERROR(INDEX({"URGENTE"},MATCH(TRUE,ISNUMBER(FIND(SUBSTITUTE(SUBSTITUTE(UPPER({"URGENTE"})," ",""),":",": "),SUBSTITUTE(SUBSTITUTE(UPPER(S2364)," ",""),":",": "))),0)),"-")</f>
        <v>-</v>
      </c>
      <c r="C2364" s="46" t="str" cm="1">
        <f t="array" ref="C2364">IFERROR(INDEX(#REF!,MATCH(TRUE,ISNUMBER(FIND(SUBSTITUTE(SUBSTITUTE(UPPER(#REF!)," ",""),":",": "),SUBSTITUTE(SUBSTITUTE(UPPER(S2364)," ",""),":",": "))),0)),"Não encontrado")</f>
        <v>Não encontrado</v>
      </c>
      <c r="D2364" s="46" t="str" cm="1">
        <f t="array" ref="D2364">IFERROR(INDEX(#REF!,MATCH(TRUE,ISNUMBER(FIND(SUBSTITUTE(SUBSTITUTE(UPPER(#REF!)," ",""),":",": "),SUBSTITUTE(SUBSTITUTE(UPPER(S2364)," ",""),":",": "))),0)),"Não encontrado")</f>
        <v>Não encontrado</v>
      </c>
      <c r="E2364" s="42" t="str" cm="1">
        <f t="array" ref="E2364">IFERROR(INDEX({"IMPEDITIVO"},MATCH(TRUE,ISNUMBER(FIND(SUBSTITUTE(SUBSTITUTE(UPPER({"IMPEDITIVO"})," ",""),":",": "),SUBSTITUTE(SUBSTITUTE(UPPER(S2364)," ",""),":",": "))),0)),"-")</f>
        <v>-</v>
      </c>
      <c r="K2364" s="49"/>
    </row>
    <row r="2365" spans="1:11" x14ac:dyDescent="0.25">
      <c r="A2365" s="46" t="str" cm="1">
        <f t="array" ref="A2365">IFERROR(INDEX(#REF!,MATCH(TRUE,ISNUMBER(FIND(SUBSTITUTE(SUBSTITUTE(UPPER(#REF!)," ",""),":",": "),SUBSTITUTE(SUBSTITUTE(UPPER(S2365)," ",""),":",": "))),0)),"Undefined")</f>
        <v>Undefined</v>
      </c>
      <c r="B2365" s="42" t="str" cm="1">
        <f t="array" ref="B2365">IFERROR(INDEX({"URGENTE"},MATCH(TRUE,ISNUMBER(FIND(SUBSTITUTE(SUBSTITUTE(UPPER({"URGENTE"})," ",""),":",": "),SUBSTITUTE(SUBSTITUTE(UPPER(S2365)," ",""),":",": "))),0)),"-")</f>
        <v>-</v>
      </c>
      <c r="C2365" s="46" t="str" cm="1">
        <f t="array" ref="C2365">IFERROR(INDEX(#REF!,MATCH(TRUE,ISNUMBER(FIND(SUBSTITUTE(SUBSTITUTE(UPPER(#REF!)," ",""),":",": "),SUBSTITUTE(SUBSTITUTE(UPPER(S2365)," ",""),":",": "))),0)),"Não encontrado")</f>
        <v>Não encontrado</v>
      </c>
      <c r="D2365" s="46" t="str" cm="1">
        <f t="array" ref="D2365">IFERROR(INDEX(#REF!,MATCH(TRUE,ISNUMBER(FIND(SUBSTITUTE(SUBSTITUTE(UPPER(#REF!)," ",""),":",": "),SUBSTITUTE(SUBSTITUTE(UPPER(S2365)," ",""),":",": "))),0)),"Não encontrado")</f>
        <v>Não encontrado</v>
      </c>
      <c r="E2365" s="42" t="str" cm="1">
        <f t="array" ref="E2365">IFERROR(INDEX({"IMPEDITIVO"},MATCH(TRUE,ISNUMBER(FIND(SUBSTITUTE(SUBSTITUTE(UPPER({"IMPEDITIVO"})," ",""),":",": "),SUBSTITUTE(SUBSTITUTE(UPPER(S2365)," ",""),":",": "))),0)),"-")</f>
        <v>-</v>
      </c>
      <c r="K2365" s="49"/>
    </row>
    <row r="2366" spans="1:11" x14ac:dyDescent="0.25">
      <c r="A2366" s="46" t="str" cm="1">
        <f t="array" ref="A2366">IFERROR(INDEX(#REF!,MATCH(TRUE,ISNUMBER(FIND(SUBSTITUTE(SUBSTITUTE(UPPER(#REF!)," ",""),":",": "),SUBSTITUTE(SUBSTITUTE(UPPER(S2366)," ",""),":",": "))),0)),"Undefined")</f>
        <v>Undefined</v>
      </c>
      <c r="B2366" s="42" t="str" cm="1">
        <f t="array" ref="B2366">IFERROR(INDEX({"URGENTE"},MATCH(TRUE,ISNUMBER(FIND(SUBSTITUTE(SUBSTITUTE(UPPER({"URGENTE"})," ",""),":",": "),SUBSTITUTE(SUBSTITUTE(UPPER(S2366)," ",""),":",": "))),0)),"-")</f>
        <v>-</v>
      </c>
      <c r="C2366" s="46" t="str" cm="1">
        <f t="array" ref="C2366">IFERROR(INDEX(#REF!,MATCH(TRUE,ISNUMBER(FIND(SUBSTITUTE(SUBSTITUTE(UPPER(#REF!)," ",""),":",": "),SUBSTITUTE(SUBSTITUTE(UPPER(S2366)," ",""),":",": "))),0)),"Não encontrado")</f>
        <v>Não encontrado</v>
      </c>
      <c r="D2366" s="46" t="str" cm="1">
        <f t="array" ref="D2366">IFERROR(INDEX(#REF!,MATCH(TRUE,ISNUMBER(FIND(SUBSTITUTE(SUBSTITUTE(UPPER(#REF!)," ",""),":",": "),SUBSTITUTE(SUBSTITUTE(UPPER(S2366)," ",""),":",": "))),0)),"Não encontrado")</f>
        <v>Não encontrado</v>
      </c>
      <c r="E2366" s="42" t="str" cm="1">
        <f t="array" ref="E2366">IFERROR(INDEX({"IMPEDITIVO"},MATCH(TRUE,ISNUMBER(FIND(SUBSTITUTE(SUBSTITUTE(UPPER({"IMPEDITIVO"})," ",""),":",": "),SUBSTITUTE(SUBSTITUTE(UPPER(S2366)," ",""),":",": "))),0)),"-")</f>
        <v>-</v>
      </c>
      <c r="K2366" s="49"/>
    </row>
    <row r="2367" spans="1:11" x14ac:dyDescent="0.25">
      <c r="A2367" s="46" t="str" cm="1">
        <f t="array" ref="A2367">IFERROR(INDEX(#REF!,MATCH(TRUE,ISNUMBER(FIND(SUBSTITUTE(SUBSTITUTE(UPPER(#REF!)," ",""),":",": "),SUBSTITUTE(SUBSTITUTE(UPPER(S2367)," ",""),":",": "))),0)),"Undefined")</f>
        <v>Undefined</v>
      </c>
      <c r="B2367" s="42" t="str" cm="1">
        <f t="array" ref="B2367">IFERROR(INDEX({"URGENTE"},MATCH(TRUE,ISNUMBER(FIND(SUBSTITUTE(SUBSTITUTE(UPPER({"URGENTE"})," ",""),":",": "),SUBSTITUTE(SUBSTITUTE(UPPER(S2367)," ",""),":",": "))),0)),"-")</f>
        <v>-</v>
      </c>
      <c r="C2367" s="46" t="str" cm="1">
        <f t="array" ref="C2367">IFERROR(INDEX(#REF!,MATCH(TRUE,ISNUMBER(FIND(SUBSTITUTE(SUBSTITUTE(UPPER(#REF!)," ",""),":",": "),SUBSTITUTE(SUBSTITUTE(UPPER(S2367)," ",""),":",": "))),0)),"Não encontrado")</f>
        <v>Não encontrado</v>
      </c>
      <c r="D2367" s="46" t="str" cm="1">
        <f t="array" ref="D2367">IFERROR(INDEX(#REF!,MATCH(TRUE,ISNUMBER(FIND(SUBSTITUTE(SUBSTITUTE(UPPER(#REF!)," ",""),":",": "),SUBSTITUTE(SUBSTITUTE(UPPER(S2367)," ",""),":",": "))),0)),"Não encontrado")</f>
        <v>Não encontrado</v>
      </c>
      <c r="E2367" s="42" t="str" cm="1">
        <f t="array" ref="E2367">IFERROR(INDEX({"IMPEDITIVO"},MATCH(TRUE,ISNUMBER(FIND(SUBSTITUTE(SUBSTITUTE(UPPER({"IMPEDITIVO"})," ",""),":",": "),SUBSTITUTE(SUBSTITUTE(UPPER(S2367)," ",""),":",": "))),0)),"-")</f>
        <v>-</v>
      </c>
      <c r="K2367" s="49"/>
    </row>
    <row r="2368" spans="1:11" x14ac:dyDescent="0.25">
      <c r="A2368" s="46" t="str" cm="1">
        <f t="array" ref="A2368">IFERROR(INDEX(#REF!,MATCH(TRUE,ISNUMBER(FIND(SUBSTITUTE(SUBSTITUTE(UPPER(#REF!)," ",""),":",": "),SUBSTITUTE(SUBSTITUTE(UPPER(S2368)," ",""),":",": "))),0)),"Undefined")</f>
        <v>Undefined</v>
      </c>
      <c r="B2368" s="42" t="str" cm="1">
        <f t="array" ref="B2368">IFERROR(INDEX({"URGENTE"},MATCH(TRUE,ISNUMBER(FIND(SUBSTITUTE(SUBSTITUTE(UPPER({"URGENTE"})," ",""),":",": "),SUBSTITUTE(SUBSTITUTE(UPPER(S2368)," ",""),":",": "))),0)),"-")</f>
        <v>-</v>
      </c>
      <c r="C2368" s="46" t="str" cm="1">
        <f t="array" ref="C2368">IFERROR(INDEX(#REF!,MATCH(TRUE,ISNUMBER(FIND(SUBSTITUTE(SUBSTITUTE(UPPER(#REF!)," ",""),":",": "),SUBSTITUTE(SUBSTITUTE(UPPER(S2368)," ",""),":",": "))),0)),"Não encontrado")</f>
        <v>Não encontrado</v>
      </c>
      <c r="D2368" s="46" t="str" cm="1">
        <f t="array" ref="D2368">IFERROR(INDEX(#REF!,MATCH(TRUE,ISNUMBER(FIND(SUBSTITUTE(SUBSTITUTE(UPPER(#REF!)," ",""),":",": "),SUBSTITUTE(SUBSTITUTE(UPPER(S2368)," ",""),":",": "))),0)),"Não encontrado")</f>
        <v>Não encontrado</v>
      </c>
      <c r="E2368" s="42" t="str" cm="1">
        <f t="array" ref="E2368">IFERROR(INDEX({"IMPEDITIVO"},MATCH(TRUE,ISNUMBER(FIND(SUBSTITUTE(SUBSTITUTE(UPPER({"IMPEDITIVO"})," ",""),":",": "),SUBSTITUTE(SUBSTITUTE(UPPER(S2368)," ",""),":",": "))),0)),"-")</f>
        <v>-</v>
      </c>
      <c r="K2368" s="49"/>
    </row>
    <row r="2369" spans="1:11" x14ac:dyDescent="0.25">
      <c r="A2369" s="46" t="str" cm="1">
        <f t="array" ref="A2369">IFERROR(INDEX(#REF!,MATCH(TRUE,ISNUMBER(FIND(SUBSTITUTE(SUBSTITUTE(UPPER(#REF!)," ",""),":",": "),SUBSTITUTE(SUBSTITUTE(UPPER(S2369)," ",""),":",": "))),0)),"Undefined")</f>
        <v>Undefined</v>
      </c>
      <c r="B2369" s="42" t="str" cm="1">
        <f t="array" ref="B2369">IFERROR(INDEX({"URGENTE"},MATCH(TRUE,ISNUMBER(FIND(SUBSTITUTE(SUBSTITUTE(UPPER({"URGENTE"})," ",""),":",": "),SUBSTITUTE(SUBSTITUTE(UPPER(S2369)," ",""),":",": "))),0)),"-")</f>
        <v>-</v>
      </c>
      <c r="C2369" s="46" t="str" cm="1">
        <f t="array" ref="C2369">IFERROR(INDEX(#REF!,MATCH(TRUE,ISNUMBER(FIND(SUBSTITUTE(SUBSTITUTE(UPPER(#REF!)," ",""),":",": "),SUBSTITUTE(SUBSTITUTE(UPPER(S2369)," ",""),":",": "))),0)),"Não encontrado")</f>
        <v>Não encontrado</v>
      </c>
      <c r="D2369" s="46" t="str" cm="1">
        <f t="array" ref="D2369">IFERROR(INDEX(#REF!,MATCH(TRUE,ISNUMBER(FIND(SUBSTITUTE(SUBSTITUTE(UPPER(#REF!)," ",""),":",": "),SUBSTITUTE(SUBSTITUTE(UPPER(S2369)," ",""),":",": "))),0)),"Não encontrado")</f>
        <v>Não encontrado</v>
      </c>
      <c r="E2369" s="42" t="str" cm="1">
        <f t="array" ref="E2369">IFERROR(INDEX({"IMPEDITIVO"},MATCH(TRUE,ISNUMBER(FIND(SUBSTITUTE(SUBSTITUTE(UPPER({"IMPEDITIVO"})," ",""),":",": "),SUBSTITUTE(SUBSTITUTE(UPPER(S2369)," ",""),":",": "))),0)),"-")</f>
        <v>-</v>
      </c>
      <c r="K2369" s="49"/>
    </row>
    <row r="2370" spans="1:11" x14ac:dyDescent="0.25">
      <c r="A2370" s="46" t="str" cm="1">
        <f t="array" ref="A2370">IFERROR(INDEX(#REF!,MATCH(TRUE,ISNUMBER(FIND(SUBSTITUTE(SUBSTITUTE(UPPER(#REF!)," ",""),":",": "),SUBSTITUTE(SUBSTITUTE(UPPER(S2370)," ",""),":",": "))),0)),"Undefined")</f>
        <v>Undefined</v>
      </c>
      <c r="B2370" s="42" t="str" cm="1">
        <f t="array" ref="B2370">IFERROR(INDEX({"URGENTE"},MATCH(TRUE,ISNUMBER(FIND(SUBSTITUTE(SUBSTITUTE(UPPER({"URGENTE"})," ",""),":",": "),SUBSTITUTE(SUBSTITUTE(UPPER(S2370)," ",""),":",": "))),0)),"-")</f>
        <v>-</v>
      </c>
      <c r="C2370" s="46" t="str" cm="1">
        <f t="array" ref="C2370">IFERROR(INDEX(#REF!,MATCH(TRUE,ISNUMBER(FIND(SUBSTITUTE(SUBSTITUTE(UPPER(#REF!)," ",""),":",": "),SUBSTITUTE(SUBSTITUTE(UPPER(S2370)," ",""),":",": "))),0)),"Não encontrado")</f>
        <v>Não encontrado</v>
      </c>
      <c r="D2370" s="46" t="str" cm="1">
        <f t="array" ref="D2370">IFERROR(INDEX(#REF!,MATCH(TRUE,ISNUMBER(FIND(SUBSTITUTE(SUBSTITUTE(UPPER(#REF!)," ",""),":",": "),SUBSTITUTE(SUBSTITUTE(UPPER(S2370)," ",""),":",": "))),0)),"Não encontrado")</f>
        <v>Não encontrado</v>
      </c>
      <c r="E2370" s="42" t="str" cm="1">
        <f t="array" ref="E2370">IFERROR(INDEX({"IMPEDITIVO"},MATCH(TRUE,ISNUMBER(FIND(SUBSTITUTE(SUBSTITUTE(UPPER({"IMPEDITIVO"})," ",""),":",": "),SUBSTITUTE(SUBSTITUTE(UPPER(S2370)," ",""),":",": "))),0)),"-")</f>
        <v>-</v>
      </c>
      <c r="K2370" s="49"/>
    </row>
    <row r="2371" spans="1:11" x14ac:dyDescent="0.25">
      <c r="A2371" s="46" t="str" cm="1">
        <f t="array" ref="A2371">IFERROR(INDEX(#REF!,MATCH(TRUE,ISNUMBER(FIND(SUBSTITUTE(SUBSTITUTE(UPPER(#REF!)," ",""),":",": "),SUBSTITUTE(SUBSTITUTE(UPPER(S2371)," ",""),":",": "))),0)),"Undefined")</f>
        <v>Undefined</v>
      </c>
      <c r="B2371" s="42" t="str" cm="1">
        <f t="array" ref="B2371">IFERROR(INDEX({"URGENTE"},MATCH(TRUE,ISNUMBER(FIND(SUBSTITUTE(SUBSTITUTE(UPPER({"URGENTE"})," ",""),":",": "),SUBSTITUTE(SUBSTITUTE(UPPER(S2371)," ",""),":",": "))),0)),"-")</f>
        <v>-</v>
      </c>
      <c r="C2371" s="46" t="str" cm="1">
        <f t="array" ref="C2371">IFERROR(INDEX(#REF!,MATCH(TRUE,ISNUMBER(FIND(SUBSTITUTE(SUBSTITUTE(UPPER(#REF!)," ",""),":",": "),SUBSTITUTE(SUBSTITUTE(UPPER(S2371)," ",""),":",": "))),0)),"Não encontrado")</f>
        <v>Não encontrado</v>
      </c>
      <c r="D2371" s="46" t="str" cm="1">
        <f t="array" ref="D2371">IFERROR(INDEX(#REF!,MATCH(TRUE,ISNUMBER(FIND(SUBSTITUTE(SUBSTITUTE(UPPER(#REF!)," ",""),":",": "),SUBSTITUTE(SUBSTITUTE(UPPER(S2371)," ",""),":",": "))),0)),"Não encontrado")</f>
        <v>Não encontrado</v>
      </c>
      <c r="E2371" s="42" t="str" cm="1">
        <f t="array" ref="E2371">IFERROR(INDEX({"IMPEDITIVO"},MATCH(TRUE,ISNUMBER(FIND(SUBSTITUTE(SUBSTITUTE(UPPER({"IMPEDITIVO"})," ",""),":",": "),SUBSTITUTE(SUBSTITUTE(UPPER(S2371)," ",""),":",": "))),0)),"-")</f>
        <v>-</v>
      </c>
      <c r="K2371" s="49"/>
    </row>
    <row r="2372" spans="1:11" x14ac:dyDescent="0.25">
      <c r="A2372" s="46" t="str" cm="1">
        <f t="array" ref="A2372">IFERROR(INDEX(#REF!,MATCH(TRUE,ISNUMBER(FIND(SUBSTITUTE(SUBSTITUTE(UPPER(#REF!)," ",""),":",": "),SUBSTITUTE(SUBSTITUTE(UPPER(S2372)," ",""),":",": "))),0)),"Undefined")</f>
        <v>Undefined</v>
      </c>
      <c r="B2372" s="42" t="str" cm="1">
        <f t="array" ref="B2372">IFERROR(INDEX({"URGENTE"},MATCH(TRUE,ISNUMBER(FIND(SUBSTITUTE(SUBSTITUTE(UPPER({"URGENTE"})," ",""),":",": "),SUBSTITUTE(SUBSTITUTE(UPPER(S2372)," ",""),":",": "))),0)),"-")</f>
        <v>-</v>
      </c>
      <c r="C2372" s="46" t="str" cm="1">
        <f t="array" ref="C2372">IFERROR(INDEX(#REF!,MATCH(TRUE,ISNUMBER(FIND(SUBSTITUTE(SUBSTITUTE(UPPER(#REF!)," ",""),":",": "),SUBSTITUTE(SUBSTITUTE(UPPER(S2372)," ",""),":",": "))),0)),"Não encontrado")</f>
        <v>Não encontrado</v>
      </c>
      <c r="D2372" s="46" t="str" cm="1">
        <f t="array" ref="D2372">IFERROR(INDEX(#REF!,MATCH(TRUE,ISNUMBER(FIND(SUBSTITUTE(SUBSTITUTE(UPPER(#REF!)," ",""),":",": "),SUBSTITUTE(SUBSTITUTE(UPPER(S2372)," ",""),":",": "))),0)),"Não encontrado")</f>
        <v>Não encontrado</v>
      </c>
      <c r="E2372" s="42" t="str" cm="1">
        <f t="array" ref="E2372">IFERROR(INDEX({"IMPEDITIVO"},MATCH(TRUE,ISNUMBER(FIND(SUBSTITUTE(SUBSTITUTE(UPPER({"IMPEDITIVO"})," ",""),":",": "),SUBSTITUTE(SUBSTITUTE(UPPER(S2372)," ",""),":",": "))),0)),"-")</f>
        <v>-</v>
      </c>
      <c r="K2372" s="49"/>
    </row>
    <row r="2373" spans="1:11" x14ac:dyDescent="0.25">
      <c r="A2373" s="46" t="str" cm="1">
        <f t="array" ref="A2373">IFERROR(INDEX(#REF!,MATCH(TRUE,ISNUMBER(FIND(SUBSTITUTE(SUBSTITUTE(UPPER(#REF!)," ",""),":",": "),SUBSTITUTE(SUBSTITUTE(UPPER(S2373)," ",""),":",": "))),0)),"Undefined")</f>
        <v>Undefined</v>
      </c>
      <c r="B2373" s="42" t="str" cm="1">
        <f t="array" ref="B2373">IFERROR(INDEX({"URGENTE"},MATCH(TRUE,ISNUMBER(FIND(SUBSTITUTE(SUBSTITUTE(UPPER({"URGENTE"})," ",""),":",": "),SUBSTITUTE(SUBSTITUTE(UPPER(S2373)," ",""),":",": "))),0)),"-")</f>
        <v>-</v>
      </c>
      <c r="C2373" s="46" t="str" cm="1">
        <f t="array" ref="C2373">IFERROR(INDEX(#REF!,MATCH(TRUE,ISNUMBER(FIND(SUBSTITUTE(SUBSTITUTE(UPPER(#REF!)," ",""),":",": "),SUBSTITUTE(SUBSTITUTE(UPPER(S2373)," ",""),":",": "))),0)),"Não encontrado")</f>
        <v>Não encontrado</v>
      </c>
      <c r="D2373" s="46" t="str" cm="1">
        <f t="array" ref="D2373">IFERROR(INDEX(#REF!,MATCH(TRUE,ISNUMBER(FIND(SUBSTITUTE(SUBSTITUTE(UPPER(#REF!)," ",""),":",": "),SUBSTITUTE(SUBSTITUTE(UPPER(S2373)," ",""),":",": "))),0)),"Não encontrado")</f>
        <v>Não encontrado</v>
      </c>
      <c r="E2373" s="42" t="str" cm="1">
        <f t="array" ref="E2373">IFERROR(INDEX({"IMPEDITIVO"},MATCH(TRUE,ISNUMBER(FIND(SUBSTITUTE(SUBSTITUTE(UPPER({"IMPEDITIVO"})," ",""),":",": "),SUBSTITUTE(SUBSTITUTE(UPPER(S2373)," ",""),":",": "))),0)),"-")</f>
        <v>-</v>
      </c>
      <c r="K2373" s="49"/>
    </row>
    <row r="2374" spans="1:11" x14ac:dyDescent="0.25">
      <c r="A2374" s="46" t="str" cm="1">
        <f t="array" ref="A2374">IFERROR(INDEX(#REF!,MATCH(TRUE,ISNUMBER(FIND(SUBSTITUTE(SUBSTITUTE(UPPER(#REF!)," ",""),":",": "),SUBSTITUTE(SUBSTITUTE(UPPER(S2374)," ",""),":",": "))),0)),"Undefined")</f>
        <v>Undefined</v>
      </c>
      <c r="B2374" s="42" t="str" cm="1">
        <f t="array" ref="B2374">IFERROR(INDEX({"URGENTE"},MATCH(TRUE,ISNUMBER(FIND(SUBSTITUTE(SUBSTITUTE(UPPER({"URGENTE"})," ",""),":",": "),SUBSTITUTE(SUBSTITUTE(UPPER(S2374)," ",""),":",": "))),0)),"-")</f>
        <v>-</v>
      </c>
      <c r="C2374" s="46" t="str" cm="1">
        <f t="array" ref="C2374">IFERROR(INDEX(#REF!,MATCH(TRUE,ISNUMBER(FIND(SUBSTITUTE(SUBSTITUTE(UPPER(#REF!)," ",""),":",": "),SUBSTITUTE(SUBSTITUTE(UPPER(S2374)," ",""),":",": "))),0)),"Não encontrado")</f>
        <v>Não encontrado</v>
      </c>
      <c r="D2374" s="46" t="str" cm="1">
        <f t="array" ref="D2374">IFERROR(INDEX(#REF!,MATCH(TRUE,ISNUMBER(FIND(SUBSTITUTE(SUBSTITUTE(UPPER(#REF!)," ",""),":",": "),SUBSTITUTE(SUBSTITUTE(UPPER(S2374)," ",""),":",": "))),0)),"Não encontrado")</f>
        <v>Não encontrado</v>
      </c>
      <c r="E2374" s="42" t="str" cm="1">
        <f t="array" ref="E2374">IFERROR(INDEX({"IMPEDITIVO"},MATCH(TRUE,ISNUMBER(FIND(SUBSTITUTE(SUBSTITUTE(UPPER({"IMPEDITIVO"})," ",""),":",": "),SUBSTITUTE(SUBSTITUTE(UPPER(S2374)," ",""),":",": "))),0)),"-")</f>
        <v>-</v>
      </c>
      <c r="K2374" s="49"/>
    </row>
    <row r="2375" spans="1:11" x14ac:dyDescent="0.25">
      <c r="A2375" s="46" t="str" cm="1">
        <f t="array" ref="A2375">IFERROR(INDEX(#REF!,MATCH(TRUE,ISNUMBER(FIND(SUBSTITUTE(SUBSTITUTE(UPPER(#REF!)," ",""),":",": "),SUBSTITUTE(SUBSTITUTE(UPPER(S2375)," ",""),":",": "))),0)),"Undefined")</f>
        <v>Undefined</v>
      </c>
      <c r="B2375" s="42" t="str" cm="1">
        <f t="array" ref="B2375">IFERROR(INDEX({"URGENTE"},MATCH(TRUE,ISNUMBER(FIND(SUBSTITUTE(SUBSTITUTE(UPPER({"URGENTE"})," ",""),":",": "),SUBSTITUTE(SUBSTITUTE(UPPER(S2375)," ",""),":",": "))),0)),"-")</f>
        <v>-</v>
      </c>
      <c r="C2375" s="46" t="str" cm="1">
        <f t="array" ref="C2375">IFERROR(INDEX(#REF!,MATCH(TRUE,ISNUMBER(FIND(SUBSTITUTE(SUBSTITUTE(UPPER(#REF!)," ",""),":",": "),SUBSTITUTE(SUBSTITUTE(UPPER(S2375)," ",""),":",": "))),0)),"Não encontrado")</f>
        <v>Não encontrado</v>
      </c>
      <c r="D2375" s="46" t="str" cm="1">
        <f t="array" ref="D2375">IFERROR(INDEX(#REF!,MATCH(TRUE,ISNUMBER(FIND(SUBSTITUTE(SUBSTITUTE(UPPER(#REF!)," ",""),":",": "),SUBSTITUTE(SUBSTITUTE(UPPER(S2375)," ",""),":",": "))),0)),"Não encontrado")</f>
        <v>Não encontrado</v>
      </c>
      <c r="E2375" s="42" t="str" cm="1">
        <f t="array" ref="E2375">IFERROR(INDEX({"IMPEDITIVO"},MATCH(TRUE,ISNUMBER(FIND(SUBSTITUTE(SUBSTITUTE(UPPER({"IMPEDITIVO"})," ",""),":",": "),SUBSTITUTE(SUBSTITUTE(UPPER(S2375)," ",""),":",": "))),0)),"-")</f>
        <v>-</v>
      </c>
      <c r="K2375" s="49"/>
    </row>
    <row r="2376" spans="1:11" x14ac:dyDescent="0.25">
      <c r="A2376" s="46" t="str" cm="1">
        <f t="array" ref="A2376">IFERROR(INDEX(#REF!,MATCH(TRUE,ISNUMBER(FIND(SUBSTITUTE(SUBSTITUTE(UPPER(#REF!)," ",""),":",": "),SUBSTITUTE(SUBSTITUTE(UPPER(S2376)," ",""),":",": "))),0)),"Undefined")</f>
        <v>Undefined</v>
      </c>
      <c r="B2376" s="42" t="str" cm="1">
        <f t="array" ref="B2376">IFERROR(INDEX({"URGENTE"},MATCH(TRUE,ISNUMBER(FIND(SUBSTITUTE(SUBSTITUTE(UPPER({"URGENTE"})," ",""),":",": "),SUBSTITUTE(SUBSTITUTE(UPPER(S2376)," ",""),":",": "))),0)),"-")</f>
        <v>-</v>
      </c>
      <c r="C2376" s="46" t="str" cm="1">
        <f t="array" ref="C2376">IFERROR(INDEX(#REF!,MATCH(TRUE,ISNUMBER(FIND(SUBSTITUTE(SUBSTITUTE(UPPER(#REF!)," ",""),":",": "),SUBSTITUTE(SUBSTITUTE(UPPER(S2376)," ",""),":",": "))),0)),"Não encontrado")</f>
        <v>Não encontrado</v>
      </c>
      <c r="D2376" s="46" t="str" cm="1">
        <f t="array" ref="D2376">IFERROR(INDEX(#REF!,MATCH(TRUE,ISNUMBER(FIND(SUBSTITUTE(SUBSTITUTE(UPPER(#REF!)," ",""),":",": "),SUBSTITUTE(SUBSTITUTE(UPPER(S2376)," ",""),":",": "))),0)),"Não encontrado")</f>
        <v>Não encontrado</v>
      </c>
      <c r="E2376" s="42" t="str" cm="1">
        <f t="array" ref="E2376">IFERROR(INDEX({"IMPEDITIVO"},MATCH(TRUE,ISNUMBER(FIND(SUBSTITUTE(SUBSTITUTE(UPPER({"IMPEDITIVO"})," ",""),":",": "),SUBSTITUTE(SUBSTITUTE(UPPER(S2376)," ",""),":",": "))),0)),"-")</f>
        <v>-</v>
      </c>
      <c r="K2376" s="49"/>
    </row>
    <row r="2377" spans="1:11" x14ac:dyDescent="0.25">
      <c r="A2377" s="46" t="str" cm="1">
        <f t="array" ref="A2377">IFERROR(INDEX(#REF!,MATCH(TRUE,ISNUMBER(FIND(SUBSTITUTE(SUBSTITUTE(UPPER(#REF!)," ",""),":",": "),SUBSTITUTE(SUBSTITUTE(UPPER(S2377)," ",""),":",": "))),0)),"Undefined")</f>
        <v>Undefined</v>
      </c>
      <c r="B2377" s="42" t="str" cm="1">
        <f t="array" ref="B2377">IFERROR(INDEX({"URGENTE"},MATCH(TRUE,ISNUMBER(FIND(SUBSTITUTE(SUBSTITUTE(UPPER({"URGENTE"})," ",""),":",": "),SUBSTITUTE(SUBSTITUTE(UPPER(S2377)," ",""),":",": "))),0)),"-")</f>
        <v>-</v>
      </c>
      <c r="C2377" s="46" t="str" cm="1">
        <f t="array" ref="C2377">IFERROR(INDEX(#REF!,MATCH(TRUE,ISNUMBER(FIND(SUBSTITUTE(SUBSTITUTE(UPPER(#REF!)," ",""),":",": "),SUBSTITUTE(SUBSTITUTE(UPPER(S2377)," ",""),":",": "))),0)),"Não encontrado")</f>
        <v>Não encontrado</v>
      </c>
      <c r="D2377" s="46" t="str" cm="1">
        <f t="array" ref="D2377">IFERROR(INDEX(#REF!,MATCH(TRUE,ISNUMBER(FIND(SUBSTITUTE(SUBSTITUTE(UPPER(#REF!)," ",""),":",": "),SUBSTITUTE(SUBSTITUTE(UPPER(S2377)," ",""),":",": "))),0)),"Não encontrado")</f>
        <v>Não encontrado</v>
      </c>
      <c r="E2377" s="42" t="str" cm="1">
        <f t="array" ref="E2377">IFERROR(INDEX({"IMPEDITIVO"},MATCH(TRUE,ISNUMBER(FIND(SUBSTITUTE(SUBSTITUTE(UPPER({"IMPEDITIVO"})," ",""),":",": "),SUBSTITUTE(SUBSTITUTE(UPPER(S2377)," ",""),":",": "))),0)),"-")</f>
        <v>-</v>
      </c>
      <c r="K2377" s="49"/>
    </row>
    <row r="2378" spans="1:11" x14ac:dyDescent="0.25">
      <c r="A2378" s="46" t="str" cm="1">
        <f t="array" ref="A2378">IFERROR(INDEX(#REF!,MATCH(TRUE,ISNUMBER(FIND(SUBSTITUTE(SUBSTITUTE(UPPER(#REF!)," ",""),":",": "),SUBSTITUTE(SUBSTITUTE(UPPER(S2378)," ",""),":",": "))),0)),"Undefined")</f>
        <v>Undefined</v>
      </c>
      <c r="B2378" s="42" t="str" cm="1">
        <f t="array" ref="B2378">IFERROR(INDEX({"URGENTE"},MATCH(TRUE,ISNUMBER(FIND(SUBSTITUTE(SUBSTITUTE(UPPER({"URGENTE"})," ",""),":",": "),SUBSTITUTE(SUBSTITUTE(UPPER(S2378)," ",""),":",": "))),0)),"-")</f>
        <v>-</v>
      </c>
      <c r="C2378" s="46" t="str" cm="1">
        <f t="array" ref="C2378">IFERROR(INDEX(#REF!,MATCH(TRUE,ISNUMBER(FIND(SUBSTITUTE(SUBSTITUTE(UPPER(#REF!)," ",""),":",": "),SUBSTITUTE(SUBSTITUTE(UPPER(S2378)," ",""),":",": "))),0)),"Não encontrado")</f>
        <v>Não encontrado</v>
      </c>
      <c r="D2378" s="46" t="str" cm="1">
        <f t="array" ref="D2378">IFERROR(INDEX(#REF!,MATCH(TRUE,ISNUMBER(FIND(SUBSTITUTE(SUBSTITUTE(UPPER(#REF!)," ",""),":",": "),SUBSTITUTE(SUBSTITUTE(UPPER(S2378)," ",""),":",": "))),0)),"Não encontrado")</f>
        <v>Não encontrado</v>
      </c>
      <c r="E2378" s="42" t="str" cm="1">
        <f t="array" ref="E2378">IFERROR(INDEX({"IMPEDITIVO"},MATCH(TRUE,ISNUMBER(FIND(SUBSTITUTE(SUBSTITUTE(UPPER({"IMPEDITIVO"})," ",""),":",": "),SUBSTITUTE(SUBSTITUTE(UPPER(S2378)," ",""),":",": "))),0)),"-")</f>
        <v>-</v>
      </c>
      <c r="K2378" s="49"/>
    </row>
    <row r="2379" spans="1:11" x14ac:dyDescent="0.25">
      <c r="A2379" s="46" t="str" cm="1">
        <f t="array" ref="A2379">IFERROR(INDEX(#REF!,MATCH(TRUE,ISNUMBER(FIND(SUBSTITUTE(SUBSTITUTE(UPPER(#REF!)," ",""),":",": "),SUBSTITUTE(SUBSTITUTE(UPPER(S2379)," ",""),":",": "))),0)),"Undefined")</f>
        <v>Undefined</v>
      </c>
      <c r="B2379" s="42" t="str" cm="1">
        <f t="array" ref="B2379">IFERROR(INDEX({"URGENTE"},MATCH(TRUE,ISNUMBER(FIND(SUBSTITUTE(SUBSTITUTE(UPPER({"URGENTE"})," ",""),":",": "),SUBSTITUTE(SUBSTITUTE(UPPER(S2379)," ",""),":",": "))),0)),"-")</f>
        <v>-</v>
      </c>
      <c r="C2379" s="46" t="str" cm="1">
        <f t="array" ref="C2379">IFERROR(INDEX(#REF!,MATCH(TRUE,ISNUMBER(FIND(SUBSTITUTE(SUBSTITUTE(UPPER(#REF!)," ",""),":",": "),SUBSTITUTE(SUBSTITUTE(UPPER(S2379)," ",""),":",": "))),0)),"Não encontrado")</f>
        <v>Não encontrado</v>
      </c>
      <c r="D2379" s="46" t="str" cm="1">
        <f t="array" ref="D2379">IFERROR(INDEX(#REF!,MATCH(TRUE,ISNUMBER(FIND(SUBSTITUTE(SUBSTITUTE(UPPER(#REF!)," ",""),":",": "),SUBSTITUTE(SUBSTITUTE(UPPER(S2379)," ",""),":",": "))),0)),"Não encontrado")</f>
        <v>Não encontrado</v>
      </c>
      <c r="E2379" s="42" t="str" cm="1">
        <f t="array" ref="E2379">IFERROR(INDEX({"IMPEDITIVO"},MATCH(TRUE,ISNUMBER(FIND(SUBSTITUTE(SUBSTITUTE(UPPER({"IMPEDITIVO"})," ",""),":",": "),SUBSTITUTE(SUBSTITUTE(UPPER(S2379)," ",""),":",": "))),0)),"-")</f>
        <v>-</v>
      </c>
      <c r="K2379" s="49"/>
    </row>
    <row r="2380" spans="1:11" x14ac:dyDescent="0.25">
      <c r="A2380" s="46" t="str" cm="1">
        <f t="array" ref="A2380">IFERROR(INDEX(#REF!,MATCH(TRUE,ISNUMBER(FIND(SUBSTITUTE(SUBSTITUTE(UPPER(#REF!)," ",""),":",": "),SUBSTITUTE(SUBSTITUTE(UPPER(S2380)," ",""),":",": "))),0)),"Undefined")</f>
        <v>Undefined</v>
      </c>
      <c r="B2380" s="42" t="str" cm="1">
        <f t="array" ref="B2380">IFERROR(INDEX({"URGENTE"},MATCH(TRUE,ISNUMBER(FIND(SUBSTITUTE(SUBSTITUTE(UPPER({"URGENTE"})," ",""),":",": "),SUBSTITUTE(SUBSTITUTE(UPPER(S2380)," ",""),":",": "))),0)),"-")</f>
        <v>-</v>
      </c>
      <c r="C2380" s="46" t="str" cm="1">
        <f t="array" ref="C2380">IFERROR(INDEX(#REF!,MATCH(TRUE,ISNUMBER(FIND(SUBSTITUTE(SUBSTITUTE(UPPER(#REF!)," ",""),":",": "),SUBSTITUTE(SUBSTITUTE(UPPER(S2380)," ",""),":",": "))),0)),"Não encontrado")</f>
        <v>Não encontrado</v>
      </c>
      <c r="D2380" s="46" t="str" cm="1">
        <f t="array" ref="D2380">IFERROR(INDEX(#REF!,MATCH(TRUE,ISNUMBER(FIND(SUBSTITUTE(SUBSTITUTE(UPPER(#REF!)," ",""),":",": "),SUBSTITUTE(SUBSTITUTE(UPPER(S2380)," ",""),":",": "))),0)),"Não encontrado")</f>
        <v>Não encontrado</v>
      </c>
      <c r="E2380" s="42" t="str" cm="1">
        <f t="array" ref="E2380">IFERROR(INDEX({"IMPEDITIVO"},MATCH(TRUE,ISNUMBER(FIND(SUBSTITUTE(SUBSTITUTE(UPPER({"IMPEDITIVO"})," ",""),":",": "),SUBSTITUTE(SUBSTITUTE(UPPER(S2380)," ",""),":",": "))),0)),"-")</f>
        <v>-</v>
      </c>
      <c r="K2380" s="49"/>
    </row>
    <row r="2381" spans="1:11" x14ac:dyDescent="0.25">
      <c r="A2381" s="46" t="str" cm="1">
        <f t="array" ref="A2381">IFERROR(INDEX(#REF!,MATCH(TRUE,ISNUMBER(FIND(SUBSTITUTE(SUBSTITUTE(UPPER(#REF!)," ",""),":",": "),SUBSTITUTE(SUBSTITUTE(UPPER(S2381)," ",""),":",": "))),0)),"Undefined")</f>
        <v>Undefined</v>
      </c>
      <c r="B2381" s="42" t="str" cm="1">
        <f t="array" ref="B2381">IFERROR(INDEX({"URGENTE"},MATCH(TRUE,ISNUMBER(FIND(SUBSTITUTE(SUBSTITUTE(UPPER({"URGENTE"})," ",""),":",": "),SUBSTITUTE(SUBSTITUTE(UPPER(S2381)," ",""),":",": "))),0)),"-")</f>
        <v>-</v>
      </c>
      <c r="C2381" s="46" t="str" cm="1">
        <f t="array" ref="C2381">IFERROR(INDEX(#REF!,MATCH(TRUE,ISNUMBER(FIND(SUBSTITUTE(SUBSTITUTE(UPPER(#REF!)," ",""),":",": "),SUBSTITUTE(SUBSTITUTE(UPPER(S2381)," ",""),":",": "))),0)),"Não encontrado")</f>
        <v>Não encontrado</v>
      </c>
      <c r="D2381" s="46" t="str" cm="1">
        <f t="array" ref="D2381">IFERROR(INDEX(#REF!,MATCH(TRUE,ISNUMBER(FIND(SUBSTITUTE(SUBSTITUTE(UPPER(#REF!)," ",""),":",": "),SUBSTITUTE(SUBSTITUTE(UPPER(S2381)," ",""),":",": "))),0)),"Não encontrado")</f>
        <v>Não encontrado</v>
      </c>
      <c r="E2381" s="42" t="str" cm="1">
        <f t="array" ref="E2381">IFERROR(INDEX({"IMPEDITIVO"},MATCH(TRUE,ISNUMBER(FIND(SUBSTITUTE(SUBSTITUTE(UPPER({"IMPEDITIVO"})," ",""),":",": "),SUBSTITUTE(SUBSTITUTE(UPPER(S2381)," ",""),":",": "))),0)),"-")</f>
        <v>-</v>
      </c>
      <c r="K2381" s="49"/>
    </row>
    <row r="2382" spans="1:11" x14ac:dyDescent="0.25">
      <c r="A2382" s="46" t="str" cm="1">
        <f t="array" ref="A2382">IFERROR(INDEX(#REF!,MATCH(TRUE,ISNUMBER(FIND(SUBSTITUTE(SUBSTITUTE(UPPER(#REF!)," ",""),":",": "),SUBSTITUTE(SUBSTITUTE(UPPER(S2382)," ",""),":",": "))),0)),"Undefined")</f>
        <v>Undefined</v>
      </c>
      <c r="B2382" s="42" t="str" cm="1">
        <f t="array" ref="B2382">IFERROR(INDEX({"URGENTE"},MATCH(TRUE,ISNUMBER(FIND(SUBSTITUTE(SUBSTITUTE(UPPER({"URGENTE"})," ",""),":",": "),SUBSTITUTE(SUBSTITUTE(UPPER(S2382)," ",""),":",": "))),0)),"-")</f>
        <v>-</v>
      </c>
      <c r="C2382" s="46" t="str" cm="1">
        <f t="array" ref="C2382">IFERROR(INDEX(#REF!,MATCH(TRUE,ISNUMBER(FIND(SUBSTITUTE(SUBSTITUTE(UPPER(#REF!)," ",""),":",": "),SUBSTITUTE(SUBSTITUTE(UPPER(S2382)," ",""),":",": "))),0)),"Não encontrado")</f>
        <v>Não encontrado</v>
      </c>
      <c r="D2382" s="46" t="str" cm="1">
        <f t="array" ref="D2382">IFERROR(INDEX(#REF!,MATCH(TRUE,ISNUMBER(FIND(SUBSTITUTE(SUBSTITUTE(UPPER(#REF!)," ",""),":",": "),SUBSTITUTE(SUBSTITUTE(UPPER(S2382)," ",""),":",": "))),0)),"Não encontrado")</f>
        <v>Não encontrado</v>
      </c>
      <c r="E2382" s="42" t="str" cm="1">
        <f t="array" ref="E2382">IFERROR(INDEX({"IMPEDITIVO"},MATCH(TRUE,ISNUMBER(FIND(SUBSTITUTE(SUBSTITUTE(UPPER({"IMPEDITIVO"})," ",""),":",": "),SUBSTITUTE(SUBSTITUTE(UPPER(S2382)," ",""),":",": "))),0)),"-")</f>
        <v>-</v>
      </c>
      <c r="K2382" s="49"/>
    </row>
    <row r="2383" spans="1:11" x14ac:dyDescent="0.25">
      <c r="A2383" s="46" t="str" cm="1">
        <f t="array" ref="A2383">IFERROR(INDEX(#REF!,MATCH(TRUE,ISNUMBER(FIND(SUBSTITUTE(SUBSTITUTE(UPPER(#REF!)," ",""),":",": "),SUBSTITUTE(SUBSTITUTE(UPPER(S2383)," ",""),":",": "))),0)),"Undefined")</f>
        <v>Undefined</v>
      </c>
      <c r="B2383" s="42" t="str" cm="1">
        <f t="array" ref="B2383">IFERROR(INDEX({"URGENTE"},MATCH(TRUE,ISNUMBER(FIND(SUBSTITUTE(SUBSTITUTE(UPPER({"URGENTE"})," ",""),":",": "),SUBSTITUTE(SUBSTITUTE(UPPER(S2383)," ",""),":",": "))),0)),"-")</f>
        <v>-</v>
      </c>
      <c r="C2383" s="46" t="str" cm="1">
        <f t="array" ref="C2383">IFERROR(INDEX(#REF!,MATCH(TRUE,ISNUMBER(FIND(SUBSTITUTE(SUBSTITUTE(UPPER(#REF!)," ",""),":",": "),SUBSTITUTE(SUBSTITUTE(UPPER(S2383)," ",""),":",": "))),0)),"Não encontrado")</f>
        <v>Não encontrado</v>
      </c>
      <c r="D2383" s="46" t="str" cm="1">
        <f t="array" ref="D2383">IFERROR(INDEX(#REF!,MATCH(TRUE,ISNUMBER(FIND(SUBSTITUTE(SUBSTITUTE(UPPER(#REF!)," ",""),":",": "),SUBSTITUTE(SUBSTITUTE(UPPER(S2383)," ",""),":",": "))),0)),"Não encontrado")</f>
        <v>Não encontrado</v>
      </c>
      <c r="E2383" s="42" t="str" cm="1">
        <f t="array" ref="E2383">IFERROR(INDEX({"IMPEDITIVO"},MATCH(TRUE,ISNUMBER(FIND(SUBSTITUTE(SUBSTITUTE(UPPER({"IMPEDITIVO"})," ",""),":",": "),SUBSTITUTE(SUBSTITUTE(UPPER(S2383)," ",""),":",": "))),0)),"-")</f>
        <v>-</v>
      </c>
      <c r="K2383" s="49"/>
    </row>
    <row r="2384" spans="1:11" x14ac:dyDescent="0.25">
      <c r="A2384" s="46" t="str" cm="1">
        <f t="array" ref="A2384">IFERROR(INDEX(#REF!,MATCH(TRUE,ISNUMBER(FIND(SUBSTITUTE(SUBSTITUTE(UPPER(#REF!)," ",""),":",": "),SUBSTITUTE(SUBSTITUTE(UPPER(S2384)," ",""),":",": "))),0)),"Undefined")</f>
        <v>Undefined</v>
      </c>
      <c r="B2384" s="42" t="str" cm="1">
        <f t="array" ref="B2384">IFERROR(INDEX({"URGENTE"},MATCH(TRUE,ISNUMBER(FIND(SUBSTITUTE(SUBSTITUTE(UPPER({"URGENTE"})," ",""),":",": "),SUBSTITUTE(SUBSTITUTE(UPPER(S2384)," ",""),":",": "))),0)),"-")</f>
        <v>-</v>
      </c>
      <c r="C2384" s="46" t="str" cm="1">
        <f t="array" ref="C2384">IFERROR(INDEX(#REF!,MATCH(TRUE,ISNUMBER(FIND(SUBSTITUTE(SUBSTITUTE(UPPER(#REF!)," ",""),":",": "),SUBSTITUTE(SUBSTITUTE(UPPER(S2384)," ",""),":",": "))),0)),"Não encontrado")</f>
        <v>Não encontrado</v>
      </c>
      <c r="D2384" s="46" t="str" cm="1">
        <f t="array" ref="D2384">IFERROR(INDEX(#REF!,MATCH(TRUE,ISNUMBER(FIND(SUBSTITUTE(SUBSTITUTE(UPPER(#REF!)," ",""),":",": "),SUBSTITUTE(SUBSTITUTE(UPPER(S2384)," ",""),":",": "))),0)),"Não encontrado")</f>
        <v>Não encontrado</v>
      </c>
      <c r="E2384" s="42" t="str" cm="1">
        <f t="array" ref="E2384">IFERROR(INDEX({"IMPEDITIVO"},MATCH(TRUE,ISNUMBER(FIND(SUBSTITUTE(SUBSTITUTE(UPPER({"IMPEDITIVO"})," ",""),":",": "),SUBSTITUTE(SUBSTITUTE(UPPER(S2384)," ",""),":",": "))),0)),"-")</f>
        <v>-</v>
      </c>
      <c r="K2384" s="49"/>
    </row>
    <row r="2385" spans="1:11" x14ac:dyDescent="0.25">
      <c r="A2385" s="46" t="str" cm="1">
        <f t="array" ref="A2385">IFERROR(INDEX(#REF!,MATCH(TRUE,ISNUMBER(FIND(SUBSTITUTE(SUBSTITUTE(UPPER(#REF!)," ",""),":",": "),SUBSTITUTE(SUBSTITUTE(UPPER(S2385)," ",""),":",": "))),0)),"Undefined")</f>
        <v>Undefined</v>
      </c>
      <c r="B2385" s="42" t="str" cm="1">
        <f t="array" ref="B2385">IFERROR(INDEX({"URGENTE"},MATCH(TRUE,ISNUMBER(FIND(SUBSTITUTE(SUBSTITUTE(UPPER({"URGENTE"})," ",""),":",": "),SUBSTITUTE(SUBSTITUTE(UPPER(S2385)," ",""),":",": "))),0)),"-")</f>
        <v>-</v>
      </c>
      <c r="C2385" s="46" t="str" cm="1">
        <f t="array" ref="C2385">IFERROR(INDEX(#REF!,MATCH(TRUE,ISNUMBER(FIND(SUBSTITUTE(SUBSTITUTE(UPPER(#REF!)," ",""),":",": "),SUBSTITUTE(SUBSTITUTE(UPPER(S2385)," ",""),":",": "))),0)),"Não encontrado")</f>
        <v>Não encontrado</v>
      </c>
      <c r="D2385" s="46" t="str" cm="1">
        <f t="array" ref="D2385">IFERROR(INDEX(#REF!,MATCH(TRUE,ISNUMBER(FIND(SUBSTITUTE(SUBSTITUTE(UPPER(#REF!)," ",""),":",": "),SUBSTITUTE(SUBSTITUTE(UPPER(S2385)," ",""),":",": "))),0)),"Não encontrado")</f>
        <v>Não encontrado</v>
      </c>
      <c r="E2385" s="42" t="str" cm="1">
        <f t="array" ref="E2385">IFERROR(INDEX({"IMPEDITIVO"},MATCH(TRUE,ISNUMBER(FIND(SUBSTITUTE(SUBSTITUTE(UPPER({"IMPEDITIVO"})," ",""),":",": "),SUBSTITUTE(SUBSTITUTE(UPPER(S2385)," ",""),":",": "))),0)),"-")</f>
        <v>-</v>
      </c>
      <c r="K2385" s="49"/>
    </row>
    <row r="2386" spans="1:11" x14ac:dyDescent="0.25">
      <c r="A2386" s="46" t="str" cm="1">
        <f t="array" ref="A2386">IFERROR(INDEX(#REF!,MATCH(TRUE,ISNUMBER(FIND(SUBSTITUTE(SUBSTITUTE(UPPER(#REF!)," ",""),":",": "),SUBSTITUTE(SUBSTITUTE(UPPER(S2386)," ",""),":",": "))),0)),"Undefined")</f>
        <v>Undefined</v>
      </c>
      <c r="B2386" s="42" t="str" cm="1">
        <f t="array" ref="B2386">IFERROR(INDEX({"URGENTE"},MATCH(TRUE,ISNUMBER(FIND(SUBSTITUTE(SUBSTITUTE(UPPER({"URGENTE"})," ",""),":",": "),SUBSTITUTE(SUBSTITUTE(UPPER(S2386)," ",""),":",": "))),0)),"-")</f>
        <v>-</v>
      </c>
      <c r="C2386" s="46" t="str" cm="1">
        <f t="array" ref="C2386">IFERROR(INDEX(#REF!,MATCH(TRUE,ISNUMBER(FIND(SUBSTITUTE(SUBSTITUTE(UPPER(#REF!)," ",""),":",": "),SUBSTITUTE(SUBSTITUTE(UPPER(S2386)," ",""),":",": "))),0)),"Não encontrado")</f>
        <v>Não encontrado</v>
      </c>
      <c r="D2386" s="46" t="str" cm="1">
        <f t="array" ref="D2386">IFERROR(INDEX(#REF!,MATCH(TRUE,ISNUMBER(FIND(SUBSTITUTE(SUBSTITUTE(UPPER(#REF!)," ",""),":",": "),SUBSTITUTE(SUBSTITUTE(UPPER(S2386)," ",""),":",": "))),0)),"Não encontrado")</f>
        <v>Não encontrado</v>
      </c>
      <c r="E2386" s="42" t="str" cm="1">
        <f t="array" ref="E2386">IFERROR(INDEX({"IMPEDITIVO"},MATCH(TRUE,ISNUMBER(FIND(SUBSTITUTE(SUBSTITUTE(UPPER({"IMPEDITIVO"})," ",""),":",": "),SUBSTITUTE(SUBSTITUTE(UPPER(S2386)," ",""),":",": "))),0)),"-")</f>
        <v>-</v>
      </c>
      <c r="K2386" s="49"/>
    </row>
    <row r="2387" spans="1:11" x14ac:dyDescent="0.25">
      <c r="A2387" s="46" t="str" cm="1">
        <f t="array" ref="A2387">IFERROR(INDEX(#REF!,MATCH(TRUE,ISNUMBER(FIND(SUBSTITUTE(SUBSTITUTE(UPPER(#REF!)," ",""),":",": "),SUBSTITUTE(SUBSTITUTE(UPPER(S2387)," ",""),":",": "))),0)),"Undefined")</f>
        <v>Undefined</v>
      </c>
      <c r="B2387" s="42" t="str" cm="1">
        <f t="array" ref="B2387">IFERROR(INDEX({"URGENTE"},MATCH(TRUE,ISNUMBER(FIND(SUBSTITUTE(SUBSTITUTE(UPPER({"URGENTE"})," ",""),":",": "),SUBSTITUTE(SUBSTITUTE(UPPER(S2387)," ",""),":",": "))),0)),"-")</f>
        <v>-</v>
      </c>
      <c r="C2387" s="46" t="str" cm="1">
        <f t="array" ref="C2387">IFERROR(INDEX(#REF!,MATCH(TRUE,ISNUMBER(FIND(SUBSTITUTE(SUBSTITUTE(UPPER(#REF!)," ",""),":",": "),SUBSTITUTE(SUBSTITUTE(UPPER(S2387)," ",""),":",": "))),0)),"Não encontrado")</f>
        <v>Não encontrado</v>
      </c>
      <c r="D2387" s="46" t="str" cm="1">
        <f t="array" ref="D2387">IFERROR(INDEX(#REF!,MATCH(TRUE,ISNUMBER(FIND(SUBSTITUTE(SUBSTITUTE(UPPER(#REF!)," ",""),":",": "),SUBSTITUTE(SUBSTITUTE(UPPER(S2387)," ",""),":",": "))),0)),"Não encontrado")</f>
        <v>Não encontrado</v>
      </c>
      <c r="E2387" s="42" t="str" cm="1">
        <f t="array" ref="E2387">IFERROR(INDEX({"IMPEDITIVO"},MATCH(TRUE,ISNUMBER(FIND(SUBSTITUTE(SUBSTITUTE(UPPER({"IMPEDITIVO"})," ",""),":",": "),SUBSTITUTE(SUBSTITUTE(UPPER(S2387)," ",""),":",": "))),0)),"-")</f>
        <v>-</v>
      </c>
      <c r="K2387" s="49"/>
    </row>
    <row r="2388" spans="1:11" x14ac:dyDescent="0.25">
      <c r="A2388" s="46" t="str" cm="1">
        <f t="array" ref="A2388">IFERROR(INDEX(#REF!,MATCH(TRUE,ISNUMBER(FIND(SUBSTITUTE(SUBSTITUTE(UPPER(#REF!)," ",""),":",": "),SUBSTITUTE(SUBSTITUTE(UPPER(S2388)," ",""),":",": "))),0)),"Undefined")</f>
        <v>Undefined</v>
      </c>
      <c r="B2388" s="42" t="str" cm="1">
        <f t="array" ref="B2388">IFERROR(INDEX({"URGENTE"},MATCH(TRUE,ISNUMBER(FIND(SUBSTITUTE(SUBSTITUTE(UPPER({"URGENTE"})," ",""),":",": "),SUBSTITUTE(SUBSTITUTE(UPPER(S2388)," ",""),":",": "))),0)),"-")</f>
        <v>-</v>
      </c>
      <c r="C2388" s="46" t="str" cm="1">
        <f t="array" ref="C2388">IFERROR(INDEX(#REF!,MATCH(TRUE,ISNUMBER(FIND(SUBSTITUTE(SUBSTITUTE(UPPER(#REF!)," ",""),":",": "),SUBSTITUTE(SUBSTITUTE(UPPER(S2388)," ",""),":",": "))),0)),"Não encontrado")</f>
        <v>Não encontrado</v>
      </c>
      <c r="D2388" s="46" t="str" cm="1">
        <f t="array" ref="D2388">IFERROR(INDEX(#REF!,MATCH(TRUE,ISNUMBER(FIND(SUBSTITUTE(SUBSTITUTE(UPPER(#REF!)," ",""),":",": "),SUBSTITUTE(SUBSTITUTE(UPPER(S2388)," ",""),":",": "))),0)),"Não encontrado")</f>
        <v>Não encontrado</v>
      </c>
      <c r="E2388" s="42" t="str" cm="1">
        <f t="array" ref="E2388">IFERROR(INDEX({"IMPEDITIVO"},MATCH(TRUE,ISNUMBER(FIND(SUBSTITUTE(SUBSTITUTE(UPPER({"IMPEDITIVO"})," ",""),":",": "),SUBSTITUTE(SUBSTITUTE(UPPER(S2388)," ",""),":",": "))),0)),"-")</f>
        <v>-</v>
      </c>
      <c r="K2388" s="49"/>
    </row>
    <row r="2389" spans="1:11" x14ac:dyDescent="0.25">
      <c r="A2389" s="46" t="str" cm="1">
        <f t="array" ref="A2389">IFERROR(INDEX(#REF!,MATCH(TRUE,ISNUMBER(FIND(SUBSTITUTE(SUBSTITUTE(UPPER(#REF!)," ",""),":",": "),SUBSTITUTE(SUBSTITUTE(UPPER(S2389)," ",""),":",": "))),0)),"Undefined")</f>
        <v>Undefined</v>
      </c>
      <c r="B2389" s="42" t="str" cm="1">
        <f t="array" ref="B2389">IFERROR(INDEX({"URGENTE"},MATCH(TRUE,ISNUMBER(FIND(SUBSTITUTE(SUBSTITUTE(UPPER({"URGENTE"})," ",""),":",": "),SUBSTITUTE(SUBSTITUTE(UPPER(S2389)," ",""),":",": "))),0)),"-")</f>
        <v>-</v>
      </c>
      <c r="C2389" s="46" t="str" cm="1">
        <f t="array" ref="C2389">IFERROR(INDEX(#REF!,MATCH(TRUE,ISNUMBER(FIND(SUBSTITUTE(SUBSTITUTE(UPPER(#REF!)," ",""),":",": "),SUBSTITUTE(SUBSTITUTE(UPPER(S2389)," ",""),":",": "))),0)),"Não encontrado")</f>
        <v>Não encontrado</v>
      </c>
      <c r="D2389" s="46" t="str" cm="1">
        <f t="array" ref="D2389">IFERROR(INDEX(#REF!,MATCH(TRUE,ISNUMBER(FIND(SUBSTITUTE(SUBSTITUTE(UPPER(#REF!)," ",""),":",": "),SUBSTITUTE(SUBSTITUTE(UPPER(S2389)," ",""),":",": "))),0)),"Não encontrado")</f>
        <v>Não encontrado</v>
      </c>
      <c r="E2389" s="42" t="str" cm="1">
        <f t="array" ref="E2389">IFERROR(INDEX({"IMPEDITIVO"},MATCH(TRUE,ISNUMBER(FIND(SUBSTITUTE(SUBSTITUTE(UPPER({"IMPEDITIVO"})," ",""),":",": "),SUBSTITUTE(SUBSTITUTE(UPPER(S2389)," ",""),":",": "))),0)),"-")</f>
        <v>-</v>
      </c>
      <c r="K2389" s="49"/>
    </row>
    <row r="2390" spans="1:11" x14ac:dyDescent="0.25">
      <c r="A2390" s="46" t="str" cm="1">
        <f t="array" ref="A2390">IFERROR(INDEX(#REF!,MATCH(TRUE,ISNUMBER(FIND(SUBSTITUTE(SUBSTITUTE(UPPER(#REF!)," ",""),":",": "),SUBSTITUTE(SUBSTITUTE(UPPER(S2390)," ",""),":",": "))),0)),"Undefined")</f>
        <v>Undefined</v>
      </c>
      <c r="B2390" s="42" t="str" cm="1">
        <f t="array" ref="B2390">IFERROR(INDEX({"URGENTE"},MATCH(TRUE,ISNUMBER(FIND(SUBSTITUTE(SUBSTITUTE(UPPER({"URGENTE"})," ",""),":",": "),SUBSTITUTE(SUBSTITUTE(UPPER(S2390)," ",""),":",": "))),0)),"-")</f>
        <v>-</v>
      </c>
      <c r="C2390" s="46" t="str" cm="1">
        <f t="array" ref="C2390">IFERROR(INDEX(#REF!,MATCH(TRUE,ISNUMBER(FIND(SUBSTITUTE(SUBSTITUTE(UPPER(#REF!)," ",""),":",": "),SUBSTITUTE(SUBSTITUTE(UPPER(S2390)," ",""),":",": "))),0)),"Não encontrado")</f>
        <v>Não encontrado</v>
      </c>
      <c r="D2390" s="46" t="str" cm="1">
        <f t="array" ref="D2390">IFERROR(INDEX(#REF!,MATCH(TRUE,ISNUMBER(FIND(SUBSTITUTE(SUBSTITUTE(UPPER(#REF!)," ",""),":",": "),SUBSTITUTE(SUBSTITUTE(UPPER(S2390)," ",""),":",": "))),0)),"Não encontrado")</f>
        <v>Não encontrado</v>
      </c>
      <c r="E2390" s="42" t="str" cm="1">
        <f t="array" ref="E2390">IFERROR(INDEX({"IMPEDITIVO"},MATCH(TRUE,ISNUMBER(FIND(SUBSTITUTE(SUBSTITUTE(UPPER({"IMPEDITIVO"})," ",""),":",": "),SUBSTITUTE(SUBSTITUTE(UPPER(S2390)," ",""),":",": "))),0)),"-")</f>
        <v>-</v>
      </c>
      <c r="K2390" s="49"/>
    </row>
    <row r="2391" spans="1:11" x14ac:dyDescent="0.25">
      <c r="A2391" s="46" t="str" cm="1">
        <f t="array" ref="A2391">IFERROR(INDEX(#REF!,MATCH(TRUE,ISNUMBER(FIND(SUBSTITUTE(SUBSTITUTE(UPPER(#REF!)," ",""),":",": "),SUBSTITUTE(SUBSTITUTE(UPPER(S2391)," ",""),":",": "))),0)),"Undefined")</f>
        <v>Undefined</v>
      </c>
      <c r="B2391" s="42" t="str" cm="1">
        <f t="array" ref="B2391">IFERROR(INDEX({"URGENTE"},MATCH(TRUE,ISNUMBER(FIND(SUBSTITUTE(SUBSTITUTE(UPPER({"URGENTE"})," ",""),":",": "),SUBSTITUTE(SUBSTITUTE(UPPER(S2391)," ",""),":",": "))),0)),"-")</f>
        <v>-</v>
      </c>
      <c r="C2391" s="46" t="str" cm="1">
        <f t="array" ref="C2391">IFERROR(INDEX(#REF!,MATCH(TRUE,ISNUMBER(FIND(SUBSTITUTE(SUBSTITUTE(UPPER(#REF!)," ",""),":",": "),SUBSTITUTE(SUBSTITUTE(UPPER(S2391)," ",""),":",": "))),0)),"Não encontrado")</f>
        <v>Não encontrado</v>
      </c>
      <c r="D2391" s="46" t="str" cm="1">
        <f t="array" ref="D2391">IFERROR(INDEX(#REF!,MATCH(TRUE,ISNUMBER(FIND(SUBSTITUTE(SUBSTITUTE(UPPER(#REF!)," ",""),":",": "),SUBSTITUTE(SUBSTITUTE(UPPER(S2391)," ",""),":",": "))),0)),"Não encontrado")</f>
        <v>Não encontrado</v>
      </c>
      <c r="E2391" s="42" t="str" cm="1">
        <f t="array" ref="E2391">IFERROR(INDEX({"IMPEDITIVO"},MATCH(TRUE,ISNUMBER(FIND(SUBSTITUTE(SUBSTITUTE(UPPER({"IMPEDITIVO"})," ",""),":",": "),SUBSTITUTE(SUBSTITUTE(UPPER(S2391)," ",""),":",": "))),0)),"-")</f>
        <v>-</v>
      </c>
      <c r="K2391" s="49"/>
    </row>
    <row r="2392" spans="1:11" x14ac:dyDescent="0.25">
      <c r="A2392" s="46" t="str" cm="1">
        <f t="array" ref="A2392">IFERROR(INDEX(#REF!,MATCH(TRUE,ISNUMBER(FIND(SUBSTITUTE(SUBSTITUTE(UPPER(#REF!)," ",""),":",": "),SUBSTITUTE(SUBSTITUTE(UPPER(S2392)," ",""),":",": "))),0)),"Undefined")</f>
        <v>Undefined</v>
      </c>
      <c r="B2392" s="42" t="str" cm="1">
        <f t="array" ref="B2392">IFERROR(INDEX({"URGENTE"},MATCH(TRUE,ISNUMBER(FIND(SUBSTITUTE(SUBSTITUTE(UPPER({"URGENTE"})," ",""),":",": "),SUBSTITUTE(SUBSTITUTE(UPPER(S2392)," ",""),":",": "))),0)),"-")</f>
        <v>-</v>
      </c>
      <c r="C2392" s="46" t="str" cm="1">
        <f t="array" ref="C2392">IFERROR(INDEX(#REF!,MATCH(TRUE,ISNUMBER(FIND(SUBSTITUTE(SUBSTITUTE(UPPER(#REF!)," ",""),":",": "),SUBSTITUTE(SUBSTITUTE(UPPER(S2392)," ",""),":",": "))),0)),"Não encontrado")</f>
        <v>Não encontrado</v>
      </c>
      <c r="D2392" s="46" t="str" cm="1">
        <f t="array" ref="D2392">IFERROR(INDEX(#REF!,MATCH(TRUE,ISNUMBER(FIND(SUBSTITUTE(SUBSTITUTE(UPPER(#REF!)," ",""),":",": "),SUBSTITUTE(SUBSTITUTE(UPPER(S2392)," ",""),":",": "))),0)),"Não encontrado")</f>
        <v>Não encontrado</v>
      </c>
      <c r="E2392" s="42" t="str" cm="1">
        <f t="array" ref="E2392">IFERROR(INDEX({"IMPEDITIVO"},MATCH(TRUE,ISNUMBER(FIND(SUBSTITUTE(SUBSTITUTE(UPPER({"IMPEDITIVO"})," ",""),":",": "),SUBSTITUTE(SUBSTITUTE(UPPER(S2392)," ",""),":",": "))),0)),"-")</f>
        <v>-</v>
      </c>
      <c r="K2392" s="49"/>
    </row>
    <row r="2393" spans="1:11" x14ac:dyDescent="0.25">
      <c r="A2393" s="46" t="str" cm="1">
        <f t="array" ref="A2393">IFERROR(INDEX(#REF!,MATCH(TRUE,ISNUMBER(FIND(SUBSTITUTE(SUBSTITUTE(UPPER(#REF!)," ",""),":",": "),SUBSTITUTE(SUBSTITUTE(UPPER(S2393)," ",""),":",": "))),0)),"Undefined")</f>
        <v>Undefined</v>
      </c>
      <c r="B2393" s="42" t="str" cm="1">
        <f t="array" ref="B2393">IFERROR(INDEX({"URGENTE"},MATCH(TRUE,ISNUMBER(FIND(SUBSTITUTE(SUBSTITUTE(UPPER({"URGENTE"})," ",""),":",": "),SUBSTITUTE(SUBSTITUTE(UPPER(S2393)," ",""),":",": "))),0)),"-")</f>
        <v>-</v>
      </c>
      <c r="C2393" s="46" t="str" cm="1">
        <f t="array" ref="C2393">IFERROR(INDEX(#REF!,MATCH(TRUE,ISNUMBER(FIND(SUBSTITUTE(SUBSTITUTE(UPPER(#REF!)," ",""),":",": "),SUBSTITUTE(SUBSTITUTE(UPPER(S2393)," ",""),":",": "))),0)),"Não encontrado")</f>
        <v>Não encontrado</v>
      </c>
      <c r="D2393" s="46" t="str" cm="1">
        <f t="array" ref="D2393">IFERROR(INDEX(#REF!,MATCH(TRUE,ISNUMBER(FIND(SUBSTITUTE(SUBSTITUTE(UPPER(#REF!)," ",""),":",": "),SUBSTITUTE(SUBSTITUTE(UPPER(S2393)," ",""),":",": "))),0)),"Não encontrado")</f>
        <v>Não encontrado</v>
      </c>
      <c r="E2393" s="42" t="str" cm="1">
        <f t="array" ref="E2393">IFERROR(INDEX({"IMPEDITIVO"},MATCH(TRUE,ISNUMBER(FIND(SUBSTITUTE(SUBSTITUTE(UPPER({"IMPEDITIVO"})," ",""),":",": "),SUBSTITUTE(SUBSTITUTE(UPPER(S2393)," ",""),":",": "))),0)),"-")</f>
        <v>-</v>
      </c>
      <c r="K2393" s="49"/>
    </row>
    <row r="2394" spans="1:11" x14ac:dyDescent="0.25">
      <c r="A2394" s="46" t="str" cm="1">
        <f t="array" ref="A2394">IFERROR(INDEX(#REF!,MATCH(TRUE,ISNUMBER(FIND(SUBSTITUTE(SUBSTITUTE(UPPER(#REF!)," ",""),":",": "),SUBSTITUTE(SUBSTITUTE(UPPER(S2394)," ",""),":",": "))),0)),"Undefined")</f>
        <v>Undefined</v>
      </c>
      <c r="B2394" s="42" t="str" cm="1">
        <f t="array" ref="B2394">IFERROR(INDEX({"URGENTE"},MATCH(TRUE,ISNUMBER(FIND(SUBSTITUTE(SUBSTITUTE(UPPER({"URGENTE"})," ",""),":",": "),SUBSTITUTE(SUBSTITUTE(UPPER(S2394)," ",""),":",": "))),0)),"-")</f>
        <v>-</v>
      </c>
      <c r="C2394" s="46" t="str" cm="1">
        <f t="array" ref="C2394">IFERROR(INDEX(#REF!,MATCH(TRUE,ISNUMBER(FIND(SUBSTITUTE(SUBSTITUTE(UPPER(#REF!)," ",""),":",": "),SUBSTITUTE(SUBSTITUTE(UPPER(S2394)," ",""),":",": "))),0)),"Não encontrado")</f>
        <v>Não encontrado</v>
      </c>
      <c r="D2394" s="46" t="str" cm="1">
        <f t="array" ref="D2394">IFERROR(INDEX(#REF!,MATCH(TRUE,ISNUMBER(FIND(SUBSTITUTE(SUBSTITUTE(UPPER(#REF!)," ",""),":",": "),SUBSTITUTE(SUBSTITUTE(UPPER(S2394)," ",""),":",": "))),0)),"Não encontrado")</f>
        <v>Não encontrado</v>
      </c>
      <c r="E2394" s="42" t="str" cm="1">
        <f t="array" ref="E2394">IFERROR(INDEX({"IMPEDITIVO"},MATCH(TRUE,ISNUMBER(FIND(SUBSTITUTE(SUBSTITUTE(UPPER({"IMPEDITIVO"})," ",""),":",": "),SUBSTITUTE(SUBSTITUTE(UPPER(S2394)," ",""),":",": "))),0)),"-")</f>
        <v>-</v>
      </c>
      <c r="K2394" s="49"/>
    </row>
    <row r="2395" spans="1:11" x14ac:dyDescent="0.25">
      <c r="A2395" s="46" t="str" cm="1">
        <f t="array" ref="A2395">IFERROR(INDEX(#REF!,MATCH(TRUE,ISNUMBER(FIND(SUBSTITUTE(SUBSTITUTE(UPPER(#REF!)," ",""),":",": "),SUBSTITUTE(SUBSTITUTE(UPPER(S2395)," ",""),":",": "))),0)),"Undefined")</f>
        <v>Undefined</v>
      </c>
      <c r="B2395" s="42" t="str" cm="1">
        <f t="array" ref="B2395">IFERROR(INDEX({"URGENTE"},MATCH(TRUE,ISNUMBER(FIND(SUBSTITUTE(SUBSTITUTE(UPPER({"URGENTE"})," ",""),":",": "),SUBSTITUTE(SUBSTITUTE(UPPER(S2395)," ",""),":",": "))),0)),"-")</f>
        <v>-</v>
      </c>
      <c r="C2395" s="46" t="str" cm="1">
        <f t="array" ref="C2395">IFERROR(INDEX(#REF!,MATCH(TRUE,ISNUMBER(FIND(SUBSTITUTE(SUBSTITUTE(UPPER(#REF!)," ",""),":",": "),SUBSTITUTE(SUBSTITUTE(UPPER(S2395)," ",""),":",": "))),0)),"Não encontrado")</f>
        <v>Não encontrado</v>
      </c>
      <c r="D2395" s="46" t="str" cm="1">
        <f t="array" ref="D2395">IFERROR(INDEX(#REF!,MATCH(TRUE,ISNUMBER(FIND(SUBSTITUTE(SUBSTITUTE(UPPER(#REF!)," ",""),":",": "),SUBSTITUTE(SUBSTITUTE(UPPER(S2395)," ",""),":",": "))),0)),"Não encontrado")</f>
        <v>Não encontrado</v>
      </c>
      <c r="E2395" s="42" t="str" cm="1">
        <f t="array" ref="E2395">IFERROR(INDEX({"IMPEDITIVO"},MATCH(TRUE,ISNUMBER(FIND(SUBSTITUTE(SUBSTITUTE(UPPER({"IMPEDITIVO"})," ",""),":",": "),SUBSTITUTE(SUBSTITUTE(UPPER(S2395)," ",""),":",": "))),0)),"-")</f>
        <v>-</v>
      </c>
      <c r="K2395" s="49"/>
    </row>
    <row r="2396" spans="1:11" x14ac:dyDescent="0.25">
      <c r="A2396" s="46" t="str" cm="1">
        <f t="array" ref="A2396">IFERROR(INDEX(#REF!,MATCH(TRUE,ISNUMBER(FIND(SUBSTITUTE(SUBSTITUTE(UPPER(#REF!)," ",""),":",": "),SUBSTITUTE(SUBSTITUTE(UPPER(S2396)," ",""),":",": "))),0)),"Undefined")</f>
        <v>Undefined</v>
      </c>
      <c r="B2396" s="42" t="str" cm="1">
        <f t="array" ref="B2396">IFERROR(INDEX({"URGENTE"},MATCH(TRUE,ISNUMBER(FIND(SUBSTITUTE(SUBSTITUTE(UPPER({"URGENTE"})," ",""),":",": "),SUBSTITUTE(SUBSTITUTE(UPPER(S2396)," ",""),":",": "))),0)),"-")</f>
        <v>-</v>
      </c>
      <c r="C2396" s="46" t="str" cm="1">
        <f t="array" ref="C2396">IFERROR(INDEX(#REF!,MATCH(TRUE,ISNUMBER(FIND(SUBSTITUTE(SUBSTITUTE(UPPER(#REF!)," ",""),":",": "),SUBSTITUTE(SUBSTITUTE(UPPER(S2396)," ",""),":",": "))),0)),"Não encontrado")</f>
        <v>Não encontrado</v>
      </c>
      <c r="D2396" s="46" t="str" cm="1">
        <f t="array" ref="D2396">IFERROR(INDEX(#REF!,MATCH(TRUE,ISNUMBER(FIND(SUBSTITUTE(SUBSTITUTE(UPPER(#REF!)," ",""),":",": "),SUBSTITUTE(SUBSTITUTE(UPPER(S2396)," ",""),":",": "))),0)),"Não encontrado")</f>
        <v>Não encontrado</v>
      </c>
      <c r="E2396" s="42" t="str" cm="1">
        <f t="array" ref="E2396">IFERROR(INDEX({"IMPEDITIVO"},MATCH(TRUE,ISNUMBER(FIND(SUBSTITUTE(SUBSTITUTE(UPPER({"IMPEDITIVO"})," ",""),":",": "),SUBSTITUTE(SUBSTITUTE(UPPER(S2396)," ",""),":",": "))),0)),"-")</f>
        <v>-</v>
      </c>
      <c r="K2396" s="49"/>
    </row>
    <row r="2397" spans="1:11" x14ac:dyDescent="0.25">
      <c r="A2397" s="46" t="str" cm="1">
        <f t="array" ref="A2397">IFERROR(INDEX(#REF!,MATCH(TRUE,ISNUMBER(FIND(SUBSTITUTE(SUBSTITUTE(UPPER(#REF!)," ",""),":",": "),SUBSTITUTE(SUBSTITUTE(UPPER(S2397)," ",""),":",": "))),0)),"Undefined")</f>
        <v>Undefined</v>
      </c>
      <c r="B2397" s="42" t="str" cm="1">
        <f t="array" ref="B2397">IFERROR(INDEX({"URGENTE"},MATCH(TRUE,ISNUMBER(FIND(SUBSTITUTE(SUBSTITUTE(UPPER({"URGENTE"})," ",""),":",": "),SUBSTITUTE(SUBSTITUTE(UPPER(S2397)," ",""),":",": "))),0)),"-")</f>
        <v>-</v>
      </c>
      <c r="C2397" s="46" t="str" cm="1">
        <f t="array" ref="C2397">IFERROR(INDEX(#REF!,MATCH(TRUE,ISNUMBER(FIND(SUBSTITUTE(SUBSTITUTE(UPPER(#REF!)," ",""),":",": "),SUBSTITUTE(SUBSTITUTE(UPPER(S2397)," ",""),":",": "))),0)),"Não encontrado")</f>
        <v>Não encontrado</v>
      </c>
      <c r="D2397" s="46" t="str" cm="1">
        <f t="array" ref="D2397">IFERROR(INDEX(#REF!,MATCH(TRUE,ISNUMBER(FIND(SUBSTITUTE(SUBSTITUTE(UPPER(#REF!)," ",""),":",": "),SUBSTITUTE(SUBSTITUTE(UPPER(S2397)," ",""),":",": "))),0)),"Não encontrado")</f>
        <v>Não encontrado</v>
      </c>
      <c r="E2397" s="42" t="str" cm="1">
        <f t="array" ref="E2397">IFERROR(INDEX({"IMPEDITIVO"},MATCH(TRUE,ISNUMBER(FIND(SUBSTITUTE(SUBSTITUTE(UPPER({"IMPEDITIVO"})," ",""),":",": "),SUBSTITUTE(SUBSTITUTE(UPPER(S2397)," ",""),":",": "))),0)),"-")</f>
        <v>-</v>
      </c>
      <c r="K2397" s="49"/>
    </row>
    <row r="2398" spans="1:11" x14ac:dyDescent="0.25">
      <c r="A2398" s="46" t="str" cm="1">
        <f t="array" ref="A2398">IFERROR(INDEX(#REF!,MATCH(TRUE,ISNUMBER(FIND(SUBSTITUTE(SUBSTITUTE(UPPER(#REF!)," ",""),":",": "),SUBSTITUTE(SUBSTITUTE(UPPER(S2398)," ",""),":",": "))),0)),"Undefined")</f>
        <v>Undefined</v>
      </c>
      <c r="B2398" s="42" t="str" cm="1">
        <f t="array" ref="B2398">IFERROR(INDEX({"URGENTE"},MATCH(TRUE,ISNUMBER(FIND(SUBSTITUTE(SUBSTITUTE(UPPER({"URGENTE"})," ",""),":",": "),SUBSTITUTE(SUBSTITUTE(UPPER(S2398)," ",""),":",": "))),0)),"-")</f>
        <v>-</v>
      </c>
      <c r="C2398" s="46" t="str" cm="1">
        <f t="array" ref="C2398">IFERROR(INDEX(#REF!,MATCH(TRUE,ISNUMBER(FIND(SUBSTITUTE(SUBSTITUTE(UPPER(#REF!)," ",""),":",": "),SUBSTITUTE(SUBSTITUTE(UPPER(S2398)," ",""),":",": "))),0)),"Não encontrado")</f>
        <v>Não encontrado</v>
      </c>
      <c r="D2398" s="46" t="str" cm="1">
        <f t="array" ref="D2398">IFERROR(INDEX(#REF!,MATCH(TRUE,ISNUMBER(FIND(SUBSTITUTE(SUBSTITUTE(UPPER(#REF!)," ",""),":",": "),SUBSTITUTE(SUBSTITUTE(UPPER(S2398)," ",""),":",": "))),0)),"Não encontrado")</f>
        <v>Não encontrado</v>
      </c>
      <c r="E2398" s="42" t="str" cm="1">
        <f t="array" ref="E2398">IFERROR(INDEX({"IMPEDITIVO"},MATCH(TRUE,ISNUMBER(FIND(SUBSTITUTE(SUBSTITUTE(UPPER({"IMPEDITIVO"})," ",""),":",": "),SUBSTITUTE(SUBSTITUTE(UPPER(S2398)," ",""),":",": "))),0)),"-")</f>
        <v>-</v>
      </c>
      <c r="K2398" s="49"/>
    </row>
    <row r="2399" spans="1:11" x14ac:dyDescent="0.25">
      <c r="A2399" s="46" t="str" cm="1">
        <f t="array" ref="A2399">IFERROR(INDEX(#REF!,MATCH(TRUE,ISNUMBER(FIND(SUBSTITUTE(SUBSTITUTE(UPPER(#REF!)," ",""),":",": "),SUBSTITUTE(SUBSTITUTE(UPPER(S2399)," ",""),":",": "))),0)),"Undefined")</f>
        <v>Undefined</v>
      </c>
      <c r="B2399" s="42" t="str" cm="1">
        <f t="array" ref="B2399">IFERROR(INDEX({"URGENTE"},MATCH(TRUE,ISNUMBER(FIND(SUBSTITUTE(SUBSTITUTE(UPPER({"URGENTE"})," ",""),":",": "),SUBSTITUTE(SUBSTITUTE(UPPER(S2399)," ",""),":",": "))),0)),"-")</f>
        <v>-</v>
      </c>
      <c r="C2399" s="46" t="str" cm="1">
        <f t="array" ref="C2399">IFERROR(INDEX(#REF!,MATCH(TRUE,ISNUMBER(FIND(SUBSTITUTE(SUBSTITUTE(UPPER(#REF!)," ",""),":",": "),SUBSTITUTE(SUBSTITUTE(UPPER(S2399)," ",""),":",": "))),0)),"Não encontrado")</f>
        <v>Não encontrado</v>
      </c>
      <c r="D2399" s="46" t="str" cm="1">
        <f t="array" ref="D2399">IFERROR(INDEX(#REF!,MATCH(TRUE,ISNUMBER(FIND(SUBSTITUTE(SUBSTITUTE(UPPER(#REF!)," ",""),":",": "),SUBSTITUTE(SUBSTITUTE(UPPER(S2399)," ",""),":",": "))),0)),"Não encontrado")</f>
        <v>Não encontrado</v>
      </c>
      <c r="E2399" s="42" t="str" cm="1">
        <f t="array" ref="E2399">IFERROR(INDEX({"IMPEDITIVO"},MATCH(TRUE,ISNUMBER(FIND(SUBSTITUTE(SUBSTITUTE(UPPER({"IMPEDITIVO"})," ",""),":",": "),SUBSTITUTE(SUBSTITUTE(UPPER(S2399)," ",""),":",": "))),0)),"-")</f>
        <v>-</v>
      </c>
      <c r="K2399" s="49"/>
    </row>
    <row r="2400" spans="1:11" x14ac:dyDescent="0.25">
      <c r="A2400" s="46" t="str" cm="1">
        <f t="array" ref="A2400">IFERROR(INDEX(#REF!,MATCH(TRUE,ISNUMBER(FIND(SUBSTITUTE(SUBSTITUTE(UPPER(#REF!)," ",""),":",": "),SUBSTITUTE(SUBSTITUTE(UPPER(S2400)," ",""),":",": "))),0)),"Undefined")</f>
        <v>Undefined</v>
      </c>
      <c r="B2400" s="42" t="str" cm="1">
        <f t="array" ref="B2400">IFERROR(INDEX({"URGENTE"},MATCH(TRUE,ISNUMBER(FIND(SUBSTITUTE(SUBSTITUTE(UPPER({"URGENTE"})," ",""),":",": "),SUBSTITUTE(SUBSTITUTE(UPPER(S2400)," ",""),":",": "))),0)),"-")</f>
        <v>-</v>
      </c>
      <c r="C2400" s="46" t="str" cm="1">
        <f t="array" ref="C2400">IFERROR(INDEX(#REF!,MATCH(TRUE,ISNUMBER(FIND(SUBSTITUTE(SUBSTITUTE(UPPER(#REF!)," ",""),":",": "),SUBSTITUTE(SUBSTITUTE(UPPER(S2400)," ",""),":",": "))),0)),"Não encontrado")</f>
        <v>Não encontrado</v>
      </c>
      <c r="D2400" s="46" t="str" cm="1">
        <f t="array" ref="D2400">IFERROR(INDEX(#REF!,MATCH(TRUE,ISNUMBER(FIND(SUBSTITUTE(SUBSTITUTE(UPPER(#REF!)," ",""),":",": "),SUBSTITUTE(SUBSTITUTE(UPPER(S2400)," ",""),":",": "))),0)),"Não encontrado")</f>
        <v>Não encontrado</v>
      </c>
      <c r="E2400" s="42" t="str" cm="1">
        <f t="array" ref="E2400">IFERROR(INDEX({"IMPEDITIVO"},MATCH(TRUE,ISNUMBER(FIND(SUBSTITUTE(SUBSTITUTE(UPPER({"IMPEDITIVO"})," ",""),":",": "),SUBSTITUTE(SUBSTITUTE(UPPER(S2400)," ",""),":",": "))),0)),"-")</f>
        <v>-</v>
      </c>
      <c r="K2400" s="49"/>
    </row>
    <row r="2401" spans="1:11" x14ac:dyDescent="0.25">
      <c r="A2401" s="46" t="str" cm="1">
        <f t="array" ref="A2401">IFERROR(INDEX(#REF!,MATCH(TRUE,ISNUMBER(FIND(SUBSTITUTE(SUBSTITUTE(UPPER(#REF!)," ",""),":",": "),SUBSTITUTE(SUBSTITUTE(UPPER(S2401)," ",""),":",": "))),0)),"Undefined")</f>
        <v>Undefined</v>
      </c>
      <c r="B2401" s="42" t="str" cm="1">
        <f t="array" ref="B2401">IFERROR(INDEX({"URGENTE"},MATCH(TRUE,ISNUMBER(FIND(SUBSTITUTE(SUBSTITUTE(UPPER({"URGENTE"})," ",""),":",": "),SUBSTITUTE(SUBSTITUTE(UPPER(S2401)," ",""),":",": "))),0)),"-")</f>
        <v>-</v>
      </c>
      <c r="C2401" s="46" t="str" cm="1">
        <f t="array" ref="C2401">IFERROR(INDEX(#REF!,MATCH(TRUE,ISNUMBER(FIND(SUBSTITUTE(SUBSTITUTE(UPPER(#REF!)," ",""),":",": "),SUBSTITUTE(SUBSTITUTE(UPPER(S2401)," ",""),":",": "))),0)),"Não encontrado")</f>
        <v>Não encontrado</v>
      </c>
      <c r="D2401" s="46" t="str" cm="1">
        <f t="array" ref="D2401">IFERROR(INDEX(#REF!,MATCH(TRUE,ISNUMBER(FIND(SUBSTITUTE(SUBSTITUTE(UPPER(#REF!)," ",""),":",": "),SUBSTITUTE(SUBSTITUTE(UPPER(S2401)," ",""),":",": "))),0)),"Não encontrado")</f>
        <v>Não encontrado</v>
      </c>
      <c r="E2401" s="42" t="str" cm="1">
        <f t="array" ref="E2401">IFERROR(INDEX({"IMPEDITIVO"},MATCH(TRUE,ISNUMBER(FIND(SUBSTITUTE(SUBSTITUTE(UPPER({"IMPEDITIVO"})," ",""),":",": "),SUBSTITUTE(SUBSTITUTE(UPPER(S2401)," ",""),":",": "))),0)),"-")</f>
        <v>-</v>
      </c>
      <c r="K2401" s="49"/>
    </row>
    <row r="2402" spans="1:11" x14ac:dyDescent="0.25">
      <c r="A2402" s="46" t="str" cm="1">
        <f t="array" ref="A2402">IFERROR(INDEX(#REF!,MATCH(TRUE,ISNUMBER(FIND(SUBSTITUTE(SUBSTITUTE(UPPER(#REF!)," ",""),":",": "),SUBSTITUTE(SUBSTITUTE(UPPER(S2402)," ",""),":",": "))),0)),"Undefined")</f>
        <v>Undefined</v>
      </c>
      <c r="B2402" s="42" t="str" cm="1">
        <f t="array" ref="B2402">IFERROR(INDEX({"URGENTE"},MATCH(TRUE,ISNUMBER(FIND(SUBSTITUTE(SUBSTITUTE(UPPER({"URGENTE"})," ",""),":",": "),SUBSTITUTE(SUBSTITUTE(UPPER(S2402)," ",""),":",": "))),0)),"-")</f>
        <v>-</v>
      </c>
      <c r="C2402" s="46" t="str" cm="1">
        <f t="array" ref="C2402">IFERROR(INDEX(#REF!,MATCH(TRUE,ISNUMBER(FIND(SUBSTITUTE(SUBSTITUTE(UPPER(#REF!)," ",""),":",": "),SUBSTITUTE(SUBSTITUTE(UPPER(S2402)," ",""),":",": "))),0)),"Não encontrado")</f>
        <v>Não encontrado</v>
      </c>
      <c r="D2402" s="46" t="str" cm="1">
        <f t="array" ref="D2402">IFERROR(INDEX(#REF!,MATCH(TRUE,ISNUMBER(FIND(SUBSTITUTE(SUBSTITUTE(UPPER(#REF!)," ",""),":",": "),SUBSTITUTE(SUBSTITUTE(UPPER(S2402)," ",""),":",": "))),0)),"Não encontrado")</f>
        <v>Não encontrado</v>
      </c>
      <c r="E2402" s="42" t="str" cm="1">
        <f t="array" ref="E2402">IFERROR(INDEX({"IMPEDITIVO"},MATCH(TRUE,ISNUMBER(FIND(SUBSTITUTE(SUBSTITUTE(UPPER({"IMPEDITIVO"})," ",""),":",": "),SUBSTITUTE(SUBSTITUTE(UPPER(S2402)," ",""),":",": "))),0)),"-")</f>
        <v>-</v>
      </c>
      <c r="K2402" s="49"/>
    </row>
    <row r="2403" spans="1:11" x14ac:dyDescent="0.25">
      <c r="A2403" s="46" t="str" cm="1">
        <f t="array" ref="A2403">IFERROR(INDEX(#REF!,MATCH(TRUE,ISNUMBER(FIND(SUBSTITUTE(SUBSTITUTE(UPPER(#REF!)," ",""),":",": "),SUBSTITUTE(SUBSTITUTE(UPPER(S2403)," ",""),":",": "))),0)),"Undefined")</f>
        <v>Undefined</v>
      </c>
      <c r="B2403" s="42" t="str" cm="1">
        <f t="array" ref="B2403">IFERROR(INDEX({"URGENTE"},MATCH(TRUE,ISNUMBER(FIND(SUBSTITUTE(SUBSTITUTE(UPPER({"URGENTE"})," ",""),":",": "),SUBSTITUTE(SUBSTITUTE(UPPER(S2403)," ",""),":",": "))),0)),"-")</f>
        <v>-</v>
      </c>
      <c r="C2403" s="46" t="str" cm="1">
        <f t="array" ref="C2403">IFERROR(INDEX(#REF!,MATCH(TRUE,ISNUMBER(FIND(SUBSTITUTE(SUBSTITUTE(UPPER(#REF!)," ",""),":",": "),SUBSTITUTE(SUBSTITUTE(UPPER(S2403)," ",""),":",": "))),0)),"Não encontrado")</f>
        <v>Não encontrado</v>
      </c>
      <c r="D2403" s="46" t="str" cm="1">
        <f t="array" ref="D2403">IFERROR(INDEX(#REF!,MATCH(TRUE,ISNUMBER(FIND(SUBSTITUTE(SUBSTITUTE(UPPER(#REF!)," ",""),":",": "),SUBSTITUTE(SUBSTITUTE(UPPER(S2403)," ",""),":",": "))),0)),"Não encontrado")</f>
        <v>Não encontrado</v>
      </c>
      <c r="E2403" s="42" t="str" cm="1">
        <f t="array" ref="E2403">IFERROR(INDEX({"IMPEDITIVO"},MATCH(TRUE,ISNUMBER(FIND(SUBSTITUTE(SUBSTITUTE(UPPER({"IMPEDITIVO"})," ",""),":",": "),SUBSTITUTE(SUBSTITUTE(UPPER(S2403)," ",""),":",": "))),0)),"-")</f>
        <v>-</v>
      </c>
      <c r="K2403" s="49"/>
    </row>
    <row r="2404" spans="1:11" x14ac:dyDescent="0.25">
      <c r="A2404" s="46" t="str" cm="1">
        <f t="array" ref="A2404">IFERROR(INDEX(#REF!,MATCH(TRUE,ISNUMBER(FIND(SUBSTITUTE(SUBSTITUTE(UPPER(#REF!)," ",""),":",": "),SUBSTITUTE(SUBSTITUTE(UPPER(S2404)," ",""),":",": "))),0)),"Undefined")</f>
        <v>Undefined</v>
      </c>
      <c r="B2404" s="42" t="str" cm="1">
        <f t="array" ref="B2404">IFERROR(INDEX({"URGENTE"},MATCH(TRUE,ISNUMBER(FIND(SUBSTITUTE(SUBSTITUTE(UPPER({"URGENTE"})," ",""),":",": "),SUBSTITUTE(SUBSTITUTE(UPPER(S2404)," ",""),":",": "))),0)),"-")</f>
        <v>-</v>
      </c>
      <c r="C2404" s="46" t="str" cm="1">
        <f t="array" ref="C2404">IFERROR(INDEX(#REF!,MATCH(TRUE,ISNUMBER(FIND(SUBSTITUTE(SUBSTITUTE(UPPER(#REF!)," ",""),":",": "),SUBSTITUTE(SUBSTITUTE(UPPER(S2404)," ",""),":",": "))),0)),"Não encontrado")</f>
        <v>Não encontrado</v>
      </c>
      <c r="D2404" s="46" t="str" cm="1">
        <f t="array" ref="D2404">IFERROR(INDEX(#REF!,MATCH(TRUE,ISNUMBER(FIND(SUBSTITUTE(SUBSTITUTE(UPPER(#REF!)," ",""),":",": "),SUBSTITUTE(SUBSTITUTE(UPPER(S2404)," ",""),":",": "))),0)),"Não encontrado")</f>
        <v>Não encontrado</v>
      </c>
      <c r="E2404" s="42" t="str" cm="1">
        <f t="array" ref="E2404">IFERROR(INDEX({"IMPEDITIVO"},MATCH(TRUE,ISNUMBER(FIND(SUBSTITUTE(SUBSTITUTE(UPPER({"IMPEDITIVO"})," ",""),":",": "),SUBSTITUTE(SUBSTITUTE(UPPER(S2404)," ",""),":",": "))),0)),"-")</f>
        <v>-</v>
      </c>
      <c r="K2404" s="49"/>
    </row>
    <row r="2405" spans="1:11" x14ac:dyDescent="0.25">
      <c r="A2405" s="46" t="str" cm="1">
        <f t="array" ref="A2405">IFERROR(INDEX(#REF!,MATCH(TRUE,ISNUMBER(FIND(SUBSTITUTE(SUBSTITUTE(UPPER(#REF!)," ",""),":",": "),SUBSTITUTE(SUBSTITUTE(UPPER(S2405)," ",""),":",": "))),0)),"Undefined")</f>
        <v>Undefined</v>
      </c>
      <c r="B2405" s="42" t="str" cm="1">
        <f t="array" ref="B2405">IFERROR(INDEX({"URGENTE"},MATCH(TRUE,ISNUMBER(FIND(SUBSTITUTE(SUBSTITUTE(UPPER({"URGENTE"})," ",""),":",": "),SUBSTITUTE(SUBSTITUTE(UPPER(S2405)," ",""),":",": "))),0)),"-")</f>
        <v>-</v>
      </c>
      <c r="C2405" s="46" t="str" cm="1">
        <f t="array" ref="C2405">IFERROR(INDEX(#REF!,MATCH(TRUE,ISNUMBER(FIND(SUBSTITUTE(SUBSTITUTE(UPPER(#REF!)," ",""),":",": "),SUBSTITUTE(SUBSTITUTE(UPPER(S2405)," ",""),":",": "))),0)),"Não encontrado")</f>
        <v>Não encontrado</v>
      </c>
      <c r="D2405" s="46" t="str" cm="1">
        <f t="array" ref="D2405">IFERROR(INDEX(#REF!,MATCH(TRUE,ISNUMBER(FIND(SUBSTITUTE(SUBSTITUTE(UPPER(#REF!)," ",""),":",": "),SUBSTITUTE(SUBSTITUTE(UPPER(S2405)," ",""),":",": "))),0)),"Não encontrado")</f>
        <v>Não encontrado</v>
      </c>
      <c r="E2405" s="42" t="str" cm="1">
        <f t="array" ref="E2405">IFERROR(INDEX({"IMPEDITIVO"},MATCH(TRUE,ISNUMBER(FIND(SUBSTITUTE(SUBSTITUTE(UPPER({"IMPEDITIVO"})," ",""),":",": "),SUBSTITUTE(SUBSTITUTE(UPPER(S2405)," ",""),":",": "))),0)),"-")</f>
        <v>-</v>
      </c>
      <c r="K2405" s="49"/>
    </row>
    <row r="2406" spans="1:11" x14ac:dyDescent="0.25">
      <c r="A2406" s="46" t="str" cm="1">
        <f t="array" ref="A2406">IFERROR(INDEX(#REF!,MATCH(TRUE,ISNUMBER(FIND(SUBSTITUTE(SUBSTITUTE(UPPER(#REF!)," ",""),":",": "),SUBSTITUTE(SUBSTITUTE(UPPER(S2406)," ",""),":",": "))),0)),"Undefined")</f>
        <v>Undefined</v>
      </c>
      <c r="B2406" s="42" t="str" cm="1">
        <f t="array" ref="B2406">IFERROR(INDEX({"URGENTE"},MATCH(TRUE,ISNUMBER(FIND(SUBSTITUTE(SUBSTITUTE(UPPER({"URGENTE"})," ",""),":",": "),SUBSTITUTE(SUBSTITUTE(UPPER(S2406)," ",""),":",": "))),0)),"-")</f>
        <v>-</v>
      </c>
      <c r="C2406" s="46" t="str" cm="1">
        <f t="array" ref="C2406">IFERROR(INDEX(#REF!,MATCH(TRUE,ISNUMBER(FIND(SUBSTITUTE(SUBSTITUTE(UPPER(#REF!)," ",""),":",": "),SUBSTITUTE(SUBSTITUTE(UPPER(S2406)," ",""),":",": "))),0)),"Não encontrado")</f>
        <v>Não encontrado</v>
      </c>
      <c r="D2406" s="46" t="str" cm="1">
        <f t="array" ref="D2406">IFERROR(INDEX(#REF!,MATCH(TRUE,ISNUMBER(FIND(SUBSTITUTE(SUBSTITUTE(UPPER(#REF!)," ",""),":",": "),SUBSTITUTE(SUBSTITUTE(UPPER(S2406)," ",""),":",": "))),0)),"Não encontrado")</f>
        <v>Não encontrado</v>
      </c>
      <c r="E2406" s="42" t="str" cm="1">
        <f t="array" ref="E2406">IFERROR(INDEX({"IMPEDITIVO"},MATCH(TRUE,ISNUMBER(FIND(SUBSTITUTE(SUBSTITUTE(UPPER({"IMPEDITIVO"})," ",""),":",": "),SUBSTITUTE(SUBSTITUTE(UPPER(S2406)," ",""),":",": "))),0)),"-")</f>
        <v>-</v>
      </c>
      <c r="K2406" s="49"/>
    </row>
    <row r="2407" spans="1:11" x14ac:dyDescent="0.25">
      <c r="A2407" s="46" t="str" cm="1">
        <f t="array" ref="A2407">IFERROR(INDEX(#REF!,MATCH(TRUE,ISNUMBER(FIND(SUBSTITUTE(SUBSTITUTE(UPPER(#REF!)," ",""),":",": "),SUBSTITUTE(SUBSTITUTE(UPPER(S2407)," ",""),":",": "))),0)),"Undefined")</f>
        <v>Undefined</v>
      </c>
      <c r="B2407" s="42" t="str" cm="1">
        <f t="array" ref="B2407">IFERROR(INDEX({"URGENTE"},MATCH(TRUE,ISNUMBER(FIND(SUBSTITUTE(SUBSTITUTE(UPPER({"URGENTE"})," ",""),":",": "),SUBSTITUTE(SUBSTITUTE(UPPER(S2407)," ",""),":",": "))),0)),"-")</f>
        <v>-</v>
      </c>
      <c r="C2407" s="46" t="str" cm="1">
        <f t="array" ref="C2407">IFERROR(INDEX(#REF!,MATCH(TRUE,ISNUMBER(FIND(SUBSTITUTE(SUBSTITUTE(UPPER(#REF!)," ",""),":",": "),SUBSTITUTE(SUBSTITUTE(UPPER(S2407)," ",""),":",": "))),0)),"Não encontrado")</f>
        <v>Não encontrado</v>
      </c>
      <c r="D2407" s="46" t="str" cm="1">
        <f t="array" ref="D2407">IFERROR(INDEX(#REF!,MATCH(TRUE,ISNUMBER(FIND(SUBSTITUTE(SUBSTITUTE(UPPER(#REF!)," ",""),":",": "),SUBSTITUTE(SUBSTITUTE(UPPER(S2407)," ",""),":",": "))),0)),"Não encontrado")</f>
        <v>Não encontrado</v>
      </c>
      <c r="E2407" s="42" t="str" cm="1">
        <f t="array" ref="E2407">IFERROR(INDEX({"IMPEDITIVO"},MATCH(TRUE,ISNUMBER(FIND(SUBSTITUTE(SUBSTITUTE(UPPER({"IMPEDITIVO"})," ",""),":",": "),SUBSTITUTE(SUBSTITUTE(UPPER(S2407)," ",""),":",": "))),0)),"-")</f>
        <v>-</v>
      </c>
      <c r="K2407" s="49"/>
    </row>
    <row r="2408" spans="1:11" x14ac:dyDescent="0.25">
      <c r="A2408" s="46" t="str" cm="1">
        <f t="array" ref="A2408">IFERROR(INDEX(#REF!,MATCH(TRUE,ISNUMBER(FIND(SUBSTITUTE(SUBSTITUTE(UPPER(#REF!)," ",""),":",": "),SUBSTITUTE(SUBSTITUTE(UPPER(S2408)," ",""),":",": "))),0)),"Undefined")</f>
        <v>Undefined</v>
      </c>
      <c r="B2408" s="42" t="str" cm="1">
        <f t="array" ref="B2408">IFERROR(INDEX({"URGENTE"},MATCH(TRUE,ISNUMBER(FIND(SUBSTITUTE(SUBSTITUTE(UPPER({"URGENTE"})," ",""),":",": "),SUBSTITUTE(SUBSTITUTE(UPPER(S2408)," ",""),":",": "))),0)),"-")</f>
        <v>-</v>
      </c>
      <c r="C2408" s="46" t="str" cm="1">
        <f t="array" ref="C2408">IFERROR(INDEX(#REF!,MATCH(TRUE,ISNUMBER(FIND(SUBSTITUTE(SUBSTITUTE(UPPER(#REF!)," ",""),":",": "),SUBSTITUTE(SUBSTITUTE(UPPER(S2408)," ",""),":",": "))),0)),"Não encontrado")</f>
        <v>Não encontrado</v>
      </c>
      <c r="D2408" s="46" t="str" cm="1">
        <f t="array" ref="D2408">IFERROR(INDEX(#REF!,MATCH(TRUE,ISNUMBER(FIND(SUBSTITUTE(SUBSTITUTE(UPPER(#REF!)," ",""),":",": "),SUBSTITUTE(SUBSTITUTE(UPPER(S2408)," ",""),":",": "))),0)),"Não encontrado")</f>
        <v>Não encontrado</v>
      </c>
      <c r="E2408" s="42" t="str" cm="1">
        <f t="array" ref="E2408">IFERROR(INDEX({"IMPEDITIVO"},MATCH(TRUE,ISNUMBER(FIND(SUBSTITUTE(SUBSTITUTE(UPPER({"IMPEDITIVO"})," ",""),":",": "),SUBSTITUTE(SUBSTITUTE(UPPER(S2408)," ",""),":",": "))),0)),"-")</f>
        <v>-</v>
      </c>
      <c r="K2408" s="49"/>
    </row>
    <row r="2409" spans="1:11" x14ac:dyDescent="0.25">
      <c r="A2409" s="46" t="str" cm="1">
        <f t="array" ref="A2409">IFERROR(INDEX(#REF!,MATCH(TRUE,ISNUMBER(FIND(SUBSTITUTE(SUBSTITUTE(UPPER(#REF!)," ",""),":",": "),SUBSTITUTE(SUBSTITUTE(UPPER(S2409)," ",""),":",": "))),0)),"Undefined")</f>
        <v>Undefined</v>
      </c>
      <c r="B2409" s="42" t="str" cm="1">
        <f t="array" ref="B2409">IFERROR(INDEX({"URGENTE"},MATCH(TRUE,ISNUMBER(FIND(SUBSTITUTE(SUBSTITUTE(UPPER({"URGENTE"})," ",""),":",": "),SUBSTITUTE(SUBSTITUTE(UPPER(S2409)," ",""),":",": "))),0)),"-")</f>
        <v>-</v>
      </c>
      <c r="C2409" s="46" t="str" cm="1">
        <f t="array" ref="C2409">IFERROR(INDEX(#REF!,MATCH(TRUE,ISNUMBER(FIND(SUBSTITUTE(SUBSTITUTE(UPPER(#REF!)," ",""),":",": "),SUBSTITUTE(SUBSTITUTE(UPPER(S2409)," ",""),":",": "))),0)),"Não encontrado")</f>
        <v>Não encontrado</v>
      </c>
      <c r="D2409" s="46" t="str" cm="1">
        <f t="array" ref="D2409">IFERROR(INDEX(#REF!,MATCH(TRUE,ISNUMBER(FIND(SUBSTITUTE(SUBSTITUTE(UPPER(#REF!)," ",""),":",": "),SUBSTITUTE(SUBSTITUTE(UPPER(S2409)," ",""),":",": "))),0)),"Não encontrado")</f>
        <v>Não encontrado</v>
      </c>
      <c r="E2409" s="42" t="str" cm="1">
        <f t="array" ref="E2409">IFERROR(INDEX({"IMPEDITIVO"},MATCH(TRUE,ISNUMBER(FIND(SUBSTITUTE(SUBSTITUTE(UPPER({"IMPEDITIVO"})," ",""),":",": "),SUBSTITUTE(SUBSTITUTE(UPPER(S2409)," ",""),":",": "))),0)),"-")</f>
        <v>-</v>
      </c>
      <c r="K2409" s="49"/>
    </row>
    <row r="2410" spans="1:11" x14ac:dyDescent="0.25">
      <c r="A2410" s="46" t="str" cm="1">
        <f t="array" ref="A2410">IFERROR(INDEX(#REF!,MATCH(TRUE,ISNUMBER(FIND(SUBSTITUTE(SUBSTITUTE(UPPER(#REF!)," ",""),":",": "),SUBSTITUTE(SUBSTITUTE(UPPER(S2410)," ",""),":",": "))),0)),"Undefined")</f>
        <v>Undefined</v>
      </c>
      <c r="B2410" s="42" t="str" cm="1">
        <f t="array" ref="B2410">IFERROR(INDEX({"URGENTE"},MATCH(TRUE,ISNUMBER(FIND(SUBSTITUTE(SUBSTITUTE(UPPER({"URGENTE"})," ",""),":",": "),SUBSTITUTE(SUBSTITUTE(UPPER(S2410)," ",""),":",": "))),0)),"-")</f>
        <v>-</v>
      </c>
      <c r="C2410" s="46" t="str" cm="1">
        <f t="array" ref="C2410">IFERROR(INDEX(#REF!,MATCH(TRUE,ISNUMBER(FIND(SUBSTITUTE(SUBSTITUTE(UPPER(#REF!)," ",""),":",": "),SUBSTITUTE(SUBSTITUTE(UPPER(S2410)," ",""),":",": "))),0)),"Não encontrado")</f>
        <v>Não encontrado</v>
      </c>
      <c r="D2410" s="46" t="str" cm="1">
        <f t="array" ref="D2410">IFERROR(INDEX(#REF!,MATCH(TRUE,ISNUMBER(FIND(SUBSTITUTE(SUBSTITUTE(UPPER(#REF!)," ",""),":",": "),SUBSTITUTE(SUBSTITUTE(UPPER(S2410)," ",""),":",": "))),0)),"Não encontrado")</f>
        <v>Não encontrado</v>
      </c>
      <c r="E2410" s="42" t="str" cm="1">
        <f t="array" ref="E2410">IFERROR(INDEX({"IMPEDITIVO"},MATCH(TRUE,ISNUMBER(FIND(SUBSTITUTE(SUBSTITUTE(UPPER({"IMPEDITIVO"})," ",""),":",": "),SUBSTITUTE(SUBSTITUTE(UPPER(S2410)," ",""),":",": "))),0)),"-")</f>
        <v>-</v>
      </c>
      <c r="K2410" s="49"/>
    </row>
    <row r="2411" spans="1:11" x14ac:dyDescent="0.25">
      <c r="A2411" s="46" t="str" cm="1">
        <f t="array" ref="A2411">IFERROR(INDEX(#REF!,MATCH(TRUE,ISNUMBER(FIND(SUBSTITUTE(SUBSTITUTE(UPPER(#REF!)," ",""),":",": "),SUBSTITUTE(SUBSTITUTE(UPPER(S2411)," ",""),":",": "))),0)),"Undefined")</f>
        <v>Undefined</v>
      </c>
      <c r="B2411" s="42" t="str" cm="1">
        <f t="array" ref="B2411">IFERROR(INDEX({"URGENTE"},MATCH(TRUE,ISNUMBER(FIND(SUBSTITUTE(SUBSTITUTE(UPPER({"URGENTE"})," ",""),":",": "),SUBSTITUTE(SUBSTITUTE(UPPER(S2411)," ",""),":",": "))),0)),"-")</f>
        <v>-</v>
      </c>
      <c r="C2411" s="46" t="str" cm="1">
        <f t="array" ref="C2411">IFERROR(INDEX(#REF!,MATCH(TRUE,ISNUMBER(FIND(SUBSTITUTE(SUBSTITUTE(UPPER(#REF!)," ",""),":",": "),SUBSTITUTE(SUBSTITUTE(UPPER(S2411)," ",""),":",": "))),0)),"Não encontrado")</f>
        <v>Não encontrado</v>
      </c>
      <c r="D2411" s="46" t="str" cm="1">
        <f t="array" ref="D2411">IFERROR(INDEX(#REF!,MATCH(TRUE,ISNUMBER(FIND(SUBSTITUTE(SUBSTITUTE(UPPER(#REF!)," ",""),":",": "),SUBSTITUTE(SUBSTITUTE(UPPER(S2411)," ",""),":",": "))),0)),"Não encontrado")</f>
        <v>Não encontrado</v>
      </c>
      <c r="E2411" s="42" t="str" cm="1">
        <f t="array" ref="E2411">IFERROR(INDEX({"IMPEDITIVO"},MATCH(TRUE,ISNUMBER(FIND(SUBSTITUTE(SUBSTITUTE(UPPER({"IMPEDITIVO"})," ",""),":",": "),SUBSTITUTE(SUBSTITUTE(UPPER(S2411)," ",""),":",": "))),0)),"-")</f>
        <v>-</v>
      </c>
      <c r="K2411" s="49"/>
    </row>
    <row r="2412" spans="1:11" x14ac:dyDescent="0.25">
      <c r="A2412" s="46" t="str" cm="1">
        <f t="array" ref="A2412">IFERROR(INDEX(#REF!,MATCH(TRUE,ISNUMBER(FIND(SUBSTITUTE(SUBSTITUTE(UPPER(#REF!)," ",""),":",": "),SUBSTITUTE(SUBSTITUTE(UPPER(S2412)," ",""),":",": "))),0)),"Undefined")</f>
        <v>Undefined</v>
      </c>
      <c r="B2412" s="42" t="str" cm="1">
        <f t="array" ref="B2412">IFERROR(INDEX({"URGENTE"},MATCH(TRUE,ISNUMBER(FIND(SUBSTITUTE(SUBSTITUTE(UPPER({"URGENTE"})," ",""),":",": "),SUBSTITUTE(SUBSTITUTE(UPPER(S2412)," ",""),":",": "))),0)),"-")</f>
        <v>-</v>
      </c>
      <c r="C2412" s="46" t="str" cm="1">
        <f t="array" ref="C2412">IFERROR(INDEX(#REF!,MATCH(TRUE,ISNUMBER(FIND(SUBSTITUTE(SUBSTITUTE(UPPER(#REF!)," ",""),":",": "),SUBSTITUTE(SUBSTITUTE(UPPER(S2412)," ",""),":",": "))),0)),"Não encontrado")</f>
        <v>Não encontrado</v>
      </c>
      <c r="D2412" s="46" t="str" cm="1">
        <f t="array" ref="D2412">IFERROR(INDEX(#REF!,MATCH(TRUE,ISNUMBER(FIND(SUBSTITUTE(SUBSTITUTE(UPPER(#REF!)," ",""),":",": "),SUBSTITUTE(SUBSTITUTE(UPPER(S2412)," ",""),":",": "))),0)),"Não encontrado")</f>
        <v>Não encontrado</v>
      </c>
      <c r="E2412" s="42" t="str" cm="1">
        <f t="array" ref="E2412">IFERROR(INDEX({"IMPEDITIVO"},MATCH(TRUE,ISNUMBER(FIND(SUBSTITUTE(SUBSTITUTE(UPPER({"IMPEDITIVO"})," ",""),":",": "),SUBSTITUTE(SUBSTITUTE(UPPER(S2412)," ",""),":",": "))),0)),"-")</f>
        <v>-</v>
      </c>
      <c r="K2412" s="49"/>
    </row>
    <row r="2413" spans="1:11" x14ac:dyDescent="0.25">
      <c r="A2413" s="46" t="str" cm="1">
        <f t="array" ref="A2413">IFERROR(INDEX(#REF!,MATCH(TRUE,ISNUMBER(FIND(SUBSTITUTE(SUBSTITUTE(UPPER(#REF!)," ",""),":",": "),SUBSTITUTE(SUBSTITUTE(UPPER(S2413)," ",""),":",": "))),0)),"Undefined")</f>
        <v>Undefined</v>
      </c>
      <c r="B2413" s="42" t="str" cm="1">
        <f t="array" ref="B2413">IFERROR(INDEX({"URGENTE"},MATCH(TRUE,ISNUMBER(FIND(SUBSTITUTE(SUBSTITUTE(UPPER({"URGENTE"})," ",""),":",": "),SUBSTITUTE(SUBSTITUTE(UPPER(S2413)," ",""),":",": "))),0)),"-")</f>
        <v>-</v>
      </c>
      <c r="C2413" s="46" t="str" cm="1">
        <f t="array" ref="C2413">IFERROR(INDEX(#REF!,MATCH(TRUE,ISNUMBER(FIND(SUBSTITUTE(SUBSTITUTE(UPPER(#REF!)," ",""),":",": "),SUBSTITUTE(SUBSTITUTE(UPPER(S2413)," ",""),":",": "))),0)),"Não encontrado")</f>
        <v>Não encontrado</v>
      </c>
      <c r="D2413" s="46" t="str" cm="1">
        <f t="array" ref="D2413">IFERROR(INDEX(#REF!,MATCH(TRUE,ISNUMBER(FIND(SUBSTITUTE(SUBSTITUTE(UPPER(#REF!)," ",""),":",": "),SUBSTITUTE(SUBSTITUTE(UPPER(S2413)," ",""),":",": "))),0)),"Não encontrado")</f>
        <v>Não encontrado</v>
      </c>
      <c r="E2413" s="42" t="str" cm="1">
        <f t="array" ref="E2413">IFERROR(INDEX({"IMPEDITIVO"},MATCH(TRUE,ISNUMBER(FIND(SUBSTITUTE(SUBSTITUTE(UPPER({"IMPEDITIVO"})," ",""),":",": "),SUBSTITUTE(SUBSTITUTE(UPPER(S2413)," ",""),":",": "))),0)),"-")</f>
        <v>-</v>
      </c>
      <c r="K2413" s="49"/>
    </row>
    <row r="2414" spans="1:11" x14ac:dyDescent="0.25">
      <c r="A2414" s="46" t="str" cm="1">
        <f t="array" ref="A2414">IFERROR(INDEX(#REF!,MATCH(TRUE,ISNUMBER(FIND(SUBSTITUTE(SUBSTITUTE(UPPER(#REF!)," ",""),":",": "),SUBSTITUTE(SUBSTITUTE(UPPER(S2414)," ",""),":",": "))),0)),"Undefined")</f>
        <v>Undefined</v>
      </c>
      <c r="B2414" s="42" t="str" cm="1">
        <f t="array" ref="B2414">IFERROR(INDEX({"URGENTE"},MATCH(TRUE,ISNUMBER(FIND(SUBSTITUTE(SUBSTITUTE(UPPER({"URGENTE"})," ",""),":",": "),SUBSTITUTE(SUBSTITUTE(UPPER(S2414)," ",""),":",": "))),0)),"-")</f>
        <v>-</v>
      </c>
      <c r="C2414" s="46" t="str" cm="1">
        <f t="array" ref="C2414">IFERROR(INDEX(#REF!,MATCH(TRUE,ISNUMBER(FIND(SUBSTITUTE(SUBSTITUTE(UPPER(#REF!)," ",""),":",": "),SUBSTITUTE(SUBSTITUTE(UPPER(S2414)," ",""),":",": "))),0)),"Não encontrado")</f>
        <v>Não encontrado</v>
      </c>
      <c r="D2414" s="46" t="str" cm="1">
        <f t="array" ref="D2414">IFERROR(INDEX(#REF!,MATCH(TRUE,ISNUMBER(FIND(SUBSTITUTE(SUBSTITUTE(UPPER(#REF!)," ",""),":",": "),SUBSTITUTE(SUBSTITUTE(UPPER(S2414)," ",""),":",": "))),0)),"Não encontrado")</f>
        <v>Não encontrado</v>
      </c>
      <c r="E2414" s="42" t="str" cm="1">
        <f t="array" ref="E2414">IFERROR(INDEX({"IMPEDITIVO"},MATCH(TRUE,ISNUMBER(FIND(SUBSTITUTE(SUBSTITUTE(UPPER({"IMPEDITIVO"})," ",""),":",": "),SUBSTITUTE(SUBSTITUTE(UPPER(S2414)," ",""),":",": "))),0)),"-")</f>
        <v>-</v>
      </c>
      <c r="K2414" s="49"/>
    </row>
    <row r="2415" spans="1:11" x14ac:dyDescent="0.25">
      <c r="A2415" s="46" t="str" cm="1">
        <f t="array" ref="A2415">IFERROR(INDEX(#REF!,MATCH(TRUE,ISNUMBER(FIND(SUBSTITUTE(SUBSTITUTE(UPPER(#REF!)," ",""),":",": "),SUBSTITUTE(SUBSTITUTE(UPPER(S2415)," ",""),":",": "))),0)),"Undefined")</f>
        <v>Undefined</v>
      </c>
      <c r="B2415" s="42" t="str" cm="1">
        <f t="array" ref="B2415">IFERROR(INDEX({"URGENTE"},MATCH(TRUE,ISNUMBER(FIND(SUBSTITUTE(SUBSTITUTE(UPPER({"URGENTE"})," ",""),":",": "),SUBSTITUTE(SUBSTITUTE(UPPER(S2415)," ",""),":",": "))),0)),"-")</f>
        <v>-</v>
      </c>
      <c r="C2415" s="46" t="str" cm="1">
        <f t="array" ref="C2415">IFERROR(INDEX(#REF!,MATCH(TRUE,ISNUMBER(FIND(SUBSTITUTE(SUBSTITUTE(UPPER(#REF!)," ",""),":",": "),SUBSTITUTE(SUBSTITUTE(UPPER(S2415)," ",""),":",": "))),0)),"Não encontrado")</f>
        <v>Não encontrado</v>
      </c>
      <c r="D2415" s="46" t="str" cm="1">
        <f t="array" ref="D2415">IFERROR(INDEX(#REF!,MATCH(TRUE,ISNUMBER(FIND(SUBSTITUTE(SUBSTITUTE(UPPER(#REF!)," ",""),":",": "),SUBSTITUTE(SUBSTITUTE(UPPER(S2415)," ",""),":",": "))),0)),"Não encontrado")</f>
        <v>Não encontrado</v>
      </c>
      <c r="E2415" s="42" t="str" cm="1">
        <f t="array" ref="E2415">IFERROR(INDEX({"IMPEDITIVO"},MATCH(TRUE,ISNUMBER(FIND(SUBSTITUTE(SUBSTITUTE(UPPER({"IMPEDITIVO"})," ",""),":",": "),SUBSTITUTE(SUBSTITUTE(UPPER(S2415)," ",""),":",": "))),0)),"-")</f>
        <v>-</v>
      </c>
      <c r="K2415" s="49"/>
    </row>
    <row r="2416" spans="1:11" x14ac:dyDescent="0.25">
      <c r="A2416" s="46" t="str" cm="1">
        <f t="array" ref="A2416">IFERROR(INDEX(#REF!,MATCH(TRUE,ISNUMBER(FIND(SUBSTITUTE(SUBSTITUTE(UPPER(#REF!)," ",""),":",": "),SUBSTITUTE(SUBSTITUTE(UPPER(S2416)," ",""),":",": "))),0)),"Undefined")</f>
        <v>Undefined</v>
      </c>
      <c r="B2416" s="42" t="str" cm="1">
        <f t="array" ref="B2416">IFERROR(INDEX({"URGENTE"},MATCH(TRUE,ISNUMBER(FIND(SUBSTITUTE(SUBSTITUTE(UPPER({"URGENTE"})," ",""),":",": "),SUBSTITUTE(SUBSTITUTE(UPPER(S2416)," ",""),":",": "))),0)),"-")</f>
        <v>-</v>
      </c>
      <c r="C2416" s="46" t="str" cm="1">
        <f t="array" ref="C2416">IFERROR(INDEX(#REF!,MATCH(TRUE,ISNUMBER(FIND(SUBSTITUTE(SUBSTITUTE(UPPER(#REF!)," ",""),":",": "),SUBSTITUTE(SUBSTITUTE(UPPER(S2416)," ",""),":",": "))),0)),"Não encontrado")</f>
        <v>Não encontrado</v>
      </c>
      <c r="D2416" s="46" t="str" cm="1">
        <f t="array" ref="D2416">IFERROR(INDEX(#REF!,MATCH(TRUE,ISNUMBER(FIND(SUBSTITUTE(SUBSTITUTE(UPPER(#REF!)," ",""),":",": "),SUBSTITUTE(SUBSTITUTE(UPPER(S2416)," ",""),":",": "))),0)),"Não encontrado")</f>
        <v>Não encontrado</v>
      </c>
      <c r="E2416" s="42" t="str" cm="1">
        <f t="array" ref="E2416">IFERROR(INDEX({"IMPEDITIVO"},MATCH(TRUE,ISNUMBER(FIND(SUBSTITUTE(SUBSTITUTE(UPPER({"IMPEDITIVO"})," ",""),":",": "),SUBSTITUTE(SUBSTITUTE(UPPER(S2416)," ",""),":",": "))),0)),"-")</f>
        <v>-</v>
      </c>
      <c r="K2416" s="49"/>
    </row>
    <row r="2417" spans="1:11" x14ac:dyDescent="0.25">
      <c r="A2417" s="46" t="str" cm="1">
        <f t="array" ref="A2417">IFERROR(INDEX(#REF!,MATCH(TRUE,ISNUMBER(FIND(SUBSTITUTE(SUBSTITUTE(UPPER(#REF!)," ",""),":",": "),SUBSTITUTE(SUBSTITUTE(UPPER(S2417)," ",""),":",": "))),0)),"Undefined")</f>
        <v>Undefined</v>
      </c>
      <c r="B2417" s="42" t="str" cm="1">
        <f t="array" ref="B2417">IFERROR(INDEX({"URGENTE"},MATCH(TRUE,ISNUMBER(FIND(SUBSTITUTE(SUBSTITUTE(UPPER({"URGENTE"})," ",""),":",": "),SUBSTITUTE(SUBSTITUTE(UPPER(S2417)," ",""),":",": "))),0)),"-")</f>
        <v>-</v>
      </c>
      <c r="C2417" s="46" t="str" cm="1">
        <f t="array" ref="C2417">IFERROR(INDEX(#REF!,MATCH(TRUE,ISNUMBER(FIND(SUBSTITUTE(SUBSTITUTE(UPPER(#REF!)," ",""),":",": "),SUBSTITUTE(SUBSTITUTE(UPPER(S2417)," ",""),":",": "))),0)),"Não encontrado")</f>
        <v>Não encontrado</v>
      </c>
      <c r="D2417" s="46" t="str" cm="1">
        <f t="array" ref="D2417">IFERROR(INDEX(#REF!,MATCH(TRUE,ISNUMBER(FIND(SUBSTITUTE(SUBSTITUTE(UPPER(#REF!)," ",""),":",": "),SUBSTITUTE(SUBSTITUTE(UPPER(S2417)," ",""),":",": "))),0)),"Não encontrado")</f>
        <v>Não encontrado</v>
      </c>
      <c r="E2417" s="42" t="str" cm="1">
        <f t="array" ref="E2417">IFERROR(INDEX({"IMPEDITIVO"},MATCH(TRUE,ISNUMBER(FIND(SUBSTITUTE(SUBSTITUTE(UPPER({"IMPEDITIVO"})," ",""),":",": "),SUBSTITUTE(SUBSTITUTE(UPPER(S2417)," ",""),":",": "))),0)),"-")</f>
        <v>-</v>
      </c>
      <c r="K2417" s="49"/>
    </row>
    <row r="2418" spans="1:11" x14ac:dyDescent="0.25">
      <c r="A2418" s="46" t="str" cm="1">
        <f t="array" ref="A2418">IFERROR(INDEX(#REF!,MATCH(TRUE,ISNUMBER(FIND(SUBSTITUTE(SUBSTITUTE(UPPER(#REF!)," ",""),":",": "),SUBSTITUTE(SUBSTITUTE(UPPER(S2418)," ",""),":",": "))),0)),"Undefined")</f>
        <v>Undefined</v>
      </c>
      <c r="B2418" s="42" t="str" cm="1">
        <f t="array" ref="B2418">IFERROR(INDEX({"URGENTE"},MATCH(TRUE,ISNUMBER(FIND(SUBSTITUTE(SUBSTITUTE(UPPER({"URGENTE"})," ",""),":",": "),SUBSTITUTE(SUBSTITUTE(UPPER(S2418)," ",""),":",": "))),0)),"-")</f>
        <v>-</v>
      </c>
      <c r="C2418" s="46" t="str" cm="1">
        <f t="array" ref="C2418">IFERROR(INDEX(#REF!,MATCH(TRUE,ISNUMBER(FIND(SUBSTITUTE(SUBSTITUTE(UPPER(#REF!)," ",""),":",": "),SUBSTITUTE(SUBSTITUTE(UPPER(S2418)," ",""),":",": "))),0)),"Não encontrado")</f>
        <v>Não encontrado</v>
      </c>
      <c r="D2418" s="46" t="str" cm="1">
        <f t="array" ref="D2418">IFERROR(INDEX(#REF!,MATCH(TRUE,ISNUMBER(FIND(SUBSTITUTE(SUBSTITUTE(UPPER(#REF!)," ",""),":",": "),SUBSTITUTE(SUBSTITUTE(UPPER(S2418)," ",""),":",": "))),0)),"Não encontrado")</f>
        <v>Não encontrado</v>
      </c>
      <c r="E2418" s="42" t="str" cm="1">
        <f t="array" ref="E2418">IFERROR(INDEX({"IMPEDITIVO"},MATCH(TRUE,ISNUMBER(FIND(SUBSTITUTE(SUBSTITUTE(UPPER({"IMPEDITIVO"})," ",""),":",": "),SUBSTITUTE(SUBSTITUTE(UPPER(S2418)," ",""),":",": "))),0)),"-")</f>
        <v>-</v>
      </c>
      <c r="K2418" s="49"/>
    </row>
    <row r="2419" spans="1:11" x14ac:dyDescent="0.25">
      <c r="A2419" s="46" t="str" cm="1">
        <f t="array" ref="A2419">IFERROR(INDEX(#REF!,MATCH(TRUE,ISNUMBER(FIND(SUBSTITUTE(SUBSTITUTE(UPPER(#REF!)," ",""),":",": "),SUBSTITUTE(SUBSTITUTE(UPPER(S2419)," ",""),":",": "))),0)),"Undefined")</f>
        <v>Undefined</v>
      </c>
      <c r="B2419" s="42" t="str" cm="1">
        <f t="array" ref="B2419">IFERROR(INDEX({"URGENTE"},MATCH(TRUE,ISNUMBER(FIND(SUBSTITUTE(SUBSTITUTE(UPPER({"URGENTE"})," ",""),":",": "),SUBSTITUTE(SUBSTITUTE(UPPER(S2419)," ",""),":",": "))),0)),"-")</f>
        <v>-</v>
      </c>
      <c r="C2419" s="46" t="str" cm="1">
        <f t="array" ref="C2419">IFERROR(INDEX(#REF!,MATCH(TRUE,ISNUMBER(FIND(SUBSTITUTE(SUBSTITUTE(UPPER(#REF!)," ",""),":",": "),SUBSTITUTE(SUBSTITUTE(UPPER(S2419)," ",""),":",": "))),0)),"Não encontrado")</f>
        <v>Não encontrado</v>
      </c>
      <c r="D2419" s="46" t="str" cm="1">
        <f t="array" ref="D2419">IFERROR(INDEX(#REF!,MATCH(TRUE,ISNUMBER(FIND(SUBSTITUTE(SUBSTITUTE(UPPER(#REF!)," ",""),":",": "),SUBSTITUTE(SUBSTITUTE(UPPER(S2419)," ",""),":",": "))),0)),"Não encontrado")</f>
        <v>Não encontrado</v>
      </c>
      <c r="E2419" s="42" t="str" cm="1">
        <f t="array" ref="E2419">IFERROR(INDEX({"IMPEDITIVO"},MATCH(TRUE,ISNUMBER(FIND(SUBSTITUTE(SUBSTITUTE(UPPER({"IMPEDITIVO"})," ",""),":",": "),SUBSTITUTE(SUBSTITUTE(UPPER(S2419)," ",""),":",": "))),0)),"-")</f>
        <v>-</v>
      </c>
      <c r="K2419" s="49"/>
    </row>
    <row r="2420" spans="1:11" x14ac:dyDescent="0.25">
      <c r="A2420" s="46" t="str" cm="1">
        <f t="array" ref="A2420">IFERROR(INDEX(#REF!,MATCH(TRUE,ISNUMBER(FIND(SUBSTITUTE(SUBSTITUTE(UPPER(#REF!)," ",""),":",": "),SUBSTITUTE(SUBSTITUTE(UPPER(S2420)," ",""),":",": "))),0)),"Undefined")</f>
        <v>Undefined</v>
      </c>
      <c r="B2420" s="42" t="str" cm="1">
        <f t="array" ref="B2420">IFERROR(INDEX({"URGENTE"},MATCH(TRUE,ISNUMBER(FIND(SUBSTITUTE(SUBSTITUTE(UPPER({"URGENTE"})," ",""),":",": "),SUBSTITUTE(SUBSTITUTE(UPPER(S2420)," ",""),":",": "))),0)),"-")</f>
        <v>-</v>
      </c>
      <c r="C2420" s="46" t="str" cm="1">
        <f t="array" ref="C2420">IFERROR(INDEX(#REF!,MATCH(TRUE,ISNUMBER(FIND(SUBSTITUTE(SUBSTITUTE(UPPER(#REF!)," ",""),":",": "),SUBSTITUTE(SUBSTITUTE(UPPER(S2420)," ",""),":",": "))),0)),"Não encontrado")</f>
        <v>Não encontrado</v>
      </c>
      <c r="D2420" s="46" t="str" cm="1">
        <f t="array" ref="D2420">IFERROR(INDEX(#REF!,MATCH(TRUE,ISNUMBER(FIND(SUBSTITUTE(SUBSTITUTE(UPPER(#REF!)," ",""),":",": "),SUBSTITUTE(SUBSTITUTE(UPPER(S2420)," ",""),":",": "))),0)),"Não encontrado")</f>
        <v>Não encontrado</v>
      </c>
      <c r="E2420" s="42" t="str" cm="1">
        <f t="array" ref="E2420">IFERROR(INDEX({"IMPEDITIVO"},MATCH(TRUE,ISNUMBER(FIND(SUBSTITUTE(SUBSTITUTE(UPPER({"IMPEDITIVO"})," ",""),":",": "),SUBSTITUTE(SUBSTITUTE(UPPER(S2420)," ",""),":",": "))),0)),"-")</f>
        <v>-</v>
      </c>
      <c r="K2420" s="49"/>
    </row>
    <row r="2421" spans="1:11" x14ac:dyDescent="0.25">
      <c r="A2421" s="46" t="str" cm="1">
        <f t="array" ref="A2421">IFERROR(INDEX(#REF!,MATCH(TRUE,ISNUMBER(FIND(SUBSTITUTE(SUBSTITUTE(UPPER(#REF!)," ",""),":",": "),SUBSTITUTE(SUBSTITUTE(UPPER(S2421)," ",""),":",": "))),0)),"Undefined")</f>
        <v>Undefined</v>
      </c>
      <c r="B2421" s="42" t="str" cm="1">
        <f t="array" ref="B2421">IFERROR(INDEX({"URGENTE"},MATCH(TRUE,ISNUMBER(FIND(SUBSTITUTE(SUBSTITUTE(UPPER({"URGENTE"})," ",""),":",": "),SUBSTITUTE(SUBSTITUTE(UPPER(S2421)," ",""),":",": "))),0)),"-")</f>
        <v>-</v>
      </c>
      <c r="C2421" s="46" t="str" cm="1">
        <f t="array" ref="C2421">IFERROR(INDEX(#REF!,MATCH(TRUE,ISNUMBER(FIND(SUBSTITUTE(SUBSTITUTE(UPPER(#REF!)," ",""),":",": "),SUBSTITUTE(SUBSTITUTE(UPPER(S2421)," ",""),":",": "))),0)),"Não encontrado")</f>
        <v>Não encontrado</v>
      </c>
      <c r="D2421" s="46" t="str" cm="1">
        <f t="array" ref="D2421">IFERROR(INDEX(#REF!,MATCH(TRUE,ISNUMBER(FIND(SUBSTITUTE(SUBSTITUTE(UPPER(#REF!)," ",""),":",": "),SUBSTITUTE(SUBSTITUTE(UPPER(S2421)," ",""),":",": "))),0)),"Não encontrado")</f>
        <v>Não encontrado</v>
      </c>
      <c r="E2421" s="42" t="str" cm="1">
        <f t="array" ref="E2421">IFERROR(INDEX({"IMPEDITIVO"},MATCH(TRUE,ISNUMBER(FIND(SUBSTITUTE(SUBSTITUTE(UPPER({"IMPEDITIVO"})," ",""),":",": "),SUBSTITUTE(SUBSTITUTE(UPPER(S2421)," ",""),":",": "))),0)),"-")</f>
        <v>-</v>
      </c>
      <c r="K2421" s="49"/>
    </row>
    <row r="2422" spans="1:11" x14ac:dyDescent="0.25">
      <c r="A2422" s="46" t="str" cm="1">
        <f t="array" ref="A2422">IFERROR(INDEX(#REF!,MATCH(TRUE,ISNUMBER(FIND(SUBSTITUTE(SUBSTITUTE(UPPER(#REF!)," ",""),":",": "),SUBSTITUTE(SUBSTITUTE(UPPER(S2422)," ",""),":",": "))),0)),"Undefined")</f>
        <v>Undefined</v>
      </c>
      <c r="B2422" s="42" t="str" cm="1">
        <f t="array" ref="B2422">IFERROR(INDEX({"URGENTE"},MATCH(TRUE,ISNUMBER(FIND(SUBSTITUTE(SUBSTITUTE(UPPER({"URGENTE"})," ",""),":",": "),SUBSTITUTE(SUBSTITUTE(UPPER(S2422)," ",""),":",": "))),0)),"-")</f>
        <v>-</v>
      </c>
      <c r="C2422" s="46" t="str" cm="1">
        <f t="array" ref="C2422">IFERROR(INDEX(#REF!,MATCH(TRUE,ISNUMBER(FIND(SUBSTITUTE(SUBSTITUTE(UPPER(#REF!)," ",""),":",": "),SUBSTITUTE(SUBSTITUTE(UPPER(S2422)," ",""),":",": "))),0)),"Não encontrado")</f>
        <v>Não encontrado</v>
      </c>
      <c r="D2422" s="46" t="str" cm="1">
        <f t="array" ref="D2422">IFERROR(INDEX(#REF!,MATCH(TRUE,ISNUMBER(FIND(SUBSTITUTE(SUBSTITUTE(UPPER(#REF!)," ",""),":",": "),SUBSTITUTE(SUBSTITUTE(UPPER(S2422)," ",""),":",": "))),0)),"Não encontrado")</f>
        <v>Não encontrado</v>
      </c>
      <c r="E2422" s="42" t="str" cm="1">
        <f t="array" ref="E2422">IFERROR(INDEX({"IMPEDITIVO"},MATCH(TRUE,ISNUMBER(FIND(SUBSTITUTE(SUBSTITUTE(UPPER({"IMPEDITIVO"})," ",""),":",": "),SUBSTITUTE(SUBSTITUTE(UPPER(S2422)," ",""),":",": "))),0)),"-")</f>
        <v>-</v>
      </c>
      <c r="K2422" s="49"/>
    </row>
    <row r="2423" spans="1:11" x14ac:dyDescent="0.25">
      <c r="A2423" s="46" t="str" cm="1">
        <f t="array" ref="A2423">IFERROR(INDEX(#REF!,MATCH(TRUE,ISNUMBER(FIND(SUBSTITUTE(SUBSTITUTE(UPPER(#REF!)," ",""),":",": "),SUBSTITUTE(SUBSTITUTE(UPPER(S2423)," ",""),":",": "))),0)),"Undefined")</f>
        <v>Undefined</v>
      </c>
      <c r="B2423" s="42" t="str" cm="1">
        <f t="array" ref="B2423">IFERROR(INDEX({"URGENTE"},MATCH(TRUE,ISNUMBER(FIND(SUBSTITUTE(SUBSTITUTE(UPPER({"URGENTE"})," ",""),":",": "),SUBSTITUTE(SUBSTITUTE(UPPER(S2423)," ",""),":",": "))),0)),"-")</f>
        <v>-</v>
      </c>
      <c r="C2423" s="46" t="str" cm="1">
        <f t="array" ref="C2423">IFERROR(INDEX(#REF!,MATCH(TRUE,ISNUMBER(FIND(SUBSTITUTE(SUBSTITUTE(UPPER(#REF!)," ",""),":",": "),SUBSTITUTE(SUBSTITUTE(UPPER(S2423)," ",""),":",": "))),0)),"Não encontrado")</f>
        <v>Não encontrado</v>
      </c>
      <c r="D2423" s="46" t="str" cm="1">
        <f t="array" ref="D2423">IFERROR(INDEX(#REF!,MATCH(TRUE,ISNUMBER(FIND(SUBSTITUTE(SUBSTITUTE(UPPER(#REF!)," ",""),":",": "),SUBSTITUTE(SUBSTITUTE(UPPER(S2423)," ",""),":",": "))),0)),"Não encontrado")</f>
        <v>Não encontrado</v>
      </c>
      <c r="E2423" s="42" t="str" cm="1">
        <f t="array" ref="E2423">IFERROR(INDEX({"IMPEDITIVO"},MATCH(TRUE,ISNUMBER(FIND(SUBSTITUTE(SUBSTITUTE(UPPER({"IMPEDITIVO"})," ",""),":",": "),SUBSTITUTE(SUBSTITUTE(UPPER(S2423)," ",""),":",": "))),0)),"-")</f>
        <v>-</v>
      </c>
      <c r="K2423" s="49"/>
    </row>
    <row r="2424" spans="1:11" x14ac:dyDescent="0.25">
      <c r="A2424" s="46" t="str" cm="1">
        <f t="array" ref="A2424">IFERROR(INDEX(#REF!,MATCH(TRUE,ISNUMBER(FIND(SUBSTITUTE(SUBSTITUTE(UPPER(#REF!)," ",""),":",": "),SUBSTITUTE(SUBSTITUTE(UPPER(S2424)," ",""),":",": "))),0)),"Undefined")</f>
        <v>Undefined</v>
      </c>
      <c r="B2424" s="42" t="str" cm="1">
        <f t="array" ref="B2424">IFERROR(INDEX({"URGENTE"},MATCH(TRUE,ISNUMBER(FIND(SUBSTITUTE(SUBSTITUTE(UPPER({"URGENTE"})," ",""),":",": "),SUBSTITUTE(SUBSTITUTE(UPPER(S2424)," ",""),":",": "))),0)),"-")</f>
        <v>-</v>
      </c>
      <c r="C2424" s="46" t="str" cm="1">
        <f t="array" ref="C2424">IFERROR(INDEX(#REF!,MATCH(TRUE,ISNUMBER(FIND(SUBSTITUTE(SUBSTITUTE(UPPER(#REF!)," ",""),":",": "),SUBSTITUTE(SUBSTITUTE(UPPER(S2424)," ",""),":",": "))),0)),"Não encontrado")</f>
        <v>Não encontrado</v>
      </c>
      <c r="D2424" s="46" t="str" cm="1">
        <f t="array" ref="D2424">IFERROR(INDEX(#REF!,MATCH(TRUE,ISNUMBER(FIND(SUBSTITUTE(SUBSTITUTE(UPPER(#REF!)," ",""),":",": "),SUBSTITUTE(SUBSTITUTE(UPPER(S2424)," ",""),":",": "))),0)),"Não encontrado")</f>
        <v>Não encontrado</v>
      </c>
      <c r="E2424" s="42" t="str" cm="1">
        <f t="array" ref="E2424">IFERROR(INDEX({"IMPEDITIVO"},MATCH(TRUE,ISNUMBER(FIND(SUBSTITUTE(SUBSTITUTE(UPPER({"IMPEDITIVO"})," ",""),":",": "),SUBSTITUTE(SUBSTITUTE(UPPER(S2424)," ",""),":",": "))),0)),"-")</f>
        <v>-</v>
      </c>
      <c r="K2424" s="49"/>
    </row>
    <row r="2425" spans="1:11" x14ac:dyDescent="0.25">
      <c r="A2425" s="46" t="str" cm="1">
        <f t="array" ref="A2425">IFERROR(INDEX(#REF!,MATCH(TRUE,ISNUMBER(FIND(SUBSTITUTE(SUBSTITUTE(UPPER(#REF!)," ",""),":",": "),SUBSTITUTE(SUBSTITUTE(UPPER(S2425)," ",""),":",": "))),0)),"Undefined")</f>
        <v>Undefined</v>
      </c>
      <c r="B2425" s="42" t="str" cm="1">
        <f t="array" ref="B2425">IFERROR(INDEX({"URGENTE"},MATCH(TRUE,ISNUMBER(FIND(SUBSTITUTE(SUBSTITUTE(UPPER({"URGENTE"})," ",""),":",": "),SUBSTITUTE(SUBSTITUTE(UPPER(S2425)," ",""),":",": "))),0)),"-")</f>
        <v>-</v>
      </c>
      <c r="C2425" s="46" t="str" cm="1">
        <f t="array" ref="C2425">IFERROR(INDEX(#REF!,MATCH(TRUE,ISNUMBER(FIND(SUBSTITUTE(SUBSTITUTE(UPPER(#REF!)," ",""),":",": "),SUBSTITUTE(SUBSTITUTE(UPPER(S2425)," ",""),":",": "))),0)),"Não encontrado")</f>
        <v>Não encontrado</v>
      </c>
      <c r="D2425" s="46" t="str" cm="1">
        <f t="array" ref="D2425">IFERROR(INDEX(#REF!,MATCH(TRUE,ISNUMBER(FIND(SUBSTITUTE(SUBSTITUTE(UPPER(#REF!)," ",""),":",": "),SUBSTITUTE(SUBSTITUTE(UPPER(S2425)," ",""),":",": "))),0)),"Não encontrado")</f>
        <v>Não encontrado</v>
      </c>
      <c r="E2425" s="42" t="str" cm="1">
        <f t="array" ref="E2425">IFERROR(INDEX({"IMPEDITIVO"},MATCH(TRUE,ISNUMBER(FIND(SUBSTITUTE(SUBSTITUTE(UPPER({"IMPEDITIVO"})," ",""),":",": "),SUBSTITUTE(SUBSTITUTE(UPPER(S2425)," ",""),":",": "))),0)),"-")</f>
        <v>-</v>
      </c>
      <c r="K2425" s="49"/>
    </row>
    <row r="2426" spans="1:11" x14ac:dyDescent="0.25">
      <c r="A2426" s="46" t="str" cm="1">
        <f t="array" ref="A2426">IFERROR(INDEX(#REF!,MATCH(TRUE,ISNUMBER(FIND(SUBSTITUTE(SUBSTITUTE(UPPER(#REF!)," ",""),":",": "),SUBSTITUTE(SUBSTITUTE(UPPER(S2426)," ",""),":",": "))),0)),"Undefined")</f>
        <v>Undefined</v>
      </c>
      <c r="B2426" s="42" t="str" cm="1">
        <f t="array" ref="B2426">IFERROR(INDEX({"URGENTE"},MATCH(TRUE,ISNUMBER(FIND(SUBSTITUTE(SUBSTITUTE(UPPER({"URGENTE"})," ",""),":",": "),SUBSTITUTE(SUBSTITUTE(UPPER(S2426)," ",""),":",": "))),0)),"-")</f>
        <v>-</v>
      </c>
      <c r="C2426" s="46" t="str" cm="1">
        <f t="array" ref="C2426">IFERROR(INDEX(#REF!,MATCH(TRUE,ISNUMBER(FIND(SUBSTITUTE(SUBSTITUTE(UPPER(#REF!)," ",""),":",": "),SUBSTITUTE(SUBSTITUTE(UPPER(S2426)," ",""),":",": "))),0)),"Não encontrado")</f>
        <v>Não encontrado</v>
      </c>
      <c r="D2426" s="46" t="str" cm="1">
        <f t="array" ref="D2426">IFERROR(INDEX(#REF!,MATCH(TRUE,ISNUMBER(FIND(SUBSTITUTE(SUBSTITUTE(UPPER(#REF!)," ",""),":",": "),SUBSTITUTE(SUBSTITUTE(UPPER(S2426)," ",""),":",": "))),0)),"Não encontrado")</f>
        <v>Não encontrado</v>
      </c>
      <c r="E2426" s="42" t="str" cm="1">
        <f t="array" ref="E2426">IFERROR(INDEX({"IMPEDITIVO"},MATCH(TRUE,ISNUMBER(FIND(SUBSTITUTE(SUBSTITUTE(UPPER({"IMPEDITIVO"})," ",""),":",": "),SUBSTITUTE(SUBSTITUTE(UPPER(S2426)," ",""),":",": "))),0)),"-")</f>
        <v>-</v>
      </c>
      <c r="K2426" s="49"/>
    </row>
    <row r="2427" spans="1:11" x14ac:dyDescent="0.25">
      <c r="A2427" s="46" t="str" cm="1">
        <f t="array" ref="A2427">IFERROR(INDEX(#REF!,MATCH(TRUE,ISNUMBER(FIND(SUBSTITUTE(SUBSTITUTE(UPPER(#REF!)," ",""),":",": "),SUBSTITUTE(SUBSTITUTE(UPPER(S2427)," ",""),":",": "))),0)),"Undefined")</f>
        <v>Undefined</v>
      </c>
      <c r="B2427" s="42" t="str" cm="1">
        <f t="array" ref="B2427">IFERROR(INDEX({"URGENTE"},MATCH(TRUE,ISNUMBER(FIND(SUBSTITUTE(SUBSTITUTE(UPPER({"URGENTE"})," ",""),":",": "),SUBSTITUTE(SUBSTITUTE(UPPER(S2427)," ",""),":",": "))),0)),"-")</f>
        <v>-</v>
      </c>
      <c r="C2427" s="46" t="str" cm="1">
        <f t="array" ref="C2427">IFERROR(INDEX(#REF!,MATCH(TRUE,ISNUMBER(FIND(SUBSTITUTE(SUBSTITUTE(UPPER(#REF!)," ",""),":",": "),SUBSTITUTE(SUBSTITUTE(UPPER(S2427)," ",""),":",": "))),0)),"Não encontrado")</f>
        <v>Não encontrado</v>
      </c>
      <c r="D2427" s="46" t="str" cm="1">
        <f t="array" ref="D2427">IFERROR(INDEX(#REF!,MATCH(TRUE,ISNUMBER(FIND(SUBSTITUTE(SUBSTITUTE(UPPER(#REF!)," ",""),":",": "),SUBSTITUTE(SUBSTITUTE(UPPER(S2427)," ",""),":",": "))),0)),"Não encontrado")</f>
        <v>Não encontrado</v>
      </c>
      <c r="E2427" s="42" t="str" cm="1">
        <f t="array" ref="E2427">IFERROR(INDEX({"IMPEDITIVO"},MATCH(TRUE,ISNUMBER(FIND(SUBSTITUTE(SUBSTITUTE(UPPER({"IMPEDITIVO"})," ",""),":",": "),SUBSTITUTE(SUBSTITUTE(UPPER(S2427)," ",""),":",": "))),0)),"-")</f>
        <v>-</v>
      </c>
      <c r="K2427" s="49"/>
    </row>
    <row r="2428" spans="1:11" x14ac:dyDescent="0.25">
      <c r="A2428" s="46" t="str" cm="1">
        <f t="array" ref="A2428">IFERROR(INDEX(#REF!,MATCH(TRUE,ISNUMBER(FIND(SUBSTITUTE(SUBSTITUTE(UPPER(#REF!)," ",""),":",": "),SUBSTITUTE(SUBSTITUTE(UPPER(S2428)," ",""),":",": "))),0)),"Undefined")</f>
        <v>Undefined</v>
      </c>
      <c r="B2428" s="42" t="str" cm="1">
        <f t="array" ref="B2428">IFERROR(INDEX({"URGENTE"},MATCH(TRUE,ISNUMBER(FIND(SUBSTITUTE(SUBSTITUTE(UPPER({"URGENTE"})," ",""),":",": "),SUBSTITUTE(SUBSTITUTE(UPPER(S2428)," ",""),":",": "))),0)),"-")</f>
        <v>-</v>
      </c>
      <c r="C2428" s="46" t="str" cm="1">
        <f t="array" ref="C2428">IFERROR(INDEX(#REF!,MATCH(TRUE,ISNUMBER(FIND(SUBSTITUTE(SUBSTITUTE(UPPER(#REF!)," ",""),":",": "),SUBSTITUTE(SUBSTITUTE(UPPER(S2428)," ",""),":",": "))),0)),"Não encontrado")</f>
        <v>Não encontrado</v>
      </c>
      <c r="D2428" s="46" t="str" cm="1">
        <f t="array" ref="D2428">IFERROR(INDEX(#REF!,MATCH(TRUE,ISNUMBER(FIND(SUBSTITUTE(SUBSTITUTE(UPPER(#REF!)," ",""),":",": "),SUBSTITUTE(SUBSTITUTE(UPPER(S2428)," ",""),":",": "))),0)),"Não encontrado")</f>
        <v>Não encontrado</v>
      </c>
      <c r="E2428" s="42" t="str" cm="1">
        <f t="array" ref="E2428">IFERROR(INDEX({"IMPEDITIVO"},MATCH(TRUE,ISNUMBER(FIND(SUBSTITUTE(SUBSTITUTE(UPPER({"IMPEDITIVO"})," ",""),":",": "),SUBSTITUTE(SUBSTITUTE(UPPER(S2428)," ",""),":",": "))),0)),"-")</f>
        <v>-</v>
      </c>
      <c r="K2428" s="49"/>
    </row>
    <row r="2429" spans="1:11" x14ac:dyDescent="0.25">
      <c r="A2429" s="46" t="str" cm="1">
        <f t="array" ref="A2429">IFERROR(INDEX(#REF!,MATCH(TRUE,ISNUMBER(FIND(SUBSTITUTE(SUBSTITUTE(UPPER(#REF!)," ",""),":",": "),SUBSTITUTE(SUBSTITUTE(UPPER(S2429)," ",""),":",": "))),0)),"Undefined")</f>
        <v>Undefined</v>
      </c>
      <c r="B2429" s="42" t="str" cm="1">
        <f t="array" ref="B2429">IFERROR(INDEX({"URGENTE"},MATCH(TRUE,ISNUMBER(FIND(SUBSTITUTE(SUBSTITUTE(UPPER({"URGENTE"})," ",""),":",": "),SUBSTITUTE(SUBSTITUTE(UPPER(S2429)," ",""),":",": "))),0)),"-")</f>
        <v>-</v>
      </c>
      <c r="C2429" s="46" t="str" cm="1">
        <f t="array" ref="C2429">IFERROR(INDEX(#REF!,MATCH(TRUE,ISNUMBER(FIND(SUBSTITUTE(SUBSTITUTE(UPPER(#REF!)," ",""),":",": "),SUBSTITUTE(SUBSTITUTE(UPPER(S2429)," ",""),":",": "))),0)),"Não encontrado")</f>
        <v>Não encontrado</v>
      </c>
      <c r="D2429" s="46" t="str" cm="1">
        <f t="array" ref="D2429">IFERROR(INDEX(#REF!,MATCH(TRUE,ISNUMBER(FIND(SUBSTITUTE(SUBSTITUTE(UPPER(#REF!)," ",""),":",": "),SUBSTITUTE(SUBSTITUTE(UPPER(S2429)," ",""),":",": "))),0)),"Não encontrado")</f>
        <v>Não encontrado</v>
      </c>
      <c r="E2429" s="42" t="str" cm="1">
        <f t="array" ref="E2429">IFERROR(INDEX({"IMPEDITIVO"},MATCH(TRUE,ISNUMBER(FIND(SUBSTITUTE(SUBSTITUTE(UPPER({"IMPEDITIVO"})," ",""),":",": "),SUBSTITUTE(SUBSTITUTE(UPPER(S2429)," ",""),":",": "))),0)),"-")</f>
        <v>-</v>
      </c>
      <c r="K2429" s="49"/>
    </row>
    <row r="2430" spans="1:11" x14ac:dyDescent="0.25">
      <c r="A2430" s="46" t="str" cm="1">
        <f t="array" ref="A2430">IFERROR(INDEX(#REF!,MATCH(TRUE,ISNUMBER(FIND(SUBSTITUTE(SUBSTITUTE(UPPER(#REF!)," ",""),":",": "),SUBSTITUTE(SUBSTITUTE(UPPER(S2430)," ",""),":",": "))),0)),"Undefined")</f>
        <v>Undefined</v>
      </c>
      <c r="B2430" s="42" t="str" cm="1">
        <f t="array" ref="B2430">IFERROR(INDEX({"URGENTE"},MATCH(TRUE,ISNUMBER(FIND(SUBSTITUTE(SUBSTITUTE(UPPER({"URGENTE"})," ",""),":",": "),SUBSTITUTE(SUBSTITUTE(UPPER(S2430)," ",""),":",": "))),0)),"-")</f>
        <v>-</v>
      </c>
      <c r="C2430" s="46" t="str" cm="1">
        <f t="array" ref="C2430">IFERROR(INDEX(#REF!,MATCH(TRUE,ISNUMBER(FIND(SUBSTITUTE(SUBSTITUTE(UPPER(#REF!)," ",""),":",": "),SUBSTITUTE(SUBSTITUTE(UPPER(S2430)," ",""),":",": "))),0)),"Não encontrado")</f>
        <v>Não encontrado</v>
      </c>
      <c r="D2430" s="46" t="str" cm="1">
        <f t="array" ref="D2430">IFERROR(INDEX(#REF!,MATCH(TRUE,ISNUMBER(FIND(SUBSTITUTE(SUBSTITUTE(UPPER(#REF!)," ",""),":",": "),SUBSTITUTE(SUBSTITUTE(UPPER(S2430)," ",""),":",": "))),0)),"Não encontrado")</f>
        <v>Não encontrado</v>
      </c>
      <c r="E2430" s="42" t="str" cm="1">
        <f t="array" ref="E2430">IFERROR(INDEX({"IMPEDITIVO"},MATCH(TRUE,ISNUMBER(FIND(SUBSTITUTE(SUBSTITUTE(UPPER({"IMPEDITIVO"})," ",""),":",": "),SUBSTITUTE(SUBSTITUTE(UPPER(S2430)," ",""),":",": "))),0)),"-")</f>
        <v>-</v>
      </c>
      <c r="K2430" s="49"/>
    </row>
    <row r="2431" spans="1:11" x14ac:dyDescent="0.25">
      <c r="A2431" s="46" t="str" cm="1">
        <f t="array" ref="A2431">IFERROR(INDEX(#REF!,MATCH(TRUE,ISNUMBER(FIND(SUBSTITUTE(SUBSTITUTE(UPPER(#REF!)," ",""),":",": "),SUBSTITUTE(SUBSTITUTE(UPPER(S2431)," ",""),":",": "))),0)),"Undefined")</f>
        <v>Undefined</v>
      </c>
      <c r="B2431" s="42" t="str" cm="1">
        <f t="array" ref="B2431">IFERROR(INDEX({"URGENTE"},MATCH(TRUE,ISNUMBER(FIND(SUBSTITUTE(SUBSTITUTE(UPPER({"URGENTE"})," ",""),":",": "),SUBSTITUTE(SUBSTITUTE(UPPER(S2431)," ",""),":",": "))),0)),"-")</f>
        <v>-</v>
      </c>
      <c r="C2431" s="46" t="str" cm="1">
        <f t="array" ref="C2431">IFERROR(INDEX(#REF!,MATCH(TRUE,ISNUMBER(FIND(SUBSTITUTE(SUBSTITUTE(UPPER(#REF!)," ",""),":",": "),SUBSTITUTE(SUBSTITUTE(UPPER(S2431)," ",""),":",": "))),0)),"Não encontrado")</f>
        <v>Não encontrado</v>
      </c>
      <c r="D2431" s="46" t="str" cm="1">
        <f t="array" ref="D2431">IFERROR(INDEX(#REF!,MATCH(TRUE,ISNUMBER(FIND(SUBSTITUTE(SUBSTITUTE(UPPER(#REF!)," ",""),":",": "),SUBSTITUTE(SUBSTITUTE(UPPER(S2431)," ",""),":",": "))),0)),"Não encontrado")</f>
        <v>Não encontrado</v>
      </c>
      <c r="E2431" s="42" t="str" cm="1">
        <f t="array" ref="E2431">IFERROR(INDEX({"IMPEDITIVO"},MATCH(TRUE,ISNUMBER(FIND(SUBSTITUTE(SUBSTITUTE(UPPER({"IMPEDITIVO"})," ",""),":",": "),SUBSTITUTE(SUBSTITUTE(UPPER(S2431)," ",""),":",": "))),0)),"-")</f>
        <v>-</v>
      </c>
      <c r="K2431" s="49"/>
    </row>
    <row r="2432" spans="1:11" x14ac:dyDescent="0.25">
      <c r="A2432" s="46" t="str" cm="1">
        <f t="array" ref="A2432">IFERROR(INDEX(#REF!,MATCH(TRUE,ISNUMBER(FIND(SUBSTITUTE(SUBSTITUTE(UPPER(#REF!)," ",""),":",": "),SUBSTITUTE(SUBSTITUTE(UPPER(S2432)," ",""),":",": "))),0)),"Undefined")</f>
        <v>Undefined</v>
      </c>
      <c r="B2432" s="42" t="str" cm="1">
        <f t="array" ref="B2432">IFERROR(INDEX({"URGENTE"},MATCH(TRUE,ISNUMBER(FIND(SUBSTITUTE(SUBSTITUTE(UPPER({"URGENTE"})," ",""),":",": "),SUBSTITUTE(SUBSTITUTE(UPPER(S2432)," ",""),":",": "))),0)),"-")</f>
        <v>-</v>
      </c>
      <c r="C2432" s="46" t="str" cm="1">
        <f t="array" ref="C2432">IFERROR(INDEX(#REF!,MATCH(TRUE,ISNUMBER(FIND(SUBSTITUTE(SUBSTITUTE(UPPER(#REF!)," ",""),":",": "),SUBSTITUTE(SUBSTITUTE(UPPER(S2432)," ",""),":",": "))),0)),"Não encontrado")</f>
        <v>Não encontrado</v>
      </c>
      <c r="D2432" s="46" t="str" cm="1">
        <f t="array" ref="D2432">IFERROR(INDEX(#REF!,MATCH(TRUE,ISNUMBER(FIND(SUBSTITUTE(SUBSTITUTE(UPPER(#REF!)," ",""),":",": "),SUBSTITUTE(SUBSTITUTE(UPPER(S2432)," ",""),":",": "))),0)),"Não encontrado")</f>
        <v>Não encontrado</v>
      </c>
      <c r="E2432" s="42" t="str" cm="1">
        <f t="array" ref="E2432">IFERROR(INDEX({"IMPEDITIVO"},MATCH(TRUE,ISNUMBER(FIND(SUBSTITUTE(SUBSTITUTE(UPPER({"IMPEDITIVO"})," ",""),":",": "),SUBSTITUTE(SUBSTITUTE(UPPER(S2432)," ",""),":",": "))),0)),"-")</f>
        <v>-</v>
      </c>
      <c r="K2432" s="49"/>
    </row>
    <row r="2433" spans="1:11" x14ac:dyDescent="0.25">
      <c r="A2433" s="46" t="str" cm="1">
        <f t="array" ref="A2433">IFERROR(INDEX(#REF!,MATCH(TRUE,ISNUMBER(FIND(SUBSTITUTE(SUBSTITUTE(UPPER(#REF!)," ",""),":",": "),SUBSTITUTE(SUBSTITUTE(UPPER(S2433)," ",""),":",": "))),0)),"Undefined")</f>
        <v>Undefined</v>
      </c>
      <c r="B2433" s="42" t="str" cm="1">
        <f t="array" ref="B2433">IFERROR(INDEX({"URGENTE"},MATCH(TRUE,ISNUMBER(FIND(SUBSTITUTE(SUBSTITUTE(UPPER({"URGENTE"})," ",""),":",": "),SUBSTITUTE(SUBSTITUTE(UPPER(S2433)," ",""),":",": "))),0)),"-")</f>
        <v>-</v>
      </c>
      <c r="C2433" s="46" t="str" cm="1">
        <f t="array" ref="C2433">IFERROR(INDEX(#REF!,MATCH(TRUE,ISNUMBER(FIND(SUBSTITUTE(SUBSTITUTE(UPPER(#REF!)," ",""),":",": "),SUBSTITUTE(SUBSTITUTE(UPPER(S2433)," ",""),":",": "))),0)),"Não encontrado")</f>
        <v>Não encontrado</v>
      </c>
      <c r="D2433" s="46" t="str" cm="1">
        <f t="array" ref="D2433">IFERROR(INDEX(#REF!,MATCH(TRUE,ISNUMBER(FIND(SUBSTITUTE(SUBSTITUTE(UPPER(#REF!)," ",""),":",": "),SUBSTITUTE(SUBSTITUTE(UPPER(S2433)," ",""),":",": "))),0)),"Não encontrado")</f>
        <v>Não encontrado</v>
      </c>
      <c r="E2433" s="42" t="str" cm="1">
        <f t="array" ref="E2433">IFERROR(INDEX({"IMPEDITIVO"},MATCH(TRUE,ISNUMBER(FIND(SUBSTITUTE(SUBSTITUTE(UPPER({"IMPEDITIVO"})," ",""),":",": "),SUBSTITUTE(SUBSTITUTE(UPPER(S2433)," ",""),":",": "))),0)),"-")</f>
        <v>-</v>
      </c>
      <c r="K2433" s="49"/>
    </row>
    <row r="2434" spans="1:11" x14ac:dyDescent="0.25">
      <c r="A2434" s="46" t="str" cm="1">
        <f t="array" ref="A2434">IFERROR(INDEX(#REF!,MATCH(TRUE,ISNUMBER(FIND(SUBSTITUTE(SUBSTITUTE(UPPER(#REF!)," ",""),":",": "),SUBSTITUTE(SUBSTITUTE(UPPER(S2434)," ",""),":",": "))),0)),"Undefined")</f>
        <v>Undefined</v>
      </c>
      <c r="B2434" s="42" t="str" cm="1">
        <f t="array" ref="B2434">IFERROR(INDEX({"URGENTE"},MATCH(TRUE,ISNUMBER(FIND(SUBSTITUTE(SUBSTITUTE(UPPER({"URGENTE"})," ",""),":",": "),SUBSTITUTE(SUBSTITUTE(UPPER(S2434)," ",""),":",": "))),0)),"-")</f>
        <v>-</v>
      </c>
      <c r="C2434" s="46" t="str" cm="1">
        <f t="array" ref="C2434">IFERROR(INDEX(#REF!,MATCH(TRUE,ISNUMBER(FIND(SUBSTITUTE(SUBSTITUTE(UPPER(#REF!)," ",""),":",": "),SUBSTITUTE(SUBSTITUTE(UPPER(S2434)," ",""),":",": "))),0)),"Não encontrado")</f>
        <v>Não encontrado</v>
      </c>
      <c r="D2434" s="46" t="str" cm="1">
        <f t="array" ref="D2434">IFERROR(INDEX(#REF!,MATCH(TRUE,ISNUMBER(FIND(SUBSTITUTE(SUBSTITUTE(UPPER(#REF!)," ",""),":",": "),SUBSTITUTE(SUBSTITUTE(UPPER(S2434)," ",""),":",": "))),0)),"Não encontrado")</f>
        <v>Não encontrado</v>
      </c>
      <c r="E2434" s="42" t="str" cm="1">
        <f t="array" ref="E2434">IFERROR(INDEX({"IMPEDITIVO"},MATCH(TRUE,ISNUMBER(FIND(SUBSTITUTE(SUBSTITUTE(UPPER({"IMPEDITIVO"})," ",""),":",": "),SUBSTITUTE(SUBSTITUTE(UPPER(S2434)," ",""),":",": "))),0)),"-")</f>
        <v>-</v>
      </c>
      <c r="K2434" s="49"/>
    </row>
    <row r="2435" spans="1:11" x14ac:dyDescent="0.25">
      <c r="A2435" s="46" t="str" cm="1">
        <f t="array" ref="A2435">IFERROR(INDEX(#REF!,MATCH(TRUE,ISNUMBER(FIND(SUBSTITUTE(SUBSTITUTE(UPPER(#REF!)," ",""),":",": "),SUBSTITUTE(SUBSTITUTE(UPPER(S2435)," ",""),":",": "))),0)),"Undefined")</f>
        <v>Undefined</v>
      </c>
      <c r="B2435" s="42" t="str" cm="1">
        <f t="array" ref="B2435">IFERROR(INDEX({"URGENTE"},MATCH(TRUE,ISNUMBER(FIND(SUBSTITUTE(SUBSTITUTE(UPPER({"URGENTE"})," ",""),":",": "),SUBSTITUTE(SUBSTITUTE(UPPER(S2435)," ",""),":",": "))),0)),"-")</f>
        <v>-</v>
      </c>
      <c r="C2435" s="46" t="str" cm="1">
        <f t="array" ref="C2435">IFERROR(INDEX(#REF!,MATCH(TRUE,ISNUMBER(FIND(SUBSTITUTE(SUBSTITUTE(UPPER(#REF!)," ",""),":",": "),SUBSTITUTE(SUBSTITUTE(UPPER(S2435)," ",""),":",": "))),0)),"Não encontrado")</f>
        <v>Não encontrado</v>
      </c>
      <c r="D2435" s="46" t="str" cm="1">
        <f t="array" ref="D2435">IFERROR(INDEX(#REF!,MATCH(TRUE,ISNUMBER(FIND(SUBSTITUTE(SUBSTITUTE(UPPER(#REF!)," ",""),":",": "),SUBSTITUTE(SUBSTITUTE(UPPER(S2435)," ",""),":",": "))),0)),"Não encontrado")</f>
        <v>Não encontrado</v>
      </c>
      <c r="E2435" s="42" t="str" cm="1">
        <f t="array" ref="E2435">IFERROR(INDEX({"IMPEDITIVO"},MATCH(TRUE,ISNUMBER(FIND(SUBSTITUTE(SUBSTITUTE(UPPER({"IMPEDITIVO"})," ",""),":",": "),SUBSTITUTE(SUBSTITUTE(UPPER(S2435)," ",""),":",": "))),0)),"-")</f>
        <v>-</v>
      </c>
      <c r="K2435" s="49"/>
    </row>
    <row r="2436" spans="1:11" x14ac:dyDescent="0.25">
      <c r="A2436" s="46" t="str" cm="1">
        <f t="array" ref="A2436">IFERROR(INDEX(#REF!,MATCH(TRUE,ISNUMBER(FIND(SUBSTITUTE(SUBSTITUTE(UPPER(#REF!)," ",""),":",": "),SUBSTITUTE(SUBSTITUTE(UPPER(S2436)," ",""),":",": "))),0)),"Undefined")</f>
        <v>Undefined</v>
      </c>
      <c r="B2436" s="42" t="str" cm="1">
        <f t="array" ref="B2436">IFERROR(INDEX({"URGENTE"},MATCH(TRUE,ISNUMBER(FIND(SUBSTITUTE(SUBSTITUTE(UPPER({"URGENTE"})," ",""),":",": "),SUBSTITUTE(SUBSTITUTE(UPPER(S2436)," ",""),":",": "))),0)),"-")</f>
        <v>-</v>
      </c>
      <c r="C2436" s="46" t="str" cm="1">
        <f t="array" ref="C2436">IFERROR(INDEX(#REF!,MATCH(TRUE,ISNUMBER(FIND(SUBSTITUTE(SUBSTITUTE(UPPER(#REF!)," ",""),":",": "),SUBSTITUTE(SUBSTITUTE(UPPER(S2436)," ",""),":",": "))),0)),"Não encontrado")</f>
        <v>Não encontrado</v>
      </c>
      <c r="D2436" s="46" t="str" cm="1">
        <f t="array" ref="D2436">IFERROR(INDEX(#REF!,MATCH(TRUE,ISNUMBER(FIND(SUBSTITUTE(SUBSTITUTE(UPPER(#REF!)," ",""),":",": "),SUBSTITUTE(SUBSTITUTE(UPPER(S2436)," ",""),":",": "))),0)),"Não encontrado")</f>
        <v>Não encontrado</v>
      </c>
      <c r="E2436" s="42" t="str" cm="1">
        <f t="array" ref="E2436">IFERROR(INDEX({"IMPEDITIVO"},MATCH(TRUE,ISNUMBER(FIND(SUBSTITUTE(SUBSTITUTE(UPPER({"IMPEDITIVO"})," ",""),":",": "),SUBSTITUTE(SUBSTITUTE(UPPER(S2436)," ",""),":",": "))),0)),"-")</f>
        <v>-</v>
      </c>
      <c r="K2436" s="49"/>
    </row>
    <row r="2437" spans="1:11" x14ac:dyDescent="0.25">
      <c r="A2437" s="46" t="str" cm="1">
        <f t="array" ref="A2437">IFERROR(INDEX(#REF!,MATCH(TRUE,ISNUMBER(FIND(SUBSTITUTE(SUBSTITUTE(UPPER(#REF!)," ",""),":",": "),SUBSTITUTE(SUBSTITUTE(UPPER(S2437)," ",""),":",": "))),0)),"Undefined")</f>
        <v>Undefined</v>
      </c>
      <c r="B2437" s="42" t="str" cm="1">
        <f t="array" ref="B2437">IFERROR(INDEX({"URGENTE"},MATCH(TRUE,ISNUMBER(FIND(SUBSTITUTE(SUBSTITUTE(UPPER({"URGENTE"})," ",""),":",": "),SUBSTITUTE(SUBSTITUTE(UPPER(S2437)," ",""),":",": "))),0)),"-")</f>
        <v>-</v>
      </c>
      <c r="C2437" s="46" t="str" cm="1">
        <f t="array" ref="C2437">IFERROR(INDEX(#REF!,MATCH(TRUE,ISNUMBER(FIND(SUBSTITUTE(SUBSTITUTE(UPPER(#REF!)," ",""),":",": "),SUBSTITUTE(SUBSTITUTE(UPPER(S2437)," ",""),":",": "))),0)),"Não encontrado")</f>
        <v>Não encontrado</v>
      </c>
      <c r="D2437" s="46" t="str" cm="1">
        <f t="array" ref="D2437">IFERROR(INDEX(#REF!,MATCH(TRUE,ISNUMBER(FIND(SUBSTITUTE(SUBSTITUTE(UPPER(#REF!)," ",""),":",": "),SUBSTITUTE(SUBSTITUTE(UPPER(S2437)," ",""),":",": "))),0)),"Não encontrado")</f>
        <v>Não encontrado</v>
      </c>
      <c r="E2437" s="42" t="str" cm="1">
        <f t="array" ref="E2437">IFERROR(INDEX({"IMPEDITIVO"},MATCH(TRUE,ISNUMBER(FIND(SUBSTITUTE(SUBSTITUTE(UPPER({"IMPEDITIVO"})," ",""),":",": "),SUBSTITUTE(SUBSTITUTE(UPPER(S2437)," ",""),":",": "))),0)),"-")</f>
        <v>-</v>
      </c>
      <c r="K2437" s="49"/>
    </row>
    <row r="2438" spans="1:11" x14ac:dyDescent="0.25">
      <c r="A2438" s="46" t="str" cm="1">
        <f t="array" ref="A2438">IFERROR(INDEX(#REF!,MATCH(TRUE,ISNUMBER(FIND(SUBSTITUTE(SUBSTITUTE(UPPER(#REF!)," ",""),":",": "),SUBSTITUTE(SUBSTITUTE(UPPER(S2438)," ",""),":",": "))),0)),"Undefined")</f>
        <v>Undefined</v>
      </c>
      <c r="B2438" s="42" t="str" cm="1">
        <f t="array" ref="B2438">IFERROR(INDEX({"URGENTE"},MATCH(TRUE,ISNUMBER(FIND(SUBSTITUTE(SUBSTITUTE(UPPER({"URGENTE"})," ",""),":",": "),SUBSTITUTE(SUBSTITUTE(UPPER(S2438)," ",""),":",": "))),0)),"-")</f>
        <v>-</v>
      </c>
      <c r="C2438" s="46" t="str" cm="1">
        <f t="array" ref="C2438">IFERROR(INDEX(#REF!,MATCH(TRUE,ISNUMBER(FIND(SUBSTITUTE(SUBSTITUTE(UPPER(#REF!)," ",""),":",": "),SUBSTITUTE(SUBSTITUTE(UPPER(S2438)," ",""),":",": "))),0)),"Não encontrado")</f>
        <v>Não encontrado</v>
      </c>
      <c r="D2438" s="46" t="str" cm="1">
        <f t="array" ref="D2438">IFERROR(INDEX(#REF!,MATCH(TRUE,ISNUMBER(FIND(SUBSTITUTE(SUBSTITUTE(UPPER(#REF!)," ",""),":",": "),SUBSTITUTE(SUBSTITUTE(UPPER(S2438)," ",""),":",": "))),0)),"Não encontrado")</f>
        <v>Não encontrado</v>
      </c>
      <c r="E2438" s="42" t="str" cm="1">
        <f t="array" ref="E2438">IFERROR(INDEX({"IMPEDITIVO"},MATCH(TRUE,ISNUMBER(FIND(SUBSTITUTE(SUBSTITUTE(UPPER({"IMPEDITIVO"})," ",""),":",": "),SUBSTITUTE(SUBSTITUTE(UPPER(S2438)," ",""),":",": "))),0)),"-")</f>
        <v>-</v>
      </c>
      <c r="K2438" s="49"/>
    </row>
    <row r="2439" spans="1:11" x14ac:dyDescent="0.25">
      <c r="A2439" s="46" t="str" cm="1">
        <f t="array" ref="A2439">IFERROR(INDEX(#REF!,MATCH(TRUE,ISNUMBER(FIND(SUBSTITUTE(SUBSTITUTE(UPPER(#REF!)," ",""),":",": "),SUBSTITUTE(SUBSTITUTE(UPPER(S2439)," ",""),":",": "))),0)),"Undefined")</f>
        <v>Undefined</v>
      </c>
      <c r="B2439" s="42" t="str" cm="1">
        <f t="array" ref="B2439">IFERROR(INDEX({"URGENTE"},MATCH(TRUE,ISNUMBER(FIND(SUBSTITUTE(SUBSTITUTE(UPPER({"URGENTE"})," ",""),":",": "),SUBSTITUTE(SUBSTITUTE(UPPER(S2439)," ",""),":",": "))),0)),"-")</f>
        <v>-</v>
      </c>
      <c r="C2439" s="46" t="str" cm="1">
        <f t="array" ref="C2439">IFERROR(INDEX(#REF!,MATCH(TRUE,ISNUMBER(FIND(SUBSTITUTE(SUBSTITUTE(UPPER(#REF!)," ",""),":",": "),SUBSTITUTE(SUBSTITUTE(UPPER(S2439)," ",""),":",": "))),0)),"Não encontrado")</f>
        <v>Não encontrado</v>
      </c>
      <c r="D2439" s="46" t="str" cm="1">
        <f t="array" ref="D2439">IFERROR(INDEX(#REF!,MATCH(TRUE,ISNUMBER(FIND(SUBSTITUTE(SUBSTITUTE(UPPER(#REF!)," ",""),":",": "),SUBSTITUTE(SUBSTITUTE(UPPER(S2439)," ",""),":",": "))),0)),"Não encontrado")</f>
        <v>Não encontrado</v>
      </c>
      <c r="E2439" s="42" t="str" cm="1">
        <f t="array" ref="E2439">IFERROR(INDEX({"IMPEDITIVO"},MATCH(TRUE,ISNUMBER(FIND(SUBSTITUTE(SUBSTITUTE(UPPER({"IMPEDITIVO"})," ",""),":",": "),SUBSTITUTE(SUBSTITUTE(UPPER(S2439)," ",""),":",": "))),0)),"-")</f>
        <v>-</v>
      </c>
      <c r="K2439" s="49"/>
    </row>
    <row r="2440" spans="1:11" x14ac:dyDescent="0.25">
      <c r="A2440" s="46" t="str" cm="1">
        <f t="array" ref="A2440">IFERROR(INDEX(#REF!,MATCH(TRUE,ISNUMBER(FIND(SUBSTITUTE(SUBSTITUTE(UPPER(#REF!)," ",""),":",": "),SUBSTITUTE(SUBSTITUTE(UPPER(S2440)," ",""),":",": "))),0)),"Undefined")</f>
        <v>Undefined</v>
      </c>
      <c r="B2440" s="42" t="str" cm="1">
        <f t="array" ref="B2440">IFERROR(INDEX({"URGENTE"},MATCH(TRUE,ISNUMBER(FIND(SUBSTITUTE(SUBSTITUTE(UPPER({"URGENTE"})," ",""),":",": "),SUBSTITUTE(SUBSTITUTE(UPPER(S2440)," ",""),":",": "))),0)),"-")</f>
        <v>-</v>
      </c>
      <c r="C2440" s="46" t="str" cm="1">
        <f t="array" ref="C2440">IFERROR(INDEX(#REF!,MATCH(TRUE,ISNUMBER(FIND(SUBSTITUTE(SUBSTITUTE(UPPER(#REF!)," ",""),":",": "),SUBSTITUTE(SUBSTITUTE(UPPER(S2440)," ",""),":",": "))),0)),"Não encontrado")</f>
        <v>Não encontrado</v>
      </c>
      <c r="D2440" s="46" t="str" cm="1">
        <f t="array" ref="D2440">IFERROR(INDEX(#REF!,MATCH(TRUE,ISNUMBER(FIND(SUBSTITUTE(SUBSTITUTE(UPPER(#REF!)," ",""),":",": "),SUBSTITUTE(SUBSTITUTE(UPPER(S2440)," ",""),":",": "))),0)),"Não encontrado")</f>
        <v>Não encontrado</v>
      </c>
      <c r="E2440" s="42" t="str" cm="1">
        <f t="array" ref="E2440">IFERROR(INDEX({"IMPEDITIVO"},MATCH(TRUE,ISNUMBER(FIND(SUBSTITUTE(SUBSTITUTE(UPPER({"IMPEDITIVO"})," ",""),":",": "),SUBSTITUTE(SUBSTITUTE(UPPER(S2440)," ",""),":",": "))),0)),"-")</f>
        <v>-</v>
      </c>
      <c r="K2440" s="49"/>
    </row>
    <row r="2441" spans="1:11" x14ac:dyDescent="0.25">
      <c r="A2441" s="46" t="str" cm="1">
        <f t="array" ref="A2441">IFERROR(INDEX(#REF!,MATCH(TRUE,ISNUMBER(FIND(SUBSTITUTE(SUBSTITUTE(UPPER(#REF!)," ",""),":",": "),SUBSTITUTE(SUBSTITUTE(UPPER(S2441)," ",""),":",": "))),0)),"Undefined")</f>
        <v>Undefined</v>
      </c>
      <c r="B2441" s="42" t="str" cm="1">
        <f t="array" ref="B2441">IFERROR(INDEX({"URGENTE"},MATCH(TRUE,ISNUMBER(FIND(SUBSTITUTE(SUBSTITUTE(UPPER({"URGENTE"})," ",""),":",": "),SUBSTITUTE(SUBSTITUTE(UPPER(S2441)," ",""),":",": "))),0)),"-")</f>
        <v>-</v>
      </c>
      <c r="C2441" s="46" t="str" cm="1">
        <f t="array" ref="C2441">IFERROR(INDEX(#REF!,MATCH(TRUE,ISNUMBER(FIND(SUBSTITUTE(SUBSTITUTE(UPPER(#REF!)," ",""),":",": "),SUBSTITUTE(SUBSTITUTE(UPPER(S2441)," ",""),":",": "))),0)),"Não encontrado")</f>
        <v>Não encontrado</v>
      </c>
      <c r="D2441" s="46" t="str" cm="1">
        <f t="array" ref="D2441">IFERROR(INDEX(#REF!,MATCH(TRUE,ISNUMBER(FIND(SUBSTITUTE(SUBSTITUTE(UPPER(#REF!)," ",""),":",": "),SUBSTITUTE(SUBSTITUTE(UPPER(S2441)," ",""),":",": "))),0)),"Não encontrado")</f>
        <v>Não encontrado</v>
      </c>
      <c r="E2441" s="42" t="str" cm="1">
        <f t="array" ref="E2441">IFERROR(INDEX({"IMPEDITIVO"},MATCH(TRUE,ISNUMBER(FIND(SUBSTITUTE(SUBSTITUTE(UPPER({"IMPEDITIVO"})," ",""),":",": "),SUBSTITUTE(SUBSTITUTE(UPPER(S2441)," ",""),":",": "))),0)),"-")</f>
        <v>-</v>
      </c>
      <c r="K2441" s="49"/>
    </row>
    <row r="2442" spans="1:11" x14ac:dyDescent="0.25">
      <c r="A2442" s="46" t="str" cm="1">
        <f t="array" ref="A2442">IFERROR(INDEX(#REF!,MATCH(TRUE,ISNUMBER(FIND(SUBSTITUTE(SUBSTITUTE(UPPER(#REF!)," ",""),":",": "),SUBSTITUTE(SUBSTITUTE(UPPER(S2442)," ",""),":",": "))),0)),"Undefined")</f>
        <v>Undefined</v>
      </c>
      <c r="B2442" s="42" t="str" cm="1">
        <f t="array" ref="B2442">IFERROR(INDEX({"URGENTE"},MATCH(TRUE,ISNUMBER(FIND(SUBSTITUTE(SUBSTITUTE(UPPER({"URGENTE"})," ",""),":",": "),SUBSTITUTE(SUBSTITUTE(UPPER(S2442)," ",""),":",": "))),0)),"-")</f>
        <v>-</v>
      </c>
      <c r="C2442" s="46" t="str" cm="1">
        <f t="array" ref="C2442">IFERROR(INDEX(#REF!,MATCH(TRUE,ISNUMBER(FIND(SUBSTITUTE(SUBSTITUTE(UPPER(#REF!)," ",""),":",": "),SUBSTITUTE(SUBSTITUTE(UPPER(S2442)," ",""),":",": "))),0)),"Não encontrado")</f>
        <v>Não encontrado</v>
      </c>
      <c r="D2442" s="46" t="str" cm="1">
        <f t="array" ref="D2442">IFERROR(INDEX(#REF!,MATCH(TRUE,ISNUMBER(FIND(SUBSTITUTE(SUBSTITUTE(UPPER(#REF!)," ",""),":",": "),SUBSTITUTE(SUBSTITUTE(UPPER(S2442)," ",""),":",": "))),0)),"Não encontrado")</f>
        <v>Não encontrado</v>
      </c>
      <c r="E2442" s="42" t="str" cm="1">
        <f t="array" ref="E2442">IFERROR(INDEX({"IMPEDITIVO"},MATCH(TRUE,ISNUMBER(FIND(SUBSTITUTE(SUBSTITUTE(UPPER({"IMPEDITIVO"})," ",""),":",": "),SUBSTITUTE(SUBSTITUTE(UPPER(S2442)," ",""),":",": "))),0)),"-")</f>
        <v>-</v>
      </c>
      <c r="K2442" s="49"/>
    </row>
    <row r="2443" spans="1:11" x14ac:dyDescent="0.25">
      <c r="A2443" s="46" t="str" cm="1">
        <f t="array" ref="A2443">IFERROR(INDEX(#REF!,MATCH(TRUE,ISNUMBER(FIND(SUBSTITUTE(SUBSTITUTE(UPPER(#REF!)," ",""),":",": "),SUBSTITUTE(SUBSTITUTE(UPPER(S2443)," ",""),":",": "))),0)),"Undefined")</f>
        <v>Undefined</v>
      </c>
      <c r="B2443" s="42" t="str" cm="1">
        <f t="array" ref="B2443">IFERROR(INDEX({"URGENTE"},MATCH(TRUE,ISNUMBER(FIND(SUBSTITUTE(SUBSTITUTE(UPPER({"URGENTE"})," ",""),":",": "),SUBSTITUTE(SUBSTITUTE(UPPER(S2443)," ",""),":",": "))),0)),"-")</f>
        <v>-</v>
      </c>
      <c r="C2443" s="46" t="str" cm="1">
        <f t="array" ref="C2443">IFERROR(INDEX(#REF!,MATCH(TRUE,ISNUMBER(FIND(SUBSTITUTE(SUBSTITUTE(UPPER(#REF!)," ",""),":",": "),SUBSTITUTE(SUBSTITUTE(UPPER(S2443)," ",""),":",": "))),0)),"Não encontrado")</f>
        <v>Não encontrado</v>
      </c>
      <c r="D2443" s="46" t="str" cm="1">
        <f t="array" ref="D2443">IFERROR(INDEX(#REF!,MATCH(TRUE,ISNUMBER(FIND(SUBSTITUTE(SUBSTITUTE(UPPER(#REF!)," ",""),":",": "),SUBSTITUTE(SUBSTITUTE(UPPER(S2443)," ",""),":",": "))),0)),"Não encontrado")</f>
        <v>Não encontrado</v>
      </c>
      <c r="E2443" s="42" t="str" cm="1">
        <f t="array" ref="E2443">IFERROR(INDEX({"IMPEDITIVO"},MATCH(TRUE,ISNUMBER(FIND(SUBSTITUTE(SUBSTITUTE(UPPER({"IMPEDITIVO"})," ",""),":",": "),SUBSTITUTE(SUBSTITUTE(UPPER(S2443)," ",""),":",": "))),0)),"-")</f>
        <v>-</v>
      </c>
      <c r="K2443" s="49"/>
    </row>
    <row r="2444" spans="1:11" x14ac:dyDescent="0.25">
      <c r="A2444" s="46" t="str" cm="1">
        <f t="array" ref="A2444">IFERROR(INDEX(#REF!,MATCH(TRUE,ISNUMBER(FIND(SUBSTITUTE(SUBSTITUTE(UPPER(#REF!)," ",""),":",": "),SUBSTITUTE(SUBSTITUTE(UPPER(S2444)," ",""),":",": "))),0)),"Undefined")</f>
        <v>Undefined</v>
      </c>
      <c r="B2444" s="42" t="str" cm="1">
        <f t="array" ref="B2444">IFERROR(INDEX({"URGENTE"},MATCH(TRUE,ISNUMBER(FIND(SUBSTITUTE(SUBSTITUTE(UPPER({"URGENTE"})," ",""),":",": "),SUBSTITUTE(SUBSTITUTE(UPPER(S2444)," ",""),":",": "))),0)),"-")</f>
        <v>-</v>
      </c>
      <c r="C2444" s="46" t="str" cm="1">
        <f t="array" ref="C2444">IFERROR(INDEX(#REF!,MATCH(TRUE,ISNUMBER(FIND(SUBSTITUTE(SUBSTITUTE(UPPER(#REF!)," ",""),":",": "),SUBSTITUTE(SUBSTITUTE(UPPER(S2444)," ",""),":",": "))),0)),"Não encontrado")</f>
        <v>Não encontrado</v>
      </c>
      <c r="D2444" s="46" t="str" cm="1">
        <f t="array" ref="D2444">IFERROR(INDEX(#REF!,MATCH(TRUE,ISNUMBER(FIND(SUBSTITUTE(SUBSTITUTE(UPPER(#REF!)," ",""),":",": "),SUBSTITUTE(SUBSTITUTE(UPPER(S2444)," ",""),":",": "))),0)),"Não encontrado")</f>
        <v>Não encontrado</v>
      </c>
      <c r="E2444" s="42" t="str" cm="1">
        <f t="array" ref="E2444">IFERROR(INDEX({"IMPEDITIVO"},MATCH(TRUE,ISNUMBER(FIND(SUBSTITUTE(SUBSTITUTE(UPPER({"IMPEDITIVO"})," ",""),":",": "),SUBSTITUTE(SUBSTITUTE(UPPER(S2444)," ",""),":",": "))),0)),"-")</f>
        <v>-</v>
      </c>
      <c r="K2444" s="49"/>
    </row>
    <row r="2445" spans="1:11" x14ac:dyDescent="0.25">
      <c r="A2445" s="46" t="str" cm="1">
        <f t="array" ref="A2445">IFERROR(INDEX(#REF!,MATCH(TRUE,ISNUMBER(FIND(SUBSTITUTE(SUBSTITUTE(UPPER(#REF!)," ",""),":",": "),SUBSTITUTE(SUBSTITUTE(UPPER(S2445)," ",""),":",": "))),0)),"Undefined")</f>
        <v>Undefined</v>
      </c>
      <c r="B2445" s="42" t="str" cm="1">
        <f t="array" ref="B2445">IFERROR(INDEX({"URGENTE"},MATCH(TRUE,ISNUMBER(FIND(SUBSTITUTE(SUBSTITUTE(UPPER({"URGENTE"})," ",""),":",": "),SUBSTITUTE(SUBSTITUTE(UPPER(S2445)," ",""),":",": "))),0)),"-")</f>
        <v>-</v>
      </c>
      <c r="C2445" s="46" t="str" cm="1">
        <f t="array" ref="C2445">IFERROR(INDEX(#REF!,MATCH(TRUE,ISNUMBER(FIND(SUBSTITUTE(SUBSTITUTE(UPPER(#REF!)," ",""),":",": "),SUBSTITUTE(SUBSTITUTE(UPPER(S2445)," ",""),":",": "))),0)),"Não encontrado")</f>
        <v>Não encontrado</v>
      </c>
      <c r="D2445" s="46" t="str" cm="1">
        <f t="array" ref="D2445">IFERROR(INDEX(#REF!,MATCH(TRUE,ISNUMBER(FIND(SUBSTITUTE(SUBSTITUTE(UPPER(#REF!)," ",""),":",": "),SUBSTITUTE(SUBSTITUTE(UPPER(S2445)," ",""),":",": "))),0)),"Não encontrado")</f>
        <v>Não encontrado</v>
      </c>
      <c r="E2445" s="42" t="str" cm="1">
        <f t="array" ref="E2445">IFERROR(INDEX({"IMPEDITIVO"},MATCH(TRUE,ISNUMBER(FIND(SUBSTITUTE(SUBSTITUTE(UPPER({"IMPEDITIVO"})," ",""),":",": "),SUBSTITUTE(SUBSTITUTE(UPPER(S2445)," ",""),":",": "))),0)),"-")</f>
        <v>-</v>
      </c>
      <c r="K2445" s="49"/>
    </row>
    <row r="2446" spans="1:11" x14ac:dyDescent="0.25">
      <c r="A2446" s="46" t="str" cm="1">
        <f t="array" ref="A2446">IFERROR(INDEX(#REF!,MATCH(TRUE,ISNUMBER(FIND(SUBSTITUTE(SUBSTITUTE(UPPER(#REF!)," ",""),":",": "),SUBSTITUTE(SUBSTITUTE(UPPER(S2446)," ",""),":",": "))),0)),"Undefined")</f>
        <v>Undefined</v>
      </c>
      <c r="B2446" s="42" t="str" cm="1">
        <f t="array" ref="B2446">IFERROR(INDEX({"URGENTE"},MATCH(TRUE,ISNUMBER(FIND(SUBSTITUTE(SUBSTITUTE(UPPER({"URGENTE"})," ",""),":",": "),SUBSTITUTE(SUBSTITUTE(UPPER(S2446)," ",""),":",": "))),0)),"-")</f>
        <v>-</v>
      </c>
      <c r="C2446" s="46" t="str" cm="1">
        <f t="array" ref="C2446">IFERROR(INDEX(#REF!,MATCH(TRUE,ISNUMBER(FIND(SUBSTITUTE(SUBSTITUTE(UPPER(#REF!)," ",""),":",": "),SUBSTITUTE(SUBSTITUTE(UPPER(S2446)," ",""),":",": "))),0)),"Não encontrado")</f>
        <v>Não encontrado</v>
      </c>
      <c r="D2446" s="46" t="str" cm="1">
        <f t="array" ref="D2446">IFERROR(INDEX(#REF!,MATCH(TRUE,ISNUMBER(FIND(SUBSTITUTE(SUBSTITUTE(UPPER(#REF!)," ",""),":",": "),SUBSTITUTE(SUBSTITUTE(UPPER(S2446)," ",""),":",": "))),0)),"Não encontrado")</f>
        <v>Não encontrado</v>
      </c>
      <c r="E2446" s="42" t="str" cm="1">
        <f t="array" ref="E2446">IFERROR(INDEX({"IMPEDITIVO"},MATCH(TRUE,ISNUMBER(FIND(SUBSTITUTE(SUBSTITUTE(UPPER({"IMPEDITIVO"})," ",""),":",": "),SUBSTITUTE(SUBSTITUTE(UPPER(S2446)," ",""),":",": "))),0)),"-")</f>
        <v>-</v>
      </c>
      <c r="K2446" s="49"/>
    </row>
    <row r="2447" spans="1:11" x14ac:dyDescent="0.25">
      <c r="A2447" s="46" t="str" cm="1">
        <f t="array" ref="A2447">IFERROR(INDEX(#REF!,MATCH(TRUE,ISNUMBER(FIND(SUBSTITUTE(SUBSTITUTE(UPPER(#REF!)," ",""),":",": "),SUBSTITUTE(SUBSTITUTE(UPPER(S2447)," ",""),":",": "))),0)),"Undefined")</f>
        <v>Undefined</v>
      </c>
      <c r="B2447" s="42" t="str" cm="1">
        <f t="array" ref="B2447">IFERROR(INDEX({"URGENTE"},MATCH(TRUE,ISNUMBER(FIND(SUBSTITUTE(SUBSTITUTE(UPPER({"URGENTE"})," ",""),":",": "),SUBSTITUTE(SUBSTITUTE(UPPER(S2447)," ",""),":",": "))),0)),"-")</f>
        <v>-</v>
      </c>
      <c r="C2447" s="46" t="str" cm="1">
        <f t="array" ref="C2447">IFERROR(INDEX(#REF!,MATCH(TRUE,ISNUMBER(FIND(SUBSTITUTE(SUBSTITUTE(UPPER(#REF!)," ",""),":",": "),SUBSTITUTE(SUBSTITUTE(UPPER(S2447)," ",""),":",": "))),0)),"Não encontrado")</f>
        <v>Não encontrado</v>
      </c>
      <c r="D2447" s="46" t="str" cm="1">
        <f t="array" ref="D2447">IFERROR(INDEX(#REF!,MATCH(TRUE,ISNUMBER(FIND(SUBSTITUTE(SUBSTITUTE(UPPER(#REF!)," ",""),":",": "),SUBSTITUTE(SUBSTITUTE(UPPER(S2447)," ",""),":",": "))),0)),"Não encontrado")</f>
        <v>Não encontrado</v>
      </c>
      <c r="E2447" s="42" t="str" cm="1">
        <f t="array" ref="E2447">IFERROR(INDEX({"IMPEDITIVO"},MATCH(TRUE,ISNUMBER(FIND(SUBSTITUTE(SUBSTITUTE(UPPER({"IMPEDITIVO"})," ",""),":",": "),SUBSTITUTE(SUBSTITUTE(UPPER(S2447)," ",""),":",": "))),0)),"-")</f>
        <v>-</v>
      </c>
      <c r="K2447" s="49"/>
    </row>
    <row r="2448" spans="1:11" x14ac:dyDescent="0.25">
      <c r="A2448" s="46" t="str" cm="1">
        <f t="array" ref="A2448">IFERROR(INDEX(#REF!,MATCH(TRUE,ISNUMBER(FIND(SUBSTITUTE(SUBSTITUTE(UPPER(#REF!)," ",""),":",": "),SUBSTITUTE(SUBSTITUTE(UPPER(S2448)," ",""),":",": "))),0)),"Undefined")</f>
        <v>Undefined</v>
      </c>
      <c r="B2448" s="42" t="str" cm="1">
        <f t="array" ref="B2448">IFERROR(INDEX({"URGENTE"},MATCH(TRUE,ISNUMBER(FIND(SUBSTITUTE(SUBSTITUTE(UPPER({"URGENTE"})," ",""),":",": "),SUBSTITUTE(SUBSTITUTE(UPPER(S2448)," ",""),":",": "))),0)),"-")</f>
        <v>-</v>
      </c>
      <c r="C2448" s="46" t="str" cm="1">
        <f t="array" ref="C2448">IFERROR(INDEX(#REF!,MATCH(TRUE,ISNUMBER(FIND(SUBSTITUTE(SUBSTITUTE(UPPER(#REF!)," ",""),":",": "),SUBSTITUTE(SUBSTITUTE(UPPER(S2448)," ",""),":",": "))),0)),"Não encontrado")</f>
        <v>Não encontrado</v>
      </c>
      <c r="D2448" s="46" t="str" cm="1">
        <f t="array" ref="D2448">IFERROR(INDEX(#REF!,MATCH(TRUE,ISNUMBER(FIND(SUBSTITUTE(SUBSTITUTE(UPPER(#REF!)," ",""),":",": "),SUBSTITUTE(SUBSTITUTE(UPPER(S2448)," ",""),":",": "))),0)),"Não encontrado")</f>
        <v>Não encontrado</v>
      </c>
      <c r="E2448" s="42" t="str" cm="1">
        <f t="array" ref="E2448">IFERROR(INDEX({"IMPEDITIVO"},MATCH(TRUE,ISNUMBER(FIND(SUBSTITUTE(SUBSTITUTE(UPPER({"IMPEDITIVO"})," ",""),":",": "),SUBSTITUTE(SUBSTITUTE(UPPER(S2448)," ",""),":",": "))),0)),"-")</f>
        <v>-</v>
      </c>
      <c r="K2448" s="49"/>
    </row>
    <row r="2449" spans="1:11" x14ac:dyDescent="0.25">
      <c r="A2449" s="46" t="str" cm="1">
        <f t="array" ref="A2449">IFERROR(INDEX(#REF!,MATCH(TRUE,ISNUMBER(FIND(SUBSTITUTE(SUBSTITUTE(UPPER(#REF!)," ",""),":",": "),SUBSTITUTE(SUBSTITUTE(UPPER(S2449)," ",""),":",": "))),0)),"Undefined")</f>
        <v>Undefined</v>
      </c>
      <c r="B2449" s="42" t="str" cm="1">
        <f t="array" ref="B2449">IFERROR(INDEX({"URGENTE"},MATCH(TRUE,ISNUMBER(FIND(SUBSTITUTE(SUBSTITUTE(UPPER({"URGENTE"})," ",""),":",": "),SUBSTITUTE(SUBSTITUTE(UPPER(S2449)," ",""),":",": "))),0)),"-")</f>
        <v>-</v>
      </c>
      <c r="C2449" s="46" t="str" cm="1">
        <f t="array" ref="C2449">IFERROR(INDEX(#REF!,MATCH(TRUE,ISNUMBER(FIND(SUBSTITUTE(SUBSTITUTE(UPPER(#REF!)," ",""),":",": "),SUBSTITUTE(SUBSTITUTE(UPPER(S2449)," ",""),":",": "))),0)),"Não encontrado")</f>
        <v>Não encontrado</v>
      </c>
      <c r="D2449" s="46" t="str" cm="1">
        <f t="array" ref="D2449">IFERROR(INDEX(#REF!,MATCH(TRUE,ISNUMBER(FIND(SUBSTITUTE(SUBSTITUTE(UPPER(#REF!)," ",""),":",": "),SUBSTITUTE(SUBSTITUTE(UPPER(S2449)," ",""),":",": "))),0)),"Não encontrado")</f>
        <v>Não encontrado</v>
      </c>
      <c r="E2449" s="42" t="str" cm="1">
        <f t="array" ref="E2449">IFERROR(INDEX({"IMPEDITIVO"},MATCH(TRUE,ISNUMBER(FIND(SUBSTITUTE(SUBSTITUTE(UPPER({"IMPEDITIVO"})," ",""),":",": "),SUBSTITUTE(SUBSTITUTE(UPPER(S2449)," ",""),":",": "))),0)),"-")</f>
        <v>-</v>
      </c>
      <c r="K2449" s="49"/>
    </row>
    <row r="2450" spans="1:11" x14ac:dyDescent="0.25">
      <c r="A2450" s="46" t="str" cm="1">
        <f t="array" ref="A2450">IFERROR(INDEX(#REF!,MATCH(TRUE,ISNUMBER(FIND(SUBSTITUTE(SUBSTITUTE(UPPER(#REF!)," ",""),":",": "),SUBSTITUTE(SUBSTITUTE(UPPER(S2450)," ",""),":",": "))),0)),"Undefined")</f>
        <v>Undefined</v>
      </c>
      <c r="B2450" s="42" t="str" cm="1">
        <f t="array" ref="B2450">IFERROR(INDEX({"URGENTE"},MATCH(TRUE,ISNUMBER(FIND(SUBSTITUTE(SUBSTITUTE(UPPER({"URGENTE"})," ",""),":",": "),SUBSTITUTE(SUBSTITUTE(UPPER(S2450)," ",""),":",": "))),0)),"-")</f>
        <v>-</v>
      </c>
      <c r="C2450" s="46" t="str" cm="1">
        <f t="array" ref="C2450">IFERROR(INDEX(#REF!,MATCH(TRUE,ISNUMBER(FIND(SUBSTITUTE(SUBSTITUTE(UPPER(#REF!)," ",""),":",": "),SUBSTITUTE(SUBSTITUTE(UPPER(S2450)," ",""),":",": "))),0)),"Não encontrado")</f>
        <v>Não encontrado</v>
      </c>
      <c r="D2450" s="46" t="str" cm="1">
        <f t="array" ref="D2450">IFERROR(INDEX(#REF!,MATCH(TRUE,ISNUMBER(FIND(SUBSTITUTE(SUBSTITUTE(UPPER(#REF!)," ",""),":",": "),SUBSTITUTE(SUBSTITUTE(UPPER(S2450)," ",""),":",": "))),0)),"Não encontrado")</f>
        <v>Não encontrado</v>
      </c>
      <c r="E2450" s="42" t="str" cm="1">
        <f t="array" ref="E2450">IFERROR(INDEX({"IMPEDITIVO"},MATCH(TRUE,ISNUMBER(FIND(SUBSTITUTE(SUBSTITUTE(UPPER({"IMPEDITIVO"})," ",""),":",": "),SUBSTITUTE(SUBSTITUTE(UPPER(S2450)," ",""),":",": "))),0)),"-")</f>
        <v>-</v>
      </c>
      <c r="K2450" s="49"/>
    </row>
    <row r="2451" spans="1:11" x14ac:dyDescent="0.25">
      <c r="A2451" s="46" t="str" cm="1">
        <f t="array" ref="A2451">IFERROR(INDEX(#REF!,MATCH(TRUE,ISNUMBER(FIND(SUBSTITUTE(SUBSTITUTE(UPPER(#REF!)," ",""),":",": "),SUBSTITUTE(SUBSTITUTE(UPPER(S2451)," ",""),":",": "))),0)),"Undefined")</f>
        <v>Undefined</v>
      </c>
      <c r="B2451" s="42" t="str" cm="1">
        <f t="array" ref="B2451">IFERROR(INDEX({"URGENTE"},MATCH(TRUE,ISNUMBER(FIND(SUBSTITUTE(SUBSTITUTE(UPPER({"URGENTE"})," ",""),":",": "),SUBSTITUTE(SUBSTITUTE(UPPER(S2451)," ",""),":",": "))),0)),"-")</f>
        <v>-</v>
      </c>
      <c r="C2451" s="46" t="str" cm="1">
        <f t="array" ref="C2451">IFERROR(INDEX(#REF!,MATCH(TRUE,ISNUMBER(FIND(SUBSTITUTE(SUBSTITUTE(UPPER(#REF!)," ",""),":",": "),SUBSTITUTE(SUBSTITUTE(UPPER(S2451)," ",""),":",": "))),0)),"Não encontrado")</f>
        <v>Não encontrado</v>
      </c>
      <c r="D2451" s="46" t="str" cm="1">
        <f t="array" ref="D2451">IFERROR(INDEX(#REF!,MATCH(TRUE,ISNUMBER(FIND(SUBSTITUTE(SUBSTITUTE(UPPER(#REF!)," ",""),":",": "),SUBSTITUTE(SUBSTITUTE(UPPER(S2451)," ",""),":",": "))),0)),"Não encontrado")</f>
        <v>Não encontrado</v>
      </c>
      <c r="E2451" s="42" t="str" cm="1">
        <f t="array" ref="E2451">IFERROR(INDEX({"IMPEDITIVO"},MATCH(TRUE,ISNUMBER(FIND(SUBSTITUTE(SUBSTITUTE(UPPER({"IMPEDITIVO"})," ",""),":",": "),SUBSTITUTE(SUBSTITUTE(UPPER(S2451)," ",""),":",": "))),0)),"-")</f>
        <v>-</v>
      </c>
      <c r="K2451" s="49"/>
    </row>
    <row r="2452" spans="1:11" x14ac:dyDescent="0.25">
      <c r="A2452" s="46" t="str" cm="1">
        <f t="array" ref="A2452">IFERROR(INDEX(#REF!,MATCH(TRUE,ISNUMBER(FIND(SUBSTITUTE(SUBSTITUTE(UPPER(#REF!)," ",""),":",": "),SUBSTITUTE(SUBSTITUTE(UPPER(S2452)," ",""),":",": "))),0)),"Undefined")</f>
        <v>Undefined</v>
      </c>
      <c r="B2452" s="42" t="str" cm="1">
        <f t="array" ref="B2452">IFERROR(INDEX({"URGENTE"},MATCH(TRUE,ISNUMBER(FIND(SUBSTITUTE(SUBSTITUTE(UPPER({"URGENTE"})," ",""),":",": "),SUBSTITUTE(SUBSTITUTE(UPPER(S2452)," ",""),":",": "))),0)),"-")</f>
        <v>-</v>
      </c>
      <c r="C2452" s="46" t="str" cm="1">
        <f t="array" ref="C2452">IFERROR(INDEX(#REF!,MATCH(TRUE,ISNUMBER(FIND(SUBSTITUTE(SUBSTITUTE(UPPER(#REF!)," ",""),":",": "),SUBSTITUTE(SUBSTITUTE(UPPER(S2452)," ",""),":",": "))),0)),"Não encontrado")</f>
        <v>Não encontrado</v>
      </c>
      <c r="D2452" s="46" t="str" cm="1">
        <f t="array" ref="D2452">IFERROR(INDEX(#REF!,MATCH(TRUE,ISNUMBER(FIND(SUBSTITUTE(SUBSTITUTE(UPPER(#REF!)," ",""),":",": "),SUBSTITUTE(SUBSTITUTE(UPPER(S2452)," ",""),":",": "))),0)),"Não encontrado")</f>
        <v>Não encontrado</v>
      </c>
      <c r="E2452" s="42" t="str" cm="1">
        <f t="array" ref="E2452">IFERROR(INDEX({"IMPEDITIVO"},MATCH(TRUE,ISNUMBER(FIND(SUBSTITUTE(SUBSTITUTE(UPPER({"IMPEDITIVO"})," ",""),":",": "),SUBSTITUTE(SUBSTITUTE(UPPER(S2452)," ",""),":",": "))),0)),"-")</f>
        <v>-</v>
      </c>
      <c r="K2452" s="49"/>
    </row>
    <row r="2453" spans="1:11" x14ac:dyDescent="0.25">
      <c r="A2453" s="46" t="str" cm="1">
        <f t="array" ref="A2453">IFERROR(INDEX(#REF!,MATCH(TRUE,ISNUMBER(FIND(SUBSTITUTE(SUBSTITUTE(UPPER(#REF!)," ",""),":",": "),SUBSTITUTE(SUBSTITUTE(UPPER(S2453)," ",""),":",": "))),0)),"Undefined")</f>
        <v>Undefined</v>
      </c>
      <c r="B2453" s="42" t="str" cm="1">
        <f t="array" ref="B2453">IFERROR(INDEX({"URGENTE"},MATCH(TRUE,ISNUMBER(FIND(SUBSTITUTE(SUBSTITUTE(UPPER({"URGENTE"})," ",""),":",": "),SUBSTITUTE(SUBSTITUTE(UPPER(S2453)," ",""),":",": "))),0)),"-")</f>
        <v>-</v>
      </c>
      <c r="C2453" s="46" t="str" cm="1">
        <f t="array" ref="C2453">IFERROR(INDEX(#REF!,MATCH(TRUE,ISNUMBER(FIND(SUBSTITUTE(SUBSTITUTE(UPPER(#REF!)," ",""),":",": "),SUBSTITUTE(SUBSTITUTE(UPPER(S2453)," ",""),":",": "))),0)),"Não encontrado")</f>
        <v>Não encontrado</v>
      </c>
      <c r="D2453" s="46" t="str" cm="1">
        <f t="array" ref="D2453">IFERROR(INDEX(#REF!,MATCH(TRUE,ISNUMBER(FIND(SUBSTITUTE(SUBSTITUTE(UPPER(#REF!)," ",""),":",": "),SUBSTITUTE(SUBSTITUTE(UPPER(S2453)," ",""),":",": "))),0)),"Não encontrado")</f>
        <v>Não encontrado</v>
      </c>
      <c r="E2453" s="42" t="str" cm="1">
        <f t="array" ref="E2453">IFERROR(INDEX({"IMPEDITIVO"},MATCH(TRUE,ISNUMBER(FIND(SUBSTITUTE(SUBSTITUTE(UPPER({"IMPEDITIVO"})," ",""),":",": "),SUBSTITUTE(SUBSTITUTE(UPPER(S2453)," ",""),":",": "))),0)),"-")</f>
        <v>-</v>
      </c>
      <c r="K2453" s="49"/>
    </row>
    <row r="2454" spans="1:11" x14ac:dyDescent="0.25">
      <c r="A2454" s="46" t="str" cm="1">
        <f t="array" ref="A2454">IFERROR(INDEX(#REF!,MATCH(TRUE,ISNUMBER(FIND(SUBSTITUTE(SUBSTITUTE(UPPER(#REF!)," ",""),":",": "),SUBSTITUTE(SUBSTITUTE(UPPER(S2454)," ",""),":",": "))),0)),"Undefined")</f>
        <v>Undefined</v>
      </c>
      <c r="B2454" s="42" t="str" cm="1">
        <f t="array" ref="B2454">IFERROR(INDEX({"URGENTE"},MATCH(TRUE,ISNUMBER(FIND(SUBSTITUTE(SUBSTITUTE(UPPER({"URGENTE"})," ",""),":",": "),SUBSTITUTE(SUBSTITUTE(UPPER(S2454)," ",""),":",": "))),0)),"-")</f>
        <v>-</v>
      </c>
      <c r="C2454" s="46" t="str" cm="1">
        <f t="array" ref="C2454">IFERROR(INDEX(#REF!,MATCH(TRUE,ISNUMBER(FIND(SUBSTITUTE(SUBSTITUTE(UPPER(#REF!)," ",""),":",": "),SUBSTITUTE(SUBSTITUTE(UPPER(S2454)," ",""),":",": "))),0)),"Não encontrado")</f>
        <v>Não encontrado</v>
      </c>
      <c r="D2454" s="46" t="str" cm="1">
        <f t="array" ref="D2454">IFERROR(INDEX(#REF!,MATCH(TRUE,ISNUMBER(FIND(SUBSTITUTE(SUBSTITUTE(UPPER(#REF!)," ",""),":",": "),SUBSTITUTE(SUBSTITUTE(UPPER(S2454)," ",""),":",": "))),0)),"Não encontrado")</f>
        <v>Não encontrado</v>
      </c>
      <c r="E2454" s="42" t="str" cm="1">
        <f t="array" ref="E2454">IFERROR(INDEX({"IMPEDITIVO"},MATCH(TRUE,ISNUMBER(FIND(SUBSTITUTE(SUBSTITUTE(UPPER({"IMPEDITIVO"})," ",""),":",": "),SUBSTITUTE(SUBSTITUTE(UPPER(S2454)," ",""),":",": "))),0)),"-")</f>
        <v>-</v>
      </c>
      <c r="K2454" s="49"/>
    </row>
    <row r="2455" spans="1:11" x14ac:dyDescent="0.25">
      <c r="A2455" s="46" t="str" cm="1">
        <f t="array" ref="A2455">IFERROR(INDEX(#REF!,MATCH(TRUE,ISNUMBER(FIND(SUBSTITUTE(SUBSTITUTE(UPPER(#REF!)," ",""),":",": "),SUBSTITUTE(SUBSTITUTE(UPPER(S2455)," ",""),":",": "))),0)),"Undefined")</f>
        <v>Undefined</v>
      </c>
      <c r="B2455" s="42" t="str" cm="1">
        <f t="array" ref="B2455">IFERROR(INDEX({"URGENTE"},MATCH(TRUE,ISNUMBER(FIND(SUBSTITUTE(SUBSTITUTE(UPPER({"URGENTE"})," ",""),":",": "),SUBSTITUTE(SUBSTITUTE(UPPER(S2455)," ",""),":",": "))),0)),"-")</f>
        <v>-</v>
      </c>
      <c r="C2455" s="46" t="str" cm="1">
        <f t="array" ref="C2455">IFERROR(INDEX(#REF!,MATCH(TRUE,ISNUMBER(FIND(SUBSTITUTE(SUBSTITUTE(UPPER(#REF!)," ",""),":",": "),SUBSTITUTE(SUBSTITUTE(UPPER(S2455)," ",""),":",": "))),0)),"Não encontrado")</f>
        <v>Não encontrado</v>
      </c>
      <c r="D2455" s="46" t="str" cm="1">
        <f t="array" ref="D2455">IFERROR(INDEX(#REF!,MATCH(TRUE,ISNUMBER(FIND(SUBSTITUTE(SUBSTITUTE(UPPER(#REF!)," ",""),":",": "),SUBSTITUTE(SUBSTITUTE(UPPER(S2455)," ",""),":",": "))),0)),"Não encontrado")</f>
        <v>Não encontrado</v>
      </c>
      <c r="E2455" s="42" t="str" cm="1">
        <f t="array" ref="E2455">IFERROR(INDEX({"IMPEDITIVO"},MATCH(TRUE,ISNUMBER(FIND(SUBSTITUTE(SUBSTITUTE(UPPER({"IMPEDITIVO"})," ",""),":",": "),SUBSTITUTE(SUBSTITUTE(UPPER(S2455)," ",""),":",": "))),0)),"-")</f>
        <v>-</v>
      </c>
      <c r="K2455" s="49"/>
    </row>
    <row r="2456" spans="1:11" x14ac:dyDescent="0.25">
      <c r="A2456" s="46" t="str" cm="1">
        <f t="array" ref="A2456">IFERROR(INDEX(#REF!,MATCH(TRUE,ISNUMBER(FIND(SUBSTITUTE(SUBSTITUTE(UPPER(#REF!)," ",""),":",": "),SUBSTITUTE(SUBSTITUTE(UPPER(S2456)," ",""),":",": "))),0)),"Undefined")</f>
        <v>Undefined</v>
      </c>
      <c r="B2456" s="42" t="str" cm="1">
        <f t="array" ref="B2456">IFERROR(INDEX({"URGENTE"},MATCH(TRUE,ISNUMBER(FIND(SUBSTITUTE(SUBSTITUTE(UPPER({"URGENTE"})," ",""),":",": "),SUBSTITUTE(SUBSTITUTE(UPPER(S2456)," ",""),":",": "))),0)),"-")</f>
        <v>-</v>
      </c>
      <c r="C2456" s="46" t="str" cm="1">
        <f t="array" ref="C2456">IFERROR(INDEX(#REF!,MATCH(TRUE,ISNUMBER(FIND(SUBSTITUTE(SUBSTITUTE(UPPER(#REF!)," ",""),":",": "),SUBSTITUTE(SUBSTITUTE(UPPER(S2456)," ",""),":",": "))),0)),"Não encontrado")</f>
        <v>Não encontrado</v>
      </c>
      <c r="D2456" s="46" t="str" cm="1">
        <f t="array" ref="D2456">IFERROR(INDEX(#REF!,MATCH(TRUE,ISNUMBER(FIND(SUBSTITUTE(SUBSTITUTE(UPPER(#REF!)," ",""),":",": "),SUBSTITUTE(SUBSTITUTE(UPPER(S2456)," ",""),":",": "))),0)),"Não encontrado")</f>
        <v>Não encontrado</v>
      </c>
      <c r="E2456" s="42" t="str" cm="1">
        <f t="array" ref="E2456">IFERROR(INDEX({"IMPEDITIVO"},MATCH(TRUE,ISNUMBER(FIND(SUBSTITUTE(SUBSTITUTE(UPPER({"IMPEDITIVO"})," ",""),":",": "),SUBSTITUTE(SUBSTITUTE(UPPER(S2456)," ",""),":",": "))),0)),"-")</f>
        <v>-</v>
      </c>
      <c r="K2456" s="49"/>
    </row>
    <row r="2457" spans="1:11" x14ac:dyDescent="0.25">
      <c r="A2457" s="46" t="str" cm="1">
        <f t="array" ref="A2457">IFERROR(INDEX(#REF!,MATCH(TRUE,ISNUMBER(FIND(SUBSTITUTE(SUBSTITUTE(UPPER(#REF!)," ",""),":",": "),SUBSTITUTE(SUBSTITUTE(UPPER(S2457)," ",""),":",": "))),0)),"Undefined")</f>
        <v>Undefined</v>
      </c>
      <c r="B2457" s="42" t="str" cm="1">
        <f t="array" ref="B2457">IFERROR(INDEX({"URGENTE"},MATCH(TRUE,ISNUMBER(FIND(SUBSTITUTE(SUBSTITUTE(UPPER({"URGENTE"})," ",""),":",": "),SUBSTITUTE(SUBSTITUTE(UPPER(S2457)," ",""),":",": "))),0)),"-")</f>
        <v>-</v>
      </c>
      <c r="C2457" s="46" t="str" cm="1">
        <f t="array" ref="C2457">IFERROR(INDEX(#REF!,MATCH(TRUE,ISNUMBER(FIND(SUBSTITUTE(SUBSTITUTE(UPPER(#REF!)," ",""),":",": "),SUBSTITUTE(SUBSTITUTE(UPPER(S2457)," ",""),":",": "))),0)),"Não encontrado")</f>
        <v>Não encontrado</v>
      </c>
      <c r="D2457" s="46" t="str" cm="1">
        <f t="array" ref="D2457">IFERROR(INDEX(#REF!,MATCH(TRUE,ISNUMBER(FIND(SUBSTITUTE(SUBSTITUTE(UPPER(#REF!)," ",""),":",": "),SUBSTITUTE(SUBSTITUTE(UPPER(S2457)," ",""),":",": "))),0)),"Não encontrado")</f>
        <v>Não encontrado</v>
      </c>
      <c r="E2457" s="42" t="str" cm="1">
        <f t="array" ref="E2457">IFERROR(INDEX({"IMPEDITIVO"},MATCH(TRUE,ISNUMBER(FIND(SUBSTITUTE(SUBSTITUTE(UPPER({"IMPEDITIVO"})," ",""),":",": "),SUBSTITUTE(SUBSTITUTE(UPPER(S2457)," ",""),":",": "))),0)),"-")</f>
        <v>-</v>
      </c>
      <c r="K2457" s="49"/>
    </row>
    <row r="2458" spans="1:11" x14ac:dyDescent="0.25">
      <c r="A2458" s="46" t="str" cm="1">
        <f t="array" ref="A2458">IFERROR(INDEX(#REF!,MATCH(TRUE,ISNUMBER(FIND(SUBSTITUTE(SUBSTITUTE(UPPER(#REF!)," ",""),":",": "),SUBSTITUTE(SUBSTITUTE(UPPER(S2458)," ",""),":",": "))),0)),"Undefined")</f>
        <v>Undefined</v>
      </c>
      <c r="B2458" s="42" t="str" cm="1">
        <f t="array" ref="B2458">IFERROR(INDEX({"URGENTE"},MATCH(TRUE,ISNUMBER(FIND(SUBSTITUTE(SUBSTITUTE(UPPER({"URGENTE"})," ",""),":",": "),SUBSTITUTE(SUBSTITUTE(UPPER(S2458)," ",""),":",": "))),0)),"-")</f>
        <v>-</v>
      </c>
      <c r="C2458" s="46" t="str" cm="1">
        <f t="array" ref="C2458">IFERROR(INDEX(#REF!,MATCH(TRUE,ISNUMBER(FIND(SUBSTITUTE(SUBSTITUTE(UPPER(#REF!)," ",""),":",": "),SUBSTITUTE(SUBSTITUTE(UPPER(S2458)," ",""),":",": "))),0)),"Não encontrado")</f>
        <v>Não encontrado</v>
      </c>
      <c r="D2458" s="46" t="str" cm="1">
        <f t="array" ref="D2458">IFERROR(INDEX(#REF!,MATCH(TRUE,ISNUMBER(FIND(SUBSTITUTE(SUBSTITUTE(UPPER(#REF!)," ",""),":",": "),SUBSTITUTE(SUBSTITUTE(UPPER(S2458)," ",""),":",": "))),0)),"Não encontrado")</f>
        <v>Não encontrado</v>
      </c>
      <c r="E2458" s="42" t="str" cm="1">
        <f t="array" ref="E2458">IFERROR(INDEX({"IMPEDITIVO"},MATCH(TRUE,ISNUMBER(FIND(SUBSTITUTE(SUBSTITUTE(UPPER({"IMPEDITIVO"})," ",""),":",": "),SUBSTITUTE(SUBSTITUTE(UPPER(S2458)," ",""),":",": "))),0)),"-")</f>
        <v>-</v>
      </c>
      <c r="K2458" s="49"/>
    </row>
    <row r="2459" spans="1:11" x14ac:dyDescent="0.25">
      <c r="A2459" s="46" t="str" cm="1">
        <f t="array" ref="A2459">IFERROR(INDEX(#REF!,MATCH(TRUE,ISNUMBER(FIND(SUBSTITUTE(SUBSTITUTE(UPPER(#REF!)," ",""),":",": "),SUBSTITUTE(SUBSTITUTE(UPPER(S2459)," ",""),":",": "))),0)),"Undefined")</f>
        <v>Undefined</v>
      </c>
      <c r="B2459" s="42" t="str" cm="1">
        <f t="array" ref="B2459">IFERROR(INDEX({"URGENTE"},MATCH(TRUE,ISNUMBER(FIND(SUBSTITUTE(SUBSTITUTE(UPPER({"URGENTE"})," ",""),":",": "),SUBSTITUTE(SUBSTITUTE(UPPER(S2459)," ",""),":",": "))),0)),"-")</f>
        <v>-</v>
      </c>
      <c r="C2459" s="46" t="str" cm="1">
        <f t="array" ref="C2459">IFERROR(INDEX(#REF!,MATCH(TRUE,ISNUMBER(FIND(SUBSTITUTE(SUBSTITUTE(UPPER(#REF!)," ",""),":",": "),SUBSTITUTE(SUBSTITUTE(UPPER(S2459)," ",""),":",": "))),0)),"Não encontrado")</f>
        <v>Não encontrado</v>
      </c>
      <c r="D2459" s="46" t="str" cm="1">
        <f t="array" ref="D2459">IFERROR(INDEX(#REF!,MATCH(TRUE,ISNUMBER(FIND(SUBSTITUTE(SUBSTITUTE(UPPER(#REF!)," ",""),":",": "),SUBSTITUTE(SUBSTITUTE(UPPER(S2459)," ",""),":",": "))),0)),"Não encontrado")</f>
        <v>Não encontrado</v>
      </c>
      <c r="E2459" s="42" t="str" cm="1">
        <f t="array" ref="E2459">IFERROR(INDEX({"IMPEDITIVO"},MATCH(TRUE,ISNUMBER(FIND(SUBSTITUTE(SUBSTITUTE(UPPER({"IMPEDITIVO"})," ",""),":",": "),SUBSTITUTE(SUBSTITUTE(UPPER(S2459)," ",""),":",": "))),0)),"-")</f>
        <v>-</v>
      </c>
      <c r="K2459" s="49"/>
    </row>
    <row r="2460" spans="1:11" x14ac:dyDescent="0.25">
      <c r="A2460" s="46" t="str" cm="1">
        <f t="array" ref="A2460">IFERROR(INDEX(#REF!,MATCH(TRUE,ISNUMBER(FIND(SUBSTITUTE(SUBSTITUTE(UPPER(#REF!)," ",""),":",": "),SUBSTITUTE(SUBSTITUTE(UPPER(S2460)," ",""),":",": "))),0)),"Undefined")</f>
        <v>Undefined</v>
      </c>
      <c r="B2460" s="42" t="str" cm="1">
        <f t="array" ref="B2460">IFERROR(INDEX({"URGENTE"},MATCH(TRUE,ISNUMBER(FIND(SUBSTITUTE(SUBSTITUTE(UPPER({"URGENTE"})," ",""),":",": "),SUBSTITUTE(SUBSTITUTE(UPPER(S2460)," ",""),":",": "))),0)),"-")</f>
        <v>-</v>
      </c>
      <c r="C2460" s="46" t="str" cm="1">
        <f t="array" ref="C2460">IFERROR(INDEX(#REF!,MATCH(TRUE,ISNUMBER(FIND(SUBSTITUTE(SUBSTITUTE(UPPER(#REF!)," ",""),":",": "),SUBSTITUTE(SUBSTITUTE(UPPER(S2460)," ",""),":",": "))),0)),"Não encontrado")</f>
        <v>Não encontrado</v>
      </c>
      <c r="D2460" s="46" t="str" cm="1">
        <f t="array" ref="D2460">IFERROR(INDEX(#REF!,MATCH(TRUE,ISNUMBER(FIND(SUBSTITUTE(SUBSTITUTE(UPPER(#REF!)," ",""),":",": "),SUBSTITUTE(SUBSTITUTE(UPPER(S2460)," ",""),":",": "))),0)),"Não encontrado")</f>
        <v>Não encontrado</v>
      </c>
      <c r="E2460" s="42" t="str" cm="1">
        <f t="array" ref="E2460">IFERROR(INDEX({"IMPEDITIVO"},MATCH(TRUE,ISNUMBER(FIND(SUBSTITUTE(SUBSTITUTE(UPPER({"IMPEDITIVO"})," ",""),":",": "),SUBSTITUTE(SUBSTITUTE(UPPER(S2460)," ",""),":",": "))),0)),"-")</f>
        <v>-</v>
      </c>
      <c r="K2460" s="49"/>
    </row>
    <row r="2461" spans="1:11" x14ac:dyDescent="0.25">
      <c r="A2461" s="46" t="str" cm="1">
        <f t="array" ref="A2461">IFERROR(INDEX(#REF!,MATCH(TRUE,ISNUMBER(FIND(SUBSTITUTE(SUBSTITUTE(UPPER(#REF!)," ",""),":",": "),SUBSTITUTE(SUBSTITUTE(UPPER(S2461)," ",""),":",": "))),0)),"Undefined")</f>
        <v>Undefined</v>
      </c>
      <c r="B2461" s="42" t="str" cm="1">
        <f t="array" ref="B2461">IFERROR(INDEX({"URGENTE"},MATCH(TRUE,ISNUMBER(FIND(SUBSTITUTE(SUBSTITUTE(UPPER({"URGENTE"})," ",""),":",": "),SUBSTITUTE(SUBSTITUTE(UPPER(S2461)," ",""),":",": "))),0)),"-")</f>
        <v>-</v>
      </c>
      <c r="C2461" s="46" t="str" cm="1">
        <f t="array" ref="C2461">IFERROR(INDEX(#REF!,MATCH(TRUE,ISNUMBER(FIND(SUBSTITUTE(SUBSTITUTE(UPPER(#REF!)," ",""),":",": "),SUBSTITUTE(SUBSTITUTE(UPPER(S2461)," ",""),":",": "))),0)),"Não encontrado")</f>
        <v>Não encontrado</v>
      </c>
      <c r="D2461" s="46" t="str" cm="1">
        <f t="array" ref="D2461">IFERROR(INDEX(#REF!,MATCH(TRUE,ISNUMBER(FIND(SUBSTITUTE(SUBSTITUTE(UPPER(#REF!)," ",""),":",": "),SUBSTITUTE(SUBSTITUTE(UPPER(S2461)," ",""),":",": "))),0)),"Não encontrado")</f>
        <v>Não encontrado</v>
      </c>
      <c r="E2461" s="42" t="str" cm="1">
        <f t="array" ref="E2461">IFERROR(INDEX({"IMPEDITIVO"},MATCH(TRUE,ISNUMBER(FIND(SUBSTITUTE(SUBSTITUTE(UPPER({"IMPEDITIVO"})," ",""),":",": "),SUBSTITUTE(SUBSTITUTE(UPPER(S2461)," ",""),":",": "))),0)),"-")</f>
        <v>-</v>
      </c>
      <c r="K2461" s="49"/>
    </row>
    <row r="2462" spans="1:11" x14ac:dyDescent="0.25">
      <c r="A2462" s="46" t="str" cm="1">
        <f t="array" ref="A2462">IFERROR(INDEX(#REF!,MATCH(TRUE,ISNUMBER(FIND(SUBSTITUTE(SUBSTITUTE(UPPER(#REF!)," ",""),":",": "),SUBSTITUTE(SUBSTITUTE(UPPER(S2462)," ",""),":",": "))),0)),"Undefined")</f>
        <v>Undefined</v>
      </c>
      <c r="B2462" s="42" t="str" cm="1">
        <f t="array" ref="B2462">IFERROR(INDEX({"URGENTE"},MATCH(TRUE,ISNUMBER(FIND(SUBSTITUTE(SUBSTITUTE(UPPER({"URGENTE"})," ",""),":",": "),SUBSTITUTE(SUBSTITUTE(UPPER(S2462)," ",""),":",": "))),0)),"-")</f>
        <v>-</v>
      </c>
      <c r="C2462" s="46" t="str" cm="1">
        <f t="array" ref="C2462">IFERROR(INDEX(#REF!,MATCH(TRUE,ISNUMBER(FIND(SUBSTITUTE(SUBSTITUTE(UPPER(#REF!)," ",""),":",": "),SUBSTITUTE(SUBSTITUTE(UPPER(S2462)," ",""),":",": "))),0)),"Não encontrado")</f>
        <v>Não encontrado</v>
      </c>
      <c r="D2462" s="46" t="str" cm="1">
        <f t="array" ref="D2462">IFERROR(INDEX(#REF!,MATCH(TRUE,ISNUMBER(FIND(SUBSTITUTE(SUBSTITUTE(UPPER(#REF!)," ",""),":",": "),SUBSTITUTE(SUBSTITUTE(UPPER(S2462)," ",""),":",": "))),0)),"Não encontrado")</f>
        <v>Não encontrado</v>
      </c>
      <c r="E2462" s="42" t="str" cm="1">
        <f t="array" ref="E2462">IFERROR(INDEX({"IMPEDITIVO"},MATCH(TRUE,ISNUMBER(FIND(SUBSTITUTE(SUBSTITUTE(UPPER({"IMPEDITIVO"})," ",""),":",": "),SUBSTITUTE(SUBSTITUTE(UPPER(S2462)," ",""),":",": "))),0)),"-")</f>
        <v>-</v>
      </c>
      <c r="K2462" s="49"/>
    </row>
    <row r="2463" spans="1:11" x14ac:dyDescent="0.25">
      <c r="A2463" s="46" t="str" cm="1">
        <f t="array" ref="A2463">IFERROR(INDEX(#REF!,MATCH(TRUE,ISNUMBER(FIND(SUBSTITUTE(SUBSTITUTE(UPPER(#REF!)," ",""),":",": "),SUBSTITUTE(SUBSTITUTE(UPPER(S2463)," ",""),":",": "))),0)),"Undefined")</f>
        <v>Undefined</v>
      </c>
      <c r="B2463" s="42" t="str" cm="1">
        <f t="array" ref="B2463">IFERROR(INDEX({"URGENTE"},MATCH(TRUE,ISNUMBER(FIND(SUBSTITUTE(SUBSTITUTE(UPPER({"URGENTE"})," ",""),":",": "),SUBSTITUTE(SUBSTITUTE(UPPER(S2463)," ",""),":",": "))),0)),"-")</f>
        <v>-</v>
      </c>
      <c r="C2463" s="46" t="str" cm="1">
        <f t="array" ref="C2463">IFERROR(INDEX(#REF!,MATCH(TRUE,ISNUMBER(FIND(SUBSTITUTE(SUBSTITUTE(UPPER(#REF!)," ",""),":",": "),SUBSTITUTE(SUBSTITUTE(UPPER(S2463)," ",""),":",": "))),0)),"Não encontrado")</f>
        <v>Não encontrado</v>
      </c>
      <c r="D2463" s="46" t="str" cm="1">
        <f t="array" ref="D2463">IFERROR(INDEX(#REF!,MATCH(TRUE,ISNUMBER(FIND(SUBSTITUTE(SUBSTITUTE(UPPER(#REF!)," ",""),":",": "),SUBSTITUTE(SUBSTITUTE(UPPER(S2463)," ",""),":",": "))),0)),"Não encontrado")</f>
        <v>Não encontrado</v>
      </c>
      <c r="E2463" s="42" t="str" cm="1">
        <f t="array" ref="E2463">IFERROR(INDEX({"IMPEDITIVO"},MATCH(TRUE,ISNUMBER(FIND(SUBSTITUTE(SUBSTITUTE(UPPER({"IMPEDITIVO"})," ",""),":",": "),SUBSTITUTE(SUBSTITUTE(UPPER(S2463)," ",""),":",": "))),0)),"-")</f>
        <v>-</v>
      </c>
      <c r="K2463" s="49"/>
    </row>
    <row r="2464" spans="1:11" x14ac:dyDescent="0.25">
      <c r="A2464" s="46" t="str" cm="1">
        <f t="array" ref="A2464">IFERROR(INDEX(#REF!,MATCH(TRUE,ISNUMBER(FIND(SUBSTITUTE(SUBSTITUTE(UPPER(#REF!)," ",""),":",": "),SUBSTITUTE(SUBSTITUTE(UPPER(S2464)," ",""),":",": "))),0)),"Undefined")</f>
        <v>Undefined</v>
      </c>
      <c r="B2464" s="42" t="str" cm="1">
        <f t="array" ref="B2464">IFERROR(INDEX({"URGENTE"},MATCH(TRUE,ISNUMBER(FIND(SUBSTITUTE(SUBSTITUTE(UPPER({"URGENTE"})," ",""),":",": "),SUBSTITUTE(SUBSTITUTE(UPPER(S2464)," ",""),":",": "))),0)),"-")</f>
        <v>-</v>
      </c>
      <c r="C2464" s="46" t="str" cm="1">
        <f t="array" ref="C2464">IFERROR(INDEX(#REF!,MATCH(TRUE,ISNUMBER(FIND(SUBSTITUTE(SUBSTITUTE(UPPER(#REF!)," ",""),":",": "),SUBSTITUTE(SUBSTITUTE(UPPER(S2464)," ",""),":",": "))),0)),"Não encontrado")</f>
        <v>Não encontrado</v>
      </c>
      <c r="D2464" s="46" t="str" cm="1">
        <f t="array" ref="D2464">IFERROR(INDEX(#REF!,MATCH(TRUE,ISNUMBER(FIND(SUBSTITUTE(SUBSTITUTE(UPPER(#REF!)," ",""),":",": "),SUBSTITUTE(SUBSTITUTE(UPPER(S2464)," ",""),":",": "))),0)),"Não encontrado")</f>
        <v>Não encontrado</v>
      </c>
      <c r="E2464" s="42" t="str" cm="1">
        <f t="array" ref="E2464">IFERROR(INDEX({"IMPEDITIVO"},MATCH(TRUE,ISNUMBER(FIND(SUBSTITUTE(SUBSTITUTE(UPPER({"IMPEDITIVO"})," ",""),":",": "),SUBSTITUTE(SUBSTITUTE(UPPER(S2464)," ",""),":",": "))),0)),"-")</f>
        <v>-</v>
      </c>
      <c r="K2464" s="49"/>
    </row>
    <row r="2465" spans="1:11" x14ac:dyDescent="0.25">
      <c r="A2465" s="46" t="str" cm="1">
        <f t="array" ref="A2465">IFERROR(INDEX(#REF!,MATCH(TRUE,ISNUMBER(FIND(SUBSTITUTE(SUBSTITUTE(UPPER(#REF!)," ",""),":",": "),SUBSTITUTE(SUBSTITUTE(UPPER(S2465)," ",""),":",": "))),0)),"Undefined")</f>
        <v>Undefined</v>
      </c>
      <c r="B2465" s="42" t="str" cm="1">
        <f t="array" ref="B2465">IFERROR(INDEX({"URGENTE"},MATCH(TRUE,ISNUMBER(FIND(SUBSTITUTE(SUBSTITUTE(UPPER({"URGENTE"})," ",""),":",": "),SUBSTITUTE(SUBSTITUTE(UPPER(S2465)," ",""),":",": "))),0)),"-")</f>
        <v>-</v>
      </c>
      <c r="C2465" s="46" t="str" cm="1">
        <f t="array" ref="C2465">IFERROR(INDEX(#REF!,MATCH(TRUE,ISNUMBER(FIND(SUBSTITUTE(SUBSTITUTE(UPPER(#REF!)," ",""),":",": "),SUBSTITUTE(SUBSTITUTE(UPPER(S2465)," ",""),":",": "))),0)),"Não encontrado")</f>
        <v>Não encontrado</v>
      </c>
      <c r="D2465" s="46" t="str" cm="1">
        <f t="array" ref="D2465">IFERROR(INDEX(#REF!,MATCH(TRUE,ISNUMBER(FIND(SUBSTITUTE(SUBSTITUTE(UPPER(#REF!)," ",""),":",": "),SUBSTITUTE(SUBSTITUTE(UPPER(S2465)," ",""),":",": "))),0)),"Não encontrado")</f>
        <v>Não encontrado</v>
      </c>
      <c r="E2465" s="42" t="str" cm="1">
        <f t="array" ref="E2465">IFERROR(INDEX({"IMPEDITIVO"},MATCH(TRUE,ISNUMBER(FIND(SUBSTITUTE(SUBSTITUTE(UPPER({"IMPEDITIVO"})," ",""),":",": "),SUBSTITUTE(SUBSTITUTE(UPPER(S2465)," ",""),":",": "))),0)),"-")</f>
        <v>-</v>
      </c>
      <c r="K2465" s="49"/>
    </row>
    <row r="2466" spans="1:11" x14ac:dyDescent="0.25">
      <c r="A2466" s="46" t="str" cm="1">
        <f t="array" ref="A2466">IFERROR(INDEX(#REF!,MATCH(TRUE,ISNUMBER(FIND(SUBSTITUTE(SUBSTITUTE(UPPER(#REF!)," ",""),":",": "),SUBSTITUTE(SUBSTITUTE(UPPER(S2466)," ",""),":",": "))),0)),"Undefined")</f>
        <v>Undefined</v>
      </c>
      <c r="B2466" s="42" t="str" cm="1">
        <f t="array" ref="B2466">IFERROR(INDEX({"URGENTE"},MATCH(TRUE,ISNUMBER(FIND(SUBSTITUTE(SUBSTITUTE(UPPER({"URGENTE"})," ",""),":",": "),SUBSTITUTE(SUBSTITUTE(UPPER(S2466)," ",""),":",": "))),0)),"-")</f>
        <v>-</v>
      </c>
      <c r="C2466" s="46" t="str" cm="1">
        <f t="array" ref="C2466">IFERROR(INDEX(#REF!,MATCH(TRUE,ISNUMBER(FIND(SUBSTITUTE(SUBSTITUTE(UPPER(#REF!)," ",""),":",": "),SUBSTITUTE(SUBSTITUTE(UPPER(S2466)," ",""),":",": "))),0)),"Não encontrado")</f>
        <v>Não encontrado</v>
      </c>
      <c r="D2466" s="46" t="str" cm="1">
        <f t="array" ref="D2466">IFERROR(INDEX(#REF!,MATCH(TRUE,ISNUMBER(FIND(SUBSTITUTE(SUBSTITUTE(UPPER(#REF!)," ",""),":",": "),SUBSTITUTE(SUBSTITUTE(UPPER(S2466)," ",""),":",": "))),0)),"Não encontrado")</f>
        <v>Não encontrado</v>
      </c>
      <c r="E2466" s="42" t="str" cm="1">
        <f t="array" ref="E2466">IFERROR(INDEX({"IMPEDITIVO"},MATCH(TRUE,ISNUMBER(FIND(SUBSTITUTE(SUBSTITUTE(UPPER({"IMPEDITIVO"})," ",""),":",": "),SUBSTITUTE(SUBSTITUTE(UPPER(S2466)," ",""),":",": "))),0)),"-")</f>
        <v>-</v>
      </c>
      <c r="K2466" s="49"/>
    </row>
    <row r="2467" spans="1:11" x14ac:dyDescent="0.25">
      <c r="A2467" s="46" t="str" cm="1">
        <f t="array" ref="A2467">IFERROR(INDEX(#REF!,MATCH(TRUE,ISNUMBER(FIND(SUBSTITUTE(SUBSTITUTE(UPPER(#REF!)," ",""),":",": "),SUBSTITUTE(SUBSTITUTE(UPPER(S2467)," ",""),":",": "))),0)),"Undefined")</f>
        <v>Undefined</v>
      </c>
      <c r="B2467" s="42" t="str" cm="1">
        <f t="array" ref="B2467">IFERROR(INDEX({"URGENTE"},MATCH(TRUE,ISNUMBER(FIND(SUBSTITUTE(SUBSTITUTE(UPPER({"URGENTE"})," ",""),":",": "),SUBSTITUTE(SUBSTITUTE(UPPER(S2467)," ",""),":",": "))),0)),"-")</f>
        <v>-</v>
      </c>
      <c r="C2467" s="46" t="str" cm="1">
        <f t="array" ref="C2467">IFERROR(INDEX(#REF!,MATCH(TRUE,ISNUMBER(FIND(SUBSTITUTE(SUBSTITUTE(UPPER(#REF!)," ",""),":",": "),SUBSTITUTE(SUBSTITUTE(UPPER(S2467)," ",""),":",": "))),0)),"Não encontrado")</f>
        <v>Não encontrado</v>
      </c>
      <c r="D2467" s="46" t="str" cm="1">
        <f t="array" ref="D2467">IFERROR(INDEX(#REF!,MATCH(TRUE,ISNUMBER(FIND(SUBSTITUTE(SUBSTITUTE(UPPER(#REF!)," ",""),":",": "),SUBSTITUTE(SUBSTITUTE(UPPER(S2467)," ",""),":",": "))),0)),"Não encontrado")</f>
        <v>Não encontrado</v>
      </c>
      <c r="E2467" s="42" t="str" cm="1">
        <f t="array" ref="E2467">IFERROR(INDEX({"IMPEDITIVO"},MATCH(TRUE,ISNUMBER(FIND(SUBSTITUTE(SUBSTITUTE(UPPER({"IMPEDITIVO"})," ",""),":",": "),SUBSTITUTE(SUBSTITUTE(UPPER(S2467)," ",""),":",": "))),0)),"-")</f>
        <v>-</v>
      </c>
      <c r="K2467" s="49"/>
    </row>
    <row r="2468" spans="1:11" x14ac:dyDescent="0.25">
      <c r="A2468" s="46" t="str" cm="1">
        <f t="array" ref="A2468">IFERROR(INDEX(#REF!,MATCH(TRUE,ISNUMBER(FIND(SUBSTITUTE(SUBSTITUTE(UPPER(#REF!)," ",""),":",": "),SUBSTITUTE(SUBSTITUTE(UPPER(S2468)," ",""),":",": "))),0)),"Undefined")</f>
        <v>Undefined</v>
      </c>
      <c r="B2468" s="42" t="str" cm="1">
        <f t="array" ref="B2468">IFERROR(INDEX({"URGENTE"},MATCH(TRUE,ISNUMBER(FIND(SUBSTITUTE(SUBSTITUTE(UPPER({"URGENTE"})," ",""),":",": "),SUBSTITUTE(SUBSTITUTE(UPPER(S2468)," ",""),":",": "))),0)),"-")</f>
        <v>-</v>
      </c>
      <c r="C2468" s="46" t="str" cm="1">
        <f t="array" ref="C2468">IFERROR(INDEX(#REF!,MATCH(TRUE,ISNUMBER(FIND(SUBSTITUTE(SUBSTITUTE(UPPER(#REF!)," ",""),":",": "),SUBSTITUTE(SUBSTITUTE(UPPER(S2468)," ",""),":",": "))),0)),"Não encontrado")</f>
        <v>Não encontrado</v>
      </c>
      <c r="D2468" s="46" t="str" cm="1">
        <f t="array" ref="D2468">IFERROR(INDEX(#REF!,MATCH(TRUE,ISNUMBER(FIND(SUBSTITUTE(SUBSTITUTE(UPPER(#REF!)," ",""),":",": "),SUBSTITUTE(SUBSTITUTE(UPPER(S2468)," ",""),":",": "))),0)),"Não encontrado")</f>
        <v>Não encontrado</v>
      </c>
      <c r="E2468" s="42" t="str" cm="1">
        <f t="array" ref="E2468">IFERROR(INDEX({"IMPEDITIVO"},MATCH(TRUE,ISNUMBER(FIND(SUBSTITUTE(SUBSTITUTE(UPPER({"IMPEDITIVO"})," ",""),":",": "),SUBSTITUTE(SUBSTITUTE(UPPER(S2468)," ",""),":",": "))),0)),"-")</f>
        <v>-</v>
      </c>
      <c r="K2468" s="49"/>
    </row>
    <row r="2469" spans="1:11" x14ac:dyDescent="0.25">
      <c r="A2469" s="46" t="str" cm="1">
        <f t="array" ref="A2469">IFERROR(INDEX(#REF!,MATCH(TRUE,ISNUMBER(FIND(SUBSTITUTE(SUBSTITUTE(UPPER(#REF!)," ",""),":",": "),SUBSTITUTE(SUBSTITUTE(UPPER(S2469)," ",""),":",": "))),0)),"Undefined")</f>
        <v>Undefined</v>
      </c>
      <c r="B2469" s="42" t="str" cm="1">
        <f t="array" ref="B2469">IFERROR(INDEX({"URGENTE"},MATCH(TRUE,ISNUMBER(FIND(SUBSTITUTE(SUBSTITUTE(UPPER({"URGENTE"})," ",""),":",": "),SUBSTITUTE(SUBSTITUTE(UPPER(S2469)," ",""),":",": "))),0)),"-")</f>
        <v>-</v>
      </c>
      <c r="C2469" s="46" t="str" cm="1">
        <f t="array" ref="C2469">IFERROR(INDEX(#REF!,MATCH(TRUE,ISNUMBER(FIND(SUBSTITUTE(SUBSTITUTE(UPPER(#REF!)," ",""),":",": "),SUBSTITUTE(SUBSTITUTE(UPPER(S2469)," ",""),":",": "))),0)),"Não encontrado")</f>
        <v>Não encontrado</v>
      </c>
      <c r="D2469" s="46" t="str" cm="1">
        <f t="array" ref="D2469">IFERROR(INDEX(#REF!,MATCH(TRUE,ISNUMBER(FIND(SUBSTITUTE(SUBSTITUTE(UPPER(#REF!)," ",""),":",": "),SUBSTITUTE(SUBSTITUTE(UPPER(S2469)," ",""),":",": "))),0)),"Não encontrado")</f>
        <v>Não encontrado</v>
      </c>
      <c r="E2469" s="42" t="str" cm="1">
        <f t="array" ref="E2469">IFERROR(INDEX({"IMPEDITIVO"},MATCH(TRUE,ISNUMBER(FIND(SUBSTITUTE(SUBSTITUTE(UPPER({"IMPEDITIVO"})," ",""),":",": "),SUBSTITUTE(SUBSTITUTE(UPPER(S2469)," ",""),":",": "))),0)),"-")</f>
        <v>-</v>
      </c>
      <c r="K2469" s="49"/>
    </row>
    <row r="2470" spans="1:11" x14ac:dyDescent="0.25">
      <c r="A2470" s="46" t="str" cm="1">
        <f t="array" ref="A2470">IFERROR(INDEX(#REF!,MATCH(TRUE,ISNUMBER(FIND(SUBSTITUTE(SUBSTITUTE(UPPER(#REF!)," ",""),":",": "),SUBSTITUTE(SUBSTITUTE(UPPER(S2470)," ",""),":",": "))),0)),"Undefined")</f>
        <v>Undefined</v>
      </c>
      <c r="B2470" s="42" t="str" cm="1">
        <f t="array" ref="B2470">IFERROR(INDEX({"URGENTE"},MATCH(TRUE,ISNUMBER(FIND(SUBSTITUTE(SUBSTITUTE(UPPER({"URGENTE"})," ",""),":",": "),SUBSTITUTE(SUBSTITUTE(UPPER(S2470)," ",""),":",": "))),0)),"-")</f>
        <v>-</v>
      </c>
      <c r="C2470" s="46" t="str" cm="1">
        <f t="array" ref="C2470">IFERROR(INDEX(#REF!,MATCH(TRUE,ISNUMBER(FIND(SUBSTITUTE(SUBSTITUTE(UPPER(#REF!)," ",""),":",": "),SUBSTITUTE(SUBSTITUTE(UPPER(S2470)," ",""),":",": "))),0)),"Não encontrado")</f>
        <v>Não encontrado</v>
      </c>
      <c r="D2470" s="46" t="str" cm="1">
        <f t="array" ref="D2470">IFERROR(INDEX(#REF!,MATCH(TRUE,ISNUMBER(FIND(SUBSTITUTE(SUBSTITUTE(UPPER(#REF!)," ",""),":",": "),SUBSTITUTE(SUBSTITUTE(UPPER(S2470)," ",""),":",": "))),0)),"Não encontrado")</f>
        <v>Não encontrado</v>
      </c>
      <c r="E2470" s="42" t="str" cm="1">
        <f t="array" ref="E2470">IFERROR(INDEX({"IMPEDITIVO"},MATCH(TRUE,ISNUMBER(FIND(SUBSTITUTE(SUBSTITUTE(UPPER({"IMPEDITIVO"})," ",""),":",": "),SUBSTITUTE(SUBSTITUTE(UPPER(S2470)," ",""),":",": "))),0)),"-")</f>
        <v>-</v>
      </c>
      <c r="K2470" s="49"/>
    </row>
    <row r="2471" spans="1:11" x14ac:dyDescent="0.25">
      <c r="A2471" s="46" t="str" cm="1">
        <f t="array" ref="A2471">IFERROR(INDEX(#REF!,MATCH(TRUE,ISNUMBER(FIND(SUBSTITUTE(SUBSTITUTE(UPPER(#REF!)," ",""),":",": "),SUBSTITUTE(SUBSTITUTE(UPPER(S2471)," ",""),":",": "))),0)),"Undefined")</f>
        <v>Undefined</v>
      </c>
      <c r="B2471" s="42" t="str" cm="1">
        <f t="array" ref="B2471">IFERROR(INDEX({"URGENTE"},MATCH(TRUE,ISNUMBER(FIND(SUBSTITUTE(SUBSTITUTE(UPPER({"URGENTE"})," ",""),":",": "),SUBSTITUTE(SUBSTITUTE(UPPER(S2471)," ",""),":",": "))),0)),"-")</f>
        <v>-</v>
      </c>
      <c r="C2471" s="46" t="str" cm="1">
        <f t="array" ref="C2471">IFERROR(INDEX(#REF!,MATCH(TRUE,ISNUMBER(FIND(SUBSTITUTE(SUBSTITUTE(UPPER(#REF!)," ",""),":",": "),SUBSTITUTE(SUBSTITUTE(UPPER(S2471)," ",""),":",": "))),0)),"Não encontrado")</f>
        <v>Não encontrado</v>
      </c>
      <c r="D2471" s="46" t="str" cm="1">
        <f t="array" ref="D2471">IFERROR(INDEX(#REF!,MATCH(TRUE,ISNUMBER(FIND(SUBSTITUTE(SUBSTITUTE(UPPER(#REF!)," ",""),":",": "),SUBSTITUTE(SUBSTITUTE(UPPER(S2471)," ",""),":",": "))),0)),"Não encontrado")</f>
        <v>Não encontrado</v>
      </c>
      <c r="E2471" s="42" t="str" cm="1">
        <f t="array" ref="E2471">IFERROR(INDEX({"IMPEDITIVO"},MATCH(TRUE,ISNUMBER(FIND(SUBSTITUTE(SUBSTITUTE(UPPER({"IMPEDITIVO"})," ",""),":",": "),SUBSTITUTE(SUBSTITUTE(UPPER(S2471)," ",""),":",": "))),0)),"-")</f>
        <v>-</v>
      </c>
      <c r="K2471" s="49"/>
    </row>
    <row r="2472" spans="1:11" x14ac:dyDescent="0.25">
      <c r="A2472" s="46" t="str" cm="1">
        <f t="array" ref="A2472">IFERROR(INDEX(#REF!,MATCH(TRUE,ISNUMBER(FIND(SUBSTITUTE(SUBSTITUTE(UPPER(#REF!)," ",""),":",": "),SUBSTITUTE(SUBSTITUTE(UPPER(S2472)," ",""),":",": "))),0)),"Undefined")</f>
        <v>Undefined</v>
      </c>
      <c r="B2472" s="42" t="str" cm="1">
        <f t="array" ref="B2472">IFERROR(INDEX({"URGENTE"},MATCH(TRUE,ISNUMBER(FIND(SUBSTITUTE(SUBSTITUTE(UPPER({"URGENTE"})," ",""),":",": "),SUBSTITUTE(SUBSTITUTE(UPPER(S2472)," ",""),":",": "))),0)),"-")</f>
        <v>-</v>
      </c>
      <c r="C2472" s="46" t="str" cm="1">
        <f t="array" ref="C2472">IFERROR(INDEX(#REF!,MATCH(TRUE,ISNUMBER(FIND(SUBSTITUTE(SUBSTITUTE(UPPER(#REF!)," ",""),":",": "),SUBSTITUTE(SUBSTITUTE(UPPER(S2472)," ",""),":",": "))),0)),"Não encontrado")</f>
        <v>Não encontrado</v>
      </c>
      <c r="D2472" s="46" t="str" cm="1">
        <f t="array" ref="D2472">IFERROR(INDEX(#REF!,MATCH(TRUE,ISNUMBER(FIND(SUBSTITUTE(SUBSTITUTE(UPPER(#REF!)," ",""),":",": "),SUBSTITUTE(SUBSTITUTE(UPPER(S2472)," ",""),":",": "))),0)),"Não encontrado")</f>
        <v>Não encontrado</v>
      </c>
      <c r="E2472" s="42" t="str" cm="1">
        <f t="array" ref="E2472">IFERROR(INDEX({"IMPEDITIVO"},MATCH(TRUE,ISNUMBER(FIND(SUBSTITUTE(SUBSTITUTE(UPPER({"IMPEDITIVO"})," ",""),":",": "),SUBSTITUTE(SUBSTITUTE(UPPER(S2472)," ",""),":",": "))),0)),"-")</f>
        <v>-</v>
      </c>
      <c r="K2472" s="49"/>
    </row>
    <row r="2473" spans="1:11" x14ac:dyDescent="0.25">
      <c r="A2473" s="46" t="str" cm="1">
        <f t="array" ref="A2473">IFERROR(INDEX(#REF!,MATCH(TRUE,ISNUMBER(FIND(SUBSTITUTE(SUBSTITUTE(UPPER(#REF!)," ",""),":",": "),SUBSTITUTE(SUBSTITUTE(UPPER(S2473)," ",""),":",": "))),0)),"Undefined")</f>
        <v>Undefined</v>
      </c>
      <c r="B2473" s="42" t="str" cm="1">
        <f t="array" ref="B2473">IFERROR(INDEX({"URGENTE"},MATCH(TRUE,ISNUMBER(FIND(SUBSTITUTE(SUBSTITUTE(UPPER({"URGENTE"})," ",""),":",": "),SUBSTITUTE(SUBSTITUTE(UPPER(S2473)," ",""),":",": "))),0)),"-")</f>
        <v>-</v>
      </c>
      <c r="C2473" s="46" t="str" cm="1">
        <f t="array" ref="C2473">IFERROR(INDEX(#REF!,MATCH(TRUE,ISNUMBER(FIND(SUBSTITUTE(SUBSTITUTE(UPPER(#REF!)," ",""),":",": "),SUBSTITUTE(SUBSTITUTE(UPPER(S2473)," ",""),":",": "))),0)),"Não encontrado")</f>
        <v>Não encontrado</v>
      </c>
      <c r="D2473" s="46" t="str" cm="1">
        <f t="array" ref="D2473">IFERROR(INDEX(#REF!,MATCH(TRUE,ISNUMBER(FIND(SUBSTITUTE(SUBSTITUTE(UPPER(#REF!)," ",""),":",": "),SUBSTITUTE(SUBSTITUTE(UPPER(S2473)," ",""),":",": "))),0)),"Não encontrado")</f>
        <v>Não encontrado</v>
      </c>
      <c r="E2473" s="42" t="str" cm="1">
        <f t="array" ref="E2473">IFERROR(INDEX({"IMPEDITIVO"},MATCH(TRUE,ISNUMBER(FIND(SUBSTITUTE(SUBSTITUTE(UPPER({"IMPEDITIVO"})," ",""),":",": "),SUBSTITUTE(SUBSTITUTE(UPPER(S2473)," ",""),":",": "))),0)),"-")</f>
        <v>-</v>
      </c>
      <c r="K2473" s="49"/>
    </row>
    <row r="2474" spans="1:11" x14ac:dyDescent="0.25">
      <c r="A2474" s="46" t="str" cm="1">
        <f t="array" ref="A2474">IFERROR(INDEX(#REF!,MATCH(TRUE,ISNUMBER(FIND(SUBSTITUTE(SUBSTITUTE(UPPER(#REF!)," ",""),":",": "),SUBSTITUTE(SUBSTITUTE(UPPER(S2474)," ",""),":",": "))),0)),"Undefined")</f>
        <v>Undefined</v>
      </c>
      <c r="B2474" s="42" t="str" cm="1">
        <f t="array" ref="B2474">IFERROR(INDEX({"URGENTE"},MATCH(TRUE,ISNUMBER(FIND(SUBSTITUTE(SUBSTITUTE(UPPER({"URGENTE"})," ",""),":",": "),SUBSTITUTE(SUBSTITUTE(UPPER(S2474)," ",""),":",": "))),0)),"-")</f>
        <v>-</v>
      </c>
      <c r="C2474" s="46" t="str" cm="1">
        <f t="array" ref="C2474">IFERROR(INDEX(#REF!,MATCH(TRUE,ISNUMBER(FIND(SUBSTITUTE(SUBSTITUTE(UPPER(#REF!)," ",""),":",": "),SUBSTITUTE(SUBSTITUTE(UPPER(S2474)," ",""),":",": "))),0)),"Não encontrado")</f>
        <v>Não encontrado</v>
      </c>
      <c r="D2474" s="46" t="str" cm="1">
        <f t="array" ref="D2474">IFERROR(INDEX(#REF!,MATCH(TRUE,ISNUMBER(FIND(SUBSTITUTE(SUBSTITUTE(UPPER(#REF!)," ",""),":",": "),SUBSTITUTE(SUBSTITUTE(UPPER(S2474)," ",""),":",": "))),0)),"Não encontrado")</f>
        <v>Não encontrado</v>
      </c>
      <c r="E2474" s="42" t="str" cm="1">
        <f t="array" ref="E2474">IFERROR(INDEX({"IMPEDITIVO"},MATCH(TRUE,ISNUMBER(FIND(SUBSTITUTE(SUBSTITUTE(UPPER({"IMPEDITIVO"})," ",""),":",": "),SUBSTITUTE(SUBSTITUTE(UPPER(S2474)," ",""),":",": "))),0)),"-")</f>
        <v>-</v>
      </c>
      <c r="K2474" s="49"/>
    </row>
    <row r="2475" spans="1:11" x14ac:dyDescent="0.25">
      <c r="A2475" s="46" t="str" cm="1">
        <f t="array" ref="A2475">IFERROR(INDEX(#REF!,MATCH(TRUE,ISNUMBER(FIND(SUBSTITUTE(SUBSTITUTE(UPPER(#REF!)," ",""),":",": "),SUBSTITUTE(SUBSTITUTE(UPPER(S2475)," ",""),":",": "))),0)),"Undefined")</f>
        <v>Undefined</v>
      </c>
      <c r="B2475" s="42" t="str" cm="1">
        <f t="array" ref="B2475">IFERROR(INDEX({"URGENTE"},MATCH(TRUE,ISNUMBER(FIND(SUBSTITUTE(SUBSTITUTE(UPPER({"URGENTE"})," ",""),":",": "),SUBSTITUTE(SUBSTITUTE(UPPER(S2475)," ",""),":",": "))),0)),"-")</f>
        <v>-</v>
      </c>
      <c r="C2475" s="46" t="str" cm="1">
        <f t="array" ref="C2475">IFERROR(INDEX(#REF!,MATCH(TRUE,ISNUMBER(FIND(SUBSTITUTE(SUBSTITUTE(UPPER(#REF!)," ",""),":",": "),SUBSTITUTE(SUBSTITUTE(UPPER(S2475)," ",""),":",": "))),0)),"Não encontrado")</f>
        <v>Não encontrado</v>
      </c>
      <c r="D2475" s="46" t="str" cm="1">
        <f t="array" ref="D2475">IFERROR(INDEX(#REF!,MATCH(TRUE,ISNUMBER(FIND(SUBSTITUTE(SUBSTITUTE(UPPER(#REF!)," ",""),":",": "),SUBSTITUTE(SUBSTITUTE(UPPER(S2475)," ",""),":",": "))),0)),"Não encontrado")</f>
        <v>Não encontrado</v>
      </c>
      <c r="E2475" s="42" t="str" cm="1">
        <f t="array" ref="E2475">IFERROR(INDEX({"IMPEDITIVO"},MATCH(TRUE,ISNUMBER(FIND(SUBSTITUTE(SUBSTITUTE(UPPER({"IMPEDITIVO"})," ",""),":",": "),SUBSTITUTE(SUBSTITUTE(UPPER(S2475)," ",""),":",": "))),0)),"-")</f>
        <v>-</v>
      </c>
      <c r="K2475" s="49"/>
    </row>
    <row r="2476" spans="1:11" x14ac:dyDescent="0.25">
      <c r="A2476" s="46" t="str" cm="1">
        <f t="array" ref="A2476">IFERROR(INDEX(#REF!,MATCH(TRUE,ISNUMBER(FIND(SUBSTITUTE(SUBSTITUTE(UPPER(#REF!)," ",""),":",": "),SUBSTITUTE(SUBSTITUTE(UPPER(S2476)," ",""),":",": "))),0)),"Undefined")</f>
        <v>Undefined</v>
      </c>
      <c r="B2476" s="42" t="str" cm="1">
        <f t="array" ref="B2476">IFERROR(INDEX({"URGENTE"},MATCH(TRUE,ISNUMBER(FIND(SUBSTITUTE(SUBSTITUTE(UPPER({"URGENTE"})," ",""),":",": "),SUBSTITUTE(SUBSTITUTE(UPPER(S2476)," ",""),":",": "))),0)),"-")</f>
        <v>-</v>
      </c>
      <c r="C2476" s="46" t="str" cm="1">
        <f t="array" ref="C2476">IFERROR(INDEX(#REF!,MATCH(TRUE,ISNUMBER(FIND(SUBSTITUTE(SUBSTITUTE(UPPER(#REF!)," ",""),":",": "),SUBSTITUTE(SUBSTITUTE(UPPER(S2476)," ",""),":",": "))),0)),"Não encontrado")</f>
        <v>Não encontrado</v>
      </c>
      <c r="D2476" s="46" t="str" cm="1">
        <f t="array" ref="D2476">IFERROR(INDEX(#REF!,MATCH(TRUE,ISNUMBER(FIND(SUBSTITUTE(SUBSTITUTE(UPPER(#REF!)," ",""),":",": "),SUBSTITUTE(SUBSTITUTE(UPPER(S2476)," ",""),":",": "))),0)),"Não encontrado")</f>
        <v>Não encontrado</v>
      </c>
      <c r="E2476" s="42" t="str" cm="1">
        <f t="array" ref="E2476">IFERROR(INDEX({"IMPEDITIVO"},MATCH(TRUE,ISNUMBER(FIND(SUBSTITUTE(SUBSTITUTE(UPPER({"IMPEDITIVO"})," ",""),":",": "),SUBSTITUTE(SUBSTITUTE(UPPER(S2476)," ",""),":",": "))),0)),"-")</f>
        <v>-</v>
      </c>
      <c r="K2476" s="49"/>
    </row>
    <row r="2477" spans="1:11" x14ac:dyDescent="0.25">
      <c r="A2477" s="46" t="str" cm="1">
        <f t="array" ref="A2477">IFERROR(INDEX(#REF!,MATCH(TRUE,ISNUMBER(FIND(SUBSTITUTE(SUBSTITUTE(UPPER(#REF!)," ",""),":",": "),SUBSTITUTE(SUBSTITUTE(UPPER(S2477)," ",""),":",": "))),0)),"Undefined")</f>
        <v>Undefined</v>
      </c>
      <c r="B2477" s="42" t="str" cm="1">
        <f t="array" ref="B2477">IFERROR(INDEX({"URGENTE"},MATCH(TRUE,ISNUMBER(FIND(SUBSTITUTE(SUBSTITUTE(UPPER({"URGENTE"})," ",""),":",": "),SUBSTITUTE(SUBSTITUTE(UPPER(S2477)," ",""),":",": "))),0)),"-")</f>
        <v>-</v>
      </c>
      <c r="C2477" s="46" t="str" cm="1">
        <f t="array" ref="C2477">IFERROR(INDEX(#REF!,MATCH(TRUE,ISNUMBER(FIND(SUBSTITUTE(SUBSTITUTE(UPPER(#REF!)," ",""),":",": "),SUBSTITUTE(SUBSTITUTE(UPPER(S2477)," ",""),":",": "))),0)),"Não encontrado")</f>
        <v>Não encontrado</v>
      </c>
      <c r="D2477" s="46" t="str" cm="1">
        <f t="array" ref="D2477">IFERROR(INDEX(#REF!,MATCH(TRUE,ISNUMBER(FIND(SUBSTITUTE(SUBSTITUTE(UPPER(#REF!)," ",""),":",": "),SUBSTITUTE(SUBSTITUTE(UPPER(S2477)," ",""),":",": "))),0)),"Não encontrado")</f>
        <v>Não encontrado</v>
      </c>
      <c r="E2477" s="42" t="str" cm="1">
        <f t="array" ref="E2477">IFERROR(INDEX({"IMPEDITIVO"},MATCH(TRUE,ISNUMBER(FIND(SUBSTITUTE(SUBSTITUTE(UPPER({"IMPEDITIVO"})," ",""),":",": "),SUBSTITUTE(SUBSTITUTE(UPPER(S2477)," ",""),":",": "))),0)),"-")</f>
        <v>-</v>
      </c>
      <c r="K2477" s="49"/>
    </row>
    <row r="2478" spans="1:11" x14ac:dyDescent="0.25">
      <c r="A2478" s="46" t="str" cm="1">
        <f t="array" ref="A2478">IFERROR(INDEX(#REF!,MATCH(TRUE,ISNUMBER(FIND(SUBSTITUTE(SUBSTITUTE(UPPER(#REF!)," ",""),":",": "),SUBSTITUTE(SUBSTITUTE(UPPER(S2478)," ",""),":",": "))),0)),"Undefined")</f>
        <v>Undefined</v>
      </c>
      <c r="B2478" s="42" t="str" cm="1">
        <f t="array" ref="B2478">IFERROR(INDEX({"URGENTE"},MATCH(TRUE,ISNUMBER(FIND(SUBSTITUTE(SUBSTITUTE(UPPER({"URGENTE"})," ",""),":",": "),SUBSTITUTE(SUBSTITUTE(UPPER(S2478)," ",""),":",": "))),0)),"-")</f>
        <v>-</v>
      </c>
      <c r="C2478" s="46" t="str" cm="1">
        <f t="array" ref="C2478">IFERROR(INDEX(#REF!,MATCH(TRUE,ISNUMBER(FIND(SUBSTITUTE(SUBSTITUTE(UPPER(#REF!)," ",""),":",": "),SUBSTITUTE(SUBSTITUTE(UPPER(S2478)," ",""),":",": "))),0)),"Não encontrado")</f>
        <v>Não encontrado</v>
      </c>
      <c r="D2478" s="46" t="str" cm="1">
        <f t="array" ref="D2478">IFERROR(INDEX(#REF!,MATCH(TRUE,ISNUMBER(FIND(SUBSTITUTE(SUBSTITUTE(UPPER(#REF!)," ",""),":",": "),SUBSTITUTE(SUBSTITUTE(UPPER(S2478)," ",""),":",": "))),0)),"Não encontrado")</f>
        <v>Não encontrado</v>
      </c>
      <c r="E2478" s="42" t="str" cm="1">
        <f t="array" ref="E2478">IFERROR(INDEX({"IMPEDITIVO"},MATCH(TRUE,ISNUMBER(FIND(SUBSTITUTE(SUBSTITUTE(UPPER({"IMPEDITIVO"})," ",""),":",": "),SUBSTITUTE(SUBSTITUTE(UPPER(S2478)," ",""),":",": "))),0)),"-")</f>
        <v>-</v>
      </c>
      <c r="K2478" s="49"/>
    </row>
    <row r="2479" spans="1:11" x14ac:dyDescent="0.25">
      <c r="A2479" s="46" t="str" cm="1">
        <f t="array" ref="A2479">IFERROR(INDEX(#REF!,MATCH(TRUE,ISNUMBER(FIND(SUBSTITUTE(SUBSTITUTE(UPPER(#REF!)," ",""),":",": "),SUBSTITUTE(SUBSTITUTE(UPPER(S2479)," ",""),":",": "))),0)),"Undefined")</f>
        <v>Undefined</v>
      </c>
      <c r="B2479" s="42" t="str" cm="1">
        <f t="array" ref="B2479">IFERROR(INDEX({"URGENTE"},MATCH(TRUE,ISNUMBER(FIND(SUBSTITUTE(SUBSTITUTE(UPPER({"URGENTE"})," ",""),":",": "),SUBSTITUTE(SUBSTITUTE(UPPER(S2479)," ",""),":",": "))),0)),"-")</f>
        <v>-</v>
      </c>
      <c r="C2479" s="46" t="str" cm="1">
        <f t="array" ref="C2479">IFERROR(INDEX(#REF!,MATCH(TRUE,ISNUMBER(FIND(SUBSTITUTE(SUBSTITUTE(UPPER(#REF!)," ",""),":",": "),SUBSTITUTE(SUBSTITUTE(UPPER(S2479)," ",""),":",": "))),0)),"Não encontrado")</f>
        <v>Não encontrado</v>
      </c>
      <c r="D2479" s="46" t="str" cm="1">
        <f t="array" ref="D2479">IFERROR(INDEX(#REF!,MATCH(TRUE,ISNUMBER(FIND(SUBSTITUTE(SUBSTITUTE(UPPER(#REF!)," ",""),":",": "),SUBSTITUTE(SUBSTITUTE(UPPER(S2479)," ",""),":",": "))),0)),"Não encontrado")</f>
        <v>Não encontrado</v>
      </c>
      <c r="E2479" s="42" t="str" cm="1">
        <f t="array" ref="E2479">IFERROR(INDEX({"IMPEDITIVO"},MATCH(TRUE,ISNUMBER(FIND(SUBSTITUTE(SUBSTITUTE(UPPER({"IMPEDITIVO"})," ",""),":",": "),SUBSTITUTE(SUBSTITUTE(UPPER(S2479)," ",""),":",": "))),0)),"-")</f>
        <v>-</v>
      </c>
      <c r="K2479" s="49"/>
    </row>
    <row r="2480" spans="1:11" x14ac:dyDescent="0.25">
      <c r="A2480" s="46" t="str" cm="1">
        <f t="array" ref="A2480">IFERROR(INDEX(#REF!,MATCH(TRUE,ISNUMBER(FIND(SUBSTITUTE(SUBSTITUTE(UPPER(#REF!)," ",""),":",": "),SUBSTITUTE(SUBSTITUTE(UPPER(S2480)," ",""),":",": "))),0)),"Undefined")</f>
        <v>Undefined</v>
      </c>
      <c r="B2480" s="42" t="str" cm="1">
        <f t="array" ref="B2480">IFERROR(INDEX({"URGENTE"},MATCH(TRUE,ISNUMBER(FIND(SUBSTITUTE(SUBSTITUTE(UPPER({"URGENTE"})," ",""),":",": "),SUBSTITUTE(SUBSTITUTE(UPPER(S2480)," ",""),":",": "))),0)),"-")</f>
        <v>-</v>
      </c>
      <c r="C2480" s="46" t="str" cm="1">
        <f t="array" ref="C2480">IFERROR(INDEX(#REF!,MATCH(TRUE,ISNUMBER(FIND(SUBSTITUTE(SUBSTITUTE(UPPER(#REF!)," ",""),":",": "),SUBSTITUTE(SUBSTITUTE(UPPER(S2480)," ",""),":",": "))),0)),"Não encontrado")</f>
        <v>Não encontrado</v>
      </c>
      <c r="D2480" s="46" t="str" cm="1">
        <f t="array" ref="D2480">IFERROR(INDEX(#REF!,MATCH(TRUE,ISNUMBER(FIND(SUBSTITUTE(SUBSTITUTE(UPPER(#REF!)," ",""),":",": "),SUBSTITUTE(SUBSTITUTE(UPPER(S2480)," ",""),":",": "))),0)),"Não encontrado")</f>
        <v>Não encontrado</v>
      </c>
      <c r="E2480" s="42" t="str" cm="1">
        <f t="array" ref="E2480">IFERROR(INDEX({"IMPEDITIVO"},MATCH(TRUE,ISNUMBER(FIND(SUBSTITUTE(SUBSTITUTE(UPPER({"IMPEDITIVO"})," ",""),":",": "),SUBSTITUTE(SUBSTITUTE(UPPER(S2480)," ",""),":",": "))),0)),"-")</f>
        <v>-</v>
      </c>
      <c r="K2480" s="49"/>
    </row>
    <row r="2481" spans="1:11" x14ac:dyDescent="0.25">
      <c r="A2481" s="46" t="str" cm="1">
        <f t="array" ref="A2481">IFERROR(INDEX(#REF!,MATCH(TRUE,ISNUMBER(FIND(SUBSTITUTE(SUBSTITUTE(UPPER(#REF!)," ",""),":",": "),SUBSTITUTE(SUBSTITUTE(UPPER(S2481)," ",""),":",": "))),0)),"Undefined")</f>
        <v>Undefined</v>
      </c>
      <c r="B2481" s="42" t="str" cm="1">
        <f t="array" ref="B2481">IFERROR(INDEX({"URGENTE"},MATCH(TRUE,ISNUMBER(FIND(SUBSTITUTE(SUBSTITUTE(UPPER({"URGENTE"})," ",""),":",": "),SUBSTITUTE(SUBSTITUTE(UPPER(S2481)," ",""),":",": "))),0)),"-")</f>
        <v>-</v>
      </c>
      <c r="C2481" s="46" t="str" cm="1">
        <f t="array" ref="C2481">IFERROR(INDEX(#REF!,MATCH(TRUE,ISNUMBER(FIND(SUBSTITUTE(SUBSTITUTE(UPPER(#REF!)," ",""),":",": "),SUBSTITUTE(SUBSTITUTE(UPPER(S2481)," ",""),":",": "))),0)),"Não encontrado")</f>
        <v>Não encontrado</v>
      </c>
      <c r="D2481" s="46" t="str" cm="1">
        <f t="array" ref="D2481">IFERROR(INDEX(#REF!,MATCH(TRUE,ISNUMBER(FIND(SUBSTITUTE(SUBSTITUTE(UPPER(#REF!)," ",""),":",": "),SUBSTITUTE(SUBSTITUTE(UPPER(S2481)," ",""),":",": "))),0)),"Não encontrado")</f>
        <v>Não encontrado</v>
      </c>
      <c r="E2481" s="42" t="str" cm="1">
        <f t="array" ref="E2481">IFERROR(INDEX({"IMPEDITIVO"},MATCH(TRUE,ISNUMBER(FIND(SUBSTITUTE(SUBSTITUTE(UPPER({"IMPEDITIVO"})," ",""),":",": "),SUBSTITUTE(SUBSTITUTE(UPPER(S2481)," ",""),":",": "))),0)),"-")</f>
        <v>-</v>
      </c>
      <c r="K2481" s="49"/>
    </row>
    <row r="2482" spans="1:11" x14ac:dyDescent="0.25">
      <c r="A2482" s="46" t="str" cm="1">
        <f t="array" ref="A2482">IFERROR(INDEX(#REF!,MATCH(TRUE,ISNUMBER(FIND(SUBSTITUTE(SUBSTITUTE(UPPER(#REF!)," ",""),":",": "),SUBSTITUTE(SUBSTITUTE(UPPER(S2482)," ",""),":",": "))),0)),"Undefined")</f>
        <v>Undefined</v>
      </c>
      <c r="B2482" s="42" t="str" cm="1">
        <f t="array" ref="B2482">IFERROR(INDEX({"URGENTE"},MATCH(TRUE,ISNUMBER(FIND(SUBSTITUTE(SUBSTITUTE(UPPER({"URGENTE"})," ",""),":",": "),SUBSTITUTE(SUBSTITUTE(UPPER(S2482)," ",""),":",": "))),0)),"-")</f>
        <v>-</v>
      </c>
      <c r="C2482" s="46" t="str" cm="1">
        <f t="array" ref="C2482">IFERROR(INDEX(#REF!,MATCH(TRUE,ISNUMBER(FIND(SUBSTITUTE(SUBSTITUTE(UPPER(#REF!)," ",""),":",": "),SUBSTITUTE(SUBSTITUTE(UPPER(S2482)," ",""),":",": "))),0)),"Não encontrado")</f>
        <v>Não encontrado</v>
      </c>
      <c r="D2482" s="46" t="str" cm="1">
        <f t="array" ref="D2482">IFERROR(INDEX(#REF!,MATCH(TRUE,ISNUMBER(FIND(SUBSTITUTE(SUBSTITUTE(UPPER(#REF!)," ",""),":",": "),SUBSTITUTE(SUBSTITUTE(UPPER(S2482)," ",""),":",": "))),0)),"Não encontrado")</f>
        <v>Não encontrado</v>
      </c>
      <c r="E2482" s="42" t="str" cm="1">
        <f t="array" ref="E2482">IFERROR(INDEX({"IMPEDITIVO"},MATCH(TRUE,ISNUMBER(FIND(SUBSTITUTE(SUBSTITUTE(UPPER({"IMPEDITIVO"})," ",""),":",": "),SUBSTITUTE(SUBSTITUTE(UPPER(S2482)," ",""),":",": "))),0)),"-")</f>
        <v>-</v>
      </c>
      <c r="K2482" s="49"/>
    </row>
    <row r="2483" spans="1:11" x14ac:dyDescent="0.25">
      <c r="A2483" s="46" t="str" cm="1">
        <f t="array" ref="A2483">IFERROR(INDEX(#REF!,MATCH(TRUE,ISNUMBER(FIND(SUBSTITUTE(SUBSTITUTE(UPPER(#REF!)," ",""),":",": "),SUBSTITUTE(SUBSTITUTE(UPPER(S2483)," ",""),":",": "))),0)),"Undefined")</f>
        <v>Undefined</v>
      </c>
      <c r="B2483" s="42" t="str" cm="1">
        <f t="array" ref="B2483">IFERROR(INDEX({"URGENTE"},MATCH(TRUE,ISNUMBER(FIND(SUBSTITUTE(SUBSTITUTE(UPPER({"URGENTE"})," ",""),":",": "),SUBSTITUTE(SUBSTITUTE(UPPER(S2483)," ",""),":",": "))),0)),"-")</f>
        <v>-</v>
      </c>
      <c r="C2483" s="46" t="str" cm="1">
        <f t="array" ref="C2483">IFERROR(INDEX(#REF!,MATCH(TRUE,ISNUMBER(FIND(SUBSTITUTE(SUBSTITUTE(UPPER(#REF!)," ",""),":",": "),SUBSTITUTE(SUBSTITUTE(UPPER(S2483)," ",""),":",": "))),0)),"Não encontrado")</f>
        <v>Não encontrado</v>
      </c>
      <c r="D2483" s="46" t="str" cm="1">
        <f t="array" ref="D2483">IFERROR(INDEX(#REF!,MATCH(TRUE,ISNUMBER(FIND(SUBSTITUTE(SUBSTITUTE(UPPER(#REF!)," ",""),":",": "),SUBSTITUTE(SUBSTITUTE(UPPER(S2483)," ",""),":",": "))),0)),"Não encontrado")</f>
        <v>Não encontrado</v>
      </c>
      <c r="E2483" s="42" t="str" cm="1">
        <f t="array" ref="E2483">IFERROR(INDEX({"IMPEDITIVO"},MATCH(TRUE,ISNUMBER(FIND(SUBSTITUTE(SUBSTITUTE(UPPER({"IMPEDITIVO"})," ",""),":",": "),SUBSTITUTE(SUBSTITUTE(UPPER(S2483)," ",""),":",": "))),0)),"-")</f>
        <v>-</v>
      </c>
      <c r="K2483" s="49"/>
    </row>
    <row r="2484" spans="1:11" x14ac:dyDescent="0.25">
      <c r="A2484" s="46" t="str" cm="1">
        <f t="array" ref="A2484">IFERROR(INDEX(#REF!,MATCH(TRUE,ISNUMBER(FIND(SUBSTITUTE(SUBSTITUTE(UPPER(#REF!)," ",""),":",": "),SUBSTITUTE(SUBSTITUTE(UPPER(S2484)," ",""),":",": "))),0)),"Undefined")</f>
        <v>Undefined</v>
      </c>
      <c r="B2484" s="42" t="str" cm="1">
        <f t="array" ref="B2484">IFERROR(INDEX({"URGENTE"},MATCH(TRUE,ISNUMBER(FIND(SUBSTITUTE(SUBSTITUTE(UPPER({"URGENTE"})," ",""),":",": "),SUBSTITUTE(SUBSTITUTE(UPPER(S2484)," ",""),":",": "))),0)),"-")</f>
        <v>-</v>
      </c>
      <c r="C2484" s="46" t="str" cm="1">
        <f t="array" ref="C2484">IFERROR(INDEX(#REF!,MATCH(TRUE,ISNUMBER(FIND(SUBSTITUTE(SUBSTITUTE(UPPER(#REF!)," ",""),":",": "),SUBSTITUTE(SUBSTITUTE(UPPER(S2484)," ",""),":",": "))),0)),"Não encontrado")</f>
        <v>Não encontrado</v>
      </c>
      <c r="D2484" s="46" t="str" cm="1">
        <f t="array" ref="D2484">IFERROR(INDEX(#REF!,MATCH(TRUE,ISNUMBER(FIND(SUBSTITUTE(SUBSTITUTE(UPPER(#REF!)," ",""),":",": "),SUBSTITUTE(SUBSTITUTE(UPPER(S2484)," ",""),":",": "))),0)),"Não encontrado")</f>
        <v>Não encontrado</v>
      </c>
      <c r="E2484" s="42" t="str" cm="1">
        <f t="array" ref="E2484">IFERROR(INDEX({"IMPEDITIVO"},MATCH(TRUE,ISNUMBER(FIND(SUBSTITUTE(SUBSTITUTE(UPPER({"IMPEDITIVO"})," ",""),":",": "),SUBSTITUTE(SUBSTITUTE(UPPER(S2484)," ",""),":",": "))),0)),"-")</f>
        <v>-</v>
      </c>
      <c r="K2484" s="49"/>
    </row>
    <row r="2485" spans="1:11" x14ac:dyDescent="0.25">
      <c r="A2485" s="46" t="str" cm="1">
        <f t="array" ref="A2485">IFERROR(INDEX(#REF!,MATCH(TRUE,ISNUMBER(FIND(SUBSTITUTE(SUBSTITUTE(UPPER(#REF!)," ",""),":",": "),SUBSTITUTE(SUBSTITUTE(UPPER(S2485)," ",""),":",": "))),0)),"Undefined")</f>
        <v>Undefined</v>
      </c>
      <c r="B2485" s="42" t="str" cm="1">
        <f t="array" ref="B2485">IFERROR(INDEX({"URGENTE"},MATCH(TRUE,ISNUMBER(FIND(SUBSTITUTE(SUBSTITUTE(UPPER({"URGENTE"})," ",""),":",": "),SUBSTITUTE(SUBSTITUTE(UPPER(S2485)," ",""),":",": "))),0)),"-")</f>
        <v>-</v>
      </c>
      <c r="C2485" s="46" t="str" cm="1">
        <f t="array" ref="C2485">IFERROR(INDEX(#REF!,MATCH(TRUE,ISNUMBER(FIND(SUBSTITUTE(SUBSTITUTE(UPPER(#REF!)," ",""),":",": "),SUBSTITUTE(SUBSTITUTE(UPPER(S2485)," ",""),":",": "))),0)),"Não encontrado")</f>
        <v>Não encontrado</v>
      </c>
      <c r="D2485" s="46" t="str" cm="1">
        <f t="array" ref="D2485">IFERROR(INDEX(#REF!,MATCH(TRUE,ISNUMBER(FIND(SUBSTITUTE(SUBSTITUTE(UPPER(#REF!)," ",""),":",": "),SUBSTITUTE(SUBSTITUTE(UPPER(S2485)," ",""),":",": "))),0)),"Não encontrado")</f>
        <v>Não encontrado</v>
      </c>
      <c r="E2485" s="42" t="str" cm="1">
        <f t="array" ref="E2485">IFERROR(INDEX({"IMPEDITIVO"},MATCH(TRUE,ISNUMBER(FIND(SUBSTITUTE(SUBSTITUTE(UPPER({"IMPEDITIVO"})," ",""),":",": "),SUBSTITUTE(SUBSTITUTE(UPPER(S2485)," ",""),":",": "))),0)),"-")</f>
        <v>-</v>
      </c>
      <c r="K2485" s="49"/>
    </row>
    <row r="2486" spans="1:11" x14ac:dyDescent="0.25">
      <c r="A2486" s="46" t="str" cm="1">
        <f t="array" ref="A2486">IFERROR(INDEX(#REF!,MATCH(TRUE,ISNUMBER(FIND(SUBSTITUTE(SUBSTITUTE(UPPER(#REF!)," ",""),":",": "),SUBSTITUTE(SUBSTITUTE(UPPER(S2486)," ",""),":",": "))),0)),"Undefined")</f>
        <v>Undefined</v>
      </c>
      <c r="B2486" s="42" t="str" cm="1">
        <f t="array" ref="B2486">IFERROR(INDEX({"URGENTE"},MATCH(TRUE,ISNUMBER(FIND(SUBSTITUTE(SUBSTITUTE(UPPER({"URGENTE"})," ",""),":",": "),SUBSTITUTE(SUBSTITUTE(UPPER(S2486)," ",""),":",": "))),0)),"-")</f>
        <v>-</v>
      </c>
      <c r="C2486" s="46" t="str" cm="1">
        <f t="array" ref="C2486">IFERROR(INDEX(#REF!,MATCH(TRUE,ISNUMBER(FIND(SUBSTITUTE(SUBSTITUTE(UPPER(#REF!)," ",""),":",": "),SUBSTITUTE(SUBSTITUTE(UPPER(S2486)," ",""),":",": "))),0)),"Não encontrado")</f>
        <v>Não encontrado</v>
      </c>
      <c r="D2486" s="46" t="str" cm="1">
        <f t="array" ref="D2486">IFERROR(INDEX(#REF!,MATCH(TRUE,ISNUMBER(FIND(SUBSTITUTE(SUBSTITUTE(UPPER(#REF!)," ",""),":",": "),SUBSTITUTE(SUBSTITUTE(UPPER(S2486)," ",""),":",": "))),0)),"Não encontrado")</f>
        <v>Não encontrado</v>
      </c>
      <c r="E2486" s="42" t="str" cm="1">
        <f t="array" ref="E2486">IFERROR(INDEX({"IMPEDITIVO"},MATCH(TRUE,ISNUMBER(FIND(SUBSTITUTE(SUBSTITUTE(UPPER({"IMPEDITIVO"})," ",""),":",": "),SUBSTITUTE(SUBSTITUTE(UPPER(S2486)," ",""),":",": "))),0)),"-")</f>
        <v>-</v>
      </c>
      <c r="K2486" s="49"/>
    </row>
    <row r="2487" spans="1:11" x14ac:dyDescent="0.25">
      <c r="A2487" s="46" t="str" cm="1">
        <f t="array" ref="A2487">IFERROR(INDEX(#REF!,MATCH(TRUE,ISNUMBER(FIND(SUBSTITUTE(SUBSTITUTE(UPPER(#REF!)," ",""),":",": "),SUBSTITUTE(SUBSTITUTE(UPPER(S2487)," ",""),":",": "))),0)),"Undefined")</f>
        <v>Undefined</v>
      </c>
      <c r="B2487" s="42" t="str" cm="1">
        <f t="array" ref="B2487">IFERROR(INDEX({"URGENTE"},MATCH(TRUE,ISNUMBER(FIND(SUBSTITUTE(SUBSTITUTE(UPPER({"URGENTE"})," ",""),":",": "),SUBSTITUTE(SUBSTITUTE(UPPER(S2487)," ",""),":",": "))),0)),"-")</f>
        <v>-</v>
      </c>
      <c r="C2487" s="46" t="str" cm="1">
        <f t="array" ref="C2487">IFERROR(INDEX(#REF!,MATCH(TRUE,ISNUMBER(FIND(SUBSTITUTE(SUBSTITUTE(UPPER(#REF!)," ",""),":",": "),SUBSTITUTE(SUBSTITUTE(UPPER(S2487)," ",""),":",": "))),0)),"Não encontrado")</f>
        <v>Não encontrado</v>
      </c>
      <c r="D2487" s="46" t="str" cm="1">
        <f t="array" ref="D2487">IFERROR(INDEX(#REF!,MATCH(TRUE,ISNUMBER(FIND(SUBSTITUTE(SUBSTITUTE(UPPER(#REF!)," ",""),":",": "),SUBSTITUTE(SUBSTITUTE(UPPER(S2487)," ",""),":",": "))),0)),"Não encontrado")</f>
        <v>Não encontrado</v>
      </c>
      <c r="E2487" s="42" t="str" cm="1">
        <f t="array" ref="E2487">IFERROR(INDEX({"IMPEDITIVO"},MATCH(TRUE,ISNUMBER(FIND(SUBSTITUTE(SUBSTITUTE(UPPER({"IMPEDITIVO"})," ",""),":",": "),SUBSTITUTE(SUBSTITUTE(UPPER(S2487)," ",""),":",": "))),0)),"-")</f>
        <v>-</v>
      </c>
      <c r="K2487" s="49"/>
    </row>
    <row r="2488" spans="1:11" x14ac:dyDescent="0.25">
      <c r="A2488" s="46" t="str" cm="1">
        <f t="array" ref="A2488">IFERROR(INDEX(#REF!,MATCH(TRUE,ISNUMBER(FIND(SUBSTITUTE(SUBSTITUTE(UPPER(#REF!)," ",""),":",": "),SUBSTITUTE(SUBSTITUTE(UPPER(S2488)," ",""),":",": "))),0)),"Undefined")</f>
        <v>Undefined</v>
      </c>
      <c r="B2488" s="42" t="str" cm="1">
        <f t="array" ref="B2488">IFERROR(INDEX({"URGENTE"},MATCH(TRUE,ISNUMBER(FIND(SUBSTITUTE(SUBSTITUTE(UPPER({"URGENTE"})," ",""),":",": "),SUBSTITUTE(SUBSTITUTE(UPPER(S2488)," ",""),":",": "))),0)),"-")</f>
        <v>-</v>
      </c>
      <c r="C2488" s="46" t="str" cm="1">
        <f t="array" ref="C2488">IFERROR(INDEX(#REF!,MATCH(TRUE,ISNUMBER(FIND(SUBSTITUTE(SUBSTITUTE(UPPER(#REF!)," ",""),":",": "),SUBSTITUTE(SUBSTITUTE(UPPER(S2488)," ",""),":",": "))),0)),"Não encontrado")</f>
        <v>Não encontrado</v>
      </c>
      <c r="D2488" s="46" t="str" cm="1">
        <f t="array" ref="D2488">IFERROR(INDEX(#REF!,MATCH(TRUE,ISNUMBER(FIND(SUBSTITUTE(SUBSTITUTE(UPPER(#REF!)," ",""),":",": "),SUBSTITUTE(SUBSTITUTE(UPPER(S2488)," ",""),":",": "))),0)),"Não encontrado")</f>
        <v>Não encontrado</v>
      </c>
      <c r="E2488" s="42" t="str" cm="1">
        <f t="array" ref="E2488">IFERROR(INDEX({"IMPEDITIVO"},MATCH(TRUE,ISNUMBER(FIND(SUBSTITUTE(SUBSTITUTE(UPPER({"IMPEDITIVO"})," ",""),":",": "),SUBSTITUTE(SUBSTITUTE(UPPER(S2488)," ",""),":",": "))),0)),"-")</f>
        <v>-</v>
      </c>
      <c r="K2488" s="49"/>
    </row>
    <row r="2489" spans="1:11" x14ac:dyDescent="0.25">
      <c r="A2489" s="46" t="str" cm="1">
        <f t="array" ref="A2489">IFERROR(INDEX(#REF!,MATCH(TRUE,ISNUMBER(FIND(SUBSTITUTE(SUBSTITUTE(UPPER(#REF!)," ",""),":",": "),SUBSTITUTE(SUBSTITUTE(UPPER(S2489)," ",""),":",": "))),0)),"Undefined")</f>
        <v>Undefined</v>
      </c>
      <c r="B2489" s="42" t="str" cm="1">
        <f t="array" ref="B2489">IFERROR(INDEX({"URGENTE"},MATCH(TRUE,ISNUMBER(FIND(SUBSTITUTE(SUBSTITUTE(UPPER({"URGENTE"})," ",""),":",": "),SUBSTITUTE(SUBSTITUTE(UPPER(S2489)," ",""),":",": "))),0)),"-")</f>
        <v>-</v>
      </c>
      <c r="C2489" s="46" t="str" cm="1">
        <f t="array" ref="C2489">IFERROR(INDEX(#REF!,MATCH(TRUE,ISNUMBER(FIND(SUBSTITUTE(SUBSTITUTE(UPPER(#REF!)," ",""),":",": "),SUBSTITUTE(SUBSTITUTE(UPPER(S2489)," ",""),":",": "))),0)),"Não encontrado")</f>
        <v>Não encontrado</v>
      </c>
      <c r="D2489" s="46" t="str" cm="1">
        <f t="array" ref="D2489">IFERROR(INDEX(#REF!,MATCH(TRUE,ISNUMBER(FIND(SUBSTITUTE(SUBSTITUTE(UPPER(#REF!)," ",""),":",": "),SUBSTITUTE(SUBSTITUTE(UPPER(S2489)," ",""),":",": "))),0)),"Não encontrado")</f>
        <v>Não encontrado</v>
      </c>
      <c r="E2489" s="42" t="str" cm="1">
        <f t="array" ref="E2489">IFERROR(INDEX({"IMPEDITIVO"},MATCH(TRUE,ISNUMBER(FIND(SUBSTITUTE(SUBSTITUTE(UPPER({"IMPEDITIVO"})," ",""),":",": "),SUBSTITUTE(SUBSTITUTE(UPPER(S2489)," ",""),":",": "))),0)),"-")</f>
        <v>-</v>
      </c>
      <c r="K2489" s="49"/>
    </row>
    <row r="2490" spans="1:11" x14ac:dyDescent="0.25">
      <c r="A2490" s="46" t="str" cm="1">
        <f t="array" ref="A2490">IFERROR(INDEX(#REF!,MATCH(TRUE,ISNUMBER(FIND(SUBSTITUTE(SUBSTITUTE(UPPER(#REF!)," ",""),":",": "),SUBSTITUTE(SUBSTITUTE(UPPER(S2490)," ",""),":",": "))),0)),"Undefined")</f>
        <v>Undefined</v>
      </c>
      <c r="B2490" s="42" t="str" cm="1">
        <f t="array" ref="B2490">IFERROR(INDEX({"URGENTE"},MATCH(TRUE,ISNUMBER(FIND(SUBSTITUTE(SUBSTITUTE(UPPER({"URGENTE"})," ",""),":",": "),SUBSTITUTE(SUBSTITUTE(UPPER(S2490)," ",""),":",": "))),0)),"-")</f>
        <v>-</v>
      </c>
      <c r="C2490" s="46" t="str" cm="1">
        <f t="array" ref="C2490">IFERROR(INDEX(#REF!,MATCH(TRUE,ISNUMBER(FIND(SUBSTITUTE(SUBSTITUTE(UPPER(#REF!)," ",""),":",": "),SUBSTITUTE(SUBSTITUTE(UPPER(S2490)," ",""),":",": "))),0)),"Não encontrado")</f>
        <v>Não encontrado</v>
      </c>
      <c r="D2490" s="46" t="str" cm="1">
        <f t="array" ref="D2490">IFERROR(INDEX(#REF!,MATCH(TRUE,ISNUMBER(FIND(SUBSTITUTE(SUBSTITUTE(UPPER(#REF!)," ",""),":",": "),SUBSTITUTE(SUBSTITUTE(UPPER(S2490)," ",""),":",": "))),0)),"Não encontrado")</f>
        <v>Não encontrado</v>
      </c>
      <c r="E2490" s="42" t="str" cm="1">
        <f t="array" ref="E2490">IFERROR(INDEX({"IMPEDITIVO"},MATCH(TRUE,ISNUMBER(FIND(SUBSTITUTE(SUBSTITUTE(UPPER({"IMPEDITIVO"})," ",""),":",": "),SUBSTITUTE(SUBSTITUTE(UPPER(S2490)," ",""),":",": "))),0)),"-")</f>
        <v>-</v>
      </c>
      <c r="K2490" s="49"/>
    </row>
    <row r="2491" spans="1:11" x14ac:dyDescent="0.25">
      <c r="A2491" s="46" t="str" cm="1">
        <f t="array" ref="A2491">IFERROR(INDEX(#REF!,MATCH(TRUE,ISNUMBER(FIND(SUBSTITUTE(SUBSTITUTE(UPPER(#REF!)," ",""),":",": "),SUBSTITUTE(SUBSTITUTE(UPPER(S2491)," ",""),":",": "))),0)),"Undefined")</f>
        <v>Undefined</v>
      </c>
      <c r="B2491" s="42" t="str" cm="1">
        <f t="array" ref="B2491">IFERROR(INDEX({"URGENTE"},MATCH(TRUE,ISNUMBER(FIND(SUBSTITUTE(SUBSTITUTE(UPPER({"URGENTE"})," ",""),":",": "),SUBSTITUTE(SUBSTITUTE(UPPER(S2491)," ",""),":",": "))),0)),"-")</f>
        <v>-</v>
      </c>
      <c r="C2491" s="46" t="str" cm="1">
        <f t="array" ref="C2491">IFERROR(INDEX(#REF!,MATCH(TRUE,ISNUMBER(FIND(SUBSTITUTE(SUBSTITUTE(UPPER(#REF!)," ",""),":",": "),SUBSTITUTE(SUBSTITUTE(UPPER(S2491)," ",""),":",": "))),0)),"Não encontrado")</f>
        <v>Não encontrado</v>
      </c>
      <c r="D2491" s="46" t="str" cm="1">
        <f t="array" ref="D2491">IFERROR(INDEX(#REF!,MATCH(TRUE,ISNUMBER(FIND(SUBSTITUTE(SUBSTITUTE(UPPER(#REF!)," ",""),":",": "),SUBSTITUTE(SUBSTITUTE(UPPER(S2491)," ",""),":",": "))),0)),"Não encontrado")</f>
        <v>Não encontrado</v>
      </c>
      <c r="E2491" s="42" t="str" cm="1">
        <f t="array" ref="E2491">IFERROR(INDEX({"IMPEDITIVO"},MATCH(TRUE,ISNUMBER(FIND(SUBSTITUTE(SUBSTITUTE(UPPER({"IMPEDITIVO"})," ",""),":",": "),SUBSTITUTE(SUBSTITUTE(UPPER(S2491)," ",""),":",": "))),0)),"-")</f>
        <v>-</v>
      </c>
      <c r="K2491" s="49"/>
    </row>
    <row r="2492" spans="1:11" x14ac:dyDescent="0.25">
      <c r="A2492" s="46" t="str" cm="1">
        <f t="array" ref="A2492">IFERROR(INDEX(#REF!,MATCH(TRUE,ISNUMBER(FIND(SUBSTITUTE(SUBSTITUTE(UPPER(#REF!)," ",""),":",": "),SUBSTITUTE(SUBSTITUTE(UPPER(S2492)," ",""),":",": "))),0)),"Undefined")</f>
        <v>Undefined</v>
      </c>
      <c r="B2492" s="42" t="str" cm="1">
        <f t="array" ref="B2492">IFERROR(INDEX({"URGENTE"},MATCH(TRUE,ISNUMBER(FIND(SUBSTITUTE(SUBSTITUTE(UPPER({"URGENTE"})," ",""),":",": "),SUBSTITUTE(SUBSTITUTE(UPPER(S2492)," ",""),":",": "))),0)),"-")</f>
        <v>-</v>
      </c>
      <c r="C2492" s="46" t="str" cm="1">
        <f t="array" ref="C2492">IFERROR(INDEX(#REF!,MATCH(TRUE,ISNUMBER(FIND(SUBSTITUTE(SUBSTITUTE(UPPER(#REF!)," ",""),":",": "),SUBSTITUTE(SUBSTITUTE(UPPER(S2492)," ",""),":",": "))),0)),"Não encontrado")</f>
        <v>Não encontrado</v>
      </c>
      <c r="D2492" s="46" t="str" cm="1">
        <f t="array" ref="D2492">IFERROR(INDEX(#REF!,MATCH(TRUE,ISNUMBER(FIND(SUBSTITUTE(SUBSTITUTE(UPPER(#REF!)," ",""),":",": "),SUBSTITUTE(SUBSTITUTE(UPPER(S2492)," ",""),":",": "))),0)),"Não encontrado")</f>
        <v>Não encontrado</v>
      </c>
      <c r="E2492" s="42" t="str" cm="1">
        <f t="array" ref="E2492">IFERROR(INDEX({"IMPEDITIVO"},MATCH(TRUE,ISNUMBER(FIND(SUBSTITUTE(SUBSTITUTE(UPPER({"IMPEDITIVO"})," ",""),":",": "),SUBSTITUTE(SUBSTITUTE(UPPER(S2492)," ",""),":",": "))),0)),"-")</f>
        <v>-</v>
      </c>
      <c r="K2492" s="49"/>
    </row>
    <row r="2493" spans="1:11" x14ac:dyDescent="0.25">
      <c r="A2493" s="46" t="str" cm="1">
        <f t="array" ref="A2493">IFERROR(INDEX(#REF!,MATCH(TRUE,ISNUMBER(FIND(SUBSTITUTE(SUBSTITUTE(UPPER(#REF!)," ",""),":",": "),SUBSTITUTE(SUBSTITUTE(UPPER(S2493)," ",""),":",": "))),0)),"Undefined")</f>
        <v>Undefined</v>
      </c>
      <c r="B2493" s="42" t="str" cm="1">
        <f t="array" ref="B2493">IFERROR(INDEX({"URGENTE"},MATCH(TRUE,ISNUMBER(FIND(SUBSTITUTE(SUBSTITUTE(UPPER({"URGENTE"})," ",""),":",": "),SUBSTITUTE(SUBSTITUTE(UPPER(S2493)," ",""),":",": "))),0)),"-")</f>
        <v>-</v>
      </c>
      <c r="C2493" s="46" t="str" cm="1">
        <f t="array" ref="C2493">IFERROR(INDEX(#REF!,MATCH(TRUE,ISNUMBER(FIND(SUBSTITUTE(SUBSTITUTE(UPPER(#REF!)," ",""),":",": "),SUBSTITUTE(SUBSTITUTE(UPPER(S2493)," ",""),":",": "))),0)),"Não encontrado")</f>
        <v>Não encontrado</v>
      </c>
      <c r="D2493" s="46" t="str" cm="1">
        <f t="array" ref="D2493">IFERROR(INDEX(#REF!,MATCH(TRUE,ISNUMBER(FIND(SUBSTITUTE(SUBSTITUTE(UPPER(#REF!)," ",""),":",": "),SUBSTITUTE(SUBSTITUTE(UPPER(S2493)," ",""),":",": "))),0)),"Não encontrado")</f>
        <v>Não encontrado</v>
      </c>
      <c r="E2493" s="42" t="str" cm="1">
        <f t="array" ref="E2493">IFERROR(INDEX({"IMPEDITIVO"},MATCH(TRUE,ISNUMBER(FIND(SUBSTITUTE(SUBSTITUTE(UPPER({"IMPEDITIVO"})," ",""),":",": "),SUBSTITUTE(SUBSTITUTE(UPPER(S2493)," ",""),":",": "))),0)),"-")</f>
        <v>-</v>
      </c>
      <c r="K2493" s="49"/>
    </row>
    <row r="2494" spans="1:11" x14ac:dyDescent="0.25">
      <c r="A2494" s="46" t="str" cm="1">
        <f t="array" ref="A2494">IFERROR(INDEX(#REF!,MATCH(TRUE,ISNUMBER(FIND(SUBSTITUTE(SUBSTITUTE(UPPER(#REF!)," ",""),":",": "),SUBSTITUTE(SUBSTITUTE(UPPER(S2494)," ",""),":",": "))),0)),"Undefined")</f>
        <v>Undefined</v>
      </c>
      <c r="B2494" s="42" t="str" cm="1">
        <f t="array" ref="B2494">IFERROR(INDEX({"URGENTE"},MATCH(TRUE,ISNUMBER(FIND(SUBSTITUTE(SUBSTITUTE(UPPER({"URGENTE"})," ",""),":",": "),SUBSTITUTE(SUBSTITUTE(UPPER(S2494)," ",""),":",": "))),0)),"-")</f>
        <v>-</v>
      </c>
      <c r="C2494" s="46" t="str" cm="1">
        <f t="array" ref="C2494">IFERROR(INDEX(#REF!,MATCH(TRUE,ISNUMBER(FIND(SUBSTITUTE(SUBSTITUTE(UPPER(#REF!)," ",""),":",": "),SUBSTITUTE(SUBSTITUTE(UPPER(S2494)," ",""),":",": "))),0)),"Não encontrado")</f>
        <v>Não encontrado</v>
      </c>
      <c r="D2494" s="46" t="str" cm="1">
        <f t="array" ref="D2494">IFERROR(INDEX(#REF!,MATCH(TRUE,ISNUMBER(FIND(SUBSTITUTE(SUBSTITUTE(UPPER(#REF!)," ",""),":",": "),SUBSTITUTE(SUBSTITUTE(UPPER(S2494)," ",""),":",": "))),0)),"Não encontrado")</f>
        <v>Não encontrado</v>
      </c>
      <c r="E2494" s="42" t="str" cm="1">
        <f t="array" ref="E2494">IFERROR(INDEX({"IMPEDITIVO"},MATCH(TRUE,ISNUMBER(FIND(SUBSTITUTE(SUBSTITUTE(UPPER({"IMPEDITIVO"})," ",""),":",": "),SUBSTITUTE(SUBSTITUTE(UPPER(S2494)," ",""),":",": "))),0)),"-")</f>
        <v>-</v>
      </c>
      <c r="K2494" s="49"/>
    </row>
    <row r="2495" spans="1:11" x14ac:dyDescent="0.25">
      <c r="A2495" s="46" t="str" cm="1">
        <f t="array" ref="A2495">IFERROR(INDEX(#REF!,MATCH(TRUE,ISNUMBER(FIND(SUBSTITUTE(SUBSTITUTE(UPPER(#REF!)," ",""),":",": "),SUBSTITUTE(SUBSTITUTE(UPPER(S2495)," ",""),":",": "))),0)),"Undefined")</f>
        <v>Undefined</v>
      </c>
      <c r="B2495" s="42" t="str" cm="1">
        <f t="array" ref="B2495">IFERROR(INDEX({"URGENTE"},MATCH(TRUE,ISNUMBER(FIND(SUBSTITUTE(SUBSTITUTE(UPPER({"URGENTE"})," ",""),":",": "),SUBSTITUTE(SUBSTITUTE(UPPER(S2495)," ",""),":",": "))),0)),"-")</f>
        <v>-</v>
      </c>
      <c r="C2495" s="46" t="str" cm="1">
        <f t="array" ref="C2495">IFERROR(INDEX(#REF!,MATCH(TRUE,ISNUMBER(FIND(SUBSTITUTE(SUBSTITUTE(UPPER(#REF!)," ",""),":",": "),SUBSTITUTE(SUBSTITUTE(UPPER(S2495)," ",""),":",": "))),0)),"Não encontrado")</f>
        <v>Não encontrado</v>
      </c>
      <c r="D2495" s="46" t="str" cm="1">
        <f t="array" ref="D2495">IFERROR(INDEX(#REF!,MATCH(TRUE,ISNUMBER(FIND(SUBSTITUTE(SUBSTITUTE(UPPER(#REF!)," ",""),":",": "),SUBSTITUTE(SUBSTITUTE(UPPER(S2495)," ",""),":",": "))),0)),"Não encontrado")</f>
        <v>Não encontrado</v>
      </c>
      <c r="E2495" s="42" t="str" cm="1">
        <f t="array" ref="E2495">IFERROR(INDEX({"IMPEDITIVO"},MATCH(TRUE,ISNUMBER(FIND(SUBSTITUTE(SUBSTITUTE(UPPER({"IMPEDITIVO"})," ",""),":",": "),SUBSTITUTE(SUBSTITUTE(UPPER(S2495)," ",""),":",": "))),0)),"-")</f>
        <v>-</v>
      </c>
      <c r="K2495" s="49"/>
    </row>
    <row r="2496" spans="1:11" x14ac:dyDescent="0.25">
      <c r="A2496" s="46" t="str" cm="1">
        <f t="array" ref="A2496">IFERROR(INDEX(#REF!,MATCH(TRUE,ISNUMBER(FIND(SUBSTITUTE(SUBSTITUTE(UPPER(#REF!)," ",""),":",": "),SUBSTITUTE(SUBSTITUTE(UPPER(S2496)," ",""),":",": "))),0)),"Undefined")</f>
        <v>Undefined</v>
      </c>
      <c r="B2496" s="42" t="str" cm="1">
        <f t="array" ref="B2496">IFERROR(INDEX({"URGENTE"},MATCH(TRUE,ISNUMBER(FIND(SUBSTITUTE(SUBSTITUTE(UPPER({"URGENTE"})," ",""),":",": "),SUBSTITUTE(SUBSTITUTE(UPPER(S2496)," ",""),":",": "))),0)),"-")</f>
        <v>-</v>
      </c>
      <c r="C2496" s="46" t="str" cm="1">
        <f t="array" ref="C2496">IFERROR(INDEX(#REF!,MATCH(TRUE,ISNUMBER(FIND(SUBSTITUTE(SUBSTITUTE(UPPER(#REF!)," ",""),":",": "),SUBSTITUTE(SUBSTITUTE(UPPER(S2496)," ",""),":",": "))),0)),"Não encontrado")</f>
        <v>Não encontrado</v>
      </c>
      <c r="D2496" s="46" t="str" cm="1">
        <f t="array" ref="D2496">IFERROR(INDEX(#REF!,MATCH(TRUE,ISNUMBER(FIND(SUBSTITUTE(SUBSTITUTE(UPPER(#REF!)," ",""),":",": "),SUBSTITUTE(SUBSTITUTE(UPPER(S2496)," ",""),":",": "))),0)),"Não encontrado")</f>
        <v>Não encontrado</v>
      </c>
      <c r="E2496" s="42" t="str" cm="1">
        <f t="array" ref="E2496">IFERROR(INDEX({"IMPEDITIVO"},MATCH(TRUE,ISNUMBER(FIND(SUBSTITUTE(SUBSTITUTE(UPPER({"IMPEDITIVO"})," ",""),":",": "),SUBSTITUTE(SUBSTITUTE(UPPER(S2496)," ",""),":",": "))),0)),"-")</f>
        <v>-</v>
      </c>
      <c r="K2496" s="49"/>
    </row>
    <row r="2497" spans="1:11" x14ac:dyDescent="0.25">
      <c r="A2497" s="46" t="str" cm="1">
        <f t="array" ref="A2497">IFERROR(INDEX(#REF!,MATCH(TRUE,ISNUMBER(FIND(SUBSTITUTE(SUBSTITUTE(UPPER(#REF!)," ",""),":",": "),SUBSTITUTE(SUBSTITUTE(UPPER(S2497)," ",""),":",": "))),0)),"Undefined")</f>
        <v>Undefined</v>
      </c>
      <c r="B2497" s="42" t="str" cm="1">
        <f t="array" ref="B2497">IFERROR(INDEX({"URGENTE"},MATCH(TRUE,ISNUMBER(FIND(SUBSTITUTE(SUBSTITUTE(UPPER({"URGENTE"})," ",""),":",": "),SUBSTITUTE(SUBSTITUTE(UPPER(S2497)," ",""),":",": "))),0)),"-")</f>
        <v>-</v>
      </c>
      <c r="C2497" s="46" t="str" cm="1">
        <f t="array" ref="C2497">IFERROR(INDEX(#REF!,MATCH(TRUE,ISNUMBER(FIND(SUBSTITUTE(SUBSTITUTE(UPPER(#REF!)," ",""),":",": "),SUBSTITUTE(SUBSTITUTE(UPPER(S2497)," ",""),":",": "))),0)),"Não encontrado")</f>
        <v>Não encontrado</v>
      </c>
      <c r="D2497" s="46" t="str" cm="1">
        <f t="array" ref="D2497">IFERROR(INDEX(#REF!,MATCH(TRUE,ISNUMBER(FIND(SUBSTITUTE(SUBSTITUTE(UPPER(#REF!)," ",""),":",": "),SUBSTITUTE(SUBSTITUTE(UPPER(S2497)," ",""),":",": "))),0)),"Não encontrado")</f>
        <v>Não encontrado</v>
      </c>
      <c r="E2497" s="42" t="str" cm="1">
        <f t="array" ref="E2497">IFERROR(INDEX({"IMPEDITIVO"},MATCH(TRUE,ISNUMBER(FIND(SUBSTITUTE(SUBSTITUTE(UPPER({"IMPEDITIVO"})," ",""),":",": "),SUBSTITUTE(SUBSTITUTE(UPPER(S2497)," ",""),":",": "))),0)),"-")</f>
        <v>-</v>
      </c>
      <c r="K2497" s="49"/>
    </row>
    <row r="2498" spans="1:11" x14ac:dyDescent="0.25">
      <c r="A2498" s="46" t="str" cm="1">
        <f t="array" ref="A2498">IFERROR(INDEX(#REF!,MATCH(TRUE,ISNUMBER(FIND(SUBSTITUTE(SUBSTITUTE(UPPER(#REF!)," ",""),":",": "),SUBSTITUTE(SUBSTITUTE(UPPER(S2498)," ",""),":",": "))),0)),"Undefined")</f>
        <v>Undefined</v>
      </c>
      <c r="B2498" s="42" t="str" cm="1">
        <f t="array" ref="B2498">IFERROR(INDEX({"URGENTE"},MATCH(TRUE,ISNUMBER(FIND(SUBSTITUTE(SUBSTITUTE(UPPER({"URGENTE"})," ",""),":",": "),SUBSTITUTE(SUBSTITUTE(UPPER(S2498)," ",""),":",": "))),0)),"-")</f>
        <v>-</v>
      </c>
      <c r="C2498" s="46" t="str" cm="1">
        <f t="array" ref="C2498">IFERROR(INDEX(#REF!,MATCH(TRUE,ISNUMBER(FIND(SUBSTITUTE(SUBSTITUTE(UPPER(#REF!)," ",""),":",": "),SUBSTITUTE(SUBSTITUTE(UPPER(S2498)," ",""),":",": "))),0)),"Não encontrado")</f>
        <v>Não encontrado</v>
      </c>
      <c r="D2498" s="46" t="str" cm="1">
        <f t="array" ref="D2498">IFERROR(INDEX(#REF!,MATCH(TRUE,ISNUMBER(FIND(SUBSTITUTE(SUBSTITUTE(UPPER(#REF!)," ",""),":",": "),SUBSTITUTE(SUBSTITUTE(UPPER(S2498)," ",""),":",": "))),0)),"Não encontrado")</f>
        <v>Não encontrado</v>
      </c>
      <c r="E2498" s="42" t="str" cm="1">
        <f t="array" ref="E2498">IFERROR(INDEX({"IMPEDITIVO"},MATCH(TRUE,ISNUMBER(FIND(SUBSTITUTE(SUBSTITUTE(UPPER({"IMPEDITIVO"})," ",""),":",": "),SUBSTITUTE(SUBSTITUTE(UPPER(S2498)," ",""),":",": "))),0)),"-")</f>
        <v>-</v>
      </c>
      <c r="K2498" s="49"/>
    </row>
    <row r="2499" spans="1:11" x14ac:dyDescent="0.25">
      <c r="A2499" s="46" t="str" cm="1">
        <f t="array" ref="A2499">IFERROR(INDEX(#REF!,MATCH(TRUE,ISNUMBER(FIND(SUBSTITUTE(SUBSTITUTE(UPPER(#REF!)," ",""),":",": "),SUBSTITUTE(SUBSTITUTE(UPPER(S2499)," ",""),":",": "))),0)),"Undefined")</f>
        <v>Undefined</v>
      </c>
      <c r="B2499" s="42" t="str" cm="1">
        <f t="array" ref="B2499">IFERROR(INDEX({"URGENTE"},MATCH(TRUE,ISNUMBER(FIND(SUBSTITUTE(SUBSTITUTE(UPPER({"URGENTE"})," ",""),":",": "),SUBSTITUTE(SUBSTITUTE(UPPER(S2499)," ",""),":",": "))),0)),"-")</f>
        <v>-</v>
      </c>
      <c r="C2499" s="46" t="str" cm="1">
        <f t="array" ref="C2499">IFERROR(INDEX(#REF!,MATCH(TRUE,ISNUMBER(FIND(SUBSTITUTE(SUBSTITUTE(UPPER(#REF!)," ",""),":",": "),SUBSTITUTE(SUBSTITUTE(UPPER(S2499)," ",""),":",": "))),0)),"Não encontrado")</f>
        <v>Não encontrado</v>
      </c>
      <c r="D2499" s="46" t="str" cm="1">
        <f t="array" ref="D2499">IFERROR(INDEX(#REF!,MATCH(TRUE,ISNUMBER(FIND(SUBSTITUTE(SUBSTITUTE(UPPER(#REF!)," ",""),":",": "),SUBSTITUTE(SUBSTITUTE(UPPER(S2499)," ",""),":",": "))),0)),"Não encontrado")</f>
        <v>Não encontrado</v>
      </c>
      <c r="E2499" s="42" t="str" cm="1">
        <f t="array" ref="E2499">IFERROR(INDEX({"IMPEDITIVO"},MATCH(TRUE,ISNUMBER(FIND(SUBSTITUTE(SUBSTITUTE(UPPER({"IMPEDITIVO"})," ",""),":",": "),SUBSTITUTE(SUBSTITUTE(UPPER(S2499)," ",""),":",": "))),0)),"-")</f>
        <v>-</v>
      </c>
      <c r="K2499" s="49"/>
    </row>
    <row r="2500" spans="1:11" x14ac:dyDescent="0.25">
      <c r="A2500" s="46" t="str" cm="1">
        <f t="array" ref="A2500">IFERROR(INDEX(#REF!,MATCH(TRUE,ISNUMBER(FIND(SUBSTITUTE(SUBSTITUTE(UPPER(#REF!)," ",""),":",": "),SUBSTITUTE(SUBSTITUTE(UPPER(S2500)," ",""),":",": "))),0)),"Undefined")</f>
        <v>Undefined</v>
      </c>
      <c r="B2500" s="42" t="str" cm="1">
        <f t="array" ref="B2500">IFERROR(INDEX({"URGENTE"},MATCH(TRUE,ISNUMBER(FIND(SUBSTITUTE(SUBSTITUTE(UPPER({"URGENTE"})," ",""),":",": "),SUBSTITUTE(SUBSTITUTE(UPPER(S2500)," ",""),":",": "))),0)),"-")</f>
        <v>-</v>
      </c>
      <c r="C2500" s="46" t="str" cm="1">
        <f t="array" ref="C2500">IFERROR(INDEX(#REF!,MATCH(TRUE,ISNUMBER(FIND(SUBSTITUTE(SUBSTITUTE(UPPER(#REF!)," ",""),":",": "),SUBSTITUTE(SUBSTITUTE(UPPER(S2500)," ",""),":",": "))),0)),"Não encontrado")</f>
        <v>Não encontrado</v>
      </c>
      <c r="D2500" s="46" t="str" cm="1">
        <f t="array" ref="D2500">IFERROR(INDEX(#REF!,MATCH(TRUE,ISNUMBER(FIND(SUBSTITUTE(SUBSTITUTE(UPPER(#REF!)," ",""),":",": "),SUBSTITUTE(SUBSTITUTE(UPPER(S2500)," ",""),":",": "))),0)),"Não encontrado")</f>
        <v>Não encontrado</v>
      </c>
      <c r="E2500" s="42" t="str" cm="1">
        <f t="array" ref="E2500">IFERROR(INDEX({"IMPEDITIVO"},MATCH(TRUE,ISNUMBER(FIND(SUBSTITUTE(SUBSTITUTE(UPPER({"IMPEDITIVO"})," ",""),":",": "),SUBSTITUTE(SUBSTITUTE(UPPER(S2500)," ",""),":",": "))),0)),"-")</f>
        <v>-</v>
      </c>
      <c r="K2500" s="49"/>
    </row>
    <row r="2501" spans="1:11" x14ac:dyDescent="0.25">
      <c r="A2501" s="46" t="str" cm="1">
        <f t="array" ref="A2501">IFERROR(INDEX(#REF!,MATCH(TRUE,ISNUMBER(FIND(SUBSTITUTE(SUBSTITUTE(UPPER(#REF!)," ",""),":",": "),SUBSTITUTE(SUBSTITUTE(UPPER(S2501)," ",""),":",": "))),0)),"Undefined")</f>
        <v>Undefined</v>
      </c>
      <c r="B2501" s="42" t="str" cm="1">
        <f t="array" ref="B2501">IFERROR(INDEX({"URGENTE"},MATCH(TRUE,ISNUMBER(FIND(SUBSTITUTE(SUBSTITUTE(UPPER({"URGENTE"})," ",""),":",": "),SUBSTITUTE(SUBSTITUTE(UPPER(S2501)," ",""),":",": "))),0)),"-")</f>
        <v>-</v>
      </c>
      <c r="C2501" s="46" t="str" cm="1">
        <f t="array" ref="C2501">IFERROR(INDEX(#REF!,MATCH(TRUE,ISNUMBER(FIND(SUBSTITUTE(SUBSTITUTE(UPPER(#REF!)," ",""),":",": "),SUBSTITUTE(SUBSTITUTE(UPPER(S2501)," ",""),":",": "))),0)),"Não encontrado")</f>
        <v>Não encontrado</v>
      </c>
      <c r="D2501" s="46" t="str" cm="1">
        <f t="array" ref="D2501">IFERROR(INDEX(#REF!,MATCH(TRUE,ISNUMBER(FIND(SUBSTITUTE(SUBSTITUTE(UPPER(#REF!)," ",""),":",": "),SUBSTITUTE(SUBSTITUTE(UPPER(S2501)," ",""),":",": "))),0)),"Não encontrado")</f>
        <v>Não encontrado</v>
      </c>
      <c r="E2501" s="42" t="str" cm="1">
        <f t="array" ref="E2501">IFERROR(INDEX({"IMPEDITIVO"},MATCH(TRUE,ISNUMBER(FIND(SUBSTITUTE(SUBSTITUTE(UPPER({"IMPEDITIVO"})," ",""),":",": "),SUBSTITUTE(SUBSTITUTE(UPPER(S2501)," ",""),":",": "))),0)),"-")</f>
        <v>-</v>
      </c>
      <c r="K2501" s="49"/>
    </row>
    <row r="2502" spans="1:11" x14ac:dyDescent="0.25">
      <c r="A2502" s="46" t="str" cm="1">
        <f t="array" ref="A2502">IFERROR(INDEX(#REF!,MATCH(TRUE,ISNUMBER(FIND(SUBSTITUTE(SUBSTITUTE(UPPER(#REF!)," ",""),":",": "),SUBSTITUTE(SUBSTITUTE(UPPER(S2502)," ",""),":",": "))),0)),"Undefined")</f>
        <v>Undefined</v>
      </c>
      <c r="B2502" s="42" t="str" cm="1">
        <f t="array" ref="B2502">IFERROR(INDEX({"URGENTE"},MATCH(TRUE,ISNUMBER(FIND(SUBSTITUTE(SUBSTITUTE(UPPER({"URGENTE"})," ",""),":",": "),SUBSTITUTE(SUBSTITUTE(UPPER(S2502)," ",""),":",": "))),0)),"-")</f>
        <v>-</v>
      </c>
      <c r="C2502" s="46" t="str" cm="1">
        <f t="array" ref="C2502">IFERROR(INDEX(#REF!,MATCH(TRUE,ISNUMBER(FIND(SUBSTITUTE(SUBSTITUTE(UPPER(#REF!)," ",""),":",": "),SUBSTITUTE(SUBSTITUTE(UPPER(S2502)," ",""),":",": "))),0)),"Não encontrado")</f>
        <v>Não encontrado</v>
      </c>
      <c r="D2502" s="46" t="str" cm="1">
        <f t="array" ref="D2502">IFERROR(INDEX(#REF!,MATCH(TRUE,ISNUMBER(FIND(SUBSTITUTE(SUBSTITUTE(UPPER(#REF!)," ",""),":",": "),SUBSTITUTE(SUBSTITUTE(UPPER(S2502)," ",""),":",": "))),0)),"Não encontrado")</f>
        <v>Não encontrado</v>
      </c>
      <c r="E2502" s="42" t="str" cm="1">
        <f t="array" ref="E2502">IFERROR(INDEX({"IMPEDITIVO"},MATCH(TRUE,ISNUMBER(FIND(SUBSTITUTE(SUBSTITUTE(UPPER({"IMPEDITIVO"})," ",""),":",": "),SUBSTITUTE(SUBSTITUTE(UPPER(S2502)," ",""),":",": "))),0)),"-")</f>
        <v>-</v>
      </c>
      <c r="K2502" s="49"/>
    </row>
    <row r="2503" spans="1:11" x14ac:dyDescent="0.25">
      <c r="A2503" s="46" t="str" cm="1">
        <f t="array" ref="A2503">IFERROR(INDEX(#REF!,MATCH(TRUE,ISNUMBER(FIND(SUBSTITUTE(SUBSTITUTE(UPPER(#REF!)," ",""),":",": "),SUBSTITUTE(SUBSTITUTE(UPPER(S2503)," ",""),":",": "))),0)),"Undefined")</f>
        <v>Undefined</v>
      </c>
      <c r="B2503" s="42" t="str" cm="1">
        <f t="array" ref="B2503">IFERROR(INDEX({"URGENTE"},MATCH(TRUE,ISNUMBER(FIND(SUBSTITUTE(SUBSTITUTE(UPPER({"URGENTE"})," ",""),":",": "),SUBSTITUTE(SUBSTITUTE(UPPER(S2503)," ",""),":",": "))),0)),"-")</f>
        <v>-</v>
      </c>
      <c r="C2503" s="46" t="str" cm="1">
        <f t="array" ref="C2503">IFERROR(INDEX(#REF!,MATCH(TRUE,ISNUMBER(FIND(SUBSTITUTE(SUBSTITUTE(UPPER(#REF!)," ",""),":",": "),SUBSTITUTE(SUBSTITUTE(UPPER(S2503)," ",""),":",": "))),0)),"Não encontrado")</f>
        <v>Não encontrado</v>
      </c>
      <c r="D2503" s="46" t="str" cm="1">
        <f t="array" ref="D2503">IFERROR(INDEX(#REF!,MATCH(TRUE,ISNUMBER(FIND(SUBSTITUTE(SUBSTITUTE(UPPER(#REF!)," ",""),":",": "),SUBSTITUTE(SUBSTITUTE(UPPER(S2503)," ",""),":",": "))),0)),"Não encontrado")</f>
        <v>Não encontrado</v>
      </c>
      <c r="E2503" s="42" t="str" cm="1">
        <f t="array" ref="E2503">IFERROR(INDEX({"IMPEDITIVO"},MATCH(TRUE,ISNUMBER(FIND(SUBSTITUTE(SUBSTITUTE(UPPER({"IMPEDITIVO"})," ",""),":",": "),SUBSTITUTE(SUBSTITUTE(UPPER(S2503)," ",""),":",": "))),0)),"-")</f>
        <v>-</v>
      </c>
      <c r="K2503" s="49"/>
    </row>
    <row r="2504" spans="1:11" x14ac:dyDescent="0.25">
      <c r="A2504" s="46" t="str" cm="1">
        <f t="array" ref="A2504">IFERROR(INDEX(#REF!,MATCH(TRUE,ISNUMBER(FIND(SUBSTITUTE(SUBSTITUTE(UPPER(#REF!)," ",""),":",": "),SUBSTITUTE(SUBSTITUTE(UPPER(S2504)," ",""),":",": "))),0)),"Undefined")</f>
        <v>Undefined</v>
      </c>
      <c r="B2504" s="42" t="str" cm="1">
        <f t="array" ref="B2504">IFERROR(INDEX({"URGENTE"},MATCH(TRUE,ISNUMBER(FIND(SUBSTITUTE(SUBSTITUTE(UPPER({"URGENTE"})," ",""),":",": "),SUBSTITUTE(SUBSTITUTE(UPPER(S2504)," ",""),":",": "))),0)),"-")</f>
        <v>-</v>
      </c>
      <c r="C2504" s="46" t="str" cm="1">
        <f t="array" ref="C2504">IFERROR(INDEX(#REF!,MATCH(TRUE,ISNUMBER(FIND(SUBSTITUTE(SUBSTITUTE(UPPER(#REF!)," ",""),":",": "),SUBSTITUTE(SUBSTITUTE(UPPER(S2504)," ",""),":",": "))),0)),"Não encontrado")</f>
        <v>Não encontrado</v>
      </c>
      <c r="D2504" s="46" t="str" cm="1">
        <f t="array" ref="D2504">IFERROR(INDEX(#REF!,MATCH(TRUE,ISNUMBER(FIND(SUBSTITUTE(SUBSTITUTE(UPPER(#REF!)," ",""),":",": "),SUBSTITUTE(SUBSTITUTE(UPPER(S2504)," ",""),":",": "))),0)),"Não encontrado")</f>
        <v>Não encontrado</v>
      </c>
      <c r="E2504" s="42" t="str" cm="1">
        <f t="array" ref="E2504">IFERROR(INDEX({"IMPEDITIVO"},MATCH(TRUE,ISNUMBER(FIND(SUBSTITUTE(SUBSTITUTE(UPPER({"IMPEDITIVO"})," ",""),":",": "),SUBSTITUTE(SUBSTITUTE(UPPER(S2504)," ",""),":",": "))),0)),"-")</f>
        <v>-</v>
      </c>
      <c r="K2504" s="49"/>
    </row>
    <row r="2505" spans="1:11" x14ac:dyDescent="0.25">
      <c r="A2505" s="46" t="str" cm="1">
        <f t="array" ref="A2505">IFERROR(INDEX(#REF!,MATCH(TRUE,ISNUMBER(FIND(SUBSTITUTE(SUBSTITUTE(UPPER(#REF!)," ",""),":",": "),SUBSTITUTE(SUBSTITUTE(UPPER(S2505)," ",""),":",": "))),0)),"Undefined")</f>
        <v>Undefined</v>
      </c>
      <c r="B2505" s="42" t="str" cm="1">
        <f t="array" ref="B2505">IFERROR(INDEX({"URGENTE"},MATCH(TRUE,ISNUMBER(FIND(SUBSTITUTE(SUBSTITUTE(UPPER({"URGENTE"})," ",""),":",": "),SUBSTITUTE(SUBSTITUTE(UPPER(S2505)," ",""),":",": "))),0)),"-")</f>
        <v>-</v>
      </c>
      <c r="C2505" s="46" t="str" cm="1">
        <f t="array" ref="C2505">IFERROR(INDEX(#REF!,MATCH(TRUE,ISNUMBER(FIND(SUBSTITUTE(SUBSTITUTE(UPPER(#REF!)," ",""),":",": "),SUBSTITUTE(SUBSTITUTE(UPPER(S2505)," ",""),":",": "))),0)),"Não encontrado")</f>
        <v>Não encontrado</v>
      </c>
      <c r="D2505" s="46" t="str" cm="1">
        <f t="array" ref="D2505">IFERROR(INDEX(#REF!,MATCH(TRUE,ISNUMBER(FIND(SUBSTITUTE(SUBSTITUTE(UPPER(#REF!)," ",""),":",": "),SUBSTITUTE(SUBSTITUTE(UPPER(S2505)," ",""),":",": "))),0)),"Não encontrado")</f>
        <v>Não encontrado</v>
      </c>
      <c r="E2505" s="42" t="str" cm="1">
        <f t="array" ref="E2505">IFERROR(INDEX({"IMPEDITIVO"},MATCH(TRUE,ISNUMBER(FIND(SUBSTITUTE(SUBSTITUTE(UPPER({"IMPEDITIVO"})," ",""),":",": "),SUBSTITUTE(SUBSTITUTE(UPPER(S2505)," ",""),":",": "))),0)),"-")</f>
        <v>-</v>
      </c>
      <c r="K2505" s="49"/>
    </row>
    <row r="2506" spans="1:11" x14ac:dyDescent="0.25">
      <c r="A2506" s="46" t="str" cm="1">
        <f t="array" ref="A2506">IFERROR(INDEX(#REF!,MATCH(TRUE,ISNUMBER(FIND(SUBSTITUTE(SUBSTITUTE(UPPER(#REF!)," ",""),":",": "),SUBSTITUTE(SUBSTITUTE(UPPER(S2506)," ",""),":",": "))),0)),"Undefined")</f>
        <v>Undefined</v>
      </c>
      <c r="B2506" s="42" t="str" cm="1">
        <f t="array" ref="B2506">IFERROR(INDEX({"URGENTE"},MATCH(TRUE,ISNUMBER(FIND(SUBSTITUTE(SUBSTITUTE(UPPER({"URGENTE"})," ",""),":",": "),SUBSTITUTE(SUBSTITUTE(UPPER(S2506)," ",""),":",": "))),0)),"-")</f>
        <v>-</v>
      </c>
      <c r="C2506" s="46" t="str" cm="1">
        <f t="array" ref="C2506">IFERROR(INDEX(#REF!,MATCH(TRUE,ISNUMBER(FIND(SUBSTITUTE(SUBSTITUTE(UPPER(#REF!)," ",""),":",": "),SUBSTITUTE(SUBSTITUTE(UPPER(S2506)," ",""),":",": "))),0)),"Não encontrado")</f>
        <v>Não encontrado</v>
      </c>
      <c r="D2506" s="46" t="str" cm="1">
        <f t="array" ref="D2506">IFERROR(INDEX(#REF!,MATCH(TRUE,ISNUMBER(FIND(SUBSTITUTE(SUBSTITUTE(UPPER(#REF!)," ",""),":",": "),SUBSTITUTE(SUBSTITUTE(UPPER(S2506)," ",""),":",": "))),0)),"Não encontrado")</f>
        <v>Não encontrado</v>
      </c>
      <c r="E2506" s="42" t="str" cm="1">
        <f t="array" ref="E2506">IFERROR(INDEX({"IMPEDITIVO"},MATCH(TRUE,ISNUMBER(FIND(SUBSTITUTE(SUBSTITUTE(UPPER({"IMPEDITIVO"})," ",""),":",": "),SUBSTITUTE(SUBSTITUTE(UPPER(S2506)," ",""),":",": "))),0)),"-")</f>
        <v>-</v>
      </c>
      <c r="K2506" s="49"/>
    </row>
    <row r="2507" spans="1:11" x14ac:dyDescent="0.25">
      <c r="A2507" s="46" t="str" cm="1">
        <f t="array" ref="A2507">IFERROR(INDEX(#REF!,MATCH(TRUE,ISNUMBER(FIND(SUBSTITUTE(SUBSTITUTE(UPPER(#REF!)," ",""),":",": "),SUBSTITUTE(SUBSTITUTE(UPPER(S2507)," ",""),":",": "))),0)),"Undefined")</f>
        <v>Undefined</v>
      </c>
      <c r="B2507" s="42" t="str" cm="1">
        <f t="array" ref="B2507">IFERROR(INDEX({"URGENTE"},MATCH(TRUE,ISNUMBER(FIND(SUBSTITUTE(SUBSTITUTE(UPPER({"URGENTE"})," ",""),":",": "),SUBSTITUTE(SUBSTITUTE(UPPER(S2507)," ",""),":",": "))),0)),"-")</f>
        <v>-</v>
      </c>
      <c r="C2507" s="46" t="str" cm="1">
        <f t="array" ref="C2507">IFERROR(INDEX(#REF!,MATCH(TRUE,ISNUMBER(FIND(SUBSTITUTE(SUBSTITUTE(UPPER(#REF!)," ",""),":",": "),SUBSTITUTE(SUBSTITUTE(UPPER(S2507)," ",""),":",": "))),0)),"Não encontrado")</f>
        <v>Não encontrado</v>
      </c>
      <c r="D2507" s="46" t="str" cm="1">
        <f t="array" ref="D2507">IFERROR(INDEX(#REF!,MATCH(TRUE,ISNUMBER(FIND(SUBSTITUTE(SUBSTITUTE(UPPER(#REF!)," ",""),":",": "),SUBSTITUTE(SUBSTITUTE(UPPER(S2507)," ",""),":",": "))),0)),"Não encontrado")</f>
        <v>Não encontrado</v>
      </c>
      <c r="E2507" s="42" t="str" cm="1">
        <f t="array" ref="E2507">IFERROR(INDEX({"IMPEDITIVO"},MATCH(TRUE,ISNUMBER(FIND(SUBSTITUTE(SUBSTITUTE(UPPER({"IMPEDITIVO"})," ",""),":",": "),SUBSTITUTE(SUBSTITUTE(UPPER(S2507)," ",""),":",": "))),0)),"-")</f>
        <v>-</v>
      </c>
      <c r="K2507" s="49"/>
    </row>
    <row r="2508" spans="1:11" x14ac:dyDescent="0.25">
      <c r="A2508" s="46" t="str" cm="1">
        <f t="array" ref="A2508">IFERROR(INDEX(#REF!,MATCH(TRUE,ISNUMBER(FIND(SUBSTITUTE(SUBSTITUTE(UPPER(#REF!)," ",""),":",": "),SUBSTITUTE(SUBSTITUTE(UPPER(S2508)," ",""),":",": "))),0)),"Undefined")</f>
        <v>Undefined</v>
      </c>
      <c r="B2508" s="42" t="str" cm="1">
        <f t="array" ref="B2508">IFERROR(INDEX({"URGENTE"},MATCH(TRUE,ISNUMBER(FIND(SUBSTITUTE(SUBSTITUTE(UPPER({"URGENTE"})," ",""),":",": "),SUBSTITUTE(SUBSTITUTE(UPPER(S2508)," ",""),":",": "))),0)),"-")</f>
        <v>-</v>
      </c>
      <c r="C2508" s="46" t="str" cm="1">
        <f t="array" ref="C2508">IFERROR(INDEX(#REF!,MATCH(TRUE,ISNUMBER(FIND(SUBSTITUTE(SUBSTITUTE(UPPER(#REF!)," ",""),":",": "),SUBSTITUTE(SUBSTITUTE(UPPER(S2508)," ",""),":",": "))),0)),"Não encontrado")</f>
        <v>Não encontrado</v>
      </c>
      <c r="D2508" s="46" t="str" cm="1">
        <f t="array" ref="D2508">IFERROR(INDEX(#REF!,MATCH(TRUE,ISNUMBER(FIND(SUBSTITUTE(SUBSTITUTE(UPPER(#REF!)," ",""),":",": "),SUBSTITUTE(SUBSTITUTE(UPPER(S2508)," ",""),":",": "))),0)),"Não encontrado")</f>
        <v>Não encontrado</v>
      </c>
      <c r="E2508" s="42" t="str" cm="1">
        <f t="array" ref="E2508">IFERROR(INDEX({"IMPEDITIVO"},MATCH(TRUE,ISNUMBER(FIND(SUBSTITUTE(SUBSTITUTE(UPPER({"IMPEDITIVO"})," ",""),":",": "),SUBSTITUTE(SUBSTITUTE(UPPER(S2508)," ",""),":",": "))),0)),"-")</f>
        <v>-</v>
      </c>
      <c r="K2508" s="49"/>
    </row>
    <row r="2509" spans="1:11" x14ac:dyDescent="0.25">
      <c r="A2509" s="46" t="str" cm="1">
        <f t="array" ref="A2509">IFERROR(INDEX(#REF!,MATCH(TRUE,ISNUMBER(FIND(SUBSTITUTE(SUBSTITUTE(UPPER(#REF!)," ",""),":",": "),SUBSTITUTE(SUBSTITUTE(UPPER(S2509)," ",""),":",": "))),0)),"Undefined")</f>
        <v>Undefined</v>
      </c>
      <c r="B2509" s="42" t="str" cm="1">
        <f t="array" ref="B2509">IFERROR(INDEX({"URGENTE"},MATCH(TRUE,ISNUMBER(FIND(SUBSTITUTE(SUBSTITUTE(UPPER({"URGENTE"})," ",""),":",": "),SUBSTITUTE(SUBSTITUTE(UPPER(S2509)," ",""),":",": "))),0)),"-")</f>
        <v>-</v>
      </c>
      <c r="C2509" s="46" t="str" cm="1">
        <f t="array" ref="C2509">IFERROR(INDEX(#REF!,MATCH(TRUE,ISNUMBER(FIND(SUBSTITUTE(SUBSTITUTE(UPPER(#REF!)," ",""),":",": "),SUBSTITUTE(SUBSTITUTE(UPPER(S2509)," ",""),":",": "))),0)),"Não encontrado")</f>
        <v>Não encontrado</v>
      </c>
      <c r="D2509" s="46" t="str" cm="1">
        <f t="array" ref="D2509">IFERROR(INDEX(#REF!,MATCH(TRUE,ISNUMBER(FIND(SUBSTITUTE(SUBSTITUTE(UPPER(#REF!)," ",""),":",": "),SUBSTITUTE(SUBSTITUTE(UPPER(S2509)," ",""),":",": "))),0)),"Não encontrado")</f>
        <v>Não encontrado</v>
      </c>
      <c r="E2509" s="42" t="str" cm="1">
        <f t="array" ref="E2509">IFERROR(INDEX({"IMPEDITIVO"},MATCH(TRUE,ISNUMBER(FIND(SUBSTITUTE(SUBSTITUTE(UPPER({"IMPEDITIVO"})," ",""),":",": "),SUBSTITUTE(SUBSTITUTE(UPPER(S2509)," ",""),":",": "))),0)),"-")</f>
        <v>-</v>
      </c>
      <c r="K2509" s="49"/>
    </row>
    <row r="2510" spans="1:11" x14ac:dyDescent="0.25">
      <c r="A2510" s="46" t="str" cm="1">
        <f t="array" ref="A2510">IFERROR(INDEX(#REF!,MATCH(TRUE,ISNUMBER(FIND(SUBSTITUTE(SUBSTITUTE(UPPER(#REF!)," ",""),":",": "),SUBSTITUTE(SUBSTITUTE(UPPER(S2510)," ",""),":",": "))),0)),"Undefined")</f>
        <v>Undefined</v>
      </c>
      <c r="B2510" s="42" t="str" cm="1">
        <f t="array" ref="B2510">IFERROR(INDEX({"URGENTE"},MATCH(TRUE,ISNUMBER(FIND(SUBSTITUTE(SUBSTITUTE(UPPER({"URGENTE"})," ",""),":",": "),SUBSTITUTE(SUBSTITUTE(UPPER(S2510)," ",""),":",": "))),0)),"-")</f>
        <v>-</v>
      </c>
      <c r="C2510" s="46" t="str" cm="1">
        <f t="array" ref="C2510">IFERROR(INDEX(#REF!,MATCH(TRUE,ISNUMBER(FIND(SUBSTITUTE(SUBSTITUTE(UPPER(#REF!)," ",""),":",": "),SUBSTITUTE(SUBSTITUTE(UPPER(S2510)," ",""),":",": "))),0)),"Não encontrado")</f>
        <v>Não encontrado</v>
      </c>
      <c r="D2510" s="46" t="str" cm="1">
        <f t="array" ref="D2510">IFERROR(INDEX(#REF!,MATCH(TRUE,ISNUMBER(FIND(SUBSTITUTE(SUBSTITUTE(UPPER(#REF!)," ",""),":",": "),SUBSTITUTE(SUBSTITUTE(UPPER(S2510)," ",""),":",": "))),0)),"Não encontrado")</f>
        <v>Não encontrado</v>
      </c>
      <c r="E2510" s="42" t="str" cm="1">
        <f t="array" ref="E2510">IFERROR(INDEX({"IMPEDITIVO"},MATCH(TRUE,ISNUMBER(FIND(SUBSTITUTE(SUBSTITUTE(UPPER({"IMPEDITIVO"})," ",""),":",": "),SUBSTITUTE(SUBSTITUTE(UPPER(S2510)," ",""),":",": "))),0)),"-")</f>
        <v>-</v>
      </c>
      <c r="K2510" s="49"/>
    </row>
    <row r="2511" spans="1:11" x14ac:dyDescent="0.25">
      <c r="A2511" s="46" t="str" cm="1">
        <f t="array" ref="A2511">IFERROR(INDEX(#REF!,MATCH(TRUE,ISNUMBER(FIND(SUBSTITUTE(SUBSTITUTE(UPPER(#REF!)," ",""),":",": "),SUBSTITUTE(SUBSTITUTE(UPPER(S2511)," ",""),":",": "))),0)),"Undefined")</f>
        <v>Undefined</v>
      </c>
      <c r="B2511" s="42" t="str" cm="1">
        <f t="array" ref="B2511">IFERROR(INDEX({"URGENTE"},MATCH(TRUE,ISNUMBER(FIND(SUBSTITUTE(SUBSTITUTE(UPPER({"URGENTE"})," ",""),":",": "),SUBSTITUTE(SUBSTITUTE(UPPER(S2511)," ",""),":",": "))),0)),"-")</f>
        <v>-</v>
      </c>
      <c r="C2511" s="46" t="str" cm="1">
        <f t="array" ref="C2511">IFERROR(INDEX(#REF!,MATCH(TRUE,ISNUMBER(FIND(SUBSTITUTE(SUBSTITUTE(UPPER(#REF!)," ",""),":",": "),SUBSTITUTE(SUBSTITUTE(UPPER(S2511)," ",""),":",": "))),0)),"Não encontrado")</f>
        <v>Não encontrado</v>
      </c>
      <c r="D2511" s="46" t="str" cm="1">
        <f t="array" ref="D2511">IFERROR(INDEX(#REF!,MATCH(TRUE,ISNUMBER(FIND(SUBSTITUTE(SUBSTITUTE(UPPER(#REF!)," ",""),":",": "),SUBSTITUTE(SUBSTITUTE(UPPER(S2511)," ",""),":",": "))),0)),"Não encontrado")</f>
        <v>Não encontrado</v>
      </c>
      <c r="E2511" s="42" t="str" cm="1">
        <f t="array" ref="E2511">IFERROR(INDEX({"IMPEDITIVO"},MATCH(TRUE,ISNUMBER(FIND(SUBSTITUTE(SUBSTITUTE(UPPER({"IMPEDITIVO"})," ",""),":",": "),SUBSTITUTE(SUBSTITUTE(UPPER(S2511)," ",""),":",": "))),0)),"-")</f>
        <v>-</v>
      </c>
      <c r="K2511" s="49"/>
    </row>
    <row r="2512" spans="1:11" x14ac:dyDescent="0.25">
      <c r="A2512" s="46" t="str" cm="1">
        <f t="array" ref="A2512">IFERROR(INDEX(#REF!,MATCH(TRUE,ISNUMBER(FIND(SUBSTITUTE(SUBSTITUTE(UPPER(#REF!)," ",""),":",": "),SUBSTITUTE(SUBSTITUTE(UPPER(S2512)," ",""),":",": "))),0)),"Undefined")</f>
        <v>Undefined</v>
      </c>
      <c r="B2512" s="42" t="str" cm="1">
        <f t="array" ref="B2512">IFERROR(INDEX({"URGENTE"},MATCH(TRUE,ISNUMBER(FIND(SUBSTITUTE(SUBSTITUTE(UPPER({"URGENTE"})," ",""),":",": "),SUBSTITUTE(SUBSTITUTE(UPPER(S2512)," ",""),":",": "))),0)),"-")</f>
        <v>-</v>
      </c>
      <c r="C2512" s="46" t="str" cm="1">
        <f t="array" ref="C2512">IFERROR(INDEX(#REF!,MATCH(TRUE,ISNUMBER(FIND(SUBSTITUTE(SUBSTITUTE(UPPER(#REF!)," ",""),":",": "),SUBSTITUTE(SUBSTITUTE(UPPER(S2512)," ",""),":",": "))),0)),"Não encontrado")</f>
        <v>Não encontrado</v>
      </c>
      <c r="D2512" s="46" t="str" cm="1">
        <f t="array" ref="D2512">IFERROR(INDEX(#REF!,MATCH(TRUE,ISNUMBER(FIND(SUBSTITUTE(SUBSTITUTE(UPPER(#REF!)," ",""),":",": "),SUBSTITUTE(SUBSTITUTE(UPPER(S2512)," ",""),":",": "))),0)),"Não encontrado")</f>
        <v>Não encontrado</v>
      </c>
      <c r="E2512" s="42" t="str" cm="1">
        <f t="array" ref="E2512">IFERROR(INDEX({"IMPEDITIVO"},MATCH(TRUE,ISNUMBER(FIND(SUBSTITUTE(SUBSTITUTE(UPPER({"IMPEDITIVO"})," ",""),":",": "),SUBSTITUTE(SUBSTITUTE(UPPER(S2512)," ",""),":",": "))),0)),"-")</f>
        <v>-</v>
      </c>
      <c r="K2512" s="49"/>
    </row>
    <row r="2513" spans="1:11" x14ac:dyDescent="0.25">
      <c r="A2513" s="46" t="str" cm="1">
        <f t="array" ref="A2513">IFERROR(INDEX(#REF!,MATCH(TRUE,ISNUMBER(FIND(SUBSTITUTE(SUBSTITUTE(UPPER(#REF!)," ",""),":",": "),SUBSTITUTE(SUBSTITUTE(UPPER(S2513)," ",""),":",": "))),0)),"Undefined")</f>
        <v>Undefined</v>
      </c>
      <c r="B2513" s="42" t="str" cm="1">
        <f t="array" ref="B2513">IFERROR(INDEX({"URGENTE"},MATCH(TRUE,ISNUMBER(FIND(SUBSTITUTE(SUBSTITUTE(UPPER({"URGENTE"})," ",""),":",": "),SUBSTITUTE(SUBSTITUTE(UPPER(S2513)," ",""),":",": "))),0)),"-")</f>
        <v>-</v>
      </c>
      <c r="C2513" s="46" t="str" cm="1">
        <f t="array" ref="C2513">IFERROR(INDEX(#REF!,MATCH(TRUE,ISNUMBER(FIND(SUBSTITUTE(SUBSTITUTE(UPPER(#REF!)," ",""),":",": "),SUBSTITUTE(SUBSTITUTE(UPPER(S2513)," ",""),":",": "))),0)),"Não encontrado")</f>
        <v>Não encontrado</v>
      </c>
      <c r="D2513" s="46" t="str" cm="1">
        <f t="array" ref="D2513">IFERROR(INDEX(#REF!,MATCH(TRUE,ISNUMBER(FIND(SUBSTITUTE(SUBSTITUTE(UPPER(#REF!)," ",""),":",": "),SUBSTITUTE(SUBSTITUTE(UPPER(S2513)," ",""),":",": "))),0)),"Não encontrado")</f>
        <v>Não encontrado</v>
      </c>
      <c r="E2513" s="42" t="str" cm="1">
        <f t="array" ref="E2513">IFERROR(INDEX({"IMPEDITIVO"},MATCH(TRUE,ISNUMBER(FIND(SUBSTITUTE(SUBSTITUTE(UPPER({"IMPEDITIVO"})," ",""),":",": "),SUBSTITUTE(SUBSTITUTE(UPPER(S2513)," ",""),":",": "))),0)),"-")</f>
        <v>-</v>
      </c>
      <c r="K2513" s="49"/>
    </row>
    <row r="2514" spans="1:11" x14ac:dyDescent="0.25">
      <c r="A2514" s="46" t="str" cm="1">
        <f t="array" ref="A2514">IFERROR(INDEX(#REF!,MATCH(TRUE,ISNUMBER(FIND(SUBSTITUTE(SUBSTITUTE(UPPER(#REF!)," ",""),":",": "),SUBSTITUTE(SUBSTITUTE(UPPER(S2514)," ",""),":",": "))),0)),"Undefined")</f>
        <v>Undefined</v>
      </c>
      <c r="B2514" s="42" t="str" cm="1">
        <f t="array" ref="B2514">IFERROR(INDEX({"URGENTE"},MATCH(TRUE,ISNUMBER(FIND(SUBSTITUTE(SUBSTITUTE(UPPER({"URGENTE"})," ",""),":",": "),SUBSTITUTE(SUBSTITUTE(UPPER(S2514)," ",""),":",": "))),0)),"-")</f>
        <v>-</v>
      </c>
      <c r="C2514" s="46" t="str" cm="1">
        <f t="array" ref="C2514">IFERROR(INDEX(#REF!,MATCH(TRUE,ISNUMBER(FIND(SUBSTITUTE(SUBSTITUTE(UPPER(#REF!)," ",""),":",": "),SUBSTITUTE(SUBSTITUTE(UPPER(S2514)," ",""),":",": "))),0)),"Não encontrado")</f>
        <v>Não encontrado</v>
      </c>
      <c r="D2514" s="46" t="str" cm="1">
        <f t="array" ref="D2514">IFERROR(INDEX(#REF!,MATCH(TRUE,ISNUMBER(FIND(SUBSTITUTE(SUBSTITUTE(UPPER(#REF!)," ",""),":",": "),SUBSTITUTE(SUBSTITUTE(UPPER(S2514)," ",""),":",": "))),0)),"Não encontrado")</f>
        <v>Não encontrado</v>
      </c>
      <c r="E2514" s="42" t="str" cm="1">
        <f t="array" ref="E2514">IFERROR(INDEX({"IMPEDITIVO"},MATCH(TRUE,ISNUMBER(FIND(SUBSTITUTE(SUBSTITUTE(UPPER({"IMPEDITIVO"})," ",""),":",": "),SUBSTITUTE(SUBSTITUTE(UPPER(S2514)," ",""),":",": "))),0)),"-")</f>
        <v>-</v>
      </c>
      <c r="K2514" s="49"/>
    </row>
    <row r="2515" spans="1:11" x14ac:dyDescent="0.25">
      <c r="A2515" s="46" t="str" cm="1">
        <f t="array" ref="A2515">IFERROR(INDEX(#REF!,MATCH(TRUE,ISNUMBER(FIND(SUBSTITUTE(SUBSTITUTE(UPPER(#REF!)," ",""),":",": "),SUBSTITUTE(SUBSTITUTE(UPPER(S2515)," ",""),":",": "))),0)),"Undefined")</f>
        <v>Undefined</v>
      </c>
      <c r="B2515" s="42" t="str" cm="1">
        <f t="array" ref="B2515">IFERROR(INDEX({"URGENTE"},MATCH(TRUE,ISNUMBER(FIND(SUBSTITUTE(SUBSTITUTE(UPPER({"URGENTE"})," ",""),":",": "),SUBSTITUTE(SUBSTITUTE(UPPER(S2515)," ",""),":",": "))),0)),"-")</f>
        <v>-</v>
      </c>
      <c r="C2515" s="46" t="str" cm="1">
        <f t="array" ref="C2515">IFERROR(INDEX(#REF!,MATCH(TRUE,ISNUMBER(FIND(SUBSTITUTE(SUBSTITUTE(UPPER(#REF!)," ",""),":",": "),SUBSTITUTE(SUBSTITUTE(UPPER(S2515)," ",""),":",": "))),0)),"Não encontrado")</f>
        <v>Não encontrado</v>
      </c>
      <c r="D2515" s="46" t="str" cm="1">
        <f t="array" ref="D2515">IFERROR(INDEX(#REF!,MATCH(TRUE,ISNUMBER(FIND(SUBSTITUTE(SUBSTITUTE(UPPER(#REF!)," ",""),":",": "),SUBSTITUTE(SUBSTITUTE(UPPER(S2515)," ",""),":",": "))),0)),"Não encontrado")</f>
        <v>Não encontrado</v>
      </c>
      <c r="E2515" s="42" t="str" cm="1">
        <f t="array" ref="E2515">IFERROR(INDEX({"IMPEDITIVO"},MATCH(TRUE,ISNUMBER(FIND(SUBSTITUTE(SUBSTITUTE(UPPER({"IMPEDITIVO"})," ",""),":",": "),SUBSTITUTE(SUBSTITUTE(UPPER(S2515)," ",""),":",": "))),0)),"-")</f>
        <v>-</v>
      </c>
      <c r="K2515" s="49"/>
    </row>
    <row r="2516" spans="1:11" x14ac:dyDescent="0.25">
      <c r="A2516" s="46" t="str" cm="1">
        <f t="array" ref="A2516">IFERROR(INDEX(#REF!,MATCH(TRUE,ISNUMBER(FIND(SUBSTITUTE(SUBSTITUTE(UPPER(#REF!)," ",""),":",": "),SUBSTITUTE(SUBSTITUTE(UPPER(S2516)," ",""),":",": "))),0)),"Undefined")</f>
        <v>Undefined</v>
      </c>
      <c r="B2516" s="42" t="str" cm="1">
        <f t="array" ref="B2516">IFERROR(INDEX({"URGENTE"},MATCH(TRUE,ISNUMBER(FIND(SUBSTITUTE(SUBSTITUTE(UPPER({"URGENTE"})," ",""),":",": "),SUBSTITUTE(SUBSTITUTE(UPPER(S2516)," ",""),":",": "))),0)),"-")</f>
        <v>-</v>
      </c>
      <c r="C2516" s="46" t="str" cm="1">
        <f t="array" ref="C2516">IFERROR(INDEX(#REF!,MATCH(TRUE,ISNUMBER(FIND(SUBSTITUTE(SUBSTITUTE(UPPER(#REF!)," ",""),":",": "),SUBSTITUTE(SUBSTITUTE(UPPER(S2516)," ",""),":",": "))),0)),"Não encontrado")</f>
        <v>Não encontrado</v>
      </c>
      <c r="D2516" s="46" t="str" cm="1">
        <f t="array" ref="D2516">IFERROR(INDEX(#REF!,MATCH(TRUE,ISNUMBER(FIND(SUBSTITUTE(SUBSTITUTE(UPPER(#REF!)," ",""),":",": "),SUBSTITUTE(SUBSTITUTE(UPPER(S2516)," ",""),":",": "))),0)),"Não encontrado")</f>
        <v>Não encontrado</v>
      </c>
      <c r="E2516" s="42" t="str" cm="1">
        <f t="array" ref="E2516">IFERROR(INDEX({"IMPEDITIVO"},MATCH(TRUE,ISNUMBER(FIND(SUBSTITUTE(SUBSTITUTE(UPPER({"IMPEDITIVO"})," ",""),":",": "),SUBSTITUTE(SUBSTITUTE(UPPER(S2516)," ",""),":",": "))),0)),"-")</f>
        <v>-</v>
      </c>
      <c r="K2516" s="49"/>
    </row>
    <row r="2517" spans="1:11" x14ac:dyDescent="0.25">
      <c r="A2517" s="46" t="str" cm="1">
        <f t="array" ref="A2517">IFERROR(INDEX(#REF!,MATCH(TRUE,ISNUMBER(FIND(SUBSTITUTE(SUBSTITUTE(UPPER(#REF!)," ",""),":",": "),SUBSTITUTE(SUBSTITUTE(UPPER(S2517)," ",""),":",": "))),0)),"Undefined")</f>
        <v>Undefined</v>
      </c>
      <c r="B2517" s="42" t="str" cm="1">
        <f t="array" ref="B2517">IFERROR(INDEX({"URGENTE"},MATCH(TRUE,ISNUMBER(FIND(SUBSTITUTE(SUBSTITUTE(UPPER({"URGENTE"})," ",""),":",": "),SUBSTITUTE(SUBSTITUTE(UPPER(S2517)," ",""),":",": "))),0)),"-")</f>
        <v>-</v>
      </c>
      <c r="C2517" s="46" t="str" cm="1">
        <f t="array" ref="C2517">IFERROR(INDEX(#REF!,MATCH(TRUE,ISNUMBER(FIND(SUBSTITUTE(SUBSTITUTE(UPPER(#REF!)," ",""),":",": "),SUBSTITUTE(SUBSTITUTE(UPPER(S2517)," ",""),":",": "))),0)),"Não encontrado")</f>
        <v>Não encontrado</v>
      </c>
      <c r="D2517" s="46" t="str" cm="1">
        <f t="array" ref="D2517">IFERROR(INDEX(#REF!,MATCH(TRUE,ISNUMBER(FIND(SUBSTITUTE(SUBSTITUTE(UPPER(#REF!)," ",""),":",": "),SUBSTITUTE(SUBSTITUTE(UPPER(S2517)," ",""),":",": "))),0)),"Não encontrado")</f>
        <v>Não encontrado</v>
      </c>
      <c r="E2517" s="42" t="str" cm="1">
        <f t="array" ref="E2517">IFERROR(INDEX({"IMPEDITIVO"},MATCH(TRUE,ISNUMBER(FIND(SUBSTITUTE(SUBSTITUTE(UPPER({"IMPEDITIVO"})," ",""),":",": "),SUBSTITUTE(SUBSTITUTE(UPPER(S2517)," ",""),":",": "))),0)),"-")</f>
        <v>-</v>
      </c>
      <c r="K2517" s="49"/>
    </row>
    <row r="2518" spans="1:11" x14ac:dyDescent="0.25">
      <c r="A2518" s="46" t="str" cm="1">
        <f t="array" ref="A2518">IFERROR(INDEX(#REF!,MATCH(TRUE,ISNUMBER(FIND(SUBSTITUTE(SUBSTITUTE(UPPER(#REF!)," ",""),":",": "),SUBSTITUTE(SUBSTITUTE(UPPER(S2518)," ",""),":",": "))),0)),"Undefined")</f>
        <v>Undefined</v>
      </c>
      <c r="B2518" s="42" t="str" cm="1">
        <f t="array" ref="B2518">IFERROR(INDEX({"URGENTE"},MATCH(TRUE,ISNUMBER(FIND(SUBSTITUTE(SUBSTITUTE(UPPER({"URGENTE"})," ",""),":",": "),SUBSTITUTE(SUBSTITUTE(UPPER(S2518)," ",""),":",": "))),0)),"-")</f>
        <v>-</v>
      </c>
      <c r="C2518" s="46" t="str" cm="1">
        <f t="array" ref="C2518">IFERROR(INDEX(#REF!,MATCH(TRUE,ISNUMBER(FIND(SUBSTITUTE(SUBSTITUTE(UPPER(#REF!)," ",""),":",": "),SUBSTITUTE(SUBSTITUTE(UPPER(S2518)," ",""),":",": "))),0)),"Não encontrado")</f>
        <v>Não encontrado</v>
      </c>
      <c r="D2518" s="46" t="str" cm="1">
        <f t="array" ref="D2518">IFERROR(INDEX(#REF!,MATCH(TRUE,ISNUMBER(FIND(SUBSTITUTE(SUBSTITUTE(UPPER(#REF!)," ",""),":",": "),SUBSTITUTE(SUBSTITUTE(UPPER(S2518)," ",""),":",": "))),0)),"Não encontrado")</f>
        <v>Não encontrado</v>
      </c>
      <c r="E2518" s="42" t="str" cm="1">
        <f t="array" ref="E2518">IFERROR(INDEX({"IMPEDITIVO"},MATCH(TRUE,ISNUMBER(FIND(SUBSTITUTE(SUBSTITUTE(UPPER({"IMPEDITIVO"})," ",""),":",": "),SUBSTITUTE(SUBSTITUTE(UPPER(S2518)," ",""),":",": "))),0)),"-")</f>
        <v>-</v>
      </c>
      <c r="K2518" s="49"/>
    </row>
    <row r="2519" spans="1:11" x14ac:dyDescent="0.25">
      <c r="A2519" s="46" t="str" cm="1">
        <f t="array" ref="A2519">IFERROR(INDEX(#REF!,MATCH(TRUE,ISNUMBER(FIND(SUBSTITUTE(SUBSTITUTE(UPPER(#REF!)," ",""),":",": "),SUBSTITUTE(SUBSTITUTE(UPPER(S2519)," ",""),":",": "))),0)),"Undefined")</f>
        <v>Undefined</v>
      </c>
      <c r="B2519" s="42" t="str" cm="1">
        <f t="array" ref="B2519">IFERROR(INDEX({"URGENTE"},MATCH(TRUE,ISNUMBER(FIND(SUBSTITUTE(SUBSTITUTE(UPPER({"URGENTE"})," ",""),":",": "),SUBSTITUTE(SUBSTITUTE(UPPER(S2519)," ",""),":",": "))),0)),"-")</f>
        <v>-</v>
      </c>
      <c r="C2519" s="46" t="str" cm="1">
        <f t="array" ref="C2519">IFERROR(INDEX(#REF!,MATCH(TRUE,ISNUMBER(FIND(SUBSTITUTE(SUBSTITUTE(UPPER(#REF!)," ",""),":",": "),SUBSTITUTE(SUBSTITUTE(UPPER(S2519)," ",""),":",": "))),0)),"Não encontrado")</f>
        <v>Não encontrado</v>
      </c>
      <c r="D2519" s="46" t="str" cm="1">
        <f t="array" ref="D2519">IFERROR(INDEX(#REF!,MATCH(TRUE,ISNUMBER(FIND(SUBSTITUTE(SUBSTITUTE(UPPER(#REF!)," ",""),":",": "),SUBSTITUTE(SUBSTITUTE(UPPER(S2519)," ",""),":",": "))),0)),"Não encontrado")</f>
        <v>Não encontrado</v>
      </c>
      <c r="E2519" s="42" t="str" cm="1">
        <f t="array" ref="E2519">IFERROR(INDEX({"IMPEDITIVO"},MATCH(TRUE,ISNUMBER(FIND(SUBSTITUTE(SUBSTITUTE(UPPER({"IMPEDITIVO"})," ",""),":",": "),SUBSTITUTE(SUBSTITUTE(UPPER(S2519)," ",""),":",": "))),0)),"-")</f>
        <v>-</v>
      </c>
      <c r="K2519" s="49"/>
    </row>
    <row r="2520" spans="1:11" x14ac:dyDescent="0.25">
      <c r="A2520" s="46" t="str" cm="1">
        <f t="array" ref="A2520">IFERROR(INDEX(#REF!,MATCH(TRUE,ISNUMBER(FIND(SUBSTITUTE(SUBSTITUTE(UPPER(#REF!)," ",""),":",": "),SUBSTITUTE(SUBSTITUTE(UPPER(S2520)," ",""),":",": "))),0)),"Undefined")</f>
        <v>Undefined</v>
      </c>
      <c r="B2520" s="42" t="str" cm="1">
        <f t="array" ref="B2520">IFERROR(INDEX({"URGENTE"},MATCH(TRUE,ISNUMBER(FIND(SUBSTITUTE(SUBSTITUTE(UPPER({"URGENTE"})," ",""),":",": "),SUBSTITUTE(SUBSTITUTE(UPPER(S2520)," ",""),":",": "))),0)),"-")</f>
        <v>-</v>
      </c>
      <c r="C2520" s="46" t="str" cm="1">
        <f t="array" ref="C2520">IFERROR(INDEX(#REF!,MATCH(TRUE,ISNUMBER(FIND(SUBSTITUTE(SUBSTITUTE(UPPER(#REF!)," ",""),":",": "),SUBSTITUTE(SUBSTITUTE(UPPER(S2520)," ",""),":",": "))),0)),"Não encontrado")</f>
        <v>Não encontrado</v>
      </c>
      <c r="D2520" s="46" t="str" cm="1">
        <f t="array" ref="D2520">IFERROR(INDEX(#REF!,MATCH(TRUE,ISNUMBER(FIND(SUBSTITUTE(SUBSTITUTE(UPPER(#REF!)," ",""),":",": "),SUBSTITUTE(SUBSTITUTE(UPPER(S2520)," ",""),":",": "))),0)),"Não encontrado")</f>
        <v>Não encontrado</v>
      </c>
      <c r="E2520" s="42" t="str" cm="1">
        <f t="array" ref="E2520">IFERROR(INDEX({"IMPEDITIVO"},MATCH(TRUE,ISNUMBER(FIND(SUBSTITUTE(SUBSTITUTE(UPPER({"IMPEDITIVO"})," ",""),":",": "),SUBSTITUTE(SUBSTITUTE(UPPER(S2520)," ",""),":",": "))),0)),"-")</f>
        <v>-</v>
      </c>
      <c r="K2520" s="49"/>
    </row>
    <row r="2521" spans="1:11" x14ac:dyDescent="0.25">
      <c r="A2521" s="46" t="str" cm="1">
        <f t="array" ref="A2521">IFERROR(INDEX(#REF!,MATCH(TRUE,ISNUMBER(FIND(SUBSTITUTE(SUBSTITUTE(UPPER(#REF!)," ",""),":",": "),SUBSTITUTE(SUBSTITUTE(UPPER(S2521)," ",""),":",": "))),0)),"Undefined")</f>
        <v>Undefined</v>
      </c>
      <c r="B2521" s="42" t="str" cm="1">
        <f t="array" ref="B2521">IFERROR(INDEX({"URGENTE"},MATCH(TRUE,ISNUMBER(FIND(SUBSTITUTE(SUBSTITUTE(UPPER({"URGENTE"})," ",""),":",": "),SUBSTITUTE(SUBSTITUTE(UPPER(S2521)," ",""),":",": "))),0)),"-")</f>
        <v>-</v>
      </c>
      <c r="C2521" s="46" t="str" cm="1">
        <f t="array" ref="C2521">IFERROR(INDEX(#REF!,MATCH(TRUE,ISNUMBER(FIND(SUBSTITUTE(SUBSTITUTE(UPPER(#REF!)," ",""),":",": "),SUBSTITUTE(SUBSTITUTE(UPPER(S2521)," ",""),":",": "))),0)),"Não encontrado")</f>
        <v>Não encontrado</v>
      </c>
      <c r="D2521" s="46" t="str" cm="1">
        <f t="array" ref="D2521">IFERROR(INDEX(#REF!,MATCH(TRUE,ISNUMBER(FIND(SUBSTITUTE(SUBSTITUTE(UPPER(#REF!)," ",""),":",": "),SUBSTITUTE(SUBSTITUTE(UPPER(S2521)," ",""),":",": "))),0)),"Não encontrado")</f>
        <v>Não encontrado</v>
      </c>
      <c r="E2521" s="42" t="str" cm="1">
        <f t="array" ref="E2521">IFERROR(INDEX({"IMPEDITIVO"},MATCH(TRUE,ISNUMBER(FIND(SUBSTITUTE(SUBSTITUTE(UPPER({"IMPEDITIVO"})," ",""),":",": "),SUBSTITUTE(SUBSTITUTE(UPPER(S2521)," ",""),":",": "))),0)),"-")</f>
        <v>-</v>
      </c>
      <c r="K2521" s="49"/>
    </row>
    <row r="2522" spans="1:11" x14ac:dyDescent="0.25">
      <c r="A2522" s="46" t="str" cm="1">
        <f t="array" ref="A2522">IFERROR(INDEX(#REF!,MATCH(TRUE,ISNUMBER(FIND(SUBSTITUTE(SUBSTITUTE(UPPER(#REF!)," ",""),":",": "),SUBSTITUTE(SUBSTITUTE(UPPER(S2522)," ",""),":",": "))),0)),"Undefined")</f>
        <v>Undefined</v>
      </c>
      <c r="B2522" s="42" t="str" cm="1">
        <f t="array" ref="B2522">IFERROR(INDEX({"URGENTE"},MATCH(TRUE,ISNUMBER(FIND(SUBSTITUTE(SUBSTITUTE(UPPER({"URGENTE"})," ",""),":",": "),SUBSTITUTE(SUBSTITUTE(UPPER(S2522)," ",""),":",": "))),0)),"-")</f>
        <v>-</v>
      </c>
      <c r="C2522" s="46" t="str" cm="1">
        <f t="array" ref="C2522">IFERROR(INDEX(#REF!,MATCH(TRUE,ISNUMBER(FIND(SUBSTITUTE(SUBSTITUTE(UPPER(#REF!)," ",""),":",": "),SUBSTITUTE(SUBSTITUTE(UPPER(S2522)," ",""),":",": "))),0)),"Não encontrado")</f>
        <v>Não encontrado</v>
      </c>
      <c r="D2522" s="46" t="str" cm="1">
        <f t="array" ref="D2522">IFERROR(INDEX(#REF!,MATCH(TRUE,ISNUMBER(FIND(SUBSTITUTE(SUBSTITUTE(UPPER(#REF!)," ",""),":",": "),SUBSTITUTE(SUBSTITUTE(UPPER(S2522)," ",""),":",": "))),0)),"Não encontrado")</f>
        <v>Não encontrado</v>
      </c>
      <c r="E2522" s="42" t="str" cm="1">
        <f t="array" ref="E2522">IFERROR(INDEX({"IMPEDITIVO"},MATCH(TRUE,ISNUMBER(FIND(SUBSTITUTE(SUBSTITUTE(UPPER({"IMPEDITIVO"})," ",""),":",": "),SUBSTITUTE(SUBSTITUTE(UPPER(S2522)," ",""),":",": "))),0)),"-")</f>
        <v>-</v>
      </c>
      <c r="K2522" s="49"/>
    </row>
    <row r="2523" spans="1:11" x14ac:dyDescent="0.25">
      <c r="A2523" s="46" t="str" cm="1">
        <f t="array" ref="A2523">IFERROR(INDEX(#REF!,MATCH(TRUE,ISNUMBER(FIND(SUBSTITUTE(SUBSTITUTE(UPPER(#REF!)," ",""),":",": "),SUBSTITUTE(SUBSTITUTE(UPPER(S2523)," ",""),":",": "))),0)),"Undefined")</f>
        <v>Undefined</v>
      </c>
      <c r="B2523" s="42" t="str" cm="1">
        <f t="array" ref="B2523">IFERROR(INDEX({"URGENTE"},MATCH(TRUE,ISNUMBER(FIND(SUBSTITUTE(SUBSTITUTE(UPPER({"URGENTE"})," ",""),":",": "),SUBSTITUTE(SUBSTITUTE(UPPER(S2523)," ",""),":",": "))),0)),"-")</f>
        <v>-</v>
      </c>
      <c r="C2523" s="46" t="str" cm="1">
        <f t="array" ref="C2523">IFERROR(INDEX(#REF!,MATCH(TRUE,ISNUMBER(FIND(SUBSTITUTE(SUBSTITUTE(UPPER(#REF!)," ",""),":",": "),SUBSTITUTE(SUBSTITUTE(UPPER(S2523)," ",""),":",": "))),0)),"Não encontrado")</f>
        <v>Não encontrado</v>
      </c>
      <c r="D2523" s="46" t="str" cm="1">
        <f t="array" ref="D2523">IFERROR(INDEX(#REF!,MATCH(TRUE,ISNUMBER(FIND(SUBSTITUTE(SUBSTITUTE(UPPER(#REF!)," ",""),":",": "),SUBSTITUTE(SUBSTITUTE(UPPER(S2523)," ",""),":",": "))),0)),"Não encontrado")</f>
        <v>Não encontrado</v>
      </c>
      <c r="E2523" s="42" t="str" cm="1">
        <f t="array" ref="E2523">IFERROR(INDEX({"IMPEDITIVO"},MATCH(TRUE,ISNUMBER(FIND(SUBSTITUTE(SUBSTITUTE(UPPER({"IMPEDITIVO"})," ",""),":",": "),SUBSTITUTE(SUBSTITUTE(UPPER(S2523)," ",""),":",": "))),0)),"-")</f>
        <v>-</v>
      </c>
      <c r="K2523" s="49"/>
    </row>
    <row r="2524" spans="1:11" x14ac:dyDescent="0.25">
      <c r="A2524" s="46" t="str" cm="1">
        <f t="array" ref="A2524">IFERROR(INDEX(#REF!,MATCH(TRUE,ISNUMBER(FIND(SUBSTITUTE(SUBSTITUTE(UPPER(#REF!)," ",""),":",": "),SUBSTITUTE(SUBSTITUTE(UPPER(S2524)," ",""),":",": "))),0)),"Undefined")</f>
        <v>Undefined</v>
      </c>
      <c r="B2524" s="42" t="str" cm="1">
        <f t="array" ref="B2524">IFERROR(INDEX({"URGENTE"},MATCH(TRUE,ISNUMBER(FIND(SUBSTITUTE(SUBSTITUTE(UPPER({"URGENTE"})," ",""),":",": "),SUBSTITUTE(SUBSTITUTE(UPPER(S2524)," ",""),":",": "))),0)),"-")</f>
        <v>-</v>
      </c>
      <c r="C2524" s="46" t="str" cm="1">
        <f t="array" ref="C2524">IFERROR(INDEX(#REF!,MATCH(TRUE,ISNUMBER(FIND(SUBSTITUTE(SUBSTITUTE(UPPER(#REF!)," ",""),":",": "),SUBSTITUTE(SUBSTITUTE(UPPER(S2524)," ",""),":",": "))),0)),"Não encontrado")</f>
        <v>Não encontrado</v>
      </c>
      <c r="D2524" s="46" t="str" cm="1">
        <f t="array" ref="D2524">IFERROR(INDEX(#REF!,MATCH(TRUE,ISNUMBER(FIND(SUBSTITUTE(SUBSTITUTE(UPPER(#REF!)," ",""),":",": "),SUBSTITUTE(SUBSTITUTE(UPPER(S2524)," ",""),":",": "))),0)),"Não encontrado")</f>
        <v>Não encontrado</v>
      </c>
      <c r="E2524" s="42" t="str" cm="1">
        <f t="array" ref="E2524">IFERROR(INDEX({"IMPEDITIVO"},MATCH(TRUE,ISNUMBER(FIND(SUBSTITUTE(SUBSTITUTE(UPPER({"IMPEDITIVO"})," ",""),":",": "),SUBSTITUTE(SUBSTITUTE(UPPER(S2524)," ",""),":",": "))),0)),"-")</f>
        <v>-</v>
      </c>
      <c r="K2524" s="49"/>
    </row>
    <row r="2525" spans="1:11" x14ac:dyDescent="0.25">
      <c r="A2525" s="46" t="str" cm="1">
        <f t="array" ref="A2525">IFERROR(INDEX(#REF!,MATCH(TRUE,ISNUMBER(FIND(SUBSTITUTE(SUBSTITUTE(UPPER(#REF!)," ",""),":",": "),SUBSTITUTE(SUBSTITUTE(UPPER(S2525)," ",""),":",": "))),0)),"Undefined")</f>
        <v>Undefined</v>
      </c>
      <c r="B2525" s="42" t="str" cm="1">
        <f t="array" ref="B2525">IFERROR(INDEX({"URGENTE"},MATCH(TRUE,ISNUMBER(FIND(SUBSTITUTE(SUBSTITUTE(UPPER({"URGENTE"})," ",""),":",": "),SUBSTITUTE(SUBSTITUTE(UPPER(S2525)," ",""),":",": "))),0)),"-")</f>
        <v>-</v>
      </c>
      <c r="C2525" s="46" t="str" cm="1">
        <f t="array" ref="C2525">IFERROR(INDEX(#REF!,MATCH(TRUE,ISNUMBER(FIND(SUBSTITUTE(SUBSTITUTE(UPPER(#REF!)," ",""),":",": "),SUBSTITUTE(SUBSTITUTE(UPPER(S2525)," ",""),":",": "))),0)),"Não encontrado")</f>
        <v>Não encontrado</v>
      </c>
      <c r="D2525" s="46" t="str" cm="1">
        <f t="array" ref="D2525">IFERROR(INDEX(#REF!,MATCH(TRUE,ISNUMBER(FIND(SUBSTITUTE(SUBSTITUTE(UPPER(#REF!)," ",""),":",": "),SUBSTITUTE(SUBSTITUTE(UPPER(S2525)," ",""),":",": "))),0)),"Não encontrado")</f>
        <v>Não encontrado</v>
      </c>
      <c r="E2525" s="42" t="str" cm="1">
        <f t="array" ref="E2525">IFERROR(INDEX({"IMPEDITIVO"},MATCH(TRUE,ISNUMBER(FIND(SUBSTITUTE(SUBSTITUTE(UPPER({"IMPEDITIVO"})," ",""),":",": "),SUBSTITUTE(SUBSTITUTE(UPPER(S2525)," ",""),":",": "))),0)),"-")</f>
        <v>-</v>
      </c>
      <c r="K2525" s="49"/>
    </row>
    <row r="2526" spans="1:11" x14ac:dyDescent="0.25">
      <c r="A2526" s="46" t="str" cm="1">
        <f t="array" ref="A2526">IFERROR(INDEX(#REF!,MATCH(TRUE,ISNUMBER(FIND(SUBSTITUTE(SUBSTITUTE(UPPER(#REF!)," ",""),":",": "),SUBSTITUTE(SUBSTITUTE(UPPER(S2526)," ",""),":",": "))),0)),"Undefined")</f>
        <v>Undefined</v>
      </c>
      <c r="B2526" s="42" t="str" cm="1">
        <f t="array" ref="B2526">IFERROR(INDEX({"URGENTE"},MATCH(TRUE,ISNUMBER(FIND(SUBSTITUTE(SUBSTITUTE(UPPER({"URGENTE"})," ",""),":",": "),SUBSTITUTE(SUBSTITUTE(UPPER(S2526)," ",""),":",": "))),0)),"-")</f>
        <v>-</v>
      </c>
      <c r="C2526" s="46" t="str" cm="1">
        <f t="array" ref="C2526">IFERROR(INDEX(#REF!,MATCH(TRUE,ISNUMBER(FIND(SUBSTITUTE(SUBSTITUTE(UPPER(#REF!)," ",""),":",": "),SUBSTITUTE(SUBSTITUTE(UPPER(S2526)," ",""),":",": "))),0)),"Não encontrado")</f>
        <v>Não encontrado</v>
      </c>
      <c r="D2526" s="46" t="str" cm="1">
        <f t="array" ref="D2526">IFERROR(INDEX(#REF!,MATCH(TRUE,ISNUMBER(FIND(SUBSTITUTE(SUBSTITUTE(UPPER(#REF!)," ",""),":",": "),SUBSTITUTE(SUBSTITUTE(UPPER(S2526)," ",""),":",": "))),0)),"Não encontrado")</f>
        <v>Não encontrado</v>
      </c>
      <c r="E2526" s="42" t="str" cm="1">
        <f t="array" ref="E2526">IFERROR(INDEX({"IMPEDITIVO"},MATCH(TRUE,ISNUMBER(FIND(SUBSTITUTE(SUBSTITUTE(UPPER({"IMPEDITIVO"})," ",""),":",": "),SUBSTITUTE(SUBSTITUTE(UPPER(S2526)," ",""),":",": "))),0)),"-")</f>
        <v>-</v>
      </c>
      <c r="K2526" s="49"/>
    </row>
    <row r="2527" spans="1:11" x14ac:dyDescent="0.25">
      <c r="A2527" s="46" t="str" cm="1">
        <f t="array" ref="A2527">IFERROR(INDEX(#REF!,MATCH(TRUE,ISNUMBER(FIND(SUBSTITUTE(SUBSTITUTE(UPPER(#REF!)," ",""),":",": "),SUBSTITUTE(SUBSTITUTE(UPPER(S2527)," ",""),":",": "))),0)),"Undefined")</f>
        <v>Undefined</v>
      </c>
      <c r="B2527" s="42" t="str" cm="1">
        <f t="array" ref="B2527">IFERROR(INDEX({"URGENTE"},MATCH(TRUE,ISNUMBER(FIND(SUBSTITUTE(SUBSTITUTE(UPPER({"URGENTE"})," ",""),":",": "),SUBSTITUTE(SUBSTITUTE(UPPER(S2527)," ",""),":",": "))),0)),"-")</f>
        <v>-</v>
      </c>
      <c r="C2527" s="46" t="str" cm="1">
        <f t="array" ref="C2527">IFERROR(INDEX(#REF!,MATCH(TRUE,ISNUMBER(FIND(SUBSTITUTE(SUBSTITUTE(UPPER(#REF!)," ",""),":",": "),SUBSTITUTE(SUBSTITUTE(UPPER(S2527)," ",""),":",": "))),0)),"Não encontrado")</f>
        <v>Não encontrado</v>
      </c>
      <c r="D2527" s="46" t="str" cm="1">
        <f t="array" ref="D2527">IFERROR(INDEX(#REF!,MATCH(TRUE,ISNUMBER(FIND(SUBSTITUTE(SUBSTITUTE(UPPER(#REF!)," ",""),":",": "),SUBSTITUTE(SUBSTITUTE(UPPER(S2527)," ",""),":",": "))),0)),"Não encontrado")</f>
        <v>Não encontrado</v>
      </c>
      <c r="E2527" s="42" t="str" cm="1">
        <f t="array" ref="E2527">IFERROR(INDEX({"IMPEDITIVO"},MATCH(TRUE,ISNUMBER(FIND(SUBSTITUTE(SUBSTITUTE(UPPER({"IMPEDITIVO"})," ",""),":",": "),SUBSTITUTE(SUBSTITUTE(UPPER(S2527)," ",""),":",": "))),0)),"-")</f>
        <v>-</v>
      </c>
      <c r="K2527" s="49"/>
    </row>
    <row r="2528" spans="1:11" x14ac:dyDescent="0.25">
      <c r="A2528" s="46" t="str" cm="1">
        <f t="array" ref="A2528">IFERROR(INDEX(#REF!,MATCH(TRUE,ISNUMBER(FIND(SUBSTITUTE(SUBSTITUTE(UPPER(#REF!)," ",""),":",": "),SUBSTITUTE(SUBSTITUTE(UPPER(S2528)," ",""),":",": "))),0)),"Undefined")</f>
        <v>Undefined</v>
      </c>
      <c r="B2528" s="42" t="str" cm="1">
        <f t="array" ref="B2528">IFERROR(INDEX({"URGENTE"},MATCH(TRUE,ISNUMBER(FIND(SUBSTITUTE(SUBSTITUTE(UPPER({"URGENTE"})," ",""),":",": "),SUBSTITUTE(SUBSTITUTE(UPPER(S2528)," ",""),":",": "))),0)),"-")</f>
        <v>-</v>
      </c>
      <c r="C2528" s="46" t="str" cm="1">
        <f t="array" ref="C2528">IFERROR(INDEX(#REF!,MATCH(TRUE,ISNUMBER(FIND(SUBSTITUTE(SUBSTITUTE(UPPER(#REF!)," ",""),":",": "),SUBSTITUTE(SUBSTITUTE(UPPER(S2528)," ",""),":",": "))),0)),"Não encontrado")</f>
        <v>Não encontrado</v>
      </c>
      <c r="D2528" s="46" t="str" cm="1">
        <f t="array" ref="D2528">IFERROR(INDEX(#REF!,MATCH(TRUE,ISNUMBER(FIND(SUBSTITUTE(SUBSTITUTE(UPPER(#REF!)," ",""),":",": "),SUBSTITUTE(SUBSTITUTE(UPPER(S2528)," ",""),":",": "))),0)),"Não encontrado")</f>
        <v>Não encontrado</v>
      </c>
      <c r="E2528" s="42" t="str" cm="1">
        <f t="array" ref="E2528">IFERROR(INDEX({"IMPEDITIVO"},MATCH(TRUE,ISNUMBER(FIND(SUBSTITUTE(SUBSTITUTE(UPPER({"IMPEDITIVO"})," ",""),":",": "),SUBSTITUTE(SUBSTITUTE(UPPER(S2528)," ",""),":",": "))),0)),"-")</f>
        <v>-</v>
      </c>
      <c r="K2528" s="49"/>
    </row>
    <row r="2529" spans="1:11" x14ac:dyDescent="0.25">
      <c r="A2529" s="46" t="str" cm="1">
        <f t="array" ref="A2529">IFERROR(INDEX(#REF!,MATCH(TRUE,ISNUMBER(FIND(SUBSTITUTE(SUBSTITUTE(UPPER(#REF!)," ",""),":",": "),SUBSTITUTE(SUBSTITUTE(UPPER(S2529)," ",""),":",": "))),0)),"Undefined")</f>
        <v>Undefined</v>
      </c>
      <c r="B2529" s="42" t="str" cm="1">
        <f t="array" ref="B2529">IFERROR(INDEX({"URGENTE"},MATCH(TRUE,ISNUMBER(FIND(SUBSTITUTE(SUBSTITUTE(UPPER({"URGENTE"})," ",""),":",": "),SUBSTITUTE(SUBSTITUTE(UPPER(S2529)," ",""),":",": "))),0)),"-")</f>
        <v>-</v>
      </c>
      <c r="C2529" s="46" t="str" cm="1">
        <f t="array" ref="C2529">IFERROR(INDEX(#REF!,MATCH(TRUE,ISNUMBER(FIND(SUBSTITUTE(SUBSTITUTE(UPPER(#REF!)," ",""),":",": "),SUBSTITUTE(SUBSTITUTE(UPPER(S2529)," ",""),":",": "))),0)),"Não encontrado")</f>
        <v>Não encontrado</v>
      </c>
      <c r="D2529" s="46" t="str" cm="1">
        <f t="array" ref="D2529">IFERROR(INDEX(#REF!,MATCH(TRUE,ISNUMBER(FIND(SUBSTITUTE(SUBSTITUTE(UPPER(#REF!)," ",""),":",": "),SUBSTITUTE(SUBSTITUTE(UPPER(S2529)," ",""),":",": "))),0)),"Não encontrado")</f>
        <v>Não encontrado</v>
      </c>
      <c r="E2529" s="42" t="str" cm="1">
        <f t="array" ref="E2529">IFERROR(INDEX({"IMPEDITIVO"},MATCH(TRUE,ISNUMBER(FIND(SUBSTITUTE(SUBSTITUTE(UPPER({"IMPEDITIVO"})," ",""),":",": "),SUBSTITUTE(SUBSTITUTE(UPPER(S2529)," ",""),":",": "))),0)),"-")</f>
        <v>-</v>
      </c>
      <c r="K2529" s="49"/>
    </row>
    <row r="2530" spans="1:11" x14ac:dyDescent="0.25">
      <c r="A2530" s="46" t="str" cm="1">
        <f t="array" ref="A2530">IFERROR(INDEX(#REF!,MATCH(TRUE,ISNUMBER(FIND(SUBSTITUTE(SUBSTITUTE(UPPER(#REF!)," ",""),":",": "),SUBSTITUTE(SUBSTITUTE(UPPER(S2530)," ",""),":",": "))),0)),"Undefined")</f>
        <v>Undefined</v>
      </c>
      <c r="B2530" s="42" t="str" cm="1">
        <f t="array" ref="B2530">IFERROR(INDEX({"URGENTE"},MATCH(TRUE,ISNUMBER(FIND(SUBSTITUTE(SUBSTITUTE(UPPER({"URGENTE"})," ",""),":",": "),SUBSTITUTE(SUBSTITUTE(UPPER(S2530)," ",""),":",": "))),0)),"-")</f>
        <v>-</v>
      </c>
      <c r="C2530" s="46" t="str" cm="1">
        <f t="array" ref="C2530">IFERROR(INDEX(#REF!,MATCH(TRUE,ISNUMBER(FIND(SUBSTITUTE(SUBSTITUTE(UPPER(#REF!)," ",""),":",": "),SUBSTITUTE(SUBSTITUTE(UPPER(S2530)," ",""),":",": "))),0)),"Não encontrado")</f>
        <v>Não encontrado</v>
      </c>
      <c r="D2530" s="46" t="str" cm="1">
        <f t="array" ref="D2530">IFERROR(INDEX(#REF!,MATCH(TRUE,ISNUMBER(FIND(SUBSTITUTE(SUBSTITUTE(UPPER(#REF!)," ",""),":",": "),SUBSTITUTE(SUBSTITUTE(UPPER(S2530)," ",""),":",": "))),0)),"Não encontrado")</f>
        <v>Não encontrado</v>
      </c>
      <c r="E2530" s="42" t="str" cm="1">
        <f t="array" ref="E2530">IFERROR(INDEX({"IMPEDITIVO"},MATCH(TRUE,ISNUMBER(FIND(SUBSTITUTE(SUBSTITUTE(UPPER({"IMPEDITIVO"})," ",""),":",": "),SUBSTITUTE(SUBSTITUTE(UPPER(S2530)," ",""),":",": "))),0)),"-")</f>
        <v>-</v>
      </c>
      <c r="K2530" s="49"/>
    </row>
    <row r="2531" spans="1:11" x14ac:dyDescent="0.25">
      <c r="A2531" s="46" t="str" cm="1">
        <f t="array" ref="A2531">IFERROR(INDEX(#REF!,MATCH(TRUE,ISNUMBER(FIND(SUBSTITUTE(SUBSTITUTE(UPPER(#REF!)," ",""),":",": "),SUBSTITUTE(SUBSTITUTE(UPPER(S2531)," ",""),":",": "))),0)),"Undefined")</f>
        <v>Undefined</v>
      </c>
      <c r="B2531" s="42" t="str" cm="1">
        <f t="array" ref="B2531">IFERROR(INDEX({"URGENTE"},MATCH(TRUE,ISNUMBER(FIND(SUBSTITUTE(SUBSTITUTE(UPPER({"URGENTE"})," ",""),":",": "),SUBSTITUTE(SUBSTITUTE(UPPER(S2531)," ",""),":",": "))),0)),"-")</f>
        <v>-</v>
      </c>
      <c r="C2531" s="46" t="str" cm="1">
        <f t="array" ref="C2531">IFERROR(INDEX(#REF!,MATCH(TRUE,ISNUMBER(FIND(SUBSTITUTE(SUBSTITUTE(UPPER(#REF!)," ",""),":",": "),SUBSTITUTE(SUBSTITUTE(UPPER(S2531)," ",""),":",": "))),0)),"Não encontrado")</f>
        <v>Não encontrado</v>
      </c>
      <c r="D2531" s="46" t="str" cm="1">
        <f t="array" ref="D2531">IFERROR(INDEX(#REF!,MATCH(TRUE,ISNUMBER(FIND(SUBSTITUTE(SUBSTITUTE(UPPER(#REF!)," ",""),":",": "),SUBSTITUTE(SUBSTITUTE(UPPER(S2531)," ",""),":",": "))),0)),"Não encontrado")</f>
        <v>Não encontrado</v>
      </c>
      <c r="E2531" s="42" t="str" cm="1">
        <f t="array" ref="E2531">IFERROR(INDEX({"IMPEDITIVO"},MATCH(TRUE,ISNUMBER(FIND(SUBSTITUTE(SUBSTITUTE(UPPER({"IMPEDITIVO"})," ",""),":",": "),SUBSTITUTE(SUBSTITUTE(UPPER(S2531)," ",""),":",": "))),0)),"-")</f>
        <v>-</v>
      </c>
      <c r="K2531" s="49"/>
    </row>
    <row r="2532" spans="1:11" x14ac:dyDescent="0.25">
      <c r="A2532" s="46" t="str" cm="1">
        <f t="array" ref="A2532">IFERROR(INDEX(#REF!,MATCH(TRUE,ISNUMBER(FIND(SUBSTITUTE(SUBSTITUTE(UPPER(#REF!)," ",""),":",": "),SUBSTITUTE(SUBSTITUTE(UPPER(S2532)," ",""),":",": "))),0)),"Undefined")</f>
        <v>Undefined</v>
      </c>
      <c r="B2532" s="42" t="str" cm="1">
        <f t="array" ref="B2532">IFERROR(INDEX({"URGENTE"},MATCH(TRUE,ISNUMBER(FIND(SUBSTITUTE(SUBSTITUTE(UPPER({"URGENTE"})," ",""),":",": "),SUBSTITUTE(SUBSTITUTE(UPPER(S2532)," ",""),":",": "))),0)),"-")</f>
        <v>-</v>
      </c>
      <c r="C2532" s="46" t="str" cm="1">
        <f t="array" ref="C2532">IFERROR(INDEX(#REF!,MATCH(TRUE,ISNUMBER(FIND(SUBSTITUTE(SUBSTITUTE(UPPER(#REF!)," ",""),":",": "),SUBSTITUTE(SUBSTITUTE(UPPER(S2532)," ",""),":",": "))),0)),"Não encontrado")</f>
        <v>Não encontrado</v>
      </c>
      <c r="D2532" s="46" t="str" cm="1">
        <f t="array" ref="D2532">IFERROR(INDEX(#REF!,MATCH(TRUE,ISNUMBER(FIND(SUBSTITUTE(SUBSTITUTE(UPPER(#REF!)," ",""),":",": "),SUBSTITUTE(SUBSTITUTE(UPPER(S2532)," ",""),":",": "))),0)),"Não encontrado")</f>
        <v>Não encontrado</v>
      </c>
      <c r="E2532" s="42" t="str" cm="1">
        <f t="array" ref="E2532">IFERROR(INDEX({"IMPEDITIVO"},MATCH(TRUE,ISNUMBER(FIND(SUBSTITUTE(SUBSTITUTE(UPPER({"IMPEDITIVO"})," ",""),":",": "),SUBSTITUTE(SUBSTITUTE(UPPER(S2532)," ",""),":",": "))),0)),"-")</f>
        <v>-</v>
      </c>
      <c r="K2532" s="49"/>
    </row>
    <row r="2533" spans="1:11" x14ac:dyDescent="0.25">
      <c r="A2533" s="46" t="str" cm="1">
        <f t="array" ref="A2533">IFERROR(INDEX(#REF!,MATCH(TRUE,ISNUMBER(FIND(SUBSTITUTE(SUBSTITUTE(UPPER(#REF!)," ",""),":",": "),SUBSTITUTE(SUBSTITUTE(UPPER(S2533)," ",""),":",": "))),0)),"Undefined")</f>
        <v>Undefined</v>
      </c>
      <c r="B2533" s="42" t="str" cm="1">
        <f t="array" ref="B2533">IFERROR(INDEX({"URGENTE"},MATCH(TRUE,ISNUMBER(FIND(SUBSTITUTE(SUBSTITUTE(UPPER({"URGENTE"})," ",""),":",": "),SUBSTITUTE(SUBSTITUTE(UPPER(S2533)," ",""),":",": "))),0)),"-")</f>
        <v>-</v>
      </c>
      <c r="C2533" s="46" t="str" cm="1">
        <f t="array" ref="C2533">IFERROR(INDEX(#REF!,MATCH(TRUE,ISNUMBER(FIND(SUBSTITUTE(SUBSTITUTE(UPPER(#REF!)," ",""),":",": "),SUBSTITUTE(SUBSTITUTE(UPPER(S2533)," ",""),":",": "))),0)),"Não encontrado")</f>
        <v>Não encontrado</v>
      </c>
      <c r="D2533" s="46" t="str" cm="1">
        <f t="array" ref="D2533">IFERROR(INDEX(#REF!,MATCH(TRUE,ISNUMBER(FIND(SUBSTITUTE(SUBSTITUTE(UPPER(#REF!)," ",""),":",": "),SUBSTITUTE(SUBSTITUTE(UPPER(S2533)," ",""),":",": "))),0)),"Não encontrado")</f>
        <v>Não encontrado</v>
      </c>
      <c r="E2533" s="42" t="str" cm="1">
        <f t="array" ref="E2533">IFERROR(INDEX({"IMPEDITIVO"},MATCH(TRUE,ISNUMBER(FIND(SUBSTITUTE(SUBSTITUTE(UPPER({"IMPEDITIVO"})," ",""),":",": "),SUBSTITUTE(SUBSTITUTE(UPPER(S2533)," ",""),":",": "))),0)),"-")</f>
        <v>-</v>
      </c>
      <c r="K2533" s="49"/>
    </row>
    <row r="2534" spans="1:11" x14ac:dyDescent="0.25">
      <c r="A2534" s="46" t="str" cm="1">
        <f t="array" ref="A2534">IFERROR(INDEX(#REF!,MATCH(TRUE,ISNUMBER(FIND(SUBSTITUTE(SUBSTITUTE(UPPER(#REF!)," ",""),":",": "),SUBSTITUTE(SUBSTITUTE(UPPER(S2534)," ",""),":",": "))),0)),"Undefined")</f>
        <v>Undefined</v>
      </c>
      <c r="B2534" s="42" t="str" cm="1">
        <f t="array" ref="B2534">IFERROR(INDEX({"URGENTE"},MATCH(TRUE,ISNUMBER(FIND(SUBSTITUTE(SUBSTITUTE(UPPER({"URGENTE"})," ",""),":",": "),SUBSTITUTE(SUBSTITUTE(UPPER(S2534)," ",""),":",": "))),0)),"-")</f>
        <v>-</v>
      </c>
      <c r="C2534" s="46" t="str" cm="1">
        <f t="array" ref="C2534">IFERROR(INDEX(#REF!,MATCH(TRUE,ISNUMBER(FIND(SUBSTITUTE(SUBSTITUTE(UPPER(#REF!)," ",""),":",": "),SUBSTITUTE(SUBSTITUTE(UPPER(S2534)," ",""),":",": "))),0)),"Não encontrado")</f>
        <v>Não encontrado</v>
      </c>
      <c r="D2534" s="46" t="str" cm="1">
        <f t="array" ref="D2534">IFERROR(INDEX(#REF!,MATCH(TRUE,ISNUMBER(FIND(SUBSTITUTE(SUBSTITUTE(UPPER(#REF!)," ",""),":",": "),SUBSTITUTE(SUBSTITUTE(UPPER(S2534)," ",""),":",": "))),0)),"Não encontrado")</f>
        <v>Não encontrado</v>
      </c>
      <c r="E2534" s="42" t="str" cm="1">
        <f t="array" ref="E2534">IFERROR(INDEX({"IMPEDITIVO"},MATCH(TRUE,ISNUMBER(FIND(SUBSTITUTE(SUBSTITUTE(UPPER({"IMPEDITIVO"})," ",""),":",": "),SUBSTITUTE(SUBSTITUTE(UPPER(S2534)," ",""),":",": "))),0)),"-")</f>
        <v>-</v>
      </c>
      <c r="K2534" s="49"/>
    </row>
    <row r="2535" spans="1:11" x14ac:dyDescent="0.25">
      <c r="A2535" s="46" t="str" cm="1">
        <f t="array" ref="A2535">IFERROR(INDEX(#REF!,MATCH(TRUE,ISNUMBER(FIND(SUBSTITUTE(SUBSTITUTE(UPPER(#REF!)," ",""),":",": "),SUBSTITUTE(SUBSTITUTE(UPPER(S2535)," ",""),":",": "))),0)),"Undefined")</f>
        <v>Undefined</v>
      </c>
      <c r="B2535" s="42" t="str" cm="1">
        <f t="array" ref="B2535">IFERROR(INDEX({"URGENTE"},MATCH(TRUE,ISNUMBER(FIND(SUBSTITUTE(SUBSTITUTE(UPPER({"URGENTE"})," ",""),":",": "),SUBSTITUTE(SUBSTITUTE(UPPER(S2535)," ",""),":",": "))),0)),"-")</f>
        <v>-</v>
      </c>
      <c r="C2535" s="46" t="str" cm="1">
        <f t="array" ref="C2535">IFERROR(INDEX(#REF!,MATCH(TRUE,ISNUMBER(FIND(SUBSTITUTE(SUBSTITUTE(UPPER(#REF!)," ",""),":",": "),SUBSTITUTE(SUBSTITUTE(UPPER(S2535)," ",""),":",": "))),0)),"Não encontrado")</f>
        <v>Não encontrado</v>
      </c>
      <c r="D2535" s="46" t="str" cm="1">
        <f t="array" ref="D2535">IFERROR(INDEX(#REF!,MATCH(TRUE,ISNUMBER(FIND(SUBSTITUTE(SUBSTITUTE(UPPER(#REF!)," ",""),":",": "),SUBSTITUTE(SUBSTITUTE(UPPER(S2535)," ",""),":",": "))),0)),"Não encontrado")</f>
        <v>Não encontrado</v>
      </c>
      <c r="E2535" s="42" t="str" cm="1">
        <f t="array" ref="E2535">IFERROR(INDEX({"IMPEDITIVO"},MATCH(TRUE,ISNUMBER(FIND(SUBSTITUTE(SUBSTITUTE(UPPER({"IMPEDITIVO"})," ",""),":",": "),SUBSTITUTE(SUBSTITUTE(UPPER(S2535)," ",""),":",": "))),0)),"-")</f>
        <v>-</v>
      </c>
      <c r="K2535" s="49"/>
    </row>
    <row r="2536" spans="1:11" x14ac:dyDescent="0.25">
      <c r="A2536" s="46" t="str" cm="1">
        <f t="array" ref="A2536">IFERROR(INDEX(#REF!,MATCH(TRUE,ISNUMBER(FIND(SUBSTITUTE(SUBSTITUTE(UPPER(#REF!)," ",""),":",": "),SUBSTITUTE(SUBSTITUTE(UPPER(S2536)," ",""),":",": "))),0)),"Undefined")</f>
        <v>Undefined</v>
      </c>
      <c r="B2536" s="42" t="str" cm="1">
        <f t="array" ref="B2536">IFERROR(INDEX({"URGENTE"},MATCH(TRUE,ISNUMBER(FIND(SUBSTITUTE(SUBSTITUTE(UPPER({"URGENTE"})," ",""),":",": "),SUBSTITUTE(SUBSTITUTE(UPPER(S2536)," ",""),":",": "))),0)),"-")</f>
        <v>-</v>
      </c>
      <c r="C2536" s="46" t="str" cm="1">
        <f t="array" ref="C2536">IFERROR(INDEX(#REF!,MATCH(TRUE,ISNUMBER(FIND(SUBSTITUTE(SUBSTITUTE(UPPER(#REF!)," ",""),":",": "),SUBSTITUTE(SUBSTITUTE(UPPER(S2536)," ",""),":",": "))),0)),"Não encontrado")</f>
        <v>Não encontrado</v>
      </c>
      <c r="D2536" s="46" t="str" cm="1">
        <f t="array" ref="D2536">IFERROR(INDEX(#REF!,MATCH(TRUE,ISNUMBER(FIND(SUBSTITUTE(SUBSTITUTE(UPPER(#REF!)," ",""),":",": "),SUBSTITUTE(SUBSTITUTE(UPPER(S2536)," ",""),":",": "))),0)),"Não encontrado")</f>
        <v>Não encontrado</v>
      </c>
      <c r="E2536" s="42" t="str" cm="1">
        <f t="array" ref="E2536">IFERROR(INDEX({"IMPEDITIVO"},MATCH(TRUE,ISNUMBER(FIND(SUBSTITUTE(SUBSTITUTE(UPPER({"IMPEDITIVO"})," ",""),":",": "),SUBSTITUTE(SUBSTITUTE(UPPER(S2536)," ",""),":",": "))),0)),"-")</f>
        <v>-</v>
      </c>
      <c r="K2536" s="49"/>
    </row>
    <row r="2537" spans="1:11" x14ac:dyDescent="0.25">
      <c r="A2537" s="46" t="str" cm="1">
        <f t="array" ref="A2537">IFERROR(INDEX(#REF!,MATCH(TRUE,ISNUMBER(FIND(SUBSTITUTE(SUBSTITUTE(UPPER(#REF!)," ",""),":",": "),SUBSTITUTE(SUBSTITUTE(UPPER(S2537)," ",""),":",": "))),0)),"Undefined")</f>
        <v>Undefined</v>
      </c>
      <c r="B2537" s="42" t="str" cm="1">
        <f t="array" ref="B2537">IFERROR(INDEX({"URGENTE"},MATCH(TRUE,ISNUMBER(FIND(SUBSTITUTE(SUBSTITUTE(UPPER({"URGENTE"})," ",""),":",": "),SUBSTITUTE(SUBSTITUTE(UPPER(S2537)," ",""),":",": "))),0)),"-")</f>
        <v>-</v>
      </c>
      <c r="C2537" s="46" t="str" cm="1">
        <f t="array" ref="C2537">IFERROR(INDEX(#REF!,MATCH(TRUE,ISNUMBER(FIND(SUBSTITUTE(SUBSTITUTE(UPPER(#REF!)," ",""),":",": "),SUBSTITUTE(SUBSTITUTE(UPPER(S2537)," ",""),":",": "))),0)),"Não encontrado")</f>
        <v>Não encontrado</v>
      </c>
      <c r="D2537" s="46" t="str" cm="1">
        <f t="array" ref="D2537">IFERROR(INDEX(#REF!,MATCH(TRUE,ISNUMBER(FIND(SUBSTITUTE(SUBSTITUTE(UPPER(#REF!)," ",""),":",": "),SUBSTITUTE(SUBSTITUTE(UPPER(S2537)," ",""),":",": "))),0)),"Não encontrado")</f>
        <v>Não encontrado</v>
      </c>
      <c r="E2537" s="42" t="str" cm="1">
        <f t="array" ref="E2537">IFERROR(INDEX({"IMPEDITIVO"},MATCH(TRUE,ISNUMBER(FIND(SUBSTITUTE(SUBSTITUTE(UPPER({"IMPEDITIVO"})," ",""),":",": "),SUBSTITUTE(SUBSTITUTE(UPPER(S2537)," ",""),":",": "))),0)),"-")</f>
        <v>-</v>
      </c>
      <c r="K2537" s="49"/>
    </row>
    <row r="2538" spans="1:11" x14ac:dyDescent="0.25">
      <c r="A2538" s="46" t="str" cm="1">
        <f t="array" ref="A2538">IFERROR(INDEX(#REF!,MATCH(TRUE,ISNUMBER(FIND(SUBSTITUTE(SUBSTITUTE(UPPER(#REF!)," ",""),":",": "),SUBSTITUTE(SUBSTITUTE(UPPER(S2538)," ",""),":",": "))),0)),"Undefined")</f>
        <v>Undefined</v>
      </c>
      <c r="B2538" s="42" t="str" cm="1">
        <f t="array" ref="B2538">IFERROR(INDEX({"URGENTE"},MATCH(TRUE,ISNUMBER(FIND(SUBSTITUTE(SUBSTITUTE(UPPER({"URGENTE"})," ",""),":",": "),SUBSTITUTE(SUBSTITUTE(UPPER(S2538)," ",""),":",": "))),0)),"-")</f>
        <v>-</v>
      </c>
      <c r="C2538" s="46" t="str" cm="1">
        <f t="array" ref="C2538">IFERROR(INDEX(#REF!,MATCH(TRUE,ISNUMBER(FIND(SUBSTITUTE(SUBSTITUTE(UPPER(#REF!)," ",""),":",": "),SUBSTITUTE(SUBSTITUTE(UPPER(S2538)," ",""),":",": "))),0)),"Não encontrado")</f>
        <v>Não encontrado</v>
      </c>
      <c r="D2538" s="46" t="str" cm="1">
        <f t="array" ref="D2538">IFERROR(INDEX(#REF!,MATCH(TRUE,ISNUMBER(FIND(SUBSTITUTE(SUBSTITUTE(UPPER(#REF!)," ",""),":",": "),SUBSTITUTE(SUBSTITUTE(UPPER(S2538)," ",""),":",": "))),0)),"Não encontrado")</f>
        <v>Não encontrado</v>
      </c>
      <c r="E2538" s="42" t="str" cm="1">
        <f t="array" ref="E2538">IFERROR(INDEX({"IMPEDITIVO"},MATCH(TRUE,ISNUMBER(FIND(SUBSTITUTE(SUBSTITUTE(UPPER({"IMPEDITIVO"})," ",""),":",": "),SUBSTITUTE(SUBSTITUTE(UPPER(S2538)," ",""),":",": "))),0)),"-")</f>
        <v>-</v>
      </c>
      <c r="K2538" s="49"/>
    </row>
    <row r="2539" spans="1:11" x14ac:dyDescent="0.25">
      <c r="A2539" s="46" t="str" cm="1">
        <f t="array" ref="A2539">IFERROR(INDEX(#REF!,MATCH(TRUE,ISNUMBER(FIND(SUBSTITUTE(SUBSTITUTE(UPPER(#REF!)," ",""),":",": "),SUBSTITUTE(SUBSTITUTE(UPPER(S2539)," ",""),":",": "))),0)),"Undefined")</f>
        <v>Undefined</v>
      </c>
      <c r="B2539" s="42" t="str" cm="1">
        <f t="array" ref="B2539">IFERROR(INDEX({"URGENTE"},MATCH(TRUE,ISNUMBER(FIND(SUBSTITUTE(SUBSTITUTE(UPPER({"URGENTE"})," ",""),":",": "),SUBSTITUTE(SUBSTITUTE(UPPER(S2539)," ",""),":",": "))),0)),"-")</f>
        <v>-</v>
      </c>
      <c r="C2539" s="46" t="str" cm="1">
        <f t="array" ref="C2539">IFERROR(INDEX(#REF!,MATCH(TRUE,ISNUMBER(FIND(SUBSTITUTE(SUBSTITUTE(UPPER(#REF!)," ",""),":",": "),SUBSTITUTE(SUBSTITUTE(UPPER(S2539)," ",""),":",": "))),0)),"Não encontrado")</f>
        <v>Não encontrado</v>
      </c>
      <c r="D2539" s="46" t="str" cm="1">
        <f t="array" ref="D2539">IFERROR(INDEX(#REF!,MATCH(TRUE,ISNUMBER(FIND(SUBSTITUTE(SUBSTITUTE(UPPER(#REF!)," ",""),":",": "),SUBSTITUTE(SUBSTITUTE(UPPER(S2539)," ",""),":",": "))),0)),"Não encontrado")</f>
        <v>Não encontrado</v>
      </c>
      <c r="E2539" s="42" t="str" cm="1">
        <f t="array" ref="E2539">IFERROR(INDEX({"IMPEDITIVO"},MATCH(TRUE,ISNUMBER(FIND(SUBSTITUTE(SUBSTITUTE(UPPER({"IMPEDITIVO"})," ",""),":",": "),SUBSTITUTE(SUBSTITUTE(UPPER(S2539)," ",""),":",": "))),0)),"-")</f>
        <v>-</v>
      </c>
      <c r="K2539" s="49"/>
    </row>
    <row r="2540" spans="1:11" x14ac:dyDescent="0.25">
      <c r="A2540" s="46" t="str" cm="1">
        <f t="array" ref="A2540">IFERROR(INDEX(#REF!,MATCH(TRUE,ISNUMBER(FIND(SUBSTITUTE(SUBSTITUTE(UPPER(#REF!)," ",""),":",": "),SUBSTITUTE(SUBSTITUTE(UPPER(S2540)," ",""),":",": "))),0)),"Undefined")</f>
        <v>Undefined</v>
      </c>
      <c r="B2540" s="42" t="str" cm="1">
        <f t="array" ref="B2540">IFERROR(INDEX({"URGENTE"},MATCH(TRUE,ISNUMBER(FIND(SUBSTITUTE(SUBSTITUTE(UPPER({"URGENTE"})," ",""),":",": "),SUBSTITUTE(SUBSTITUTE(UPPER(S2540)," ",""),":",": "))),0)),"-")</f>
        <v>-</v>
      </c>
      <c r="C2540" s="46" t="str" cm="1">
        <f t="array" ref="C2540">IFERROR(INDEX(#REF!,MATCH(TRUE,ISNUMBER(FIND(SUBSTITUTE(SUBSTITUTE(UPPER(#REF!)," ",""),":",": "),SUBSTITUTE(SUBSTITUTE(UPPER(S2540)," ",""),":",": "))),0)),"Não encontrado")</f>
        <v>Não encontrado</v>
      </c>
      <c r="D2540" s="46" t="str" cm="1">
        <f t="array" ref="D2540">IFERROR(INDEX(#REF!,MATCH(TRUE,ISNUMBER(FIND(SUBSTITUTE(SUBSTITUTE(UPPER(#REF!)," ",""),":",": "),SUBSTITUTE(SUBSTITUTE(UPPER(S2540)," ",""),":",": "))),0)),"Não encontrado")</f>
        <v>Não encontrado</v>
      </c>
      <c r="E2540" s="42" t="str" cm="1">
        <f t="array" ref="E2540">IFERROR(INDEX({"IMPEDITIVO"},MATCH(TRUE,ISNUMBER(FIND(SUBSTITUTE(SUBSTITUTE(UPPER({"IMPEDITIVO"})," ",""),":",": "),SUBSTITUTE(SUBSTITUTE(UPPER(S2540)," ",""),":",": "))),0)),"-")</f>
        <v>-</v>
      </c>
      <c r="K2540" s="49"/>
    </row>
    <row r="2541" spans="1:11" x14ac:dyDescent="0.25">
      <c r="A2541" s="46" t="str" cm="1">
        <f t="array" ref="A2541">IFERROR(INDEX(#REF!,MATCH(TRUE,ISNUMBER(FIND(SUBSTITUTE(SUBSTITUTE(UPPER(#REF!)," ",""),":",": "),SUBSTITUTE(SUBSTITUTE(UPPER(S2541)," ",""),":",": "))),0)),"Undefined")</f>
        <v>Undefined</v>
      </c>
      <c r="B2541" s="42" t="str" cm="1">
        <f t="array" ref="B2541">IFERROR(INDEX({"URGENTE"},MATCH(TRUE,ISNUMBER(FIND(SUBSTITUTE(SUBSTITUTE(UPPER({"URGENTE"})," ",""),":",": "),SUBSTITUTE(SUBSTITUTE(UPPER(S2541)," ",""),":",": "))),0)),"-")</f>
        <v>-</v>
      </c>
      <c r="C2541" s="46" t="str" cm="1">
        <f t="array" ref="C2541">IFERROR(INDEX(#REF!,MATCH(TRUE,ISNUMBER(FIND(SUBSTITUTE(SUBSTITUTE(UPPER(#REF!)," ",""),":",": "),SUBSTITUTE(SUBSTITUTE(UPPER(S2541)," ",""),":",": "))),0)),"Não encontrado")</f>
        <v>Não encontrado</v>
      </c>
      <c r="D2541" s="46" t="str" cm="1">
        <f t="array" ref="D2541">IFERROR(INDEX(#REF!,MATCH(TRUE,ISNUMBER(FIND(SUBSTITUTE(SUBSTITUTE(UPPER(#REF!)," ",""),":",": "),SUBSTITUTE(SUBSTITUTE(UPPER(S2541)," ",""),":",": "))),0)),"Não encontrado")</f>
        <v>Não encontrado</v>
      </c>
      <c r="E2541" s="42" t="str" cm="1">
        <f t="array" ref="E2541">IFERROR(INDEX({"IMPEDITIVO"},MATCH(TRUE,ISNUMBER(FIND(SUBSTITUTE(SUBSTITUTE(UPPER({"IMPEDITIVO"})," ",""),":",": "),SUBSTITUTE(SUBSTITUTE(UPPER(S2541)," ",""),":",": "))),0)),"-")</f>
        <v>-</v>
      </c>
      <c r="K2541" s="49"/>
    </row>
    <row r="2542" spans="1:11" x14ac:dyDescent="0.25">
      <c r="A2542" s="46" t="str" cm="1">
        <f t="array" ref="A2542">IFERROR(INDEX(#REF!,MATCH(TRUE,ISNUMBER(FIND(SUBSTITUTE(SUBSTITUTE(UPPER(#REF!)," ",""),":",": "),SUBSTITUTE(SUBSTITUTE(UPPER(S2542)," ",""),":",": "))),0)),"Undefined")</f>
        <v>Undefined</v>
      </c>
      <c r="B2542" s="42" t="str" cm="1">
        <f t="array" ref="B2542">IFERROR(INDEX({"URGENTE"},MATCH(TRUE,ISNUMBER(FIND(SUBSTITUTE(SUBSTITUTE(UPPER({"URGENTE"})," ",""),":",": "),SUBSTITUTE(SUBSTITUTE(UPPER(S2542)," ",""),":",": "))),0)),"-")</f>
        <v>-</v>
      </c>
      <c r="C2542" s="46" t="str" cm="1">
        <f t="array" ref="C2542">IFERROR(INDEX(#REF!,MATCH(TRUE,ISNUMBER(FIND(SUBSTITUTE(SUBSTITUTE(UPPER(#REF!)," ",""),":",": "),SUBSTITUTE(SUBSTITUTE(UPPER(S2542)," ",""),":",": "))),0)),"Não encontrado")</f>
        <v>Não encontrado</v>
      </c>
      <c r="D2542" s="46" t="str" cm="1">
        <f t="array" ref="D2542">IFERROR(INDEX(#REF!,MATCH(TRUE,ISNUMBER(FIND(SUBSTITUTE(SUBSTITUTE(UPPER(#REF!)," ",""),":",": "),SUBSTITUTE(SUBSTITUTE(UPPER(S2542)," ",""),":",": "))),0)),"Não encontrado")</f>
        <v>Não encontrado</v>
      </c>
      <c r="E2542" s="42" t="str" cm="1">
        <f t="array" ref="E2542">IFERROR(INDEX({"IMPEDITIVO"},MATCH(TRUE,ISNUMBER(FIND(SUBSTITUTE(SUBSTITUTE(UPPER({"IMPEDITIVO"})," ",""),":",": "),SUBSTITUTE(SUBSTITUTE(UPPER(S2542)," ",""),":",": "))),0)),"-")</f>
        <v>-</v>
      </c>
      <c r="K2542" s="49"/>
    </row>
    <row r="2543" spans="1:11" x14ac:dyDescent="0.25">
      <c r="A2543" s="46" t="str" cm="1">
        <f t="array" ref="A2543">IFERROR(INDEX(#REF!,MATCH(TRUE,ISNUMBER(FIND(SUBSTITUTE(SUBSTITUTE(UPPER(#REF!)," ",""),":",": "),SUBSTITUTE(SUBSTITUTE(UPPER(S2543)," ",""),":",": "))),0)),"Undefined")</f>
        <v>Undefined</v>
      </c>
      <c r="B2543" s="42" t="str" cm="1">
        <f t="array" ref="B2543">IFERROR(INDEX({"URGENTE"},MATCH(TRUE,ISNUMBER(FIND(SUBSTITUTE(SUBSTITUTE(UPPER({"URGENTE"})," ",""),":",": "),SUBSTITUTE(SUBSTITUTE(UPPER(S2543)," ",""),":",": "))),0)),"-")</f>
        <v>-</v>
      </c>
      <c r="C2543" s="46" t="str" cm="1">
        <f t="array" ref="C2543">IFERROR(INDEX(#REF!,MATCH(TRUE,ISNUMBER(FIND(SUBSTITUTE(SUBSTITUTE(UPPER(#REF!)," ",""),":",": "),SUBSTITUTE(SUBSTITUTE(UPPER(S2543)," ",""),":",": "))),0)),"Não encontrado")</f>
        <v>Não encontrado</v>
      </c>
      <c r="D2543" s="46" t="str" cm="1">
        <f t="array" ref="D2543">IFERROR(INDEX(#REF!,MATCH(TRUE,ISNUMBER(FIND(SUBSTITUTE(SUBSTITUTE(UPPER(#REF!)," ",""),":",": "),SUBSTITUTE(SUBSTITUTE(UPPER(S2543)," ",""),":",": "))),0)),"Não encontrado")</f>
        <v>Não encontrado</v>
      </c>
      <c r="E2543" s="42" t="str" cm="1">
        <f t="array" ref="E2543">IFERROR(INDEX({"IMPEDITIVO"},MATCH(TRUE,ISNUMBER(FIND(SUBSTITUTE(SUBSTITUTE(UPPER({"IMPEDITIVO"})," ",""),":",": "),SUBSTITUTE(SUBSTITUTE(UPPER(S2543)," ",""),":",": "))),0)),"-")</f>
        <v>-</v>
      </c>
      <c r="K2543" s="49"/>
    </row>
    <row r="2544" spans="1:11" x14ac:dyDescent="0.25">
      <c r="A2544" s="46" t="str" cm="1">
        <f t="array" ref="A2544">IFERROR(INDEX(#REF!,MATCH(TRUE,ISNUMBER(FIND(SUBSTITUTE(SUBSTITUTE(UPPER(#REF!)," ",""),":",": "),SUBSTITUTE(SUBSTITUTE(UPPER(S2544)," ",""),":",": "))),0)),"Undefined")</f>
        <v>Undefined</v>
      </c>
      <c r="B2544" s="42" t="str" cm="1">
        <f t="array" ref="B2544">IFERROR(INDEX({"URGENTE"},MATCH(TRUE,ISNUMBER(FIND(SUBSTITUTE(SUBSTITUTE(UPPER({"URGENTE"})," ",""),":",": "),SUBSTITUTE(SUBSTITUTE(UPPER(S2544)," ",""),":",": "))),0)),"-")</f>
        <v>-</v>
      </c>
      <c r="C2544" s="46" t="str" cm="1">
        <f t="array" ref="C2544">IFERROR(INDEX(#REF!,MATCH(TRUE,ISNUMBER(FIND(SUBSTITUTE(SUBSTITUTE(UPPER(#REF!)," ",""),":",": "),SUBSTITUTE(SUBSTITUTE(UPPER(S2544)," ",""),":",": "))),0)),"Não encontrado")</f>
        <v>Não encontrado</v>
      </c>
      <c r="D2544" s="46" t="str" cm="1">
        <f t="array" ref="D2544">IFERROR(INDEX(#REF!,MATCH(TRUE,ISNUMBER(FIND(SUBSTITUTE(SUBSTITUTE(UPPER(#REF!)," ",""),":",": "),SUBSTITUTE(SUBSTITUTE(UPPER(S2544)," ",""),":",": "))),0)),"Não encontrado")</f>
        <v>Não encontrado</v>
      </c>
      <c r="E2544" s="42" t="str" cm="1">
        <f t="array" ref="E2544">IFERROR(INDEX({"IMPEDITIVO"},MATCH(TRUE,ISNUMBER(FIND(SUBSTITUTE(SUBSTITUTE(UPPER({"IMPEDITIVO"})," ",""),":",": "),SUBSTITUTE(SUBSTITUTE(UPPER(S2544)," ",""),":",": "))),0)),"-")</f>
        <v>-</v>
      </c>
      <c r="K2544" s="49"/>
    </row>
    <row r="2545" spans="1:11" x14ac:dyDescent="0.25">
      <c r="A2545" s="46" t="str" cm="1">
        <f t="array" ref="A2545">IFERROR(INDEX(#REF!,MATCH(TRUE,ISNUMBER(FIND(SUBSTITUTE(SUBSTITUTE(UPPER(#REF!)," ",""),":",": "),SUBSTITUTE(SUBSTITUTE(UPPER(S2545)," ",""),":",": "))),0)),"Undefined")</f>
        <v>Undefined</v>
      </c>
      <c r="B2545" s="42" t="str" cm="1">
        <f t="array" ref="B2545">IFERROR(INDEX({"URGENTE"},MATCH(TRUE,ISNUMBER(FIND(SUBSTITUTE(SUBSTITUTE(UPPER({"URGENTE"})," ",""),":",": "),SUBSTITUTE(SUBSTITUTE(UPPER(S2545)," ",""),":",": "))),0)),"-")</f>
        <v>-</v>
      </c>
      <c r="C2545" s="46" t="str" cm="1">
        <f t="array" ref="C2545">IFERROR(INDEX(#REF!,MATCH(TRUE,ISNUMBER(FIND(SUBSTITUTE(SUBSTITUTE(UPPER(#REF!)," ",""),":",": "),SUBSTITUTE(SUBSTITUTE(UPPER(S2545)," ",""),":",": "))),0)),"Não encontrado")</f>
        <v>Não encontrado</v>
      </c>
      <c r="D2545" s="46" t="str" cm="1">
        <f t="array" ref="D2545">IFERROR(INDEX(#REF!,MATCH(TRUE,ISNUMBER(FIND(SUBSTITUTE(SUBSTITUTE(UPPER(#REF!)," ",""),":",": "),SUBSTITUTE(SUBSTITUTE(UPPER(S2545)," ",""),":",": "))),0)),"Não encontrado")</f>
        <v>Não encontrado</v>
      </c>
      <c r="E2545" s="42" t="str" cm="1">
        <f t="array" ref="E2545">IFERROR(INDEX({"IMPEDITIVO"},MATCH(TRUE,ISNUMBER(FIND(SUBSTITUTE(SUBSTITUTE(UPPER({"IMPEDITIVO"})," ",""),":",": "),SUBSTITUTE(SUBSTITUTE(UPPER(S2545)," ",""),":",": "))),0)),"-")</f>
        <v>-</v>
      </c>
      <c r="K2545" s="49"/>
    </row>
    <row r="2546" spans="1:11" x14ac:dyDescent="0.25">
      <c r="A2546" s="46" t="str" cm="1">
        <f t="array" ref="A2546">IFERROR(INDEX(#REF!,MATCH(TRUE,ISNUMBER(FIND(SUBSTITUTE(SUBSTITUTE(UPPER(#REF!)," ",""),":",": "),SUBSTITUTE(SUBSTITUTE(UPPER(S2546)," ",""),":",": "))),0)),"Undefined")</f>
        <v>Undefined</v>
      </c>
      <c r="B2546" s="42" t="str" cm="1">
        <f t="array" ref="B2546">IFERROR(INDEX({"URGENTE"},MATCH(TRUE,ISNUMBER(FIND(SUBSTITUTE(SUBSTITUTE(UPPER({"URGENTE"})," ",""),":",": "),SUBSTITUTE(SUBSTITUTE(UPPER(S2546)," ",""),":",": "))),0)),"-")</f>
        <v>-</v>
      </c>
      <c r="C2546" s="46" t="str" cm="1">
        <f t="array" ref="C2546">IFERROR(INDEX(#REF!,MATCH(TRUE,ISNUMBER(FIND(SUBSTITUTE(SUBSTITUTE(UPPER(#REF!)," ",""),":",": "),SUBSTITUTE(SUBSTITUTE(UPPER(S2546)," ",""),":",": "))),0)),"Não encontrado")</f>
        <v>Não encontrado</v>
      </c>
      <c r="D2546" s="46" t="str" cm="1">
        <f t="array" ref="D2546">IFERROR(INDEX(#REF!,MATCH(TRUE,ISNUMBER(FIND(SUBSTITUTE(SUBSTITUTE(UPPER(#REF!)," ",""),":",": "),SUBSTITUTE(SUBSTITUTE(UPPER(S2546)," ",""),":",": "))),0)),"Não encontrado")</f>
        <v>Não encontrado</v>
      </c>
      <c r="E2546" s="42" t="str" cm="1">
        <f t="array" ref="E2546">IFERROR(INDEX({"IMPEDITIVO"},MATCH(TRUE,ISNUMBER(FIND(SUBSTITUTE(SUBSTITUTE(UPPER({"IMPEDITIVO"})," ",""),":",": "),SUBSTITUTE(SUBSTITUTE(UPPER(S2546)," ",""),":",": "))),0)),"-")</f>
        <v>-</v>
      </c>
      <c r="K2546" s="49"/>
    </row>
    <row r="2547" spans="1:11" x14ac:dyDescent="0.25">
      <c r="A2547" s="46" t="str" cm="1">
        <f t="array" ref="A2547">IFERROR(INDEX(#REF!,MATCH(TRUE,ISNUMBER(FIND(SUBSTITUTE(SUBSTITUTE(UPPER(#REF!)," ",""),":",": "),SUBSTITUTE(SUBSTITUTE(UPPER(S2547)," ",""),":",": "))),0)),"Undefined")</f>
        <v>Undefined</v>
      </c>
      <c r="B2547" s="42" t="str" cm="1">
        <f t="array" ref="B2547">IFERROR(INDEX({"URGENTE"},MATCH(TRUE,ISNUMBER(FIND(SUBSTITUTE(SUBSTITUTE(UPPER({"URGENTE"})," ",""),":",": "),SUBSTITUTE(SUBSTITUTE(UPPER(S2547)," ",""),":",": "))),0)),"-")</f>
        <v>-</v>
      </c>
      <c r="C2547" s="46" t="str" cm="1">
        <f t="array" ref="C2547">IFERROR(INDEX(#REF!,MATCH(TRUE,ISNUMBER(FIND(SUBSTITUTE(SUBSTITUTE(UPPER(#REF!)," ",""),":",": "),SUBSTITUTE(SUBSTITUTE(UPPER(S2547)," ",""),":",": "))),0)),"Não encontrado")</f>
        <v>Não encontrado</v>
      </c>
      <c r="D2547" s="46" t="str" cm="1">
        <f t="array" ref="D2547">IFERROR(INDEX(#REF!,MATCH(TRUE,ISNUMBER(FIND(SUBSTITUTE(SUBSTITUTE(UPPER(#REF!)," ",""),":",": "),SUBSTITUTE(SUBSTITUTE(UPPER(S2547)," ",""),":",": "))),0)),"Não encontrado")</f>
        <v>Não encontrado</v>
      </c>
      <c r="E2547" s="42" t="str" cm="1">
        <f t="array" ref="E2547">IFERROR(INDEX({"IMPEDITIVO"},MATCH(TRUE,ISNUMBER(FIND(SUBSTITUTE(SUBSTITUTE(UPPER({"IMPEDITIVO"})," ",""),":",": "),SUBSTITUTE(SUBSTITUTE(UPPER(S2547)," ",""),":",": "))),0)),"-")</f>
        <v>-</v>
      </c>
      <c r="K2547" s="49"/>
    </row>
    <row r="2548" spans="1:11" x14ac:dyDescent="0.25">
      <c r="A2548" s="46" t="str" cm="1">
        <f t="array" ref="A2548">IFERROR(INDEX(#REF!,MATCH(TRUE,ISNUMBER(FIND(SUBSTITUTE(SUBSTITUTE(UPPER(#REF!)," ",""),":",": "),SUBSTITUTE(SUBSTITUTE(UPPER(S2548)," ",""),":",": "))),0)),"Undefined")</f>
        <v>Undefined</v>
      </c>
      <c r="B2548" s="42" t="str" cm="1">
        <f t="array" ref="B2548">IFERROR(INDEX({"URGENTE"},MATCH(TRUE,ISNUMBER(FIND(SUBSTITUTE(SUBSTITUTE(UPPER({"URGENTE"})," ",""),":",": "),SUBSTITUTE(SUBSTITUTE(UPPER(S2548)," ",""),":",": "))),0)),"-")</f>
        <v>-</v>
      </c>
      <c r="C2548" s="46" t="str" cm="1">
        <f t="array" ref="C2548">IFERROR(INDEX(#REF!,MATCH(TRUE,ISNUMBER(FIND(SUBSTITUTE(SUBSTITUTE(UPPER(#REF!)," ",""),":",": "),SUBSTITUTE(SUBSTITUTE(UPPER(S2548)," ",""),":",": "))),0)),"Não encontrado")</f>
        <v>Não encontrado</v>
      </c>
      <c r="D2548" s="46" t="str" cm="1">
        <f t="array" ref="D2548">IFERROR(INDEX(#REF!,MATCH(TRUE,ISNUMBER(FIND(SUBSTITUTE(SUBSTITUTE(UPPER(#REF!)," ",""),":",": "),SUBSTITUTE(SUBSTITUTE(UPPER(S2548)," ",""),":",": "))),0)),"Não encontrado")</f>
        <v>Não encontrado</v>
      </c>
      <c r="E2548" s="42" t="str" cm="1">
        <f t="array" ref="E2548">IFERROR(INDEX({"IMPEDITIVO"},MATCH(TRUE,ISNUMBER(FIND(SUBSTITUTE(SUBSTITUTE(UPPER({"IMPEDITIVO"})," ",""),":",": "),SUBSTITUTE(SUBSTITUTE(UPPER(S2548)," ",""),":",": "))),0)),"-")</f>
        <v>-</v>
      </c>
      <c r="K2548" s="49"/>
    </row>
    <row r="2549" spans="1:11" x14ac:dyDescent="0.25">
      <c r="A2549" s="46" t="str" cm="1">
        <f t="array" ref="A2549">IFERROR(INDEX(#REF!,MATCH(TRUE,ISNUMBER(FIND(SUBSTITUTE(SUBSTITUTE(UPPER(#REF!)," ",""),":",": "),SUBSTITUTE(SUBSTITUTE(UPPER(S2549)," ",""),":",": "))),0)),"Undefined")</f>
        <v>Undefined</v>
      </c>
      <c r="B2549" s="42" t="str" cm="1">
        <f t="array" ref="B2549">IFERROR(INDEX({"URGENTE"},MATCH(TRUE,ISNUMBER(FIND(SUBSTITUTE(SUBSTITUTE(UPPER({"URGENTE"})," ",""),":",": "),SUBSTITUTE(SUBSTITUTE(UPPER(S2549)," ",""),":",": "))),0)),"-")</f>
        <v>-</v>
      </c>
      <c r="C2549" s="46" t="str" cm="1">
        <f t="array" ref="C2549">IFERROR(INDEX(#REF!,MATCH(TRUE,ISNUMBER(FIND(SUBSTITUTE(SUBSTITUTE(UPPER(#REF!)," ",""),":",": "),SUBSTITUTE(SUBSTITUTE(UPPER(S2549)," ",""),":",": "))),0)),"Não encontrado")</f>
        <v>Não encontrado</v>
      </c>
      <c r="D2549" s="46" t="str" cm="1">
        <f t="array" ref="D2549">IFERROR(INDEX(#REF!,MATCH(TRUE,ISNUMBER(FIND(SUBSTITUTE(SUBSTITUTE(UPPER(#REF!)," ",""),":",": "),SUBSTITUTE(SUBSTITUTE(UPPER(S2549)," ",""),":",": "))),0)),"Não encontrado")</f>
        <v>Não encontrado</v>
      </c>
      <c r="E2549" s="42" t="str" cm="1">
        <f t="array" ref="E2549">IFERROR(INDEX({"IMPEDITIVO"},MATCH(TRUE,ISNUMBER(FIND(SUBSTITUTE(SUBSTITUTE(UPPER({"IMPEDITIVO"})," ",""),":",": "),SUBSTITUTE(SUBSTITUTE(UPPER(S2549)," ",""),":",": "))),0)),"-")</f>
        <v>-</v>
      </c>
      <c r="K2549" s="49"/>
    </row>
    <row r="2550" spans="1:11" x14ac:dyDescent="0.25">
      <c r="A2550" s="46" t="str" cm="1">
        <f t="array" ref="A2550">IFERROR(INDEX(#REF!,MATCH(TRUE,ISNUMBER(FIND(SUBSTITUTE(SUBSTITUTE(UPPER(#REF!)," ",""),":",": "),SUBSTITUTE(SUBSTITUTE(UPPER(S2550)," ",""),":",": "))),0)),"Undefined")</f>
        <v>Undefined</v>
      </c>
      <c r="B2550" s="42" t="str" cm="1">
        <f t="array" ref="B2550">IFERROR(INDEX({"URGENTE"},MATCH(TRUE,ISNUMBER(FIND(SUBSTITUTE(SUBSTITUTE(UPPER({"URGENTE"})," ",""),":",": "),SUBSTITUTE(SUBSTITUTE(UPPER(S2550)," ",""),":",": "))),0)),"-")</f>
        <v>-</v>
      </c>
      <c r="C2550" s="46" t="str" cm="1">
        <f t="array" ref="C2550">IFERROR(INDEX(#REF!,MATCH(TRUE,ISNUMBER(FIND(SUBSTITUTE(SUBSTITUTE(UPPER(#REF!)," ",""),":",": "),SUBSTITUTE(SUBSTITUTE(UPPER(S2550)," ",""),":",": "))),0)),"Não encontrado")</f>
        <v>Não encontrado</v>
      </c>
      <c r="D2550" s="46" t="str" cm="1">
        <f t="array" ref="D2550">IFERROR(INDEX(#REF!,MATCH(TRUE,ISNUMBER(FIND(SUBSTITUTE(SUBSTITUTE(UPPER(#REF!)," ",""),":",": "),SUBSTITUTE(SUBSTITUTE(UPPER(S2550)," ",""),":",": "))),0)),"Não encontrado")</f>
        <v>Não encontrado</v>
      </c>
      <c r="E2550" s="42" t="str" cm="1">
        <f t="array" ref="E2550">IFERROR(INDEX({"IMPEDITIVO"},MATCH(TRUE,ISNUMBER(FIND(SUBSTITUTE(SUBSTITUTE(UPPER({"IMPEDITIVO"})," ",""),":",": "),SUBSTITUTE(SUBSTITUTE(UPPER(S2550)," ",""),":",": "))),0)),"-")</f>
        <v>-</v>
      </c>
      <c r="K2550" s="49"/>
    </row>
    <row r="2551" spans="1:11" x14ac:dyDescent="0.25">
      <c r="A2551" s="46" t="str" cm="1">
        <f t="array" ref="A2551">IFERROR(INDEX(#REF!,MATCH(TRUE,ISNUMBER(FIND(SUBSTITUTE(SUBSTITUTE(UPPER(#REF!)," ",""),":",": "),SUBSTITUTE(SUBSTITUTE(UPPER(S2551)," ",""),":",": "))),0)),"Undefined")</f>
        <v>Undefined</v>
      </c>
      <c r="B2551" s="42" t="str" cm="1">
        <f t="array" ref="B2551">IFERROR(INDEX({"URGENTE"},MATCH(TRUE,ISNUMBER(FIND(SUBSTITUTE(SUBSTITUTE(UPPER({"URGENTE"})," ",""),":",": "),SUBSTITUTE(SUBSTITUTE(UPPER(S2551)," ",""),":",": "))),0)),"-")</f>
        <v>-</v>
      </c>
      <c r="C2551" s="46" t="str" cm="1">
        <f t="array" ref="C2551">IFERROR(INDEX(#REF!,MATCH(TRUE,ISNUMBER(FIND(SUBSTITUTE(SUBSTITUTE(UPPER(#REF!)," ",""),":",": "),SUBSTITUTE(SUBSTITUTE(UPPER(S2551)," ",""),":",": "))),0)),"Não encontrado")</f>
        <v>Não encontrado</v>
      </c>
      <c r="D2551" s="46" t="str" cm="1">
        <f t="array" ref="D2551">IFERROR(INDEX(#REF!,MATCH(TRUE,ISNUMBER(FIND(SUBSTITUTE(SUBSTITUTE(UPPER(#REF!)," ",""),":",": "),SUBSTITUTE(SUBSTITUTE(UPPER(S2551)," ",""),":",": "))),0)),"Não encontrado")</f>
        <v>Não encontrado</v>
      </c>
      <c r="E2551" s="42" t="str" cm="1">
        <f t="array" ref="E2551">IFERROR(INDEX({"IMPEDITIVO"},MATCH(TRUE,ISNUMBER(FIND(SUBSTITUTE(SUBSTITUTE(UPPER({"IMPEDITIVO"})," ",""),":",": "),SUBSTITUTE(SUBSTITUTE(UPPER(S2551)," ",""),":",": "))),0)),"-")</f>
        <v>-</v>
      </c>
      <c r="K2551" s="49"/>
    </row>
    <row r="2552" spans="1:11" x14ac:dyDescent="0.25">
      <c r="A2552" s="46" t="str" cm="1">
        <f t="array" ref="A2552">IFERROR(INDEX(#REF!,MATCH(TRUE,ISNUMBER(FIND(SUBSTITUTE(SUBSTITUTE(UPPER(#REF!)," ",""),":",": "),SUBSTITUTE(SUBSTITUTE(UPPER(S2552)," ",""),":",": "))),0)),"Undefined")</f>
        <v>Undefined</v>
      </c>
      <c r="B2552" s="42" t="str" cm="1">
        <f t="array" ref="B2552">IFERROR(INDEX({"URGENTE"},MATCH(TRUE,ISNUMBER(FIND(SUBSTITUTE(SUBSTITUTE(UPPER({"URGENTE"})," ",""),":",": "),SUBSTITUTE(SUBSTITUTE(UPPER(S2552)," ",""),":",": "))),0)),"-")</f>
        <v>-</v>
      </c>
      <c r="C2552" s="46" t="str" cm="1">
        <f t="array" ref="C2552">IFERROR(INDEX(#REF!,MATCH(TRUE,ISNUMBER(FIND(SUBSTITUTE(SUBSTITUTE(UPPER(#REF!)," ",""),":",": "),SUBSTITUTE(SUBSTITUTE(UPPER(S2552)," ",""),":",": "))),0)),"Não encontrado")</f>
        <v>Não encontrado</v>
      </c>
      <c r="D2552" s="46" t="str" cm="1">
        <f t="array" ref="D2552">IFERROR(INDEX(#REF!,MATCH(TRUE,ISNUMBER(FIND(SUBSTITUTE(SUBSTITUTE(UPPER(#REF!)," ",""),":",": "),SUBSTITUTE(SUBSTITUTE(UPPER(S2552)," ",""),":",": "))),0)),"Não encontrado")</f>
        <v>Não encontrado</v>
      </c>
      <c r="E2552" s="42" t="str" cm="1">
        <f t="array" ref="E2552">IFERROR(INDEX({"IMPEDITIVO"},MATCH(TRUE,ISNUMBER(FIND(SUBSTITUTE(SUBSTITUTE(UPPER({"IMPEDITIVO"})," ",""),":",": "),SUBSTITUTE(SUBSTITUTE(UPPER(S2552)," ",""),":",": "))),0)),"-")</f>
        <v>-</v>
      </c>
      <c r="K2552" s="49"/>
    </row>
    <row r="2553" spans="1:11" x14ac:dyDescent="0.25">
      <c r="A2553" s="46" t="str" cm="1">
        <f t="array" ref="A2553">IFERROR(INDEX(#REF!,MATCH(TRUE,ISNUMBER(FIND(SUBSTITUTE(SUBSTITUTE(UPPER(#REF!)," ",""),":",": "),SUBSTITUTE(SUBSTITUTE(UPPER(S2553)," ",""),":",": "))),0)),"Undefined")</f>
        <v>Undefined</v>
      </c>
      <c r="B2553" s="42" t="str" cm="1">
        <f t="array" ref="B2553">IFERROR(INDEX({"URGENTE"},MATCH(TRUE,ISNUMBER(FIND(SUBSTITUTE(SUBSTITUTE(UPPER({"URGENTE"})," ",""),":",": "),SUBSTITUTE(SUBSTITUTE(UPPER(S2553)," ",""),":",": "))),0)),"-")</f>
        <v>-</v>
      </c>
      <c r="C2553" s="46" t="str" cm="1">
        <f t="array" ref="C2553">IFERROR(INDEX(#REF!,MATCH(TRUE,ISNUMBER(FIND(SUBSTITUTE(SUBSTITUTE(UPPER(#REF!)," ",""),":",": "),SUBSTITUTE(SUBSTITUTE(UPPER(S2553)," ",""),":",": "))),0)),"Não encontrado")</f>
        <v>Não encontrado</v>
      </c>
      <c r="D2553" s="46" t="str" cm="1">
        <f t="array" ref="D2553">IFERROR(INDEX(#REF!,MATCH(TRUE,ISNUMBER(FIND(SUBSTITUTE(SUBSTITUTE(UPPER(#REF!)," ",""),":",": "),SUBSTITUTE(SUBSTITUTE(UPPER(S2553)," ",""),":",": "))),0)),"Não encontrado")</f>
        <v>Não encontrado</v>
      </c>
      <c r="E2553" s="42" t="str" cm="1">
        <f t="array" ref="E2553">IFERROR(INDEX({"IMPEDITIVO"},MATCH(TRUE,ISNUMBER(FIND(SUBSTITUTE(SUBSTITUTE(UPPER({"IMPEDITIVO"})," ",""),":",": "),SUBSTITUTE(SUBSTITUTE(UPPER(S2553)," ",""),":",": "))),0)),"-")</f>
        <v>-</v>
      </c>
      <c r="K2553" s="49"/>
    </row>
    <row r="2554" spans="1:11" x14ac:dyDescent="0.25">
      <c r="A2554" s="46" t="str" cm="1">
        <f t="array" ref="A2554">IFERROR(INDEX(#REF!,MATCH(TRUE,ISNUMBER(FIND(SUBSTITUTE(SUBSTITUTE(UPPER(#REF!)," ",""),":",": "),SUBSTITUTE(SUBSTITUTE(UPPER(S2554)," ",""),":",": "))),0)),"Undefined")</f>
        <v>Undefined</v>
      </c>
      <c r="B2554" s="42" t="str" cm="1">
        <f t="array" ref="B2554">IFERROR(INDEX({"URGENTE"},MATCH(TRUE,ISNUMBER(FIND(SUBSTITUTE(SUBSTITUTE(UPPER({"URGENTE"})," ",""),":",": "),SUBSTITUTE(SUBSTITUTE(UPPER(S2554)," ",""),":",": "))),0)),"-")</f>
        <v>-</v>
      </c>
      <c r="C2554" s="46" t="str" cm="1">
        <f t="array" ref="C2554">IFERROR(INDEX(#REF!,MATCH(TRUE,ISNUMBER(FIND(SUBSTITUTE(SUBSTITUTE(UPPER(#REF!)," ",""),":",": "),SUBSTITUTE(SUBSTITUTE(UPPER(S2554)," ",""),":",": "))),0)),"Não encontrado")</f>
        <v>Não encontrado</v>
      </c>
      <c r="D2554" s="46" t="str" cm="1">
        <f t="array" ref="D2554">IFERROR(INDEX(#REF!,MATCH(TRUE,ISNUMBER(FIND(SUBSTITUTE(SUBSTITUTE(UPPER(#REF!)," ",""),":",": "),SUBSTITUTE(SUBSTITUTE(UPPER(S2554)," ",""),":",": "))),0)),"Não encontrado")</f>
        <v>Não encontrado</v>
      </c>
      <c r="E2554" s="42" t="str" cm="1">
        <f t="array" ref="E2554">IFERROR(INDEX({"IMPEDITIVO"},MATCH(TRUE,ISNUMBER(FIND(SUBSTITUTE(SUBSTITUTE(UPPER({"IMPEDITIVO"})," ",""),":",": "),SUBSTITUTE(SUBSTITUTE(UPPER(S2554)," ",""),":",": "))),0)),"-")</f>
        <v>-</v>
      </c>
      <c r="K2554" s="49"/>
    </row>
    <row r="2555" spans="1:11" x14ac:dyDescent="0.25">
      <c r="A2555" s="46" t="str" cm="1">
        <f t="array" ref="A2555">IFERROR(INDEX(#REF!,MATCH(TRUE,ISNUMBER(FIND(SUBSTITUTE(SUBSTITUTE(UPPER(#REF!)," ",""),":",": "),SUBSTITUTE(SUBSTITUTE(UPPER(S2555)," ",""),":",": "))),0)),"Undefined")</f>
        <v>Undefined</v>
      </c>
      <c r="B2555" s="42" t="str" cm="1">
        <f t="array" ref="B2555">IFERROR(INDEX({"URGENTE"},MATCH(TRUE,ISNUMBER(FIND(SUBSTITUTE(SUBSTITUTE(UPPER({"URGENTE"})," ",""),":",": "),SUBSTITUTE(SUBSTITUTE(UPPER(S2555)," ",""),":",": "))),0)),"-")</f>
        <v>-</v>
      </c>
      <c r="C2555" s="46" t="str" cm="1">
        <f t="array" ref="C2555">IFERROR(INDEX(#REF!,MATCH(TRUE,ISNUMBER(FIND(SUBSTITUTE(SUBSTITUTE(UPPER(#REF!)," ",""),":",": "),SUBSTITUTE(SUBSTITUTE(UPPER(S2555)," ",""),":",": "))),0)),"Não encontrado")</f>
        <v>Não encontrado</v>
      </c>
      <c r="D2555" s="46" t="str" cm="1">
        <f t="array" ref="D2555">IFERROR(INDEX(#REF!,MATCH(TRUE,ISNUMBER(FIND(SUBSTITUTE(SUBSTITUTE(UPPER(#REF!)," ",""),":",": "),SUBSTITUTE(SUBSTITUTE(UPPER(S2555)," ",""),":",": "))),0)),"Não encontrado")</f>
        <v>Não encontrado</v>
      </c>
      <c r="E2555" s="42" t="str" cm="1">
        <f t="array" ref="E2555">IFERROR(INDEX({"IMPEDITIVO"},MATCH(TRUE,ISNUMBER(FIND(SUBSTITUTE(SUBSTITUTE(UPPER({"IMPEDITIVO"})," ",""),":",": "),SUBSTITUTE(SUBSTITUTE(UPPER(S2555)," ",""),":",": "))),0)),"-")</f>
        <v>-</v>
      </c>
      <c r="K2555" s="49"/>
    </row>
    <row r="2556" spans="1:11" x14ac:dyDescent="0.25">
      <c r="A2556" s="46" t="str" cm="1">
        <f t="array" ref="A2556">IFERROR(INDEX(#REF!,MATCH(TRUE,ISNUMBER(FIND(SUBSTITUTE(SUBSTITUTE(UPPER(#REF!)," ",""),":",": "),SUBSTITUTE(SUBSTITUTE(UPPER(S2556)," ",""),":",": "))),0)),"Undefined")</f>
        <v>Undefined</v>
      </c>
      <c r="B2556" s="42" t="str" cm="1">
        <f t="array" ref="B2556">IFERROR(INDEX({"URGENTE"},MATCH(TRUE,ISNUMBER(FIND(SUBSTITUTE(SUBSTITUTE(UPPER({"URGENTE"})," ",""),":",": "),SUBSTITUTE(SUBSTITUTE(UPPER(S2556)," ",""),":",": "))),0)),"-")</f>
        <v>-</v>
      </c>
      <c r="C2556" s="46" t="str" cm="1">
        <f t="array" ref="C2556">IFERROR(INDEX(#REF!,MATCH(TRUE,ISNUMBER(FIND(SUBSTITUTE(SUBSTITUTE(UPPER(#REF!)," ",""),":",": "),SUBSTITUTE(SUBSTITUTE(UPPER(S2556)," ",""),":",": "))),0)),"Não encontrado")</f>
        <v>Não encontrado</v>
      </c>
      <c r="D2556" s="46" t="str" cm="1">
        <f t="array" ref="D2556">IFERROR(INDEX(#REF!,MATCH(TRUE,ISNUMBER(FIND(SUBSTITUTE(SUBSTITUTE(UPPER(#REF!)," ",""),":",": "),SUBSTITUTE(SUBSTITUTE(UPPER(S2556)," ",""),":",": "))),0)),"Não encontrado")</f>
        <v>Não encontrado</v>
      </c>
      <c r="E2556" s="42" t="str" cm="1">
        <f t="array" ref="E2556">IFERROR(INDEX({"IMPEDITIVO"},MATCH(TRUE,ISNUMBER(FIND(SUBSTITUTE(SUBSTITUTE(UPPER({"IMPEDITIVO"})," ",""),":",": "),SUBSTITUTE(SUBSTITUTE(UPPER(S2556)," ",""),":",": "))),0)),"-")</f>
        <v>-</v>
      </c>
      <c r="K2556" s="49"/>
    </row>
    <row r="2557" spans="1:11" x14ac:dyDescent="0.25">
      <c r="A2557" s="46" t="str" cm="1">
        <f t="array" ref="A2557">IFERROR(INDEX(#REF!,MATCH(TRUE,ISNUMBER(FIND(SUBSTITUTE(SUBSTITUTE(UPPER(#REF!)," ",""),":",": "),SUBSTITUTE(SUBSTITUTE(UPPER(S2557)," ",""),":",": "))),0)),"Undefined")</f>
        <v>Undefined</v>
      </c>
      <c r="B2557" s="42" t="str" cm="1">
        <f t="array" ref="B2557">IFERROR(INDEX({"URGENTE"},MATCH(TRUE,ISNUMBER(FIND(SUBSTITUTE(SUBSTITUTE(UPPER({"URGENTE"})," ",""),":",": "),SUBSTITUTE(SUBSTITUTE(UPPER(S2557)," ",""),":",": "))),0)),"-")</f>
        <v>-</v>
      </c>
      <c r="C2557" s="46" t="str" cm="1">
        <f t="array" ref="C2557">IFERROR(INDEX(#REF!,MATCH(TRUE,ISNUMBER(FIND(SUBSTITUTE(SUBSTITUTE(UPPER(#REF!)," ",""),":",": "),SUBSTITUTE(SUBSTITUTE(UPPER(S2557)," ",""),":",": "))),0)),"Não encontrado")</f>
        <v>Não encontrado</v>
      </c>
      <c r="D2557" s="46" t="str" cm="1">
        <f t="array" ref="D2557">IFERROR(INDEX(#REF!,MATCH(TRUE,ISNUMBER(FIND(SUBSTITUTE(SUBSTITUTE(UPPER(#REF!)," ",""),":",": "),SUBSTITUTE(SUBSTITUTE(UPPER(S2557)," ",""),":",": "))),0)),"Não encontrado")</f>
        <v>Não encontrado</v>
      </c>
      <c r="E2557" s="42" t="str" cm="1">
        <f t="array" ref="E2557">IFERROR(INDEX({"IMPEDITIVO"},MATCH(TRUE,ISNUMBER(FIND(SUBSTITUTE(SUBSTITUTE(UPPER({"IMPEDITIVO"})," ",""),":",": "),SUBSTITUTE(SUBSTITUTE(UPPER(S2557)," ",""),":",": "))),0)),"-")</f>
        <v>-</v>
      </c>
      <c r="K2557" s="49"/>
    </row>
    <row r="2558" spans="1:11" x14ac:dyDescent="0.25">
      <c r="A2558" s="46" t="str" cm="1">
        <f t="array" ref="A2558">IFERROR(INDEX(#REF!,MATCH(TRUE,ISNUMBER(FIND(SUBSTITUTE(SUBSTITUTE(UPPER(#REF!)," ",""),":",": "),SUBSTITUTE(SUBSTITUTE(UPPER(S2558)," ",""),":",": "))),0)),"Undefined")</f>
        <v>Undefined</v>
      </c>
      <c r="B2558" s="42" t="str" cm="1">
        <f t="array" ref="B2558">IFERROR(INDEX({"URGENTE"},MATCH(TRUE,ISNUMBER(FIND(SUBSTITUTE(SUBSTITUTE(UPPER({"URGENTE"})," ",""),":",": "),SUBSTITUTE(SUBSTITUTE(UPPER(S2558)," ",""),":",": "))),0)),"-")</f>
        <v>-</v>
      </c>
      <c r="C2558" s="46" t="str" cm="1">
        <f t="array" ref="C2558">IFERROR(INDEX(#REF!,MATCH(TRUE,ISNUMBER(FIND(SUBSTITUTE(SUBSTITUTE(UPPER(#REF!)," ",""),":",": "),SUBSTITUTE(SUBSTITUTE(UPPER(S2558)," ",""),":",": "))),0)),"Não encontrado")</f>
        <v>Não encontrado</v>
      </c>
      <c r="D2558" s="46" t="str" cm="1">
        <f t="array" ref="D2558">IFERROR(INDEX(#REF!,MATCH(TRUE,ISNUMBER(FIND(SUBSTITUTE(SUBSTITUTE(UPPER(#REF!)," ",""),":",": "),SUBSTITUTE(SUBSTITUTE(UPPER(S2558)," ",""),":",": "))),0)),"Não encontrado")</f>
        <v>Não encontrado</v>
      </c>
      <c r="E2558" s="42" t="str" cm="1">
        <f t="array" ref="E2558">IFERROR(INDEX({"IMPEDITIVO"},MATCH(TRUE,ISNUMBER(FIND(SUBSTITUTE(SUBSTITUTE(UPPER({"IMPEDITIVO"})," ",""),":",": "),SUBSTITUTE(SUBSTITUTE(UPPER(S2558)," ",""),":",": "))),0)),"-")</f>
        <v>-</v>
      </c>
      <c r="K2558" s="49"/>
    </row>
    <row r="2559" spans="1:11" x14ac:dyDescent="0.25">
      <c r="A2559" s="46" t="str" cm="1">
        <f t="array" ref="A2559">IFERROR(INDEX(#REF!,MATCH(TRUE,ISNUMBER(FIND(SUBSTITUTE(SUBSTITUTE(UPPER(#REF!)," ",""),":",": "),SUBSTITUTE(SUBSTITUTE(UPPER(S2559)," ",""),":",": "))),0)),"Undefined")</f>
        <v>Undefined</v>
      </c>
      <c r="B2559" s="42" t="str" cm="1">
        <f t="array" ref="B2559">IFERROR(INDEX({"URGENTE"},MATCH(TRUE,ISNUMBER(FIND(SUBSTITUTE(SUBSTITUTE(UPPER({"URGENTE"})," ",""),":",": "),SUBSTITUTE(SUBSTITUTE(UPPER(S2559)," ",""),":",": "))),0)),"-")</f>
        <v>-</v>
      </c>
      <c r="C2559" s="46" t="str" cm="1">
        <f t="array" ref="C2559">IFERROR(INDEX(#REF!,MATCH(TRUE,ISNUMBER(FIND(SUBSTITUTE(SUBSTITUTE(UPPER(#REF!)," ",""),":",": "),SUBSTITUTE(SUBSTITUTE(UPPER(S2559)," ",""),":",": "))),0)),"Não encontrado")</f>
        <v>Não encontrado</v>
      </c>
      <c r="D2559" s="46" t="str" cm="1">
        <f t="array" ref="D2559">IFERROR(INDEX(#REF!,MATCH(TRUE,ISNUMBER(FIND(SUBSTITUTE(SUBSTITUTE(UPPER(#REF!)," ",""),":",": "),SUBSTITUTE(SUBSTITUTE(UPPER(S2559)," ",""),":",": "))),0)),"Não encontrado")</f>
        <v>Não encontrado</v>
      </c>
      <c r="E2559" s="42" t="str" cm="1">
        <f t="array" ref="E2559">IFERROR(INDEX({"IMPEDITIVO"},MATCH(TRUE,ISNUMBER(FIND(SUBSTITUTE(SUBSTITUTE(UPPER({"IMPEDITIVO"})," ",""),":",": "),SUBSTITUTE(SUBSTITUTE(UPPER(S2559)," ",""),":",": "))),0)),"-")</f>
        <v>-</v>
      </c>
      <c r="K2559" s="49"/>
    </row>
    <row r="2560" spans="1:11" x14ac:dyDescent="0.25">
      <c r="A2560" s="46" t="str" cm="1">
        <f t="array" ref="A2560">IFERROR(INDEX(#REF!,MATCH(TRUE,ISNUMBER(FIND(SUBSTITUTE(SUBSTITUTE(UPPER(#REF!)," ",""),":",": "),SUBSTITUTE(SUBSTITUTE(UPPER(S2560)," ",""),":",": "))),0)),"Undefined")</f>
        <v>Undefined</v>
      </c>
      <c r="B2560" s="42" t="str" cm="1">
        <f t="array" ref="B2560">IFERROR(INDEX({"URGENTE"},MATCH(TRUE,ISNUMBER(FIND(SUBSTITUTE(SUBSTITUTE(UPPER({"URGENTE"})," ",""),":",": "),SUBSTITUTE(SUBSTITUTE(UPPER(S2560)," ",""),":",": "))),0)),"-")</f>
        <v>-</v>
      </c>
      <c r="C2560" s="46" t="str" cm="1">
        <f t="array" ref="C2560">IFERROR(INDEX(#REF!,MATCH(TRUE,ISNUMBER(FIND(SUBSTITUTE(SUBSTITUTE(UPPER(#REF!)," ",""),":",": "),SUBSTITUTE(SUBSTITUTE(UPPER(S2560)," ",""),":",": "))),0)),"Não encontrado")</f>
        <v>Não encontrado</v>
      </c>
      <c r="D2560" s="46" t="str" cm="1">
        <f t="array" ref="D2560">IFERROR(INDEX(#REF!,MATCH(TRUE,ISNUMBER(FIND(SUBSTITUTE(SUBSTITUTE(UPPER(#REF!)," ",""),":",": "),SUBSTITUTE(SUBSTITUTE(UPPER(S2560)," ",""),":",": "))),0)),"Não encontrado")</f>
        <v>Não encontrado</v>
      </c>
      <c r="E2560" s="42" t="str" cm="1">
        <f t="array" ref="E2560">IFERROR(INDEX({"IMPEDITIVO"},MATCH(TRUE,ISNUMBER(FIND(SUBSTITUTE(SUBSTITUTE(UPPER({"IMPEDITIVO"})," ",""),":",": "),SUBSTITUTE(SUBSTITUTE(UPPER(S2560)," ",""),":",": "))),0)),"-")</f>
        <v>-</v>
      </c>
      <c r="K2560" s="49"/>
    </row>
    <row r="2561" spans="1:11" x14ac:dyDescent="0.25">
      <c r="A2561" s="46" t="str" cm="1">
        <f t="array" ref="A2561">IFERROR(INDEX(#REF!,MATCH(TRUE,ISNUMBER(FIND(SUBSTITUTE(SUBSTITUTE(UPPER(#REF!)," ",""),":",": "),SUBSTITUTE(SUBSTITUTE(UPPER(S2561)," ",""),":",": "))),0)),"Undefined")</f>
        <v>Undefined</v>
      </c>
      <c r="B2561" s="42" t="str" cm="1">
        <f t="array" ref="B2561">IFERROR(INDEX({"URGENTE"},MATCH(TRUE,ISNUMBER(FIND(SUBSTITUTE(SUBSTITUTE(UPPER({"URGENTE"})," ",""),":",": "),SUBSTITUTE(SUBSTITUTE(UPPER(S2561)," ",""),":",": "))),0)),"-")</f>
        <v>-</v>
      </c>
      <c r="C2561" s="46" t="str" cm="1">
        <f t="array" ref="C2561">IFERROR(INDEX(#REF!,MATCH(TRUE,ISNUMBER(FIND(SUBSTITUTE(SUBSTITUTE(UPPER(#REF!)," ",""),":",": "),SUBSTITUTE(SUBSTITUTE(UPPER(S2561)," ",""),":",": "))),0)),"Não encontrado")</f>
        <v>Não encontrado</v>
      </c>
      <c r="D2561" s="46" t="str" cm="1">
        <f t="array" ref="D2561">IFERROR(INDEX(#REF!,MATCH(TRUE,ISNUMBER(FIND(SUBSTITUTE(SUBSTITUTE(UPPER(#REF!)," ",""),":",": "),SUBSTITUTE(SUBSTITUTE(UPPER(S2561)," ",""),":",": "))),0)),"Não encontrado")</f>
        <v>Não encontrado</v>
      </c>
      <c r="E2561" s="42" t="str" cm="1">
        <f t="array" ref="E2561">IFERROR(INDEX({"IMPEDITIVO"},MATCH(TRUE,ISNUMBER(FIND(SUBSTITUTE(SUBSTITUTE(UPPER({"IMPEDITIVO"})," ",""),":",": "),SUBSTITUTE(SUBSTITUTE(UPPER(S2561)," ",""),":",": "))),0)),"-")</f>
        <v>-</v>
      </c>
      <c r="K2561" s="49"/>
    </row>
    <row r="2562" spans="1:11" x14ac:dyDescent="0.25">
      <c r="A2562" s="46" t="str" cm="1">
        <f t="array" ref="A2562">IFERROR(INDEX(#REF!,MATCH(TRUE,ISNUMBER(FIND(SUBSTITUTE(SUBSTITUTE(UPPER(#REF!)," ",""),":",": "),SUBSTITUTE(SUBSTITUTE(UPPER(S2562)," ",""),":",": "))),0)),"Undefined")</f>
        <v>Undefined</v>
      </c>
      <c r="B2562" s="42" t="str" cm="1">
        <f t="array" ref="B2562">IFERROR(INDEX({"URGENTE"},MATCH(TRUE,ISNUMBER(FIND(SUBSTITUTE(SUBSTITUTE(UPPER({"URGENTE"})," ",""),":",": "),SUBSTITUTE(SUBSTITUTE(UPPER(S2562)," ",""),":",": "))),0)),"-")</f>
        <v>-</v>
      </c>
      <c r="C2562" s="46" t="str" cm="1">
        <f t="array" ref="C2562">IFERROR(INDEX(#REF!,MATCH(TRUE,ISNUMBER(FIND(SUBSTITUTE(SUBSTITUTE(UPPER(#REF!)," ",""),":",": "),SUBSTITUTE(SUBSTITUTE(UPPER(S2562)," ",""),":",": "))),0)),"Não encontrado")</f>
        <v>Não encontrado</v>
      </c>
      <c r="D2562" s="46" t="str" cm="1">
        <f t="array" ref="D2562">IFERROR(INDEX(#REF!,MATCH(TRUE,ISNUMBER(FIND(SUBSTITUTE(SUBSTITUTE(UPPER(#REF!)," ",""),":",": "),SUBSTITUTE(SUBSTITUTE(UPPER(S2562)," ",""),":",": "))),0)),"Não encontrado")</f>
        <v>Não encontrado</v>
      </c>
      <c r="E2562" s="42" t="str" cm="1">
        <f t="array" ref="E2562">IFERROR(INDEX({"IMPEDITIVO"},MATCH(TRUE,ISNUMBER(FIND(SUBSTITUTE(SUBSTITUTE(UPPER({"IMPEDITIVO"})," ",""),":",": "),SUBSTITUTE(SUBSTITUTE(UPPER(S2562)," ",""),":",": "))),0)),"-")</f>
        <v>-</v>
      </c>
      <c r="K2562" s="49"/>
    </row>
    <row r="2563" spans="1:11" x14ac:dyDescent="0.25">
      <c r="A2563" s="46" t="str" cm="1">
        <f t="array" ref="A2563">IFERROR(INDEX(#REF!,MATCH(TRUE,ISNUMBER(FIND(SUBSTITUTE(SUBSTITUTE(UPPER(#REF!)," ",""),":",": "),SUBSTITUTE(SUBSTITUTE(UPPER(S2563)," ",""),":",": "))),0)),"Undefined")</f>
        <v>Undefined</v>
      </c>
      <c r="B2563" s="42" t="str" cm="1">
        <f t="array" ref="B2563">IFERROR(INDEX({"URGENTE"},MATCH(TRUE,ISNUMBER(FIND(SUBSTITUTE(SUBSTITUTE(UPPER({"URGENTE"})," ",""),":",": "),SUBSTITUTE(SUBSTITUTE(UPPER(S2563)," ",""),":",": "))),0)),"-")</f>
        <v>-</v>
      </c>
      <c r="C2563" s="46" t="str" cm="1">
        <f t="array" ref="C2563">IFERROR(INDEX(#REF!,MATCH(TRUE,ISNUMBER(FIND(SUBSTITUTE(SUBSTITUTE(UPPER(#REF!)," ",""),":",": "),SUBSTITUTE(SUBSTITUTE(UPPER(S2563)," ",""),":",": "))),0)),"Não encontrado")</f>
        <v>Não encontrado</v>
      </c>
      <c r="D2563" s="46" t="str" cm="1">
        <f t="array" ref="D2563">IFERROR(INDEX(#REF!,MATCH(TRUE,ISNUMBER(FIND(SUBSTITUTE(SUBSTITUTE(UPPER(#REF!)," ",""),":",": "),SUBSTITUTE(SUBSTITUTE(UPPER(S2563)," ",""),":",": "))),0)),"Não encontrado")</f>
        <v>Não encontrado</v>
      </c>
      <c r="E2563" s="42" t="str" cm="1">
        <f t="array" ref="E2563">IFERROR(INDEX({"IMPEDITIVO"},MATCH(TRUE,ISNUMBER(FIND(SUBSTITUTE(SUBSTITUTE(UPPER({"IMPEDITIVO"})," ",""),":",": "),SUBSTITUTE(SUBSTITUTE(UPPER(S2563)," ",""),":",": "))),0)),"-")</f>
        <v>-</v>
      </c>
      <c r="K2563" s="49"/>
    </row>
    <row r="2564" spans="1:11" x14ac:dyDescent="0.25">
      <c r="A2564" s="46" t="str" cm="1">
        <f t="array" ref="A2564">IFERROR(INDEX(#REF!,MATCH(TRUE,ISNUMBER(FIND(SUBSTITUTE(SUBSTITUTE(UPPER(#REF!)," ",""),":",": "),SUBSTITUTE(SUBSTITUTE(UPPER(S2564)," ",""),":",": "))),0)),"Undefined")</f>
        <v>Undefined</v>
      </c>
      <c r="B2564" s="42" t="str" cm="1">
        <f t="array" ref="B2564">IFERROR(INDEX({"URGENTE"},MATCH(TRUE,ISNUMBER(FIND(SUBSTITUTE(SUBSTITUTE(UPPER({"URGENTE"})," ",""),":",": "),SUBSTITUTE(SUBSTITUTE(UPPER(S2564)," ",""),":",": "))),0)),"-")</f>
        <v>-</v>
      </c>
      <c r="C2564" s="46" t="str" cm="1">
        <f t="array" ref="C2564">IFERROR(INDEX(#REF!,MATCH(TRUE,ISNUMBER(FIND(SUBSTITUTE(SUBSTITUTE(UPPER(#REF!)," ",""),":",": "),SUBSTITUTE(SUBSTITUTE(UPPER(S2564)," ",""),":",": "))),0)),"Não encontrado")</f>
        <v>Não encontrado</v>
      </c>
      <c r="D2564" s="46" t="str" cm="1">
        <f t="array" ref="D2564">IFERROR(INDEX(#REF!,MATCH(TRUE,ISNUMBER(FIND(SUBSTITUTE(SUBSTITUTE(UPPER(#REF!)," ",""),":",": "),SUBSTITUTE(SUBSTITUTE(UPPER(S2564)," ",""),":",": "))),0)),"Não encontrado")</f>
        <v>Não encontrado</v>
      </c>
      <c r="E2564" s="42" t="str" cm="1">
        <f t="array" ref="E2564">IFERROR(INDEX({"IMPEDITIVO"},MATCH(TRUE,ISNUMBER(FIND(SUBSTITUTE(SUBSTITUTE(UPPER({"IMPEDITIVO"})," ",""),":",": "),SUBSTITUTE(SUBSTITUTE(UPPER(S2564)," ",""),":",": "))),0)),"-")</f>
        <v>-</v>
      </c>
      <c r="K2564" s="49"/>
    </row>
    <row r="2565" spans="1:11" x14ac:dyDescent="0.25">
      <c r="A2565" s="46" t="str" cm="1">
        <f t="array" ref="A2565">IFERROR(INDEX(#REF!,MATCH(TRUE,ISNUMBER(FIND(SUBSTITUTE(SUBSTITUTE(UPPER(#REF!)," ",""),":",": "),SUBSTITUTE(SUBSTITUTE(UPPER(S2565)," ",""),":",": "))),0)),"Undefined")</f>
        <v>Undefined</v>
      </c>
      <c r="B2565" s="42" t="str" cm="1">
        <f t="array" ref="B2565">IFERROR(INDEX({"URGENTE"},MATCH(TRUE,ISNUMBER(FIND(SUBSTITUTE(SUBSTITUTE(UPPER({"URGENTE"})," ",""),":",": "),SUBSTITUTE(SUBSTITUTE(UPPER(S2565)," ",""),":",": "))),0)),"-")</f>
        <v>-</v>
      </c>
      <c r="C2565" s="46" t="str" cm="1">
        <f t="array" ref="C2565">IFERROR(INDEX(#REF!,MATCH(TRUE,ISNUMBER(FIND(SUBSTITUTE(SUBSTITUTE(UPPER(#REF!)," ",""),":",": "),SUBSTITUTE(SUBSTITUTE(UPPER(S2565)," ",""),":",": "))),0)),"Não encontrado")</f>
        <v>Não encontrado</v>
      </c>
      <c r="D2565" s="46" t="str" cm="1">
        <f t="array" ref="D2565">IFERROR(INDEX(#REF!,MATCH(TRUE,ISNUMBER(FIND(SUBSTITUTE(SUBSTITUTE(UPPER(#REF!)," ",""),":",": "),SUBSTITUTE(SUBSTITUTE(UPPER(S2565)," ",""),":",": "))),0)),"Não encontrado")</f>
        <v>Não encontrado</v>
      </c>
      <c r="E2565" s="42" t="str" cm="1">
        <f t="array" ref="E2565">IFERROR(INDEX({"IMPEDITIVO"},MATCH(TRUE,ISNUMBER(FIND(SUBSTITUTE(SUBSTITUTE(UPPER({"IMPEDITIVO"})," ",""),":",": "),SUBSTITUTE(SUBSTITUTE(UPPER(S2565)," ",""),":",": "))),0)),"-")</f>
        <v>-</v>
      </c>
      <c r="K2565" s="49"/>
    </row>
    <row r="2566" spans="1:11" x14ac:dyDescent="0.25">
      <c r="A2566" s="46" t="str" cm="1">
        <f t="array" ref="A2566">IFERROR(INDEX(#REF!,MATCH(TRUE,ISNUMBER(FIND(SUBSTITUTE(SUBSTITUTE(UPPER(#REF!)," ",""),":",": "),SUBSTITUTE(SUBSTITUTE(UPPER(S2566)," ",""),":",": "))),0)),"Undefined")</f>
        <v>Undefined</v>
      </c>
      <c r="B2566" s="42" t="str" cm="1">
        <f t="array" ref="B2566">IFERROR(INDEX({"URGENTE"},MATCH(TRUE,ISNUMBER(FIND(SUBSTITUTE(SUBSTITUTE(UPPER({"URGENTE"})," ",""),":",": "),SUBSTITUTE(SUBSTITUTE(UPPER(S2566)," ",""),":",": "))),0)),"-")</f>
        <v>-</v>
      </c>
      <c r="C2566" s="46" t="str" cm="1">
        <f t="array" ref="C2566">IFERROR(INDEX(#REF!,MATCH(TRUE,ISNUMBER(FIND(SUBSTITUTE(SUBSTITUTE(UPPER(#REF!)," ",""),":",": "),SUBSTITUTE(SUBSTITUTE(UPPER(S2566)," ",""),":",": "))),0)),"Não encontrado")</f>
        <v>Não encontrado</v>
      </c>
      <c r="D2566" s="46" t="str" cm="1">
        <f t="array" ref="D2566">IFERROR(INDEX(#REF!,MATCH(TRUE,ISNUMBER(FIND(SUBSTITUTE(SUBSTITUTE(UPPER(#REF!)," ",""),":",": "),SUBSTITUTE(SUBSTITUTE(UPPER(S2566)," ",""),":",": "))),0)),"Não encontrado")</f>
        <v>Não encontrado</v>
      </c>
      <c r="E2566" s="42" t="str" cm="1">
        <f t="array" ref="E2566">IFERROR(INDEX({"IMPEDITIVO"},MATCH(TRUE,ISNUMBER(FIND(SUBSTITUTE(SUBSTITUTE(UPPER({"IMPEDITIVO"})," ",""),":",": "),SUBSTITUTE(SUBSTITUTE(UPPER(S2566)," ",""),":",": "))),0)),"-")</f>
        <v>-</v>
      </c>
      <c r="K2566" s="49"/>
    </row>
    <row r="2567" spans="1:11" x14ac:dyDescent="0.25">
      <c r="A2567" s="46" t="str" cm="1">
        <f t="array" ref="A2567">IFERROR(INDEX(#REF!,MATCH(TRUE,ISNUMBER(FIND(SUBSTITUTE(SUBSTITUTE(UPPER(#REF!)," ",""),":",": "),SUBSTITUTE(SUBSTITUTE(UPPER(S2567)," ",""),":",": "))),0)),"Undefined")</f>
        <v>Undefined</v>
      </c>
      <c r="B2567" s="42" t="str" cm="1">
        <f t="array" ref="B2567">IFERROR(INDEX({"URGENTE"},MATCH(TRUE,ISNUMBER(FIND(SUBSTITUTE(SUBSTITUTE(UPPER({"URGENTE"})," ",""),":",": "),SUBSTITUTE(SUBSTITUTE(UPPER(S2567)," ",""),":",": "))),0)),"-")</f>
        <v>-</v>
      </c>
      <c r="C2567" s="46" t="str" cm="1">
        <f t="array" ref="C2567">IFERROR(INDEX(#REF!,MATCH(TRUE,ISNUMBER(FIND(SUBSTITUTE(SUBSTITUTE(UPPER(#REF!)," ",""),":",": "),SUBSTITUTE(SUBSTITUTE(UPPER(S2567)," ",""),":",": "))),0)),"Não encontrado")</f>
        <v>Não encontrado</v>
      </c>
      <c r="D2567" s="46" t="str" cm="1">
        <f t="array" ref="D2567">IFERROR(INDEX(#REF!,MATCH(TRUE,ISNUMBER(FIND(SUBSTITUTE(SUBSTITUTE(UPPER(#REF!)," ",""),":",": "),SUBSTITUTE(SUBSTITUTE(UPPER(S2567)," ",""),":",": "))),0)),"Não encontrado")</f>
        <v>Não encontrado</v>
      </c>
      <c r="E2567" s="42" t="str" cm="1">
        <f t="array" ref="E2567">IFERROR(INDEX({"IMPEDITIVO"},MATCH(TRUE,ISNUMBER(FIND(SUBSTITUTE(SUBSTITUTE(UPPER({"IMPEDITIVO"})," ",""),":",": "),SUBSTITUTE(SUBSTITUTE(UPPER(S2567)," ",""),":",": "))),0)),"-")</f>
        <v>-</v>
      </c>
      <c r="K2567" s="49"/>
    </row>
    <row r="2568" spans="1:11" x14ac:dyDescent="0.25">
      <c r="A2568" s="46" t="str" cm="1">
        <f t="array" ref="A2568">IFERROR(INDEX(#REF!,MATCH(TRUE,ISNUMBER(FIND(SUBSTITUTE(SUBSTITUTE(UPPER(#REF!)," ",""),":",": "),SUBSTITUTE(SUBSTITUTE(UPPER(S2568)," ",""),":",": "))),0)),"Undefined")</f>
        <v>Undefined</v>
      </c>
      <c r="B2568" s="42" t="str" cm="1">
        <f t="array" ref="B2568">IFERROR(INDEX({"URGENTE"},MATCH(TRUE,ISNUMBER(FIND(SUBSTITUTE(SUBSTITUTE(UPPER({"URGENTE"})," ",""),":",": "),SUBSTITUTE(SUBSTITUTE(UPPER(S2568)," ",""),":",": "))),0)),"-")</f>
        <v>-</v>
      </c>
      <c r="C2568" s="46" t="str" cm="1">
        <f t="array" ref="C2568">IFERROR(INDEX(#REF!,MATCH(TRUE,ISNUMBER(FIND(SUBSTITUTE(SUBSTITUTE(UPPER(#REF!)," ",""),":",": "),SUBSTITUTE(SUBSTITUTE(UPPER(S2568)," ",""),":",": "))),0)),"Não encontrado")</f>
        <v>Não encontrado</v>
      </c>
      <c r="D2568" s="46" t="str" cm="1">
        <f t="array" ref="D2568">IFERROR(INDEX(#REF!,MATCH(TRUE,ISNUMBER(FIND(SUBSTITUTE(SUBSTITUTE(UPPER(#REF!)," ",""),":",": "),SUBSTITUTE(SUBSTITUTE(UPPER(S2568)," ",""),":",": "))),0)),"Não encontrado")</f>
        <v>Não encontrado</v>
      </c>
      <c r="E2568" s="42" t="str" cm="1">
        <f t="array" ref="E2568">IFERROR(INDEX({"IMPEDITIVO"},MATCH(TRUE,ISNUMBER(FIND(SUBSTITUTE(SUBSTITUTE(UPPER({"IMPEDITIVO"})," ",""),":",": "),SUBSTITUTE(SUBSTITUTE(UPPER(S2568)," ",""),":",": "))),0)),"-")</f>
        <v>-</v>
      </c>
      <c r="K2568" s="49"/>
    </row>
    <row r="2569" spans="1:11" x14ac:dyDescent="0.25">
      <c r="A2569" s="46" t="str" cm="1">
        <f t="array" ref="A2569">IFERROR(INDEX(#REF!,MATCH(TRUE,ISNUMBER(FIND(SUBSTITUTE(SUBSTITUTE(UPPER(#REF!)," ",""),":",": "),SUBSTITUTE(SUBSTITUTE(UPPER(S2569)," ",""),":",": "))),0)),"Undefined")</f>
        <v>Undefined</v>
      </c>
      <c r="B2569" s="42" t="str" cm="1">
        <f t="array" ref="B2569">IFERROR(INDEX({"URGENTE"},MATCH(TRUE,ISNUMBER(FIND(SUBSTITUTE(SUBSTITUTE(UPPER({"URGENTE"})," ",""),":",": "),SUBSTITUTE(SUBSTITUTE(UPPER(S2569)," ",""),":",": "))),0)),"-")</f>
        <v>-</v>
      </c>
      <c r="C2569" s="46" t="str" cm="1">
        <f t="array" ref="C2569">IFERROR(INDEX(#REF!,MATCH(TRUE,ISNUMBER(FIND(SUBSTITUTE(SUBSTITUTE(UPPER(#REF!)," ",""),":",": "),SUBSTITUTE(SUBSTITUTE(UPPER(S2569)," ",""),":",": "))),0)),"Não encontrado")</f>
        <v>Não encontrado</v>
      </c>
      <c r="D2569" s="46" t="str" cm="1">
        <f t="array" ref="D2569">IFERROR(INDEX(#REF!,MATCH(TRUE,ISNUMBER(FIND(SUBSTITUTE(SUBSTITUTE(UPPER(#REF!)," ",""),":",": "),SUBSTITUTE(SUBSTITUTE(UPPER(S2569)," ",""),":",": "))),0)),"Não encontrado")</f>
        <v>Não encontrado</v>
      </c>
      <c r="E2569" s="42" t="str" cm="1">
        <f t="array" ref="E2569">IFERROR(INDEX({"IMPEDITIVO"},MATCH(TRUE,ISNUMBER(FIND(SUBSTITUTE(SUBSTITUTE(UPPER({"IMPEDITIVO"})," ",""),":",": "),SUBSTITUTE(SUBSTITUTE(UPPER(S2569)," ",""),":",": "))),0)),"-")</f>
        <v>-</v>
      </c>
      <c r="K2569" s="49"/>
    </row>
    <row r="2570" spans="1:11" x14ac:dyDescent="0.25">
      <c r="A2570" s="46" t="str" cm="1">
        <f t="array" ref="A2570">IFERROR(INDEX(#REF!,MATCH(TRUE,ISNUMBER(FIND(SUBSTITUTE(SUBSTITUTE(UPPER(#REF!)," ",""),":",": "),SUBSTITUTE(SUBSTITUTE(UPPER(S2570)," ",""),":",": "))),0)),"Undefined")</f>
        <v>Undefined</v>
      </c>
      <c r="B2570" s="42" t="str" cm="1">
        <f t="array" ref="B2570">IFERROR(INDEX({"URGENTE"},MATCH(TRUE,ISNUMBER(FIND(SUBSTITUTE(SUBSTITUTE(UPPER({"URGENTE"})," ",""),":",": "),SUBSTITUTE(SUBSTITUTE(UPPER(S2570)," ",""),":",": "))),0)),"-")</f>
        <v>-</v>
      </c>
      <c r="C2570" s="46" t="str" cm="1">
        <f t="array" ref="C2570">IFERROR(INDEX(#REF!,MATCH(TRUE,ISNUMBER(FIND(SUBSTITUTE(SUBSTITUTE(UPPER(#REF!)," ",""),":",": "),SUBSTITUTE(SUBSTITUTE(UPPER(S2570)," ",""),":",": "))),0)),"Não encontrado")</f>
        <v>Não encontrado</v>
      </c>
      <c r="D2570" s="46" t="str" cm="1">
        <f t="array" ref="D2570">IFERROR(INDEX(#REF!,MATCH(TRUE,ISNUMBER(FIND(SUBSTITUTE(SUBSTITUTE(UPPER(#REF!)," ",""),":",": "),SUBSTITUTE(SUBSTITUTE(UPPER(S2570)," ",""),":",": "))),0)),"Não encontrado")</f>
        <v>Não encontrado</v>
      </c>
      <c r="E2570" s="42" t="str" cm="1">
        <f t="array" ref="E2570">IFERROR(INDEX({"IMPEDITIVO"},MATCH(TRUE,ISNUMBER(FIND(SUBSTITUTE(SUBSTITUTE(UPPER({"IMPEDITIVO"})," ",""),":",": "),SUBSTITUTE(SUBSTITUTE(UPPER(S2570)," ",""),":",": "))),0)),"-")</f>
        <v>-</v>
      </c>
      <c r="K2570" s="49"/>
    </row>
    <row r="2571" spans="1:11" x14ac:dyDescent="0.25">
      <c r="A2571" s="46" t="str" cm="1">
        <f t="array" ref="A2571">IFERROR(INDEX(#REF!,MATCH(TRUE,ISNUMBER(FIND(SUBSTITUTE(SUBSTITUTE(UPPER(#REF!)," ",""),":",": "),SUBSTITUTE(SUBSTITUTE(UPPER(S2571)," ",""),":",": "))),0)),"Undefined")</f>
        <v>Undefined</v>
      </c>
      <c r="B2571" s="42" t="str" cm="1">
        <f t="array" ref="B2571">IFERROR(INDEX({"URGENTE"},MATCH(TRUE,ISNUMBER(FIND(SUBSTITUTE(SUBSTITUTE(UPPER({"URGENTE"})," ",""),":",": "),SUBSTITUTE(SUBSTITUTE(UPPER(S2571)," ",""),":",": "))),0)),"-")</f>
        <v>-</v>
      </c>
      <c r="C2571" s="46" t="str" cm="1">
        <f t="array" ref="C2571">IFERROR(INDEX(#REF!,MATCH(TRUE,ISNUMBER(FIND(SUBSTITUTE(SUBSTITUTE(UPPER(#REF!)," ",""),":",": "),SUBSTITUTE(SUBSTITUTE(UPPER(S2571)," ",""),":",": "))),0)),"Não encontrado")</f>
        <v>Não encontrado</v>
      </c>
      <c r="D2571" s="46" t="str" cm="1">
        <f t="array" ref="D2571">IFERROR(INDEX(#REF!,MATCH(TRUE,ISNUMBER(FIND(SUBSTITUTE(SUBSTITUTE(UPPER(#REF!)," ",""),":",": "),SUBSTITUTE(SUBSTITUTE(UPPER(S2571)," ",""),":",": "))),0)),"Não encontrado")</f>
        <v>Não encontrado</v>
      </c>
      <c r="E2571" s="42" t="str" cm="1">
        <f t="array" ref="E2571">IFERROR(INDEX({"IMPEDITIVO"},MATCH(TRUE,ISNUMBER(FIND(SUBSTITUTE(SUBSTITUTE(UPPER({"IMPEDITIVO"})," ",""),":",": "),SUBSTITUTE(SUBSTITUTE(UPPER(S2571)," ",""),":",": "))),0)),"-")</f>
        <v>-</v>
      </c>
      <c r="K2571" s="49"/>
    </row>
    <row r="2572" spans="1:11" x14ac:dyDescent="0.25">
      <c r="A2572" s="46" t="str" cm="1">
        <f t="array" ref="A2572">IFERROR(INDEX(#REF!,MATCH(TRUE,ISNUMBER(FIND(SUBSTITUTE(SUBSTITUTE(UPPER(#REF!)," ",""),":",": "),SUBSTITUTE(SUBSTITUTE(UPPER(S2572)," ",""),":",": "))),0)),"Undefined")</f>
        <v>Undefined</v>
      </c>
      <c r="B2572" s="42" t="str" cm="1">
        <f t="array" ref="B2572">IFERROR(INDEX({"URGENTE"},MATCH(TRUE,ISNUMBER(FIND(SUBSTITUTE(SUBSTITUTE(UPPER({"URGENTE"})," ",""),":",": "),SUBSTITUTE(SUBSTITUTE(UPPER(S2572)," ",""),":",": "))),0)),"-")</f>
        <v>-</v>
      </c>
      <c r="C2572" s="46" t="str" cm="1">
        <f t="array" ref="C2572">IFERROR(INDEX(#REF!,MATCH(TRUE,ISNUMBER(FIND(SUBSTITUTE(SUBSTITUTE(UPPER(#REF!)," ",""),":",": "),SUBSTITUTE(SUBSTITUTE(UPPER(S2572)," ",""),":",": "))),0)),"Não encontrado")</f>
        <v>Não encontrado</v>
      </c>
      <c r="D2572" s="46" t="str" cm="1">
        <f t="array" ref="D2572">IFERROR(INDEX(#REF!,MATCH(TRUE,ISNUMBER(FIND(SUBSTITUTE(SUBSTITUTE(UPPER(#REF!)," ",""),":",": "),SUBSTITUTE(SUBSTITUTE(UPPER(S2572)," ",""),":",": "))),0)),"Não encontrado")</f>
        <v>Não encontrado</v>
      </c>
      <c r="E2572" s="42" t="str" cm="1">
        <f t="array" ref="E2572">IFERROR(INDEX({"IMPEDITIVO"},MATCH(TRUE,ISNUMBER(FIND(SUBSTITUTE(SUBSTITUTE(UPPER({"IMPEDITIVO"})," ",""),":",": "),SUBSTITUTE(SUBSTITUTE(UPPER(S2572)," ",""),":",": "))),0)),"-")</f>
        <v>-</v>
      </c>
      <c r="K2572" s="49"/>
    </row>
    <row r="2573" spans="1:11" x14ac:dyDescent="0.25">
      <c r="A2573" s="46" t="str" cm="1">
        <f t="array" ref="A2573">IFERROR(INDEX(#REF!,MATCH(TRUE,ISNUMBER(FIND(SUBSTITUTE(SUBSTITUTE(UPPER(#REF!)," ",""),":",": "),SUBSTITUTE(SUBSTITUTE(UPPER(S2573)," ",""),":",": "))),0)),"Undefined")</f>
        <v>Undefined</v>
      </c>
      <c r="B2573" s="42" t="str" cm="1">
        <f t="array" ref="B2573">IFERROR(INDEX({"URGENTE"},MATCH(TRUE,ISNUMBER(FIND(SUBSTITUTE(SUBSTITUTE(UPPER({"URGENTE"})," ",""),":",": "),SUBSTITUTE(SUBSTITUTE(UPPER(S2573)," ",""),":",": "))),0)),"-")</f>
        <v>-</v>
      </c>
      <c r="C2573" s="46" t="str" cm="1">
        <f t="array" ref="C2573">IFERROR(INDEX(#REF!,MATCH(TRUE,ISNUMBER(FIND(SUBSTITUTE(SUBSTITUTE(UPPER(#REF!)," ",""),":",": "),SUBSTITUTE(SUBSTITUTE(UPPER(S2573)," ",""),":",": "))),0)),"Não encontrado")</f>
        <v>Não encontrado</v>
      </c>
      <c r="D2573" s="46" t="str" cm="1">
        <f t="array" ref="D2573">IFERROR(INDEX(#REF!,MATCH(TRUE,ISNUMBER(FIND(SUBSTITUTE(SUBSTITUTE(UPPER(#REF!)," ",""),":",": "),SUBSTITUTE(SUBSTITUTE(UPPER(S2573)," ",""),":",": "))),0)),"Não encontrado")</f>
        <v>Não encontrado</v>
      </c>
      <c r="E2573" s="42" t="str" cm="1">
        <f t="array" ref="E2573">IFERROR(INDEX({"IMPEDITIVO"},MATCH(TRUE,ISNUMBER(FIND(SUBSTITUTE(SUBSTITUTE(UPPER({"IMPEDITIVO"})," ",""),":",": "),SUBSTITUTE(SUBSTITUTE(UPPER(S2573)," ",""),":",": "))),0)),"-")</f>
        <v>-</v>
      </c>
      <c r="K2573" s="49"/>
    </row>
    <row r="2574" spans="1:11" x14ac:dyDescent="0.25">
      <c r="A2574" s="46" t="str" cm="1">
        <f t="array" ref="A2574">IFERROR(INDEX(#REF!,MATCH(TRUE,ISNUMBER(FIND(SUBSTITUTE(SUBSTITUTE(UPPER(#REF!)," ",""),":",": "),SUBSTITUTE(SUBSTITUTE(UPPER(S2574)," ",""),":",": "))),0)),"Undefined")</f>
        <v>Undefined</v>
      </c>
      <c r="B2574" s="42" t="str" cm="1">
        <f t="array" ref="B2574">IFERROR(INDEX({"URGENTE"},MATCH(TRUE,ISNUMBER(FIND(SUBSTITUTE(SUBSTITUTE(UPPER({"URGENTE"})," ",""),":",": "),SUBSTITUTE(SUBSTITUTE(UPPER(S2574)," ",""),":",": "))),0)),"-")</f>
        <v>-</v>
      </c>
      <c r="C2574" s="46" t="str" cm="1">
        <f t="array" ref="C2574">IFERROR(INDEX(#REF!,MATCH(TRUE,ISNUMBER(FIND(SUBSTITUTE(SUBSTITUTE(UPPER(#REF!)," ",""),":",": "),SUBSTITUTE(SUBSTITUTE(UPPER(S2574)," ",""),":",": "))),0)),"Não encontrado")</f>
        <v>Não encontrado</v>
      </c>
      <c r="D2574" s="46" t="str" cm="1">
        <f t="array" ref="D2574">IFERROR(INDEX(#REF!,MATCH(TRUE,ISNUMBER(FIND(SUBSTITUTE(SUBSTITUTE(UPPER(#REF!)," ",""),":",": "),SUBSTITUTE(SUBSTITUTE(UPPER(S2574)," ",""),":",": "))),0)),"Não encontrado")</f>
        <v>Não encontrado</v>
      </c>
      <c r="E2574" s="42" t="str" cm="1">
        <f t="array" ref="E2574">IFERROR(INDEX({"IMPEDITIVO"},MATCH(TRUE,ISNUMBER(FIND(SUBSTITUTE(SUBSTITUTE(UPPER({"IMPEDITIVO"})," ",""),":",": "),SUBSTITUTE(SUBSTITUTE(UPPER(S2574)," ",""),":",": "))),0)),"-")</f>
        <v>-</v>
      </c>
      <c r="K2574" s="49"/>
    </row>
    <row r="2575" spans="1:11" x14ac:dyDescent="0.25">
      <c r="A2575" s="46" t="str" cm="1">
        <f t="array" ref="A2575">IFERROR(INDEX(#REF!,MATCH(TRUE,ISNUMBER(FIND(SUBSTITUTE(SUBSTITUTE(UPPER(#REF!)," ",""),":",": "),SUBSTITUTE(SUBSTITUTE(UPPER(S2575)," ",""),":",": "))),0)),"Undefined")</f>
        <v>Undefined</v>
      </c>
      <c r="B2575" s="42" t="str" cm="1">
        <f t="array" ref="B2575">IFERROR(INDEX({"URGENTE"},MATCH(TRUE,ISNUMBER(FIND(SUBSTITUTE(SUBSTITUTE(UPPER({"URGENTE"})," ",""),":",": "),SUBSTITUTE(SUBSTITUTE(UPPER(S2575)," ",""),":",": "))),0)),"-")</f>
        <v>-</v>
      </c>
      <c r="C2575" s="46" t="str" cm="1">
        <f t="array" ref="C2575">IFERROR(INDEX(#REF!,MATCH(TRUE,ISNUMBER(FIND(SUBSTITUTE(SUBSTITUTE(UPPER(#REF!)," ",""),":",": "),SUBSTITUTE(SUBSTITUTE(UPPER(S2575)," ",""),":",": "))),0)),"Não encontrado")</f>
        <v>Não encontrado</v>
      </c>
      <c r="D2575" s="46" t="str" cm="1">
        <f t="array" ref="D2575">IFERROR(INDEX(#REF!,MATCH(TRUE,ISNUMBER(FIND(SUBSTITUTE(SUBSTITUTE(UPPER(#REF!)," ",""),":",": "),SUBSTITUTE(SUBSTITUTE(UPPER(S2575)," ",""),":",": "))),0)),"Não encontrado")</f>
        <v>Não encontrado</v>
      </c>
      <c r="E2575" s="42" t="str" cm="1">
        <f t="array" ref="E2575">IFERROR(INDEX({"IMPEDITIVO"},MATCH(TRUE,ISNUMBER(FIND(SUBSTITUTE(SUBSTITUTE(UPPER({"IMPEDITIVO"})," ",""),":",": "),SUBSTITUTE(SUBSTITUTE(UPPER(S2575)," ",""),":",": "))),0)),"-")</f>
        <v>-</v>
      </c>
      <c r="K2575" s="49"/>
    </row>
    <row r="2579" spans="7:7" x14ac:dyDescent="0.25">
      <c r="G2579"/>
    </row>
    <row r="2581" spans="7:7" x14ac:dyDescent="0.25">
      <c r="G2581"/>
    </row>
  </sheetData>
  <autoFilter ref="A1:BI2575" xr:uid="{AACA32E9-6529-43A7-9EFC-1423920E45E5}"/>
  <conditionalFormatting sqref="B1:B1048576">
    <cfRule type="cellIs" dxfId="12" priority="10" operator="equal">
      <formula>"urgente"</formula>
    </cfRule>
  </conditionalFormatting>
  <conditionalFormatting sqref="E2:E2575">
    <cfRule type="cellIs" dxfId="11" priority="3" operator="equal">
      <formula>"urgente"</formula>
    </cfRule>
  </conditionalFormatting>
  <conditionalFormatting sqref="E2:E1048576">
    <cfRule type="cellIs" dxfId="10" priority="2" operator="equal">
      <formula>"IMPEDITIVO"</formula>
    </cfRule>
  </conditionalFormatting>
  <conditionalFormatting sqref="H1:H1048576">
    <cfRule type="colorScale" priority="9">
      <colorScale>
        <cfvo type="min"/>
        <cfvo type="percentile" val="50"/>
        <cfvo type="max"/>
        <color rgb="FFF8696B"/>
        <color rgb="FFFFEB84"/>
        <color rgb="FF63BE7B"/>
      </colorScale>
    </cfRule>
  </conditionalFormatting>
  <conditionalFormatting sqref="I1:I1048576">
    <cfRule type="cellIs" dxfId="9" priority="1" operator="equal">
      <formula>"Em Desenvolvimento"</formula>
    </cfRule>
    <cfRule type="cellIs" dxfId="8" priority="4" operator="equal">
      <formula>"RELEASE"</formula>
    </cfRule>
    <cfRule type="cellIs" dxfId="7" priority="5" operator="equal">
      <formula>"HOMOLOGAÇÃO"</formula>
    </cfRule>
    <cfRule type="cellIs" dxfId="6" priority="7" operator="equal">
      <formula>"Backlog"</formula>
    </cfRule>
  </conditionalFormatting>
  <pageMargins left="0.511811024" right="0.511811024" top="0.78740157499999996" bottom="0.78740157499999996" header="0.31496062000000002" footer="0.31496062000000002"/>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045B1-31C8-40E5-9215-D199FDFD8CDF}">
  <dimension ref="A1:BD89"/>
  <sheetViews>
    <sheetView workbookViewId="0">
      <selection activeCell="F46" sqref="F46"/>
    </sheetView>
  </sheetViews>
  <sheetFormatPr defaultRowHeight="15" customHeight="1" x14ac:dyDescent="0.25"/>
  <cols>
    <col min="1" max="1" width="10" customWidth="1"/>
    <col min="2" max="4" width="15.7109375" customWidth="1"/>
    <col min="5" max="5" width="61.7109375" customWidth="1"/>
    <col min="6" max="6" width="42.28515625" customWidth="1"/>
    <col min="7" max="7" width="24.5703125" customWidth="1"/>
    <col min="8" max="8" width="73.5703125" customWidth="1"/>
    <col min="9" max="9" width="14.5703125" customWidth="1"/>
    <col min="10" max="10" width="36.28515625" customWidth="1"/>
    <col min="11" max="11" width="12.7109375" customWidth="1"/>
    <col min="12" max="13" width="36.28515625" customWidth="1"/>
    <col min="14" max="14" width="22.140625" customWidth="1"/>
    <col min="15" max="15" width="17.42578125" customWidth="1"/>
    <col min="16" max="16" width="20.7109375" customWidth="1"/>
    <col min="17" max="17" width="18.7109375" customWidth="1"/>
    <col min="18" max="18" width="36.28515625" customWidth="1"/>
    <col min="19" max="19" width="21" customWidth="1"/>
    <col min="20" max="20" width="14.7109375" customWidth="1"/>
    <col min="21" max="21" width="35.5703125" customWidth="1"/>
    <col min="22" max="22" width="33.7109375" customWidth="1"/>
    <col min="23" max="23" width="22.7109375" customWidth="1"/>
    <col min="24" max="24" width="31.140625" customWidth="1"/>
    <col min="25" max="25" width="25" customWidth="1"/>
    <col min="26" max="26" width="30" customWidth="1"/>
    <col min="27" max="27" width="31.28515625" customWidth="1"/>
    <col min="28" max="28" width="29.7109375" customWidth="1"/>
    <col min="29" max="29" width="36.28515625" customWidth="1"/>
    <col min="30" max="30" width="22.28515625" customWidth="1"/>
    <col min="31" max="31" width="24.28515625" customWidth="1"/>
    <col min="32" max="32" width="27.7109375" customWidth="1"/>
    <col min="33" max="33" width="29.28515625" customWidth="1"/>
    <col min="34" max="34" width="26.7109375" customWidth="1"/>
    <col min="35" max="35" width="24.28515625" customWidth="1"/>
    <col min="36" max="36" width="25.5703125" customWidth="1"/>
    <col min="37" max="37" width="17.7109375" customWidth="1"/>
    <col min="38" max="38" width="36.28515625" customWidth="1"/>
    <col min="39" max="39" width="19.7109375" customWidth="1"/>
    <col min="40" max="40" width="24.85546875" customWidth="1"/>
    <col min="41" max="41" width="23.42578125" customWidth="1"/>
    <col min="42" max="42" width="22.28515625" customWidth="1"/>
    <col min="43" max="43" width="23" customWidth="1"/>
    <col min="44" max="44" width="13" customWidth="1"/>
    <col min="45" max="45" width="17.7109375" customWidth="1"/>
    <col min="46" max="46" width="14.28515625" customWidth="1"/>
    <col min="47" max="47" width="22.7109375" customWidth="1"/>
    <col min="48" max="48" width="12.7109375" customWidth="1"/>
    <col min="49" max="49" width="20.140625" customWidth="1"/>
    <col min="50" max="50" width="23.28515625" customWidth="1"/>
    <col min="51" max="51" width="30.28515625" customWidth="1"/>
    <col min="52" max="52" width="18" customWidth="1"/>
    <col min="53" max="53" width="13.85546875" customWidth="1"/>
    <col min="54" max="54" width="17.7109375" customWidth="1"/>
    <col min="55" max="55" width="13.5703125" customWidth="1"/>
    <col min="56" max="56" width="21.28515625" customWidth="1"/>
  </cols>
  <sheetData>
    <row r="1" spans="1:56" ht="30" customHeight="1" x14ac:dyDescent="0.25">
      <c r="A1" s="5" t="s">
        <v>1015</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row>
    <row r="2" spans="1:56" ht="15" customHeight="1" x14ac:dyDescent="0.25">
      <c r="A2" s="1" t="s">
        <v>0</v>
      </c>
      <c r="B2" s="1" t="s">
        <v>8</v>
      </c>
      <c r="C2" s="1" t="s">
        <v>5</v>
      </c>
      <c r="D2" s="1" t="s">
        <v>12</v>
      </c>
      <c r="E2" s="1" t="s">
        <v>1</v>
      </c>
      <c r="F2" s="1" t="s">
        <v>42</v>
      </c>
      <c r="G2" s="1" t="s">
        <v>3</v>
      </c>
      <c r="H2" s="1" t="s">
        <v>13</v>
      </c>
      <c r="I2" s="1" t="s">
        <v>2</v>
      </c>
      <c r="J2" s="1" t="s">
        <v>7</v>
      </c>
      <c r="K2" s="1" t="s">
        <v>4</v>
      </c>
      <c r="L2" s="1" t="s">
        <v>6</v>
      </c>
      <c r="M2" s="1" t="s">
        <v>9</v>
      </c>
      <c r="N2" s="1" t="s">
        <v>10</v>
      </c>
      <c r="O2" s="1" t="s">
        <v>11</v>
      </c>
      <c r="P2" s="1" t="s">
        <v>14</v>
      </c>
      <c r="Q2" s="1" t="s">
        <v>15</v>
      </c>
      <c r="R2" s="1" t="s">
        <v>16</v>
      </c>
      <c r="S2" s="1" t="s">
        <v>17</v>
      </c>
      <c r="T2" s="1" t="s">
        <v>18</v>
      </c>
      <c r="U2" s="1" t="s">
        <v>19</v>
      </c>
      <c r="V2" s="1" t="s">
        <v>20</v>
      </c>
      <c r="W2" s="1" t="s">
        <v>21</v>
      </c>
      <c r="X2" s="1" t="s">
        <v>22</v>
      </c>
      <c r="Y2" s="1" t="s">
        <v>23</v>
      </c>
      <c r="Z2" s="1" t="s">
        <v>24</v>
      </c>
      <c r="AA2" s="1" t="s">
        <v>25</v>
      </c>
      <c r="AB2" s="1" t="s">
        <v>26</v>
      </c>
      <c r="AC2" s="1" t="s">
        <v>27</v>
      </c>
      <c r="AD2" s="1" t="s">
        <v>28</v>
      </c>
      <c r="AE2" s="1" t="s">
        <v>29</v>
      </c>
      <c r="AF2" s="1" t="s">
        <v>30</v>
      </c>
      <c r="AG2" s="1" t="s">
        <v>31</v>
      </c>
      <c r="AH2" s="1" t="s">
        <v>32</v>
      </c>
      <c r="AI2" s="1" t="s">
        <v>33</v>
      </c>
      <c r="AJ2" s="1" t="s">
        <v>34</v>
      </c>
      <c r="AK2" s="1" t="s">
        <v>35</v>
      </c>
      <c r="AL2" s="1" t="s">
        <v>36</v>
      </c>
      <c r="AM2" s="1" t="s">
        <v>37</v>
      </c>
      <c r="AN2" s="1" t="s">
        <v>38</v>
      </c>
      <c r="AO2" s="1" t="s">
        <v>39</v>
      </c>
      <c r="AP2" s="1" t="s">
        <v>40</v>
      </c>
      <c r="AQ2" s="1" t="s">
        <v>41</v>
      </c>
      <c r="AR2" s="1" t="s">
        <v>43</v>
      </c>
      <c r="AS2" s="1" t="s">
        <v>44</v>
      </c>
      <c r="AT2" s="1" t="s">
        <v>45</v>
      </c>
      <c r="AU2" s="1" t="s">
        <v>46</v>
      </c>
      <c r="AV2" s="1" t="s">
        <v>47</v>
      </c>
      <c r="AW2" s="1" t="s">
        <v>48</v>
      </c>
      <c r="AX2" s="1" t="s">
        <v>49</v>
      </c>
      <c r="AY2" s="1" t="s">
        <v>50</v>
      </c>
      <c r="AZ2" s="1" t="s">
        <v>51</v>
      </c>
      <c r="BA2" s="1" t="s">
        <v>52</v>
      </c>
      <c r="BB2" s="1" t="s">
        <v>53</v>
      </c>
      <c r="BC2" s="1" t="s">
        <v>54</v>
      </c>
      <c r="BD2" s="1" t="s">
        <v>55</v>
      </c>
    </row>
    <row r="3" spans="1:56" ht="15" hidden="1" customHeight="1" x14ac:dyDescent="0.25">
      <c r="A3" s="2">
        <v>99</v>
      </c>
      <c r="B3" s="16">
        <v>45622.935694444444</v>
      </c>
      <c r="C3" s="16">
        <v>45657.448993055557</v>
      </c>
      <c r="D3" s="16">
        <v>45657.448993055557</v>
      </c>
      <c r="E3" s="1" t="s">
        <v>93</v>
      </c>
      <c r="F3" s="7" t="s">
        <v>96</v>
      </c>
      <c r="G3" s="1" t="s">
        <v>80</v>
      </c>
      <c r="H3" s="4" t="s">
        <v>95</v>
      </c>
      <c r="I3" s="2">
        <v>2</v>
      </c>
      <c r="J3" s="1" t="s">
        <v>94</v>
      </c>
      <c r="K3" s="1" t="s">
        <v>80</v>
      </c>
      <c r="L3" s="1" t="s">
        <v>81</v>
      </c>
      <c r="M3" s="1" t="s">
        <v>83</v>
      </c>
      <c r="N3" s="1" t="s">
        <v>47</v>
      </c>
      <c r="O3" s="2"/>
      <c r="P3" s="16"/>
      <c r="Q3" s="1"/>
      <c r="R3" s="1"/>
      <c r="S3" s="16"/>
      <c r="T3" s="1"/>
      <c r="U3" s="4"/>
      <c r="V3" s="4"/>
      <c r="W3" s="1"/>
      <c r="X3" s="1" t="s">
        <v>63</v>
      </c>
      <c r="Y3" s="1"/>
      <c r="Z3" s="2"/>
      <c r="AA3" s="1"/>
      <c r="AB3" s="1"/>
      <c r="AC3" s="1" t="s">
        <v>83</v>
      </c>
      <c r="AD3" s="16">
        <v>45657.448993055557</v>
      </c>
      <c r="AE3" s="1"/>
      <c r="AF3" s="1"/>
      <c r="AG3" s="1"/>
      <c r="AH3" s="1"/>
      <c r="AI3" s="1"/>
      <c r="AJ3" s="2">
        <v>0</v>
      </c>
      <c r="AK3" s="1"/>
      <c r="AL3" s="1" t="s">
        <v>83</v>
      </c>
      <c r="AM3" s="1"/>
      <c r="AN3" s="2"/>
      <c r="AO3" s="1"/>
      <c r="AP3" s="2">
        <v>5</v>
      </c>
      <c r="AQ3" s="4"/>
      <c r="AR3" s="4"/>
      <c r="AS3" s="16"/>
      <c r="AT3" s="4"/>
      <c r="AU3" s="1"/>
      <c r="AV3" s="1"/>
      <c r="AW3" s="1" t="s">
        <v>61</v>
      </c>
      <c r="AX3" s="4"/>
      <c r="AY3" s="1" t="s">
        <v>85</v>
      </c>
      <c r="AZ3" s="4"/>
      <c r="BA3" s="2"/>
      <c r="BB3" s="4"/>
      <c r="BC3" s="1"/>
      <c r="BD3" s="1" t="s">
        <v>86</v>
      </c>
    </row>
    <row r="4" spans="1:56" ht="15" hidden="1" customHeight="1" x14ac:dyDescent="0.25">
      <c r="A4" s="2">
        <v>121</v>
      </c>
      <c r="B4" s="16">
        <v>45623.47320601852</v>
      </c>
      <c r="C4" s="16">
        <v>45709.864837962959</v>
      </c>
      <c r="D4" s="16">
        <v>45650.466249999998</v>
      </c>
      <c r="E4" s="1" t="s">
        <v>98</v>
      </c>
      <c r="F4" s="7" t="s">
        <v>174</v>
      </c>
      <c r="G4" s="1" t="s">
        <v>80</v>
      </c>
      <c r="H4" s="4" t="s">
        <v>95</v>
      </c>
      <c r="I4" s="2">
        <v>2</v>
      </c>
      <c r="J4" s="1" t="s">
        <v>99</v>
      </c>
      <c r="K4" s="1" t="s">
        <v>80</v>
      </c>
      <c r="L4" s="1" t="s">
        <v>89</v>
      </c>
      <c r="M4" s="1" t="s">
        <v>83</v>
      </c>
      <c r="N4" s="1" t="s">
        <v>47</v>
      </c>
      <c r="O4" s="2"/>
      <c r="P4" s="16"/>
      <c r="Q4" s="1"/>
      <c r="R4" s="1"/>
      <c r="S4" s="16"/>
      <c r="T4" s="1"/>
      <c r="U4" s="4"/>
      <c r="V4" s="4"/>
      <c r="W4" s="1"/>
      <c r="X4" s="1" t="s">
        <v>63</v>
      </c>
      <c r="Y4" s="1"/>
      <c r="Z4" s="2"/>
      <c r="AA4" s="1"/>
      <c r="AB4" s="1"/>
      <c r="AC4" s="1" t="s">
        <v>89</v>
      </c>
      <c r="AD4" s="16">
        <v>45709.864837962959</v>
      </c>
      <c r="AE4" s="1"/>
      <c r="AF4" s="1"/>
      <c r="AG4" s="1"/>
      <c r="AH4" s="1"/>
      <c r="AI4" s="1"/>
      <c r="AJ4" s="2">
        <v>0</v>
      </c>
      <c r="AK4" s="1"/>
      <c r="AL4" s="1" t="s">
        <v>83</v>
      </c>
      <c r="AM4" s="1"/>
      <c r="AN4" s="2"/>
      <c r="AO4" s="1"/>
      <c r="AP4" s="2">
        <v>7</v>
      </c>
      <c r="AQ4" s="4"/>
      <c r="AR4" s="4"/>
      <c r="AS4" s="16"/>
      <c r="AT4" s="4"/>
      <c r="AU4" s="1"/>
      <c r="AV4" s="1"/>
      <c r="AW4" s="1" t="s">
        <v>61</v>
      </c>
      <c r="AX4" s="4"/>
      <c r="AY4" s="1" t="s">
        <v>85</v>
      </c>
      <c r="AZ4" s="4"/>
      <c r="BA4" s="2"/>
      <c r="BB4" s="4"/>
      <c r="BC4" s="1"/>
      <c r="BD4" s="1" t="s">
        <v>86</v>
      </c>
    </row>
    <row r="5" spans="1:56" ht="15" hidden="1" customHeight="1" x14ac:dyDescent="0.25">
      <c r="A5" s="2">
        <v>191</v>
      </c>
      <c r="B5" s="16">
        <v>45631.50403935185</v>
      </c>
      <c r="C5" s="16">
        <v>45664.623900462961</v>
      </c>
      <c r="D5" s="16">
        <v>45664.623900462961</v>
      </c>
      <c r="E5" s="1" t="s">
        <v>101</v>
      </c>
      <c r="F5" s="7" t="s">
        <v>103</v>
      </c>
      <c r="G5" s="1" t="s">
        <v>80</v>
      </c>
      <c r="H5" s="4" t="s">
        <v>102</v>
      </c>
      <c r="I5" s="2">
        <v>2</v>
      </c>
      <c r="J5" s="1" t="s">
        <v>99</v>
      </c>
      <c r="K5" s="1" t="s">
        <v>80</v>
      </c>
      <c r="L5" s="1" t="s">
        <v>83</v>
      </c>
      <c r="M5" s="1" t="s">
        <v>83</v>
      </c>
      <c r="N5" s="1" t="s">
        <v>47</v>
      </c>
      <c r="O5" s="2"/>
      <c r="P5" s="16"/>
      <c r="Q5" s="1"/>
      <c r="R5" s="1" t="s">
        <v>83</v>
      </c>
      <c r="S5" s="16">
        <v>45660.447164351855</v>
      </c>
      <c r="T5" s="1"/>
      <c r="U5" s="4"/>
      <c r="V5" s="4"/>
      <c r="W5" s="1"/>
      <c r="X5" s="1" t="s">
        <v>63</v>
      </c>
      <c r="Y5" s="1"/>
      <c r="Z5" s="2"/>
      <c r="AA5" s="1"/>
      <c r="AB5" s="1"/>
      <c r="AC5" s="1" t="s">
        <v>83</v>
      </c>
      <c r="AD5" s="16">
        <v>45664.623900462961</v>
      </c>
      <c r="AE5" s="1"/>
      <c r="AF5" s="1"/>
      <c r="AG5" s="1"/>
      <c r="AH5" s="1"/>
      <c r="AI5" s="1"/>
      <c r="AJ5" s="2">
        <v>0</v>
      </c>
      <c r="AK5" s="1"/>
      <c r="AL5" s="1" t="s">
        <v>83</v>
      </c>
      <c r="AM5" s="1"/>
      <c r="AN5" s="2"/>
      <c r="AO5" s="1"/>
      <c r="AP5" s="2">
        <v>3</v>
      </c>
      <c r="AQ5" s="4"/>
      <c r="AR5" s="4"/>
      <c r="AS5" s="16"/>
      <c r="AT5" s="4"/>
      <c r="AU5" s="1"/>
      <c r="AV5" s="1"/>
      <c r="AW5" s="1" t="s">
        <v>61</v>
      </c>
      <c r="AX5" s="4"/>
      <c r="AY5" s="1" t="s">
        <v>85</v>
      </c>
      <c r="AZ5" s="4"/>
      <c r="BA5" s="2"/>
      <c r="BB5" s="4"/>
      <c r="BC5" s="1"/>
      <c r="BD5" s="1" t="s">
        <v>86</v>
      </c>
    </row>
    <row r="6" spans="1:56" ht="15" hidden="1" customHeight="1" x14ac:dyDescent="0.25">
      <c r="A6" s="2">
        <v>193</v>
      </c>
      <c r="B6" s="16">
        <v>45631.506493055553</v>
      </c>
      <c r="C6" s="16">
        <v>45754.697418981479</v>
      </c>
      <c r="D6" s="16">
        <v>45754.697418981479</v>
      </c>
      <c r="E6" s="1" t="s">
        <v>104</v>
      </c>
      <c r="F6" s="7" t="s">
        <v>106</v>
      </c>
      <c r="G6" s="1" t="s">
        <v>80</v>
      </c>
      <c r="H6" s="4" t="s">
        <v>105</v>
      </c>
      <c r="I6" s="2">
        <v>2</v>
      </c>
      <c r="J6" s="1" t="s">
        <v>94</v>
      </c>
      <c r="K6" s="1" t="s">
        <v>80</v>
      </c>
      <c r="L6" s="1" t="s">
        <v>88</v>
      </c>
      <c r="M6" s="1" t="s">
        <v>83</v>
      </c>
      <c r="N6" s="1" t="s">
        <v>47</v>
      </c>
      <c r="O6" s="2"/>
      <c r="P6" s="16"/>
      <c r="Q6" s="1"/>
      <c r="R6" s="1"/>
      <c r="S6" s="16"/>
      <c r="T6" s="1"/>
      <c r="U6" s="4"/>
      <c r="V6" s="4"/>
      <c r="W6" s="1"/>
      <c r="X6" s="1" t="s">
        <v>63</v>
      </c>
      <c r="Y6" s="1"/>
      <c r="Z6" s="2"/>
      <c r="AA6" s="1"/>
      <c r="AB6" s="1"/>
      <c r="AC6" s="1" t="s">
        <v>88</v>
      </c>
      <c r="AD6" s="16">
        <v>45754.697418981479</v>
      </c>
      <c r="AE6" s="1"/>
      <c r="AF6" s="1"/>
      <c r="AG6" s="1"/>
      <c r="AH6" s="1"/>
      <c r="AI6" s="1"/>
      <c r="AJ6" s="2">
        <v>0</v>
      </c>
      <c r="AK6" s="1"/>
      <c r="AL6" s="1" t="s">
        <v>88</v>
      </c>
      <c r="AM6" s="1"/>
      <c r="AN6" s="2"/>
      <c r="AO6" s="1"/>
      <c r="AP6" s="2">
        <v>0</v>
      </c>
      <c r="AQ6" s="4"/>
      <c r="AR6" s="4"/>
      <c r="AS6" s="16"/>
      <c r="AT6" s="4"/>
      <c r="AU6" s="1"/>
      <c r="AV6" s="1"/>
      <c r="AW6" s="1" t="s">
        <v>61</v>
      </c>
      <c r="AX6" s="4"/>
      <c r="AY6" s="1" t="s">
        <v>85</v>
      </c>
      <c r="AZ6" s="4"/>
      <c r="BA6" s="2"/>
      <c r="BB6" s="4"/>
      <c r="BC6" s="1"/>
      <c r="BD6" s="1" t="s">
        <v>86</v>
      </c>
    </row>
    <row r="7" spans="1:56" ht="15" hidden="1" customHeight="1" x14ac:dyDescent="0.25">
      <c r="A7" s="2">
        <v>210</v>
      </c>
      <c r="B7" s="16">
        <v>45636.63517361111</v>
      </c>
      <c r="C7" s="16">
        <v>45709.855127314811</v>
      </c>
      <c r="D7" s="16">
        <v>45702.488495370373</v>
      </c>
      <c r="E7" s="1" t="s">
        <v>107</v>
      </c>
      <c r="F7" s="7" t="s">
        <v>108</v>
      </c>
      <c r="G7" s="1" t="s">
        <v>80</v>
      </c>
      <c r="H7" s="4" t="s">
        <v>105</v>
      </c>
      <c r="I7" s="2">
        <v>2</v>
      </c>
      <c r="J7" s="1" t="s">
        <v>94</v>
      </c>
      <c r="K7" s="1" t="s">
        <v>80</v>
      </c>
      <c r="L7" s="1" t="s">
        <v>89</v>
      </c>
      <c r="M7" s="1" t="s">
        <v>89</v>
      </c>
      <c r="N7" s="1" t="s">
        <v>47</v>
      </c>
      <c r="O7" s="2"/>
      <c r="P7" s="16"/>
      <c r="Q7" s="1"/>
      <c r="R7" s="1"/>
      <c r="S7" s="16"/>
      <c r="T7" s="1"/>
      <c r="U7" s="4"/>
      <c r="V7" s="4"/>
      <c r="W7" s="1"/>
      <c r="X7" s="1" t="s">
        <v>63</v>
      </c>
      <c r="Y7" s="1"/>
      <c r="Z7" s="2"/>
      <c r="AA7" s="1"/>
      <c r="AB7" s="1"/>
      <c r="AC7" s="1" t="s">
        <v>89</v>
      </c>
      <c r="AD7" s="16">
        <v>45709.855127314811</v>
      </c>
      <c r="AE7" s="1"/>
      <c r="AF7" s="1"/>
      <c r="AG7" s="1"/>
      <c r="AH7" s="1"/>
      <c r="AI7" s="1"/>
      <c r="AJ7" s="2">
        <v>0</v>
      </c>
      <c r="AK7" s="1"/>
      <c r="AL7" s="1" t="s">
        <v>83</v>
      </c>
      <c r="AM7" s="1"/>
      <c r="AN7" s="2"/>
      <c r="AO7" s="1"/>
      <c r="AP7" s="2">
        <v>0</v>
      </c>
      <c r="AQ7" s="4"/>
      <c r="AR7" s="4"/>
      <c r="AS7" s="16"/>
      <c r="AT7" s="4"/>
      <c r="AU7" s="1"/>
      <c r="AV7" s="1"/>
      <c r="AW7" s="1" t="s">
        <v>61</v>
      </c>
      <c r="AX7" s="4"/>
      <c r="AY7" s="1" t="s">
        <v>85</v>
      </c>
      <c r="AZ7" s="4"/>
      <c r="BA7" s="2"/>
      <c r="BB7" s="4"/>
      <c r="BC7" s="1"/>
      <c r="BD7" s="1" t="s">
        <v>86</v>
      </c>
    </row>
    <row r="8" spans="1:56" ht="15" hidden="1" customHeight="1" x14ac:dyDescent="0.25">
      <c r="A8" s="2">
        <v>258</v>
      </c>
      <c r="B8" s="16">
        <v>45639.450266203705</v>
      </c>
      <c r="C8" s="16">
        <v>45841.349421296298</v>
      </c>
      <c r="D8" s="16">
        <v>45841.349421296298</v>
      </c>
      <c r="E8" s="1" t="s">
        <v>109</v>
      </c>
      <c r="F8" s="7" t="s">
        <v>100</v>
      </c>
      <c r="G8" s="1" t="s">
        <v>80</v>
      </c>
      <c r="H8" s="4" t="s">
        <v>110</v>
      </c>
      <c r="I8" s="2">
        <v>2</v>
      </c>
      <c r="J8" s="1" t="s">
        <v>94</v>
      </c>
      <c r="K8" s="1" t="s">
        <v>80</v>
      </c>
      <c r="L8" s="1" t="s">
        <v>88</v>
      </c>
      <c r="M8" s="1" t="s">
        <v>83</v>
      </c>
      <c r="N8" s="1" t="s">
        <v>47</v>
      </c>
      <c r="O8" s="2"/>
      <c r="P8" s="16"/>
      <c r="Q8" s="1"/>
      <c r="R8" s="1"/>
      <c r="S8" s="16"/>
      <c r="T8" s="1"/>
      <c r="U8" s="4"/>
      <c r="V8" s="4"/>
      <c r="W8" s="1"/>
      <c r="X8" s="1" t="s">
        <v>63</v>
      </c>
      <c r="Y8" s="1"/>
      <c r="Z8" s="2"/>
      <c r="AA8" s="1"/>
      <c r="AB8" s="1"/>
      <c r="AC8" s="1" t="s">
        <v>88</v>
      </c>
      <c r="AD8" s="16">
        <v>45841.349421296298</v>
      </c>
      <c r="AE8" s="1"/>
      <c r="AF8" s="1"/>
      <c r="AG8" s="1"/>
      <c r="AH8" s="1"/>
      <c r="AI8" s="1"/>
      <c r="AJ8" s="2">
        <v>0</v>
      </c>
      <c r="AK8" s="1"/>
      <c r="AL8" s="1" t="s">
        <v>88</v>
      </c>
      <c r="AM8" s="1"/>
      <c r="AN8" s="2"/>
      <c r="AO8" s="1"/>
      <c r="AP8" s="2">
        <v>5</v>
      </c>
      <c r="AQ8" s="4"/>
      <c r="AR8" s="4"/>
      <c r="AS8" s="16"/>
      <c r="AT8" s="4"/>
      <c r="AU8" s="1"/>
      <c r="AV8" s="1"/>
      <c r="AW8" s="1" t="s">
        <v>61</v>
      </c>
      <c r="AX8" s="4"/>
      <c r="AY8" s="1" t="s">
        <v>85</v>
      </c>
      <c r="AZ8" s="4"/>
      <c r="BA8" s="2"/>
      <c r="BB8" s="4"/>
      <c r="BC8" s="1"/>
      <c r="BD8" s="1" t="s">
        <v>86</v>
      </c>
    </row>
    <row r="9" spans="1:56" ht="15" hidden="1" customHeight="1" x14ac:dyDescent="0.25">
      <c r="A9" s="2">
        <v>320</v>
      </c>
      <c r="B9" s="16">
        <v>45653.574386574073</v>
      </c>
      <c r="C9" s="16">
        <v>45667.695474537039</v>
      </c>
      <c r="D9" s="16">
        <v>45667.695474537039</v>
      </c>
      <c r="E9" s="1" t="s">
        <v>112</v>
      </c>
      <c r="F9" s="7" t="s">
        <v>100</v>
      </c>
      <c r="G9" s="1" t="s">
        <v>80</v>
      </c>
      <c r="H9" s="4" t="s">
        <v>102</v>
      </c>
      <c r="I9" s="2">
        <v>2</v>
      </c>
      <c r="J9" s="1" t="s">
        <v>94</v>
      </c>
      <c r="K9" s="1" t="s">
        <v>80</v>
      </c>
      <c r="L9" s="1" t="s">
        <v>94</v>
      </c>
      <c r="M9" s="1" t="s">
        <v>94</v>
      </c>
      <c r="N9" s="1" t="s">
        <v>47</v>
      </c>
      <c r="O9" s="2"/>
      <c r="P9" s="16"/>
      <c r="Q9" s="1"/>
      <c r="R9" s="1" t="s">
        <v>94</v>
      </c>
      <c r="S9" s="16">
        <v>45657.43513888889</v>
      </c>
      <c r="T9" s="1"/>
      <c r="U9" s="4"/>
      <c r="V9" s="4"/>
      <c r="W9" s="1"/>
      <c r="X9" s="1" t="s">
        <v>63</v>
      </c>
      <c r="Y9" s="1"/>
      <c r="Z9" s="2"/>
      <c r="AA9" s="1"/>
      <c r="AB9" s="1"/>
      <c r="AC9" s="1" t="s">
        <v>94</v>
      </c>
      <c r="AD9" s="16">
        <v>45667.695474537039</v>
      </c>
      <c r="AE9" s="1"/>
      <c r="AF9" s="1"/>
      <c r="AG9" s="1"/>
      <c r="AH9" s="1"/>
      <c r="AI9" s="1"/>
      <c r="AJ9" s="2">
        <v>0</v>
      </c>
      <c r="AK9" s="1"/>
      <c r="AL9" s="1" t="s">
        <v>94</v>
      </c>
      <c r="AM9" s="1"/>
      <c r="AN9" s="2"/>
      <c r="AO9" s="1"/>
      <c r="AP9" s="2">
        <v>3</v>
      </c>
      <c r="AQ9" s="4"/>
      <c r="AR9" s="4"/>
      <c r="AS9" s="16"/>
      <c r="AT9" s="4"/>
      <c r="AU9" s="1"/>
      <c r="AV9" s="1"/>
      <c r="AW9" s="1" t="s">
        <v>61</v>
      </c>
      <c r="AX9" s="4"/>
      <c r="AY9" s="1" t="s">
        <v>85</v>
      </c>
      <c r="AZ9" s="4"/>
      <c r="BA9" s="2"/>
      <c r="BB9" s="4"/>
      <c r="BC9" s="1"/>
      <c r="BD9" s="1" t="s">
        <v>86</v>
      </c>
    </row>
    <row r="10" spans="1:56" ht="15" hidden="1" customHeight="1" x14ac:dyDescent="0.25">
      <c r="A10" s="2">
        <v>355</v>
      </c>
      <c r="B10" s="16">
        <v>45663.74019675926</v>
      </c>
      <c r="C10" s="16">
        <v>45709.859618055554</v>
      </c>
      <c r="D10" s="16">
        <v>45670.49386574074</v>
      </c>
      <c r="E10" s="1" t="s">
        <v>113</v>
      </c>
      <c r="F10" s="7" t="s">
        <v>115</v>
      </c>
      <c r="G10" s="1" t="s">
        <v>80</v>
      </c>
      <c r="H10" s="4" t="s">
        <v>114</v>
      </c>
      <c r="I10" s="2">
        <v>2</v>
      </c>
      <c r="J10" s="1" t="s">
        <v>84</v>
      </c>
      <c r="K10" s="1" t="s">
        <v>80</v>
      </c>
      <c r="L10" s="1" t="s">
        <v>89</v>
      </c>
      <c r="M10" s="1" t="s">
        <v>84</v>
      </c>
      <c r="N10" s="1" t="s">
        <v>47</v>
      </c>
      <c r="O10" s="2"/>
      <c r="P10" s="16"/>
      <c r="Q10" s="1"/>
      <c r="R10" s="1" t="s">
        <v>84</v>
      </c>
      <c r="S10" s="16">
        <v>45663.740706018521</v>
      </c>
      <c r="T10" s="1"/>
      <c r="U10" s="4"/>
      <c r="V10" s="4"/>
      <c r="W10" s="1"/>
      <c r="X10" s="1" t="s">
        <v>63</v>
      </c>
      <c r="Y10" s="1"/>
      <c r="Z10" s="2"/>
      <c r="AA10" s="1"/>
      <c r="AB10" s="1"/>
      <c r="AC10" s="1" t="s">
        <v>89</v>
      </c>
      <c r="AD10" s="16">
        <v>45709.859618055554</v>
      </c>
      <c r="AE10" s="1"/>
      <c r="AF10" s="1"/>
      <c r="AG10" s="1"/>
      <c r="AH10" s="1"/>
      <c r="AI10" s="1"/>
      <c r="AJ10" s="2">
        <v>0</v>
      </c>
      <c r="AK10" s="1"/>
      <c r="AL10" s="1" t="s">
        <v>94</v>
      </c>
      <c r="AM10" s="1"/>
      <c r="AN10" s="2"/>
      <c r="AO10" s="1"/>
      <c r="AP10" s="2">
        <v>0</v>
      </c>
      <c r="AQ10" s="4"/>
      <c r="AR10" s="4"/>
      <c r="AS10" s="16"/>
      <c r="AT10" s="4"/>
      <c r="AU10" s="1"/>
      <c r="AV10" s="1"/>
      <c r="AW10" s="1" t="s">
        <v>61</v>
      </c>
      <c r="AX10" s="4"/>
      <c r="AY10" s="1" t="s">
        <v>85</v>
      </c>
      <c r="AZ10" s="4"/>
      <c r="BA10" s="2"/>
      <c r="BB10" s="4"/>
      <c r="BC10" s="1"/>
      <c r="BD10" s="1" t="s">
        <v>86</v>
      </c>
    </row>
    <row r="11" spans="1:56" ht="15" hidden="1" customHeight="1" x14ac:dyDescent="0.25">
      <c r="A11" s="2">
        <v>362</v>
      </c>
      <c r="B11" s="16">
        <v>45664.630347222221</v>
      </c>
      <c r="C11" s="16">
        <v>45664.63858796296</v>
      </c>
      <c r="D11" s="16">
        <v>45664.63858796296</v>
      </c>
      <c r="E11" s="1" t="s">
        <v>116</v>
      </c>
      <c r="F11" s="7" t="s">
        <v>117</v>
      </c>
      <c r="G11" s="1" t="s">
        <v>80</v>
      </c>
      <c r="H11" s="4" t="s">
        <v>95</v>
      </c>
      <c r="I11" s="2">
        <v>2</v>
      </c>
      <c r="J11" s="1" t="s">
        <v>99</v>
      </c>
      <c r="K11" s="1" t="s">
        <v>80</v>
      </c>
      <c r="L11" s="1" t="s">
        <v>83</v>
      </c>
      <c r="M11" s="1" t="s">
        <v>83</v>
      </c>
      <c r="N11" s="1" t="s">
        <v>47</v>
      </c>
      <c r="O11" s="2"/>
      <c r="P11" s="16"/>
      <c r="Q11" s="1"/>
      <c r="R11" s="1" t="s">
        <v>83</v>
      </c>
      <c r="S11" s="16">
        <v>45664.636550925927</v>
      </c>
      <c r="T11" s="1"/>
      <c r="U11" s="4"/>
      <c r="V11" s="4"/>
      <c r="W11" s="1"/>
      <c r="X11" s="1" t="s">
        <v>63</v>
      </c>
      <c r="Y11" s="1"/>
      <c r="Z11" s="2"/>
      <c r="AA11" s="1"/>
      <c r="AB11" s="1"/>
      <c r="AC11" s="1" t="s">
        <v>83</v>
      </c>
      <c r="AD11" s="16">
        <v>45664.63858796296</v>
      </c>
      <c r="AE11" s="1"/>
      <c r="AF11" s="1"/>
      <c r="AG11" s="1"/>
      <c r="AH11" s="1"/>
      <c r="AI11" s="1"/>
      <c r="AJ11" s="2">
        <v>0</v>
      </c>
      <c r="AK11" s="1"/>
      <c r="AL11" s="1" t="s">
        <v>83</v>
      </c>
      <c r="AM11" s="1"/>
      <c r="AN11" s="2"/>
      <c r="AO11" s="1"/>
      <c r="AP11" s="2">
        <v>3</v>
      </c>
      <c r="AQ11" s="4"/>
      <c r="AR11" s="4"/>
      <c r="AS11" s="16"/>
      <c r="AT11" s="4"/>
      <c r="AU11" s="1"/>
      <c r="AV11" s="1"/>
      <c r="AW11" s="1" t="s">
        <v>61</v>
      </c>
      <c r="AX11" s="4"/>
      <c r="AY11" s="1" t="s">
        <v>85</v>
      </c>
      <c r="AZ11" s="4"/>
      <c r="BA11" s="2"/>
      <c r="BB11" s="4"/>
      <c r="BC11" s="1"/>
      <c r="BD11" s="1" t="s">
        <v>86</v>
      </c>
    </row>
    <row r="12" spans="1:56" ht="15" hidden="1" customHeight="1" x14ac:dyDescent="0.25">
      <c r="A12" s="2">
        <v>363</v>
      </c>
      <c r="B12" s="16">
        <v>45664.641944444447</v>
      </c>
      <c r="C12" s="16">
        <v>45712.528541666667</v>
      </c>
      <c r="D12" s="16">
        <v>45712.528541666667</v>
      </c>
      <c r="E12" s="1" t="s">
        <v>118</v>
      </c>
      <c r="F12" s="7" t="s">
        <v>119</v>
      </c>
      <c r="G12" s="1" t="s">
        <v>80</v>
      </c>
      <c r="H12" s="4" t="s">
        <v>105</v>
      </c>
      <c r="I12" s="2">
        <v>2</v>
      </c>
      <c r="J12" s="1" t="s">
        <v>94</v>
      </c>
      <c r="K12" s="1" t="s">
        <v>80</v>
      </c>
      <c r="L12" s="1" t="s">
        <v>88</v>
      </c>
      <c r="M12" s="1" t="s">
        <v>83</v>
      </c>
      <c r="N12" s="1" t="s">
        <v>47</v>
      </c>
      <c r="O12" s="2"/>
      <c r="P12" s="16"/>
      <c r="Q12" s="1"/>
      <c r="R12" s="1"/>
      <c r="S12" s="16"/>
      <c r="T12" s="1"/>
      <c r="U12" s="4"/>
      <c r="V12" s="4"/>
      <c r="W12" s="1"/>
      <c r="X12" s="1" t="s">
        <v>63</v>
      </c>
      <c r="Y12" s="1"/>
      <c r="Z12" s="2"/>
      <c r="AA12" s="1"/>
      <c r="AB12" s="1"/>
      <c r="AC12" s="1" t="s">
        <v>88</v>
      </c>
      <c r="AD12" s="16">
        <v>45712.528541666667</v>
      </c>
      <c r="AE12" s="1"/>
      <c r="AF12" s="1"/>
      <c r="AG12" s="1"/>
      <c r="AH12" s="1"/>
      <c r="AI12" s="1"/>
      <c r="AJ12" s="2">
        <v>0</v>
      </c>
      <c r="AK12" s="1"/>
      <c r="AL12" s="1" t="s">
        <v>88</v>
      </c>
      <c r="AM12" s="1"/>
      <c r="AN12" s="2"/>
      <c r="AO12" s="1"/>
      <c r="AP12" s="2">
        <v>7</v>
      </c>
      <c r="AQ12" s="4"/>
      <c r="AR12" s="4"/>
      <c r="AS12" s="16"/>
      <c r="AT12" s="4"/>
      <c r="AU12" s="1"/>
      <c r="AV12" s="1"/>
      <c r="AW12" s="1" t="s">
        <v>61</v>
      </c>
      <c r="AX12" s="4"/>
      <c r="AY12" s="1" t="s">
        <v>85</v>
      </c>
      <c r="AZ12" s="4"/>
      <c r="BA12" s="2"/>
      <c r="BB12" s="4"/>
      <c r="BC12" s="1"/>
      <c r="BD12" s="1" t="s">
        <v>86</v>
      </c>
    </row>
    <row r="13" spans="1:56" ht="15" hidden="1" customHeight="1" x14ac:dyDescent="0.25">
      <c r="A13" s="2">
        <v>374</v>
      </c>
      <c r="B13" s="16">
        <v>45670.463148148148</v>
      </c>
      <c r="C13" s="16">
        <v>45702.520277777781</v>
      </c>
      <c r="D13" s="16">
        <v>45702.520277777781</v>
      </c>
      <c r="E13" s="1" t="s">
        <v>120</v>
      </c>
      <c r="F13" s="7" t="s">
        <v>111</v>
      </c>
      <c r="G13" s="1" t="s">
        <v>80</v>
      </c>
      <c r="H13" s="4" t="s">
        <v>105</v>
      </c>
      <c r="I13" s="2">
        <v>2</v>
      </c>
      <c r="J13" s="1" t="s">
        <v>94</v>
      </c>
      <c r="K13" s="1" t="s">
        <v>80</v>
      </c>
      <c r="L13" s="1" t="s">
        <v>83</v>
      </c>
      <c r="M13" s="1" t="s">
        <v>94</v>
      </c>
      <c r="N13" s="1" t="s">
        <v>47</v>
      </c>
      <c r="O13" s="2"/>
      <c r="P13" s="16"/>
      <c r="Q13" s="1"/>
      <c r="R13" s="1"/>
      <c r="S13" s="16"/>
      <c r="T13" s="1"/>
      <c r="U13" s="4"/>
      <c r="V13" s="4"/>
      <c r="W13" s="1"/>
      <c r="X13" s="1" t="s">
        <v>63</v>
      </c>
      <c r="Y13" s="1"/>
      <c r="Z13" s="2"/>
      <c r="AA13" s="1"/>
      <c r="AB13" s="1"/>
      <c r="AC13" s="1" t="s">
        <v>83</v>
      </c>
      <c r="AD13" s="16">
        <v>45702.520277777781</v>
      </c>
      <c r="AE13" s="1"/>
      <c r="AF13" s="1"/>
      <c r="AG13" s="1"/>
      <c r="AH13" s="1"/>
      <c r="AI13" s="1"/>
      <c r="AJ13" s="2">
        <v>0</v>
      </c>
      <c r="AK13" s="1"/>
      <c r="AL13" s="1" t="s">
        <v>83</v>
      </c>
      <c r="AM13" s="1"/>
      <c r="AN13" s="2"/>
      <c r="AO13" s="1"/>
      <c r="AP13" s="2">
        <v>4</v>
      </c>
      <c r="AQ13" s="4"/>
      <c r="AR13" s="4"/>
      <c r="AS13" s="16"/>
      <c r="AT13" s="4"/>
      <c r="AU13" s="1"/>
      <c r="AV13" s="1"/>
      <c r="AW13" s="1" t="s">
        <v>61</v>
      </c>
      <c r="AX13" s="4"/>
      <c r="AY13" s="1" t="s">
        <v>85</v>
      </c>
      <c r="AZ13" s="4"/>
      <c r="BA13" s="2"/>
      <c r="BB13" s="4"/>
      <c r="BC13" s="1"/>
      <c r="BD13" s="1" t="s">
        <v>86</v>
      </c>
    </row>
    <row r="14" spans="1:56" ht="15" hidden="1" customHeight="1" x14ac:dyDescent="0.25">
      <c r="A14" s="2">
        <v>375</v>
      </c>
      <c r="B14" s="16">
        <v>45670.463263888887</v>
      </c>
      <c r="C14" s="16">
        <v>45702.520208333335</v>
      </c>
      <c r="D14" s="16">
        <v>45702.520208333335</v>
      </c>
      <c r="E14" s="1" t="s">
        <v>121</v>
      </c>
      <c r="F14" s="7" t="s">
        <v>111</v>
      </c>
      <c r="G14" s="1" t="s">
        <v>80</v>
      </c>
      <c r="H14" s="4" t="s">
        <v>105</v>
      </c>
      <c r="I14" s="2">
        <v>2</v>
      </c>
      <c r="J14" s="1" t="s">
        <v>94</v>
      </c>
      <c r="K14" s="1" t="s">
        <v>80</v>
      </c>
      <c r="L14" s="1" t="s">
        <v>83</v>
      </c>
      <c r="M14" s="1" t="s">
        <v>94</v>
      </c>
      <c r="N14" s="1" t="s">
        <v>47</v>
      </c>
      <c r="O14" s="2"/>
      <c r="P14" s="16"/>
      <c r="Q14" s="1"/>
      <c r="R14" s="1"/>
      <c r="S14" s="16"/>
      <c r="T14" s="1"/>
      <c r="U14" s="4"/>
      <c r="V14" s="4"/>
      <c r="W14" s="1"/>
      <c r="X14" s="1" t="s">
        <v>63</v>
      </c>
      <c r="Y14" s="1"/>
      <c r="Z14" s="2"/>
      <c r="AA14" s="1"/>
      <c r="AB14" s="1"/>
      <c r="AC14" s="1" t="s">
        <v>83</v>
      </c>
      <c r="AD14" s="16">
        <v>45702.520208333335</v>
      </c>
      <c r="AE14" s="1"/>
      <c r="AF14" s="1"/>
      <c r="AG14" s="1"/>
      <c r="AH14" s="1"/>
      <c r="AI14" s="1"/>
      <c r="AJ14" s="2">
        <v>0</v>
      </c>
      <c r="AK14" s="1"/>
      <c r="AL14" s="1" t="s">
        <v>83</v>
      </c>
      <c r="AM14" s="1"/>
      <c r="AN14" s="2"/>
      <c r="AO14" s="1"/>
      <c r="AP14" s="2">
        <v>4</v>
      </c>
      <c r="AQ14" s="4"/>
      <c r="AR14" s="4"/>
      <c r="AS14" s="16"/>
      <c r="AT14" s="4"/>
      <c r="AU14" s="1"/>
      <c r="AV14" s="1"/>
      <c r="AW14" s="1" t="s">
        <v>61</v>
      </c>
      <c r="AX14" s="4"/>
      <c r="AY14" s="1" t="s">
        <v>85</v>
      </c>
      <c r="AZ14" s="4"/>
      <c r="BA14" s="2"/>
      <c r="BB14" s="4"/>
      <c r="BC14" s="1"/>
      <c r="BD14" s="1" t="s">
        <v>86</v>
      </c>
    </row>
    <row r="15" spans="1:56" ht="15" customHeight="1" x14ac:dyDescent="0.25">
      <c r="A15" s="2">
        <v>481</v>
      </c>
      <c r="B15" s="16">
        <v>45680.40457175926</v>
      </c>
      <c r="C15" s="16">
        <v>45986.753819444442</v>
      </c>
      <c r="D15" s="16"/>
      <c r="E15" s="1" t="s">
        <v>248</v>
      </c>
      <c r="F15" s="4"/>
      <c r="G15" s="1" t="s">
        <v>249</v>
      </c>
      <c r="H15" s="4" t="s">
        <v>575</v>
      </c>
      <c r="I15" s="2">
        <v>2</v>
      </c>
      <c r="J15" s="1" t="s">
        <v>94</v>
      </c>
      <c r="K15" s="1" t="s">
        <v>178</v>
      </c>
      <c r="L15" s="1" t="s">
        <v>81</v>
      </c>
      <c r="M15" s="1" t="s">
        <v>99</v>
      </c>
      <c r="N15" s="1" t="s">
        <v>47</v>
      </c>
      <c r="O15" s="2"/>
      <c r="P15" s="16"/>
      <c r="Q15" s="1"/>
      <c r="R15" s="1"/>
      <c r="S15" s="16"/>
      <c r="T15" s="1"/>
      <c r="U15" s="4"/>
      <c r="V15" s="4"/>
      <c r="W15" s="1"/>
      <c r="X15" s="1" t="s">
        <v>63</v>
      </c>
      <c r="Y15" s="1"/>
      <c r="Z15" s="2"/>
      <c r="AA15" s="1"/>
      <c r="AB15" s="1"/>
      <c r="AC15" s="1" t="s">
        <v>81</v>
      </c>
      <c r="AD15" s="16">
        <v>45986.753819444442</v>
      </c>
      <c r="AE15" s="1"/>
      <c r="AF15" s="1"/>
      <c r="AG15" s="1"/>
      <c r="AH15" s="1"/>
      <c r="AI15" s="1"/>
      <c r="AJ15" s="2">
        <v>0</v>
      </c>
      <c r="AK15" s="1"/>
      <c r="AL15" s="1"/>
      <c r="AM15" s="1"/>
      <c r="AN15" s="2"/>
      <c r="AO15" s="1"/>
      <c r="AP15" s="2">
        <v>2</v>
      </c>
      <c r="AQ15" s="4"/>
      <c r="AR15" s="4"/>
      <c r="AS15" s="16"/>
      <c r="AT15" s="4"/>
      <c r="AU15" s="1"/>
      <c r="AV15" s="1"/>
      <c r="AW15" s="1" t="s">
        <v>61</v>
      </c>
      <c r="AX15" s="4"/>
      <c r="AY15" s="1" t="s">
        <v>85</v>
      </c>
      <c r="AZ15" s="4"/>
      <c r="BA15" s="2"/>
      <c r="BB15" s="4"/>
      <c r="BC15" s="1"/>
      <c r="BD15" s="1" t="s">
        <v>188</v>
      </c>
    </row>
    <row r="16" spans="1:56" ht="15" hidden="1" customHeight="1" x14ac:dyDescent="0.25">
      <c r="A16" s="2">
        <v>490</v>
      </c>
      <c r="B16" s="16">
        <v>45681.438819444447</v>
      </c>
      <c r="C16" s="16">
        <v>45743.46702546296</v>
      </c>
      <c r="D16" s="16">
        <v>45743.46702546296</v>
      </c>
      <c r="E16" s="1" t="s">
        <v>123</v>
      </c>
      <c r="F16" s="4"/>
      <c r="G16" s="1" t="s">
        <v>80</v>
      </c>
      <c r="H16" s="4" t="s">
        <v>105</v>
      </c>
      <c r="I16" s="2">
        <v>2</v>
      </c>
      <c r="J16" s="1" t="s">
        <v>94</v>
      </c>
      <c r="K16" s="1" t="s">
        <v>80</v>
      </c>
      <c r="L16" s="1" t="s">
        <v>94</v>
      </c>
      <c r="M16" s="1" t="s">
        <v>99</v>
      </c>
      <c r="N16" s="1" t="s">
        <v>47</v>
      </c>
      <c r="O16" s="2"/>
      <c r="P16" s="16"/>
      <c r="Q16" s="1"/>
      <c r="R16" s="1" t="s">
        <v>94</v>
      </c>
      <c r="S16" s="16">
        <v>45743.39366898148</v>
      </c>
      <c r="T16" s="1"/>
      <c r="U16" s="4"/>
      <c r="V16" s="4"/>
      <c r="W16" s="1"/>
      <c r="X16" s="1" t="s">
        <v>63</v>
      </c>
      <c r="Y16" s="1"/>
      <c r="Z16" s="2"/>
      <c r="AA16" s="1"/>
      <c r="AB16" s="1"/>
      <c r="AC16" s="1" t="s">
        <v>94</v>
      </c>
      <c r="AD16" s="16">
        <v>45743.46702546296</v>
      </c>
      <c r="AE16" s="1"/>
      <c r="AF16" s="1"/>
      <c r="AG16" s="1"/>
      <c r="AH16" s="1"/>
      <c r="AI16" s="1"/>
      <c r="AJ16" s="2">
        <v>0</v>
      </c>
      <c r="AK16" s="1"/>
      <c r="AL16" s="1" t="s">
        <v>94</v>
      </c>
      <c r="AM16" s="1"/>
      <c r="AN16" s="2"/>
      <c r="AO16" s="1"/>
      <c r="AP16" s="2">
        <v>3</v>
      </c>
      <c r="AQ16" s="4"/>
      <c r="AR16" s="4"/>
      <c r="AS16" s="16"/>
      <c r="AT16" s="4"/>
      <c r="AU16" s="1"/>
      <c r="AV16" s="1"/>
      <c r="AW16" s="1" t="s">
        <v>61</v>
      </c>
      <c r="AX16" s="4"/>
      <c r="AY16" s="1" t="s">
        <v>85</v>
      </c>
      <c r="AZ16" s="4"/>
      <c r="BA16" s="2"/>
      <c r="BB16" s="4"/>
      <c r="BC16" s="1"/>
      <c r="BD16" s="1" t="s">
        <v>86</v>
      </c>
    </row>
    <row r="17" spans="1:56" ht="15" hidden="1" customHeight="1" x14ac:dyDescent="0.25">
      <c r="A17" s="2">
        <v>521</v>
      </c>
      <c r="B17" s="16">
        <v>45687.434016203704</v>
      </c>
      <c r="C17" s="16">
        <v>45693.440972222219</v>
      </c>
      <c r="D17" s="16">
        <v>45687.601736111108</v>
      </c>
      <c r="E17" s="1" t="s">
        <v>124</v>
      </c>
      <c r="F17" s="4"/>
      <c r="G17" s="1" t="s">
        <v>80</v>
      </c>
      <c r="H17" s="4" t="s">
        <v>95</v>
      </c>
      <c r="I17" s="2">
        <v>2</v>
      </c>
      <c r="J17" s="1" t="s">
        <v>94</v>
      </c>
      <c r="K17" s="1" t="s">
        <v>80</v>
      </c>
      <c r="L17" s="1" t="s">
        <v>94</v>
      </c>
      <c r="M17" s="1" t="s">
        <v>99</v>
      </c>
      <c r="N17" s="1" t="s">
        <v>47</v>
      </c>
      <c r="O17" s="2"/>
      <c r="P17" s="16"/>
      <c r="Q17" s="1"/>
      <c r="R17" s="1" t="s">
        <v>99</v>
      </c>
      <c r="S17" s="16">
        <v>45687.434212962966</v>
      </c>
      <c r="T17" s="1"/>
      <c r="U17" s="4"/>
      <c r="V17" s="4"/>
      <c r="W17" s="1"/>
      <c r="X17" s="1" t="s">
        <v>63</v>
      </c>
      <c r="Y17" s="1"/>
      <c r="Z17" s="2"/>
      <c r="AA17" s="1"/>
      <c r="AB17" s="1"/>
      <c r="AC17" s="1" t="s">
        <v>94</v>
      </c>
      <c r="AD17" s="16">
        <v>45693.440972222219</v>
      </c>
      <c r="AE17" s="1"/>
      <c r="AF17" s="1"/>
      <c r="AG17" s="1"/>
      <c r="AH17" s="1"/>
      <c r="AI17" s="1"/>
      <c r="AJ17" s="2">
        <v>0</v>
      </c>
      <c r="AK17" s="1"/>
      <c r="AL17" s="1" t="s">
        <v>99</v>
      </c>
      <c r="AM17" s="1"/>
      <c r="AN17" s="2"/>
      <c r="AO17" s="1"/>
      <c r="AP17" s="2">
        <v>5</v>
      </c>
      <c r="AQ17" s="4"/>
      <c r="AR17" s="4"/>
      <c r="AS17" s="16"/>
      <c r="AT17" s="4"/>
      <c r="AU17" s="1"/>
      <c r="AV17" s="1"/>
      <c r="AW17" s="1" t="s">
        <v>61</v>
      </c>
      <c r="AX17" s="4"/>
      <c r="AY17" s="1" t="s">
        <v>85</v>
      </c>
      <c r="AZ17" s="4"/>
      <c r="BA17" s="2"/>
      <c r="BB17" s="4"/>
      <c r="BC17" s="1"/>
      <c r="BD17" s="1" t="s">
        <v>86</v>
      </c>
    </row>
    <row r="18" spans="1:56" ht="15" hidden="1" customHeight="1" x14ac:dyDescent="0.25">
      <c r="A18" s="2">
        <v>523</v>
      </c>
      <c r="B18" s="16">
        <v>45687.601053240738</v>
      </c>
      <c r="C18" s="16">
        <v>45693.440949074073</v>
      </c>
      <c r="D18" s="16">
        <v>45687.601111111115</v>
      </c>
      <c r="E18" s="1" t="s">
        <v>125</v>
      </c>
      <c r="F18" s="4"/>
      <c r="G18" s="1" t="s">
        <v>80</v>
      </c>
      <c r="H18" s="4" t="s">
        <v>95</v>
      </c>
      <c r="I18" s="2">
        <v>2</v>
      </c>
      <c r="J18" s="1" t="s">
        <v>94</v>
      </c>
      <c r="K18" s="1" t="s">
        <v>80</v>
      </c>
      <c r="L18" s="1" t="s">
        <v>94</v>
      </c>
      <c r="M18" s="1" t="s">
        <v>99</v>
      </c>
      <c r="N18" s="1" t="s">
        <v>47</v>
      </c>
      <c r="O18" s="2"/>
      <c r="P18" s="16"/>
      <c r="Q18" s="1"/>
      <c r="R18" s="1"/>
      <c r="S18" s="16"/>
      <c r="T18" s="1"/>
      <c r="U18" s="4"/>
      <c r="V18" s="4"/>
      <c r="W18" s="1"/>
      <c r="X18" s="1" t="s">
        <v>63</v>
      </c>
      <c r="Y18" s="1"/>
      <c r="Z18" s="2"/>
      <c r="AA18" s="1"/>
      <c r="AB18" s="1"/>
      <c r="AC18" s="1" t="s">
        <v>94</v>
      </c>
      <c r="AD18" s="16">
        <v>45693.440949074073</v>
      </c>
      <c r="AE18" s="1"/>
      <c r="AF18" s="1"/>
      <c r="AG18" s="1"/>
      <c r="AH18" s="1"/>
      <c r="AI18" s="1"/>
      <c r="AJ18" s="2">
        <v>0</v>
      </c>
      <c r="AK18" s="1"/>
      <c r="AL18" s="1" t="s">
        <v>99</v>
      </c>
      <c r="AM18" s="1"/>
      <c r="AN18" s="2"/>
      <c r="AO18" s="1"/>
      <c r="AP18" s="2">
        <v>3</v>
      </c>
      <c r="AQ18" s="4"/>
      <c r="AR18" s="4"/>
      <c r="AS18" s="16"/>
      <c r="AT18" s="4"/>
      <c r="AU18" s="1"/>
      <c r="AV18" s="1"/>
      <c r="AW18" s="1" t="s">
        <v>61</v>
      </c>
      <c r="AX18" s="4"/>
      <c r="AY18" s="1" t="s">
        <v>85</v>
      </c>
      <c r="AZ18" s="4"/>
      <c r="BA18" s="2"/>
      <c r="BB18" s="4"/>
      <c r="BC18" s="1"/>
      <c r="BD18" s="1" t="s">
        <v>86</v>
      </c>
    </row>
    <row r="19" spans="1:56" ht="15" hidden="1" customHeight="1" x14ac:dyDescent="0.25">
      <c r="A19" s="2">
        <v>647</v>
      </c>
      <c r="B19" s="16">
        <v>45705.626643518517</v>
      </c>
      <c r="C19" s="16">
        <v>45712.528831018521</v>
      </c>
      <c r="D19" s="16">
        <v>45712.528831018521</v>
      </c>
      <c r="E19" s="1" t="s">
        <v>128</v>
      </c>
      <c r="F19" s="7" t="s">
        <v>130</v>
      </c>
      <c r="G19" s="1" t="s">
        <v>80</v>
      </c>
      <c r="H19" s="4" t="s">
        <v>129</v>
      </c>
      <c r="I19" s="2">
        <v>1</v>
      </c>
      <c r="J19" s="1" t="s">
        <v>94</v>
      </c>
      <c r="K19" s="1" t="s">
        <v>80</v>
      </c>
      <c r="L19" s="1" t="s">
        <v>88</v>
      </c>
      <c r="M19" s="1" t="s">
        <v>94</v>
      </c>
      <c r="N19" s="1" t="s">
        <v>47</v>
      </c>
      <c r="O19" s="2"/>
      <c r="P19" s="16"/>
      <c r="Q19" s="1"/>
      <c r="R19" s="1"/>
      <c r="S19" s="16"/>
      <c r="T19" s="1"/>
      <c r="U19" s="4"/>
      <c r="V19" s="4"/>
      <c r="W19" s="1"/>
      <c r="X19" s="1" t="s">
        <v>63</v>
      </c>
      <c r="Y19" s="1"/>
      <c r="Z19" s="2"/>
      <c r="AA19" s="1"/>
      <c r="AB19" s="1"/>
      <c r="AC19" s="1" t="s">
        <v>88</v>
      </c>
      <c r="AD19" s="16">
        <v>45712.528831018521</v>
      </c>
      <c r="AE19" s="1"/>
      <c r="AF19" s="1"/>
      <c r="AG19" s="1"/>
      <c r="AH19" s="1"/>
      <c r="AI19" s="1"/>
      <c r="AJ19" s="2">
        <v>0</v>
      </c>
      <c r="AK19" s="1"/>
      <c r="AL19" s="1" t="s">
        <v>88</v>
      </c>
      <c r="AM19" s="1"/>
      <c r="AN19" s="2"/>
      <c r="AO19" s="1"/>
      <c r="AP19" s="2">
        <v>3</v>
      </c>
      <c r="AQ19" s="4"/>
      <c r="AR19" s="4"/>
      <c r="AS19" s="16"/>
      <c r="AT19" s="4"/>
      <c r="AU19" s="1"/>
      <c r="AV19" s="1"/>
      <c r="AW19" s="1" t="s">
        <v>61</v>
      </c>
      <c r="AX19" s="4"/>
      <c r="AY19" s="1" t="s">
        <v>85</v>
      </c>
      <c r="AZ19" s="4"/>
      <c r="BA19" s="2"/>
      <c r="BB19" s="4"/>
      <c r="BC19" s="1"/>
      <c r="BD19" s="1" t="s">
        <v>86</v>
      </c>
    </row>
    <row r="20" spans="1:56" ht="15" hidden="1" customHeight="1" x14ac:dyDescent="0.25">
      <c r="A20" s="2">
        <v>648</v>
      </c>
      <c r="B20" s="16">
        <v>45706.42597222222</v>
      </c>
      <c r="C20" s="16">
        <v>45712.528124999997</v>
      </c>
      <c r="D20" s="16">
        <v>45712.528124999997</v>
      </c>
      <c r="E20" s="1" t="s">
        <v>131</v>
      </c>
      <c r="F20" s="4"/>
      <c r="G20" s="1" t="s">
        <v>80</v>
      </c>
      <c r="H20" s="4" t="s">
        <v>132</v>
      </c>
      <c r="I20" s="2">
        <v>2</v>
      </c>
      <c r="J20" s="1" t="s">
        <v>81</v>
      </c>
      <c r="K20" s="1" t="s">
        <v>80</v>
      </c>
      <c r="L20" s="1" t="s">
        <v>88</v>
      </c>
      <c r="M20" s="1" t="s">
        <v>81</v>
      </c>
      <c r="N20" s="1" t="s">
        <v>47</v>
      </c>
      <c r="O20" s="2"/>
      <c r="P20" s="16"/>
      <c r="Q20" s="1"/>
      <c r="R20" s="1"/>
      <c r="S20" s="16"/>
      <c r="T20" s="1"/>
      <c r="U20" s="4"/>
      <c r="V20" s="4"/>
      <c r="W20" s="1"/>
      <c r="X20" s="1" t="s">
        <v>63</v>
      </c>
      <c r="Y20" s="1"/>
      <c r="Z20" s="2"/>
      <c r="AA20" s="1"/>
      <c r="AB20" s="1"/>
      <c r="AC20" s="1" t="s">
        <v>88</v>
      </c>
      <c r="AD20" s="16">
        <v>45712.528124999997</v>
      </c>
      <c r="AE20" s="1"/>
      <c r="AF20" s="1"/>
      <c r="AG20" s="1"/>
      <c r="AH20" s="1"/>
      <c r="AI20" s="1"/>
      <c r="AJ20" s="2">
        <v>0</v>
      </c>
      <c r="AK20" s="1"/>
      <c r="AL20" s="1" t="s">
        <v>88</v>
      </c>
      <c r="AM20" s="1"/>
      <c r="AN20" s="2"/>
      <c r="AO20" s="1"/>
      <c r="AP20" s="2">
        <v>0</v>
      </c>
      <c r="AQ20" s="4"/>
      <c r="AR20" s="4"/>
      <c r="AS20" s="16"/>
      <c r="AT20" s="4"/>
      <c r="AU20" s="1"/>
      <c r="AV20" s="1"/>
      <c r="AW20" s="1" t="s">
        <v>61</v>
      </c>
      <c r="AX20" s="4"/>
      <c r="AY20" s="1" t="s">
        <v>85</v>
      </c>
      <c r="AZ20" s="4"/>
      <c r="BA20" s="2"/>
      <c r="BB20" s="4"/>
      <c r="BC20" s="1"/>
      <c r="BD20" s="1" t="s">
        <v>86</v>
      </c>
    </row>
    <row r="21" spans="1:56" ht="15" hidden="1" customHeight="1" x14ac:dyDescent="0.25">
      <c r="A21" s="2">
        <v>649</v>
      </c>
      <c r="B21" s="16">
        <v>45706.427951388891</v>
      </c>
      <c r="C21" s="16">
        <v>45740.742337962962</v>
      </c>
      <c r="D21" s="16">
        <v>45740.742337962962</v>
      </c>
      <c r="E21" s="1" t="s">
        <v>133</v>
      </c>
      <c r="F21" s="4"/>
      <c r="G21" s="1" t="s">
        <v>80</v>
      </c>
      <c r="H21" s="4" t="s">
        <v>129</v>
      </c>
      <c r="I21" s="2">
        <v>2</v>
      </c>
      <c r="J21" s="1" t="s">
        <v>94</v>
      </c>
      <c r="K21" s="1" t="s">
        <v>80</v>
      </c>
      <c r="L21" s="1" t="s">
        <v>81</v>
      </c>
      <c r="M21" s="1" t="s">
        <v>81</v>
      </c>
      <c r="N21" s="1" t="s">
        <v>47</v>
      </c>
      <c r="O21" s="2"/>
      <c r="P21" s="16"/>
      <c r="Q21" s="1"/>
      <c r="R21" s="1"/>
      <c r="S21" s="16"/>
      <c r="T21" s="1"/>
      <c r="U21" s="4"/>
      <c r="V21" s="4"/>
      <c r="W21" s="1"/>
      <c r="X21" s="1" t="s">
        <v>63</v>
      </c>
      <c r="Y21" s="1"/>
      <c r="Z21" s="2"/>
      <c r="AA21" s="1"/>
      <c r="AB21" s="1"/>
      <c r="AC21" s="1" t="s">
        <v>81</v>
      </c>
      <c r="AD21" s="16">
        <v>45740.742337962962</v>
      </c>
      <c r="AE21" s="1"/>
      <c r="AF21" s="1"/>
      <c r="AG21" s="1"/>
      <c r="AH21" s="1"/>
      <c r="AI21" s="1"/>
      <c r="AJ21" s="2">
        <v>0</v>
      </c>
      <c r="AK21" s="1"/>
      <c r="AL21" s="1" t="s">
        <v>81</v>
      </c>
      <c r="AM21" s="1"/>
      <c r="AN21" s="2"/>
      <c r="AO21" s="1"/>
      <c r="AP21" s="2">
        <v>1</v>
      </c>
      <c r="AQ21" s="4"/>
      <c r="AR21" s="4"/>
      <c r="AS21" s="16"/>
      <c r="AT21" s="4"/>
      <c r="AU21" s="1"/>
      <c r="AV21" s="1"/>
      <c r="AW21" s="1" t="s">
        <v>61</v>
      </c>
      <c r="AX21" s="4"/>
      <c r="AY21" s="1" t="s">
        <v>85</v>
      </c>
      <c r="AZ21" s="4"/>
      <c r="BA21" s="2"/>
      <c r="BB21" s="4"/>
      <c r="BC21" s="1"/>
      <c r="BD21" s="1" t="s">
        <v>86</v>
      </c>
    </row>
    <row r="22" spans="1:56" ht="15" hidden="1" customHeight="1" x14ac:dyDescent="0.25">
      <c r="A22" s="2">
        <v>650</v>
      </c>
      <c r="B22" s="16">
        <v>45706.432280092595</v>
      </c>
      <c r="C22" s="16">
        <v>45754.687337962961</v>
      </c>
      <c r="D22" s="16">
        <v>45754.687337962961</v>
      </c>
      <c r="E22" s="1" t="s">
        <v>134</v>
      </c>
      <c r="F22" s="4" t="s">
        <v>135</v>
      </c>
      <c r="G22" s="1" t="s">
        <v>80</v>
      </c>
      <c r="H22" s="4" t="s">
        <v>105</v>
      </c>
      <c r="I22" s="2">
        <v>2</v>
      </c>
      <c r="J22" s="1" t="s">
        <v>94</v>
      </c>
      <c r="K22" s="1" t="s">
        <v>80</v>
      </c>
      <c r="L22" s="1" t="s">
        <v>88</v>
      </c>
      <c r="M22" s="1" t="s">
        <v>81</v>
      </c>
      <c r="N22" s="1" t="s">
        <v>47</v>
      </c>
      <c r="O22" s="2"/>
      <c r="P22" s="16"/>
      <c r="Q22" s="1"/>
      <c r="R22" s="1"/>
      <c r="S22" s="16"/>
      <c r="T22" s="1"/>
      <c r="U22" s="4"/>
      <c r="V22" s="4"/>
      <c r="W22" s="1"/>
      <c r="X22" s="1" t="s">
        <v>63</v>
      </c>
      <c r="Y22" s="1"/>
      <c r="Z22" s="2"/>
      <c r="AA22" s="1"/>
      <c r="AB22" s="1"/>
      <c r="AC22" s="1" t="s">
        <v>88</v>
      </c>
      <c r="AD22" s="16">
        <v>45754.687337962961</v>
      </c>
      <c r="AE22" s="1"/>
      <c r="AF22" s="1"/>
      <c r="AG22" s="1"/>
      <c r="AH22" s="1"/>
      <c r="AI22" s="1"/>
      <c r="AJ22" s="2">
        <v>0</v>
      </c>
      <c r="AK22" s="1"/>
      <c r="AL22" s="1" t="s">
        <v>88</v>
      </c>
      <c r="AM22" s="1"/>
      <c r="AN22" s="2"/>
      <c r="AO22" s="1"/>
      <c r="AP22" s="2">
        <v>0</v>
      </c>
      <c r="AQ22" s="4"/>
      <c r="AR22" s="4"/>
      <c r="AS22" s="16"/>
      <c r="AT22" s="4"/>
      <c r="AU22" s="1"/>
      <c r="AV22" s="1"/>
      <c r="AW22" s="1" t="s">
        <v>61</v>
      </c>
      <c r="AX22" s="4"/>
      <c r="AY22" s="1" t="s">
        <v>85</v>
      </c>
      <c r="AZ22" s="4"/>
      <c r="BA22" s="2"/>
      <c r="BB22" s="4"/>
      <c r="BC22" s="1"/>
      <c r="BD22" s="1" t="s">
        <v>86</v>
      </c>
    </row>
    <row r="23" spans="1:56" ht="15" hidden="1" customHeight="1" x14ac:dyDescent="0.25">
      <c r="A23" s="2">
        <v>651</v>
      </c>
      <c r="B23" s="16">
        <v>45706.432951388888</v>
      </c>
      <c r="C23" s="16">
        <v>45754.687719907408</v>
      </c>
      <c r="D23" s="16">
        <v>45754.687719907408</v>
      </c>
      <c r="E23" s="1" t="s">
        <v>136</v>
      </c>
      <c r="F23" s="7" t="s">
        <v>100</v>
      </c>
      <c r="G23" s="1" t="s">
        <v>80</v>
      </c>
      <c r="H23" s="4" t="s">
        <v>105</v>
      </c>
      <c r="I23" s="2">
        <v>2</v>
      </c>
      <c r="J23" s="1" t="s">
        <v>94</v>
      </c>
      <c r="K23" s="1" t="s">
        <v>80</v>
      </c>
      <c r="L23" s="1" t="s">
        <v>88</v>
      </c>
      <c r="M23" s="1" t="s">
        <v>81</v>
      </c>
      <c r="N23" s="1" t="s">
        <v>47</v>
      </c>
      <c r="O23" s="2"/>
      <c r="P23" s="16"/>
      <c r="Q23" s="1"/>
      <c r="R23" s="1"/>
      <c r="S23" s="16"/>
      <c r="T23" s="1"/>
      <c r="U23" s="4"/>
      <c r="V23" s="4"/>
      <c r="W23" s="1"/>
      <c r="X23" s="1" t="s">
        <v>63</v>
      </c>
      <c r="Y23" s="1"/>
      <c r="Z23" s="2"/>
      <c r="AA23" s="1"/>
      <c r="AB23" s="1"/>
      <c r="AC23" s="1" t="s">
        <v>88</v>
      </c>
      <c r="AD23" s="16">
        <v>45754.687719907408</v>
      </c>
      <c r="AE23" s="1"/>
      <c r="AF23" s="1"/>
      <c r="AG23" s="1"/>
      <c r="AH23" s="1"/>
      <c r="AI23" s="1"/>
      <c r="AJ23" s="2">
        <v>0</v>
      </c>
      <c r="AK23" s="1"/>
      <c r="AL23" s="1" t="s">
        <v>88</v>
      </c>
      <c r="AM23" s="1"/>
      <c r="AN23" s="2"/>
      <c r="AO23" s="1"/>
      <c r="AP23" s="2">
        <v>0</v>
      </c>
      <c r="AQ23" s="4"/>
      <c r="AR23" s="4"/>
      <c r="AS23" s="16"/>
      <c r="AT23" s="4"/>
      <c r="AU23" s="1"/>
      <c r="AV23" s="1"/>
      <c r="AW23" s="1" t="s">
        <v>61</v>
      </c>
      <c r="AX23" s="4"/>
      <c r="AY23" s="1" t="s">
        <v>85</v>
      </c>
      <c r="AZ23" s="4"/>
      <c r="BA23" s="2"/>
      <c r="BB23" s="4"/>
      <c r="BC23" s="1"/>
      <c r="BD23" s="1" t="s">
        <v>86</v>
      </c>
    </row>
    <row r="24" spans="1:56" ht="15" hidden="1" customHeight="1" x14ac:dyDescent="0.25">
      <c r="A24" s="2">
        <v>652</v>
      </c>
      <c r="B24" s="16">
        <v>45706.433472222219</v>
      </c>
      <c r="C24" s="16">
        <v>45712.409756944442</v>
      </c>
      <c r="D24" s="16">
        <v>45712.409756944442</v>
      </c>
      <c r="E24" s="1" t="s">
        <v>137</v>
      </c>
      <c r="F24" s="4"/>
      <c r="G24" s="1" t="s">
        <v>80</v>
      </c>
      <c r="H24" s="4" t="s">
        <v>105</v>
      </c>
      <c r="I24" s="2">
        <v>2</v>
      </c>
      <c r="J24" s="1" t="s">
        <v>81</v>
      </c>
      <c r="K24" s="1" t="s">
        <v>80</v>
      </c>
      <c r="L24" s="1" t="s">
        <v>81</v>
      </c>
      <c r="M24" s="1" t="s">
        <v>81</v>
      </c>
      <c r="N24" s="1" t="s">
        <v>47</v>
      </c>
      <c r="O24" s="2"/>
      <c r="P24" s="16"/>
      <c r="Q24" s="1"/>
      <c r="R24" s="1"/>
      <c r="S24" s="16"/>
      <c r="T24" s="1"/>
      <c r="U24" s="4"/>
      <c r="V24" s="4"/>
      <c r="W24" s="1"/>
      <c r="X24" s="1" t="s">
        <v>63</v>
      </c>
      <c r="Y24" s="1"/>
      <c r="Z24" s="2"/>
      <c r="AA24" s="1"/>
      <c r="AB24" s="1"/>
      <c r="AC24" s="1" t="s">
        <v>81</v>
      </c>
      <c r="AD24" s="16">
        <v>45712.409756944442</v>
      </c>
      <c r="AE24" s="1"/>
      <c r="AF24" s="1"/>
      <c r="AG24" s="1"/>
      <c r="AH24" s="1"/>
      <c r="AI24" s="1"/>
      <c r="AJ24" s="2">
        <v>0</v>
      </c>
      <c r="AK24" s="1"/>
      <c r="AL24" s="1" t="s">
        <v>81</v>
      </c>
      <c r="AM24" s="1"/>
      <c r="AN24" s="2"/>
      <c r="AO24" s="1"/>
      <c r="AP24" s="2">
        <v>1</v>
      </c>
      <c r="AQ24" s="4"/>
      <c r="AR24" s="4"/>
      <c r="AS24" s="16"/>
      <c r="AT24" s="4"/>
      <c r="AU24" s="1"/>
      <c r="AV24" s="1"/>
      <c r="AW24" s="1" t="s">
        <v>61</v>
      </c>
      <c r="AX24" s="4"/>
      <c r="AY24" s="1" t="s">
        <v>85</v>
      </c>
      <c r="AZ24" s="4"/>
      <c r="BA24" s="2"/>
      <c r="BB24" s="4"/>
      <c r="BC24" s="1"/>
      <c r="BD24" s="1" t="s">
        <v>86</v>
      </c>
    </row>
    <row r="25" spans="1:56" ht="15" hidden="1" customHeight="1" x14ac:dyDescent="0.25">
      <c r="A25" s="2">
        <v>653</v>
      </c>
      <c r="B25" s="16">
        <v>45706.434155092589</v>
      </c>
      <c r="C25" s="16">
        <v>45796.865127314813</v>
      </c>
      <c r="D25" s="16">
        <v>45796.865127314813</v>
      </c>
      <c r="E25" s="1" t="s">
        <v>138</v>
      </c>
      <c r="F25" s="4"/>
      <c r="G25" s="1" t="s">
        <v>80</v>
      </c>
      <c r="H25" s="4" t="s">
        <v>139</v>
      </c>
      <c r="I25" s="2">
        <v>2</v>
      </c>
      <c r="J25" s="1" t="s">
        <v>94</v>
      </c>
      <c r="K25" s="1" t="s">
        <v>80</v>
      </c>
      <c r="L25" s="1" t="s">
        <v>88</v>
      </c>
      <c r="M25" s="1" t="s">
        <v>81</v>
      </c>
      <c r="N25" s="1" t="s">
        <v>47</v>
      </c>
      <c r="O25" s="2"/>
      <c r="P25" s="16"/>
      <c r="Q25" s="1"/>
      <c r="R25" s="1"/>
      <c r="S25" s="16"/>
      <c r="T25" s="1"/>
      <c r="U25" s="4"/>
      <c r="V25" s="4"/>
      <c r="W25" s="1"/>
      <c r="X25" s="1" t="s">
        <v>63</v>
      </c>
      <c r="Y25" s="1"/>
      <c r="Z25" s="2"/>
      <c r="AA25" s="1"/>
      <c r="AB25" s="1"/>
      <c r="AC25" s="1" t="s">
        <v>88</v>
      </c>
      <c r="AD25" s="16">
        <v>45796.865127314813</v>
      </c>
      <c r="AE25" s="1"/>
      <c r="AF25" s="1"/>
      <c r="AG25" s="1"/>
      <c r="AH25" s="1"/>
      <c r="AI25" s="1"/>
      <c r="AJ25" s="2">
        <v>0</v>
      </c>
      <c r="AK25" s="1"/>
      <c r="AL25" s="1" t="s">
        <v>88</v>
      </c>
      <c r="AM25" s="1"/>
      <c r="AN25" s="2"/>
      <c r="AO25" s="1"/>
      <c r="AP25" s="2">
        <v>4</v>
      </c>
      <c r="AQ25" s="4"/>
      <c r="AR25" s="4"/>
      <c r="AS25" s="16"/>
      <c r="AT25" s="4"/>
      <c r="AU25" s="1"/>
      <c r="AV25" s="1"/>
      <c r="AW25" s="1" t="s">
        <v>61</v>
      </c>
      <c r="AX25" s="4"/>
      <c r="AY25" s="1" t="s">
        <v>85</v>
      </c>
      <c r="AZ25" s="4"/>
      <c r="BA25" s="2"/>
      <c r="BB25" s="4"/>
      <c r="BC25" s="1"/>
      <c r="BD25" s="1" t="s">
        <v>86</v>
      </c>
    </row>
    <row r="26" spans="1:56" ht="15" hidden="1" customHeight="1" x14ac:dyDescent="0.25">
      <c r="A26" s="2">
        <v>656</v>
      </c>
      <c r="B26" s="16">
        <v>45706.438078703701</v>
      </c>
      <c r="C26" s="16">
        <v>45754.692256944443</v>
      </c>
      <c r="D26" s="16">
        <v>45754.692256944443</v>
      </c>
      <c r="E26" s="1" t="s">
        <v>140</v>
      </c>
      <c r="F26" s="4"/>
      <c r="G26" s="1" t="s">
        <v>80</v>
      </c>
      <c r="H26" s="4" t="s">
        <v>105</v>
      </c>
      <c r="I26" s="2">
        <v>2</v>
      </c>
      <c r="J26" s="1" t="s">
        <v>94</v>
      </c>
      <c r="K26" s="1" t="s">
        <v>80</v>
      </c>
      <c r="L26" s="1" t="s">
        <v>88</v>
      </c>
      <c r="M26" s="1" t="s">
        <v>81</v>
      </c>
      <c r="N26" s="1" t="s">
        <v>47</v>
      </c>
      <c r="O26" s="2"/>
      <c r="P26" s="16"/>
      <c r="Q26" s="1"/>
      <c r="R26" s="1"/>
      <c r="S26" s="16"/>
      <c r="T26" s="1"/>
      <c r="U26" s="4"/>
      <c r="V26" s="4"/>
      <c r="W26" s="1"/>
      <c r="X26" s="1" t="s">
        <v>63</v>
      </c>
      <c r="Y26" s="1"/>
      <c r="Z26" s="2"/>
      <c r="AA26" s="1"/>
      <c r="AB26" s="1"/>
      <c r="AC26" s="1" t="s">
        <v>88</v>
      </c>
      <c r="AD26" s="16">
        <v>45754.692256944443</v>
      </c>
      <c r="AE26" s="1"/>
      <c r="AF26" s="1"/>
      <c r="AG26" s="1"/>
      <c r="AH26" s="1"/>
      <c r="AI26" s="1"/>
      <c r="AJ26" s="2">
        <v>0</v>
      </c>
      <c r="AK26" s="1"/>
      <c r="AL26" s="1" t="s">
        <v>88</v>
      </c>
      <c r="AM26" s="1"/>
      <c r="AN26" s="2"/>
      <c r="AO26" s="1"/>
      <c r="AP26" s="2">
        <v>2</v>
      </c>
      <c r="AQ26" s="4"/>
      <c r="AR26" s="4"/>
      <c r="AS26" s="16"/>
      <c r="AT26" s="4"/>
      <c r="AU26" s="1"/>
      <c r="AV26" s="1"/>
      <c r="AW26" s="1" t="s">
        <v>61</v>
      </c>
      <c r="AX26" s="4"/>
      <c r="AY26" s="1" t="s">
        <v>85</v>
      </c>
      <c r="AZ26" s="4"/>
      <c r="BA26" s="2"/>
      <c r="BB26" s="4"/>
      <c r="BC26" s="1"/>
      <c r="BD26" s="1" t="s">
        <v>86</v>
      </c>
    </row>
    <row r="27" spans="1:56" ht="15" hidden="1" customHeight="1" x14ac:dyDescent="0.25">
      <c r="A27" s="2">
        <v>658</v>
      </c>
      <c r="B27" s="16">
        <v>45706.439236111109</v>
      </c>
      <c r="C27" s="16">
        <v>45754.690185185187</v>
      </c>
      <c r="D27" s="16">
        <v>45754.690185185187</v>
      </c>
      <c r="E27" s="1" t="s">
        <v>141</v>
      </c>
      <c r="F27" s="4"/>
      <c r="G27" s="1" t="s">
        <v>80</v>
      </c>
      <c r="H27" s="4" t="s">
        <v>105</v>
      </c>
      <c r="I27" s="2">
        <v>2</v>
      </c>
      <c r="J27" s="1" t="s">
        <v>81</v>
      </c>
      <c r="K27" s="1" t="s">
        <v>80</v>
      </c>
      <c r="L27" s="1" t="s">
        <v>88</v>
      </c>
      <c r="M27" s="1" t="s">
        <v>81</v>
      </c>
      <c r="N27" s="1" t="s">
        <v>47</v>
      </c>
      <c r="O27" s="2"/>
      <c r="P27" s="16"/>
      <c r="Q27" s="1"/>
      <c r="R27" s="1"/>
      <c r="S27" s="16"/>
      <c r="T27" s="1"/>
      <c r="U27" s="4"/>
      <c r="V27" s="4"/>
      <c r="W27" s="1"/>
      <c r="X27" s="1" t="s">
        <v>63</v>
      </c>
      <c r="Y27" s="1"/>
      <c r="Z27" s="2"/>
      <c r="AA27" s="1"/>
      <c r="AB27" s="1"/>
      <c r="AC27" s="1" t="s">
        <v>88</v>
      </c>
      <c r="AD27" s="16">
        <v>45754.690185185187</v>
      </c>
      <c r="AE27" s="1"/>
      <c r="AF27" s="1"/>
      <c r="AG27" s="1"/>
      <c r="AH27" s="1"/>
      <c r="AI27" s="1"/>
      <c r="AJ27" s="2">
        <v>0</v>
      </c>
      <c r="AK27" s="1"/>
      <c r="AL27" s="1" t="s">
        <v>88</v>
      </c>
      <c r="AM27" s="1"/>
      <c r="AN27" s="2"/>
      <c r="AO27" s="1"/>
      <c r="AP27" s="2">
        <v>1</v>
      </c>
      <c r="AQ27" s="4"/>
      <c r="AR27" s="4"/>
      <c r="AS27" s="16"/>
      <c r="AT27" s="4"/>
      <c r="AU27" s="1"/>
      <c r="AV27" s="1"/>
      <c r="AW27" s="1" t="s">
        <v>61</v>
      </c>
      <c r="AX27" s="4"/>
      <c r="AY27" s="1" t="s">
        <v>85</v>
      </c>
      <c r="AZ27" s="4"/>
      <c r="BA27" s="2"/>
      <c r="BB27" s="4"/>
      <c r="BC27" s="1"/>
      <c r="BD27" s="1" t="s">
        <v>86</v>
      </c>
    </row>
    <row r="28" spans="1:56" ht="15" hidden="1" customHeight="1" x14ac:dyDescent="0.25">
      <c r="A28" s="2">
        <v>659</v>
      </c>
      <c r="B28" s="16">
        <v>45706.439560185187</v>
      </c>
      <c r="C28" s="16">
        <v>45754.689976851849</v>
      </c>
      <c r="D28" s="16">
        <v>45754.689976851849</v>
      </c>
      <c r="E28" s="1" t="s">
        <v>142</v>
      </c>
      <c r="F28" s="4"/>
      <c r="G28" s="1" t="s">
        <v>80</v>
      </c>
      <c r="H28" s="4" t="s">
        <v>105</v>
      </c>
      <c r="I28" s="2">
        <v>2</v>
      </c>
      <c r="J28" s="1" t="s">
        <v>81</v>
      </c>
      <c r="K28" s="1" t="s">
        <v>80</v>
      </c>
      <c r="L28" s="1" t="s">
        <v>88</v>
      </c>
      <c r="M28" s="1" t="s">
        <v>81</v>
      </c>
      <c r="N28" s="1" t="s">
        <v>47</v>
      </c>
      <c r="O28" s="2"/>
      <c r="P28" s="16"/>
      <c r="Q28" s="1"/>
      <c r="R28" s="1"/>
      <c r="S28" s="16"/>
      <c r="T28" s="1"/>
      <c r="U28" s="4"/>
      <c r="V28" s="4"/>
      <c r="W28" s="1"/>
      <c r="X28" s="1" t="s">
        <v>63</v>
      </c>
      <c r="Y28" s="1"/>
      <c r="Z28" s="2"/>
      <c r="AA28" s="1"/>
      <c r="AB28" s="1"/>
      <c r="AC28" s="1" t="s">
        <v>88</v>
      </c>
      <c r="AD28" s="16">
        <v>45754.689976851849</v>
      </c>
      <c r="AE28" s="1"/>
      <c r="AF28" s="1"/>
      <c r="AG28" s="1"/>
      <c r="AH28" s="1"/>
      <c r="AI28" s="1"/>
      <c r="AJ28" s="2">
        <v>0</v>
      </c>
      <c r="AK28" s="1"/>
      <c r="AL28" s="1" t="s">
        <v>88</v>
      </c>
      <c r="AM28" s="1"/>
      <c r="AN28" s="2"/>
      <c r="AO28" s="1"/>
      <c r="AP28" s="2">
        <v>0</v>
      </c>
      <c r="AQ28" s="4"/>
      <c r="AR28" s="4"/>
      <c r="AS28" s="16"/>
      <c r="AT28" s="4"/>
      <c r="AU28" s="1"/>
      <c r="AV28" s="1"/>
      <c r="AW28" s="1" t="s">
        <v>61</v>
      </c>
      <c r="AX28" s="4"/>
      <c r="AY28" s="1" t="s">
        <v>85</v>
      </c>
      <c r="AZ28" s="4"/>
      <c r="BA28" s="2"/>
      <c r="BB28" s="4"/>
      <c r="BC28" s="1"/>
      <c r="BD28" s="1" t="s">
        <v>86</v>
      </c>
    </row>
    <row r="29" spans="1:56" ht="15" hidden="1" customHeight="1" x14ac:dyDescent="0.25">
      <c r="A29" s="2">
        <v>667</v>
      </c>
      <c r="B29" s="16">
        <v>45706.447835648149</v>
      </c>
      <c r="C29" s="16">
        <v>45831.561481481483</v>
      </c>
      <c r="D29" s="16">
        <v>45831.561481481483</v>
      </c>
      <c r="E29" s="1" t="s">
        <v>143</v>
      </c>
      <c r="F29" s="7" t="s">
        <v>145</v>
      </c>
      <c r="G29" s="1" t="s">
        <v>80</v>
      </c>
      <c r="H29" s="4" t="s">
        <v>144</v>
      </c>
      <c r="I29" s="2">
        <v>2</v>
      </c>
      <c r="J29" s="1" t="s">
        <v>81</v>
      </c>
      <c r="K29" s="1" t="s">
        <v>80</v>
      </c>
      <c r="L29" s="1" t="s">
        <v>88</v>
      </c>
      <c r="M29" s="1" t="s">
        <v>81</v>
      </c>
      <c r="N29" s="1" t="s">
        <v>47</v>
      </c>
      <c r="O29" s="2"/>
      <c r="P29" s="16"/>
      <c r="Q29" s="1"/>
      <c r="R29" s="1"/>
      <c r="S29" s="16"/>
      <c r="T29" s="1"/>
      <c r="U29" s="4"/>
      <c r="V29" s="4"/>
      <c r="W29" s="1"/>
      <c r="X29" s="1" t="s">
        <v>63</v>
      </c>
      <c r="Y29" s="1"/>
      <c r="Z29" s="2"/>
      <c r="AA29" s="1"/>
      <c r="AB29" s="1"/>
      <c r="AC29" s="1" t="s">
        <v>88</v>
      </c>
      <c r="AD29" s="16">
        <v>45831.561481481483</v>
      </c>
      <c r="AE29" s="1"/>
      <c r="AF29" s="1"/>
      <c r="AG29" s="1"/>
      <c r="AH29" s="1"/>
      <c r="AI29" s="1"/>
      <c r="AJ29" s="2">
        <v>0</v>
      </c>
      <c r="AK29" s="1"/>
      <c r="AL29" s="1" t="s">
        <v>88</v>
      </c>
      <c r="AM29" s="1"/>
      <c r="AN29" s="2"/>
      <c r="AO29" s="1"/>
      <c r="AP29" s="2">
        <v>4</v>
      </c>
      <c r="AQ29" s="4"/>
      <c r="AR29" s="4"/>
      <c r="AS29" s="16"/>
      <c r="AT29" s="4"/>
      <c r="AU29" s="1"/>
      <c r="AV29" s="1"/>
      <c r="AW29" s="1" t="s">
        <v>61</v>
      </c>
      <c r="AX29" s="4"/>
      <c r="AY29" s="1" t="s">
        <v>85</v>
      </c>
      <c r="AZ29" s="4"/>
      <c r="BA29" s="2"/>
      <c r="BB29" s="4"/>
      <c r="BC29" s="1"/>
      <c r="BD29" s="1" t="s">
        <v>86</v>
      </c>
    </row>
    <row r="30" spans="1:56" ht="15" hidden="1" customHeight="1" x14ac:dyDescent="0.25">
      <c r="A30" s="2">
        <v>668</v>
      </c>
      <c r="B30" s="16">
        <v>45706.450115740743</v>
      </c>
      <c r="C30" s="16">
        <v>45740.742361111108</v>
      </c>
      <c r="D30" s="16">
        <v>45740.742361111108</v>
      </c>
      <c r="E30" s="1" t="s">
        <v>146</v>
      </c>
      <c r="F30" s="7" t="s">
        <v>100</v>
      </c>
      <c r="G30" s="1" t="s">
        <v>80</v>
      </c>
      <c r="H30" s="4" t="s">
        <v>105</v>
      </c>
      <c r="I30" s="2">
        <v>2</v>
      </c>
      <c r="J30" s="1" t="s">
        <v>81</v>
      </c>
      <c r="K30" s="1" t="s">
        <v>80</v>
      </c>
      <c r="L30" s="1" t="s">
        <v>81</v>
      </c>
      <c r="M30" s="1" t="s">
        <v>81</v>
      </c>
      <c r="N30" s="1" t="s">
        <v>47</v>
      </c>
      <c r="O30" s="2"/>
      <c r="P30" s="16"/>
      <c r="Q30" s="1"/>
      <c r="R30" s="1"/>
      <c r="S30" s="16"/>
      <c r="T30" s="1"/>
      <c r="U30" s="4"/>
      <c r="V30" s="4"/>
      <c r="W30" s="1"/>
      <c r="X30" s="1" t="s">
        <v>63</v>
      </c>
      <c r="Y30" s="1"/>
      <c r="Z30" s="2"/>
      <c r="AA30" s="1"/>
      <c r="AB30" s="1"/>
      <c r="AC30" s="1" t="s">
        <v>81</v>
      </c>
      <c r="AD30" s="16">
        <v>45740.742361111108</v>
      </c>
      <c r="AE30" s="1"/>
      <c r="AF30" s="1"/>
      <c r="AG30" s="1"/>
      <c r="AH30" s="1"/>
      <c r="AI30" s="1"/>
      <c r="AJ30" s="2">
        <v>0</v>
      </c>
      <c r="AK30" s="1"/>
      <c r="AL30" s="1" t="s">
        <v>81</v>
      </c>
      <c r="AM30" s="1"/>
      <c r="AN30" s="2"/>
      <c r="AO30" s="1"/>
      <c r="AP30" s="2">
        <v>0</v>
      </c>
      <c r="AQ30" s="4"/>
      <c r="AR30" s="4"/>
      <c r="AS30" s="16"/>
      <c r="AT30" s="4"/>
      <c r="AU30" s="1"/>
      <c r="AV30" s="1"/>
      <c r="AW30" s="1" t="s">
        <v>61</v>
      </c>
      <c r="AX30" s="4"/>
      <c r="AY30" s="1" t="s">
        <v>85</v>
      </c>
      <c r="AZ30" s="4"/>
      <c r="BA30" s="2"/>
      <c r="BB30" s="4"/>
      <c r="BC30" s="1"/>
      <c r="BD30" s="1" t="s">
        <v>86</v>
      </c>
    </row>
    <row r="31" spans="1:56" ht="15" hidden="1" customHeight="1" x14ac:dyDescent="0.25">
      <c r="A31" s="2">
        <v>688</v>
      </c>
      <c r="B31" s="16">
        <v>45709.587233796294</v>
      </c>
      <c r="C31" s="16">
        <v>45803.709004629629</v>
      </c>
      <c r="D31" s="16">
        <v>45803.709004629629</v>
      </c>
      <c r="E31" s="1" t="s">
        <v>148</v>
      </c>
      <c r="F31" s="4"/>
      <c r="G31" s="1" t="s">
        <v>80</v>
      </c>
      <c r="H31" s="4" t="s">
        <v>149</v>
      </c>
      <c r="I31" s="2">
        <v>1</v>
      </c>
      <c r="J31" s="1" t="s">
        <v>81</v>
      </c>
      <c r="K31" s="1" t="s">
        <v>80</v>
      </c>
      <c r="L31" s="1" t="s">
        <v>88</v>
      </c>
      <c r="M31" s="1" t="s">
        <v>81</v>
      </c>
      <c r="N31" s="1" t="s">
        <v>47</v>
      </c>
      <c r="O31" s="2"/>
      <c r="P31" s="16"/>
      <c r="Q31" s="1"/>
      <c r="R31" s="1"/>
      <c r="S31" s="16"/>
      <c r="T31" s="1"/>
      <c r="U31" s="4"/>
      <c r="V31" s="4"/>
      <c r="W31" s="1"/>
      <c r="X31" s="1" t="s">
        <v>63</v>
      </c>
      <c r="Y31" s="1"/>
      <c r="Z31" s="2"/>
      <c r="AA31" s="1"/>
      <c r="AB31" s="1"/>
      <c r="AC31" s="1" t="s">
        <v>88</v>
      </c>
      <c r="AD31" s="16">
        <v>45803.709004629629</v>
      </c>
      <c r="AE31" s="1"/>
      <c r="AF31" s="1"/>
      <c r="AG31" s="1"/>
      <c r="AH31" s="1"/>
      <c r="AI31" s="1"/>
      <c r="AJ31" s="2">
        <v>0</v>
      </c>
      <c r="AK31" s="1"/>
      <c r="AL31" s="1" t="s">
        <v>88</v>
      </c>
      <c r="AM31" s="1"/>
      <c r="AN31" s="2"/>
      <c r="AO31" s="1"/>
      <c r="AP31" s="2">
        <v>2</v>
      </c>
      <c r="AQ31" s="4"/>
      <c r="AR31" s="4"/>
      <c r="AS31" s="16"/>
      <c r="AT31" s="4"/>
      <c r="AU31" s="1"/>
      <c r="AV31" s="1"/>
      <c r="AW31" s="1" t="s">
        <v>61</v>
      </c>
      <c r="AX31" s="4"/>
      <c r="AY31" s="1" t="s">
        <v>85</v>
      </c>
      <c r="AZ31" s="4"/>
      <c r="BA31" s="2"/>
      <c r="BB31" s="4"/>
      <c r="BC31" s="1"/>
      <c r="BD31" s="1" t="s">
        <v>86</v>
      </c>
    </row>
    <row r="32" spans="1:56" ht="15" hidden="1" customHeight="1" x14ac:dyDescent="0.25">
      <c r="A32" s="2">
        <v>697</v>
      </c>
      <c r="B32" s="16">
        <v>45712.492731481485</v>
      </c>
      <c r="C32" s="16">
        <v>45754.696481481478</v>
      </c>
      <c r="D32" s="16">
        <v>45754.696481481478</v>
      </c>
      <c r="E32" s="1" t="s">
        <v>150</v>
      </c>
      <c r="F32" s="7" t="s">
        <v>175</v>
      </c>
      <c r="G32" s="1" t="s">
        <v>80</v>
      </c>
      <c r="H32" s="4" t="s">
        <v>105</v>
      </c>
      <c r="I32" s="2">
        <v>2</v>
      </c>
      <c r="J32" s="1" t="s">
        <v>94</v>
      </c>
      <c r="K32" s="1" t="s">
        <v>80</v>
      </c>
      <c r="L32" s="1" t="s">
        <v>88</v>
      </c>
      <c r="M32" s="1" t="s">
        <v>81</v>
      </c>
      <c r="N32" s="1" t="s">
        <v>47</v>
      </c>
      <c r="O32" s="2"/>
      <c r="P32" s="16"/>
      <c r="Q32" s="1"/>
      <c r="R32" s="1"/>
      <c r="S32" s="16"/>
      <c r="T32" s="1"/>
      <c r="U32" s="4"/>
      <c r="V32" s="4"/>
      <c r="W32" s="1"/>
      <c r="X32" s="1" t="s">
        <v>63</v>
      </c>
      <c r="Y32" s="1"/>
      <c r="Z32" s="2"/>
      <c r="AA32" s="1"/>
      <c r="AB32" s="1"/>
      <c r="AC32" s="1" t="s">
        <v>88</v>
      </c>
      <c r="AD32" s="16">
        <v>45754.696481481478</v>
      </c>
      <c r="AE32" s="1"/>
      <c r="AF32" s="1"/>
      <c r="AG32" s="1"/>
      <c r="AH32" s="1"/>
      <c r="AI32" s="1"/>
      <c r="AJ32" s="2">
        <v>0</v>
      </c>
      <c r="AK32" s="1"/>
      <c r="AL32" s="1" t="s">
        <v>88</v>
      </c>
      <c r="AM32" s="1"/>
      <c r="AN32" s="2"/>
      <c r="AO32" s="1"/>
      <c r="AP32" s="2">
        <v>2</v>
      </c>
      <c r="AQ32" s="4"/>
      <c r="AR32" s="4"/>
      <c r="AS32" s="16"/>
      <c r="AT32" s="4"/>
      <c r="AU32" s="1"/>
      <c r="AV32" s="1"/>
      <c r="AW32" s="1" t="s">
        <v>61</v>
      </c>
      <c r="AX32" s="4"/>
      <c r="AY32" s="1" t="s">
        <v>85</v>
      </c>
      <c r="AZ32" s="4"/>
      <c r="BA32" s="2"/>
      <c r="BB32" s="4"/>
      <c r="BC32" s="1"/>
      <c r="BD32" s="1" t="s">
        <v>86</v>
      </c>
    </row>
    <row r="33" spans="1:56" ht="15" hidden="1" customHeight="1" x14ac:dyDescent="0.25">
      <c r="A33" s="2">
        <v>792</v>
      </c>
      <c r="B33" s="16">
        <v>45735.658680555556</v>
      </c>
      <c r="C33" s="16">
        <v>45740.742268518516</v>
      </c>
      <c r="D33" s="16">
        <v>45740.742268518516</v>
      </c>
      <c r="E33" s="1" t="s">
        <v>151</v>
      </c>
      <c r="F33" s="7" t="s">
        <v>176</v>
      </c>
      <c r="G33" s="1" t="s">
        <v>80</v>
      </c>
      <c r="H33" s="4" t="s">
        <v>132</v>
      </c>
      <c r="I33" s="2">
        <v>2</v>
      </c>
      <c r="J33" s="1" t="s">
        <v>94</v>
      </c>
      <c r="K33" s="1" t="s">
        <v>80</v>
      </c>
      <c r="L33" s="1" t="s">
        <v>81</v>
      </c>
      <c r="M33" s="1" t="s">
        <v>81</v>
      </c>
      <c r="N33" s="1" t="s">
        <v>47</v>
      </c>
      <c r="O33" s="2"/>
      <c r="P33" s="16"/>
      <c r="Q33" s="1"/>
      <c r="R33" s="1"/>
      <c r="S33" s="16"/>
      <c r="T33" s="1"/>
      <c r="U33" s="4"/>
      <c r="V33" s="4"/>
      <c r="W33" s="1"/>
      <c r="X33" s="1" t="s">
        <v>63</v>
      </c>
      <c r="Y33" s="1"/>
      <c r="Z33" s="2"/>
      <c r="AA33" s="1"/>
      <c r="AB33" s="1"/>
      <c r="AC33" s="1" t="s">
        <v>81</v>
      </c>
      <c r="AD33" s="16">
        <v>45740.742268518516</v>
      </c>
      <c r="AE33" s="1"/>
      <c r="AF33" s="1"/>
      <c r="AG33" s="1"/>
      <c r="AH33" s="1"/>
      <c r="AI33" s="1"/>
      <c r="AJ33" s="2">
        <v>0</v>
      </c>
      <c r="AK33" s="1"/>
      <c r="AL33" s="1" t="s">
        <v>81</v>
      </c>
      <c r="AM33" s="1"/>
      <c r="AN33" s="2"/>
      <c r="AO33" s="1"/>
      <c r="AP33" s="2">
        <v>1</v>
      </c>
      <c r="AQ33" s="4"/>
      <c r="AR33" s="4"/>
      <c r="AS33" s="16"/>
      <c r="AT33" s="4"/>
      <c r="AU33" s="1"/>
      <c r="AV33" s="1"/>
      <c r="AW33" s="1" t="s">
        <v>61</v>
      </c>
      <c r="AX33" s="4"/>
      <c r="AY33" s="1" t="s">
        <v>85</v>
      </c>
      <c r="AZ33" s="4"/>
      <c r="BA33" s="2"/>
      <c r="BB33" s="4"/>
      <c r="BC33" s="1"/>
      <c r="BD33" s="1" t="s">
        <v>86</v>
      </c>
    </row>
    <row r="34" spans="1:56" ht="15" hidden="1" customHeight="1" x14ac:dyDescent="0.25">
      <c r="A34" s="2">
        <v>820</v>
      </c>
      <c r="B34" s="16">
        <v>45744.656342592592</v>
      </c>
      <c r="C34" s="16">
        <v>45821.628379629627</v>
      </c>
      <c r="D34" s="16">
        <v>45821.628379629627</v>
      </c>
      <c r="E34" s="1" t="s">
        <v>152</v>
      </c>
      <c r="F34" s="4"/>
      <c r="G34" s="1" t="s">
        <v>80</v>
      </c>
      <c r="H34" s="4" t="s">
        <v>129</v>
      </c>
      <c r="I34" s="2">
        <v>2</v>
      </c>
      <c r="J34" s="1" t="s">
        <v>94</v>
      </c>
      <c r="K34" s="1" t="s">
        <v>80</v>
      </c>
      <c r="L34" s="1" t="s">
        <v>84</v>
      </c>
      <c r="M34" s="1" t="s">
        <v>81</v>
      </c>
      <c r="N34" s="1" t="s">
        <v>47</v>
      </c>
      <c r="O34" s="2"/>
      <c r="P34" s="16"/>
      <c r="Q34" s="1"/>
      <c r="R34" s="1"/>
      <c r="S34" s="16"/>
      <c r="T34" s="1"/>
      <c r="U34" s="4"/>
      <c r="V34" s="4"/>
      <c r="W34" s="1"/>
      <c r="X34" s="1" t="s">
        <v>63</v>
      </c>
      <c r="Y34" s="1"/>
      <c r="Z34" s="2"/>
      <c r="AA34" s="1"/>
      <c r="AB34" s="1"/>
      <c r="AC34" s="1" t="s">
        <v>84</v>
      </c>
      <c r="AD34" s="16">
        <v>45821.628379629627</v>
      </c>
      <c r="AE34" s="1"/>
      <c r="AF34" s="1"/>
      <c r="AG34" s="1"/>
      <c r="AH34" s="1"/>
      <c r="AI34" s="1"/>
      <c r="AJ34" s="2">
        <v>0</v>
      </c>
      <c r="AK34" s="1"/>
      <c r="AL34" s="1" t="s">
        <v>84</v>
      </c>
      <c r="AM34" s="1"/>
      <c r="AN34" s="2"/>
      <c r="AO34" s="1"/>
      <c r="AP34" s="2">
        <v>1</v>
      </c>
      <c r="AQ34" s="4"/>
      <c r="AR34" s="4"/>
      <c r="AS34" s="16"/>
      <c r="AT34" s="4"/>
      <c r="AU34" s="1"/>
      <c r="AV34" s="1"/>
      <c r="AW34" s="1" t="s">
        <v>61</v>
      </c>
      <c r="AX34" s="4"/>
      <c r="AY34" s="1" t="s">
        <v>85</v>
      </c>
      <c r="AZ34" s="4"/>
      <c r="BA34" s="2"/>
      <c r="BB34" s="4"/>
      <c r="BC34" s="1"/>
      <c r="BD34" s="1" t="s">
        <v>86</v>
      </c>
    </row>
    <row r="35" spans="1:56" ht="15" hidden="1" customHeight="1" x14ac:dyDescent="0.25">
      <c r="A35" s="2">
        <v>832</v>
      </c>
      <c r="B35" s="16">
        <v>45749.456388888888</v>
      </c>
      <c r="C35" s="16">
        <v>45789.882962962962</v>
      </c>
      <c r="D35" s="16">
        <v>45789.882962962962</v>
      </c>
      <c r="E35" s="1" t="s">
        <v>153</v>
      </c>
      <c r="F35" s="4"/>
      <c r="G35" s="1" t="s">
        <v>80</v>
      </c>
      <c r="H35" s="4" t="s">
        <v>110</v>
      </c>
      <c r="I35" s="2">
        <v>2</v>
      </c>
      <c r="J35" s="1" t="s">
        <v>94</v>
      </c>
      <c r="K35" s="1" t="s">
        <v>80</v>
      </c>
      <c r="L35" s="1" t="s">
        <v>88</v>
      </c>
      <c r="M35" s="1" t="s">
        <v>81</v>
      </c>
      <c r="N35" s="1" t="s">
        <v>47</v>
      </c>
      <c r="O35" s="2"/>
      <c r="P35" s="16"/>
      <c r="Q35" s="1"/>
      <c r="R35" s="1"/>
      <c r="S35" s="16"/>
      <c r="T35" s="1"/>
      <c r="U35" s="4"/>
      <c r="V35" s="4"/>
      <c r="W35" s="1"/>
      <c r="X35" s="1" t="s">
        <v>63</v>
      </c>
      <c r="Y35" s="1"/>
      <c r="Z35" s="2"/>
      <c r="AA35" s="1"/>
      <c r="AB35" s="1"/>
      <c r="AC35" s="1" t="s">
        <v>88</v>
      </c>
      <c r="AD35" s="16">
        <v>45789.882962962962</v>
      </c>
      <c r="AE35" s="1"/>
      <c r="AF35" s="1"/>
      <c r="AG35" s="1"/>
      <c r="AH35" s="1"/>
      <c r="AI35" s="1"/>
      <c r="AJ35" s="2">
        <v>0</v>
      </c>
      <c r="AK35" s="1"/>
      <c r="AL35" s="1" t="s">
        <v>88</v>
      </c>
      <c r="AM35" s="1"/>
      <c r="AN35" s="2"/>
      <c r="AO35" s="1"/>
      <c r="AP35" s="2">
        <v>2</v>
      </c>
      <c r="AQ35" s="4"/>
      <c r="AR35" s="4"/>
      <c r="AS35" s="16"/>
      <c r="AT35" s="4"/>
      <c r="AU35" s="1"/>
      <c r="AV35" s="1"/>
      <c r="AW35" s="1" t="s">
        <v>61</v>
      </c>
      <c r="AX35" s="4"/>
      <c r="AY35" s="1" t="s">
        <v>85</v>
      </c>
      <c r="AZ35" s="4"/>
      <c r="BA35" s="2"/>
      <c r="BB35" s="4"/>
      <c r="BC35" s="1"/>
      <c r="BD35" s="1" t="s">
        <v>86</v>
      </c>
    </row>
    <row r="36" spans="1:56" ht="15" hidden="1" customHeight="1" x14ac:dyDescent="0.25">
      <c r="A36" s="2">
        <v>833</v>
      </c>
      <c r="B36" s="16">
        <v>45749.456620370373</v>
      </c>
      <c r="C36" s="16">
        <v>45789.882916666669</v>
      </c>
      <c r="D36" s="16">
        <v>45789.882916666669</v>
      </c>
      <c r="E36" s="1" t="s">
        <v>154</v>
      </c>
      <c r="F36" s="4"/>
      <c r="G36" s="1" t="s">
        <v>80</v>
      </c>
      <c r="H36" s="4" t="s">
        <v>110</v>
      </c>
      <c r="I36" s="2">
        <v>2</v>
      </c>
      <c r="J36" s="1" t="s">
        <v>94</v>
      </c>
      <c r="K36" s="1" t="s">
        <v>80</v>
      </c>
      <c r="L36" s="1" t="s">
        <v>88</v>
      </c>
      <c r="M36" s="1" t="s">
        <v>81</v>
      </c>
      <c r="N36" s="1" t="s">
        <v>47</v>
      </c>
      <c r="O36" s="2"/>
      <c r="P36" s="16"/>
      <c r="Q36" s="1"/>
      <c r="R36" s="1"/>
      <c r="S36" s="16"/>
      <c r="T36" s="1"/>
      <c r="U36" s="4"/>
      <c r="V36" s="4"/>
      <c r="W36" s="1"/>
      <c r="X36" s="1" t="s">
        <v>63</v>
      </c>
      <c r="Y36" s="1"/>
      <c r="Z36" s="2"/>
      <c r="AA36" s="1"/>
      <c r="AB36" s="1"/>
      <c r="AC36" s="1" t="s">
        <v>88</v>
      </c>
      <c r="AD36" s="16">
        <v>45789.882916666669</v>
      </c>
      <c r="AE36" s="1"/>
      <c r="AF36" s="1"/>
      <c r="AG36" s="1"/>
      <c r="AH36" s="1"/>
      <c r="AI36" s="1"/>
      <c r="AJ36" s="2">
        <v>0</v>
      </c>
      <c r="AK36" s="1"/>
      <c r="AL36" s="1" t="s">
        <v>88</v>
      </c>
      <c r="AM36" s="1"/>
      <c r="AN36" s="2"/>
      <c r="AO36" s="1"/>
      <c r="AP36" s="2">
        <v>3</v>
      </c>
      <c r="AQ36" s="4"/>
      <c r="AR36" s="4"/>
      <c r="AS36" s="16"/>
      <c r="AT36" s="4"/>
      <c r="AU36" s="1"/>
      <c r="AV36" s="1"/>
      <c r="AW36" s="1" t="s">
        <v>61</v>
      </c>
      <c r="AX36" s="4"/>
      <c r="AY36" s="1" t="s">
        <v>85</v>
      </c>
      <c r="AZ36" s="4"/>
      <c r="BA36" s="2"/>
      <c r="BB36" s="4"/>
      <c r="BC36" s="1"/>
      <c r="BD36" s="1" t="s">
        <v>86</v>
      </c>
    </row>
    <row r="37" spans="1:56" ht="15" hidden="1" customHeight="1" x14ac:dyDescent="0.25">
      <c r="A37" s="2">
        <v>834</v>
      </c>
      <c r="B37" s="16">
        <v>45749.456828703704</v>
      </c>
      <c r="C37" s="16">
        <v>45789.882094907407</v>
      </c>
      <c r="D37" s="16">
        <v>45789.882094907407</v>
      </c>
      <c r="E37" s="1" t="s">
        <v>155</v>
      </c>
      <c r="F37" s="4"/>
      <c r="G37" s="1" t="s">
        <v>80</v>
      </c>
      <c r="H37" s="4" t="s">
        <v>110</v>
      </c>
      <c r="I37" s="2">
        <v>2</v>
      </c>
      <c r="J37" s="1" t="s">
        <v>94</v>
      </c>
      <c r="K37" s="1" t="s">
        <v>80</v>
      </c>
      <c r="L37" s="1" t="s">
        <v>88</v>
      </c>
      <c r="M37" s="1" t="s">
        <v>81</v>
      </c>
      <c r="N37" s="1" t="s">
        <v>47</v>
      </c>
      <c r="O37" s="2"/>
      <c r="P37" s="16"/>
      <c r="Q37" s="1"/>
      <c r="R37" s="1"/>
      <c r="S37" s="16"/>
      <c r="T37" s="1"/>
      <c r="U37" s="4"/>
      <c r="V37" s="4"/>
      <c r="W37" s="1"/>
      <c r="X37" s="1" t="s">
        <v>63</v>
      </c>
      <c r="Y37" s="1"/>
      <c r="Z37" s="2"/>
      <c r="AA37" s="1"/>
      <c r="AB37" s="1"/>
      <c r="AC37" s="1" t="s">
        <v>88</v>
      </c>
      <c r="AD37" s="16">
        <v>45789.882094907407</v>
      </c>
      <c r="AE37" s="1"/>
      <c r="AF37" s="1"/>
      <c r="AG37" s="1"/>
      <c r="AH37" s="1"/>
      <c r="AI37" s="1"/>
      <c r="AJ37" s="2">
        <v>0</v>
      </c>
      <c r="AK37" s="1"/>
      <c r="AL37" s="1" t="s">
        <v>88</v>
      </c>
      <c r="AM37" s="1"/>
      <c r="AN37" s="2"/>
      <c r="AO37" s="1"/>
      <c r="AP37" s="2">
        <v>3</v>
      </c>
      <c r="AQ37" s="4"/>
      <c r="AR37" s="4"/>
      <c r="AS37" s="16"/>
      <c r="AT37" s="4"/>
      <c r="AU37" s="1"/>
      <c r="AV37" s="1"/>
      <c r="AW37" s="1" t="s">
        <v>61</v>
      </c>
      <c r="AX37" s="4"/>
      <c r="AY37" s="1" t="s">
        <v>85</v>
      </c>
      <c r="AZ37" s="4"/>
      <c r="BA37" s="2"/>
      <c r="BB37" s="4"/>
      <c r="BC37" s="1"/>
      <c r="BD37" s="1" t="s">
        <v>86</v>
      </c>
    </row>
    <row r="38" spans="1:56" ht="15" hidden="1" customHeight="1" x14ac:dyDescent="0.25">
      <c r="A38" s="2">
        <v>902</v>
      </c>
      <c r="B38" s="16">
        <v>45777.576828703706</v>
      </c>
      <c r="C38" s="16">
        <v>45986.711481481485</v>
      </c>
      <c r="D38" s="16"/>
      <c r="E38" s="1" t="s">
        <v>263</v>
      </c>
      <c r="F38" s="7" t="s">
        <v>275</v>
      </c>
      <c r="G38" s="1" t="s">
        <v>469</v>
      </c>
      <c r="H38" s="4" t="s">
        <v>579</v>
      </c>
      <c r="I38" s="2">
        <v>1</v>
      </c>
      <c r="J38" s="1" t="s">
        <v>94</v>
      </c>
      <c r="K38" s="1" t="s">
        <v>178</v>
      </c>
      <c r="L38" s="1" t="s">
        <v>81</v>
      </c>
      <c r="M38" s="1" t="s">
        <v>81</v>
      </c>
      <c r="N38" s="1" t="s">
        <v>47</v>
      </c>
      <c r="O38" s="2"/>
      <c r="P38" s="16"/>
      <c r="Q38" s="1"/>
      <c r="R38" s="1"/>
      <c r="S38" s="16"/>
      <c r="T38" s="1"/>
      <c r="U38" s="4"/>
      <c r="V38" s="4"/>
      <c r="W38" s="1"/>
      <c r="X38" s="1" t="s">
        <v>63</v>
      </c>
      <c r="Y38" s="1"/>
      <c r="Z38" s="2"/>
      <c r="AA38" s="1"/>
      <c r="AB38" s="1"/>
      <c r="AC38" s="1" t="s">
        <v>81</v>
      </c>
      <c r="AD38" s="16">
        <v>45986.711481481485</v>
      </c>
      <c r="AE38" s="1"/>
      <c r="AF38" s="1"/>
      <c r="AG38" s="1"/>
      <c r="AH38" s="1"/>
      <c r="AI38" s="1"/>
      <c r="AJ38" s="2">
        <v>0</v>
      </c>
      <c r="AK38" s="1"/>
      <c r="AL38" s="1"/>
      <c r="AM38" s="1"/>
      <c r="AN38" s="2"/>
      <c r="AO38" s="1"/>
      <c r="AP38" s="2">
        <v>1</v>
      </c>
      <c r="AQ38" s="4"/>
      <c r="AR38" s="4"/>
      <c r="AS38" s="16"/>
      <c r="AT38" s="4"/>
      <c r="AU38" s="1"/>
      <c r="AV38" s="1"/>
      <c r="AW38" s="1" t="s">
        <v>61</v>
      </c>
      <c r="AX38" s="4"/>
      <c r="AY38" s="1" t="s">
        <v>85</v>
      </c>
      <c r="AZ38" s="4"/>
      <c r="BA38" s="2"/>
      <c r="BB38" s="4"/>
      <c r="BC38" s="1"/>
      <c r="BD38" s="1" t="s">
        <v>188</v>
      </c>
    </row>
    <row r="39" spans="1:56" ht="15" hidden="1" customHeight="1" x14ac:dyDescent="0.25">
      <c r="A39" s="2">
        <v>952</v>
      </c>
      <c r="B39" s="16">
        <v>45791.671759259261</v>
      </c>
      <c r="C39" s="16">
        <v>45841.349907407406</v>
      </c>
      <c r="D39" s="16">
        <v>45841.349907407406</v>
      </c>
      <c r="E39" s="1" t="s">
        <v>158</v>
      </c>
      <c r="F39" s="7" t="s">
        <v>159</v>
      </c>
      <c r="G39" s="1" t="s">
        <v>80</v>
      </c>
      <c r="H39" s="4" t="s">
        <v>129</v>
      </c>
      <c r="I39" s="2">
        <v>2</v>
      </c>
      <c r="J39" s="1" t="s">
        <v>94</v>
      </c>
      <c r="K39" s="1" t="s">
        <v>80</v>
      </c>
      <c r="L39" s="1" t="s">
        <v>88</v>
      </c>
      <c r="M39" s="1" t="s">
        <v>94</v>
      </c>
      <c r="N39" s="1" t="s">
        <v>47</v>
      </c>
      <c r="O39" s="2"/>
      <c r="P39" s="16"/>
      <c r="Q39" s="1"/>
      <c r="R39" s="1"/>
      <c r="S39" s="16"/>
      <c r="T39" s="1"/>
      <c r="U39" s="4"/>
      <c r="V39" s="4"/>
      <c r="W39" s="1"/>
      <c r="X39" s="1" t="s">
        <v>63</v>
      </c>
      <c r="Y39" s="1"/>
      <c r="Z39" s="2"/>
      <c r="AA39" s="1"/>
      <c r="AB39" s="1"/>
      <c r="AC39" s="1" t="s">
        <v>88</v>
      </c>
      <c r="AD39" s="16">
        <v>45841.349907407406</v>
      </c>
      <c r="AE39" s="1"/>
      <c r="AF39" s="1"/>
      <c r="AG39" s="1"/>
      <c r="AH39" s="1"/>
      <c r="AI39" s="1"/>
      <c r="AJ39" s="2">
        <v>0</v>
      </c>
      <c r="AK39" s="1"/>
      <c r="AL39" s="1" t="s">
        <v>88</v>
      </c>
      <c r="AM39" s="1"/>
      <c r="AN39" s="2"/>
      <c r="AO39" s="1"/>
      <c r="AP39" s="2">
        <v>3</v>
      </c>
      <c r="AQ39" s="4"/>
      <c r="AR39" s="4"/>
      <c r="AS39" s="16"/>
      <c r="AT39" s="4"/>
      <c r="AU39" s="1"/>
      <c r="AV39" s="1"/>
      <c r="AW39" s="1" t="s">
        <v>61</v>
      </c>
      <c r="AX39" s="4"/>
      <c r="AY39" s="1" t="s">
        <v>85</v>
      </c>
      <c r="AZ39" s="4"/>
      <c r="BA39" s="2"/>
      <c r="BB39" s="4"/>
      <c r="BC39" s="1"/>
      <c r="BD39" s="1" t="s">
        <v>86</v>
      </c>
    </row>
    <row r="40" spans="1:56" ht="15" hidden="1" customHeight="1" x14ac:dyDescent="0.25">
      <c r="A40" s="2">
        <v>1048</v>
      </c>
      <c r="B40" s="16">
        <v>45798.668854166666</v>
      </c>
      <c r="C40" s="16">
        <v>45821.628622685188</v>
      </c>
      <c r="D40" s="16">
        <v>45821.628622685188</v>
      </c>
      <c r="E40" s="1" t="s">
        <v>160</v>
      </c>
      <c r="F40" s="4"/>
      <c r="G40" s="1" t="s">
        <v>80</v>
      </c>
      <c r="H40" s="4" t="s">
        <v>105</v>
      </c>
      <c r="I40" s="2">
        <v>2</v>
      </c>
      <c r="J40" s="1" t="s">
        <v>81</v>
      </c>
      <c r="K40" s="1" t="s">
        <v>80</v>
      </c>
      <c r="L40" s="1" t="s">
        <v>84</v>
      </c>
      <c r="M40" s="1" t="s">
        <v>81</v>
      </c>
      <c r="N40" s="1" t="s">
        <v>47</v>
      </c>
      <c r="O40" s="2"/>
      <c r="P40" s="16"/>
      <c r="Q40" s="1"/>
      <c r="R40" s="1"/>
      <c r="S40" s="16"/>
      <c r="T40" s="1"/>
      <c r="U40" s="4"/>
      <c r="V40" s="4"/>
      <c r="W40" s="1"/>
      <c r="X40" s="1" t="s">
        <v>63</v>
      </c>
      <c r="Y40" s="1"/>
      <c r="Z40" s="2"/>
      <c r="AA40" s="1"/>
      <c r="AB40" s="1"/>
      <c r="AC40" s="1" t="s">
        <v>84</v>
      </c>
      <c r="AD40" s="16">
        <v>45821.628622685188</v>
      </c>
      <c r="AE40" s="1"/>
      <c r="AF40" s="1"/>
      <c r="AG40" s="1"/>
      <c r="AH40" s="1"/>
      <c r="AI40" s="1"/>
      <c r="AJ40" s="2">
        <v>0</v>
      </c>
      <c r="AK40" s="1"/>
      <c r="AL40" s="1" t="s">
        <v>84</v>
      </c>
      <c r="AM40" s="1"/>
      <c r="AN40" s="2"/>
      <c r="AO40" s="1"/>
      <c r="AP40" s="2">
        <v>0</v>
      </c>
      <c r="AQ40" s="4"/>
      <c r="AR40" s="4"/>
      <c r="AS40" s="16"/>
      <c r="AT40" s="4"/>
      <c r="AU40" s="1"/>
      <c r="AV40" s="1"/>
      <c r="AW40" s="1" t="s">
        <v>61</v>
      </c>
      <c r="AX40" s="4"/>
      <c r="AY40" s="1" t="s">
        <v>85</v>
      </c>
      <c r="AZ40" s="4"/>
      <c r="BA40" s="2"/>
      <c r="BB40" s="4"/>
      <c r="BC40" s="1"/>
      <c r="BD40" s="1" t="s">
        <v>86</v>
      </c>
    </row>
    <row r="41" spans="1:56" ht="15" hidden="1" customHeight="1" x14ac:dyDescent="0.25">
      <c r="A41" s="2">
        <v>1049</v>
      </c>
      <c r="B41" s="16">
        <v>45798.669027777774</v>
      </c>
      <c r="C41" s="16">
        <v>45821.628472222219</v>
      </c>
      <c r="D41" s="16">
        <v>45821.628472222219</v>
      </c>
      <c r="E41" s="1" t="s">
        <v>161</v>
      </c>
      <c r="F41" s="4"/>
      <c r="G41" s="1" t="s">
        <v>80</v>
      </c>
      <c r="H41" s="4" t="s">
        <v>105</v>
      </c>
      <c r="I41" s="2">
        <v>2</v>
      </c>
      <c r="J41" s="1" t="s">
        <v>81</v>
      </c>
      <c r="K41" s="1" t="s">
        <v>80</v>
      </c>
      <c r="L41" s="1" t="s">
        <v>84</v>
      </c>
      <c r="M41" s="1" t="s">
        <v>81</v>
      </c>
      <c r="N41" s="1" t="s">
        <v>47</v>
      </c>
      <c r="O41" s="2"/>
      <c r="P41" s="16"/>
      <c r="Q41" s="1"/>
      <c r="R41" s="1"/>
      <c r="S41" s="16"/>
      <c r="T41" s="1"/>
      <c r="U41" s="4"/>
      <c r="V41" s="4"/>
      <c r="W41" s="1"/>
      <c r="X41" s="1" t="s">
        <v>63</v>
      </c>
      <c r="Y41" s="1"/>
      <c r="Z41" s="2"/>
      <c r="AA41" s="1"/>
      <c r="AB41" s="1"/>
      <c r="AC41" s="1" t="s">
        <v>84</v>
      </c>
      <c r="AD41" s="16">
        <v>45821.628472222219</v>
      </c>
      <c r="AE41" s="1"/>
      <c r="AF41" s="1"/>
      <c r="AG41" s="1"/>
      <c r="AH41" s="1"/>
      <c r="AI41" s="1"/>
      <c r="AJ41" s="2">
        <v>0</v>
      </c>
      <c r="AK41" s="1"/>
      <c r="AL41" s="1" t="s">
        <v>84</v>
      </c>
      <c r="AM41" s="1"/>
      <c r="AN41" s="2"/>
      <c r="AO41" s="1"/>
      <c r="AP41" s="2">
        <v>0</v>
      </c>
      <c r="AQ41" s="4"/>
      <c r="AR41" s="4"/>
      <c r="AS41" s="16"/>
      <c r="AT41" s="4"/>
      <c r="AU41" s="1"/>
      <c r="AV41" s="1"/>
      <c r="AW41" s="1" t="s">
        <v>61</v>
      </c>
      <c r="AX41" s="4"/>
      <c r="AY41" s="1" t="s">
        <v>85</v>
      </c>
      <c r="AZ41" s="4"/>
      <c r="BA41" s="2"/>
      <c r="BB41" s="4"/>
      <c r="BC41" s="1"/>
      <c r="BD41" s="1" t="s">
        <v>86</v>
      </c>
    </row>
    <row r="42" spans="1:56" ht="15" hidden="1" customHeight="1" x14ac:dyDescent="0.25">
      <c r="A42" s="2">
        <v>1050</v>
      </c>
      <c r="B42" s="16">
        <v>45798.669166666667</v>
      </c>
      <c r="C42" s="16">
        <v>45821.628680555557</v>
      </c>
      <c r="D42" s="16">
        <v>45821.628680555557</v>
      </c>
      <c r="E42" s="1" t="s">
        <v>162</v>
      </c>
      <c r="F42" s="4"/>
      <c r="G42" s="1" t="s">
        <v>80</v>
      </c>
      <c r="H42" s="4" t="s">
        <v>105</v>
      </c>
      <c r="I42" s="2">
        <v>2</v>
      </c>
      <c r="J42" s="1" t="s">
        <v>81</v>
      </c>
      <c r="K42" s="1" t="s">
        <v>80</v>
      </c>
      <c r="L42" s="1" t="s">
        <v>84</v>
      </c>
      <c r="M42" s="1" t="s">
        <v>81</v>
      </c>
      <c r="N42" s="1" t="s">
        <v>47</v>
      </c>
      <c r="O42" s="2"/>
      <c r="P42" s="16"/>
      <c r="Q42" s="1"/>
      <c r="R42" s="1"/>
      <c r="S42" s="16"/>
      <c r="T42" s="1"/>
      <c r="U42" s="4"/>
      <c r="V42" s="4"/>
      <c r="W42" s="1"/>
      <c r="X42" s="1" t="s">
        <v>63</v>
      </c>
      <c r="Y42" s="1"/>
      <c r="Z42" s="2"/>
      <c r="AA42" s="1"/>
      <c r="AB42" s="1"/>
      <c r="AC42" s="1" t="s">
        <v>84</v>
      </c>
      <c r="AD42" s="16">
        <v>45821.628680555557</v>
      </c>
      <c r="AE42" s="1"/>
      <c r="AF42" s="1"/>
      <c r="AG42" s="1"/>
      <c r="AH42" s="1"/>
      <c r="AI42" s="1"/>
      <c r="AJ42" s="2">
        <v>0</v>
      </c>
      <c r="AK42" s="1"/>
      <c r="AL42" s="1" t="s">
        <v>84</v>
      </c>
      <c r="AM42" s="1"/>
      <c r="AN42" s="2"/>
      <c r="AO42" s="1"/>
      <c r="AP42" s="2">
        <v>0</v>
      </c>
      <c r="AQ42" s="4"/>
      <c r="AR42" s="4"/>
      <c r="AS42" s="16"/>
      <c r="AT42" s="4"/>
      <c r="AU42" s="1"/>
      <c r="AV42" s="1"/>
      <c r="AW42" s="1" t="s">
        <v>61</v>
      </c>
      <c r="AX42" s="4"/>
      <c r="AY42" s="1" t="s">
        <v>85</v>
      </c>
      <c r="AZ42" s="4"/>
      <c r="BA42" s="2"/>
      <c r="BB42" s="4"/>
      <c r="BC42" s="1"/>
      <c r="BD42" s="1" t="s">
        <v>86</v>
      </c>
    </row>
    <row r="43" spans="1:56" ht="15" hidden="1" customHeight="1" x14ac:dyDescent="0.25">
      <c r="A43" s="2">
        <v>1067</v>
      </c>
      <c r="B43" s="16">
        <v>45803.6562037037</v>
      </c>
      <c r="C43" s="16">
        <v>45807.62840277778</v>
      </c>
      <c r="D43" s="16">
        <v>45807.62840277778</v>
      </c>
      <c r="E43" s="1" t="s">
        <v>163</v>
      </c>
      <c r="F43" s="4"/>
      <c r="G43" s="1" t="s">
        <v>80</v>
      </c>
      <c r="H43" s="4" t="s">
        <v>105</v>
      </c>
      <c r="I43" s="2">
        <v>2</v>
      </c>
      <c r="J43" s="1" t="s">
        <v>94</v>
      </c>
      <c r="K43" s="1" t="s">
        <v>80</v>
      </c>
      <c r="L43" s="1" t="s">
        <v>89</v>
      </c>
      <c r="M43" s="1" t="s">
        <v>94</v>
      </c>
      <c r="N43" s="1" t="s">
        <v>47</v>
      </c>
      <c r="O43" s="2"/>
      <c r="P43" s="16"/>
      <c r="Q43" s="1"/>
      <c r="R43" s="1"/>
      <c r="S43" s="16"/>
      <c r="T43" s="1"/>
      <c r="U43" s="4"/>
      <c r="V43" s="4"/>
      <c r="W43" s="1"/>
      <c r="X43" s="1" t="s">
        <v>63</v>
      </c>
      <c r="Y43" s="1"/>
      <c r="Z43" s="2"/>
      <c r="AA43" s="1"/>
      <c r="AB43" s="1"/>
      <c r="AC43" s="1" t="s">
        <v>89</v>
      </c>
      <c r="AD43" s="16">
        <v>45807.62840277778</v>
      </c>
      <c r="AE43" s="1"/>
      <c r="AF43" s="1"/>
      <c r="AG43" s="1"/>
      <c r="AH43" s="1"/>
      <c r="AI43" s="1"/>
      <c r="AJ43" s="2">
        <v>0</v>
      </c>
      <c r="AK43" s="1"/>
      <c r="AL43" s="1" t="s">
        <v>89</v>
      </c>
      <c r="AM43" s="1"/>
      <c r="AN43" s="2"/>
      <c r="AO43" s="1"/>
      <c r="AP43" s="2">
        <v>1</v>
      </c>
      <c r="AQ43" s="4"/>
      <c r="AR43" s="4"/>
      <c r="AS43" s="16"/>
      <c r="AT43" s="4"/>
      <c r="AU43" s="1"/>
      <c r="AV43" s="1"/>
      <c r="AW43" s="1" t="s">
        <v>61</v>
      </c>
      <c r="AX43" s="4"/>
      <c r="AY43" s="1" t="s">
        <v>85</v>
      </c>
      <c r="AZ43" s="4"/>
      <c r="BA43" s="2"/>
      <c r="BB43" s="4"/>
      <c r="BC43" s="1"/>
      <c r="BD43" s="1" t="s">
        <v>86</v>
      </c>
    </row>
    <row r="44" spans="1:56" ht="15" customHeight="1" x14ac:dyDescent="0.25">
      <c r="A44" s="2">
        <v>1071</v>
      </c>
      <c r="B44" s="16">
        <v>45804.657152777778</v>
      </c>
      <c r="C44" s="16">
        <v>45986.806192129632</v>
      </c>
      <c r="D44" s="16"/>
      <c r="E44" s="1" t="s">
        <v>264</v>
      </c>
      <c r="F44" s="4"/>
      <c r="G44" s="1" t="s">
        <v>245</v>
      </c>
      <c r="H44" s="4" t="s">
        <v>570</v>
      </c>
      <c r="I44" s="2">
        <v>4</v>
      </c>
      <c r="J44" s="1"/>
      <c r="K44" s="1" t="s">
        <v>178</v>
      </c>
      <c r="L44" s="1" t="s">
        <v>81</v>
      </c>
      <c r="M44" s="1" t="s">
        <v>81</v>
      </c>
      <c r="N44" s="1" t="s">
        <v>47</v>
      </c>
      <c r="O44" s="2"/>
      <c r="P44" s="16"/>
      <c r="Q44" s="1"/>
      <c r="R44" s="1"/>
      <c r="S44" s="16"/>
      <c r="T44" s="1"/>
      <c r="U44" s="4"/>
      <c r="V44" s="4"/>
      <c r="W44" s="1"/>
      <c r="X44" s="1" t="s">
        <v>63</v>
      </c>
      <c r="Y44" s="1"/>
      <c r="Z44" s="2"/>
      <c r="AA44" s="1"/>
      <c r="AB44" s="1"/>
      <c r="AC44" s="1" t="s">
        <v>81</v>
      </c>
      <c r="AD44" s="16">
        <v>45986.806192129632</v>
      </c>
      <c r="AE44" s="1"/>
      <c r="AF44" s="1"/>
      <c r="AG44" s="1"/>
      <c r="AH44" s="1"/>
      <c r="AI44" s="1"/>
      <c r="AJ44" s="2">
        <v>0</v>
      </c>
      <c r="AK44" s="1"/>
      <c r="AL44" s="1"/>
      <c r="AM44" s="1"/>
      <c r="AN44" s="2"/>
      <c r="AO44" s="1"/>
      <c r="AP44" s="2">
        <v>0</v>
      </c>
      <c r="AQ44" s="4"/>
      <c r="AR44" s="4"/>
      <c r="AS44" s="16"/>
      <c r="AT44" s="4"/>
      <c r="AU44" s="1"/>
      <c r="AV44" s="1"/>
      <c r="AW44" s="1" t="s">
        <v>61</v>
      </c>
      <c r="AX44" s="4"/>
      <c r="AY44" s="1" t="s">
        <v>85</v>
      </c>
      <c r="AZ44" s="4"/>
      <c r="BA44" s="2"/>
      <c r="BB44" s="4"/>
      <c r="BC44" s="1"/>
      <c r="BD44" s="1" t="s">
        <v>185</v>
      </c>
    </row>
    <row r="45" spans="1:56" ht="15" hidden="1" customHeight="1" x14ac:dyDescent="0.25">
      <c r="A45" s="2">
        <v>1072</v>
      </c>
      <c r="B45" s="16">
        <v>45804.657766203702</v>
      </c>
      <c r="C45" s="16">
        <v>45992.549456018518</v>
      </c>
      <c r="D45" s="16"/>
      <c r="E45" s="1" t="s">
        <v>265</v>
      </c>
      <c r="F45" s="7" t="s">
        <v>100</v>
      </c>
      <c r="G45" s="1" t="s">
        <v>469</v>
      </c>
      <c r="H45" s="4" t="s">
        <v>617</v>
      </c>
      <c r="I45" s="2">
        <v>4</v>
      </c>
      <c r="J45" s="1" t="s">
        <v>94</v>
      </c>
      <c r="K45" s="1" t="s">
        <v>178</v>
      </c>
      <c r="L45" s="1" t="s">
        <v>81</v>
      </c>
      <c r="M45" s="1" t="s">
        <v>81</v>
      </c>
      <c r="N45" s="1" t="s">
        <v>47</v>
      </c>
      <c r="O45" s="2"/>
      <c r="P45" s="16"/>
      <c r="Q45" s="1"/>
      <c r="R45" s="1"/>
      <c r="S45" s="16"/>
      <c r="T45" s="1"/>
      <c r="U45" s="4"/>
      <c r="V45" s="4"/>
      <c r="W45" s="1"/>
      <c r="X45" s="1" t="s">
        <v>63</v>
      </c>
      <c r="Y45" s="1"/>
      <c r="Z45" s="2"/>
      <c r="AA45" s="1"/>
      <c r="AB45" s="1"/>
      <c r="AC45" s="1" t="s">
        <v>81</v>
      </c>
      <c r="AD45" s="16">
        <v>45992.549456018518</v>
      </c>
      <c r="AE45" s="1"/>
      <c r="AF45" s="1"/>
      <c r="AG45" s="1"/>
      <c r="AH45" s="1"/>
      <c r="AI45" s="1"/>
      <c r="AJ45" s="2">
        <v>0</v>
      </c>
      <c r="AK45" s="1"/>
      <c r="AL45" s="1"/>
      <c r="AM45" s="1"/>
      <c r="AN45" s="2"/>
      <c r="AO45" s="1"/>
      <c r="AP45" s="2">
        <v>7</v>
      </c>
      <c r="AQ45" s="4"/>
      <c r="AR45" s="4"/>
      <c r="AS45" s="16"/>
      <c r="AT45" s="4"/>
      <c r="AU45" s="1"/>
      <c r="AV45" s="1"/>
      <c r="AW45" s="1" t="s">
        <v>61</v>
      </c>
      <c r="AX45" s="4"/>
      <c r="AY45" s="1" t="s">
        <v>85</v>
      </c>
      <c r="AZ45" s="4"/>
      <c r="BA45" s="2"/>
      <c r="BB45" s="4"/>
      <c r="BC45" s="1"/>
      <c r="BD45" s="1" t="s">
        <v>188</v>
      </c>
    </row>
    <row r="46" spans="1:56" ht="15" hidden="1" customHeight="1" x14ac:dyDescent="0.25">
      <c r="A46" s="2">
        <v>1095</v>
      </c>
      <c r="B46" s="16">
        <v>45813.420416666668</v>
      </c>
      <c r="C46" s="16">
        <v>45951.677175925928</v>
      </c>
      <c r="D46" s="16">
        <v>45951.677175925928</v>
      </c>
      <c r="E46" s="1" t="s">
        <v>266</v>
      </c>
      <c r="F46" s="4"/>
      <c r="G46" s="1" t="s">
        <v>80</v>
      </c>
      <c r="H46" s="4" t="s">
        <v>475</v>
      </c>
      <c r="I46" s="2">
        <v>4</v>
      </c>
      <c r="J46" s="1" t="s">
        <v>81</v>
      </c>
      <c r="K46" s="1" t="s">
        <v>80</v>
      </c>
      <c r="L46" s="1" t="s">
        <v>89</v>
      </c>
      <c r="M46" s="1" t="s">
        <v>81</v>
      </c>
      <c r="N46" s="1" t="s">
        <v>47</v>
      </c>
      <c r="O46" s="2"/>
      <c r="P46" s="16"/>
      <c r="Q46" s="1"/>
      <c r="R46" s="1"/>
      <c r="S46" s="16"/>
      <c r="T46" s="1"/>
      <c r="U46" s="4"/>
      <c r="V46" s="4"/>
      <c r="W46" s="1"/>
      <c r="X46" s="1" t="s">
        <v>63</v>
      </c>
      <c r="Y46" s="1"/>
      <c r="Z46" s="2"/>
      <c r="AA46" s="1"/>
      <c r="AB46" s="1"/>
      <c r="AC46" s="1" t="s">
        <v>89</v>
      </c>
      <c r="AD46" s="16">
        <v>45951.677175925928</v>
      </c>
      <c r="AE46" s="1"/>
      <c r="AF46" s="1"/>
      <c r="AG46" s="1"/>
      <c r="AH46" s="1"/>
      <c r="AI46" s="1"/>
      <c r="AJ46" s="2">
        <v>0</v>
      </c>
      <c r="AK46" s="1"/>
      <c r="AL46" s="1" t="s">
        <v>89</v>
      </c>
      <c r="AM46" s="1"/>
      <c r="AN46" s="2"/>
      <c r="AO46" s="1"/>
      <c r="AP46" s="2">
        <v>4</v>
      </c>
      <c r="AQ46" s="4"/>
      <c r="AR46" s="4"/>
      <c r="AS46" s="16"/>
      <c r="AT46" s="4"/>
      <c r="AU46" s="1"/>
      <c r="AV46" s="1"/>
      <c r="AW46" s="1" t="s">
        <v>61</v>
      </c>
      <c r="AX46" s="4"/>
      <c r="AY46" s="1" t="s">
        <v>85</v>
      </c>
      <c r="AZ46" s="4"/>
      <c r="BA46" s="2"/>
      <c r="BB46" s="4"/>
      <c r="BC46" s="1"/>
      <c r="BD46" s="1" t="s">
        <v>86</v>
      </c>
    </row>
    <row r="47" spans="1:56" ht="15" hidden="1" customHeight="1" x14ac:dyDescent="0.25">
      <c r="A47" s="2">
        <v>1105</v>
      </c>
      <c r="B47" s="16">
        <v>45817.655300925922</v>
      </c>
      <c r="C47" s="16">
        <v>45856.627199074072</v>
      </c>
      <c r="D47" s="16">
        <v>45856.627199074072</v>
      </c>
      <c r="E47" s="1" t="s">
        <v>201</v>
      </c>
      <c r="F47" s="4"/>
      <c r="G47" s="1" t="s">
        <v>80</v>
      </c>
      <c r="H47" s="4" t="s">
        <v>105</v>
      </c>
      <c r="I47" s="2">
        <v>2</v>
      </c>
      <c r="J47" s="1" t="s">
        <v>81</v>
      </c>
      <c r="K47" s="1" t="s">
        <v>80</v>
      </c>
      <c r="L47" s="1" t="s">
        <v>89</v>
      </c>
      <c r="M47" s="1" t="s">
        <v>81</v>
      </c>
      <c r="N47" s="1" t="s">
        <v>47</v>
      </c>
      <c r="O47" s="2"/>
      <c r="P47" s="16"/>
      <c r="Q47" s="1"/>
      <c r="R47" s="1"/>
      <c r="S47" s="16"/>
      <c r="T47" s="1"/>
      <c r="U47" s="4"/>
      <c r="V47" s="4"/>
      <c r="W47" s="1"/>
      <c r="X47" s="1" t="s">
        <v>63</v>
      </c>
      <c r="Y47" s="1"/>
      <c r="Z47" s="2"/>
      <c r="AA47" s="1"/>
      <c r="AB47" s="1"/>
      <c r="AC47" s="1" t="s">
        <v>89</v>
      </c>
      <c r="AD47" s="16">
        <v>45856.627199074072</v>
      </c>
      <c r="AE47" s="1"/>
      <c r="AF47" s="1"/>
      <c r="AG47" s="1"/>
      <c r="AH47" s="1"/>
      <c r="AI47" s="1"/>
      <c r="AJ47" s="2">
        <v>0</v>
      </c>
      <c r="AK47" s="1"/>
      <c r="AL47" s="1" t="s">
        <v>89</v>
      </c>
      <c r="AM47" s="1"/>
      <c r="AN47" s="2"/>
      <c r="AO47" s="1"/>
      <c r="AP47" s="2">
        <v>5</v>
      </c>
      <c r="AQ47" s="4"/>
      <c r="AR47" s="4"/>
      <c r="AS47" s="16"/>
      <c r="AT47" s="4"/>
      <c r="AU47" s="1"/>
      <c r="AV47" s="1"/>
      <c r="AW47" s="1" t="s">
        <v>61</v>
      </c>
      <c r="AX47" s="4"/>
      <c r="AY47" s="1" t="s">
        <v>85</v>
      </c>
      <c r="AZ47" s="4"/>
      <c r="BA47" s="2"/>
      <c r="BB47" s="4"/>
      <c r="BC47" s="1"/>
      <c r="BD47" s="1" t="s">
        <v>86</v>
      </c>
    </row>
    <row r="48" spans="1:56" ht="15" hidden="1" customHeight="1" x14ac:dyDescent="0.25">
      <c r="A48" s="2">
        <v>1108</v>
      </c>
      <c r="B48" s="16">
        <v>45818.746319444443</v>
      </c>
      <c r="C48" s="16">
        <v>45841.349814814814</v>
      </c>
      <c r="D48" s="16">
        <v>45841.349814814814</v>
      </c>
      <c r="E48" s="1" t="s">
        <v>164</v>
      </c>
      <c r="F48" s="4"/>
      <c r="G48" s="1" t="s">
        <v>80</v>
      </c>
      <c r="H48" s="4" t="s">
        <v>105</v>
      </c>
      <c r="I48" s="2">
        <v>2</v>
      </c>
      <c r="J48" s="1" t="s">
        <v>94</v>
      </c>
      <c r="K48" s="1" t="s">
        <v>80</v>
      </c>
      <c r="L48" s="1" t="s">
        <v>88</v>
      </c>
      <c r="M48" s="1" t="s">
        <v>81</v>
      </c>
      <c r="N48" s="1" t="s">
        <v>47</v>
      </c>
      <c r="O48" s="2"/>
      <c r="P48" s="16"/>
      <c r="Q48" s="1"/>
      <c r="R48" s="1"/>
      <c r="S48" s="16"/>
      <c r="T48" s="1"/>
      <c r="U48" s="4"/>
      <c r="V48" s="4"/>
      <c r="W48" s="1"/>
      <c r="X48" s="1" t="s">
        <v>63</v>
      </c>
      <c r="Y48" s="1"/>
      <c r="Z48" s="2"/>
      <c r="AA48" s="1"/>
      <c r="AB48" s="1"/>
      <c r="AC48" s="1" t="s">
        <v>88</v>
      </c>
      <c r="AD48" s="16">
        <v>45841.349814814814</v>
      </c>
      <c r="AE48" s="1"/>
      <c r="AF48" s="1"/>
      <c r="AG48" s="1"/>
      <c r="AH48" s="1"/>
      <c r="AI48" s="1"/>
      <c r="AJ48" s="2">
        <v>0</v>
      </c>
      <c r="AK48" s="1"/>
      <c r="AL48" s="1" t="s">
        <v>88</v>
      </c>
      <c r="AM48" s="1"/>
      <c r="AN48" s="2"/>
      <c r="AO48" s="1"/>
      <c r="AP48" s="2">
        <v>3</v>
      </c>
      <c r="AQ48" s="4"/>
      <c r="AR48" s="4"/>
      <c r="AS48" s="16"/>
      <c r="AT48" s="4"/>
      <c r="AU48" s="1"/>
      <c r="AV48" s="1"/>
      <c r="AW48" s="1" t="s">
        <v>61</v>
      </c>
      <c r="AX48" s="4"/>
      <c r="AY48" s="1" t="s">
        <v>85</v>
      </c>
      <c r="AZ48" s="4"/>
      <c r="BA48" s="2"/>
      <c r="BB48" s="4"/>
      <c r="BC48" s="1"/>
      <c r="BD48" s="1" t="s">
        <v>86</v>
      </c>
    </row>
    <row r="49" spans="1:56" ht="15" hidden="1" customHeight="1" x14ac:dyDescent="0.25">
      <c r="A49" s="2">
        <v>1109</v>
      </c>
      <c r="B49" s="16">
        <v>45819.486828703702</v>
      </c>
      <c r="C49" s="16">
        <v>45831.560474537036</v>
      </c>
      <c r="D49" s="16">
        <v>45831.560474537036</v>
      </c>
      <c r="E49" s="1" t="s">
        <v>165</v>
      </c>
      <c r="F49" s="4"/>
      <c r="G49" s="1" t="s">
        <v>80</v>
      </c>
      <c r="H49" s="4" t="s">
        <v>129</v>
      </c>
      <c r="I49" s="2">
        <v>2</v>
      </c>
      <c r="J49" s="1" t="s">
        <v>94</v>
      </c>
      <c r="K49" s="1" t="s">
        <v>80</v>
      </c>
      <c r="L49" s="1" t="s">
        <v>88</v>
      </c>
      <c r="M49" s="1" t="s">
        <v>94</v>
      </c>
      <c r="N49" s="1" t="s">
        <v>47</v>
      </c>
      <c r="O49" s="2"/>
      <c r="P49" s="16"/>
      <c r="Q49" s="1"/>
      <c r="R49" s="1"/>
      <c r="S49" s="16"/>
      <c r="T49" s="1"/>
      <c r="U49" s="4"/>
      <c r="V49" s="4"/>
      <c r="W49" s="1"/>
      <c r="X49" s="1" t="s">
        <v>63</v>
      </c>
      <c r="Y49" s="1"/>
      <c r="Z49" s="2"/>
      <c r="AA49" s="1"/>
      <c r="AB49" s="1"/>
      <c r="AC49" s="1" t="s">
        <v>88</v>
      </c>
      <c r="AD49" s="16">
        <v>45831.560474537036</v>
      </c>
      <c r="AE49" s="1"/>
      <c r="AF49" s="1"/>
      <c r="AG49" s="1"/>
      <c r="AH49" s="1"/>
      <c r="AI49" s="1"/>
      <c r="AJ49" s="2">
        <v>0</v>
      </c>
      <c r="AK49" s="1"/>
      <c r="AL49" s="1" t="s">
        <v>88</v>
      </c>
      <c r="AM49" s="1"/>
      <c r="AN49" s="2"/>
      <c r="AO49" s="1"/>
      <c r="AP49" s="2">
        <v>2</v>
      </c>
      <c r="AQ49" s="4"/>
      <c r="AR49" s="4"/>
      <c r="AS49" s="16"/>
      <c r="AT49" s="4"/>
      <c r="AU49" s="1"/>
      <c r="AV49" s="1"/>
      <c r="AW49" s="1" t="s">
        <v>61</v>
      </c>
      <c r="AX49" s="4"/>
      <c r="AY49" s="1" t="s">
        <v>85</v>
      </c>
      <c r="AZ49" s="4"/>
      <c r="BA49" s="2"/>
      <c r="BB49" s="4"/>
      <c r="BC49" s="1"/>
      <c r="BD49" s="1" t="s">
        <v>86</v>
      </c>
    </row>
    <row r="50" spans="1:56" ht="15" customHeight="1" x14ac:dyDescent="0.25">
      <c r="A50" s="2">
        <v>1110</v>
      </c>
      <c r="B50" s="16">
        <v>45819.590648148151</v>
      </c>
      <c r="C50" s="16">
        <v>45959.695405092592</v>
      </c>
      <c r="D50" s="16"/>
      <c r="E50" s="1" t="s">
        <v>269</v>
      </c>
      <c r="F50" s="7" t="s">
        <v>528</v>
      </c>
      <c r="G50" s="1" t="s">
        <v>249</v>
      </c>
      <c r="H50" s="4" t="s">
        <v>527</v>
      </c>
      <c r="I50" s="2">
        <v>2</v>
      </c>
      <c r="J50" s="1"/>
      <c r="K50" s="1" t="s">
        <v>178</v>
      </c>
      <c r="L50" s="1" t="s">
        <v>81</v>
      </c>
      <c r="M50" s="1" t="s">
        <v>81</v>
      </c>
      <c r="N50" s="1" t="s">
        <v>47</v>
      </c>
      <c r="O50" s="2"/>
      <c r="P50" s="16"/>
      <c r="Q50" s="1"/>
      <c r="R50" s="1"/>
      <c r="S50" s="16"/>
      <c r="T50" s="1"/>
      <c r="U50" s="4"/>
      <c r="V50" s="4"/>
      <c r="W50" s="1"/>
      <c r="X50" s="1" t="s">
        <v>63</v>
      </c>
      <c r="Y50" s="1"/>
      <c r="Z50" s="2"/>
      <c r="AA50" s="1"/>
      <c r="AB50" s="1"/>
      <c r="AC50" s="1" t="s">
        <v>81</v>
      </c>
      <c r="AD50" s="16">
        <v>45959.695405092592</v>
      </c>
      <c r="AE50" s="1"/>
      <c r="AF50" s="1"/>
      <c r="AG50" s="1"/>
      <c r="AH50" s="1"/>
      <c r="AI50" s="1"/>
      <c r="AJ50" s="2">
        <v>0</v>
      </c>
      <c r="AK50" s="1"/>
      <c r="AL50" s="1"/>
      <c r="AM50" s="1"/>
      <c r="AN50" s="2"/>
      <c r="AO50" s="1"/>
      <c r="AP50" s="2">
        <v>1</v>
      </c>
      <c r="AQ50" s="4"/>
      <c r="AR50" s="4"/>
      <c r="AS50" s="16"/>
      <c r="AT50" s="4"/>
      <c r="AU50" s="1"/>
      <c r="AV50" s="1"/>
      <c r="AW50" s="1" t="s">
        <v>61</v>
      </c>
      <c r="AX50" s="4"/>
      <c r="AY50" s="1" t="s">
        <v>85</v>
      </c>
      <c r="AZ50" s="4"/>
      <c r="BA50" s="2"/>
      <c r="BB50" s="4"/>
      <c r="BC50" s="1"/>
      <c r="BD50" s="1" t="s">
        <v>185</v>
      </c>
    </row>
    <row r="51" spans="1:56" ht="15" customHeight="1" x14ac:dyDescent="0.25">
      <c r="A51" s="2">
        <v>1148</v>
      </c>
      <c r="B51" s="16">
        <v>45825.642962962964</v>
      </c>
      <c r="C51" s="16">
        <v>45992.363333333335</v>
      </c>
      <c r="D51" s="16"/>
      <c r="E51" s="1" t="s">
        <v>571</v>
      </c>
      <c r="F51" s="4"/>
      <c r="G51" s="1" t="s">
        <v>245</v>
      </c>
      <c r="H51" s="4" t="s">
        <v>527</v>
      </c>
      <c r="I51" s="2">
        <v>1</v>
      </c>
      <c r="J51" s="1" t="s">
        <v>81</v>
      </c>
      <c r="K51" s="1" t="s">
        <v>178</v>
      </c>
      <c r="L51" s="1" t="s">
        <v>81</v>
      </c>
      <c r="M51" s="1" t="s">
        <v>81</v>
      </c>
      <c r="N51" s="1" t="s">
        <v>47</v>
      </c>
      <c r="O51" s="2"/>
      <c r="P51" s="16"/>
      <c r="Q51" s="1"/>
      <c r="R51" s="1"/>
      <c r="S51" s="16"/>
      <c r="T51" s="1"/>
      <c r="U51" s="4"/>
      <c r="V51" s="4"/>
      <c r="W51" s="1"/>
      <c r="X51" s="1" t="s">
        <v>63</v>
      </c>
      <c r="Y51" s="1"/>
      <c r="Z51" s="2"/>
      <c r="AA51" s="1"/>
      <c r="AB51" s="1"/>
      <c r="AC51" s="1" t="s">
        <v>81</v>
      </c>
      <c r="AD51" s="16">
        <v>45992.363333333335</v>
      </c>
      <c r="AE51" s="1"/>
      <c r="AF51" s="1"/>
      <c r="AG51" s="1"/>
      <c r="AH51" s="1"/>
      <c r="AI51" s="1"/>
      <c r="AJ51" s="2">
        <v>0</v>
      </c>
      <c r="AK51" s="1"/>
      <c r="AL51" s="1"/>
      <c r="AM51" s="1"/>
      <c r="AN51" s="2"/>
      <c r="AO51" s="1"/>
      <c r="AP51" s="2">
        <v>2</v>
      </c>
      <c r="AQ51" s="4"/>
      <c r="AR51" s="4"/>
      <c r="AS51" s="16"/>
      <c r="AT51" s="4"/>
      <c r="AU51" s="1"/>
      <c r="AV51" s="1"/>
      <c r="AW51" s="1" t="s">
        <v>61</v>
      </c>
      <c r="AX51" s="4"/>
      <c r="AY51" s="1" t="s">
        <v>85</v>
      </c>
      <c r="AZ51" s="4"/>
      <c r="BA51" s="2"/>
      <c r="BB51" s="4"/>
      <c r="BC51" s="1"/>
      <c r="BD51" s="1" t="s">
        <v>185</v>
      </c>
    </row>
    <row r="52" spans="1:56" ht="15" hidden="1" customHeight="1" x14ac:dyDescent="0.25">
      <c r="A52" s="2">
        <v>1166</v>
      </c>
      <c r="B52" s="16">
        <v>45834.45113425926</v>
      </c>
      <c r="C52" s="16">
        <v>45841.349675925929</v>
      </c>
      <c r="D52" s="16">
        <v>45841.349675925929</v>
      </c>
      <c r="E52" s="1" t="s">
        <v>166</v>
      </c>
      <c r="F52" s="4"/>
      <c r="G52" s="1" t="s">
        <v>80</v>
      </c>
      <c r="H52" s="4" t="s">
        <v>105</v>
      </c>
      <c r="I52" s="2">
        <v>2</v>
      </c>
      <c r="J52" s="1" t="s">
        <v>94</v>
      </c>
      <c r="K52" s="1" t="s">
        <v>80</v>
      </c>
      <c r="L52" s="1" t="s">
        <v>88</v>
      </c>
      <c r="M52" s="1" t="s">
        <v>81</v>
      </c>
      <c r="N52" s="1" t="s">
        <v>47</v>
      </c>
      <c r="O52" s="2"/>
      <c r="P52" s="16"/>
      <c r="Q52" s="1"/>
      <c r="R52" s="1"/>
      <c r="S52" s="16"/>
      <c r="T52" s="1"/>
      <c r="U52" s="4"/>
      <c r="V52" s="4"/>
      <c r="W52" s="1"/>
      <c r="X52" s="1" t="s">
        <v>63</v>
      </c>
      <c r="Y52" s="1"/>
      <c r="Z52" s="2"/>
      <c r="AA52" s="1"/>
      <c r="AB52" s="1"/>
      <c r="AC52" s="1" t="s">
        <v>88</v>
      </c>
      <c r="AD52" s="16">
        <v>45841.349675925929</v>
      </c>
      <c r="AE52" s="1"/>
      <c r="AF52" s="1"/>
      <c r="AG52" s="1"/>
      <c r="AH52" s="1"/>
      <c r="AI52" s="1"/>
      <c r="AJ52" s="2">
        <v>0</v>
      </c>
      <c r="AK52" s="1"/>
      <c r="AL52" s="1" t="s">
        <v>88</v>
      </c>
      <c r="AM52" s="1"/>
      <c r="AN52" s="2"/>
      <c r="AO52" s="1"/>
      <c r="AP52" s="2">
        <v>0</v>
      </c>
      <c r="AQ52" s="4"/>
      <c r="AR52" s="4"/>
      <c r="AS52" s="16"/>
      <c r="AT52" s="4"/>
      <c r="AU52" s="1"/>
      <c r="AV52" s="1"/>
      <c r="AW52" s="1" t="s">
        <v>61</v>
      </c>
      <c r="AX52" s="4"/>
      <c r="AY52" s="1" t="s">
        <v>85</v>
      </c>
      <c r="AZ52" s="4"/>
      <c r="BA52" s="2"/>
      <c r="BB52" s="4"/>
      <c r="BC52" s="1"/>
      <c r="BD52" s="1" t="s">
        <v>86</v>
      </c>
    </row>
    <row r="53" spans="1:56" ht="15" hidden="1" customHeight="1" x14ac:dyDescent="0.25">
      <c r="A53" s="2">
        <v>1167</v>
      </c>
      <c r="B53" s="16">
        <v>45834.453877314816</v>
      </c>
      <c r="C53" s="16">
        <v>45841.349745370368</v>
      </c>
      <c r="D53" s="16">
        <v>45841.349745370368</v>
      </c>
      <c r="E53" s="1" t="s">
        <v>167</v>
      </c>
      <c r="F53" s="4"/>
      <c r="G53" s="1" t="s">
        <v>80</v>
      </c>
      <c r="H53" s="4" t="s">
        <v>105</v>
      </c>
      <c r="I53" s="2">
        <v>2</v>
      </c>
      <c r="J53" s="1" t="s">
        <v>94</v>
      </c>
      <c r="K53" s="1" t="s">
        <v>80</v>
      </c>
      <c r="L53" s="1" t="s">
        <v>88</v>
      </c>
      <c r="M53" s="1" t="s">
        <v>81</v>
      </c>
      <c r="N53" s="1" t="s">
        <v>47</v>
      </c>
      <c r="O53" s="2"/>
      <c r="P53" s="16"/>
      <c r="Q53" s="1"/>
      <c r="R53" s="1"/>
      <c r="S53" s="16"/>
      <c r="T53" s="1"/>
      <c r="U53" s="4"/>
      <c r="V53" s="4"/>
      <c r="W53" s="1"/>
      <c r="X53" s="1" t="s">
        <v>63</v>
      </c>
      <c r="Y53" s="1"/>
      <c r="Z53" s="2"/>
      <c r="AA53" s="1"/>
      <c r="AB53" s="1"/>
      <c r="AC53" s="1" t="s">
        <v>88</v>
      </c>
      <c r="AD53" s="16">
        <v>45841.349745370368</v>
      </c>
      <c r="AE53" s="1"/>
      <c r="AF53" s="1"/>
      <c r="AG53" s="1"/>
      <c r="AH53" s="1"/>
      <c r="AI53" s="1"/>
      <c r="AJ53" s="2">
        <v>0</v>
      </c>
      <c r="AK53" s="1"/>
      <c r="AL53" s="1" t="s">
        <v>88</v>
      </c>
      <c r="AM53" s="1"/>
      <c r="AN53" s="2"/>
      <c r="AO53" s="1"/>
      <c r="AP53" s="2">
        <v>0</v>
      </c>
      <c r="AQ53" s="4"/>
      <c r="AR53" s="4"/>
      <c r="AS53" s="16"/>
      <c r="AT53" s="4"/>
      <c r="AU53" s="1"/>
      <c r="AV53" s="1"/>
      <c r="AW53" s="1" t="s">
        <v>61</v>
      </c>
      <c r="AX53" s="4"/>
      <c r="AY53" s="1" t="s">
        <v>85</v>
      </c>
      <c r="AZ53" s="4"/>
      <c r="BA53" s="2"/>
      <c r="BB53" s="4"/>
      <c r="BC53" s="1"/>
      <c r="BD53" s="1" t="s">
        <v>86</v>
      </c>
    </row>
    <row r="54" spans="1:56" ht="15" hidden="1" customHeight="1" x14ac:dyDescent="0.25">
      <c r="A54" s="2">
        <v>1168</v>
      </c>
      <c r="B54" s="16">
        <v>45834.454085648147</v>
      </c>
      <c r="C54" s="16">
        <v>45943.415231481478</v>
      </c>
      <c r="D54" s="16">
        <v>45943.415231481478</v>
      </c>
      <c r="E54" s="1" t="s">
        <v>272</v>
      </c>
      <c r="F54" s="7" t="s">
        <v>453</v>
      </c>
      <c r="G54" s="1" t="s">
        <v>80</v>
      </c>
      <c r="H54" s="4" t="s">
        <v>452</v>
      </c>
      <c r="I54" s="2">
        <v>1</v>
      </c>
      <c r="J54" s="1" t="s">
        <v>81</v>
      </c>
      <c r="K54" s="1" t="s">
        <v>80</v>
      </c>
      <c r="L54" s="1" t="s">
        <v>89</v>
      </c>
      <c r="M54" s="1" t="s">
        <v>81</v>
      </c>
      <c r="N54" s="1" t="s">
        <v>47</v>
      </c>
      <c r="O54" s="2"/>
      <c r="P54" s="16"/>
      <c r="Q54" s="1"/>
      <c r="R54" s="1"/>
      <c r="S54" s="16"/>
      <c r="T54" s="1"/>
      <c r="U54" s="4"/>
      <c r="V54" s="4"/>
      <c r="W54" s="1"/>
      <c r="X54" s="1" t="s">
        <v>63</v>
      </c>
      <c r="Y54" s="1"/>
      <c r="Z54" s="2"/>
      <c r="AA54" s="1"/>
      <c r="AB54" s="1"/>
      <c r="AC54" s="1" t="s">
        <v>89</v>
      </c>
      <c r="AD54" s="16">
        <v>45943.415231481478</v>
      </c>
      <c r="AE54" s="1"/>
      <c r="AF54" s="1"/>
      <c r="AG54" s="1"/>
      <c r="AH54" s="1"/>
      <c r="AI54" s="1"/>
      <c r="AJ54" s="2">
        <v>0</v>
      </c>
      <c r="AK54" s="1"/>
      <c r="AL54" s="1" t="s">
        <v>89</v>
      </c>
      <c r="AM54" s="1"/>
      <c r="AN54" s="2"/>
      <c r="AO54" s="1"/>
      <c r="AP54" s="2">
        <v>3</v>
      </c>
      <c r="AQ54" s="4"/>
      <c r="AR54" s="4"/>
      <c r="AS54" s="16"/>
      <c r="AT54" s="4"/>
      <c r="AU54" s="1"/>
      <c r="AV54" s="1"/>
      <c r="AW54" s="1" t="s">
        <v>61</v>
      </c>
      <c r="AX54" s="4"/>
      <c r="AY54" s="1" t="s">
        <v>85</v>
      </c>
      <c r="AZ54" s="4"/>
      <c r="BA54" s="2"/>
      <c r="BB54" s="4"/>
      <c r="BC54" s="1"/>
      <c r="BD54" s="1" t="s">
        <v>86</v>
      </c>
    </row>
    <row r="55" spans="1:56" ht="15" hidden="1" customHeight="1" x14ac:dyDescent="0.25">
      <c r="A55" s="2">
        <v>1169</v>
      </c>
      <c r="B55" s="16">
        <v>45835.404537037037</v>
      </c>
      <c r="C55" s="16">
        <v>45841.350428240738</v>
      </c>
      <c r="D55" s="16">
        <v>45841.350428240738</v>
      </c>
      <c r="E55" s="1" t="s">
        <v>168</v>
      </c>
      <c r="F55" s="7" t="s">
        <v>170</v>
      </c>
      <c r="G55" s="1" t="s">
        <v>80</v>
      </c>
      <c r="H55" s="4" t="s">
        <v>169</v>
      </c>
      <c r="I55" s="2">
        <v>2</v>
      </c>
      <c r="J55" s="1" t="s">
        <v>81</v>
      </c>
      <c r="K55" s="1" t="s">
        <v>80</v>
      </c>
      <c r="L55" s="1" t="s">
        <v>88</v>
      </c>
      <c r="M55" s="1" t="s">
        <v>81</v>
      </c>
      <c r="N55" s="1" t="s">
        <v>47</v>
      </c>
      <c r="O55" s="2"/>
      <c r="P55" s="16"/>
      <c r="Q55" s="1"/>
      <c r="R55" s="1"/>
      <c r="S55" s="16"/>
      <c r="T55" s="1"/>
      <c r="U55" s="4"/>
      <c r="V55" s="4"/>
      <c r="W55" s="1"/>
      <c r="X55" s="1" t="s">
        <v>63</v>
      </c>
      <c r="Y55" s="1"/>
      <c r="Z55" s="2"/>
      <c r="AA55" s="1"/>
      <c r="AB55" s="1"/>
      <c r="AC55" s="1" t="s">
        <v>88</v>
      </c>
      <c r="AD55" s="16">
        <v>45841.350428240738</v>
      </c>
      <c r="AE55" s="1"/>
      <c r="AF55" s="1"/>
      <c r="AG55" s="1"/>
      <c r="AH55" s="1"/>
      <c r="AI55" s="1"/>
      <c r="AJ55" s="2">
        <v>0</v>
      </c>
      <c r="AK55" s="1"/>
      <c r="AL55" s="1" t="s">
        <v>88</v>
      </c>
      <c r="AM55" s="1"/>
      <c r="AN55" s="2"/>
      <c r="AO55" s="1"/>
      <c r="AP55" s="2">
        <v>1</v>
      </c>
      <c r="AQ55" s="4"/>
      <c r="AR55" s="4"/>
      <c r="AS55" s="16"/>
      <c r="AT55" s="4"/>
      <c r="AU55" s="1"/>
      <c r="AV55" s="1"/>
      <c r="AW55" s="1" t="s">
        <v>61</v>
      </c>
      <c r="AX55" s="4"/>
      <c r="AY55" s="1" t="s">
        <v>85</v>
      </c>
      <c r="AZ55" s="4"/>
      <c r="BA55" s="2"/>
      <c r="BB55" s="4"/>
      <c r="BC55" s="1"/>
      <c r="BD55" s="1" t="s">
        <v>86</v>
      </c>
    </row>
    <row r="56" spans="1:56" ht="15" hidden="1" customHeight="1" x14ac:dyDescent="0.25">
      <c r="A56" s="2">
        <v>1170</v>
      </c>
      <c r="B56" s="16">
        <v>45835.443113425928</v>
      </c>
      <c r="C56" s="16">
        <v>45849.653657407405</v>
      </c>
      <c r="D56" s="16">
        <v>45849.653657407405</v>
      </c>
      <c r="E56" s="1" t="s">
        <v>171</v>
      </c>
      <c r="F56" s="7" t="s">
        <v>173</v>
      </c>
      <c r="G56" s="1" t="s">
        <v>80</v>
      </c>
      <c r="H56" s="4" t="s">
        <v>172</v>
      </c>
      <c r="I56" s="2">
        <v>2</v>
      </c>
      <c r="J56" s="1" t="s">
        <v>94</v>
      </c>
      <c r="K56" s="1" t="s">
        <v>80</v>
      </c>
      <c r="L56" s="1" t="s">
        <v>81</v>
      </c>
      <c r="M56" s="1" t="s">
        <v>81</v>
      </c>
      <c r="N56" s="1" t="s">
        <v>47</v>
      </c>
      <c r="O56" s="2"/>
      <c r="P56" s="16"/>
      <c r="Q56" s="1"/>
      <c r="R56" s="1"/>
      <c r="S56" s="16"/>
      <c r="T56" s="1"/>
      <c r="U56" s="4"/>
      <c r="V56" s="4"/>
      <c r="W56" s="1"/>
      <c r="X56" s="1" t="s">
        <v>63</v>
      </c>
      <c r="Y56" s="1"/>
      <c r="Z56" s="2"/>
      <c r="AA56" s="1"/>
      <c r="AB56" s="1"/>
      <c r="AC56" s="1" t="s">
        <v>81</v>
      </c>
      <c r="AD56" s="16">
        <v>45849.653657407405</v>
      </c>
      <c r="AE56" s="1"/>
      <c r="AF56" s="1"/>
      <c r="AG56" s="1"/>
      <c r="AH56" s="1"/>
      <c r="AI56" s="1"/>
      <c r="AJ56" s="2">
        <v>0</v>
      </c>
      <c r="AK56" s="1"/>
      <c r="AL56" s="1" t="s">
        <v>81</v>
      </c>
      <c r="AM56" s="1"/>
      <c r="AN56" s="2"/>
      <c r="AO56" s="1"/>
      <c r="AP56" s="2">
        <v>2</v>
      </c>
      <c r="AQ56" s="4"/>
      <c r="AR56" s="4"/>
      <c r="AS56" s="16"/>
      <c r="AT56" s="4"/>
      <c r="AU56" s="1"/>
      <c r="AV56" s="1"/>
      <c r="AW56" s="1" t="s">
        <v>61</v>
      </c>
      <c r="AX56" s="4"/>
      <c r="AY56" s="1" t="s">
        <v>85</v>
      </c>
      <c r="AZ56" s="4"/>
      <c r="BA56" s="2"/>
      <c r="BB56" s="4"/>
      <c r="BC56" s="1"/>
      <c r="BD56" s="1" t="s">
        <v>86</v>
      </c>
    </row>
    <row r="57" spans="1:56" ht="15" hidden="1" customHeight="1" x14ac:dyDescent="0.25">
      <c r="A57" s="2">
        <v>1236</v>
      </c>
      <c r="B57" s="16">
        <v>45860.608576388891</v>
      </c>
      <c r="C57" s="16">
        <v>45870.629930555559</v>
      </c>
      <c r="D57" s="16">
        <v>45870.629930555559</v>
      </c>
      <c r="E57" s="1" t="s">
        <v>384</v>
      </c>
      <c r="F57" s="4"/>
      <c r="G57" s="1" t="s">
        <v>80</v>
      </c>
      <c r="H57" s="4" t="s">
        <v>385</v>
      </c>
      <c r="I57" s="2">
        <v>2</v>
      </c>
      <c r="J57" s="1" t="s">
        <v>81</v>
      </c>
      <c r="K57" s="1" t="s">
        <v>80</v>
      </c>
      <c r="L57" s="1" t="s">
        <v>89</v>
      </c>
      <c r="M57" s="1" t="s">
        <v>81</v>
      </c>
      <c r="N57" s="1" t="s">
        <v>47</v>
      </c>
      <c r="O57" s="2"/>
      <c r="P57" s="16"/>
      <c r="Q57" s="1"/>
      <c r="R57" s="1"/>
      <c r="S57" s="16"/>
      <c r="T57" s="1"/>
      <c r="U57" s="4"/>
      <c r="V57" s="4"/>
      <c r="W57" s="1"/>
      <c r="X57" s="1" t="s">
        <v>63</v>
      </c>
      <c r="Y57" s="1"/>
      <c r="Z57" s="2"/>
      <c r="AA57" s="1"/>
      <c r="AB57" s="1"/>
      <c r="AC57" s="1" t="s">
        <v>89</v>
      </c>
      <c r="AD57" s="16">
        <v>45870.629930555559</v>
      </c>
      <c r="AE57" s="1"/>
      <c r="AF57" s="1"/>
      <c r="AG57" s="1"/>
      <c r="AH57" s="1"/>
      <c r="AI57" s="1"/>
      <c r="AJ57" s="2">
        <v>0</v>
      </c>
      <c r="AK57" s="1"/>
      <c r="AL57" s="1" t="s">
        <v>89</v>
      </c>
      <c r="AM57" s="1"/>
      <c r="AN57" s="2"/>
      <c r="AO57" s="1"/>
      <c r="AP57" s="2">
        <v>0</v>
      </c>
      <c r="AQ57" s="4"/>
      <c r="AR57" s="4"/>
      <c r="AS57" s="16"/>
      <c r="AT57" s="4"/>
      <c r="AU57" s="1"/>
      <c r="AV57" s="1"/>
      <c r="AW57" s="1" t="s">
        <v>61</v>
      </c>
      <c r="AX57" s="4"/>
      <c r="AY57" s="1" t="s">
        <v>85</v>
      </c>
      <c r="AZ57" s="4"/>
      <c r="BA57" s="2"/>
      <c r="BB57" s="4"/>
      <c r="BC57" s="1"/>
      <c r="BD57" s="1" t="s">
        <v>86</v>
      </c>
    </row>
    <row r="58" spans="1:56" ht="15" hidden="1" customHeight="1" x14ac:dyDescent="0.25">
      <c r="A58" s="2">
        <v>1252</v>
      </c>
      <c r="B58" s="16">
        <v>45867.34888888889</v>
      </c>
      <c r="C58" s="16">
        <v>45884.532986111109</v>
      </c>
      <c r="D58" s="16">
        <v>45884.532986111109</v>
      </c>
      <c r="E58" s="1" t="s">
        <v>386</v>
      </c>
      <c r="F58" s="4"/>
      <c r="G58" s="1" t="s">
        <v>80</v>
      </c>
      <c r="H58" s="4" t="s">
        <v>387</v>
      </c>
      <c r="I58" s="2">
        <v>2</v>
      </c>
      <c r="J58" s="1" t="s">
        <v>94</v>
      </c>
      <c r="K58" s="1" t="s">
        <v>80</v>
      </c>
      <c r="L58" s="1" t="s">
        <v>89</v>
      </c>
      <c r="M58" s="1" t="s">
        <v>81</v>
      </c>
      <c r="N58" s="1" t="s">
        <v>47</v>
      </c>
      <c r="O58" s="2"/>
      <c r="P58" s="16"/>
      <c r="Q58" s="1"/>
      <c r="R58" s="1"/>
      <c r="S58" s="16"/>
      <c r="T58" s="1"/>
      <c r="U58" s="4"/>
      <c r="V58" s="4"/>
      <c r="W58" s="1"/>
      <c r="X58" s="1" t="s">
        <v>63</v>
      </c>
      <c r="Y58" s="1"/>
      <c r="Z58" s="2"/>
      <c r="AA58" s="1"/>
      <c r="AB58" s="1"/>
      <c r="AC58" s="1" t="s">
        <v>89</v>
      </c>
      <c r="AD58" s="16">
        <v>45884.532986111109</v>
      </c>
      <c r="AE58" s="1"/>
      <c r="AF58" s="1"/>
      <c r="AG58" s="1"/>
      <c r="AH58" s="1"/>
      <c r="AI58" s="1"/>
      <c r="AJ58" s="2">
        <v>0</v>
      </c>
      <c r="AK58" s="1"/>
      <c r="AL58" s="1" t="s">
        <v>89</v>
      </c>
      <c r="AM58" s="1"/>
      <c r="AN58" s="2"/>
      <c r="AO58" s="1"/>
      <c r="AP58" s="2">
        <v>1</v>
      </c>
      <c r="AQ58" s="4"/>
      <c r="AR58" s="4"/>
      <c r="AS58" s="16"/>
      <c r="AT58" s="4"/>
      <c r="AU58" s="1"/>
      <c r="AV58" s="1"/>
      <c r="AW58" s="1" t="s">
        <v>61</v>
      </c>
      <c r="AX58" s="4"/>
      <c r="AY58" s="1" t="s">
        <v>85</v>
      </c>
      <c r="AZ58" s="4"/>
      <c r="BA58" s="2"/>
      <c r="BB58" s="4"/>
      <c r="BC58" s="1"/>
      <c r="BD58" s="1" t="s">
        <v>86</v>
      </c>
    </row>
    <row r="59" spans="1:56" ht="15" customHeight="1" x14ac:dyDescent="0.25">
      <c r="A59" s="2">
        <v>1254</v>
      </c>
      <c r="B59" s="16">
        <v>45867.36042824074</v>
      </c>
      <c r="C59" s="16">
        <v>45881.571215277778</v>
      </c>
      <c r="D59" s="16"/>
      <c r="E59" s="1" t="s">
        <v>388</v>
      </c>
      <c r="F59" s="4"/>
      <c r="G59" s="1" t="s">
        <v>245</v>
      </c>
      <c r="H59" s="4" t="s">
        <v>389</v>
      </c>
      <c r="I59" s="2">
        <v>2</v>
      </c>
      <c r="J59" s="1"/>
      <c r="K59" s="1" t="s">
        <v>178</v>
      </c>
      <c r="L59" s="1" t="s">
        <v>147</v>
      </c>
      <c r="M59" s="1" t="s">
        <v>81</v>
      </c>
      <c r="N59" s="1" t="s">
        <v>47</v>
      </c>
      <c r="O59" s="2"/>
      <c r="P59" s="16"/>
      <c r="Q59" s="1"/>
      <c r="R59" s="1"/>
      <c r="S59" s="16"/>
      <c r="T59" s="1"/>
      <c r="U59" s="4"/>
      <c r="V59" s="4"/>
      <c r="W59" s="1"/>
      <c r="X59" s="1" t="s">
        <v>63</v>
      </c>
      <c r="Y59" s="1"/>
      <c r="Z59" s="2"/>
      <c r="AA59" s="1"/>
      <c r="AB59" s="1"/>
      <c r="AC59" s="1" t="s">
        <v>147</v>
      </c>
      <c r="AD59" s="16">
        <v>45881.571215277778</v>
      </c>
      <c r="AE59" s="1"/>
      <c r="AF59" s="1"/>
      <c r="AG59" s="1"/>
      <c r="AH59" s="1"/>
      <c r="AI59" s="1"/>
      <c r="AJ59" s="2">
        <v>0</v>
      </c>
      <c r="AK59" s="1"/>
      <c r="AL59" s="1"/>
      <c r="AM59" s="1"/>
      <c r="AN59" s="2"/>
      <c r="AO59" s="1"/>
      <c r="AP59" s="2">
        <v>0</v>
      </c>
      <c r="AQ59" s="4"/>
      <c r="AR59" s="4"/>
      <c r="AS59" s="16"/>
      <c r="AT59" s="4"/>
      <c r="AU59" s="1"/>
      <c r="AV59" s="1"/>
      <c r="AW59" s="1" t="s">
        <v>61</v>
      </c>
      <c r="AX59" s="4"/>
      <c r="AY59" s="1" t="s">
        <v>85</v>
      </c>
      <c r="AZ59" s="4"/>
      <c r="BA59" s="2"/>
      <c r="BB59" s="4"/>
      <c r="BC59" s="1"/>
      <c r="BD59" s="1" t="s">
        <v>185</v>
      </c>
    </row>
    <row r="60" spans="1:56" ht="15" customHeight="1" x14ac:dyDescent="0.25">
      <c r="A60" s="2">
        <v>1255</v>
      </c>
      <c r="B60" s="16">
        <v>45867.36105324074</v>
      </c>
      <c r="C60" s="16">
        <v>45881.571215277778</v>
      </c>
      <c r="D60" s="16"/>
      <c r="E60" s="1" t="s">
        <v>390</v>
      </c>
      <c r="F60" s="4"/>
      <c r="G60" s="1" t="s">
        <v>245</v>
      </c>
      <c r="H60" s="4" t="s">
        <v>389</v>
      </c>
      <c r="I60" s="2">
        <v>2</v>
      </c>
      <c r="J60" s="1"/>
      <c r="K60" s="1" t="s">
        <v>178</v>
      </c>
      <c r="L60" s="1" t="s">
        <v>147</v>
      </c>
      <c r="M60" s="1" t="s">
        <v>81</v>
      </c>
      <c r="N60" s="1" t="s">
        <v>47</v>
      </c>
      <c r="O60" s="2"/>
      <c r="P60" s="16"/>
      <c r="Q60" s="1"/>
      <c r="R60" s="1"/>
      <c r="S60" s="16"/>
      <c r="T60" s="1"/>
      <c r="U60" s="4"/>
      <c r="V60" s="4"/>
      <c r="W60" s="1"/>
      <c r="X60" s="1" t="s">
        <v>63</v>
      </c>
      <c r="Y60" s="1"/>
      <c r="Z60" s="2"/>
      <c r="AA60" s="1"/>
      <c r="AB60" s="1"/>
      <c r="AC60" s="1" t="s">
        <v>147</v>
      </c>
      <c r="AD60" s="16">
        <v>45881.571215277778</v>
      </c>
      <c r="AE60" s="1"/>
      <c r="AF60" s="1"/>
      <c r="AG60" s="1"/>
      <c r="AH60" s="1"/>
      <c r="AI60" s="1"/>
      <c r="AJ60" s="2">
        <v>0</v>
      </c>
      <c r="AK60" s="1"/>
      <c r="AL60" s="1"/>
      <c r="AM60" s="1"/>
      <c r="AN60" s="2"/>
      <c r="AO60" s="1"/>
      <c r="AP60" s="2">
        <v>0</v>
      </c>
      <c r="AQ60" s="4"/>
      <c r="AR60" s="4"/>
      <c r="AS60" s="16"/>
      <c r="AT60" s="4"/>
      <c r="AU60" s="1"/>
      <c r="AV60" s="1"/>
      <c r="AW60" s="1" t="s">
        <v>61</v>
      </c>
      <c r="AX60" s="4"/>
      <c r="AY60" s="1" t="s">
        <v>85</v>
      </c>
      <c r="AZ60" s="4"/>
      <c r="BA60" s="2"/>
      <c r="BB60" s="4"/>
      <c r="BC60" s="1"/>
      <c r="BD60" s="1" t="s">
        <v>185</v>
      </c>
    </row>
    <row r="61" spans="1:56" ht="15" hidden="1" customHeight="1" x14ac:dyDescent="0.25">
      <c r="A61" s="2">
        <v>1306</v>
      </c>
      <c r="B61" s="16">
        <v>45884.448958333334</v>
      </c>
      <c r="C61" s="16">
        <v>45901.591793981483</v>
      </c>
      <c r="D61" s="16">
        <v>45901.591793981483</v>
      </c>
      <c r="E61" s="1" t="s">
        <v>391</v>
      </c>
      <c r="F61" s="7" t="s">
        <v>392</v>
      </c>
      <c r="G61" s="1" t="s">
        <v>80</v>
      </c>
      <c r="H61" s="4" t="s">
        <v>393</v>
      </c>
      <c r="I61" s="2">
        <v>2</v>
      </c>
      <c r="J61" s="1" t="s">
        <v>81</v>
      </c>
      <c r="K61" s="1" t="s">
        <v>80</v>
      </c>
      <c r="L61" s="1" t="s">
        <v>89</v>
      </c>
      <c r="M61" s="1" t="s">
        <v>81</v>
      </c>
      <c r="N61" s="1" t="s">
        <v>47</v>
      </c>
      <c r="O61" s="2"/>
      <c r="P61" s="16"/>
      <c r="Q61" s="1"/>
      <c r="R61" s="1"/>
      <c r="S61" s="16"/>
      <c r="T61" s="1"/>
      <c r="U61" s="4"/>
      <c r="V61" s="4"/>
      <c r="W61" s="1"/>
      <c r="X61" s="1" t="s">
        <v>63</v>
      </c>
      <c r="Y61" s="1"/>
      <c r="Z61" s="2"/>
      <c r="AA61" s="1"/>
      <c r="AB61" s="1"/>
      <c r="AC61" s="1" t="s">
        <v>89</v>
      </c>
      <c r="AD61" s="16">
        <v>45901.591793981483</v>
      </c>
      <c r="AE61" s="1"/>
      <c r="AF61" s="1"/>
      <c r="AG61" s="1"/>
      <c r="AH61" s="1"/>
      <c r="AI61" s="1"/>
      <c r="AJ61" s="2">
        <v>0</v>
      </c>
      <c r="AK61" s="1"/>
      <c r="AL61" s="1" t="s">
        <v>89</v>
      </c>
      <c r="AM61" s="1"/>
      <c r="AN61" s="2"/>
      <c r="AO61" s="1"/>
      <c r="AP61" s="2">
        <v>5</v>
      </c>
      <c r="AQ61" s="4"/>
      <c r="AR61" s="4"/>
      <c r="AS61" s="16"/>
      <c r="AT61" s="4"/>
      <c r="AU61" s="1"/>
      <c r="AV61" s="1"/>
      <c r="AW61" s="1" t="s">
        <v>61</v>
      </c>
      <c r="AX61" s="4"/>
      <c r="AY61" s="1" t="s">
        <v>85</v>
      </c>
      <c r="AZ61" s="4"/>
      <c r="BA61" s="2"/>
      <c r="BB61" s="4"/>
      <c r="BC61" s="1"/>
      <c r="BD61" s="1" t="s">
        <v>86</v>
      </c>
    </row>
    <row r="62" spans="1:56" ht="15" hidden="1" customHeight="1" x14ac:dyDescent="0.25">
      <c r="A62" s="2">
        <v>1310</v>
      </c>
      <c r="B62" s="16">
        <v>45887.44462962963</v>
      </c>
      <c r="C62" s="16">
        <v>45901.591770833336</v>
      </c>
      <c r="D62" s="16">
        <v>45901.591770833336</v>
      </c>
      <c r="E62" s="1" t="s">
        <v>394</v>
      </c>
      <c r="F62" s="4"/>
      <c r="G62" s="1" t="s">
        <v>80</v>
      </c>
      <c r="H62" s="4" t="s">
        <v>395</v>
      </c>
      <c r="I62" s="2">
        <v>2</v>
      </c>
      <c r="J62" s="1" t="s">
        <v>82</v>
      </c>
      <c r="K62" s="1" t="s">
        <v>80</v>
      </c>
      <c r="L62" s="1" t="s">
        <v>89</v>
      </c>
      <c r="M62" s="1" t="s">
        <v>81</v>
      </c>
      <c r="N62" s="1" t="s">
        <v>47</v>
      </c>
      <c r="O62" s="2"/>
      <c r="P62" s="16"/>
      <c r="Q62" s="1"/>
      <c r="R62" s="1"/>
      <c r="S62" s="16"/>
      <c r="T62" s="1"/>
      <c r="U62" s="4"/>
      <c r="V62" s="4"/>
      <c r="W62" s="1"/>
      <c r="X62" s="1" t="s">
        <v>63</v>
      </c>
      <c r="Y62" s="1"/>
      <c r="Z62" s="2"/>
      <c r="AA62" s="1"/>
      <c r="AB62" s="1"/>
      <c r="AC62" s="1" t="s">
        <v>89</v>
      </c>
      <c r="AD62" s="16">
        <v>45901.591770833336</v>
      </c>
      <c r="AE62" s="1"/>
      <c r="AF62" s="1"/>
      <c r="AG62" s="1"/>
      <c r="AH62" s="1"/>
      <c r="AI62" s="1"/>
      <c r="AJ62" s="2">
        <v>0</v>
      </c>
      <c r="AK62" s="1"/>
      <c r="AL62" s="1" t="s">
        <v>89</v>
      </c>
      <c r="AM62" s="1"/>
      <c r="AN62" s="2"/>
      <c r="AO62" s="1"/>
      <c r="AP62" s="2">
        <v>0</v>
      </c>
      <c r="AQ62" s="4"/>
      <c r="AR62" s="4"/>
      <c r="AS62" s="16"/>
      <c r="AT62" s="4"/>
      <c r="AU62" s="1"/>
      <c r="AV62" s="1"/>
      <c r="AW62" s="1" t="s">
        <v>61</v>
      </c>
      <c r="AX62" s="4"/>
      <c r="AY62" s="1" t="s">
        <v>85</v>
      </c>
      <c r="AZ62" s="4"/>
      <c r="BA62" s="2"/>
      <c r="BB62" s="4"/>
      <c r="BC62" s="1"/>
      <c r="BD62" s="1" t="s">
        <v>86</v>
      </c>
    </row>
    <row r="63" spans="1:56" ht="15" hidden="1" customHeight="1" x14ac:dyDescent="0.25">
      <c r="A63" s="2">
        <v>1311</v>
      </c>
      <c r="B63" s="16">
        <v>45888.366759259261</v>
      </c>
      <c r="C63" s="16">
        <v>45901.591828703706</v>
      </c>
      <c r="D63" s="16">
        <v>45901.591828703706</v>
      </c>
      <c r="E63" s="1" t="s">
        <v>396</v>
      </c>
      <c r="F63" s="7" t="s">
        <v>397</v>
      </c>
      <c r="G63" s="1" t="s">
        <v>80</v>
      </c>
      <c r="H63" s="4" t="s">
        <v>398</v>
      </c>
      <c r="I63" s="2">
        <v>2</v>
      </c>
      <c r="J63" s="1" t="s">
        <v>81</v>
      </c>
      <c r="K63" s="1" t="s">
        <v>80</v>
      </c>
      <c r="L63" s="1" t="s">
        <v>89</v>
      </c>
      <c r="M63" s="1" t="s">
        <v>81</v>
      </c>
      <c r="N63" s="1" t="s">
        <v>47</v>
      </c>
      <c r="O63" s="2"/>
      <c r="P63" s="16"/>
      <c r="Q63" s="1"/>
      <c r="R63" s="1"/>
      <c r="S63" s="16"/>
      <c r="T63" s="1"/>
      <c r="U63" s="4"/>
      <c r="V63" s="4"/>
      <c r="W63" s="1"/>
      <c r="X63" s="1" t="s">
        <v>63</v>
      </c>
      <c r="Y63" s="1"/>
      <c r="Z63" s="2"/>
      <c r="AA63" s="1"/>
      <c r="AB63" s="1"/>
      <c r="AC63" s="1" t="s">
        <v>89</v>
      </c>
      <c r="AD63" s="16">
        <v>45901.591828703706</v>
      </c>
      <c r="AE63" s="1"/>
      <c r="AF63" s="1"/>
      <c r="AG63" s="1"/>
      <c r="AH63" s="1"/>
      <c r="AI63" s="1"/>
      <c r="AJ63" s="2">
        <v>0</v>
      </c>
      <c r="AK63" s="1"/>
      <c r="AL63" s="1" t="s">
        <v>89</v>
      </c>
      <c r="AM63" s="1"/>
      <c r="AN63" s="2"/>
      <c r="AO63" s="1"/>
      <c r="AP63" s="2">
        <v>1</v>
      </c>
      <c r="AQ63" s="4"/>
      <c r="AR63" s="4"/>
      <c r="AS63" s="16"/>
      <c r="AT63" s="4"/>
      <c r="AU63" s="1"/>
      <c r="AV63" s="1"/>
      <c r="AW63" s="1" t="s">
        <v>61</v>
      </c>
      <c r="AX63" s="4"/>
      <c r="AY63" s="1" t="s">
        <v>85</v>
      </c>
      <c r="AZ63" s="4"/>
      <c r="BA63" s="2"/>
      <c r="BB63" s="4"/>
      <c r="BC63" s="1"/>
      <c r="BD63" s="1" t="s">
        <v>86</v>
      </c>
    </row>
    <row r="64" spans="1:56" ht="15" hidden="1" customHeight="1" x14ac:dyDescent="0.25">
      <c r="A64" s="2">
        <v>1317</v>
      </c>
      <c r="B64" s="16">
        <v>45889.573831018519</v>
      </c>
      <c r="C64" s="16">
        <v>45905.78056712963</v>
      </c>
      <c r="D64" s="16">
        <v>45905.78056712963</v>
      </c>
      <c r="E64" s="1" t="s">
        <v>399</v>
      </c>
      <c r="F64" s="7" t="s">
        <v>400</v>
      </c>
      <c r="G64" s="1" t="s">
        <v>80</v>
      </c>
      <c r="H64" s="4" t="s">
        <v>395</v>
      </c>
      <c r="I64" s="2">
        <v>2</v>
      </c>
      <c r="J64" s="1" t="s">
        <v>82</v>
      </c>
      <c r="K64" s="1" t="s">
        <v>80</v>
      </c>
      <c r="L64" s="1" t="s">
        <v>89</v>
      </c>
      <c r="M64" s="1" t="s">
        <v>82</v>
      </c>
      <c r="N64" s="1" t="s">
        <v>47</v>
      </c>
      <c r="O64" s="2"/>
      <c r="P64" s="16"/>
      <c r="Q64" s="1"/>
      <c r="R64" s="1"/>
      <c r="S64" s="16"/>
      <c r="T64" s="1"/>
      <c r="U64" s="4"/>
      <c r="V64" s="4"/>
      <c r="W64" s="1"/>
      <c r="X64" s="1" t="s">
        <v>63</v>
      </c>
      <c r="Y64" s="1"/>
      <c r="Z64" s="2"/>
      <c r="AA64" s="1"/>
      <c r="AB64" s="1"/>
      <c r="AC64" s="1" t="s">
        <v>89</v>
      </c>
      <c r="AD64" s="16">
        <v>45905.78056712963</v>
      </c>
      <c r="AE64" s="1"/>
      <c r="AF64" s="1"/>
      <c r="AG64" s="1"/>
      <c r="AH64" s="1"/>
      <c r="AI64" s="1"/>
      <c r="AJ64" s="2">
        <v>0</v>
      </c>
      <c r="AK64" s="1"/>
      <c r="AL64" s="1" t="s">
        <v>89</v>
      </c>
      <c r="AM64" s="1"/>
      <c r="AN64" s="2"/>
      <c r="AO64" s="1"/>
      <c r="AP64" s="2">
        <v>1</v>
      </c>
      <c r="AQ64" s="4"/>
      <c r="AR64" s="4"/>
      <c r="AS64" s="16"/>
      <c r="AT64" s="4"/>
      <c r="AU64" s="1"/>
      <c r="AV64" s="1"/>
      <c r="AW64" s="1" t="s">
        <v>61</v>
      </c>
      <c r="AX64" s="4"/>
      <c r="AY64" s="1" t="s">
        <v>85</v>
      </c>
      <c r="AZ64" s="4"/>
      <c r="BA64" s="2"/>
      <c r="BB64" s="4"/>
      <c r="BC64" s="1"/>
      <c r="BD64" s="1" t="s">
        <v>86</v>
      </c>
    </row>
    <row r="65" spans="1:56" ht="15" hidden="1" customHeight="1" x14ac:dyDescent="0.25">
      <c r="A65" s="2">
        <v>1318</v>
      </c>
      <c r="B65" s="16">
        <v>45890.393611111111</v>
      </c>
      <c r="C65" s="16">
        <v>45905.780497685184</v>
      </c>
      <c r="D65" s="16">
        <v>45905.780497685184</v>
      </c>
      <c r="E65" s="1" t="s">
        <v>401</v>
      </c>
      <c r="F65" s="7" t="s">
        <v>100</v>
      </c>
      <c r="G65" s="1" t="s">
        <v>80</v>
      </c>
      <c r="H65" s="4" t="s">
        <v>395</v>
      </c>
      <c r="I65" s="2">
        <v>2</v>
      </c>
      <c r="J65" s="1" t="s">
        <v>82</v>
      </c>
      <c r="K65" s="1" t="s">
        <v>80</v>
      </c>
      <c r="L65" s="1" t="s">
        <v>89</v>
      </c>
      <c r="M65" s="1" t="s">
        <v>82</v>
      </c>
      <c r="N65" s="1" t="s">
        <v>47</v>
      </c>
      <c r="O65" s="2"/>
      <c r="P65" s="16"/>
      <c r="Q65" s="1"/>
      <c r="R65" s="1"/>
      <c r="S65" s="16"/>
      <c r="T65" s="1"/>
      <c r="U65" s="4"/>
      <c r="V65" s="4"/>
      <c r="W65" s="1"/>
      <c r="X65" s="1" t="s">
        <v>63</v>
      </c>
      <c r="Y65" s="1"/>
      <c r="Z65" s="2"/>
      <c r="AA65" s="1"/>
      <c r="AB65" s="1"/>
      <c r="AC65" s="1" t="s">
        <v>89</v>
      </c>
      <c r="AD65" s="16">
        <v>45905.780497685184</v>
      </c>
      <c r="AE65" s="1"/>
      <c r="AF65" s="1"/>
      <c r="AG65" s="1"/>
      <c r="AH65" s="1"/>
      <c r="AI65" s="1"/>
      <c r="AJ65" s="2">
        <v>0</v>
      </c>
      <c r="AK65" s="1"/>
      <c r="AL65" s="1" t="s">
        <v>89</v>
      </c>
      <c r="AM65" s="1"/>
      <c r="AN65" s="2"/>
      <c r="AO65" s="1"/>
      <c r="AP65" s="2">
        <v>1</v>
      </c>
      <c r="AQ65" s="4"/>
      <c r="AR65" s="4"/>
      <c r="AS65" s="16"/>
      <c r="AT65" s="4"/>
      <c r="AU65" s="1"/>
      <c r="AV65" s="1"/>
      <c r="AW65" s="1" t="s">
        <v>61</v>
      </c>
      <c r="AX65" s="4"/>
      <c r="AY65" s="1" t="s">
        <v>85</v>
      </c>
      <c r="AZ65" s="4"/>
      <c r="BA65" s="2"/>
      <c r="BB65" s="4"/>
      <c r="BC65" s="1"/>
      <c r="BD65" s="1" t="s">
        <v>86</v>
      </c>
    </row>
    <row r="66" spans="1:56" ht="15" hidden="1" customHeight="1" x14ac:dyDescent="0.25">
      <c r="A66" s="2">
        <v>1322</v>
      </c>
      <c r="B66" s="16">
        <v>45891.420763888891</v>
      </c>
      <c r="C66" s="16">
        <v>45905.780601851853</v>
      </c>
      <c r="D66" s="16">
        <v>45905.780601851853</v>
      </c>
      <c r="E66" s="1" t="s">
        <v>402</v>
      </c>
      <c r="F66" s="7" t="s">
        <v>403</v>
      </c>
      <c r="G66" s="1" t="s">
        <v>80</v>
      </c>
      <c r="H66" s="4" t="s">
        <v>404</v>
      </c>
      <c r="I66" s="2">
        <v>2</v>
      </c>
      <c r="J66" s="1" t="s">
        <v>82</v>
      </c>
      <c r="K66" s="1" t="s">
        <v>80</v>
      </c>
      <c r="L66" s="1" t="s">
        <v>89</v>
      </c>
      <c r="M66" s="1" t="s">
        <v>82</v>
      </c>
      <c r="N66" s="1" t="s">
        <v>47</v>
      </c>
      <c r="O66" s="2"/>
      <c r="P66" s="16"/>
      <c r="Q66" s="1"/>
      <c r="R66" s="1"/>
      <c r="S66" s="16"/>
      <c r="T66" s="1"/>
      <c r="U66" s="4"/>
      <c r="V66" s="4"/>
      <c r="W66" s="1"/>
      <c r="X66" s="1" t="s">
        <v>63</v>
      </c>
      <c r="Y66" s="1"/>
      <c r="Z66" s="2"/>
      <c r="AA66" s="1"/>
      <c r="AB66" s="1"/>
      <c r="AC66" s="1" t="s">
        <v>89</v>
      </c>
      <c r="AD66" s="16">
        <v>45905.780601851853</v>
      </c>
      <c r="AE66" s="1"/>
      <c r="AF66" s="1"/>
      <c r="AG66" s="1"/>
      <c r="AH66" s="1"/>
      <c r="AI66" s="1"/>
      <c r="AJ66" s="2">
        <v>0</v>
      </c>
      <c r="AK66" s="1"/>
      <c r="AL66" s="1" t="s">
        <v>89</v>
      </c>
      <c r="AM66" s="1"/>
      <c r="AN66" s="2"/>
      <c r="AO66" s="1"/>
      <c r="AP66" s="2">
        <v>1</v>
      </c>
      <c r="AQ66" s="4"/>
      <c r="AR66" s="4"/>
      <c r="AS66" s="16"/>
      <c r="AT66" s="4"/>
      <c r="AU66" s="1"/>
      <c r="AV66" s="1"/>
      <c r="AW66" s="1" t="s">
        <v>61</v>
      </c>
      <c r="AX66" s="4"/>
      <c r="AY66" s="1" t="s">
        <v>85</v>
      </c>
      <c r="AZ66" s="4"/>
      <c r="BA66" s="2"/>
      <c r="BB66" s="4"/>
      <c r="BC66" s="1"/>
      <c r="BD66" s="1" t="s">
        <v>86</v>
      </c>
    </row>
    <row r="67" spans="1:56" ht="15" hidden="1" customHeight="1" x14ac:dyDescent="0.25">
      <c r="A67" s="2">
        <v>1325</v>
      </c>
      <c r="B67" s="16">
        <v>45891.437442129631</v>
      </c>
      <c r="C67" s="16">
        <v>45911.659895833334</v>
      </c>
      <c r="D67" s="16">
        <v>45911.659895833334</v>
      </c>
      <c r="E67" s="1" t="s">
        <v>405</v>
      </c>
      <c r="F67" s="7" t="s">
        <v>407</v>
      </c>
      <c r="G67" s="1" t="s">
        <v>80</v>
      </c>
      <c r="H67" s="4" t="s">
        <v>450</v>
      </c>
      <c r="I67" s="2">
        <v>2</v>
      </c>
      <c r="J67" s="1" t="s">
        <v>81</v>
      </c>
      <c r="K67" s="1" t="s">
        <v>80</v>
      </c>
      <c r="L67" s="1" t="s">
        <v>89</v>
      </c>
      <c r="M67" s="1" t="s">
        <v>81</v>
      </c>
      <c r="N67" s="1" t="s">
        <v>47</v>
      </c>
      <c r="O67" s="2"/>
      <c r="P67" s="16"/>
      <c r="Q67" s="1"/>
      <c r="R67" s="1"/>
      <c r="S67" s="16"/>
      <c r="T67" s="1"/>
      <c r="U67" s="4"/>
      <c r="V67" s="4"/>
      <c r="W67" s="1"/>
      <c r="X67" s="1" t="s">
        <v>63</v>
      </c>
      <c r="Y67" s="1"/>
      <c r="Z67" s="2"/>
      <c r="AA67" s="1"/>
      <c r="AB67" s="1"/>
      <c r="AC67" s="1" t="s">
        <v>89</v>
      </c>
      <c r="AD67" s="16">
        <v>45911.659895833334</v>
      </c>
      <c r="AE67" s="1"/>
      <c r="AF67" s="1"/>
      <c r="AG67" s="1"/>
      <c r="AH67" s="1"/>
      <c r="AI67" s="1"/>
      <c r="AJ67" s="2">
        <v>0</v>
      </c>
      <c r="AK67" s="1"/>
      <c r="AL67" s="1" t="s">
        <v>89</v>
      </c>
      <c r="AM67" s="1"/>
      <c r="AN67" s="2"/>
      <c r="AO67" s="1"/>
      <c r="AP67" s="2">
        <v>4</v>
      </c>
      <c r="AQ67" s="4"/>
      <c r="AR67" s="4"/>
      <c r="AS67" s="16"/>
      <c r="AT67" s="4"/>
      <c r="AU67" s="1"/>
      <c r="AV67" s="1"/>
      <c r="AW67" s="1" t="s">
        <v>61</v>
      </c>
      <c r="AX67" s="4"/>
      <c r="AY67" s="1" t="s">
        <v>85</v>
      </c>
      <c r="AZ67" s="4"/>
      <c r="BA67" s="2"/>
      <c r="BB67" s="4"/>
      <c r="BC67" s="1"/>
      <c r="BD67" s="1" t="s">
        <v>86</v>
      </c>
    </row>
    <row r="68" spans="1:56" ht="15" hidden="1" customHeight="1" x14ac:dyDescent="0.25">
      <c r="A68" s="2">
        <v>1330</v>
      </c>
      <c r="B68" s="16">
        <v>45891.678854166668</v>
      </c>
      <c r="C68" s="16">
        <v>45905.780590277776</v>
      </c>
      <c r="D68" s="16">
        <v>45905.780590277776</v>
      </c>
      <c r="E68" s="1" t="s">
        <v>406</v>
      </c>
      <c r="F68" s="4"/>
      <c r="G68" s="1" t="s">
        <v>80</v>
      </c>
      <c r="H68" s="4" t="s">
        <v>395</v>
      </c>
      <c r="I68" s="2">
        <v>2</v>
      </c>
      <c r="J68" s="1" t="s">
        <v>82</v>
      </c>
      <c r="K68" s="1" t="s">
        <v>80</v>
      </c>
      <c r="L68" s="1" t="s">
        <v>89</v>
      </c>
      <c r="M68" s="1" t="s">
        <v>82</v>
      </c>
      <c r="N68" s="1" t="s">
        <v>47</v>
      </c>
      <c r="O68" s="2"/>
      <c r="P68" s="16"/>
      <c r="Q68" s="1"/>
      <c r="R68" s="1"/>
      <c r="S68" s="16"/>
      <c r="T68" s="1"/>
      <c r="U68" s="4"/>
      <c r="V68" s="4"/>
      <c r="W68" s="1"/>
      <c r="X68" s="1" t="s">
        <v>63</v>
      </c>
      <c r="Y68" s="1"/>
      <c r="Z68" s="2"/>
      <c r="AA68" s="1"/>
      <c r="AB68" s="1"/>
      <c r="AC68" s="1" t="s">
        <v>89</v>
      </c>
      <c r="AD68" s="16">
        <v>45905.780590277776</v>
      </c>
      <c r="AE68" s="1"/>
      <c r="AF68" s="1"/>
      <c r="AG68" s="1"/>
      <c r="AH68" s="1"/>
      <c r="AI68" s="1"/>
      <c r="AJ68" s="2">
        <v>0</v>
      </c>
      <c r="AK68" s="1"/>
      <c r="AL68" s="1" t="s">
        <v>89</v>
      </c>
      <c r="AM68" s="1"/>
      <c r="AN68" s="2"/>
      <c r="AO68" s="1"/>
      <c r="AP68" s="2">
        <v>1</v>
      </c>
      <c r="AQ68" s="4"/>
      <c r="AR68" s="4"/>
      <c r="AS68" s="16"/>
      <c r="AT68" s="4"/>
      <c r="AU68" s="1"/>
      <c r="AV68" s="1"/>
      <c r="AW68" s="1" t="s">
        <v>61</v>
      </c>
      <c r="AX68" s="4"/>
      <c r="AY68" s="1" t="s">
        <v>85</v>
      </c>
      <c r="AZ68" s="4"/>
      <c r="BA68" s="2"/>
      <c r="BB68" s="4"/>
      <c r="BC68" s="1"/>
      <c r="BD68" s="1" t="s">
        <v>86</v>
      </c>
    </row>
    <row r="69" spans="1:56" ht="15" hidden="1" customHeight="1" x14ac:dyDescent="0.25">
      <c r="A69" s="2">
        <v>1332</v>
      </c>
      <c r="B69" s="17">
        <v>45894.418553240743</v>
      </c>
      <c r="C69" s="17">
        <v>45986.705416666664</v>
      </c>
      <c r="D69" s="17"/>
      <c r="E69" s="1" t="s">
        <v>455</v>
      </c>
      <c r="F69" s="4"/>
      <c r="G69" s="1" t="s">
        <v>469</v>
      </c>
      <c r="H69" s="4" t="s">
        <v>581</v>
      </c>
      <c r="I69" s="2">
        <v>2</v>
      </c>
      <c r="J69" s="1" t="s">
        <v>81</v>
      </c>
      <c r="K69" s="1" t="s">
        <v>178</v>
      </c>
      <c r="L69" s="1" t="s">
        <v>81</v>
      </c>
      <c r="M69" s="1" t="s">
        <v>82</v>
      </c>
      <c r="N69" s="1" t="s">
        <v>47</v>
      </c>
      <c r="O69" s="2"/>
      <c r="P69" s="17"/>
      <c r="Q69" s="1"/>
      <c r="R69" s="1"/>
      <c r="S69" s="17"/>
      <c r="T69" s="1"/>
      <c r="U69" s="4"/>
      <c r="V69" s="4"/>
      <c r="W69" s="1"/>
      <c r="X69" s="1" t="s">
        <v>63</v>
      </c>
      <c r="Y69" s="1"/>
      <c r="Z69" s="2"/>
      <c r="AA69" s="1"/>
      <c r="AB69" s="1"/>
      <c r="AC69" s="1" t="s">
        <v>81</v>
      </c>
      <c r="AD69" s="17">
        <v>45986.705416666664</v>
      </c>
      <c r="AE69" s="1"/>
      <c r="AF69" s="1"/>
      <c r="AG69" s="1"/>
      <c r="AH69" s="1"/>
      <c r="AI69" s="1"/>
      <c r="AJ69" s="2">
        <v>0</v>
      </c>
      <c r="AK69" s="1"/>
      <c r="AL69" s="1"/>
      <c r="AM69" s="1"/>
      <c r="AN69" s="2"/>
      <c r="AO69" s="1"/>
      <c r="AP69" s="2">
        <v>2</v>
      </c>
      <c r="AQ69" s="4"/>
      <c r="AR69" s="4"/>
      <c r="AS69" s="17"/>
      <c r="AT69" s="4"/>
      <c r="AU69" s="1"/>
      <c r="AV69" s="1"/>
      <c r="AW69" s="1" t="s">
        <v>61</v>
      </c>
      <c r="AX69" s="4"/>
      <c r="AY69" s="1" t="s">
        <v>85</v>
      </c>
      <c r="AZ69" s="4"/>
      <c r="BA69" s="2"/>
      <c r="BB69" s="4"/>
      <c r="BC69" s="1"/>
      <c r="BD69" s="1" t="s">
        <v>188</v>
      </c>
    </row>
    <row r="70" spans="1:56" ht="15" hidden="1" customHeight="1" x14ac:dyDescent="0.25">
      <c r="A70" s="2">
        <v>1334</v>
      </c>
      <c r="B70" s="17">
        <v>45894.419664351852</v>
      </c>
      <c r="C70" s="17">
        <v>45905.780543981484</v>
      </c>
      <c r="D70" s="17">
        <v>45905.780543981484</v>
      </c>
      <c r="E70" s="1" t="s">
        <v>461</v>
      </c>
      <c r="F70" s="4"/>
      <c r="G70" s="1" t="s">
        <v>80</v>
      </c>
      <c r="H70" s="4" t="s">
        <v>395</v>
      </c>
      <c r="I70" s="2">
        <v>2</v>
      </c>
      <c r="J70" s="1" t="s">
        <v>82</v>
      </c>
      <c r="K70" s="1" t="s">
        <v>80</v>
      </c>
      <c r="L70" s="1" t="s">
        <v>89</v>
      </c>
      <c r="M70" s="1" t="s">
        <v>82</v>
      </c>
      <c r="N70" s="1" t="s">
        <v>47</v>
      </c>
      <c r="O70" s="2"/>
      <c r="P70" s="17"/>
      <c r="Q70" s="1"/>
      <c r="R70" s="1"/>
      <c r="S70" s="17"/>
      <c r="T70" s="1"/>
      <c r="U70" s="4"/>
      <c r="V70" s="4"/>
      <c r="W70" s="1"/>
      <c r="X70" s="1" t="s">
        <v>63</v>
      </c>
      <c r="Y70" s="1"/>
      <c r="Z70" s="2"/>
      <c r="AA70" s="1"/>
      <c r="AB70" s="1"/>
      <c r="AC70" s="1" t="s">
        <v>89</v>
      </c>
      <c r="AD70" s="17">
        <v>45905.780543981484</v>
      </c>
      <c r="AE70" s="1"/>
      <c r="AF70" s="1"/>
      <c r="AG70" s="1"/>
      <c r="AH70" s="1"/>
      <c r="AI70" s="1"/>
      <c r="AJ70" s="2">
        <v>0</v>
      </c>
      <c r="AK70" s="1"/>
      <c r="AL70" s="1" t="s">
        <v>89</v>
      </c>
      <c r="AM70" s="1"/>
      <c r="AN70" s="2"/>
      <c r="AO70" s="1"/>
      <c r="AP70" s="2">
        <v>1</v>
      </c>
      <c r="AQ70" s="4"/>
      <c r="AR70" s="4"/>
      <c r="AS70" s="17"/>
      <c r="AT70" s="4"/>
      <c r="AU70" s="1"/>
      <c r="AV70" s="1"/>
      <c r="AW70" s="1" t="s">
        <v>61</v>
      </c>
      <c r="AX70" s="4"/>
      <c r="AY70" s="1" t="s">
        <v>85</v>
      </c>
      <c r="AZ70" s="4"/>
      <c r="BA70" s="2"/>
      <c r="BB70" s="4"/>
      <c r="BC70" s="1"/>
      <c r="BD70" s="1" t="s">
        <v>86</v>
      </c>
    </row>
    <row r="71" spans="1:56" ht="15" hidden="1" customHeight="1" x14ac:dyDescent="0.25">
      <c r="A71" s="2">
        <v>1335</v>
      </c>
      <c r="B71" s="17">
        <v>45894.420208333337</v>
      </c>
      <c r="C71" s="17">
        <v>45905.78052083333</v>
      </c>
      <c r="D71" s="17">
        <v>45905.78052083333</v>
      </c>
      <c r="E71" s="1" t="s">
        <v>462</v>
      </c>
      <c r="F71" s="4"/>
      <c r="G71" s="1" t="s">
        <v>80</v>
      </c>
      <c r="H71" s="4" t="s">
        <v>395</v>
      </c>
      <c r="I71" s="2">
        <v>2</v>
      </c>
      <c r="J71" s="1" t="s">
        <v>82</v>
      </c>
      <c r="K71" s="1" t="s">
        <v>80</v>
      </c>
      <c r="L71" s="1" t="s">
        <v>89</v>
      </c>
      <c r="M71" s="1" t="s">
        <v>82</v>
      </c>
      <c r="N71" s="1" t="s">
        <v>47</v>
      </c>
      <c r="O71" s="2"/>
      <c r="P71" s="17"/>
      <c r="Q71" s="1"/>
      <c r="R71" s="1"/>
      <c r="S71" s="17"/>
      <c r="T71" s="1"/>
      <c r="U71" s="4"/>
      <c r="V71" s="4"/>
      <c r="W71" s="1"/>
      <c r="X71" s="1" t="s">
        <v>63</v>
      </c>
      <c r="Y71" s="1"/>
      <c r="Z71" s="2"/>
      <c r="AA71" s="1"/>
      <c r="AB71" s="1"/>
      <c r="AC71" s="1" t="s">
        <v>89</v>
      </c>
      <c r="AD71" s="17">
        <v>45905.78052083333</v>
      </c>
      <c r="AE71" s="1"/>
      <c r="AF71" s="1"/>
      <c r="AG71" s="1"/>
      <c r="AH71" s="1"/>
      <c r="AI71" s="1"/>
      <c r="AJ71" s="2">
        <v>0</v>
      </c>
      <c r="AK71" s="1"/>
      <c r="AL71" s="1" t="s">
        <v>89</v>
      </c>
      <c r="AM71" s="1"/>
      <c r="AN71" s="2"/>
      <c r="AO71" s="1"/>
      <c r="AP71" s="2">
        <v>1</v>
      </c>
      <c r="AQ71" s="4"/>
      <c r="AR71" s="4"/>
      <c r="AS71" s="17"/>
      <c r="AT71" s="4"/>
      <c r="AU71" s="1"/>
      <c r="AV71" s="1"/>
      <c r="AW71" s="1" t="s">
        <v>61</v>
      </c>
      <c r="AX71" s="4"/>
      <c r="AY71" s="1" t="s">
        <v>85</v>
      </c>
      <c r="AZ71" s="4"/>
      <c r="BA71" s="2"/>
      <c r="BB71" s="4"/>
      <c r="BC71" s="1"/>
      <c r="BD71" s="1" t="s">
        <v>86</v>
      </c>
    </row>
    <row r="72" spans="1:56" ht="15" customHeight="1" x14ac:dyDescent="0.25">
      <c r="A72" s="2">
        <v>1336</v>
      </c>
      <c r="B72" s="17">
        <v>45894.442418981482</v>
      </c>
      <c r="C72" s="17">
        <v>45986.752141203702</v>
      </c>
      <c r="D72" s="17"/>
      <c r="E72" s="1" t="s">
        <v>463</v>
      </c>
      <c r="F72" s="7" t="s">
        <v>466</v>
      </c>
      <c r="G72" s="1" t="s">
        <v>249</v>
      </c>
      <c r="H72" s="4" t="s">
        <v>576</v>
      </c>
      <c r="I72" s="2">
        <v>2</v>
      </c>
      <c r="J72" s="1"/>
      <c r="K72" s="1" t="s">
        <v>178</v>
      </c>
      <c r="L72" s="1" t="s">
        <v>81</v>
      </c>
      <c r="M72" s="1" t="s">
        <v>81</v>
      </c>
      <c r="N72" s="1" t="s">
        <v>47</v>
      </c>
      <c r="O72" s="2"/>
      <c r="P72" s="17"/>
      <c r="Q72" s="1"/>
      <c r="R72" s="1"/>
      <c r="S72" s="17"/>
      <c r="T72" s="1"/>
      <c r="U72" s="4"/>
      <c r="V72" s="4"/>
      <c r="W72" s="1"/>
      <c r="X72" s="1" t="s">
        <v>63</v>
      </c>
      <c r="Y72" s="1"/>
      <c r="Z72" s="2"/>
      <c r="AA72" s="1"/>
      <c r="AB72" s="1"/>
      <c r="AC72" s="1" t="s">
        <v>81</v>
      </c>
      <c r="AD72" s="17">
        <v>45986.752141203702</v>
      </c>
      <c r="AE72" s="1"/>
      <c r="AF72" s="1"/>
      <c r="AG72" s="1"/>
      <c r="AH72" s="1"/>
      <c r="AI72" s="1"/>
      <c r="AJ72" s="2">
        <v>0</v>
      </c>
      <c r="AK72" s="1"/>
      <c r="AL72" s="1"/>
      <c r="AM72" s="1"/>
      <c r="AN72" s="2"/>
      <c r="AO72" s="1"/>
      <c r="AP72" s="2">
        <v>0</v>
      </c>
      <c r="AQ72" s="4"/>
      <c r="AR72" s="4"/>
      <c r="AS72" s="17"/>
      <c r="AT72" s="4"/>
      <c r="AU72" s="1"/>
      <c r="AV72" s="1"/>
      <c r="AW72" s="1" t="s">
        <v>61</v>
      </c>
      <c r="AX72" s="4"/>
      <c r="AY72" s="1" t="s">
        <v>85</v>
      </c>
      <c r="AZ72" s="4"/>
      <c r="BA72" s="2"/>
      <c r="BB72" s="4"/>
      <c r="BC72" s="1"/>
      <c r="BD72" s="1" t="s">
        <v>185</v>
      </c>
    </row>
    <row r="73" spans="1:56" ht="15" hidden="1" customHeight="1" x14ac:dyDescent="0.25">
      <c r="A73" s="2">
        <v>1341</v>
      </c>
      <c r="B73" s="17">
        <v>45898.481689814813</v>
      </c>
      <c r="C73" s="17">
        <v>45911.659884259258</v>
      </c>
      <c r="D73" s="17">
        <v>45911.659884259258</v>
      </c>
      <c r="E73" s="1" t="s">
        <v>448</v>
      </c>
      <c r="F73" s="7" t="s">
        <v>449</v>
      </c>
      <c r="G73" s="1" t="s">
        <v>80</v>
      </c>
      <c r="H73" s="4" t="s">
        <v>451</v>
      </c>
      <c r="I73" s="2">
        <v>2</v>
      </c>
      <c r="J73" s="1" t="s">
        <v>94</v>
      </c>
      <c r="K73" s="1" t="s">
        <v>80</v>
      </c>
      <c r="L73" s="1" t="s">
        <v>89</v>
      </c>
      <c r="M73" s="1" t="s">
        <v>81</v>
      </c>
      <c r="N73" s="1" t="s">
        <v>47</v>
      </c>
      <c r="O73" s="2"/>
      <c r="P73" s="17"/>
      <c r="Q73" s="1"/>
      <c r="R73" s="1"/>
      <c r="S73" s="17"/>
      <c r="T73" s="1"/>
      <c r="U73" s="4"/>
      <c r="V73" s="4"/>
      <c r="W73" s="1"/>
      <c r="X73" s="1" t="s">
        <v>63</v>
      </c>
      <c r="Y73" s="1"/>
      <c r="Z73" s="2"/>
      <c r="AA73" s="1"/>
      <c r="AB73" s="1"/>
      <c r="AC73" s="1" t="s">
        <v>89</v>
      </c>
      <c r="AD73" s="17">
        <v>45911.659884259258</v>
      </c>
      <c r="AE73" s="1"/>
      <c r="AF73" s="1"/>
      <c r="AG73" s="1"/>
      <c r="AH73" s="1"/>
      <c r="AI73" s="1"/>
      <c r="AJ73" s="2">
        <v>0</v>
      </c>
      <c r="AK73" s="1"/>
      <c r="AL73" s="1" t="s">
        <v>89</v>
      </c>
      <c r="AM73" s="1"/>
      <c r="AN73" s="2"/>
      <c r="AO73" s="1"/>
      <c r="AP73" s="2">
        <v>1</v>
      </c>
      <c r="AQ73" s="4"/>
      <c r="AR73" s="4"/>
      <c r="AS73" s="17"/>
      <c r="AT73" s="4"/>
      <c r="AU73" s="1"/>
      <c r="AV73" s="1"/>
      <c r="AW73" s="1" t="s">
        <v>61</v>
      </c>
      <c r="AX73" s="4"/>
      <c r="AY73" s="1" t="s">
        <v>85</v>
      </c>
      <c r="AZ73" s="4"/>
      <c r="BA73" s="2"/>
      <c r="BB73" s="4"/>
      <c r="BC73" s="1"/>
      <c r="BD73" s="1" t="s">
        <v>86</v>
      </c>
    </row>
    <row r="74" spans="1:56" ht="15" hidden="1" customHeight="1" x14ac:dyDescent="0.25">
      <c r="A74" s="2">
        <v>1346</v>
      </c>
      <c r="B74" s="17">
        <v>45902.407708333332</v>
      </c>
      <c r="C74" s="17">
        <v>45943.797337962962</v>
      </c>
      <c r="D74" s="17">
        <v>45943.415532407409</v>
      </c>
      <c r="E74" s="1" t="s">
        <v>464</v>
      </c>
      <c r="F74" s="7" t="s">
        <v>467</v>
      </c>
      <c r="G74" s="1" t="s">
        <v>80</v>
      </c>
      <c r="H74" s="4" t="s">
        <v>465</v>
      </c>
      <c r="I74" s="2">
        <v>1</v>
      </c>
      <c r="J74" s="1" t="s">
        <v>94</v>
      </c>
      <c r="K74" s="1" t="s">
        <v>80</v>
      </c>
      <c r="L74" s="1" t="s">
        <v>84</v>
      </c>
      <c r="M74" s="1" t="s">
        <v>81</v>
      </c>
      <c r="N74" s="1" t="s">
        <v>47</v>
      </c>
      <c r="O74" s="2"/>
      <c r="P74" s="17"/>
      <c r="Q74" s="1"/>
      <c r="R74" s="1"/>
      <c r="S74" s="17"/>
      <c r="T74" s="1"/>
      <c r="U74" s="4"/>
      <c r="V74" s="4"/>
      <c r="W74" s="1"/>
      <c r="X74" s="1" t="s">
        <v>63</v>
      </c>
      <c r="Y74" s="1"/>
      <c r="Z74" s="2"/>
      <c r="AA74" s="1"/>
      <c r="AB74" s="1"/>
      <c r="AC74" s="1" t="s">
        <v>84</v>
      </c>
      <c r="AD74" s="17">
        <v>45943.797337962962</v>
      </c>
      <c r="AE74" s="1"/>
      <c r="AF74" s="1"/>
      <c r="AG74" s="1"/>
      <c r="AH74" s="1"/>
      <c r="AI74" s="1"/>
      <c r="AJ74" s="2">
        <v>0</v>
      </c>
      <c r="AK74" s="1"/>
      <c r="AL74" s="1" t="s">
        <v>89</v>
      </c>
      <c r="AM74" s="1"/>
      <c r="AN74" s="2"/>
      <c r="AO74" s="1"/>
      <c r="AP74" s="2">
        <v>3</v>
      </c>
      <c r="AQ74" s="4"/>
      <c r="AR74" s="4"/>
      <c r="AS74" s="17"/>
      <c r="AT74" s="4"/>
      <c r="AU74" s="1"/>
      <c r="AV74" s="1"/>
      <c r="AW74" s="1" t="s">
        <v>61</v>
      </c>
      <c r="AX74" s="4"/>
      <c r="AY74" s="1" t="s">
        <v>85</v>
      </c>
      <c r="AZ74" s="4"/>
      <c r="BA74" s="2"/>
      <c r="BB74" s="4"/>
      <c r="BC74" s="1"/>
      <c r="BD74" s="1" t="s">
        <v>86</v>
      </c>
    </row>
    <row r="75" spans="1:56" ht="15" hidden="1" customHeight="1" x14ac:dyDescent="0.25">
      <c r="A75" s="2">
        <v>1351</v>
      </c>
      <c r="B75" s="17">
        <v>45904.707905092589</v>
      </c>
      <c r="C75" s="17">
        <v>45919.606377314813</v>
      </c>
      <c r="D75" s="17">
        <v>45919.606377314813</v>
      </c>
      <c r="E75" s="1" t="s">
        <v>456</v>
      </c>
      <c r="F75" s="7" t="s">
        <v>458</v>
      </c>
      <c r="G75" s="1" t="s">
        <v>80</v>
      </c>
      <c r="H75" s="4" t="s">
        <v>457</v>
      </c>
      <c r="I75" s="2">
        <v>2</v>
      </c>
      <c r="J75" s="1" t="s">
        <v>94</v>
      </c>
      <c r="K75" s="1" t="s">
        <v>80</v>
      </c>
      <c r="L75" s="1" t="s">
        <v>89</v>
      </c>
      <c r="M75" s="1" t="s">
        <v>81</v>
      </c>
      <c r="N75" s="1" t="s">
        <v>47</v>
      </c>
      <c r="O75" s="2"/>
      <c r="P75" s="17"/>
      <c r="Q75" s="1"/>
      <c r="R75" s="1"/>
      <c r="S75" s="17"/>
      <c r="T75" s="1"/>
      <c r="U75" s="4"/>
      <c r="V75" s="4"/>
      <c r="W75" s="1"/>
      <c r="X75" s="1" t="s">
        <v>63</v>
      </c>
      <c r="Y75" s="1"/>
      <c r="Z75" s="2"/>
      <c r="AA75" s="1"/>
      <c r="AB75" s="1"/>
      <c r="AC75" s="1" t="s">
        <v>89</v>
      </c>
      <c r="AD75" s="17">
        <v>45919.606377314813</v>
      </c>
      <c r="AE75" s="1"/>
      <c r="AF75" s="1"/>
      <c r="AG75" s="1"/>
      <c r="AH75" s="1"/>
      <c r="AI75" s="1"/>
      <c r="AJ75" s="2">
        <v>0</v>
      </c>
      <c r="AK75" s="1"/>
      <c r="AL75" s="1" t="s">
        <v>89</v>
      </c>
      <c r="AM75" s="1"/>
      <c r="AN75" s="2"/>
      <c r="AO75" s="1"/>
      <c r="AP75" s="2">
        <v>1</v>
      </c>
      <c r="AQ75" s="4"/>
      <c r="AR75" s="4"/>
      <c r="AS75" s="17"/>
      <c r="AT75" s="4"/>
      <c r="AU75" s="1"/>
      <c r="AV75" s="1"/>
      <c r="AW75" s="1" t="s">
        <v>61</v>
      </c>
      <c r="AX75" s="4"/>
      <c r="AY75" s="1" t="s">
        <v>85</v>
      </c>
      <c r="AZ75" s="4"/>
      <c r="BA75" s="2"/>
      <c r="BB75" s="4"/>
      <c r="BC75" s="1"/>
      <c r="BD75" s="1" t="s">
        <v>86</v>
      </c>
    </row>
    <row r="76" spans="1:56" ht="15" customHeight="1" x14ac:dyDescent="0.25">
      <c r="A76" s="2">
        <v>1352</v>
      </c>
      <c r="B76" s="27">
        <v>45909.641250000001</v>
      </c>
      <c r="C76" s="27">
        <v>45986.703379629631</v>
      </c>
      <c r="D76" s="27"/>
      <c r="E76" s="1" t="s">
        <v>471</v>
      </c>
      <c r="F76" s="7" t="s">
        <v>502</v>
      </c>
      <c r="G76" s="1" t="s">
        <v>200</v>
      </c>
      <c r="H76" s="4" t="s">
        <v>501</v>
      </c>
      <c r="I76" s="2">
        <v>3</v>
      </c>
      <c r="J76" s="1" t="s">
        <v>94</v>
      </c>
      <c r="K76" s="1" t="s">
        <v>178</v>
      </c>
      <c r="L76" s="1" t="s">
        <v>81</v>
      </c>
      <c r="M76" s="1" t="s">
        <v>89</v>
      </c>
      <c r="N76" s="1" t="s">
        <v>47</v>
      </c>
      <c r="O76" s="2"/>
      <c r="P76" s="27"/>
      <c r="Q76" s="1"/>
      <c r="R76" s="1"/>
      <c r="S76" s="27"/>
      <c r="T76" s="1"/>
      <c r="U76" s="4"/>
      <c r="V76" s="4"/>
      <c r="W76" s="1"/>
      <c r="X76" s="1" t="s">
        <v>63</v>
      </c>
      <c r="Y76" s="1"/>
      <c r="Z76" s="2"/>
      <c r="AA76" s="1"/>
      <c r="AB76" s="1"/>
      <c r="AC76" s="1" t="s">
        <v>81</v>
      </c>
      <c r="AD76" s="27">
        <v>45986.703379629631</v>
      </c>
      <c r="AE76" s="1"/>
      <c r="AF76" s="1"/>
      <c r="AG76" s="1"/>
      <c r="AH76" s="1"/>
      <c r="AI76" s="1"/>
      <c r="AJ76" s="2">
        <v>0</v>
      </c>
      <c r="AK76" s="1"/>
      <c r="AL76" s="1"/>
      <c r="AM76" s="1"/>
      <c r="AN76" s="2"/>
      <c r="AO76" s="1"/>
      <c r="AP76" s="2">
        <v>2</v>
      </c>
      <c r="AQ76" s="4"/>
      <c r="AR76" s="4"/>
      <c r="AS76" s="27"/>
      <c r="AT76" s="4"/>
      <c r="AU76" s="1"/>
      <c r="AV76" s="1"/>
      <c r="AW76" s="1" t="s">
        <v>61</v>
      </c>
      <c r="AX76" s="4"/>
      <c r="AY76" s="1" t="s">
        <v>85</v>
      </c>
      <c r="AZ76" s="4"/>
      <c r="BA76" s="2"/>
      <c r="BB76" s="4"/>
      <c r="BC76" s="1"/>
      <c r="BD76" s="1" t="s">
        <v>188</v>
      </c>
    </row>
    <row r="77" spans="1:56" ht="15" hidden="1" customHeight="1" x14ac:dyDescent="0.25">
      <c r="A77" s="2">
        <v>1353</v>
      </c>
      <c r="B77" s="27">
        <v>45909.641851851855</v>
      </c>
      <c r="C77" s="27">
        <v>45958.468587962961</v>
      </c>
      <c r="D77" s="27">
        <v>45958.468587962961</v>
      </c>
      <c r="E77" s="1" t="s">
        <v>472</v>
      </c>
      <c r="F77" s="7" t="s">
        <v>503</v>
      </c>
      <c r="G77" s="1" t="s">
        <v>80</v>
      </c>
      <c r="H77" s="4" t="s">
        <v>535</v>
      </c>
      <c r="I77" s="2">
        <v>2</v>
      </c>
      <c r="J77" s="1" t="s">
        <v>94</v>
      </c>
      <c r="K77" s="1" t="s">
        <v>80</v>
      </c>
      <c r="L77" s="1" t="s">
        <v>89</v>
      </c>
      <c r="M77" s="1" t="s">
        <v>89</v>
      </c>
      <c r="N77" s="1" t="s">
        <v>47</v>
      </c>
      <c r="O77" s="2"/>
      <c r="P77" s="27"/>
      <c r="Q77" s="1"/>
      <c r="R77" s="1"/>
      <c r="S77" s="27"/>
      <c r="T77" s="1"/>
      <c r="U77" s="4"/>
      <c r="V77" s="4"/>
      <c r="W77" s="1"/>
      <c r="X77" s="1" t="s">
        <v>63</v>
      </c>
      <c r="Y77" s="1"/>
      <c r="Z77" s="2"/>
      <c r="AA77" s="1"/>
      <c r="AB77" s="1"/>
      <c r="AC77" s="1" t="s">
        <v>89</v>
      </c>
      <c r="AD77" s="27">
        <v>45958.468587962961</v>
      </c>
      <c r="AE77" s="1"/>
      <c r="AF77" s="1"/>
      <c r="AG77" s="1"/>
      <c r="AH77" s="1"/>
      <c r="AI77" s="1"/>
      <c r="AJ77" s="2">
        <v>0</v>
      </c>
      <c r="AK77" s="1"/>
      <c r="AL77" s="1" t="s">
        <v>89</v>
      </c>
      <c r="AM77" s="1"/>
      <c r="AN77" s="2"/>
      <c r="AO77" s="1"/>
      <c r="AP77" s="2">
        <v>6</v>
      </c>
      <c r="AQ77" s="4"/>
      <c r="AR77" s="4"/>
      <c r="AS77" s="27"/>
      <c r="AT77" s="4"/>
      <c r="AU77" s="1"/>
      <c r="AV77" s="1"/>
      <c r="AW77" s="1" t="s">
        <v>61</v>
      </c>
      <c r="AX77" s="4"/>
      <c r="AY77" s="1" t="s">
        <v>85</v>
      </c>
      <c r="AZ77" s="4"/>
      <c r="BA77" s="2"/>
      <c r="BB77" s="4"/>
      <c r="BC77" s="1"/>
      <c r="BD77" s="1" t="s">
        <v>86</v>
      </c>
    </row>
    <row r="78" spans="1:56" ht="15" hidden="1" customHeight="1" x14ac:dyDescent="0.25">
      <c r="A78" s="2">
        <v>1383</v>
      </c>
      <c r="B78" s="27">
        <v>45922.427106481482</v>
      </c>
      <c r="C78" s="27">
        <v>45943.415324074071</v>
      </c>
      <c r="D78" s="27">
        <v>45943.415324074071</v>
      </c>
      <c r="E78" s="1" t="s">
        <v>494</v>
      </c>
      <c r="F78" s="7"/>
      <c r="G78" s="1" t="s">
        <v>80</v>
      </c>
      <c r="H78" s="4" t="s">
        <v>495</v>
      </c>
      <c r="I78" s="2">
        <v>2</v>
      </c>
      <c r="J78" s="1" t="s">
        <v>94</v>
      </c>
      <c r="K78" s="1" t="s">
        <v>80</v>
      </c>
      <c r="L78" s="1" t="s">
        <v>89</v>
      </c>
      <c r="M78" s="1" t="s">
        <v>81</v>
      </c>
      <c r="N78" s="1" t="s">
        <v>47</v>
      </c>
      <c r="O78" s="2"/>
      <c r="P78" s="27"/>
      <c r="Q78" s="1"/>
      <c r="R78" s="1"/>
      <c r="S78" s="27"/>
      <c r="T78" s="1"/>
      <c r="U78" s="4"/>
      <c r="V78" s="4"/>
      <c r="W78" s="1"/>
      <c r="X78" s="1" t="s">
        <v>63</v>
      </c>
      <c r="Y78" s="1"/>
      <c r="Z78" s="2"/>
      <c r="AA78" s="1"/>
      <c r="AB78" s="1"/>
      <c r="AC78" s="1" t="s">
        <v>89</v>
      </c>
      <c r="AD78" s="27">
        <v>45943.415324074071</v>
      </c>
      <c r="AE78" s="1"/>
      <c r="AF78" s="1"/>
      <c r="AG78" s="1"/>
      <c r="AH78" s="1"/>
      <c r="AI78" s="1"/>
      <c r="AJ78" s="2">
        <v>0</v>
      </c>
      <c r="AK78" s="1"/>
      <c r="AL78" s="1" t="s">
        <v>89</v>
      </c>
      <c r="AM78" s="1"/>
      <c r="AN78" s="2"/>
      <c r="AO78" s="1"/>
      <c r="AP78" s="2">
        <v>3</v>
      </c>
      <c r="AQ78" s="4"/>
      <c r="AR78" s="4"/>
      <c r="AS78" s="27"/>
      <c r="AT78" s="4"/>
      <c r="AU78" s="1"/>
      <c r="AV78" s="1"/>
      <c r="AW78" s="1" t="s">
        <v>61</v>
      </c>
      <c r="AX78" s="4"/>
      <c r="AY78" s="1" t="s">
        <v>85</v>
      </c>
      <c r="AZ78" s="4"/>
      <c r="BA78" s="2"/>
      <c r="BB78" s="4"/>
      <c r="BC78" s="1"/>
      <c r="BD78" s="1" t="s">
        <v>86</v>
      </c>
    </row>
    <row r="79" spans="1:56" ht="15" hidden="1" customHeight="1" x14ac:dyDescent="0.25">
      <c r="A79" s="2">
        <v>1384</v>
      </c>
      <c r="B79" s="27">
        <v>45922.427731481483</v>
      </c>
      <c r="C79" s="27">
        <v>45943.415300925924</v>
      </c>
      <c r="D79" s="27">
        <v>45943.415300925924</v>
      </c>
      <c r="E79" s="1" t="s">
        <v>496</v>
      </c>
      <c r="F79" s="7"/>
      <c r="G79" s="1" t="s">
        <v>80</v>
      </c>
      <c r="H79" s="4" t="s">
        <v>495</v>
      </c>
      <c r="I79" s="2">
        <v>2</v>
      </c>
      <c r="J79" s="1" t="s">
        <v>94</v>
      </c>
      <c r="K79" s="1" t="s">
        <v>80</v>
      </c>
      <c r="L79" s="1" t="s">
        <v>89</v>
      </c>
      <c r="M79" s="1" t="s">
        <v>81</v>
      </c>
      <c r="N79" s="1" t="s">
        <v>47</v>
      </c>
      <c r="O79" s="2"/>
      <c r="P79" s="27"/>
      <c r="Q79" s="1"/>
      <c r="R79" s="1"/>
      <c r="S79" s="27"/>
      <c r="T79" s="1"/>
      <c r="U79" s="4"/>
      <c r="V79" s="4"/>
      <c r="W79" s="1"/>
      <c r="X79" s="1" t="s">
        <v>63</v>
      </c>
      <c r="Y79" s="1"/>
      <c r="Z79" s="2"/>
      <c r="AA79" s="1"/>
      <c r="AB79" s="1"/>
      <c r="AC79" s="1" t="s">
        <v>89</v>
      </c>
      <c r="AD79" s="27">
        <v>45943.415300925924</v>
      </c>
      <c r="AE79" s="1"/>
      <c r="AF79" s="1"/>
      <c r="AG79" s="1"/>
      <c r="AH79" s="1"/>
      <c r="AI79" s="1"/>
      <c r="AJ79" s="2">
        <v>0</v>
      </c>
      <c r="AK79" s="1"/>
      <c r="AL79" s="1" t="s">
        <v>89</v>
      </c>
      <c r="AM79" s="1"/>
      <c r="AN79" s="2"/>
      <c r="AO79" s="1"/>
      <c r="AP79" s="2">
        <v>2</v>
      </c>
      <c r="AQ79" s="4"/>
      <c r="AR79" s="4"/>
      <c r="AS79" s="27"/>
      <c r="AT79" s="4"/>
      <c r="AU79" s="1"/>
      <c r="AV79" s="1"/>
      <c r="AW79" s="1" t="s">
        <v>61</v>
      </c>
      <c r="AX79" s="4"/>
      <c r="AY79" s="1" t="s">
        <v>85</v>
      </c>
      <c r="AZ79" s="4"/>
      <c r="BA79" s="2"/>
      <c r="BB79" s="4"/>
      <c r="BC79" s="1"/>
      <c r="BD79" s="1" t="s">
        <v>86</v>
      </c>
    </row>
    <row r="80" spans="1:56" ht="15" hidden="1" customHeight="1" x14ac:dyDescent="0.25">
      <c r="A80" s="2">
        <v>1385</v>
      </c>
      <c r="B80" s="27">
        <v>45922.427916666667</v>
      </c>
      <c r="C80" s="27">
        <v>45943.415520833332</v>
      </c>
      <c r="D80" s="27">
        <v>45943.415520833332</v>
      </c>
      <c r="E80" s="1" t="s">
        <v>497</v>
      </c>
      <c r="F80" s="7"/>
      <c r="G80" s="1" t="s">
        <v>80</v>
      </c>
      <c r="H80" s="4" t="s">
        <v>495</v>
      </c>
      <c r="I80" s="2">
        <v>2</v>
      </c>
      <c r="J80" s="1" t="s">
        <v>94</v>
      </c>
      <c r="K80" s="1" t="s">
        <v>80</v>
      </c>
      <c r="L80" s="1" t="s">
        <v>89</v>
      </c>
      <c r="M80" s="1" t="s">
        <v>81</v>
      </c>
      <c r="N80" s="1" t="s">
        <v>47</v>
      </c>
      <c r="O80" s="2"/>
      <c r="P80" s="27"/>
      <c r="Q80" s="1"/>
      <c r="R80" s="1"/>
      <c r="S80" s="27"/>
      <c r="T80" s="1"/>
      <c r="U80" s="4"/>
      <c r="V80" s="4"/>
      <c r="W80" s="1"/>
      <c r="X80" s="1" t="s">
        <v>63</v>
      </c>
      <c r="Y80" s="1"/>
      <c r="Z80" s="2"/>
      <c r="AA80" s="1"/>
      <c r="AB80" s="1"/>
      <c r="AC80" s="1" t="s">
        <v>89</v>
      </c>
      <c r="AD80" s="27">
        <v>45943.415520833332</v>
      </c>
      <c r="AE80" s="1"/>
      <c r="AF80" s="1"/>
      <c r="AG80" s="1"/>
      <c r="AH80" s="1"/>
      <c r="AI80" s="1"/>
      <c r="AJ80" s="2">
        <v>0</v>
      </c>
      <c r="AK80" s="1"/>
      <c r="AL80" s="1" t="s">
        <v>89</v>
      </c>
      <c r="AM80" s="1"/>
      <c r="AN80" s="2"/>
      <c r="AO80" s="1"/>
      <c r="AP80" s="2">
        <v>2</v>
      </c>
      <c r="AQ80" s="4"/>
      <c r="AR80" s="4"/>
      <c r="AS80" s="27"/>
      <c r="AT80" s="4"/>
      <c r="AU80" s="1"/>
      <c r="AV80" s="1"/>
      <c r="AW80" s="1" t="s">
        <v>61</v>
      </c>
      <c r="AX80" s="4"/>
      <c r="AY80" s="1" t="s">
        <v>85</v>
      </c>
      <c r="AZ80" s="4"/>
      <c r="BA80" s="2"/>
      <c r="BB80" s="4"/>
      <c r="BC80" s="1"/>
      <c r="BD80" s="1" t="s">
        <v>86</v>
      </c>
    </row>
    <row r="81" spans="1:56" ht="15" hidden="1" customHeight="1" x14ac:dyDescent="0.25">
      <c r="A81" s="2">
        <v>1386</v>
      </c>
      <c r="B81" s="27">
        <v>45922.723344907405</v>
      </c>
      <c r="C81" s="27">
        <v>45932.446550925924</v>
      </c>
      <c r="D81" s="27">
        <v>45932.446550925924</v>
      </c>
      <c r="E81" s="1" t="s">
        <v>499</v>
      </c>
      <c r="F81" s="7"/>
      <c r="G81" s="1" t="s">
        <v>80</v>
      </c>
      <c r="H81" s="4" t="s">
        <v>500</v>
      </c>
      <c r="I81" s="2">
        <v>2</v>
      </c>
      <c r="J81" s="1" t="s">
        <v>81</v>
      </c>
      <c r="K81" s="1" t="s">
        <v>80</v>
      </c>
      <c r="L81" s="1" t="s">
        <v>89</v>
      </c>
      <c r="M81" s="1" t="s">
        <v>81</v>
      </c>
      <c r="N81" s="1" t="s">
        <v>47</v>
      </c>
      <c r="O81" s="2"/>
      <c r="P81" s="27"/>
      <c r="Q81" s="1"/>
      <c r="R81" s="1"/>
      <c r="S81" s="27"/>
      <c r="T81" s="1"/>
      <c r="U81" s="4"/>
      <c r="V81" s="4"/>
      <c r="W81" s="1"/>
      <c r="X81" s="1" t="s">
        <v>63</v>
      </c>
      <c r="Y81" s="1"/>
      <c r="Z81" s="2"/>
      <c r="AA81" s="1"/>
      <c r="AB81" s="1"/>
      <c r="AC81" s="1" t="s">
        <v>89</v>
      </c>
      <c r="AD81" s="27">
        <v>45932.446550925924</v>
      </c>
      <c r="AE81" s="1"/>
      <c r="AF81" s="1"/>
      <c r="AG81" s="1"/>
      <c r="AH81" s="1"/>
      <c r="AI81" s="1"/>
      <c r="AJ81" s="2">
        <v>0</v>
      </c>
      <c r="AK81" s="1"/>
      <c r="AL81" s="1" t="s">
        <v>89</v>
      </c>
      <c r="AM81" s="1"/>
      <c r="AN81" s="2"/>
      <c r="AO81" s="1"/>
      <c r="AP81" s="2">
        <v>1</v>
      </c>
      <c r="AQ81" s="4"/>
      <c r="AR81" s="4"/>
      <c r="AS81" s="27"/>
      <c r="AT81" s="4"/>
      <c r="AU81" s="1"/>
      <c r="AV81" s="1"/>
      <c r="AW81" s="1" t="s">
        <v>61</v>
      </c>
      <c r="AX81" s="4"/>
      <c r="AY81" s="1" t="s">
        <v>85</v>
      </c>
      <c r="AZ81" s="4"/>
      <c r="BA81" s="2"/>
      <c r="BB81" s="4"/>
      <c r="BC81" s="1"/>
      <c r="BD81" s="1" t="s">
        <v>86</v>
      </c>
    </row>
    <row r="82" spans="1:56" ht="15" hidden="1" customHeight="1" x14ac:dyDescent="0.25">
      <c r="A82" s="2">
        <v>1398</v>
      </c>
      <c r="B82" s="27">
        <v>45930.725115740737</v>
      </c>
      <c r="C82" s="27">
        <v>45943.797337962962</v>
      </c>
      <c r="D82" s="27">
        <v>45943.474212962959</v>
      </c>
      <c r="E82" s="1" t="s">
        <v>485</v>
      </c>
      <c r="F82" s="7" t="s">
        <v>487</v>
      </c>
      <c r="G82" s="1" t="s">
        <v>80</v>
      </c>
      <c r="H82" s="4" t="s">
        <v>486</v>
      </c>
      <c r="I82" s="2">
        <v>2</v>
      </c>
      <c r="J82" s="1" t="s">
        <v>94</v>
      </c>
      <c r="K82" s="1" t="s">
        <v>80</v>
      </c>
      <c r="L82" s="1" t="s">
        <v>84</v>
      </c>
      <c r="M82" s="1" t="s">
        <v>81</v>
      </c>
      <c r="N82" s="1" t="s">
        <v>47</v>
      </c>
      <c r="O82" s="2"/>
      <c r="P82" s="27"/>
      <c r="Q82" s="1"/>
      <c r="R82" s="1"/>
      <c r="S82" s="27"/>
      <c r="T82" s="1"/>
      <c r="U82" s="4"/>
      <c r="V82" s="4"/>
      <c r="W82" s="1"/>
      <c r="X82" s="1" t="s">
        <v>63</v>
      </c>
      <c r="Y82" s="1"/>
      <c r="Z82" s="2"/>
      <c r="AA82" s="1"/>
      <c r="AB82" s="1"/>
      <c r="AC82" s="1" t="s">
        <v>84</v>
      </c>
      <c r="AD82" s="27">
        <v>45943.797337962962</v>
      </c>
      <c r="AE82" s="1"/>
      <c r="AF82" s="1"/>
      <c r="AG82" s="1"/>
      <c r="AH82" s="1"/>
      <c r="AI82" s="1"/>
      <c r="AJ82" s="2">
        <v>0</v>
      </c>
      <c r="AK82" s="1"/>
      <c r="AL82" s="1" t="s">
        <v>81</v>
      </c>
      <c r="AM82" s="1"/>
      <c r="AN82" s="2"/>
      <c r="AO82" s="1"/>
      <c r="AP82" s="2">
        <v>2</v>
      </c>
      <c r="AQ82" s="4"/>
      <c r="AR82" s="4"/>
      <c r="AS82" s="27"/>
      <c r="AT82" s="4"/>
      <c r="AU82" s="1"/>
      <c r="AV82" s="1"/>
      <c r="AW82" s="1" t="s">
        <v>61</v>
      </c>
      <c r="AX82" s="4"/>
      <c r="AY82" s="1" t="s">
        <v>85</v>
      </c>
      <c r="AZ82" s="4"/>
      <c r="BA82" s="2"/>
      <c r="BB82" s="4"/>
      <c r="BC82" s="1"/>
      <c r="BD82" s="1" t="s">
        <v>86</v>
      </c>
    </row>
    <row r="83" spans="1:56" ht="15" hidden="1" customHeight="1" x14ac:dyDescent="0.25">
      <c r="A83" s="2">
        <v>1401</v>
      </c>
      <c r="B83" s="30">
        <v>45932.629571759258</v>
      </c>
      <c r="C83" s="30">
        <v>45943.415231481478</v>
      </c>
      <c r="D83" s="30">
        <v>45943.415231481478</v>
      </c>
      <c r="E83" s="1" t="s">
        <v>488</v>
      </c>
      <c r="F83" s="7"/>
      <c r="G83" s="1" t="s">
        <v>80</v>
      </c>
      <c r="H83" s="4" t="s">
        <v>489</v>
      </c>
      <c r="I83" s="2">
        <v>2</v>
      </c>
      <c r="J83" s="1" t="s">
        <v>81</v>
      </c>
      <c r="K83" s="1" t="s">
        <v>80</v>
      </c>
      <c r="L83" s="1" t="s">
        <v>89</v>
      </c>
      <c r="M83" s="1" t="s">
        <v>81</v>
      </c>
      <c r="N83" s="1" t="s">
        <v>47</v>
      </c>
      <c r="O83" s="2"/>
      <c r="P83" s="30"/>
      <c r="Q83" s="1"/>
      <c r="R83" s="1"/>
      <c r="S83" s="30"/>
      <c r="T83" s="1"/>
      <c r="U83" s="4"/>
      <c r="V83" s="4"/>
      <c r="W83" s="1"/>
      <c r="X83" s="1" t="s">
        <v>63</v>
      </c>
      <c r="Y83" s="1"/>
      <c r="Z83" s="2"/>
      <c r="AA83" s="1"/>
      <c r="AB83" s="1"/>
      <c r="AC83" s="1" t="s">
        <v>89</v>
      </c>
      <c r="AD83" s="30">
        <v>45943.415231481478</v>
      </c>
      <c r="AE83" s="1"/>
      <c r="AF83" s="1"/>
      <c r="AG83" s="1"/>
      <c r="AH83" s="1"/>
      <c r="AI83" s="1"/>
      <c r="AJ83" s="2">
        <v>0</v>
      </c>
      <c r="AK83" s="1"/>
      <c r="AL83" s="1" t="s">
        <v>89</v>
      </c>
      <c r="AM83" s="1"/>
      <c r="AN83" s="2"/>
      <c r="AO83" s="1"/>
      <c r="AP83" s="2">
        <v>0</v>
      </c>
      <c r="AQ83" s="4"/>
      <c r="AR83" s="4"/>
      <c r="AS83" s="30"/>
      <c r="AT83" s="4"/>
      <c r="AU83" s="1"/>
      <c r="AV83" s="1"/>
      <c r="AW83" s="1" t="s">
        <v>61</v>
      </c>
      <c r="AX83" s="4"/>
      <c r="AY83" s="1" t="s">
        <v>85</v>
      </c>
      <c r="AZ83" s="4"/>
      <c r="BA83" s="2"/>
      <c r="BB83" s="4"/>
      <c r="BC83" s="1"/>
      <c r="BD83" s="1" t="s">
        <v>86</v>
      </c>
    </row>
    <row r="84" spans="1:56" ht="15" hidden="1" customHeight="1" x14ac:dyDescent="0.25">
      <c r="A84" s="2">
        <v>1402</v>
      </c>
      <c r="B84" s="30">
        <v>45932.629629629628</v>
      </c>
      <c r="C84" s="30">
        <v>45943.415254629632</v>
      </c>
      <c r="D84" s="30">
        <v>45943.415254629632</v>
      </c>
      <c r="E84" s="1" t="s">
        <v>490</v>
      </c>
      <c r="F84" s="7"/>
      <c r="G84" s="1" t="s">
        <v>80</v>
      </c>
      <c r="H84" s="4" t="s">
        <v>489</v>
      </c>
      <c r="I84" s="2">
        <v>2</v>
      </c>
      <c r="J84" s="1" t="s">
        <v>81</v>
      </c>
      <c r="K84" s="1" t="s">
        <v>80</v>
      </c>
      <c r="L84" s="1" t="s">
        <v>89</v>
      </c>
      <c r="M84" s="1" t="s">
        <v>81</v>
      </c>
      <c r="N84" s="1" t="s">
        <v>47</v>
      </c>
      <c r="O84" s="2"/>
      <c r="P84" s="30"/>
      <c r="Q84" s="1"/>
      <c r="R84" s="1"/>
      <c r="S84" s="30"/>
      <c r="T84" s="1"/>
      <c r="U84" s="4"/>
      <c r="V84" s="4"/>
      <c r="W84" s="1"/>
      <c r="X84" s="1" t="s">
        <v>63</v>
      </c>
      <c r="Y84" s="1"/>
      <c r="Z84" s="2"/>
      <c r="AA84" s="1"/>
      <c r="AB84" s="1"/>
      <c r="AC84" s="1" t="s">
        <v>89</v>
      </c>
      <c r="AD84" s="30">
        <v>45943.415254629632</v>
      </c>
      <c r="AE84" s="1"/>
      <c r="AF84" s="1"/>
      <c r="AG84" s="1"/>
      <c r="AH84" s="1"/>
      <c r="AI84" s="1"/>
      <c r="AJ84" s="2">
        <v>0</v>
      </c>
      <c r="AK84" s="1"/>
      <c r="AL84" s="1" t="s">
        <v>89</v>
      </c>
      <c r="AM84" s="1"/>
      <c r="AN84" s="2"/>
      <c r="AO84" s="1"/>
      <c r="AP84" s="2">
        <v>0</v>
      </c>
      <c r="AQ84" s="4"/>
      <c r="AR84" s="4"/>
      <c r="AS84" s="30"/>
      <c r="AT84" s="4"/>
      <c r="AU84" s="1"/>
      <c r="AV84" s="1"/>
      <c r="AW84" s="1" t="s">
        <v>61</v>
      </c>
      <c r="AX84" s="4"/>
      <c r="AY84" s="1" t="s">
        <v>85</v>
      </c>
      <c r="AZ84" s="4"/>
      <c r="BA84" s="2"/>
      <c r="BB84" s="4"/>
      <c r="BC84" s="1"/>
      <c r="BD84" s="1" t="s">
        <v>86</v>
      </c>
    </row>
    <row r="85" spans="1:56" ht="15" hidden="1" customHeight="1" x14ac:dyDescent="0.25">
      <c r="A85" s="2">
        <v>1405</v>
      </c>
      <c r="B85" s="30">
        <v>45933.649814814817</v>
      </c>
      <c r="C85" s="30">
        <v>45943.415254629632</v>
      </c>
      <c r="D85" s="30">
        <v>45943.415254629632</v>
      </c>
      <c r="E85" s="1" t="s">
        <v>491</v>
      </c>
      <c r="F85" s="7" t="s">
        <v>493</v>
      </c>
      <c r="G85" s="1" t="s">
        <v>80</v>
      </c>
      <c r="H85" s="4" t="s">
        <v>492</v>
      </c>
      <c r="I85" s="2">
        <v>2</v>
      </c>
      <c r="J85" s="1" t="s">
        <v>81</v>
      </c>
      <c r="K85" s="1" t="s">
        <v>80</v>
      </c>
      <c r="L85" s="1" t="s">
        <v>89</v>
      </c>
      <c r="M85" s="1" t="s">
        <v>81</v>
      </c>
      <c r="N85" s="1" t="s">
        <v>47</v>
      </c>
      <c r="O85" s="2"/>
      <c r="P85" s="30"/>
      <c r="Q85" s="1"/>
      <c r="R85" s="1"/>
      <c r="S85" s="30"/>
      <c r="T85" s="1"/>
      <c r="U85" s="4"/>
      <c r="V85" s="4"/>
      <c r="W85" s="1"/>
      <c r="X85" s="1" t="s">
        <v>63</v>
      </c>
      <c r="Y85" s="1"/>
      <c r="Z85" s="2"/>
      <c r="AA85" s="1"/>
      <c r="AB85" s="1"/>
      <c r="AC85" s="1" t="s">
        <v>89</v>
      </c>
      <c r="AD85" s="30">
        <v>45943.415254629632</v>
      </c>
      <c r="AE85" s="1"/>
      <c r="AF85" s="1"/>
      <c r="AG85" s="1"/>
      <c r="AH85" s="1"/>
      <c r="AI85" s="1"/>
      <c r="AJ85" s="2">
        <v>0</v>
      </c>
      <c r="AK85" s="1"/>
      <c r="AL85" s="1" t="s">
        <v>89</v>
      </c>
      <c r="AM85" s="1"/>
      <c r="AN85" s="2"/>
      <c r="AO85" s="1"/>
      <c r="AP85" s="2">
        <v>1</v>
      </c>
      <c r="AQ85" s="4"/>
      <c r="AR85" s="4"/>
      <c r="AS85" s="30"/>
      <c r="AT85" s="4"/>
      <c r="AU85" s="1"/>
      <c r="AV85" s="1"/>
      <c r="AW85" s="1" t="s">
        <v>61</v>
      </c>
      <c r="AX85" s="4"/>
      <c r="AY85" s="1" t="s">
        <v>85</v>
      </c>
      <c r="AZ85" s="4"/>
      <c r="BA85" s="2"/>
      <c r="BB85" s="4"/>
      <c r="BC85" s="1"/>
      <c r="BD85" s="1" t="s">
        <v>86</v>
      </c>
    </row>
    <row r="86" spans="1:56" ht="15" hidden="1" customHeight="1" x14ac:dyDescent="0.25">
      <c r="A86" s="2">
        <v>1413</v>
      </c>
      <c r="B86" s="30">
        <v>45939.675324074073</v>
      </c>
      <c r="C86" s="30">
        <v>45958.468587962961</v>
      </c>
      <c r="D86" s="30">
        <v>45958.468587962961</v>
      </c>
      <c r="E86" s="1" t="s">
        <v>507</v>
      </c>
      <c r="F86" s="7" t="s">
        <v>509</v>
      </c>
      <c r="G86" s="1" t="s">
        <v>80</v>
      </c>
      <c r="H86" s="4" t="s">
        <v>508</v>
      </c>
      <c r="I86" s="2">
        <v>2</v>
      </c>
      <c r="J86" s="1" t="s">
        <v>94</v>
      </c>
      <c r="K86" s="1" t="s">
        <v>80</v>
      </c>
      <c r="L86" s="1" t="s">
        <v>89</v>
      </c>
      <c r="M86" s="1" t="s">
        <v>81</v>
      </c>
      <c r="N86" s="1" t="s">
        <v>47</v>
      </c>
      <c r="O86" s="2"/>
      <c r="P86" s="30"/>
      <c r="Q86" s="1"/>
      <c r="R86" s="1"/>
      <c r="S86" s="30"/>
      <c r="T86" s="1"/>
      <c r="U86" s="4"/>
      <c r="V86" s="4"/>
      <c r="W86" s="1"/>
      <c r="X86" s="1" t="s">
        <v>63</v>
      </c>
      <c r="Y86" s="1"/>
      <c r="Z86" s="2"/>
      <c r="AA86" s="1"/>
      <c r="AB86" s="1"/>
      <c r="AC86" s="1" t="s">
        <v>89</v>
      </c>
      <c r="AD86" s="30">
        <v>45958.468587962961</v>
      </c>
      <c r="AE86" s="1"/>
      <c r="AF86" s="1"/>
      <c r="AG86" s="1"/>
      <c r="AH86" s="1"/>
      <c r="AI86" s="1"/>
      <c r="AJ86" s="2">
        <v>0</v>
      </c>
      <c r="AK86" s="1"/>
      <c r="AL86" s="1" t="s">
        <v>89</v>
      </c>
      <c r="AM86" s="1"/>
      <c r="AN86" s="2"/>
      <c r="AO86" s="1"/>
      <c r="AP86" s="2">
        <v>3</v>
      </c>
      <c r="AQ86" s="4"/>
      <c r="AR86" s="4"/>
      <c r="AS86" s="30"/>
      <c r="AT86" s="4"/>
      <c r="AU86" s="1"/>
      <c r="AV86" s="1"/>
      <c r="AW86" s="1" t="s">
        <v>61</v>
      </c>
      <c r="AX86" s="4"/>
      <c r="AY86" s="1" t="s">
        <v>85</v>
      </c>
      <c r="AZ86" s="4"/>
      <c r="BA86" s="2"/>
      <c r="BB86" s="4"/>
      <c r="BC86" s="1"/>
      <c r="BD86" s="1" t="s">
        <v>86</v>
      </c>
    </row>
    <row r="87" spans="1:56" ht="15" hidden="1" customHeight="1" x14ac:dyDescent="0.25">
      <c r="A87" s="2">
        <v>1463</v>
      </c>
      <c r="B87" s="32">
        <v>45964.606493055559</v>
      </c>
      <c r="C87" s="32">
        <v>45992.549780092595</v>
      </c>
      <c r="D87" s="32"/>
      <c r="E87" s="1" t="s">
        <v>529</v>
      </c>
      <c r="F87" s="7" t="s">
        <v>534</v>
      </c>
      <c r="G87" s="1" t="s">
        <v>469</v>
      </c>
      <c r="H87" s="4" t="s">
        <v>618</v>
      </c>
      <c r="I87" s="2">
        <v>2</v>
      </c>
      <c r="J87" s="1" t="s">
        <v>94</v>
      </c>
      <c r="K87" s="1" t="s">
        <v>178</v>
      </c>
      <c r="L87" s="1" t="s">
        <v>81</v>
      </c>
      <c r="M87" s="1" t="s">
        <v>81</v>
      </c>
      <c r="N87" s="1" t="s">
        <v>47</v>
      </c>
      <c r="O87" s="2"/>
      <c r="P87" s="32"/>
      <c r="Q87" s="1"/>
      <c r="R87" s="1"/>
      <c r="S87" s="32"/>
      <c r="T87" s="1"/>
      <c r="U87" s="4"/>
      <c r="V87" s="4"/>
      <c r="W87" s="1"/>
      <c r="X87" s="1" t="s">
        <v>63</v>
      </c>
      <c r="Y87" s="1"/>
      <c r="Z87" s="2"/>
      <c r="AA87" s="1"/>
      <c r="AB87" s="1"/>
      <c r="AC87" s="1" t="s">
        <v>81</v>
      </c>
      <c r="AD87" s="32">
        <v>45992.549780092595</v>
      </c>
      <c r="AE87" s="1"/>
      <c r="AF87" s="1"/>
      <c r="AG87" s="1"/>
      <c r="AH87" s="1"/>
      <c r="AI87" s="1"/>
      <c r="AJ87" s="2">
        <v>0</v>
      </c>
      <c r="AK87" s="1"/>
      <c r="AL87" s="1"/>
      <c r="AM87" s="1"/>
      <c r="AN87" s="2"/>
      <c r="AO87" s="1"/>
      <c r="AP87" s="2">
        <v>3</v>
      </c>
      <c r="AQ87" s="4"/>
      <c r="AR87" s="4"/>
      <c r="AS87" s="32"/>
      <c r="AT87" s="4"/>
      <c r="AU87" s="1"/>
      <c r="AV87" s="1"/>
      <c r="AW87" s="1" t="s">
        <v>514</v>
      </c>
      <c r="AX87" s="4"/>
      <c r="AY87" s="1" t="s">
        <v>85</v>
      </c>
      <c r="AZ87" s="4"/>
      <c r="BA87" s="2"/>
      <c r="BB87" s="4"/>
      <c r="BC87" s="1"/>
      <c r="BD87" s="1" t="s">
        <v>188</v>
      </c>
    </row>
    <row r="88" spans="1:56" ht="15" hidden="1" customHeight="1" x14ac:dyDescent="0.25">
      <c r="A88" s="2">
        <v>1485</v>
      </c>
      <c r="B88" s="34">
        <v>45979.621921296297</v>
      </c>
      <c r="C88" s="34">
        <v>45988.664525462962</v>
      </c>
      <c r="D88" s="34"/>
      <c r="E88" s="1" t="s">
        <v>556</v>
      </c>
      <c r="F88" s="7" t="s">
        <v>586</v>
      </c>
      <c r="G88" s="1" t="s">
        <v>250</v>
      </c>
      <c r="H88" s="4" t="s">
        <v>568</v>
      </c>
      <c r="I88" s="2">
        <v>2</v>
      </c>
      <c r="J88" s="1" t="s">
        <v>94</v>
      </c>
      <c r="K88" s="1" t="s">
        <v>178</v>
      </c>
      <c r="L88" s="1" t="s">
        <v>81</v>
      </c>
      <c r="M88" s="1" t="s">
        <v>94</v>
      </c>
      <c r="N88" s="1" t="s">
        <v>47</v>
      </c>
      <c r="O88" s="2"/>
      <c r="P88" s="34"/>
      <c r="Q88" s="1"/>
      <c r="R88" s="1"/>
      <c r="S88" s="34"/>
      <c r="T88" s="1"/>
      <c r="U88" s="4"/>
      <c r="V88" s="4"/>
      <c r="W88" s="1"/>
      <c r="X88" s="1" t="s">
        <v>63</v>
      </c>
      <c r="Y88" s="1"/>
      <c r="Z88" s="2"/>
      <c r="AA88" s="1"/>
      <c r="AB88" s="1"/>
      <c r="AC88" s="1" t="s">
        <v>81</v>
      </c>
      <c r="AD88" s="34">
        <v>45988.664525462962</v>
      </c>
      <c r="AE88" s="1"/>
      <c r="AF88" s="1"/>
      <c r="AG88" s="1"/>
      <c r="AH88" s="1"/>
      <c r="AI88" s="1"/>
      <c r="AJ88" s="2">
        <v>0</v>
      </c>
      <c r="AK88" s="1"/>
      <c r="AL88" s="1"/>
      <c r="AM88" s="1"/>
      <c r="AN88" s="2"/>
      <c r="AO88" s="1"/>
      <c r="AP88" s="2">
        <v>1</v>
      </c>
      <c r="AQ88" s="4"/>
      <c r="AR88" s="4"/>
      <c r="AS88" s="34"/>
      <c r="AT88" s="4"/>
      <c r="AU88" s="1"/>
      <c r="AV88" s="1"/>
      <c r="AW88" s="1" t="s">
        <v>514</v>
      </c>
      <c r="AX88" s="4"/>
      <c r="AY88" s="1" t="s">
        <v>85</v>
      </c>
      <c r="AZ88" s="4"/>
      <c r="BA88" s="2"/>
      <c r="BB88" s="4"/>
      <c r="BC88" s="1"/>
      <c r="BD88" s="1" t="s">
        <v>188</v>
      </c>
    </row>
    <row r="89" spans="1:56" ht="15" hidden="1" customHeight="1" x14ac:dyDescent="0.25">
      <c r="A89" s="2">
        <v>1496</v>
      </c>
      <c r="B89" s="34">
        <v>45982.450196759259</v>
      </c>
      <c r="C89" s="34">
        <v>45992.362905092596</v>
      </c>
      <c r="D89" s="34"/>
      <c r="E89" s="1" t="s">
        <v>550</v>
      </c>
      <c r="F89" s="7" t="s">
        <v>100</v>
      </c>
      <c r="G89" s="1" t="s">
        <v>469</v>
      </c>
      <c r="H89" s="4" t="s">
        <v>578</v>
      </c>
      <c r="I89" s="2">
        <v>1</v>
      </c>
      <c r="J89" s="1" t="s">
        <v>81</v>
      </c>
      <c r="K89" s="1" t="s">
        <v>178</v>
      </c>
      <c r="L89" s="1" t="s">
        <v>81</v>
      </c>
      <c r="M89" s="1" t="s">
        <v>94</v>
      </c>
      <c r="N89" s="1" t="s">
        <v>47</v>
      </c>
      <c r="O89" s="2"/>
      <c r="P89" s="34"/>
      <c r="Q89" s="1"/>
      <c r="R89" s="1"/>
      <c r="S89" s="34"/>
      <c r="T89" s="1"/>
      <c r="U89" s="4"/>
      <c r="V89" s="4"/>
      <c r="W89" s="1"/>
      <c r="X89" s="1" t="s">
        <v>63</v>
      </c>
      <c r="Y89" s="1"/>
      <c r="Z89" s="2"/>
      <c r="AA89" s="1"/>
      <c r="AB89" s="1"/>
      <c r="AC89" s="1" t="s">
        <v>81</v>
      </c>
      <c r="AD89" s="34">
        <v>45992.362905092596</v>
      </c>
      <c r="AE89" s="1"/>
      <c r="AF89" s="1"/>
      <c r="AG89" s="1"/>
      <c r="AH89" s="1"/>
      <c r="AI89" s="1"/>
      <c r="AJ89" s="2">
        <v>0</v>
      </c>
      <c r="AK89" s="1"/>
      <c r="AL89" s="1"/>
      <c r="AM89" s="1"/>
      <c r="AN89" s="2"/>
      <c r="AO89" s="1"/>
      <c r="AP89" s="2">
        <v>2</v>
      </c>
      <c r="AQ89" s="4"/>
      <c r="AR89" s="4"/>
      <c r="AS89" s="34"/>
      <c r="AT89" s="4"/>
      <c r="AU89" s="1"/>
      <c r="AV89" s="1"/>
      <c r="AW89" s="1" t="s">
        <v>514</v>
      </c>
      <c r="AX89" s="4"/>
      <c r="AY89" s="1" t="s">
        <v>85</v>
      </c>
      <c r="AZ89" s="4"/>
      <c r="BA89" s="2"/>
      <c r="BB89" s="4"/>
      <c r="BC89" s="1"/>
      <c r="BD89" s="1" t="s">
        <v>188</v>
      </c>
    </row>
  </sheetData>
  <conditionalFormatting sqref="G1:G1048576">
    <cfRule type="cellIs" dxfId="5" priority="1" operator="equal">
      <formula>"Done"</formula>
    </cfRule>
  </conditionalFormatting>
  <dataValidations count="199">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2" xr:uid="{E79655D4-0756-4DEC-B024-BEC9D9B59064}">
      <formula1>"ID"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2" xr:uid="{E4869895-835D-4150-BD3B-67AEB9944146}">
      <formula1>"Created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C2" xr:uid="{A598B158-9FEA-42EB-A26C-7A2F035005B7}">
      <formula1>"Changed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D2" xr:uid="{AA5A4CFE-0D19-448D-8707-8F30A93CBE54}">
      <formula1>"Closed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E2" xr:uid="{A225B54C-5105-45DA-A2A2-D8B0A134EB9D}">
      <formula1>"Title"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F2" xr:uid="{BBAF91F7-9EA5-4DB7-BB98-CCE496CD5AB2}">
      <formula1>"Description"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G2" xr:uid="{F5A3EDD0-89FE-44F5-8574-1043D2BCD355}">
      <formula1>"Board Column"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H2" xr:uid="{75AB00E7-7C02-40F8-944D-9BBE315F7A82}">
      <formula1>"Tags"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I2" xr:uid="{A2914C83-AA18-439E-8E24-9C20BAF8CB29}">
      <formula1>"Priority"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J2" xr:uid="{45848536-AF17-4007-AEB7-FF51B6DB1937}">
      <formula1>"Assigned To"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K2" xr:uid="{A339751B-BCA1-4EC9-897F-3408129237FF}">
      <formula1>"State"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L2" xr:uid="{A3E18D97-70F2-41A1-8F2E-B37E8A7FF5D7}">
      <formula1>"Changed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M2" xr:uid="{78A8ABED-25C7-45D2-AC27-D86970A42F2B}">
      <formula1>"Created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N2" xr:uid="{B4364BAB-315E-46AE-8B2B-9125D92BB4F1}">
      <formula1>"Work Item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O2" xr:uid="{2D8B97C2-DD3B-4396-A91A-0226FD8195A1}">
      <formula1>"State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P2" xr:uid="{56CA6740-FFEF-4444-BAA4-3F68B780D5B2}">
      <formula1>"Accepted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Q2" xr:uid="{4CC1EF63-B093-4628-AC4D-531ED38314FC}">
      <formula1>"Accepted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R2" xr:uid="{34BB81A5-0B41-4E29-8790-959E685EF293}">
      <formula1>"Activated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S2" xr:uid="{B18B22C8-99C5-4564-B835-43C344E0EE30}">
      <formula1>"Activated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T2" xr:uid="{7FFB0451-0C23-4567-A227-918E49FE4799}">
      <formula1>"Activity"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U2" xr:uid="{50F9DB0F-F868-443D-892A-F7E9614025C4}">
      <formula1>"Application Launch Instructions"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V2" xr:uid="{B948E4B9-696B-47A6-AB5D-B4AA88298633}">
      <formula1>"Application Start Information"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W2" xr:uid="{AE9D652A-C145-4768-8CEE-D9487742F49F}">
      <formula1>"Application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X2" xr:uid="{63FB2286-2E9E-4820-9AB2-1CA8C8C0D416}">
      <formula1>"Area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Y2" xr:uid="{66B6AC4D-7290-4329-AD78-BD1085101FBE}">
      <formula1>"Associated Context"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Z2" xr:uid="{7E73FEB9-319B-47F2-8DB8-9FA57A8F40C8}">
      <formula1>"Associated Context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A2" xr:uid="{9AB241D6-DEE1-4A51-B4BB-2BEB40E010A9}">
      <formula1>"Associated Context Owner"</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B2" xr:uid="{4FA4725B-C031-4217-A2B7-626C104560A2}">
      <formula1>"Associated Context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C2" xr:uid="{9208BC34-0806-41AF-AEAD-60AFB1E2171F}">
      <formula1>"Authorized As"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D2" xr:uid="{CB92E315-57BB-42D9-BCF0-79A21E714915}">
      <formula1>"Authorized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E2" xr:uid="{CD9DD873-134C-4B4A-9BE2-754680477952}">
      <formula1>"Automated Test 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F2" xr:uid="{6321B5D8-CE3B-449E-8C8A-211ADED7AAFF}">
      <formula1>"Automated Test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G2" xr:uid="{2753F4FA-A5B2-4CDD-AB2F-94C8AF2B2FB9}">
      <formula1>"Automated Test Storage"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H2" xr:uid="{72961608-6170-4767-97B0-44BD10375A01}">
      <formula1>"Automated Test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I2" xr:uid="{13DB286B-BA7F-4D8C-9929-199E5C964763}">
      <formula1>"Automation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J2" xr:uid="{21B88D1F-9EB7-43A0-895F-B70CE7484100}">
      <formula1>"Board Column Done"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K2" xr:uid="{55BA242C-CE93-45A9-82CD-9DBEB70F9B2E}">
      <formula1>"Board Lane"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L2" xr:uid="{46CDD288-E138-45B2-B5D0-85ECD3C26911}">
      <formula1>"Closed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M2" xr:uid="{9A6FBA82-5B14-456D-A89D-637AAE02B2C2}">
      <formula1>"Closed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N2" xr:uid="{6E394C05-ABF3-44A5-BA4A-3DA4294D3404}">
      <formula1>"Closed Status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O2" xr:uid="{98C02226-6690-48C4-8F4C-CFB2E78A419C}">
      <formula1>"Closing Comment"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P2" xr:uid="{0FEED2A2-CC65-4775-8453-EF545B7D7720}">
      <formula1>"Comment Count"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Q2" xr:uid="{21CFDA98-F704-4146-B9D1-FA3759B4FF5D}">
      <formula1>"Completed Work"</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R2" xr:uid="{16C0A03B-20E7-4719-A62C-E084D76AF134}">
      <formula1>"Effort"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S2" xr:uid="{C04D72EF-BEC3-45F0-972D-EA4AC1E7A8B3}">
      <formula1>"Finish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T2" xr:uid="{5565EAFC-B0FA-4D4E-A54C-FA6EB7E2944C}">
      <formula1>"History"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U2" xr:uid="{CCA94003-8841-4F8C-9DB9-A556F473AC52}">
      <formula1>"Integration Build"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V2" xr:uid="{9690D585-F4E5-4008-8586-535BD20FF093}">
      <formula1>"Issue"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W2" xr:uid="{63CA63B0-DBE0-4D19-9E48-E71A89FC4842}">
      <formula1>"Iteration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X2" xr:uid="{CA207607-41BE-420B-B180-0897E690F5F9}">
      <formula1>"Local Data Source"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Y2" xr:uid="{4460BD87-5A77-4490-B4AE-B1EEC4D65CFB}">
      <formula1>"Node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Z2" xr:uid="{F6C54D14-3C9E-4416-BAC5-93B80B251F2C}">
      <formula1>"Parameters"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2" xr:uid="{5D058CBA-555A-412A-95A9-695B01D1CC1C}">
      <formula1>"Parent"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B2" xr:uid="{D3674E43-7FD0-4876-BB6E-91ABAB45F339}">
      <formula1>"Query 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C2" xr:uid="{6B749DC2-180F-41DA-B98E-FF2E882554F4}">
      <formula1>"Rating"</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D2" xr:uid="{590D4B70-E8AB-496C-9168-B87F3611A642}">
      <formula1>"Reason"</formula1>
    </dataValidation>
    <dataValidation type="textLength" showInputMessage="1" sqref="E38 E3 E21 E27 E64 E52 E12:E19 E6:E8" xr:uid="{4E9BBFEE-C14B-4CE5-A722-C784839132DE}">
      <formula1>1</formula1>
      <formula2>255</formula2>
    </dataValidation>
    <dataValidation type="textLength" allowBlank="1" showInputMessage="1" sqref="H38 F38 H3 F3 H21 F21 H27 F27 F64 H64 F52 H52 U13:V14 BB13:BB14 AZ13:AZ14 AX13:AX14 H12:H19 F12:F19 F6:F8 H6:H8" xr:uid="{EB8F541F-8660-4D91-8C4D-DFCB18B8FF17}">
      <formula1>0</formula1>
      <formula2>32767</formula2>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G3 G21 G27 G52 G64 G16:G19 G12:G14 G6:G8" xr:uid="{12D0BAD0-D8C9-485C-8DB9-B4623DA61E71}">
      <formula1>"Done"</formula1>
    </dataValidation>
    <dataValidation type="list" operator="equal" allowBlank="1" showInputMessage="1" showErrorMessage="1" errorTitle="Microsoft Excel" error="TF84042: The value you entered is not supported in this field. Select a supported value from the list." sqref="I38 I3 I21 I27 I64 I52 I12:I19 I6:I8" xr:uid="{B5D15402-17F0-4261-9631-0DB3BFF1DFB5}">
      <formula1>VSTS_ValidationRange_57383a09c4744028bf7d851e46e4c5ac</formula1>
    </dataValidation>
    <dataValidation type="list" operator="equal" allowBlank="1" showInputMessage="1" sqref="J6 L6 L38 J38 L12 J12" xr:uid="{4C639C5C-6C45-4A12-B63D-14CF3B71B138}">
      <formula1>VSTS_ValidationRange_af7944dba1484be78e9c8aa1d488c2dd</formula1>
    </dataValidation>
    <dataValidation type="list" operator="equal" showInputMessage="1" showErrorMessage="1" errorTitle="Microsoft Excel" error="TF84042: The value you entered is not supported in this field. Select a supported value from the list." sqref="K38 K3 K21 K27 K64 K52 K12:K19 K6:K8" xr:uid="{91988EE6-FD66-4D1E-B0CC-9DBDA8CBE7F5}">
      <formula1>VSTS_ValidationRange_1e4b7298ec5f48c78a3d9eda0fde598d</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N38 N3 N21 N27 N64 N52 N12:N19 N6:N8" xr:uid="{0C731D5C-C4F3-4D35-BCE1-892763F3BD1D}">
      <formula1>"Issue"</formula1>
    </dataValidation>
    <dataValidation type="list" operator="equal" allowBlank="1" showDropDown="1" showInputMessage="1" showErrorMessage="1" errorTitle="Read-only column" error="TF84027: This field is not available for this type of work item and must be left blank." prompt="Read-only" sqref="BB38:BC38 AZ38 AX38 AU38:AV38 AS38 AQ38 AM38:AO38 AE38:AI38 Y38:AB38 T38:W38 O38:Q38 BB12:BC12 AZ12 AX12 AU12:AV12 AS12 AQ12 AM12:AO12 AE12:AI12 Y12:AB12 T12:W12 O12:Q12 BB3:BC3 AZ3 AX3 AU3:AV3 AS3 AQ3 AM3:AO3 AE3:AI3 Y3:AB3 T3:W3 O3:Q3 BB21:BC21 AZ21 AX21 AU21:AV21 AS21 AQ21 AM21:AO21 AE21:AI21 Y21:AB21 T21:W21 O21:Q21 BB27:BC27 AZ27 AX27 AU27:AV27 AS27 AQ27 AM27:AO27 AE27:AI27 Y27:AB27 T27:W27 O27:Q27 O64:Q64 BB64:BC64 AZ64 AX64 AU64:AV64 AS64 AQ64 AM64:AO64 AE64:AI64 Y64:AB64 T64:W64 O15:Q19 T15:W19 Y15:AB19 AE15:AI19 AM15:AO19 AU15:AV19 BB15:BC19 AZ15:AZ19 AX15:AX19 AS15:AS19 AQ15:AQ19 BB52:BC52 AZ52 AX52 AU52:AV52 AS52 AQ52 AM52:AO52 AE52:AI52 Y52:AB52 T52:W52 O52:Q52 AO6:AO8 Q6:Q8 W6:W8 AB6:AB8 AI6:AI8 AS6:AS8 AZ6:AZ8 AX6:AX8 AV6:AV8 AQ6:AQ8 O6:O8 P6:P8 T6:T8 U6:U8 V6:V8 Y6:Y8 Z6:Z8 AA6:AA8 AE6:AE8 AF6:AF8 AG6:AG8 AH6:AH8 AM6:AM8 AN6:AN8 AU6:AU8 BB6:BB8 BC6:BC8" xr:uid="{2AC65775-275B-4AC7-A3C9-6A69DB75BC72}">
      <formula1>" "</formula1>
    </dataValidation>
    <dataValidation type="list" operator="equal" allowBlank="1" showInputMessage="1" showErrorMessage="1" errorTitle="Microsoft Excel" error="TF84042: The value you entered is not supported in this field. Select a supported value from the list." sqref="X38 X3 X21 X27 X64 X52 X12:X19 X6:X8" xr:uid="{A22141CC-ADEA-4CE3-9CFF-42CACB96D84C}">
      <formula1>VSTS_ValidationRange_b479c1a7b13b4ab883036a52cf2189b7</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J38 AJ12 AJ3 AJ21 AJ27 AJ64 AJ15:AJ19 AJ52 AJ6:AJ8" xr:uid="{33CF6670-6877-4AA0-945F-F4FB7D41E487}">
      <formula1>"FALSO"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D15 BA38 AK38:AL38 R38:S38 D38 BA12 AK12 R12:S12 BA3 AK3 R3:S3 R18:S19 R6:S8 R15:S15 AK15:AL15 BA21 AK21 R21:S21 BA27 AK27 R27:S27 R64:S64 BA64 AK64 BA15:BA19 AK16:AK19 BA52 AK52 R52:S52 AK6:AK8 BA6:BA8" xr:uid="{4866BBC7-7E60-4166-B3B6-18F1527C1D32}">
      <formula1>" "</formula1>
    </dataValidation>
    <dataValidation type="textLength" allowBlank="1" showInputMessage="1" prompt="Type a comment here and publish to add a new history entry. After publishing this cell will be cleared." sqref="AT38 AT3 AT21 AT27 AT64 AT52 AT12:AT19 AT6:AT8" xr:uid="{6420C186-398A-4F76-B22D-D6B120033820}">
      <formula1>0</formula1>
      <formula2>32767</formula2>
    </dataValidation>
    <dataValidation type="list" operator="equal" allowBlank="1" showInputMessage="1" showErrorMessage="1" errorTitle="Microsoft Excel" error="TF84042: The value you entered is not supported in this field. Select a supported value from the list." sqref="AW38 AW3 AW21 AW27 AW64 AW52 AW12:AW19 AW6:AW8" xr:uid="{1F026FBC-7F79-45D7-A711-D9456473278B}">
      <formula1>VSTS_ValidationRange_9be3ad0ed6f246b489ad94c659c96481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Y38 AY12 AY3 AY21 AY27 AY64 AY15:AY19 AY52 AY6:AY8" xr:uid="{FDD082A9-55D5-452E-98BD-F528A31B23D7}">
      <formula1>"JBSTerminais Suporte TEAM"</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12 BD3 BD21 BD27 BD64 BD16:BD19 BD52 BD6:BD8" xr:uid="{B7CB47D4-EDF9-4BA4-BF54-6FACB7D898A1}">
      <formula1>"Completed"</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6 M12 M3 M8" xr:uid="{1D17F710-A48F-49F5-B451-E8FD3EEF6D23}">
      <formula1>"Thalis Meurer"</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6 AL6 AL12 AC12 AL8 AC8 AL19 AC19 AL27 AC27 AL52 AC52" xr:uid="{12E7F50A-C188-4422-8661-17C5DB40122F}">
      <formula1>"RONALDO DE MORAES ORLING"</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3 AP8 AP17" xr:uid="{1A50334D-B527-49E0-8C71-FC8DB8764E92}">
      <formula1>"5"</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15:M18" xr:uid="{1789882E-6087-481E-9A98-EF455458719D}">
      <formula1>"Lucas Barrionuevo Ribeiro"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L16 AC16:AC18 R16" xr:uid="{81CB9AE5-AFAE-4316-9A4C-1BB52B6D0679}">
      <formula1>"Weslley Gonçalves Silva"</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18:AP19 AP16" xr:uid="{90279F6E-007F-4AB0-A82D-F724B19216EA}">
      <formula1>"3"</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8" xr:uid="{B04E1379-BF41-4F3A-940A-5B47A241B215}">
      <formula1>"902"</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G38" xr:uid="{809A348E-2602-479D-9C0F-65C9477A05CE}">
      <formula1>"Pausado"</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38 M21 M27 M52" xr:uid="{3C7006DD-0010-4FA8-9DD2-24FAFA8715E0}">
      <formula1>"DANTON DA ROSA ABREU"</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38 AC15 AL21 AC21" xr:uid="{CF547989-8122-4931-8351-AE70FDB0EE20}">
      <formula1>"DANTON DA ROSA ABREU"</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38" xr:uid="{03A3A53D-F5C9-42A5-844A-CD2305793182}">
      <formula1>"25/11/2025 17:04"</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38 AP21 AP27 AP64" xr:uid="{41B459C4-5F80-4C3C-931F-0C10AF7903D9}">
      <formula1>"1"</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38 BD15" xr:uid="{B588BEA1-FC20-4C8C-A591-FFA0FE6F1EEE}">
      <formula1>"Moved to backlog"</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2" xr:uid="{4777A823-0C99-4750-870B-BAA8EBBC66BF}">
      <formula1>"363"</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12 D19" xr:uid="{A27499DF-68E8-4E64-8690-ABB85C4E573E}">
      <formula1>"24/02/2025 12:41"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12 AD19" xr:uid="{AC114F4B-9E7E-4DAF-8218-2A899F700681}">
      <formula1>"24/02/2025 12:41"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12" xr:uid="{B66E8D52-603F-47A4-8C13-DF2CF6F2FC5E}">
      <formula1>"7"</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6" xr:uid="{6F751B1C-61E5-428F-8EFF-81978BEB916C}">
      <formula1>"193"</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6" xr:uid="{4E9FB5F4-0066-4F4E-A0B9-0867CF5E0F85}">
      <formula1>"07/04/2025 16:44"</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6" xr:uid="{66908465-D67B-4E9B-AA1E-3E004FC222E7}">
      <formula1>"07/04/2025 16:44"</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6:AP7 AP52" xr:uid="{838359C9-9036-47B2-A388-CF0AD87DCD69}">
      <formula1>"0"</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 xr:uid="{05C6A14C-11EF-4698-918C-1DFDF32D9B9F}">
      <formula1>"99"</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3" xr:uid="{DD1D9A07-DC89-45AF-AFA0-ED0C35EC826B}">
      <formula1>"31/12/2024 10:46"</formula1>
    </dataValidation>
    <dataValidation type="list" operator="equal" allowBlank="1" showInputMessage="1" sqref="J3 L3 L17:L19 L7:L8 J7:J8 L21 J21 L27 J27 J17:J19 J15 L15" xr:uid="{945BF416-C862-492D-9337-1D6E983B2A8A}">
      <formula1>VSTS_ValidationRange_03d70f67563e4427a84837ce4a5ac7fc</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3 AL3 AL7" xr:uid="{F8C5A944-7917-419B-A050-33D354C8C5E2}">
      <formula1>"Thalis Meurer"</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3" xr:uid="{24217324-1C4C-43B9-8367-F13CB3181289}">
      <formula1>"31/12/2024 10:46"</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13:D14" xr:uid="{AFE1930D-C987-4391-BF47-0778FB3FD198}">
      <formula1>"14/02/2025 12:29"</formula1>
    </dataValidation>
    <dataValidation type="list" operator="equal" allowBlank="1" showInputMessage="1" sqref="M13:M14" xr:uid="{EDB7573E-B844-4E8F-B8B7-6C2D38FD4B8E}">
      <formula1>VSTS_ValidationRange_2603c956a1834585a440ef4eda416d0b</formula1>
    </dataValidation>
    <dataValidation type="whole" allowBlank="1" showInputMessage="1" sqref="BA13:BA14 AP13:AP14 AN13:AN14 Z13:Z14 O13:O14" xr:uid="{194C878A-2831-4DC4-BE32-8024994BC0E0}">
      <formula1>-2147483648</formula1>
      <formula2>2147483647</formula2>
    </dataValidation>
    <dataValidation type="textLength" allowBlank="1" showInputMessage="1" sqref="AA13:AC14 AE13:AI14 AU13:AV14 BC13:BC14 AY13:AY14 AO13:AO14 AM13:AM14 AK13:AK14 Y13:Y14 W13:W14 T13:T14 Q13:Q14" xr:uid="{5B3A2465-FEE0-47F5-9A4A-B40A3B865D9E}">
      <formula1>0</formula1>
      <formula2>255</formula2>
    </dataValidation>
    <dataValidation type="list" operator="equal" allowBlank="1" showInputMessage="1" sqref="R13:R14" xr:uid="{D093F197-12ED-46E4-A585-4DCF1CCD9C13}">
      <formula1>VSTS_ValidationRange_826e31d9cde84aacbeda9957a9e38dc6</formula1>
    </dataValidation>
    <dataValidation type="list" operator="equal" allowBlank="1" showInputMessage="1" showErrorMessage="1" errorTitle="Microsoft Excel" error="TF84042: The value you entered is not supported in this field. Select a supported value from the list." sqref="AJ13:AJ14" xr:uid="{3BD4210B-9003-4E4C-A40E-42A8C7229C91}">
      <formula1>VSTS_ValidationRange_5019e7737e4d4baca339c0a4e7e012b0</formula1>
    </dataValidation>
    <dataValidation type="list" operator="equal" allowBlank="1" showInputMessage="1" sqref="AL13:AL14" xr:uid="{EDBDD7EE-9C76-4F0C-9E6C-483E580554DB}">
      <formula1>VSTS_ValidationRange_845f81984c2b4db18eac37bfe911801a</formula1>
    </dataValidation>
    <dataValidation type="list" operator="equal" allowBlank="1" showInputMessage="1" showErrorMessage="1" errorTitle="Microsoft Excel" error="TF84042: The value you entered is not supported in this field. Select a supported value from the list." sqref="BD13:BD14" xr:uid="{FD13D4AF-0742-410F-9E29-992DF80C0719}">
      <formula1>VSTS_ValidationRange_61d21d3492af4cfe85079922ee5f46e4</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8" xr:uid="{3A5D07B9-F55D-4AB3-A9E0-23E139FD1E57}">
      <formula1>"258"</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8 D52" xr:uid="{E770B8BB-1BC1-4A61-B721-54B5094F927A}">
      <formula1>"03/07/2025 08:23"</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8 AD52" xr:uid="{D42A42DD-2D66-4572-888D-D2A313DBB918}">
      <formula1>"03/07/2025 08:23"</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9" xr:uid="{5BA534B4-3430-4B25-90AD-3ACD66801D7D}">
      <formula1>"647"</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19" xr:uid="{A04EEEC4-0ADB-465E-A458-2641F4DC673F}">
      <formula1>"Weslley Gonçalves Silva"</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8" xr:uid="{FE3333CC-7EFC-4449-9E28-26AA3FFD0E70}">
      <formula1>"523"</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18" xr:uid="{789BFA2B-16D6-433B-9BC9-05AAE93B4FC2}">
      <formula1>"30/01/2025 14:25"</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18" xr:uid="{766168A2-FC00-4F49-A3A9-CF7906CA5207}">
      <formula1>"05/02/2025 10:34"</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L17:AL18 R17" xr:uid="{AE70BE62-30A3-4DA0-8532-A32A815D7F6D}">
      <formula1>"Lucas Barrionuevo Ribeiro"</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7" xr:uid="{2FD2CF39-FD79-4989-A3FB-18044A7AEEB2}">
      <formula1>"210"</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7" xr:uid="{C14137A6-4EDD-4FAA-9BA1-348159816A98}">
      <formula1>"14/02/2025 11:43"</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7" xr:uid="{AB469C28-7554-4FDF-932F-06EB07DEF539}">
      <formula1>"Vinícius Birsenek de Moraes"</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7 AL64 AC64" xr:uid="{7D2F90A9-BB5B-4DDC-8063-F5C5FC98B9E9}">
      <formula1>"Vinícius Birsenek de Moraes"</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7" xr:uid="{7AF9DAF4-7427-491E-B217-2187EB579037}">
      <formula1>"21/02/2025 20:31"</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5" xr:uid="{B94A9B22-A2F2-4AF8-9EC3-5DF6F8C5CD70}">
      <formula1>"481"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G15" xr:uid="{69D68CDE-ED61-4D91-95D0-17A6254D9932}">
      <formula1>"Backlog"</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15" xr:uid="{525A8A44-5DBE-46A7-81FD-70376C3A76DD}">
      <formula1>"25/11/2025 18:05"</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15" xr:uid="{CE1CC2EB-5897-461D-97AC-7091A3764865}">
      <formula1>"2"</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1" xr:uid="{FE9A80BD-80C6-40EA-B3EB-9F6058859F63}">
      <formula1>"649"</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21" xr:uid="{6D8B0982-F28E-4FF2-97C1-B6221E7D610C}">
      <formula1>"24/03/2025 17:48"</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21" xr:uid="{32F24ED0-883C-4458-8280-63B27FFB926F}">
      <formula1>"24/03/2025 17:48"</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7" xr:uid="{DCB05A98-459E-48B1-B14C-13515D86A0AE}">
      <formula1>"658"</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27" xr:uid="{DD5876AF-8376-4447-9554-72E9450B3D5D}">
      <formula1>"07/04/2025 16:33"</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27" xr:uid="{A83F3A5C-FD07-42B8-900B-AB90436205A0}">
      <formula1>"07/04/2025 16:33"</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7" xr:uid="{DD2349D6-346A-4A3A-BECA-E1ED6022F951}">
      <formula1>"521"</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17" xr:uid="{8BDA38F2-E687-44E1-A326-D82D16DFB3EA}">
      <formula1>"30/01/2025 14:26"</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S17" xr:uid="{BFBEDC25-2320-42A5-962A-72EDDD51B673}">
      <formula1>"30/01/2025 10:25"</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17" xr:uid="{9BBDA47C-1E75-4C79-BDA6-456109D6C785}">
      <formula1>"05/02/2025 10:35"</formula1>
    </dataValidation>
    <dataValidation type="list" operator="equal" allowBlank="1" showInputMessage="1" sqref="J64 L64 L16 J16 L52 J52 J13:J14" xr:uid="{98511046-C8B4-4CC2-A19B-82A29FB7E6E4}">
      <formula1>VSTS_ValidationRange_ff084c76d9804d589b683200d0e6425a</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64" xr:uid="{35C3532A-7EF0-4ECB-8B07-CFF3977ADBF5}">
      <formula1>"1317"</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64" xr:uid="{CCE8AB0E-42C8-4DB8-B94D-C13E5F7793A2}">
      <formula1>"05/09/2025 18:44"</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64" xr:uid="{82C94C6A-A168-435A-BE84-F53AC74E80FD}">
      <formula1>"Matheus Henrique Falcão Santos"</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64" xr:uid="{8F708A01-590F-46C8-9626-7E4E218B2621}">
      <formula1>"05/09/2025 18:44"</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4" xr:uid="{AA2614F2-484D-4BB2-B27B-317D087675F0}">
      <formula1>"375"</formula1>
    </dataValidation>
    <dataValidation type="list" operator="equal" allowBlank="1" showInputMessage="1" sqref="L13:L14" xr:uid="{54EACE47-D29A-43D7-A396-15D8CC2BC6FC}">
      <formula1>VSTS_ValidationRange_b88adec483ad4967825ab1a142aa9fc5</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6" xr:uid="{4AC8110F-E437-4D7B-A21A-9C8715194264}">
      <formula1>"490"</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16" xr:uid="{6616EC08-F2AF-4E05-80A1-8158A17FE484}">
      <formula1>"27/03/2025 11:12"</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S16" xr:uid="{D85FBBE8-B787-4712-BE36-D56A7A75FF9F}">
      <formula1>"27/03/2025 09:26"</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16" xr:uid="{12A89696-A18F-44D0-84D3-7AA234378A9A}">
      <formula1>"27/03/2025 11:12"</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52" xr:uid="{4668882F-D51D-4AA0-ADD6-6B81741C5ABE}">
      <formula1>"1166"</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3" xr:uid="{8BC10CC2-FD57-47EC-9454-C3F3E22C8A85}">
      <formula1>"374"</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9" xr:uid="{40EC1047-2296-4BC6-A8FF-6B15B2126EFA}">
      <formula1>"320"</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9" xr:uid="{8A58C736-585B-4281-BAAE-E0235DE577C7}">
      <formula1>"10/01/2025 16:41"</formula1>
    </dataValidation>
    <dataValidation type="textLength" showInputMessage="1" sqref="E9" xr:uid="{69E2AE14-03F4-4592-97CE-A8C997BE23FF}">
      <formula1>1</formula1>
      <formula2>255</formula2>
    </dataValidation>
    <dataValidation type="textLength" allowBlank="1" showInputMessage="1" sqref="F9" xr:uid="{B526C9F3-46F5-4E74-BCAF-54E10B74BAB1}">
      <formula1>0</formula1>
      <formula2>32767</formula2>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G9" xr:uid="{E4E21A26-6103-4668-B8F3-739EDEFAB674}">
      <formula1>"Done"</formula1>
    </dataValidation>
    <dataValidation type="textLength" allowBlank="1" showInputMessage="1" sqref="H9" xr:uid="{2EFCC20C-2BD8-48D9-9035-A4A55669D1FD}">
      <formula1>0</formula1>
      <formula2>32767</formula2>
    </dataValidation>
    <dataValidation type="list" operator="equal" allowBlank="1" showInputMessage="1" showErrorMessage="1" errorTitle="Microsoft Excel" error="TF84042: The value you entered is not supported in this field. Select a supported value from the list." sqref="I9" xr:uid="{8F078207-54A2-4EB4-B6F8-A8DD31A93200}">
      <formula1>VSTS_ValidationRange_57383a09c4744028bf7d851e46e4c5ac</formula1>
    </dataValidation>
    <dataValidation type="list" operator="equal" allowBlank="1" showInputMessage="1" sqref="J9" xr:uid="{5B8FA1DF-7162-490B-AEB3-B170AEEF5871}">
      <formula1>VSTS_ValidationRange_ff084c76d9804d589b683200d0e6425a</formula1>
    </dataValidation>
    <dataValidation type="list" operator="equal" showInputMessage="1" showErrorMessage="1" errorTitle="Microsoft Excel" error="TF84042: The value you entered is not supported in this field. Select a supported value from the list." sqref="K9" xr:uid="{7F6BBF5B-5A76-4BC8-9A76-B8D002FC971D}">
      <formula1>VSTS_ValidationRange_1e4b7298ec5f48c78a3d9eda0fde598d</formula1>
    </dataValidation>
    <dataValidation type="list" operator="equal" allowBlank="1" showInputMessage="1" sqref="L9" xr:uid="{BFF48FAC-9881-492B-A420-A8254B283BE7}">
      <formula1>VSTS_ValidationRange_ff084c76d9804d589b683200d0e6425a</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9" xr:uid="{CE909C5A-AEC1-495B-ABC2-89CE615201D3}">
      <formula1>"Weslley Gonçalves Silva"</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N9" xr:uid="{14C27891-5CDE-45B3-8DB9-EA98EF241ED5}">
      <formula1>"Issue"</formula1>
    </dataValidation>
    <dataValidation type="list" operator="equal" allowBlank="1" showDropDown="1" showInputMessage="1" showErrorMessage="1" errorTitle="Read-only column" error="TF84027: This field is not available for this type of work item and must be left blank." prompt="Read-only" sqref="O9" xr:uid="{EAF55896-732C-4816-AA39-70ACD2FB86AA}">
      <formula1>" "</formula1>
    </dataValidation>
    <dataValidation type="list" operator="equal" allowBlank="1" showDropDown="1" showInputMessage="1" showErrorMessage="1" errorTitle="Read-only column" error="TF84027: This field is not available for this type of work item and must be left blank." prompt="Read-only" sqref="P9" xr:uid="{6BD098DB-4E3B-41A4-9439-006D1ADB6D5B}">
      <formula1>" "</formula1>
    </dataValidation>
    <dataValidation type="list" operator="equal" allowBlank="1" showDropDown="1" showInputMessage="1" showErrorMessage="1" errorTitle="Read-only column" error="TF84027: This field is not available for this type of work item and must be left blank." prompt="Read-only" sqref="Q9" xr:uid="{CBC241AE-4C03-4C0C-8007-AD24883E81CE}">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R9" xr:uid="{188A7C70-DE05-492C-8924-2B02456C6006}">
      <formula1>"Weslley Gonçalves Silva"</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S9" xr:uid="{0D57D4DB-F4BD-4746-AF41-208B243C8475}">
      <formula1>"31/12/2024 10:26"</formula1>
    </dataValidation>
    <dataValidation type="list" operator="equal" allowBlank="1" showDropDown="1" showInputMessage="1" showErrorMessage="1" errorTitle="Read-only column" error="TF84027: This field is not available for this type of work item and must be left blank." prompt="Read-only" sqref="T9" xr:uid="{4BE9C1AC-9609-4640-9689-A4D026C26698}">
      <formula1>" "</formula1>
    </dataValidation>
    <dataValidation type="list" operator="equal" allowBlank="1" showDropDown="1" showInputMessage="1" showErrorMessage="1" errorTitle="Read-only column" error="TF84027: This field is not available for this type of work item and must be left blank." prompt="Read-only" sqref="U9" xr:uid="{1AA19864-D122-41F4-9D0D-580036D0403D}">
      <formula1>" "</formula1>
    </dataValidation>
    <dataValidation type="list" operator="equal" allowBlank="1" showDropDown="1" showInputMessage="1" showErrorMessage="1" errorTitle="Read-only column" error="TF84027: This field is not available for this type of work item and must be left blank." prompt="Read-only" sqref="V9" xr:uid="{F538B5AB-5DE1-4B7F-BAC4-5DB3BD561460}">
      <formula1>" "</formula1>
    </dataValidation>
    <dataValidation type="list" operator="equal" allowBlank="1" showDropDown="1" showInputMessage="1" showErrorMessage="1" errorTitle="Read-only column" error="TF84027: This field is not available for this type of work item and must be left blank." prompt="Read-only" sqref="W9" xr:uid="{464E38C4-AA03-4C15-9B11-FF782401EA16}">
      <formula1>" "</formula1>
    </dataValidation>
    <dataValidation type="list" operator="equal" allowBlank="1" showInputMessage="1" showErrorMessage="1" errorTitle="Microsoft Excel" error="TF84042: The value you entered is not supported in this field. Select a supported value from the list." sqref="X9" xr:uid="{D012CFB7-086D-461C-91A6-02547D162CE2}">
      <formula1>VSTS_ValidationRange_b479c1a7b13b4ab883036a52cf2189b7</formula1>
    </dataValidation>
    <dataValidation type="list" operator="equal" allowBlank="1" showDropDown="1" showInputMessage="1" showErrorMessage="1" errorTitle="Read-only column" error="TF84027: This field is not available for this type of work item and must be left blank." prompt="Read-only" sqref="Y9" xr:uid="{A6C7649A-9B78-4D1E-864A-7BED47BD378E}">
      <formula1>" "</formula1>
    </dataValidation>
    <dataValidation type="list" operator="equal" allowBlank="1" showDropDown="1" showInputMessage="1" showErrorMessage="1" errorTitle="Read-only column" error="TF84027: This field is not available for this type of work item and must be left blank." prompt="Read-only" sqref="Z9" xr:uid="{A68C0E3F-1C84-41A0-9D78-88600CA8555B}">
      <formula1>" "</formula1>
    </dataValidation>
    <dataValidation type="list" operator="equal" allowBlank="1" showDropDown="1" showInputMessage="1" showErrorMessage="1" errorTitle="Read-only column" error="TF84027: This field is not available for this type of work item and must be left blank." prompt="Read-only" sqref="AA9" xr:uid="{CA220503-2B3F-4E4F-82FB-975C26C281FB}">
      <formula1>" "</formula1>
    </dataValidation>
    <dataValidation type="list" operator="equal" allowBlank="1" showDropDown="1" showInputMessage="1" showErrorMessage="1" errorTitle="Read-only column" error="TF84027: This field is not available for this type of work item and must be left blank." prompt="Read-only" sqref="AB9" xr:uid="{281B7529-F6C0-4DCF-83BD-2094480EC295}">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9" xr:uid="{3330962A-C46E-43FC-951C-9D2A62512A3A}">
      <formula1>"Weslley Gonçalves Silva"</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9" xr:uid="{D9F507E3-1BD4-4BAF-A03D-718D8D840256}">
      <formula1>"10/01/2025 16:41"</formula1>
    </dataValidation>
    <dataValidation type="list" operator="equal" allowBlank="1" showDropDown="1" showInputMessage="1" showErrorMessage="1" errorTitle="Read-only column" error="TF84027: This field is not available for this type of work item and must be left blank." prompt="Read-only" sqref="AE9" xr:uid="{A831D2DE-BB9E-4379-8970-28961C92D1F6}">
      <formula1>" "</formula1>
    </dataValidation>
    <dataValidation type="list" operator="equal" allowBlank="1" showDropDown="1" showInputMessage="1" showErrorMessage="1" errorTitle="Read-only column" error="TF84027: This field is not available for this type of work item and must be left blank." prompt="Read-only" sqref="AF9" xr:uid="{F10355D3-C3B0-4DE7-ACF9-7DA7E53EAABD}">
      <formula1>" "</formula1>
    </dataValidation>
    <dataValidation type="list" operator="equal" allowBlank="1" showDropDown="1" showInputMessage="1" showErrorMessage="1" errorTitle="Read-only column" error="TF84027: This field is not available for this type of work item and must be left blank." prompt="Read-only" sqref="AG9" xr:uid="{174162C8-C809-4FAF-82DC-BAFEE95C0E8D}">
      <formula1>" "</formula1>
    </dataValidation>
    <dataValidation type="list" operator="equal" allowBlank="1" showDropDown="1" showInputMessage="1" showErrorMessage="1" errorTitle="Read-only column" error="TF84027: This field is not available for this type of work item and must be left blank." prompt="Read-only" sqref="AH9" xr:uid="{68D15F3C-8887-4637-A9C1-F492B55AEB54}">
      <formula1>" "</formula1>
    </dataValidation>
    <dataValidation type="list" operator="equal" allowBlank="1" showDropDown="1" showInputMessage="1" showErrorMessage="1" errorTitle="Read-only column" error="TF84027: This field is not available for this type of work item and must be left blank." prompt="Read-only" sqref="AI9" xr:uid="{43FFF4DE-2053-40D7-8E86-BC2EDB05005E}">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J9" xr:uid="{4E8ECA35-8D54-4EF4-A616-73EF56E9A4C5}">
      <formula1>"FALSO"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K9" xr:uid="{D8D857C7-C92B-41A8-B46E-87B077E914CB}">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L9" xr:uid="{34F64646-1B07-4D3B-AE96-F7EB0BC9DBBA}">
      <formula1>"Weslley Gonçalves Silva"</formula1>
    </dataValidation>
    <dataValidation type="list" operator="equal" allowBlank="1" showDropDown="1" showInputMessage="1" showErrorMessage="1" errorTitle="Read-only column" error="TF84027: This field is not available for this type of work item and must be left blank." prompt="Read-only" sqref="AM9" xr:uid="{39156F44-0BE7-43C8-B8F5-7C4FC05633AD}">
      <formula1>" "</formula1>
    </dataValidation>
    <dataValidation type="list" operator="equal" allowBlank="1" showDropDown="1" showInputMessage="1" showErrorMessage="1" errorTitle="Read-only column" error="TF84027: This field is not available for this type of work item and must be left blank." prompt="Read-only" sqref="AN9" xr:uid="{63C73CC9-F4CA-420B-A40B-DBBCEBD039C1}">
      <formula1>" "</formula1>
    </dataValidation>
    <dataValidation type="list" operator="equal" allowBlank="1" showDropDown="1" showInputMessage="1" showErrorMessage="1" errorTitle="Read-only column" error="TF84027: This field is not available for this type of work item and must be left blank." prompt="Read-only" sqref="AO9" xr:uid="{DBDB550A-7779-4CA8-A28D-F034F90E403C}">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9" xr:uid="{764E6BD2-A644-41DE-A311-84CFB2990B12}">
      <formula1>"3"</formula1>
    </dataValidation>
    <dataValidation type="list" operator="equal" allowBlank="1" showDropDown="1" showInputMessage="1" showErrorMessage="1" errorTitle="Read-only column" error="TF84027: This field is not available for this type of work item and must be left blank." prompt="Read-only" sqref="AQ9" xr:uid="{E1CDBBA1-BCE7-455D-B8D6-71826CBFB4B4}">
      <formula1>" "</formula1>
    </dataValidation>
    <dataValidation type="list" operator="equal" allowBlank="1" showDropDown="1" showInputMessage="1" showErrorMessage="1" errorTitle="Read-only column" error="TF84027: This field is not available for this type of work item and must be left blank." prompt="Read-only" sqref="AS9" xr:uid="{CDFA3F09-0DF1-49E2-8D4A-7FC14B2FD97B}">
      <formula1>" "</formula1>
    </dataValidation>
    <dataValidation type="textLength" allowBlank="1" showInputMessage="1" prompt="Type a comment here and publish to add a new history entry. After publishing this cell will be cleared." sqref="AT9" xr:uid="{DD9E3F6F-828C-4C3C-B13D-1A0C193E5BB8}">
      <formula1>0</formula1>
      <formula2>32767</formula2>
    </dataValidation>
    <dataValidation type="list" operator="equal" allowBlank="1" showDropDown="1" showInputMessage="1" showErrorMessage="1" errorTitle="Read-only column" error="TF84027: This field is not available for this type of work item and must be left blank." prompt="Read-only" sqref="AU9" xr:uid="{78C3BA2A-E65C-44ED-B18D-E2F2421ECB39}">
      <formula1>" "</formula1>
    </dataValidation>
    <dataValidation type="list" operator="equal" allowBlank="1" showDropDown="1" showInputMessage="1" showErrorMessage="1" errorTitle="Read-only column" error="TF84027: This field is not available for this type of work item and must be left blank." prompt="Read-only" sqref="AV9" xr:uid="{D7CC9B7B-6ED9-40B1-8041-6A04E17A52A6}">
      <formula1>" "</formula1>
    </dataValidation>
    <dataValidation type="list" operator="equal" allowBlank="1" showInputMessage="1" showErrorMessage="1" errorTitle="Microsoft Excel" error="TF84042: The value you entered is not supported in this field. Select a supported value from the list." sqref="AW9" xr:uid="{5FE3BBCD-8213-4818-855D-66E774B60EBE}">
      <formula1>VSTS_ValidationRange_9be3ad0ed6f246b489ad94c659c96481</formula1>
    </dataValidation>
    <dataValidation type="list" operator="equal" allowBlank="1" showDropDown="1" showInputMessage="1" showErrorMessage="1" errorTitle="Read-only column" error="TF84027: This field is not available for this type of work item and must be left blank." prompt="Read-only" sqref="AX9" xr:uid="{699CA1E0-6327-47FB-9C71-C799C16FB146}">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Y9" xr:uid="{D0EEA375-C425-4224-A379-7EBCD29FF2F6}">
      <formula1>"JBSTerminais Suporte TEAM"</formula1>
    </dataValidation>
    <dataValidation type="list" operator="equal" allowBlank="1" showDropDown="1" showInputMessage="1" showErrorMessage="1" errorTitle="Read-only column" error="TF84027: This field is not available for this type of work item and must be left blank." prompt="Read-only" sqref="AZ9" xr:uid="{08BAC48D-5F26-46A2-BDD8-1C825498B3D0}">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9" xr:uid="{34EA2DEE-8961-4093-97A6-AA47BA587BFD}">
      <formula1>" "</formula1>
    </dataValidation>
    <dataValidation type="list" operator="equal" allowBlank="1" showDropDown="1" showInputMessage="1" showErrorMessage="1" errorTitle="Read-only column" error="TF84027: This field is not available for this type of work item and must be left blank." prompt="Read-only" sqref="BB9" xr:uid="{A9C392B9-4634-4741-93DD-90788B3E3F78}">
      <formula1>" "</formula1>
    </dataValidation>
    <dataValidation type="list" operator="equal" allowBlank="1" showDropDown="1" showInputMessage="1" showErrorMessage="1" errorTitle="Read-only column" error="TF84027: This field is not available for this type of work item and must be left blank." prompt="Read-only" sqref="BC9" xr:uid="{CD437289-AA88-4B0E-AD37-448BE1C44FB1}">
      <formula1>" "</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9" xr:uid="{33FEAC18-41F9-4C4D-8974-88B44E8A2FE8}">
      <formula1>"Completed"</formula1>
    </dataValidation>
  </dataValidations>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19C7F-6786-4394-A1D2-E2B266B2F38D}">
  <dimension ref="B1:AF56"/>
  <sheetViews>
    <sheetView showGridLines="0" topLeftCell="A3" zoomScale="85" zoomScaleNormal="85" workbookViewId="0">
      <selection activeCell="I15" sqref="I15"/>
    </sheetView>
  </sheetViews>
  <sheetFormatPr defaultRowHeight="15" x14ac:dyDescent="0.25"/>
  <cols>
    <col min="2" max="2" width="5" bestFit="1" customWidth="1"/>
    <col min="3" max="3" width="35.5703125" bestFit="1" customWidth="1"/>
    <col min="4" max="4" width="15.5703125" bestFit="1" customWidth="1"/>
    <col min="5" max="5" width="27.140625" bestFit="1" customWidth="1"/>
    <col min="6" max="6" width="0.28515625" customWidth="1"/>
    <col min="7" max="7" width="0.42578125" customWidth="1"/>
    <col min="8" max="8" width="5" bestFit="1" customWidth="1"/>
    <col min="9" max="9" width="50.140625" customWidth="1"/>
    <col min="10" max="10" width="20.140625" bestFit="1" customWidth="1"/>
    <col min="11" max="11" width="33.42578125" bestFit="1" customWidth="1"/>
    <col min="12" max="12" width="2.28515625" style="28" customWidth="1"/>
    <col min="13" max="14" width="12.140625" bestFit="1" customWidth="1"/>
    <col min="16" max="16" width="50.5703125" bestFit="1" customWidth="1"/>
    <col min="20" max="20" width="12.85546875" customWidth="1"/>
    <col min="25" max="25" width="11.7109375" bestFit="1" customWidth="1"/>
    <col min="26" max="26" width="3" bestFit="1" customWidth="1"/>
    <col min="28" max="28" width="19.5703125" bestFit="1" customWidth="1"/>
    <col min="29" max="29" width="3.140625" bestFit="1" customWidth="1"/>
    <col min="31" max="31" width="8.7109375" bestFit="1" customWidth="1"/>
  </cols>
  <sheetData>
    <row r="1" spans="2:32" ht="15.75" thickBot="1" x14ac:dyDescent="0.3">
      <c r="Y1" s="135" t="s">
        <v>375</v>
      </c>
      <c r="Z1" s="136"/>
      <c r="AB1" s="135" t="s">
        <v>376</v>
      </c>
      <c r="AC1" s="136"/>
      <c r="AE1" s="135" t="s">
        <v>377</v>
      </c>
      <c r="AF1" s="136"/>
    </row>
    <row r="2" spans="2:32" x14ac:dyDescent="0.25">
      <c r="Y2" s="10" t="s">
        <v>316</v>
      </c>
      <c r="Z2" s="11">
        <f>COUNTIF(VSTS_c467189f_b1e3_4921_ac93_2d6d7014346c[Tags],"*"&amp;Y2&amp;"*")</f>
        <v>3</v>
      </c>
      <c r="AB2" s="10" t="s">
        <v>245</v>
      </c>
      <c r="AC2" s="11">
        <f>COUNTIF(VSTS_c467189f_b1e3_4921_ac93_2d6d7014346c[Board Column],"*"&amp;AB2&amp;"*")</f>
        <v>0</v>
      </c>
      <c r="AE2" s="10" t="s">
        <v>476</v>
      </c>
      <c r="AF2" s="11">
        <f>COUNTIF(VSTS_c467189f_b1e3_4921_ac93_2d6d7014346c[Tags],"*"&amp;AE2&amp;"*")</f>
        <v>1</v>
      </c>
    </row>
    <row r="3" spans="2:32" x14ac:dyDescent="0.25">
      <c r="Y3" s="12" t="s">
        <v>317</v>
      </c>
      <c r="Z3" s="11">
        <f>COUNTIF(VSTS_c467189f_b1e3_4921_ac93_2d6d7014346c[Tags],"*"&amp;Y3&amp;"*")</f>
        <v>0</v>
      </c>
      <c r="AB3" s="12" t="s">
        <v>249</v>
      </c>
      <c r="AC3" s="11">
        <f>COUNTIF(VSTS_c467189f_b1e3_4921_ac93_2d6d7014346c[Board Column],"*"&amp;AB3&amp;"*")</f>
        <v>0</v>
      </c>
      <c r="AE3" s="10" t="s">
        <v>323</v>
      </c>
      <c r="AF3" s="11">
        <f>COUNTIF(VSTS_c467189f_b1e3_4921_ac93_2d6d7014346c[Tags],"*"&amp;AE3&amp;"*")</f>
        <v>6</v>
      </c>
    </row>
    <row r="4" spans="2:32" ht="15.75" thickBot="1" x14ac:dyDescent="0.3">
      <c r="Y4" s="12" t="s">
        <v>318</v>
      </c>
      <c r="Z4" s="11">
        <f>COUNTIF(VSTS_c467189f_b1e3_4921_ac93_2d6d7014346c[Tags],"*"&amp;Y4&amp;"*")</f>
        <v>1</v>
      </c>
      <c r="AB4" s="12" t="s">
        <v>250</v>
      </c>
      <c r="AC4" s="11">
        <f>COUNTIF(VSTS_c467189f_b1e3_4921_ac93_2d6d7014346c[Board Column],"*"&amp;AB4&amp;"*")</f>
        <v>0</v>
      </c>
      <c r="AE4" s="14" t="s">
        <v>324</v>
      </c>
      <c r="AF4" s="11">
        <f>COUNTIF(VSTS_c467189f_b1e3_4921_ac93_2d6d7014346c[Tags],"*"&amp;AE4&amp;"*")</f>
        <v>0</v>
      </c>
    </row>
    <row r="5" spans="2:32" x14ac:dyDescent="0.25">
      <c r="Y5" s="12" t="s">
        <v>319</v>
      </c>
      <c r="Z5" s="11">
        <f>COUNTIF(VSTS_c467189f_b1e3_4921_ac93_2d6d7014346c[Tags],"*"&amp;Y5&amp;"*")</f>
        <v>3</v>
      </c>
      <c r="AB5" s="12" t="s">
        <v>256</v>
      </c>
      <c r="AC5" s="11">
        <f>COUNTIF(VSTS_c467189f_b1e3_4921_ac93_2d6d7014346c[Board Column],"*"&amp;AB5&amp;"*")</f>
        <v>0</v>
      </c>
      <c r="AE5" s="23" t="s">
        <v>468</v>
      </c>
      <c r="AF5" s="11">
        <f>COUNTIF(VSTS_c467189f_b1e3_4921_ac93_2d6d7014346c[Tags],"*"&amp;AE5&amp;"*")</f>
        <v>1</v>
      </c>
    </row>
    <row r="6" spans="2:32" ht="15.75" thickBot="1" x14ac:dyDescent="0.3">
      <c r="Y6" s="12" t="s">
        <v>378</v>
      </c>
      <c r="Z6" s="11">
        <f>COUNTIF(VSTS_c467189f_b1e3_4921_ac93_2d6d7014346c[Tags],"*"&amp;Y6&amp;"*")</f>
        <v>5</v>
      </c>
      <c r="AB6" s="14" t="s">
        <v>200</v>
      </c>
      <c r="AC6" s="15">
        <f>COUNTIF(VSTS_c467189f_b1e3_4921_ac93_2d6d7014346c[Board Column],"*"&amp;AB6&amp;"*")</f>
        <v>15</v>
      </c>
    </row>
    <row r="7" spans="2:32" ht="15.75" thickBot="1" x14ac:dyDescent="0.3">
      <c r="Y7" s="14" t="s">
        <v>325</v>
      </c>
      <c r="Z7" s="11">
        <f>COUNTIF(VSTS_c467189f_b1e3_4921_ac93_2d6d7014346c[Tags],"*"&amp;Y7&amp;"*")</f>
        <v>0</v>
      </c>
    </row>
    <row r="9" spans="2:32" ht="15.75" thickBot="1" x14ac:dyDescent="0.3"/>
    <row r="10" spans="2:32" x14ac:dyDescent="0.25">
      <c r="Y10" s="137" t="s">
        <v>374</v>
      </c>
      <c r="Z10" s="138"/>
      <c r="AB10" s="137" t="s">
        <v>326</v>
      </c>
      <c r="AC10" s="138"/>
      <c r="AE10" s="137" t="s">
        <v>327</v>
      </c>
      <c r="AF10" s="138"/>
    </row>
    <row r="11" spans="2:32" x14ac:dyDescent="0.25">
      <c r="Y11" s="12" t="s">
        <v>316</v>
      </c>
      <c r="Z11" s="11">
        <f>COUNTIFS(VSTS_d6760eb0_ea3a_4c33_85d6_f85b26745a24[Tags],"*"&amp;Y11&amp;"*",VSTS_d6760eb0_ea3a_4c33_85d6_f85b26745a24[State],"&lt;&gt;DONE")</f>
        <v>21</v>
      </c>
      <c r="AB11" s="10" t="s">
        <v>245</v>
      </c>
      <c r="AC11" s="11">
        <f>COUNTIF(VSTS_c467189f_b1e3_4921_ac93_2d6d7014346c[Board Column],"*"&amp;AB11&amp;"*")</f>
        <v>0</v>
      </c>
      <c r="AE11" s="12" t="s">
        <v>322</v>
      </c>
      <c r="AF11" s="13">
        <f>COUNTIFS(VSTS_d6760eb0_ea3a_4c33_85d6_f85b26745a24[Tags],"*"&amp;AE11&amp;"*",VSTS_d6760eb0_ea3a_4c33_85d6_f85b26745a24[Board Column],"&lt;&gt;Done")</f>
        <v>0</v>
      </c>
    </row>
    <row r="12" spans="2:32" x14ac:dyDescent="0.25">
      <c r="Y12" s="12" t="s">
        <v>317</v>
      </c>
      <c r="Z12" s="11">
        <f>COUNTIFS(VSTS_d6760eb0_ea3a_4c33_85d6_f85b26745a24[Tags],"*"&amp;Y12&amp;"*",VSTS_d6760eb0_ea3a_4c33_85d6_f85b26745a24[State],"&lt;&gt;DONE")</f>
        <v>0</v>
      </c>
      <c r="AB12" s="12" t="s">
        <v>249</v>
      </c>
      <c r="AC12" s="11">
        <f>COUNTIF(VSTS_c467189f_b1e3_4921_ac93_2d6d7014346c[Board Column],"*"&amp;AB12&amp;"*")</f>
        <v>0</v>
      </c>
      <c r="AE12" s="12" t="s">
        <v>323</v>
      </c>
      <c r="AF12" s="13">
        <f>COUNTIFS(VSTS_d6760eb0_ea3a_4c33_85d6_f85b26745a24[Tags],"*"&amp;AE12&amp;"*",VSTS_d6760eb0_ea3a_4c33_85d6_f85b26745a24[Board Column],"&lt;&gt;Done")</f>
        <v>1</v>
      </c>
    </row>
    <row r="13" spans="2:32" ht="27" thickBot="1" x14ac:dyDescent="0.45">
      <c r="B13" s="134" t="s">
        <v>460</v>
      </c>
      <c r="C13" s="134"/>
      <c r="D13" s="134"/>
      <c r="E13" s="134"/>
      <c r="F13" s="24"/>
      <c r="G13" s="19"/>
      <c r="H13" s="134" t="s">
        <v>459</v>
      </c>
      <c r="I13" s="134"/>
      <c r="J13" s="134"/>
      <c r="K13" s="134"/>
      <c r="L13" s="29"/>
      <c r="Y13" s="12" t="s">
        <v>318</v>
      </c>
      <c r="Z13" s="11">
        <f>COUNTIFS(VSTS_d6760eb0_ea3a_4c33_85d6_f85b26745a24[Tags],"*"&amp;Y13&amp;"*",VSTS_d6760eb0_ea3a_4c33_85d6_f85b26745a24[State],"&lt;&gt;DONE")</f>
        <v>2</v>
      </c>
      <c r="AB13" s="12" t="s">
        <v>250</v>
      </c>
      <c r="AC13" s="11">
        <f>COUNTIF(VSTS_c467189f_b1e3_4921_ac93_2d6d7014346c[Board Column],"*"&amp;AB13&amp;"*")</f>
        <v>0</v>
      </c>
      <c r="AE13" s="14" t="s">
        <v>324</v>
      </c>
      <c r="AF13" s="13">
        <f>COUNTIFS(VSTS_d6760eb0_ea3a_4c33_85d6_f85b26745a24[Tags],"*"&amp;AE13&amp;"*",VSTS_d6760eb0_ea3a_4c33_85d6_f85b26745a24[Board Column],"&lt;&gt;Done")</f>
        <v>1</v>
      </c>
    </row>
    <row r="14" spans="2:32" ht="15.75" thickBot="1" x14ac:dyDescent="0.3">
      <c r="B14" s="20" t="s">
        <v>0</v>
      </c>
      <c r="C14" s="20" t="s">
        <v>1</v>
      </c>
      <c r="D14" s="20" t="s">
        <v>3</v>
      </c>
      <c r="E14" s="20" t="s">
        <v>7</v>
      </c>
      <c r="F14" s="25"/>
      <c r="H14" s="20" t="s">
        <v>0</v>
      </c>
      <c r="I14" s="20" t="s">
        <v>1</v>
      </c>
      <c r="J14" s="20" t="s">
        <v>3</v>
      </c>
      <c r="K14" s="20" t="s">
        <v>7</v>
      </c>
      <c r="L14" s="28" t="s">
        <v>13</v>
      </c>
      <c r="M14" t="s">
        <v>122</v>
      </c>
      <c r="Y14" s="12" t="s">
        <v>319</v>
      </c>
      <c r="Z14" s="11">
        <f>COUNTIFS(VSTS_d6760eb0_ea3a_4c33_85d6_f85b26745a24[Tags],"*"&amp;Y14&amp;"*",VSTS_d6760eb0_ea3a_4c33_85d6_f85b26745a24[State],"&lt;&gt;DONE")</f>
        <v>0</v>
      </c>
      <c r="AB14" s="12" t="s">
        <v>256</v>
      </c>
      <c r="AC14" s="11">
        <f>COUNTIF(VSTS_c467189f_b1e3_4921_ac93_2d6d7014346c[Board Column],"*"&amp;AB14&amp;"*")</f>
        <v>0</v>
      </c>
      <c r="AE14" s="14" t="s">
        <v>379</v>
      </c>
      <c r="AF14" s="13">
        <f>COUNTIFS(VSTS_d6760eb0_ea3a_4c33_85d6_f85b26745a24[Tags],"*"&amp;AE14&amp;"*",VSTS_d6760eb0_ea3a_4c33_85d6_f85b26745a24[Board Column],"&lt;&gt;Done")</f>
        <v>0</v>
      </c>
    </row>
    <row r="15" spans="2:32" ht="15.75" thickBot="1" x14ac:dyDescent="0.3">
      <c r="B15" s="21" cm="1">
        <f t="array" ref="B15:F29">_xlfn._xlws.FILTER(
  VSTS_c467189f_b1e3_4921_ac93_2d6d7014346c[[ID]:[Tags]],
  (VSTS_c467189f_b1e3_4921_ac93_2d6d7014346c[Board Column]="Release")
)</f>
        <v>507</v>
      </c>
      <c r="C15" s="22" t="str">
        <v>Itens com ganhos financeiros (no show, reagendamentos, LAR)</v>
      </c>
      <c r="D15" s="21" t="str">
        <v>Release</v>
      </c>
      <c r="E15" s="21" t="str">
        <v>Vinícius Francisco de Sousa Pereira</v>
      </c>
      <c r="F15" s="26" t="str">
        <v>ATENDIMENTO; CONTROLE; SOLICITANTE:WESLEY</v>
      </c>
      <c r="H15" s="21" cm="1">
        <f t="array" ref="H15:L36">_xlfn._xlws.FILTER(
  VSTS_102a646c_ad0a_48ec_88b8_1da5f2d06195[[ID]:[Tags]],
  (VSTS_102a646c_ad0a_48ec_88b8_1da5f2d06195[Board Column]="Em Desenvolvimento") +
  (VSTS_102a646c_ad0a_48ec_88b8_1da5f2d06195[Board Column]="Homologação")
)</f>
        <v>1429</v>
      </c>
      <c r="I15" s="22" t="str">
        <v>Execução limpeza Units XPS</v>
      </c>
      <c r="J15" s="21" t="str">
        <v>Em Desenvolvimento</v>
      </c>
      <c r="K15" s="21" t="str">
        <v>DANTON DA ROSA ABREU</v>
      </c>
      <c r="L15" s="28" t="str">
        <v>MELHORIA; NAVIS N4; OPERAÇÃO; PRIORIZADO; SOLICITANTE: BRUNO DUARTE; SPRINT_1</v>
      </c>
      <c r="M15" t="b">
        <f>ISNUMBER(FIND("PRIORIZADO",L15))</f>
        <v>1</v>
      </c>
      <c r="Y15" s="12" t="s">
        <v>320</v>
      </c>
      <c r="Z15" s="11">
        <f>COUNTIFS(VSTS_d6760eb0_ea3a_4c33_85d6_f85b26745a24[Tags],"*"&amp;Y15&amp;"*",VSTS_d6760eb0_ea3a_4c33_85d6_f85b26745a24[State],"&lt;&gt;DONE")</f>
        <v>0</v>
      </c>
      <c r="AB15" s="14" t="s">
        <v>200</v>
      </c>
      <c r="AC15" s="11">
        <f>COUNTIF(VSTS_c467189f_b1e3_4921_ac93_2d6d7014346c[Board Column],"*"&amp;AB15&amp;"*")</f>
        <v>15</v>
      </c>
      <c r="AE15" s="14"/>
      <c r="AF15" s="13"/>
    </row>
    <row r="16" spans="2:32" ht="15.75" thickBot="1" x14ac:dyDescent="0.3">
      <c r="B16" s="21">
        <v>773</v>
      </c>
      <c r="C16" s="22" t="str">
        <v>Monitoramento DUE | Priorizar consultas baseado no Deadline</v>
      </c>
      <c r="D16" s="21" t="str">
        <v>Release</v>
      </c>
      <c r="E16" s="21" t="str">
        <v>Vinícius Francisco de Sousa Pereira</v>
      </c>
      <c r="F16" s="26" t="str">
        <v>COMEX; CONTROLE; SOLICITANTE: GEORGE</v>
      </c>
      <c r="H16" s="21">
        <v>1357</v>
      </c>
      <c r="I16" s="22" t="str">
        <v>Exclusão dos BL sem unidades após processamento do Siscarga</v>
      </c>
      <c r="J16" s="21" t="str">
        <v>Em Desenvolvimento</v>
      </c>
      <c r="K16" s="21" t="str">
        <v>Vinícius Birsenek de Moraes</v>
      </c>
      <c r="L16" s="28" t="str">
        <v>COMEX; SOLICITANTE: JOSIAS; SPRINT_1</v>
      </c>
      <c r="M16" t="b">
        <f t="shared" ref="M16:M25" si="0">ISNUMBER(FIND("PRIORIZADO",L16))</f>
        <v>0</v>
      </c>
      <c r="Y16" s="14" t="s">
        <v>321</v>
      </c>
      <c r="Z16" s="11">
        <f>COUNTIFS(VSTS_d6760eb0_ea3a_4c33_85d6_f85b26745a24[Tags],"*"&amp;Y16&amp;"*",VSTS_d6760eb0_ea3a_4c33_85d6_f85b26745a24[State],"&lt;&gt;DONE")</f>
        <v>0</v>
      </c>
    </row>
    <row r="17" spans="2:30" x14ac:dyDescent="0.25">
      <c r="B17" s="21">
        <v>1121</v>
      </c>
      <c r="C17" s="22" t="str">
        <v>DU-IMP - Liberação Documental</v>
      </c>
      <c r="D17" s="21" t="str">
        <v>Release</v>
      </c>
      <c r="E17" s="21" t="str">
        <v>Pedro Marini Nave</v>
      </c>
      <c r="F17" s="26" t="str">
        <v>COMEX; CONTROLE; Impeditivo; MELHORIA; SOLICITANTE: JOSIAS</v>
      </c>
      <c r="H17" s="21">
        <v>309</v>
      </c>
      <c r="I17" s="22" t="str">
        <v>Criação de Pipelines CI/CD - Portal</v>
      </c>
      <c r="J17" s="21" t="str">
        <v>Em Desenvolvimento</v>
      </c>
      <c r="K17" s="21" t="str">
        <v>DANTON DA ROSA ABREU</v>
      </c>
      <c r="L17" s="28" t="str">
        <v>CONTROLE; Impeditivo; MELHORIA; PRIORIZADO; SOLICITANTE: AMANDUS; SPRINT_1; TI</v>
      </c>
      <c r="M17" t="b">
        <f t="shared" si="0"/>
        <v>1</v>
      </c>
    </row>
    <row r="18" spans="2:30" x14ac:dyDescent="0.25">
      <c r="B18" s="21">
        <v>1352</v>
      </c>
      <c r="C18" s="22" t="str">
        <v>Sobreposição de Baplie</v>
      </c>
      <c r="D18" s="21" t="str">
        <v>Release</v>
      </c>
      <c r="E18" s="21" t="str">
        <v>Weslley Gonçalves Silva</v>
      </c>
      <c r="F18" s="26" t="str">
        <v>EDI; OPERAÇÃO; PRIORIZADO; SOLICITANTE: BRUNO DUARTE</v>
      </c>
      <c r="H18" s="21">
        <v>1382</v>
      </c>
      <c r="I18" s="22" t="str">
        <v>Relatório de Notas Fiscais com diferença de valores</v>
      </c>
      <c r="J18" s="21" t="str">
        <v>Em Desenvolvimento</v>
      </c>
      <c r="K18" s="21" t="str">
        <v>Matheus Henrique Falcão Santos</v>
      </c>
      <c r="L18" s="28" t="str">
        <v>FATURAMENTO; PORTAL; RELATÓRIOS; SOLICITANTE : JOÃO; SPRINT_1</v>
      </c>
      <c r="M18" t="b">
        <f t="shared" si="0"/>
        <v>0</v>
      </c>
    </row>
    <row r="19" spans="2:30" x14ac:dyDescent="0.25">
      <c r="B19" s="21">
        <v>1432</v>
      </c>
      <c r="C19" s="22" t="str">
        <v>Navis N4 - Argoservice não retorna message do Trouble_Lane</v>
      </c>
      <c r="D19" s="21" t="str">
        <v>Release</v>
      </c>
      <c r="E19" s="21" t="str">
        <v>DANTON DA ROSA ABREU</v>
      </c>
      <c r="F19" s="26" t="str">
        <v>GATE; MELHORIA; NAVIS N4; OPERAÇÃO; PRIORIZADO; SOLICITANTE: LUCAS</v>
      </c>
      <c r="H19" s="21">
        <v>1475</v>
      </c>
      <c r="I19" s="22" t="str">
        <v>Faturar Para Obrigatório</v>
      </c>
      <c r="J19" s="21" t="str">
        <v>Em Desenvolvimento</v>
      </c>
      <c r="K19" s="21" t="str">
        <v>Matheus Henrique Falcão Santos</v>
      </c>
      <c r="L19" s="28" t="str">
        <v>FATURAMENTO; MELHORIA; PORTAL; SOLICITANTE: JOAO PETERS; SPRINT_1</v>
      </c>
      <c r="M19" t="b">
        <f t="shared" si="0"/>
        <v>0</v>
      </c>
    </row>
    <row r="20" spans="2:30" x14ac:dyDescent="0.25">
      <c r="B20" s="21">
        <v>1440</v>
      </c>
      <c r="C20" s="21" t="str">
        <v>N4 - Appt Expired após ser Used pelo Gate</v>
      </c>
      <c r="D20" s="21" t="str">
        <v>Release</v>
      </c>
      <c r="E20" s="21" t="str">
        <v>DANTON DA ROSA ABREU</v>
      </c>
      <c r="F20" s="26" t="str">
        <v>GATE; MELHORIA; NAVIS N4; SOLICITANTE: AMANDUS; TI</v>
      </c>
      <c r="H20" s="21">
        <v>1502</v>
      </c>
      <c r="I20" s="22" t="str">
        <v>Incluir CNPJ do solicitante na tela do processo</v>
      </c>
      <c r="J20" s="21" t="str">
        <v>Em Desenvolvimento</v>
      </c>
      <c r="K20" s="21" t="str">
        <v>Matheus Henrique Falcão Santos</v>
      </c>
      <c r="L20" s="28" t="str">
        <v>ATENDIMENTO; MELHORIA; SOLICITANTE: WESLEY; SPRINT_1</v>
      </c>
      <c r="M20" t="b">
        <f t="shared" si="0"/>
        <v>0</v>
      </c>
    </row>
    <row r="21" spans="2:30" x14ac:dyDescent="0.25">
      <c r="B21" s="21">
        <v>1469</v>
      </c>
      <c r="C21" s="21" t="str">
        <v>Atualizacao Cadastral Empresa</v>
      </c>
      <c r="D21" s="21" t="str">
        <v>Release</v>
      </c>
      <c r="E21" t="str">
        <v>Rafael Marcello</v>
      </c>
      <c r="F21" s="26" t="str">
        <v>FATURAMENTO; MELHORIA; SOLICITANTE : EDINALDO</v>
      </c>
      <c r="H21" s="21">
        <v>1503</v>
      </c>
      <c r="I21" s="22" t="str">
        <v>Incluir Histórico de motivo cancelamentos no processo</v>
      </c>
      <c r="J21" s="21" t="str">
        <v>Em Desenvolvimento</v>
      </c>
      <c r="K21" s="21" t="str">
        <v>Vinícius Birsenek de Moraes</v>
      </c>
      <c r="L21" s="28" t="str">
        <v>ATENDIMENTO; SOLICITANTE: WESLEY; SPRINT_1</v>
      </c>
      <c r="M21" t="b">
        <f t="shared" si="0"/>
        <v>0</v>
      </c>
    </row>
    <row r="22" spans="2:30" x14ac:dyDescent="0.25">
      <c r="B22" s="21">
        <v>1486</v>
      </c>
      <c r="C22" s="21" t="str">
        <v>Adicionar Motivo cancelamento no Portal para agendamentos Linear</v>
      </c>
      <c r="D22" s="21" t="str">
        <v>Release</v>
      </c>
      <c r="E22" s="21" t="str">
        <v>Vinícius Francisco de Sousa Pereira</v>
      </c>
      <c r="F22" s="26" t="str">
        <v>ATENDIMENTO; GROOVY; PORTAL; PRIORIZADO; SOLICITANTE: AMANDUS</v>
      </c>
      <c r="H22" s="21">
        <v>1530</v>
      </c>
      <c r="I22" s="22" t="str">
        <v xml:space="preserve">20252030758-Cobrança incorreta por etiqueta </v>
      </c>
      <c r="J22" s="21" t="str">
        <v>Em Desenvolvimento</v>
      </c>
      <c r="K22" s="21" t="str">
        <v>Rafael Marcello</v>
      </c>
      <c r="L22" s="28" t="str">
        <v>FATURAMENTO; PORTAL; PRIORIZADO; SOLICITANTE: ANTONIA; SPRINT_1; URGÊNTE</v>
      </c>
      <c r="M22" t="b">
        <f t="shared" si="0"/>
        <v>1</v>
      </c>
      <c r="X22" s="1" t="s">
        <v>371</v>
      </c>
      <c r="Y22" s="1"/>
      <c r="Z22" s="1"/>
      <c r="AA22" s="1" t="s">
        <v>372</v>
      </c>
      <c r="AB22" s="1"/>
      <c r="AC22" s="1"/>
      <c r="AD22" s="1" t="s">
        <v>373</v>
      </c>
    </row>
    <row r="23" spans="2:30" x14ac:dyDescent="0.25">
      <c r="B23" s="21">
        <v>1501</v>
      </c>
      <c r="C23" s="21" t="str">
        <v>Reincidência - Impossibilidade de re agendar processo cancelado via OCR</v>
      </c>
      <c r="D23" s="21" t="str">
        <v>Release</v>
      </c>
      <c r="E23" s="21" t="str">
        <v>Vinícius Francisco de Sousa Pereira</v>
      </c>
      <c r="F23" s="26" t="str">
        <v>ATENDIMENTO; PORTAL; SOLICITANTE: KATIA</v>
      </c>
      <c r="H23" s="21">
        <v>1374</v>
      </c>
      <c r="I23" s="22" t="str">
        <v>Relatório de Bookings</v>
      </c>
      <c r="J23" s="21" t="str">
        <v>Homologação</v>
      </c>
      <c r="K23" s="21" t="str">
        <v>Matheus Henrique Falcão Santos</v>
      </c>
      <c r="L23" s="28" t="str">
        <v>ATENDIMENTO; MELHORIA; PORTAL; SOLICITANTE: RUBIA</v>
      </c>
      <c r="M23" t="b">
        <f t="shared" si="0"/>
        <v>0</v>
      </c>
    </row>
    <row r="24" spans="2:30" x14ac:dyDescent="0.25">
      <c r="B24" s="21">
        <v>1510</v>
      </c>
      <c r="C24" s="21" t="str">
        <v>Unidades não retoram DUE</v>
      </c>
      <c r="D24" s="21" t="str">
        <v>Release</v>
      </c>
      <c r="E24" s="21" t="str">
        <v>Vinícius Birsenek de Moraes</v>
      </c>
      <c r="F24" s="26" t="str">
        <v>ANÁLISE; COMEX; N4; SOLICITANTE: JOSIAS</v>
      </c>
      <c r="H24" s="21">
        <v>1479</v>
      </c>
      <c r="I24" s="22" t="str">
        <v>Cancelamento OCR não gera No Show</v>
      </c>
      <c r="J24" s="21" t="str">
        <v>Homologação</v>
      </c>
      <c r="K24" s="21" t="str">
        <v>DANTON DA ROSA ABREU</v>
      </c>
      <c r="L24" s="28" t="str">
        <v>ATENDIMENTO; ERRO; N4; SOLICITANTE: WESLEY</v>
      </c>
      <c r="M24" t="b">
        <f t="shared" si="0"/>
        <v>0</v>
      </c>
    </row>
    <row r="25" spans="2:30" x14ac:dyDescent="0.25">
      <c r="B25" s="21">
        <v>1515</v>
      </c>
      <c r="C25" s="21" t="str">
        <v>APS - Unidades sem integração: TCNU1422541 e HLBU3226399</v>
      </c>
      <c r="D25" s="21" t="str">
        <v>Release</v>
      </c>
      <c r="E25" s="21" t="str">
        <v>Vinícius Birsenek de Moraes</v>
      </c>
      <c r="F25" s="26" t="str">
        <v>ERRO_USUARIO; N4; OPERAÇÃO; SOLICITANTE: FELIPE</v>
      </c>
      <c r="H25" s="21">
        <v>1490</v>
      </c>
      <c r="I25" s="22" t="str">
        <v>Customização da Billing API</v>
      </c>
      <c r="J25" s="21" t="str">
        <v>Homologação</v>
      </c>
      <c r="K25" s="21" t="str">
        <v>Rafael Marcello</v>
      </c>
      <c r="L25" s="28" t="str">
        <v>BENNER; BILLING; FATURAMENTO; MELHORIA; PRIORIZADO; SOLICITANTE : EDINALDO</v>
      </c>
      <c r="M25" t="b">
        <f t="shared" si="0"/>
        <v>1</v>
      </c>
    </row>
    <row r="26" spans="2:30" x14ac:dyDescent="0.25">
      <c r="B26" s="21">
        <v>1192</v>
      </c>
      <c r="C26" s="21" t="str">
        <v>Projeto - Processo de Retirada</v>
      </c>
      <c r="D26" s="21" t="str">
        <v>Release</v>
      </c>
      <c r="E26" s="21" t="str">
        <v>Vinícius Francisco de Sousa Pereira</v>
      </c>
      <c r="F26" s="26" t="str">
        <v>CONTROLE; MELHORIA; OPERAÇÃO; SOLICITANTE: BRUNO DUARTE</v>
      </c>
      <c r="H26" s="21">
        <v>1373</v>
      </c>
      <c r="I26" s="22" t="str">
        <v>Relatório de agendamentos</v>
      </c>
      <c r="J26" s="21" t="str">
        <v>Homologação</v>
      </c>
      <c r="K26" s="21" t="str">
        <v>Matheus Henrique Falcão Santos</v>
      </c>
      <c r="L26" s="28" t="str">
        <v>ATENDIMENTO; MELHORIA; PORTAL; SOLICITANTE: RUBIA</v>
      </c>
    </row>
    <row r="27" spans="2:30" x14ac:dyDescent="0.25">
      <c r="B27" s="21">
        <v>1495</v>
      </c>
      <c r="C27" s="21" t="str">
        <v>Faturamento consolidado inconsistente ao gerar adicional</v>
      </c>
      <c r="D27" s="21" t="str">
        <v>Release</v>
      </c>
      <c r="E27" s="21" t="str">
        <v>Pedro Marini Nave</v>
      </c>
      <c r="F27" s="26" t="str">
        <v>FATURAMENTO; PORTAL; SOLICITANTE: ANTONIA</v>
      </c>
      <c r="H27" s="21">
        <v>1411</v>
      </c>
      <c r="I27" s="22" t="str">
        <v>Customização para replace de campos da MoveHistory para ChargeableUnitEvents</v>
      </c>
      <c r="J27" s="21" t="str">
        <v>Homologação</v>
      </c>
      <c r="K27" s="21" t="str">
        <v>DANTON DA ROSA ABREU</v>
      </c>
      <c r="L27" s="28" t="str">
        <v>FATURAMENTO; GROOVY; MELHORIA; N4; SOLICITANTE: EDINALDO</v>
      </c>
    </row>
    <row r="28" spans="2:30" x14ac:dyDescent="0.25">
      <c r="B28" s="21">
        <v>1523</v>
      </c>
      <c r="C28" s="21" t="str">
        <v xml:space="preserve">CtrlAgendamento - Ajuste TimeExtract </v>
      </c>
      <c r="D28" s="21" t="str">
        <v>Release</v>
      </c>
      <c r="E28" s="21" t="str">
        <v>DANTON DA ROSA ABREU</v>
      </c>
      <c r="F28" s="26" t="str">
        <v>CtrlAgengdamento; OPERAÇÃO; SOLICITANTE: AMANDUS</v>
      </c>
      <c r="H28" s="21">
        <v>1416</v>
      </c>
      <c r="I28" s="22" t="str">
        <v>Relatório Consulta de Booking não retorna os dados esperados</v>
      </c>
      <c r="J28" s="21" t="str">
        <v>Homologação</v>
      </c>
      <c r="K28" s="21" t="str">
        <v>Matheus Henrique Falcão Santos</v>
      </c>
      <c r="L28" s="28" t="str">
        <v>ATENDIMENTO; ERRO; PORTAL; SOLICITANTE: WESLEY</v>
      </c>
    </row>
    <row r="29" spans="2:30" x14ac:dyDescent="0.25">
      <c r="B29" s="21">
        <v>1529</v>
      </c>
      <c r="C29" s="21" t="str">
        <v xml:space="preserve"> Extrator - Envio de pesagem para veiculos Service</v>
      </c>
      <c r="D29" s="21" t="str">
        <v>Release</v>
      </c>
      <c r="E29" s="21" t="str">
        <v>Vinícius Birsenek de Moraes</v>
      </c>
      <c r="F29" s="26" t="str">
        <v>Extrator; MELHORIA; RECEITA; SOLICITANTE: AMANDUS</v>
      </c>
      <c r="H29" s="21">
        <v>1426</v>
      </c>
      <c r="I29" s="22" t="str">
        <v>BillingApi - Ajuste Endpoint Navio e Viagem - Adicionar campos viagemCodigoEntrada e viagemCodigoSaida</v>
      </c>
      <c r="J29" s="21" t="str">
        <v>Homologação</v>
      </c>
      <c r="K29" s="21" t="str">
        <v>Rafael Marcello</v>
      </c>
      <c r="L29" s="28" t="str">
        <v>BILLING; FATURAMENTO; MELHORIA; PRIORIZADO; SOLICITANTE: EDINALDO</v>
      </c>
    </row>
    <row r="30" spans="2:30" x14ac:dyDescent="0.25">
      <c r="B30" s="21"/>
      <c r="C30" s="21"/>
      <c r="D30" s="21"/>
      <c r="E30" s="21"/>
      <c r="F30" s="26"/>
      <c r="H30" s="21">
        <v>1485</v>
      </c>
      <c r="I30" s="22" t="str">
        <v>Correção alterarção de categoria da unidade na leitura do siscarga</v>
      </c>
      <c r="J30" s="21" t="str">
        <v>Homologação</v>
      </c>
      <c r="K30" s="21" t="str">
        <v>Weslley Gonçalves Silva</v>
      </c>
      <c r="L30" s="28" t="str">
        <v>COMEX; EDI; ERRO; SISCARGA; SOLICITANTE: JOSIAS</v>
      </c>
    </row>
    <row r="31" spans="2:30" x14ac:dyDescent="0.25">
      <c r="B31" s="21"/>
      <c r="C31" s="21"/>
      <c r="D31" s="21"/>
      <c r="E31" s="21"/>
      <c r="F31" s="26"/>
      <c r="H31" s="21">
        <v>1494</v>
      </c>
      <c r="I31" s="22" t="str">
        <v>Notificação de abertura do processo. - DUIMP porto público</v>
      </c>
      <c r="J31" s="21" t="str">
        <v>Homologação</v>
      </c>
      <c r="K31" s="21" t="str">
        <v>Matheus Henrique Falcão Santos</v>
      </c>
      <c r="L31" s="28" t="str">
        <v>BUG; COMEX; PORTAL; SOLICITANTE: JOSIAS</v>
      </c>
    </row>
    <row r="32" spans="2:30" x14ac:dyDescent="0.25">
      <c r="B32" s="21"/>
      <c r="C32" s="21"/>
      <c r="D32" s="21"/>
      <c r="E32" s="21"/>
      <c r="F32" s="26"/>
      <c r="H32" s="21">
        <v>1363</v>
      </c>
      <c r="I32" s="22" t="str">
        <v>Relatório Unidades Exportação</v>
      </c>
      <c r="J32" s="21" t="str">
        <v>Homologação</v>
      </c>
      <c r="K32" s="21" t="str">
        <v>Matheus Henrique Falcão Santos</v>
      </c>
      <c r="L32" s="28" t="str">
        <v>FATURAMENTO; MELHORIA; PORTAL; SOLICITANTE : JOÃO</v>
      </c>
    </row>
    <row r="33" spans="2:12" x14ac:dyDescent="0.25">
      <c r="B33" s="21"/>
      <c r="C33" s="21"/>
      <c r="D33" s="21"/>
      <c r="E33" s="21"/>
      <c r="F33" s="26"/>
      <c r="H33" s="21">
        <v>1508</v>
      </c>
      <c r="I33" s="22" t="str">
        <v>Aprovação Documental não atualiza status no banco</v>
      </c>
      <c r="J33" s="21" t="str">
        <v>Homologação</v>
      </c>
      <c r="K33" s="21" t="str">
        <v>Vinícius Birsenek de Moraes</v>
      </c>
      <c r="L33" s="28" t="str">
        <v>COMEX; SOLICITANTE: JOSIAS</v>
      </c>
    </row>
    <row r="34" spans="2:12" x14ac:dyDescent="0.25">
      <c r="B34" s="21"/>
      <c r="C34" s="21"/>
      <c r="D34" s="21"/>
      <c r="E34" s="21"/>
      <c r="F34" s="26"/>
      <c r="H34" s="21">
        <v>1516</v>
      </c>
      <c r="I34" s="22" t="str">
        <v>Liberação de Documentação sem unidade</v>
      </c>
      <c r="J34" s="21" t="str">
        <v>Homologação</v>
      </c>
      <c r="K34" s="21" t="str">
        <v>Vinícius Francisco de Sousa Pereira</v>
      </c>
      <c r="L34" s="28" t="str">
        <v>ATENDIMENTO; PORTAL; SOLICITANTE: WESLEY</v>
      </c>
    </row>
    <row r="35" spans="2:12" x14ac:dyDescent="0.25">
      <c r="B35" s="21"/>
      <c r="C35" s="21"/>
      <c r="D35" s="21"/>
      <c r="E35" s="21"/>
      <c r="F35" s="26"/>
      <c r="H35" s="21">
        <v>1518</v>
      </c>
      <c r="I35" s="22" t="str">
        <v>Faturamento aprovado com BL incorreto</v>
      </c>
      <c r="J35" s="21" t="str">
        <v>Homologação</v>
      </c>
      <c r="K35" s="21" t="str">
        <v>Vinícius Birsenek de Moraes</v>
      </c>
      <c r="L35" s="28" t="str">
        <v>COMEX; SOLICITANTE: JOSIAS</v>
      </c>
    </row>
    <row r="36" spans="2:12" x14ac:dyDescent="0.25">
      <c r="B36" s="21"/>
      <c r="C36" s="21"/>
      <c r="D36" s="21"/>
      <c r="E36" s="21"/>
      <c r="F36" s="26"/>
      <c r="H36" s="21">
        <v>1521</v>
      </c>
      <c r="I36" s="22" t="str">
        <v>Aprovação de Liberação Documental de BL em 2 processos</v>
      </c>
      <c r="J36" s="21" t="str">
        <v>Homologação</v>
      </c>
      <c r="K36" s="21" t="str">
        <v>Vinícius Francisco de Sousa Pereira</v>
      </c>
      <c r="L36" s="28" t="str">
        <v>COMEX; PORTAL; SOLICITANTE: JOSIAS</v>
      </c>
    </row>
    <row r="37" spans="2:12" x14ac:dyDescent="0.25">
      <c r="B37" s="21"/>
      <c r="C37" s="21"/>
      <c r="D37" s="21"/>
      <c r="E37" s="21"/>
      <c r="F37" s="26"/>
      <c r="H37" s="21"/>
      <c r="I37" s="22"/>
      <c r="J37" s="21"/>
      <c r="K37" s="21"/>
    </row>
    <row r="38" spans="2:12" x14ac:dyDescent="0.25">
      <c r="B38" s="21"/>
      <c r="C38" s="21"/>
      <c r="D38" s="21"/>
      <c r="E38" s="21"/>
      <c r="F38" s="26"/>
      <c r="H38" s="21"/>
      <c r="I38" s="22"/>
      <c r="J38" s="21"/>
      <c r="K38" s="21"/>
    </row>
    <row r="39" spans="2:12" x14ac:dyDescent="0.25">
      <c r="B39" s="21"/>
      <c r="C39" s="21"/>
      <c r="D39" s="21"/>
      <c r="E39" s="21"/>
      <c r="F39" s="26"/>
      <c r="H39" s="21"/>
      <c r="I39" s="22"/>
      <c r="J39" s="21"/>
      <c r="K39" s="21"/>
    </row>
    <row r="40" spans="2:12" x14ac:dyDescent="0.25">
      <c r="B40" s="21"/>
      <c r="C40" s="21"/>
      <c r="D40" s="21"/>
      <c r="E40" s="21"/>
      <c r="H40" s="21"/>
      <c r="I40" s="22"/>
      <c r="J40" s="21"/>
      <c r="K40" s="21"/>
    </row>
    <row r="41" spans="2:12" x14ac:dyDescent="0.25">
      <c r="B41" s="21"/>
      <c r="C41" s="21"/>
      <c r="D41" s="21"/>
      <c r="E41" s="21"/>
      <c r="H41" s="21"/>
      <c r="I41" s="22"/>
      <c r="J41" s="21"/>
      <c r="K41" s="21"/>
    </row>
    <row r="42" spans="2:12" x14ac:dyDescent="0.25">
      <c r="B42" s="21"/>
      <c r="C42" s="21"/>
      <c r="D42" s="21"/>
      <c r="E42" s="21"/>
      <c r="H42" s="21"/>
      <c r="I42" s="22"/>
      <c r="J42" s="21"/>
      <c r="K42" s="21"/>
    </row>
    <row r="43" spans="2:12" x14ac:dyDescent="0.25">
      <c r="B43" s="21"/>
      <c r="C43" s="21"/>
      <c r="D43" s="21"/>
      <c r="E43" s="21"/>
      <c r="H43" s="21"/>
      <c r="I43" s="22"/>
      <c r="J43" s="21"/>
      <c r="K43" s="21"/>
    </row>
    <row r="44" spans="2:12" x14ac:dyDescent="0.25">
      <c r="B44" s="21"/>
      <c r="C44" s="21"/>
      <c r="D44" s="21"/>
      <c r="E44" s="21"/>
      <c r="H44" s="21"/>
      <c r="I44" s="22"/>
      <c r="J44" s="21"/>
      <c r="K44" s="21"/>
    </row>
    <row r="45" spans="2:12" x14ac:dyDescent="0.25">
      <c r="B45" s="21"/>
      <c r="C45" s="21"/>
      <c r="D45" s="21"/>
      <c r="E45" s="21"/>
      <c r="H45" s="21"/>
      <c r="I45" s="22"/>
      <c r="J45" s="21"/>
      <c r="K45" s="21"/>
    </row>
    <row r="46" spans="2:12" x14ac:dyDescent="0.25">
      <c r="B46" s="21"/>
      <c r="C46" s="21"/>
      <c r="D46" s="21"/>
      <c r="E46" s="21"/>
      <c r="H46" s="21"/>
      <c r="I46" s="22"/>
      <c r="J46" s="21"/>
      <c r="K46" s="21"/>
    </row>
    <row r="47" spans="2:12" x14ac:dyDescent="0.25">
      <c r="B47" s="21"/>
      <c r="C47" s="21"/>
      <c r="D47" s="21"/>
      <c r="E47" s="21"/>
      <c r="H47" s="21"/>
      <c r="I47" s="22"/>
      <c r="J47" s="21"/>
      <c r="K47" s="21"/>
    </row>
    <row r="48" spans="2:12" x14ac:dyDescent="0.25">
      <c r="B48" s="21"/>
      <c r="C48" s="21"/>
      <c r="D48" s="21"/>
      <c r="E48" s="21"/>
      <c r="H48" s="21"/>
      <c r="I48" s="22"/>
      <c r="J48" s="21"/>
      <c r="K48" s="21"/>
    </row>
    <row r="49" spans="2:11" x14ac:dyDescent="0.25">
      <c r="B49" s="21"/>
      <c r="C49" s="21"/>
      <c r="D49" s="21"/>
      <c r="E49" s="21"/>
      <c r="H49" s="21"/>
      <c r="I49" s="22"/>
      <c r="J49" s="21"/>
      <c r="K49" s="21"/>
    </row>
    <row r="50" spans="2:11" x14ac:dyDescent="0.25">
      <c r="B50" s="21"/>
      <c r="C50" s="21"/>
      <c r="D50" s="21"/>
      <c r="E50" s="21"/>
      <c r="H50" s="21"/>
      <c r="I50" s="22"/>
      <c r="J50" s="21"/>
      <c r="K50" s="21"/>
    </row>
    <row r="51" spans="2:11" x14ac:dyDescent="0.25">
      <c r="B51" s="21"/>
      <c r="C51" s="21"/>
      <c r="D51" s="21"/>
      <c r="E51" s="21"/>
      <c r="H51" s="21"/>
      <c r="I51" s="22"/>
      <c r="J51" s="21"/>
      <c r="K51" s="21"/>
    </row>
    <row r="52" spans="2:11" x14ac:dyDescent="0.25">
      <c r="B52" s="21"/>
      <c r="C52" s="21"/>
      <c r="D52" s="21"/>
      <c r="E52" s="21"/>
      <c r="H52" s="21"/>
      <c r="I52" s="22"/>
      <c r="J52" s="21"/>
      <c r="K52" s="21"/>
    </row>
    <row r="53" spans="2:11" x14ac:dyDescent="0.25">
      <c r="B53" s="21"/>
      <c r="C53" s="21"/>
      <c r="D53" s="21"/>
      <c r="E53" s="21"/>
      <c r="H53" s="21"/>
      <c r="I53" s="22"/>
      <c r="J53" s="21"/>
      <c r="K53" s="21"/>
    </row>
    <row r="54" spans="2:11" x14ac:dyDescent="0.25">
      <c r="B54" s="21"/>
      <c r="C54" s="21"/>
      <c r="D54" s="21"/>
      <c r="E54" s="21"/>
      <c r="H54" s="21"/>
      <c r="I54" s="22"/>
      <c r="J54" s="21"/>
      <c r="K54" s="21"/>
    </row>
    <row r="55" spans="2:11" x14ac:dyDescent="0.25">
      <c r="B55" s="21"/>
      <c r="C55" s="21"/>
      <c r="D55" s="21"/>
      <c r="E55" s="21"/>
      <c r="H55" s="21"/>
      <c r="I55" s="22"/>
      <c r="J55" s="21"/>
      <c r="K55" s="21"/>
    </row>
    <row r="56" spans="2:11" x14ac:dyDescent="0.25">
      <c r="B56" s="21"/>
      <c r="C56" s="21"/>
      <c r="D56" s="21"/>
      <c r="E56" s="21"/>
      <c r="H56" s="21"/>
      <c r="I56" s="22"/>
      <c r="J56" s="21"/>
      <c r="K56" s="21"/>
    </row>
  </sheetData>
  <mergeCells count="8">
    <mergeCell ref="H13:K13"/>
    <mergeCell ref="B13:E13"/>
    <mergeCell ref="Y1:Z1"/>
    <mergeCell ref="AB1:AC1"/>
    <mergeCell ref="AE1:AF1"/>
    <mergeCell ref="Y10:Z10"/>
    <mergeCell ref="AB10:AC10"/>
    <mergeCell ref="AE10:AF10"/>
  </mergeCells>
  <conditionalFormatting sqref="B15:F20 B21:D22 F21:F22 B23:F1048576">
    <cfRule type="expression" dxfId="4" priority="3">
      <formula>ISNUMBER(FIND("PRIORIZADO",F15))</formula>
    </cfRule>
  </conditionalFormatting>
  <conditionalFormatting sqref="E22">
    <cfRule type="expression" dxfId="3" priority="6">
      <formula>ISNUMBER(FIND("PRIORIZADO",I21))</formula>
    </cfRule>
  </conditionalFormatting>
  <conditionalFormatting sqref="H15:M1048576">
    <cfRule type="expression" dxfId="2" priority="4">
      <formula>ISNUMBER(FIND("PRIORIZADO",L15))</formula>
    </cfRule>
  </conditionalFormatting>
  <conditionalFormatting sqref="J1:J1048576">
    <cfRule type="cellIs" dxfId="1" priority="1" operator="equal">
      <formula>"HOMOLOGAÇÃO"</formula>
    </cfRule>
  </conditionalFormatting>
  <conditionalFormatting sqref="L14:M14">
    <cfRule type="expression" dxfId="0" priority="2">
      <formula>ISNUMBER(FIND("PRIORIZADO",P14))</formula>
    </cfRule>
  </conditionalFormatting>
  <pageMargins left="0.511811024" right="0.511811024" top="0.78740157499999996" bottom="0.78740157499999996" header="0.31496062000000002" footer="0.31496062000000002"/>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73535-7326-476D-9C10-015E282628EB}">
  <dimension ref="A1:UV22"/>
  <sheetViews>
    <sheetView workbookViewId="0"/>
  </sheetViews>
  <sheetFormatPr defaultRowHeight="15" x14ac:dyDescent="0.25"/>
  <cols>
    <col min="1" max="4" width="200.7109375" customWidth="1"/>
  </cols>
  <sheetData>
    <row r="1" spans="1:568" x14ac:dyDescent="0.25">
      <c r="A1" s="1" t="s">
        <v>56</v>
      </c>
      <c r="B1" s="2" t="b">
        <v>0</v>
      </c>
      <c r="C1" s="139">
        <v>45667.695474537039</v>
      </c>
      <c r="D1" s="4" t="s">
        <v>56</v>
      </c>
      <c r="E1" s="1" t="s">
        <v>179</v>
      </c>
      <c r="F1" s="1" t="s">
        <v>179</v>
      </c>
      <c r="G1" s="1" t="s">
        <v>61</v>
      </c>
      <c r="H1" s="1" t="s">
        <v>61</v>
      </c>
      <c r="I1" s="1" t="s">
        <v>179</v>
      </c>
      <c r="J1" s="1" t="s">
        <v>179</v>
      </c>
      <c r="K1" s="2">
        <v>1</v>
      </c>
      <c r="L1" s="1" t="s">
        <v>179</v>
      </c>
      <c r="M1" s="2">
        <v>0</v>
      </c>
      <c r="N1" s="2">
        <v>1</v>
      </c>
      <c r="O1" s="1" t="s">
        <v>179</v>
      </c>
      <c r="P1" s="1" t="s">
        <v>177</v>
      </c>
      <c r="Q1" s="1" t="s">
        <v>179</v>
      </c>
      <c r="R1" s="1" t="s">
        <v>179</v>
      </c>
      <c r="S1" s="1" t="s">
        <v>179</v>
      </c>
      <c r="T1" s="1" t="s">
        <v>179</v>
      </c>
      <c r="U1" s="1" t="s">
        <v>177</v>
      </c>
      <c r="V1" s="1" t="s">
        <v>179</v>
      </c>
      <c r="W1" s="1" t="s">
        <v>179</v>
      </c>
      <c r="X1" s="1" t="s">
        <v>179</v>
      </c>
      <c r="Y1" s="1" t="s">
        <v>179</v>
      </c>
      <c r="Z1" s="1" t="s">
        <v>185</v>
      </c>
      <c r="AA1" s="2">
        <v>1</v>
      </c>
      <c r="AB1" s="2">
        <v>0</v>
      </c>
      <c r="AC1" s="1" t="s">
        <v>179</v>
      </c>
      <c r="AD1" s="1" t="s">
        <v>177</v>
      </c>
      <c r="AE1" s="1" t="s">
        <v>179</v>
      </c>
      <c r="AF1" s="1" t="s">
        <v>179</v>
      </c>
      <c r="AG1" s="1" t="s">
        <v>179</v>
      </c>
      <c r="AH1" s="1" t="s">
        <v>179</v>
      </c>
      <c r="AI1" s="1" t="s">
        <v>179</v>
      </c>
      <c r="AJ1" s="1" t="s">
        <v>179</v>
      </c>
      <c r="AN1" s="1" t="s">
        <v>179</v>
      </c>
      <c r="AO1" s="1" t="s">
        <v>179</v>
      </c>
      <c r="AT1" s="1" t="s">
        <v>179</v>
      </c>
      <c r="AW1" s="1" t="s">
        <v>185</v>
      </c>
      <c r="AY1" s="2">
        <v>1</v>
      </c>
      <c r="BA1" s="2">
        <v>0</v>
      </c>
      <c r="BC1" s="1" t="s">
        <v>179</v>
      </c>
      <c r="BE1" s="1" t="s">
        <v>177</v>
      </c>
      <c r="BH1" s="1" t="s">
        <v>179</v>
      </c>
      <c r="BL1" s="1" t="s">
        <v>179</v>
      </c>
      <c r="BP1" s="1" t="s">
        <v>179</v>
      </c>
      <c r="BS1" s="1" t="s">
        <v>192</v>
      </c>
      <c r="CA1" s="1" t="s">
        <v>179</v>
      </c>
      <c r="CH1" s="1" t="s">
        <v>185</v>
      </c>
      <c r="CM1" s="2">
        <v>1</v>
      </c>
      <c r="CQ1" s="2">
        <v>0</v>
      </c>
      <c r="CV1" s="1" t="s">
        <v>179</v>
      </c>
      <c r="CZ1" s="1" t="s">
        <v>177</v>
      </c>
      <c r="DD1" s="1" t="s">
        <v>179</v>
      </c>
      <c r="DG1" s="1" t="s">
        <v>179</v>
      </c>
      <c r="DJ1" s="1" t="s">
        <v>198</v>
      </c>
      <c r="DM1" s="1" t="s">
        <v>179</v>
      </c>
      <c r="DP1" s="1" t="s">
        <v>179</v>
      </c>
      <c r="DS1" s="1" t="s">
        <v>185</v>
      </c>
      <c r="DX1" s="1" t="s">
        <v>192</v>
      </c>
      <c r="EA1" s="1" t="s">
        <v>61</v>
      </c>
      <c r="EB1" s="1" t="s">
        <v>61</v>
      </c>
      <c r="EK1" s="1" t="s">
        <v>179</v>
      </c>
      <c r="EN1" s="2">
        <v>1</v>
      </c>
      <c r="EO1" s="1" t="s">
        <v>179</v>
      </c>
      <c r="ER1" s="1" t="s">
        <v>177</v>
      </c>
      <c r="ES1" s="2">
        <v>1</v>
      </c>
      <c r="ET1" s="1" t="s">
        <v>177</v>
      </c>
      <c r="EV1" s="1" t="s">
        <v>179</v>
      </c>
      <c r="EW1" s="1" t="s">
        <v>61</v>
      </c>
      <c r="EX1" s="1" t="s">
        <v>61</v>
      </c>
      <c r="EZ1" s="1" t="s">
        <v>179</v>
      </c>
      <c r="FB1" s="1" t="s">
        <v>179</v>
      </c>
      <c r="FD1" s="2">
        <v>0</v>
      </c>
      <c r="FF1" s="1" t="s">
        <v>179</v>
      </c>
      <c r="FH1" s="1" t="s">
        <v>179</v>
      </c>
      <c r="FI1" s="1" t="s">
        <v>185</v>
      </c>
      <c r="FK1" s="1" t="s">
        <v>177</v>
      </c>
      <c r="FL1" s="1" t="s">
        <v>179</v>
      </c>
      <c r="FN1" s="2">
        <v>1</v>
      </c>
      <c r="FO1" s="1" t="s">
        <v>179</v>
      </c>
      <c r="FP1" s="2">
        <v>1</v>
      </c>
      <c r="FR1" s="1" t="s">
        <v>179</v>
      </c>
      <c r="FS1" s="1" t="s">
        <v>177</v>
      </c>
      <c r="FU1" s="1" t="s">
        <v>177</v>
      </c>
      <c r="FV1" s="1" t="s">
        <v>179</v>
      </c>
      <c r="FW1" s="1" t="s">
        <v>179</v>
      </c>
      <c r="FX1" s="2">
        <v>1</v>
      </c>
      <c r="FZ1" s="1" t="s">
        <v>179</v>
      </c>
      <c r="GA1" s="1" t="s">
        <v>179</v>
      </c>
      <c r="GC1" s="2">
        <v>0</v>
      </c>
      <c r="GD1" s="1" t="s">
        <v>179</v>
      </c>
      <c r="GF1" s="1" t="s">
        <v>179</v>
      </c>
      <c r="GG1" s="2">
        <v>0</v>
      </c>
      <c r="GI1" s="1" t="s">
        <v>185</v>
      </c>
      <c r="GJ1" s="1" t="s">
        <v>179</v>
      </c>
      <c r="GL1" s="1" t="s">
        <v>179</v>
      </c>
      <c r="GM1" s="1" t="s">
        <v>185</v>
      </c>
      <c r="GQ1" s="1" t="s">
        <v>177</v>
      </c>
      <c r="GR1" s="1" t="s">
        <v>179</v>
      </c>
      <c r="GS1" s="2">
        <v>1</v>
      </c>
      <c r="GT1" s="2">
        <v>1</v>
      </c>
      <c r="GU1" s="1" t="s">
        <v>179</v>
      </c>
      <c r="GV1" s="1" t="s">
        <v>177</v>
      </c>
      <c r="GW1" s="1" t="s">
        <v>179</v>
      </c>
      <c r="GX1" s="1" t="s">
        <v>179</v>
      </c>
      <c r="GY1" s="1" t="s">
        <v>179</v>
      </c>
      <c r="GZ1" s="1" t="s">
        <v>179</v>
      </c>
      <c r="HA1" s="2">
        <v>0</v>
      </c>
      <c r="HB1" s="1" t="s">
        <v>179</v>
      </c>
      <c r="HC1" s="1" t="s">
        <v>179</v>
      </c>
      <c r="HE1" s="1" t="s">
        <v>192</v>
      </c>
      <c r="HF1" s="1" t="s">
        <v>185</v>
      </c>
      <c r="HJ1" s="2">
        <v>0</v>
      </c>
      <c r="HL1" s="1" t="s">
        <v>179</v>
      </c>
      <c r="HN1" s="1" t="s">
        <v>179</v>
      </c>
      <c r="HO1" s="1" t="s">
        <v>177</v>
      </c>
      <c r="HQ1" s="1" t="s">
        <v>185</v>
      </c>
      <c r="HR1" s="2">
        <v>1</v>
      </c>
      <c r="HU1" s="1" t="s">
        <v>179</v>
      </c>
      <c r="HW1" s="1" t="s">
        <v>179</v>
      </c>
      <c r="HY1" s="2">
        <v>1</v>
      </c>
      <c r="HZ1" s="1" t="s">
        <v>179</v>
      </c>
      <c r="IC1" s="1" t="s">
        <v>177</v>
      </c>
      <c r="ID1" s="1" t="s">
        <v>179</v>
      </c>
      <c r="IE1" s="1" t="s">
        <v>179</v>
      </c>
      <c r="IG1" s="1" t="s">
        <v>179</v>
      </c>
      <c r="IH1" s="1" t="s">
        <v>192</v>
      </c>
      <c r="IJ1" s="1" t="s">
        <v>179</v>
      </c>
      <c r="IK1" s="2">
        <v>0</v>
      </c>
      <c r="IM1" s="1" t="s">
        <v>198</v>
      </c>
      <c r="IN1" s="1" t="s">
        <v>179</v>
      </c>
      <c r="IP1" s="1" t="s">
        <v>179</v>
      </c>
      <c r="IQ1" s="1" t="s">
        <v>185</v>
      </c>
      <c r="IS1" s="2">
        <v>0</v>
      </c>
      <c r="IT1" s="1" t="s">
        <v>179</v>
      </c>
      <c r="JK1" s="1" t="s">
        <v>179</v>
      </c>
      <c r="JM1" s="1" t="s">
        <v>177</v>
      </c>
      <c r="JP1" s="1" t="s">
        <v>185</v>
      </c>
      <c r="JQ1" s="2">
        <v>1</v>
      </c>
      <c r="JT1" s="1" t="s">
        <v>192</v>
      </c>
      <c r="JV1" s="1" t="s">
        <v>179</v>
      </c>
      <c r="KC1" s="1" t="s">
        <v>179</v>
      </c>
      <c r="KF1" s="1" t="s">
        <v>198</v>
      </c>
      <c r="KI1" s="1" t="s">
        <v>179</v>
      </c>
      <c r="KL1" s="2">
        <v>0</v>
      </c>
      <c r="KO1" s="1" t="s">
        <v>179</v>
      </c>
      <c r="KR1" s="1" t="s">
        <v>185</v>
      </c>
      <c r="KU1" s="1" t="s">
        <v>192</v>
      </c>
      <c r="MK1" s="1" t="s">
        <v>179</v>
      </c>
      <c r="ML1" s="1" t="s">
        <v>179</v>
      </c>
      <c r="MT1" s="1" t="s">
        <v>61</v>
      </c>
      <c r="MU1" s="2">
        <v>1</v>
      </c>
      <c r="MY1" s="1" t="s">
        <v>61</v>
      </c>
      <c r="NN1" s="1" t="s">
        <v>179</v>
      </c>
      <c r="NP1" s="1" t="s">
        <v>179</v>
      </c>
      <c r="NQ1" s="1" t="s">
        <v>179</v>
      </c>
      <c r="NU1" s="1" t="s">
        <v>177</v>
      </c>
      <c r="NY1" s="1" t="s">
        <v>179</v>
      </c>
      <c r="OB1" s="2">
        <v>1</v>
      </c>
      <c r="OC1" s="1" t="s">
        <v>179</v>
      </c>
      <c r="OE1" s="1" t="s">
        <v>179</v>
      </c>
      <c r="OF1" s="1" t="s">
        <v>745</v>
      </c>
      <c r="OG1" s="1" t="s">
        <v>179</v>
      </c>
      <c r="OH1" s="1" t="s">
        <v>177</v>
      </c>
      <c r="OI1" s="1" t="s">
        <v>745</v>
      </c>
      <c r="OK1" s="1" t="s">
        <v>179</v>
      </c>
      <c r="OL1" s="1" t="s">
        <v>745</v>
      </c>
      <c r="ON1" s="1" t="s">
        <v>745</v>
      </c>
      <c r="OO1" s="1" t="s">
        <v>179</v>
      </c>
      <c r="OQ1" s="2">
        <v>0</v>
      </c>
      <c r="OR1" s="1" t="s">
        <v>179</v>
      </c>
      <c r="OT1" s="1" t="s">
        <v>179</v>
      </c>
      <c r="OU1" s="1" t="s">
        <v>179</v>
      </c>
      <c r="OW1" s="1" t="s">
        <v>185</v>
      </c>
      <c r="OZ1" s="2">
        <v>1</v>
      </c>
      <c r="PC1" s="1" t="s">
        <v>179</v>
      </c>
      <c r="PE1" s="1" t="s">
        <v>179</v>
      </c>
      <c r="PH1" s="1" t="s">
        <v>177</v>
      </c>
      <c r="PJ1" s="1" t="s">
        <v>179</v>
      </c>
      <c r="PK1" s="1" t="s">
        <v>179</v>
      </c>
      <c r="PM1" s="1" t="s">
        <v>179</v>
      </c>
      <c r="PN1" s="1" t="s">
        <v>179</v>
      </c>
      <c r="PO1" s="1" t="s">
        <v>179</v>
      </c>
      <c r="PR1" s="1" t="s">
        <v>179</v>
      </c>
      <c r="PT1" s="1" t="s">
        <v>179</v>
      </c>
      <c r="PU1" s="2">
        <v>0</v>
      </c>
      <c r="PX1" s="1" t="s">
        <v>179</v>
      </c>
      <c r="PY1" s="1" t="s">
        <v>185</v>
      </c>
      <c r="QA1" s="2">
        <v>1</v>
      </c>
      <c r="QB1" s="1" t="s">
        <v>179</v>
      </c>
      <c r="QD1" s="1" t="s">
        <v>177</v>
      </c>
      <c r="QE1" s="1" t="s">
        <v>179</v>
      </c>
      <c r="QG1" s="1" t="s">
        <v>179</v>
      </c>
      <c r="QH1" s="1" t="s">
        <v>179</v>
      </c>
      <c r="QJ1" s="1" t="s">
        <v>192</v>
      </c>
      <c r="QK1" s="2">
        <v>0</v>
      </c>
      <c r="QL1" s="1" t="s">
        <v>179</v>
      </c>
      <c r="QM1" s="1" t="s">
        <v>179</v>
      </c>
      <c r="QN1" s="1" t="s">
        <v>185</v>
      </c>
      <c r="QP1" s="2">
        <v>1</v>
      </c>
      <c r="QQ1" s="1" t="s">
        <v>179</v>
      </c>
      <c r="QS1" s="1" t="s">
        <v>177</v>
      </c>
      <c r="QT1" s="1" t="s">
        <v>179</v>
      </c>
      <c r="QV1" s="1" t="s">
        <v>179</v>
      </c>
      <c r="QW1" s="1" t="s">
        <v>198</v>
      </c>
      <c r="QX1" s="1" t="s">
        <v>179</v>
      </c>
      <c r="QY1" s="1" t="s">
        <v>179</v>
      </c>
      <c r="QZ1" s="2">
        <v>0</v>
      </c>
      <c r="RA1" s="1" t="s">
        <v>179</v>
      </c>
      <c r="RB1" s="1" t="s">
        <v>185</v>
      </c>
      <c r="RC1" s="1" t="s">
        <v>192</v>
      </c>
      <c r="RJ1" s="1" t="s">
        <v>179</v>
      </c>
      <c r="RR1" s="1" t="s">
        <v>179</v>
      </c>
      <c r="RT1" s="1" t="s">
        <v>985</v>
      </c>
      <c r="RU1" s="1" t="s">
        <v>867</v>
      </c>
      <c r="RW1" s="1" t="s">
        <v>179</v>
      </c>
      <c r="RX1" s="1" t="s">
        <v>802</v>
      </c>
      <c r="RY1" s="1" t="s">
        <v>802</v>
      </c>
      <c r="RZ1" s="1" t="s">
        <v>802</v>
      </c>
      <c r="SA1" s="1" t="s">
        <v>476</v>
      </c>
      <c r="SB1" s="1" t="s">
        <v>476</v>
      </c>
      <c r="SC1" s="1" t="s">
        <v>476</v>
      </c>
      <c r="SD1" s="1" t="s">
        <v>179</v>
      </c>
      <c r="SG1" s="1" t="s">
        <v>179</v>
      </c>
      <c r="SK1" s="1" t="s">
        <v>179</v>
      </c>
      <c r="SL1" s="1" t="s">
        <v>179</v>
      </c>
      <c r="SO1" s="1" t="s">
        <v>179</v>
      </c>
      <c r="SP1" s="1" t="s">
        <v>179</v>
      </c>
      <c r="SR1" s="1"/>
      <c r="SS1" s="1" t="s">
        <v>179</v>
      </c>
      <c r="ST1" s="1" t="s">
        <v>179</v>
      </c>
      <c r="SU1" s="1" t="s">
        <v>179</v>
      </c>
      <c r="TE1" s="1" t="s">
        <v>735</v>
      </c>
      <c r="UO1" s="1" t="s">
        <v>179</v>
      </c>
      <c r="UP1" s="1" t="s">
        <v>179</v>
      </c>
      <c r="UQ1" s="1" t="s">
        <v>179</v>
      </c>
      <c r="UR1" s="1" t="s">
        <v>179</v>
      </c>
      <c r="US1" s="1" t="s">
        <v>179</v>
      </c>
      <c r="UT1" s="1" t="s">
        <v>179</v>
      </c>
      <c r="UU1" s="1" t="s">
        <v>179</v>
      </c>
      <c r="UV1" s="1" t="s">
        <v>179</v>
      </c>
    </row>
    <row r="2" spans="1:568" x14ac:dyDescent="0.25">
      <c r="A2" t="s">
        <v>57</v>
      </c>
      <c r="B2" t="s">
        <v>58</v>
      </c>
      <c r="C2" t="s">
        <v>59</v>
      </c>
      <c r="D2" t="s">
        <v>60</v>
      </c>
      <c r="E2" s="1" t="s">
        <v>380</v>
      </c>
      <c r="F2" s="1" t="s">
        <v>380</v>
      </c>
      <c r="G2" s="1" t="s">
        <v>62</v>
      </c>
      <c r="H2" s="1" t="s">
        <v>514</v>
      </c>
      <c r="I2" s="1" t="s">
        <v>380</v>
      </c>
      <c r="J2" s="1" t="s">
        <v>380</v>
      </c>
      <c r="K2" s="2">
        <v>2</v>
      </c>
      <c r="L2" s="1" t="s">
        <v>380</v>
      </c>
      <c r="M2" s="2">
        <v>1</v>
      </c>
      <c r="N2" s="2">
        <v>2</v>
      </c>
      <c r="O2" s="1" t="s">
        <v>380</v>
      </c>
      <c r="P2" s="1" t="s">
        <v>80</v>
      </c>
      <c r="Q2" s="1" t="s">
        <v>380</v>
      </c>
      <c r="R2" s="1" t="s">
        <v>380</v>
      </c>
      <c r="S2" s="1" t="s">
        <v>380</v>
      </c>
      <c r="T2" s="1" t="s">
        <v>380</v>
      </c>
      <c r="U2" s="1" t="s">
        <v>80</v>
      </c>
      <c r="V2" s="1" t="s">
        <v>380</v>
      </c>
      <c r="W2" s="1" t="s">
        <v>380</v>
      </c>
      <c r="X2" s="1" t="s">
        <v>380</v>
      </c>
      <c r="Y2" s="1" t="s">
        <v>380</v>
      </c>
      <c r="Z2" s="1" t="s">
        <v>86</v>
      </c>
      <c r="AA2" s="2">
        <v>2</v>
      </c>
      <c r="AB2" s="2">
        <v>1</v>
      </c>
      <c r="AC2" s="1" t="s">
        <v>380</v>
      </c>
      <c r="AD2" s="1" t="s">
        <v>80</v>
      </c>
      <c r="AE2" s="1" t="s">
        <v>380</v>
      </c>
      <c r="AF2" s="1" t="s">
        <v>380</v>
      </c>
      <c r="AG2" s="1" t="s">
        <v>380</v>
      </c>
      <c r="AH2" s="1" t="s">
        <v>380</v>
      </c>
      <c r="AI2" s="1" t="s">
        <v>380</v>
      </c>
      <c r="AJ2" s="1" t="s">
        <v>380</v>
      </c>
      <c r="AN2" s="1" t="s">
        <v>380</v>
      </c>
      <c r="AO2" s="1" t="s">
        <v>380</v>
      </c>
      <c r="AT2" s="1" t="s">
        <v>380</v>
      </c>
      <c r="AW2" s="1" t="s">
        <v>86</v>
      </c>
      <c r="AY2" s="2">
        <v>2</v>
      </c>
      <c r="BA2" s="2">
        <v>1</v>
      </c>
      <c r="BC2" s="1" t="s">
        <v>380</v>
      </c>
      <c r="BE2" s="1" t="s">
        <v>80</v>
      </c>
      <c r="BH2" s="1" t="s">
        <v>380</v>
      </c>
      <c r="BL2" s="1" t="s">
        <v>380</v>
      </c>
      <c r="BP2" s="1" t="s">
        <v>380</v>
      </c>
      <c r="BS2" s="1" t="s">
        <v>193</v>
      </c>
      <c r="CA2" s="1" t="s">
        <v>380</v>
      </c>
      <c r="CH2" s="1" t="s">
        <v>86</v>
      </c>
      <c r="CM2" s="2">
        <v>2</v>
      </c>
      <c r="CQ2" s="2">
        <v>1</v>
      </c>
      <c r="CV2" s="1" t="s">
        <v>380</v>
      </c>
      <c r="CZ2" s="1" t="s">
        <v>80</v>
      </c>
      <c r="DD2" s="1" t="s">
        <v>380</v>
      </c>
      <c r="DG2" s="1" t="s">
        <v>380</v>
      </c>
      <c r="DJ2" s="1" t="s">
        <v>47</v>
      </c>
      <c r="DM2" s="1" t="s">
        <v>380</v>
      </c>
      <c r="DP2" s="1" t="s">
        <v>380</v>
      </c>
      <c r="DS2" s="1" t="s">
        <v>86</v>
      </c>
      <c r="DX2" s="1" t="s">
        <v>193</v>
      </c>
      <c r="EA2" s="1" t="s">
        <v>62</v>
      </c>
      <c r="EB2" s="1" t="s">
        <v>514</v>
      </c>
      <c r="EK2" s="1" t="s">
        <v>380</v>
      </c>
      <c r="EN2" s="2">
        <v>2</v>
      </c>
      <c r="EO2" s="1" t="s">
        <v>380</v>
      </c>
      <c r="ER2" s="1" t="s">
        <v>80</v>
      </c>
      <c r="ES2" s="2">
        <v>2</v>
      </c>
      <c r="ET2" s="1" t="s">
        <v>80</v>
      </c>
      <c r="EV2" s="1" t="s">
        <v>380</v>
      </c>
      <c r="EW2" s="1" t="s">
        <v>62</v>
      </c>
      <c r="EX2" s="1" t="s">
        <v>514</v>
      </c>
      <c r="EZ2" s="1" t="s">
        <v>380</v>
      </c>
      <c r="FB2" s="1" t="s">
        <v>380</v>
      </c>
      <c r="FD2" s="2">
        <v>1</v>
      </c>
      <c r="FF2" s="1" t="s">
        <v>380</v>
      </c>
      <c r="FH2" s="1" t="s">
        <v>380</v>
      </c>
      <c r="FI2" s="1" t="s">
        <v>86</v>
      </c>
      <c r="FK2" s="1" t="s">
        <v>80</v>
      </c>
      <c r="FL2" s="1" t="s">
        <v>380</v>
      </c>
      <c r="FN2" s="2">
        <v>2</v>
      </c>
      <c r="FO2" s="1" t="s">
        <v>380</v>
      </c>
      <c r="FP2" s="2">
        <v>2</v>
      </c>
      <c r="FR2" s="1" t="s">
        <v>380</v>
      </c>
      <c r="FS2" s="1" t="s">
        <v>80</v>
      </c>
      <c r="FU2" s="1" t="s">
        <v>80</v>
      </c>
      <c r="FV2" s="1" t="s">
        <v>380</v>
      </c>
      <c r="FW2" s="1" t="s">
        <v>380</v>
      </c>
      <c r="FX2" s="2">
        <v>2</v>
      </c>
      <c r="FZ2" s="1" t="s">
        <v>380</v>
      </c>
      <c r="GA2" s="1" t="s">
        <v>380</v>
      </c>
      <c r="GC2" s="2">
        <v>1</v>
      </c>
      <c r="GD2" s="1" t="s">
        <v>380</v>
      </c>
      <c r="GF2" s="1" t="s">
        <v>380</v>
      </c>
      <c r="GG2" s="2">
        <v>1</v>
      </c>
      <c r="GI2" s="1" t="s">
        <v>86</v>
      </c>
      <c r="GJ2" s="1" t="s">
        <v>380</v>
      </c>
      <c r="GL2" s="1" t="s">
        <v>380</v>
      </c>
      <c r="GM2" s="1" t="s">
        <v>86</v>
      </c>
      <c r="GQ2" s="1" t="s">
        <v>80</v>
      </c>
      <c r="GR2" s="1" t="s">
        <v>380</v>
      </c>
      <c r="GS2" s="2">
        <v>2</v>
      </c>
      <c r="GT2" s="2">
        <v>2</v>
      </c>
      <c r="GU2" s="1" t="s">
        <v>380</v>
      </c>
      <c r="GV2" s="1" t="s">
        <v>80</v>
      </c>
      <c r="GW2" s="1" t="s">
        <v>380</v>
      </c>
      <c r="GX2" s="1" t="s">
        <v>380</v>
      </c>
      <c r="GY2" s="1" t="s">
        <v>380</v>
      </c>
      <c r="GZ2" s="1" t="s">
        <v>380</v>
      </c>
      <c r="HA2" s="2">
        <v>1</v>
      </c>
      <c r="HB2" s="1" t="s">
        <v>380</v>
      </c>
      <c r="HC2" s="1" t="s">
        <v>380</v>
      </c>
      <c r="HE2" s="1" t="s">
        <v>193</v>
      </c>
      <c r="HF2" s="1" t="s">
        <v>86</v>
      </c>
      <c r="HJ2" s="2">
        <v>1</v>
      </c>
      <c r="HL2" s="1" t="s">
        <v>380</v>
      </c>
      <c r="HN2" s="1" t="s">
        <v>380</v>
      </c>
      <c r="HO2" s="1" t="s">
        <v>80</v>
      </c>
      <c r="HQ2" s="1" t="s">
        <v>86</v>
      </c>
      <c r="HR2" s="2">
        <v>2</v>
      </c>
      <c r="HU2" s="1" t="s">
        <v>380</v>
      </c>
      <c r="HW2" s="1" t="s">
        <v>380</v>
      </c>
      <c r="HY2" s="2">
        <v>2</v>
      </c>
      <c r="HZ2" s="1" t="s">
        <v>380</v>
      </c>
      <c r="IC2" s="1" t="s">
        <v>80</v>
      </c>
      <c r="ID2" s="1" t="s">
        <v>180</v>
      </c>
      <c r="IE2" s="1" t="s">
        <v>380</v>
      </c>
      <c r="IG2" s="1" t="s">
        <v>380</v>
      </c>
      <c r="IH2" s="1" t="s">
        <v>193</v>
      </c>
      <c r="IJ2" s="1" t="s">
        <v>380</v>
      </c>
      <c r="IK2" s="2">
        <v>1</v>
      </c>
      <c r="IM2" s="1" t="s">
        <v>47</v>
      </c>
      <c r="IN2" s="1" t="s">
        <v>380</v>
      </c>
      <c r="IP2" s="1" t="s">
        <v>380</v>
      </c>
      <c r="IQ2" s="1" t="s">
        <v>86</v>
      </c>
      <c r="IS2" s="2">
        <v>1</v>
      </c>
      <c r="IT2" s="1" t="s">
        <v>380</v>
      </c>
      <c r="JK2" s="1" t="s">
        <v>380</v>
      </c>
      <c r="JM2" s="1" t="s">
        <v>80</v>
      </c>
      <c r="JP2" s="1" t="s">
        <v>86</v>
      </c>
      <c r="JQ2" s="2">
        <v>2</v>
      </c>
      <c r="JT2" s="1" t="s">
        <v>193</v>
      </c>
      <c r="JV2" s="1" t="s">
        <v>380</v>
      </c>
      <c r="KC2" s="1" t="s">
        <v>380</v>
      </c>
      <c r="KF2" s="1" t="s">
        <v>47</v>
      </c>
      <c r="KI2" s="1" t="s">
        <v>380</v>
      </c>
      <c r="KL2" s="2">
        <v>1</v>
      </c>
      <c r="KO2" s="1" t="s">
        <v>380</v>
      </c>
      <c r="KR2" s="1" t="s">
        <v>86</v>
      </c>
      <c r="KU2" s="1" t="s">
        <v>193</v>
      </c>
      <c r="MK2" s="1" t="s">
        <v>380</v>
      </c>
      <c r="ML2" s="1" t="s">
        <v>380</v>
      </c>
      <c r="MT2" s="1" t="s">
        <v>62</v>
      </c>
      <c r="MU2" s="2">
        <v>2</v>
      </c>
      <c r="MY2" s="1" t="s">
        <v>514</v>
      </c>
      <c r="NN2" s="1" t="s">
        <v>380</v>
      </c>
      <c r="NP2" s="1" t="s">
        <v>380</v>
      </c>
      <c r="NQ2" s="1" t="s">
        <v>380</v>
      </c>
      <c r="NU2" s="1" t="s">
        <v>80</v>
      </c>
      <c r="NY2" s="1" t="s">
        <v>380</v>
      </c>
      <c r="OB2" s="2">
        <v>2</v>
      </c>
      <c r="OC2" s="1" t="s">
        <v>380</v>
      </c>
      <c r="OE2" s="1" t="s">
        <v>380</v>
      </c>
      <c r="OF2" s="1" t="s">
        <v>317</v>
      </c>
      <c r="OG2" s="1" t="s">
        <v>380</v>
      </c>
      <c r="OH2" s="1" t="s">
        <v>80</v>
      </c>
      <c r="OI2" s="1" t="s">
        <v>317</v>
      </c>
      <c r="OK2" s="1" t="s">
        <v>380</v>
      </c>
      <c r="OL2" s="1" t="s">
        <v>317</v>
      </c>
      <c r="ON2" s="1" t="s">
        <v>317</v>
      </c>
      <c r="OO2" s="1" t="s">
        <v>380</v>
      </c>
      <c r="OQ2" s="2">
        <v>1</v>
      </c>
      <c r="OR2" s="1" t="s">
        <v>380</v>
      </c>
      <c r="OT2" s="1" t="s">
        <v>380</v>
      </c>
      <c r="OU2" s="1" t="s">
        <v>380</v>
      </c>
      <c r="OW2" s="1" t="s">
        <v>86</v>
      </c>
      <c r="OZ2" s="2">
        <v>2</v>
      </c>
      <c r="PC2" s="1" t="s">
        <v>380</v>
      </c>
      <c r="PE2" s="1" t="s">
        <v>380</v>
      </c>
      <c r="PH2" s="1" t="s">
        <v>80</v>
      </c>
      <c r="PJ2" s="1" t="s">
        <v>380</v>
      </c>
      <c r="PK2" s="1" t="s">
        <v>380</v>
      </c>
      <c r="PM2" s="1" t="s">
        <v>380</v>
      </c>
      <c r="PN2" s="1" t="s">
        <v>380</v>
      </c>
      <c r="PO2" s="1" t="s">
        <v>380</v>
      </c>
      <c r="PR2" s="1" t="s">
        <v>380</v>
      </c>
      <c r="PT2" s="1" t="s">
        <v>380</v>
      </c>
      <c r="PU2" s="2">
        <v>1</v>
      </c>
      <c r="PX2" s="1" t="s">
        <v>380</v>
      </c>
      <c r="PY2" s="1" t="s">
        <v>86</v>
      </c>
      <c r="QA2" s="2">
        <v>2</v>
      </c>
      <c r="QB2" s="1" t="s">
        <v>380</v>
      </c>
      <c r="QD2" s="1" t="s">
        <v>80</v>
      </c>
      <c r="QE2" s="1" t="s">
        <v>380</v>
      </c>
      <c r="QG2" s="1" t="s">
        <v>380</v>
      </c>
      <c r="QH2" s="1" t="s">
        <v>380</v>
      </c>
      <c r="QJ2" s="1" t="s">
        <v>193</v>
      </c>
      <c r="QK2" s="2">
        <v>1</v>
      </c>
      <c r="QL2" s="1" t="s">
        <v>380</v>
      </c>
      <c r="QM2" s="1" t="s">
        <v>380</v>
      </c>
      <c r="QN2" s="1" t="s">
        <v>86</v>
      </c>
      <c r="QP2" s="2">
        <v>2</v>
      </c>
      <c r="QQ2" s="1" t="s">
        <v>380</v>
      </c>
      <c r="QS2" s="1" t="s">
        <v>80</v>
      </c>
      <c r="QT2" s="1" t="s">
        <v>380</v>
      </c>
      <c r="QV2" s="1" t="s">
        <v>380</v>
      </c>
      <c r="QW2" s="1" t="s">
        <v>47</v>
      </c>
      <c r="QX2" s="1" t="s">
        <v>380</v>
      </c>
      <c r="QY2" s="1" t="s">
        <v>380</v>
      </c>
      <c r="QZ2" s="2">
        <v>1</v>
      </c>
      <c r="RA2" s="1" t="s">
        <v>380</v>
      </c>
      <c r="RB2" s="1" t="s">
        <v>86</v>
      </c>
      <c r="RC2" s="1" t="s">
        <v>193</v>
      </c>
      <c r="RJ2" s="1" t="s">
        <v>380</v>
      </c>
      <c r="RR2" s="1" t="s">
        <v>380</v>
      </c>
      <c r="RT2" s="1" t="s">
        <v>193</v>
      </c>
      <c r="RU2" s="1" t="s">
        <v>988</v>
      </c>
      <c r="RW2" s="1" t="s">
        <v>380</v>
      </c>
      <c r="RX2" s="1" t="s">
        <v>735</v>
      </c>
      <c r="RY2" s="1" t="s">
        <v>735</v>
      </c>
      <c r="RZ2" s="1" t="s">
        <v>735</v>
      </c>
      <c r="SA2" s="1" t="s">
        <v>323</v>
      </c>
      <c r="SB2" s="1" t="s">
        <v>323</v>
      </c>
      <c r="SC2" s="1" t="s">
        <v>323</v>
      </c>
      <c r="SD2" s="1" t="s">
        <v>380</v>
      </c>
      <c r="SG2" s="1" t="s">
        <v>380</v>
      </c>
      <c r="SK2" s="1" t="s">
        <v>380</v>
      </c>
      <c r="SL2" s="1" t="s">
        <v>380</v>
      </c>
      <c r="SO2" s="1" t="s">
        <v>380</v>
      </c>
      <c r="SP2" s="1" t="s">
        <v>380</v>
      </c>
      <c r="SR2" s="1" t="s">
        <v>1016</v>
      </c>
      <c r="SS2" s="1" t="s">
        <v>380</v>
      </c>
      <c r="ST2" s="1" t="s">
        <v>380</v>
      </c>
      <c r="SU2" s="1" t="s">
        <v>380</v>
      </c>
      <c r="TE2" s="1" t="s">
        <v>734</v>
      </c>
      <c r="UO2" s="1" t="s">
        <v>380</v>
      </c>
      <c r="UP2" s="1" t="s">
        <v>380</v>
      </c>
      <c r="UQ2" s="1" t="s">
        <v>380</v>
      </c>
      <c r="UR2" s="1" t="s">
        <v>380</v>
      </c>
      <c r="US2" s="1" t="s">
        <v>380</v>
      </c>
      <c r="UT2" s="1" t="s">
        <v>380</v>
      </c>
      <c r="UU2" s="1" t="s">
        <v>380</v>
      </c>
      <c r="UV2" s="1" t="s">
        <v>380</v>
      </c>
    </row>
    <row r="3" spans="1:568" x14ac:dyDescent="0.25">
      <c r="E3" s="1" t="s">
        <v>811</v>
      </c>
      <c r="F3" s="1" t="s">
        <v>81</v>
      </c>
      <c r="G3" s="1" t="s">
        <v>63</v>
      </c>
      <c r="H3" s="1" t="s">
        <v>515</v>
      </c>
      <c r="I3" s="1" t="s">
        <v>81</v>
      </c>
      <c r="J3" s="1" t="s">
        <v>81</v>
      </c>
      <c r="K3" s="2">
        <v>3</v>
      </c>
      <c r="L3" s="1" t="s">
        <v>81</v>
      </c>
      <c r="M3" t="s">
        <v>338</v>
      </c>
      <c r="N3" s="2">
        <v>3</v>
      </c>
      <c r="O3" s="1" t="s">
        <v>81</v>
      </c>
      <c r="P3" s="1" t="s">
        <v>178</v>
      </c>
      <c r="Q3" s="1" t="s">
        <v>81</v>
      </c>
      <c r="R3" s="1" t="s">
        <v>81</v>
      </c>
      <c r="S3" s="1" t="s">
        <v>81</v>
      </c>
      <c r="T3" s="1" t="s">
        <v>81</v>
      </c>
      <c r="U3" s="1" t="s">
        <v>178</v>
      </c>
      <c r="V3" s="1" t="s">
        <v>81</v>
      </c>
      <c r="W3" s="1" t="s">
        <v>81</v>
      </c>
      <c r="X3" s="1" t="s">
        <v>81</v>
      </c>
      <c r="Y3" s="1" t="s">
        <v>81</v>
      </c>
      <c r="Z3" s="1" t="s">
        <v>186</v>
      </c>
      <c r="AA3" s="2">
        <v>3</v>
      </c>
      <c r="AB3" t="s">
        <v>347</v>
      </c>
      <c r="AC3" s="1" t="s">
        <v>81</v>
      </c>
      <c r="AD3" s="1" t="s">
        <v>178</v>
      </c>
      <c r="AE3" s="1" t="s">
        <v>81</v>
      </c>
      <c r="AF3" s="1" t="s">
        <v>81</v>
      </c>
      <c r="AG3" s="1" t="s">
        <v>81</v>
      </c>
      <c r="AH3" s="1" t="s">
        <v>81</v>
      </c>
      <c r="AI3" s="1" t="s">
        <v>81</v>
      </c>
      <c r="AJ3" s="1" t="s">
        <v>81</v>
      </c>
      <c r="AN3" s="1" t="s">
        <v>81</v>
      </c>
      <c r="AO3" s="1" t="s">
        <v>81</v>
      </c>
      <c r="AT3" s="1" t="s">
        <v>81</v>
      </c>
      <c r="AW3" s="1" t="s">
        <v>186</v>
      </c>
      <c r="AY3" s="2">
        <v>3</v>
      </c>
      <c r="BA3" t="s">
        <v>357</v>
      </c>
      <c r="BC3" s="1" t="s">
        <v>81</v>
      </c>
      <c r="BE3" s="1" t="s">
        <v>178</v>
      </c>
      <c r="BH3" s="1" t="s">
        <v>81</v>
      </c>
      <c r="BL3" s="1" t="s">
        <v>81</v>
      </c>
      <c r="BP3" s="1" t="s">
        <v>81</v>
      </c>
      <c r="BS3" s="1" t="s">
        <v>194</v>
      </c>
      <c r="CA3" s="1" t="s">
        <v>81</v>
      </c>
      <c r="CH3" s="1" t="s">
        <v>186</v>
      </c>
      <c r="CM3" s="2">
        <v>3</v>
      </c>
      <c r="CQ3" t="s">
        <v>367</v>
      </c>
      <c r="CV3" s="1" t="s">
        <v>81</v>
      </c>
      <c r="CZ3" s="1" t="s">
        <v>178</v>
      </c>
      <c r="DD3" s="1" t="s">
        <v>81</v>
      </c>
      <c r="DG3" s="1" t="s">
        <v>81</v>
      </c>
      <c r="DJ3" s="1" t="s">
        <v>199</v>
      </c>
      <c r="DM3" s="1" t="s">
        <v>81</v>
      </c>
      <c r="DP3" s="1" t="s">
        <v>81</v>
      </c>
      <c r="DS3" s="1" t="s">
        <v>186</v>
      </c>
      <c r="DX3" s="1" t="s">
        <v>194</v>
      </c>
      <c r="EA3" s="1" t="s">
        <v>63</v>
      </c>
      <c r="EB3" s="1" t="s">
        <v>515</v>
      </c>
      <c r="EK3" s="1" t="s">
        <v>81</v>
      </c>
      <c r="EN3" s="2">
        <v>3</v>
      </c>
      <c r="EO3" s="1" t="s">
        <v>81</v>
      </c>
      <c r="ER3" s="1" t="s">
        <v>178</v>
      </c>
      <c r="ES3" s="2">
        <v>3</v>
      </c>
      <c r="ET3" s="1" t="s">
        <v>178</v>
      </c>
      <c r="EV3" s="1" t="s">
        <v>81</v>
      </c>
      <c r="EW3" s="1" t="s">
        <v>63</v>
      </c>
      <c r="EX3" s="1" t="s">
        <v>515</v>
      </c>
      <c r="EZ3" s="1" t="s">
        <v>81</v>
      </c>
      <c r="FB3" s="1" t="s">
        <v>81</v>
      </c>
      <c r="FD3" t="s">
        <v>282</v>
      </c>
      <c r="FF3" s="1" t="s">
        <v>81</v>
      </c>
      <c r="FH3" s="1" t="s">
        <v>81</v>
      </c>
      <c r="FI3" s="1" t="s">
        <v>186</v>
      </c>
      <c r="FK3" s="1" t="s">
        <v>178</v>
      </c>
      <c r="FL3" s="1" t="s">
        <v>81</v>
      </c>
      <c r="FN3" s="2">
        <v>3</v>
      </c>
      <c r="FO3" s="1" t="s">
        <v>81</v>
      </c>
      <c r="FP3" s="2">
        <v>3</v>
      </c>
      <c r="FR3" s="1" t="s">
        <v>81</v>
      </c>
      <c r="FS3" s="1" t="s">
        <v>178</v>
      </c>
      <c r="FU3" s="1" t="s">
        <v>178</v>
      </c>
      <c r="FV3" s="1" t="s">
        <v>81</v>
      </c>
      <c r="FW3" s="1" t="s">
        <v>81</v>
      </c>
      <c r="FX3" s="2">
        <v>3</v>
      </c>
      <c r="FZ3" s="1" t="s">
        <v>81</v>
      </c>
      <c r="GA3" s="1" t="s">
        <v>81</v>
      </c>
      <c r="GC3" t="s">
        <v>210</v>
      </c>
      <c r="GD3" s="1" t="s">
        <v>81</v>
      </c>
      <c r="GF3" s="1" t="s">
        <v>81</v>
      </c>
      <c r="GG3" t="s">
        <v>291</v>
      </c>
      <c r="GI3" s="1" t="s">
        <v>186</v>
      </c>
      <c r="GJ3" s="1" t="s">
        <v>81</v>
      </c>
      <c r="GL3" s="1" t="s">
        <v>81</v>
      </c>
      <c r="GM3" s="1" t="s">
        <v>186</v>
      </c>
      <c r="GQ3" s="1" t="s">
        <v>178</v>
      </c>
      <c r="GR3" s="1" t="s">
        <v>81</v>
      </c>
      <c r="GS3" s="2">
        <v>3</v>
      </c>
      <c r="GT3" s="2">
        <v>3</v>
      </c>
      <c r="GU3" s="1" t="s">
        <v>81</v>
      </c>
      <c r="GV3" s="1" t="s">
        <v>178</v>
      </c>
      <c r="GW3" s="1" t="s">
        <v>81</v>
      </c>
      <c r="GX3" s="1" t="s">
        <v>81</v>
      </c>
      <c r="GY3" s="1" t="s">
        <v>81</v>
      </c>
      <c r="GZ3" s="1" t="s">
        <v>81</v>
      </c>
      <c r="HA3" t="s">
        <v>219</v>
      </c>
      <c r="HB3" s="1" t="s">
        <v>81</v>
      </c>
      <c r="HC3" s="1" t="s">
        <v>81</v>
      </c>
      <c r="HE3" s="1" t="s">
        <v>194</v>
      </c>
      <c r="HF3" s="1" t="s">
        <v>186</v>
      </c>
      <c r="HJ3" t="s">
        <v>301</v>
      </c>
      <c r="HL3" s="1" t="s">
        <v>81</v>
      </c>
      <c r="HN3" s="1" t="s">
        <v>81</v>
      </c>
      <c r="HO3" s="1" t="s">
        <v>178</v>
      </c>
      <c r="HQ3" s="1" t="s">
        <v>186</v>
      </c>
      <c r="HR3" s="2">
        <v>3</v>
      </c>
      <c r="HU3" s="1" t="s">
        <v>81</v>
      </c>
      <c r="HW3" s="1" t="s">
        <v>81</v>
      </c>
      <c r="HY3" s="2">
        <v>3</v>
      </c>
      <c r="HZ3" s="1" t="s">
        <v>81</v>
      </c>
      <c r="IC3" s="1" t="s">
        <v>178</v>
      </c>
      <c r="ID3" s="1" t="s">
        <v>181</v>
      </c>
      <c r="IE3" s="1" t="s">
        <v>81</v>
      </c>
      <c r="IG3" s="1" t="s">
        <v>81</v>
      </c>
      <c r="IH3" s="1" t="s">
        <v>194</v>
      </c>
      <c r="IJ3" s="1" t="s">
        <v>81</v>
      </c>
      <c r="IK3" t="s">
        <v>229</v>
      </c>
      <c r="IM3" s="1" t="s">
        <v>199</v>
      </c>
      <c r="IN3" s="1" t="s">
        <v>81</v>
      </c>
      <c r="IP3" s="1" t="s">
        <v>81</v>
      </c>
      <c r="IQ3" s="1" t="s">
        <v>186</v>
      </c>
      <c r="IS3" t="s">
        <v>311</v>
      </c>
      <c r="IT3" s="1" t="s">
        <v>81</v>
      </c>
      <c r="JK3" s="1" t="s">
        <v>81</v>
      </c>
      <c r="JM3" s="1" t="s">
        <v>178</v>
      </c>
      <c r="JP3" s="1" t="s">
        <v>186</v>
      </c>
      <c r="JQ3" s="2">
        <v>3</v>
      </c>
      <c r="JT3" s="1" t="s">
        <v>194</v>
      </c>
      <c r="JV3" s="1" t="s">
        <v>81</v>
      </c>
      <c r="KC3" s="1" t="s">
        <v>81</v>
      </c>
      <c r="KF3" s="1" t="s">
        <v>199</v>
      </c>
      <c r="KI3" s="1" t="s">
        <v>81</v>
      </c>
      <c r="KL3" t="s">
        <v>239</v>
      </c>
      <c r="KO3" s="1" t="s">
        <v>81</v>
      </c>
      <c r="KR3" s="1" t="s">
        <v>186</v>
      </c>
      <c r="KU3" s="1" t="s">
        <v>194</v>
      </c>
      <c r="MK3" s="1" t="s">
        <v>81</v>
      </c>
      <c r="ML3" s="1" t="s">
        <v>81</v>
      </c>
      <c r="MT3" s="1" t="s">
        <v>63</v>
      </c>
      <c r="MU3" s="2">
        <v>3</v>
      </c>
      <c r="MY3" s="1" t="s">
        <v>515</v>
      </c>
      <c r="NN3" s="1" t="s">
        <v>81</v>
      </c>
      <c r="NP3" s="1" t="s">
        <v>81</v>
      </c>
      <c r="NQ3" s="1" t="s">
        <v>81</v>
      </c>
      <c r="NU3" s="1" t="s">
        <v>178</v>
      </c>
      <c r="NY3" s="1" t="s">
        <v>81</v>
      </c>
      <c r="OB3" s="2">
        <v>3</v>
      </c>
      <c r="OC3" s="1" t="s">
        <v>811</v>
      </c>
      <c r="OE3" s="1" t="s">
        <v>81</v>
      </c>
      <c r="OF3" s="1" t="s">
        <v>319</v>
      </c>
      <c r="OG3" s="1" t="s">
        <v>81</v>
      </c>
      <c r="OH3" s="1" t="s">
        <v>178</v>
      </c>
      <c r="OI3" s="1" t="s">
        <v>319</v>
      </c>
      <c r="OK3" s="1" t="s">
        <v>81</v>
      </c>
      <c r="OL3" s="1" t="s">
        <v>319</v>
      </c>
      <c r="ON3" s="1" t="s">
        <v>319</v>
      </c>
      <c r="OO3" s="1" t="s">
        <v>81</v>
      </c>
      <c r="OQ3" t="s">
        <v>413</v>
      </c>
      <c r="OR3" s="1" t="s">
        <v>81</v>
      </c>
      <c r="OT3" s="1" t="s">
        <v>81</v>
      </c>
      <c r="OU3" s="1" t="s">
        <v>81</v>
      </c>
      <c r="OW3" s="1" t="s">
        <v>186</v>
      </c>
      <c r="OZ3" s="2">
        <v>3</v>
      </c>
      <c r="PC3" s="1" t="s">
        <v>81</v>
      </c>
      <c r="PE3" s="1" t="s">
        <v>81</v>
      </c>
      <c r="PH3" s="1" t="s">
        <v>178</v>
      </c>
      <c r="PJ3" s="1" t="s">
        <v>81</v>
      </c>
      <c r="PK3" s="1" t="s">
        <v>81</v>
      </c>
      <c r="PM3" s="1" t="s">
        <v>81</v>
      </c>
      <c r="PN3" s="1" t="s">
        <v>81</v>
      </c>
      <c r="PO3" s="1" t="s">
        <v>81</v>
      </c>
      <c r="PR3" s="1" t="s">
        <v>81</v>
      </c>
      <c r="PT3" s="1" t="s">
        <v>81</v>
      </c>
      <c r="PU3" t="s">
        <v>422</v>
      </c>
      <c r="PX3" s="1" t="s">
        <v>81</v>
      </c>
      <c r="PY3" s="1" t="s">
        <v>186</v>
      </c>
      <c r="QA3" s="2">
        <v>3</v>
      </c>
      <c r="QB3" s="1" t="s">
        <v>81</v>
      </c>
      <c r="QD3" s="1" t="s">
        <v>178</v>
      </c>
      <c r="QE3" s="1" t="s">
        <v>81</v>
      </c>
      <c r="QG3" s="1" t="s">
        <v>81</v>
      </c>
      <c r="QH3" s="1" t="s">
        <v>81</v>
      </c>
      <c r="QJ3" s="1" t="s">
        <v>194</v>
      </c>
      <c r="QK3" t="s">
        <v>432</v>
      </c>
      <c r="QL3" s="1" t="s">
        <v>81</v>
      </c>
      <c r="QM3" s="1" t="s">
        <v>81</v>
      </c>
      <c r="QN3" s="1" t="s">
        <v>186</v>
      </c>
      <c r="QP3" s="2">
        <v>3</v>
      </c>
      <c r="QQ3" s="1" t="s">
        <v>81</v>
      </c>
      <c r="QS3" s="1" t="s">
        <v>178</v>
      </c>
      <c r="QT3" s="1" t="s">
        <v>81</v>
      </c>
      <c r="QV3" s="1" t="s">
        <v>81</v>
      </c>
      <c r="QW3" s="1" t="s">
        <v>199</v>
      </c>
      <c r="QX3" s="1" t="s">
        <v>811</v>
      </c>
      <c r="QY3" s="1" t="s">
        <v>81</v>
      </c>
      <c r="QZ3" t="s">
        <v>442</v>
      </c>
      <c r="RA3" s="1" t="s">
        <v>81</v>
      </c>
      <c r="RB3" s="1" t="s">
        <v>186</v>
      </c>
      <c r="RC3" s="1" t="s">
        <v>194</v>
      </c>
      <c r="RJ3" s="1" t="s">
        <v>811</v>
      </c>
      <c r="RR3" s="1" t="s">
        <v>811</v>
      </c>
      <c r="RT3" s="1" t="s">
        <v>986</v>
      </c>
      <c r="RU3" t="s">
        <v>989</v>
      </c>
      <c r="RW3" s="1" t="s">
        <v>811</v>
      </c>
      <c r="RX3" s="1" t="s">
        <v>734</v>
      </c>
      <c r="RY3" s="1" t="s">
        <v>734</v>
      </c>
      <c r="RZ3" s="1" t="s">
        <v>734</v>
      </c>
      <c r="SA3" s="1" t="s">
        <v>742</v>
      </c>
      <c r="SB3" s="1" t="s">
        <v>742</v>
      </c>
      <c r="SC3" s="1" t="s">
        <v>742</v>
      </c>
      <c r="SD3" s="1" t="s">
        <v>811</v>
      </c>
      <c r="SG3" s="1" t="s">
        <v>81</v>
      </c>
      <c r="SK3" s="1" t="s">
        <v>81</v>
      </c>
      <c r="SL3" s="1" t="s">
        <v>81</v>
      </c>
      <c r="SO3" s="1" t="s">
        <v>81</v>
      </c>
      <c r="SP3" s="1" t="s">
        <v>81</v>
      </c>
      <c r="SR3" t="s">
        <v>1017</v>
      </c>
      <c r="SS3" s="1" t="s">
        <v>81</v>
      </c>
      <c r="ST3" s="1" t="s">
        <v>81</v>
      </c>
      <c r="SU3" s="1" t="s">
        <v>81</v>
      </c>
      <c r="TE3" s="1" t="s">
        <v>737</v>
      </c>
      <c r="UO3" s="1" t="s">
        <v>81</v>
      </c>
      <c r="UP3" s="1" t="s">
        <v>81</v>
      </c>
      <c r="UQ3" s="1" t="s">
        <v>81</v>
      </c>
      <c r="UR3" s="1" t="s">
        <v>81</v>
      </c>
      <c r="US3" s="1" t="s">
        <v>811</v>
      </c>
      <c r="UT3" s="1" t="s">
        <v>811</v>
      </c>
      <c r="UU3" s="1" t="s">
        <v>811</v>
      </c>
      <c r="UV3" s="1" t="s">
        <v>811</v>
      </c>
    </row>
    <row r="4" spans="1:568" x14ac:dyDescent="0.25">
      <c r="E4" s="1" t="s">
        <v>81</v>
      </c>
      <c r="F4" s="1" t="s">
        <v>157</v>
      </c>
      <c r="G4" s="1" t="s">
        <v>64</v>
      </c>
      <c r="H4" s="1" t="s">
        <v>67</v>
      </c>
      <c r="I4" s="1" t="s">
        <v>1072</v>
      </c>
      <c r="J4" s="1" t="s">
        <v>157</v>
      </c>
      <c r="K4" s="2">
        <v>4</v>
      </c>
      <c r="L4" s="1" t="s">
        <v>1072</v>
      </c>
      <c r="N4" s="2">
        <v>4</v>
      </c>
      <c r="O4" s="1" t="s">
        <v>157</v>
      </c>
      <c r="P4" t="s">
        <v>333</v>
      </c>
      <c r="Q4" s="1" t="s">
        <v>157</v>
      </c>
      <c r="R4" s="1" t="s">
        <v>1072</v>
      </c>
      <c r="S4" s="1" t="s">
        <v>1072</v>
      </c>
      <c r="T4" s="1" t="s">
        <v>157</v>
      </c>
      <c r="U4" t="s">
        <v>331</v>
      </c>
      <c r="V4" s="1" t="s">
        <v>157</v>
      </c>
      <c r="W4" s="1" t="s">
        <v>157</v>
      </c>
      <c r="X4" s="1" t="s">
        <v>157</v>
      </c>
      <c r="Y4" s="1" t="s">
        <v>157</v>
      </c>
      <c r="Z4" s="1" t="s">
        <v>187</v>
      </c>
      <c r="AA4" s="2">
        <v>4</v>
      </c>
      <c r="AC4" s="1" t="s">
        <v>157</v>
      </c>
      <c r="AD4" t="s">
        <v>342</v>
      </c>
      <c r="AE4" s="1" t="s">
        <v>157</v>
      </c>
      <c r="AF4" s="1" t="s">
        <v>157</v>
      </c>
      <c r="AG4" s="1" t="s">
        <v>157</v>
      </c>
      <c r="AH4" s="1" t="s">
        <v>1072</v>
      </c>
      <c r="AI4" s="1" t="s">
        <v>1072</v>
      </c>
      <c r="AJ4" s="1" t="s">
        <v>157</v>
      </c>
      <c r="AN4" s="1" t="s">
        <v>157</v>
      </c>
      <c r="AO4" s="1" t="s">
        <v>157</v>
      </c>
      <c r="AT4" s="1" t="s">
        <v>157</v>
      </c>
      <c r="AW4" s="1" t="s">
        <v>187</v>
      </c>
      <c r="AY4" s="2">
        <v>4</v>
      </c>
      <c r="BC4" s="1" t="s">
        <v>157</v>
      </c>
      <c r="BE4" t="s">
        <v>351</v>
      </c>
      <c r="BH4" s="1" t="s">
        <v>157</v>
      </c>
      <c r="BL4" s="1" t="s">
        <v>157</v>
      </c>
      <c r="BP4" s="1" t="s">
        <v>157</v>
      </c>
      <c r="BS4" s="1" t="s">
        <v>195</v>
      </c>
      <c r="CA4" s="1" t="s">
        <v>157</v>
      </c>
      <c r="CH4" s="1" t="s">
        <v>187</v>
      </c>
      <c r="CM4" s="2">
        <v>4</v>
      </c>
      <c r="CV4" s="1" t="s">
        <v>157</v>
      </c>
      <c r="CZ4" t="s">
        <v>361</v>
      </c>
      <c r="DD4" s="1" t="s">
        <v>157</v>
      </c>
      <c r="DG4" s="1" t="s">
        <v>157</v>
      </c>
      <c r="DJ4" t="s">
        <v>365</v>
      </c>
      <c r="DM4" s="1" t="s">
        <v>157</v>
      </c>
      <c r="DP4" s="1" t="s">
        <v>157</v>
      </c>
      <c r="DS4" s="1" t="s">
        <v>187</v>
      </c>
      <c r="DX4" s="1" t="s">
        <v>195</v>
      </c>
      <c r="EA4" s="1" t="s">
        <v>64</v>
      </c>
      <c r="EB4" s="1" t="s">
        <v>67</v>
      </c>
      <c r="EK4" s="1" t="s">
        <v>157</v>
      </c>
      <c r="EN4" s="2">
        <v>4</v>
      </c>
      <c r="EO4" s="1" t="s">
        <v>157</v>
      </c>
      <c r="ER4" t="s">
        <v>277</v>
      </c>
      <c r="ES4" s="2">
        <v>4</v>
      </c>
      <c r="ET4" t="s">
        <v>763</v>
      </c>
      <c r="EV4" s="1" t="s">
        <v>157</v>
      </c>
      <c r="EW4" s="1" t="s">
        <v>64</v>
      </c>
      <c r="EX4" s="1" t="s">
        <v>67</v>
      </c>
      <c r="EZ4" s="1" t="s">
        <v>157</v>
      </c>
      <c r="FB4" s="1" t="s">
        <v>157</v>
      </c>
      <c r="FF4" s="1" t="s">
        <v>157</v>
      </c>
      <c r="FH4" s="1" t="s">
        <v>157</v>
      </c>
      <c r="FI4" s="1" t="s">
        <v>187</v>
      </c>
      <c r="FK4" t="s">
        <v>205</v>
      </c>
      <c r="FL4" s="1" t="s">
        <v>157</v>
      </c>
      <c r="FN4" s="2">
        <v>4</v>
      </c>
      <c r="FO4" s="1" t="s">
        <v>157</v>
      </c>
      <c r="FP4" s="2">
        <v>4</v>
      </c>
      <c r="FR4" s="1" t="s">
        <v>157</v>
      </c>
      <c r="FS4" t="s">
        <v>286</v>
      </c>
      <c r="FU4" t="s">
        <v>765</v>
      </c>
      <c r="FV4" s="1" t="s">
        <v>157</v>
      </c>
      <c r="FW4" s="1" t="s">
        <v>157</v>
      </c>
      <c r="FX4" s="2">
        <v>4</v>
      </c>
      <c r="FZ4" s="1" t="s">
        <v>157</v>
      </c>
      <c r="GA4" s="1" t="s">
        <v>157</v>
      </c>
      <c r="GD4" s="1" t="s">
        <v>157</v>
      </c>
      <c r="GF4" s="1" t="s">
        <v>157</v>
      </c>
      <c r="GI4" s="1" t="s">
        <v>187</v>
      </c>
      <c r="GJ4" s="1" t="s">
        <v>157</v>
      </c>
      <c r="GL4" s="1" t="s">
        <v>157</v>
      </c>
      <c r="GM4" s="1" t="s">
        <v>187</v>
      </c>
      <c r="GQ4" t="s">
        <v>214</v>
      </c>
      <c r="GR4" s="1" t="s">
        <v>157</v>
      </c>
      <c r="GS4" s="2">
        <v>4</v>
      </c>
      <c r="GT4" s="2">
        <v>4</v>
      </c>
      <c r="GU4" s="1" t="s">
        <v>157</v>
      </c>
      <c r="GV4" t="s">
        <v>295</v>
      </c>
      <c r="GW4" s="1" t="s">
        <v>157</v>
      </c>
      <c r="GX4" s="1" t="s">
        <v>157</v>
      </c>
      <c r="GY4" s="1" t="s">
        <v>157</v>
      </c>
      <c r="GZ4" s="1" t="s">
        <v>157</v>
      </c>
      <c r="HB4" s="1" t="s">
        <v>157</v>
      </c>
      <c r="HC4" s="1" t="s">
        <v>157</v>
      </c>
      <c r="HE4" s="1" t="s">
        <v>195</v>
      </c>
      <c r="HF4" s="1" t="s">
        <v>187</v>
      </c>
      <c r="HL4" s="1" t="s">
        <v>157</v>
      </c>
      <c r="HN4" s="1" t="s">
        <v>157</v>
      </c>
      <c r="HO4" t="s">
        <v>223</v>
      </c>
      <c r="HQ4" s="1" t="s">
        <v>187</v>
      </c>
      <c r="HR4" s="2">
        <v>4</v>
      </c>
      <c r="HU4" s="1" t="s">
        <v>157</v>
      </c>
      <c r="HW4" s="1" t="s">
        <v>157</v>
      </c>
      <c r="HY4" s="2">
        <v>4</v>
      </c>
      <c r="HZ4" s="1" t="s">
        <v>157</v>
      </c>
      <c r="IC4" t="s">
        <v>305</v>
      </c>
      <c r="ID4" s="1" t="s">
        <v>81</v>
      </c>
      <c r="IE4" s="1" t="s">
        <v>157</v>
      </c>
      <c r="IG4" s="1" t="s">
        <v>157</v>
      </c>
      <c r="IH4" s="1" t="s">
        <v>195</v>
      </c>
      <c r="IJ4" s="1" t="s">
        <v>157</v>
      </c>
      <c r="IM4" t="s">
        <v>309</v>
      </c>
      <c r="IN4" s="1" t="s">
        <v>157</v>
      </c>
      <c r="IP4" s="1" t="s">
        <v>157</v>
      </c>
      <c r="IQ4" s="1" t="s">
        <v>187</v>
      </c>
      <c r="IT4" s="1" t="s">
        <v>157</v>
      </c>
      <c r="JK4" s="1" t="s">
        <v>157</v>
      </c>
      <c r="JM4" t="s">
        <v>233</v>
      </c>
      <c r="JP4" s="1" t="s">
        <v>187</v>
      </c>
      <c r="JQ4" s="2">
        <v>4</v>
      </c>
      <c r="JT4" s="1" t="s">
        <v>195</v>
      </c>
      <c r="JV4" s="1" t="s">
        <v>157</v>
      </c>
      <c r="KC4" s="1" t="s">
        <v>157</v>
      </c>
      <c r="KF4" t="s">
        <v>237</v>
      </c>
      <c r="KI4" s="1" t="s">
        <v>157</v>
      </c>
      <c r="KO4" s="1" t="s">
        <v>157</v>
      </c>
      <c r="KR4" s="1" t="s">
        <v>187</v>
      </c>
      <c r="KU4" s="1" t="s">
        <v>195</v>
      </c>
      <c r="MK4" s="1" t="s">
        <v>157</v>
      </c>
      <c r="ML4" s="1" t="s">
        <v>157</v>
      </c>
      <c r="MT4" s="1" t="s">
        <v>64</v>
      </c>
      <c r="MU4" s="2">
        <v>4</v>
      </c>
      <c r="MY4" s="1" t="s">
        <v>67</v>
      </c>
      <c r="NN4" s="1" t="s">
        <v>157</v>
      </c>
      <c r="NP4" s="1" t="s">
        <v>157</v>
      </c>
      <c r="NQ4" s="1" t="s">
        <v>157</v>
      </c>
      <c r="NU4" t="s">
        <v>410</v>
      </c>
      <c r="NY4" s="1" t="s">
        <v>157</v>
      </c>
      <c r="OB4" s="2">
        <v>4</v>
      </c>
      <c r="OC4" s="1" t="s">
        <v>81</v>
      </c>
      <c r="OE4" s="1" t="s">
        <v>157</v>
      </c>
      <c r="OF4" s="1" t="s">
        <v>746</v>
      </c>
      <c r="OG4" s="1" t="s">
        <v>157</v>
      </c>
      <c r="OH4" t="s">
        <v>769</v>
      </c>
      <c r="OI4" s="1" t="s">
        <v>746</v>
      </c>
      <c r="OK4" s="1" t="s">
        <v>157</v>
      </c>
      <c r="OL4" s="1" t="s">
        <v>746</v>
      </c>
      <c r="ON4" s="1" t="s">
        <v>746</v>
      </c>
      <c r="OO4" s="1" t="s">
        <v>157</v>
      </c>
      <c r="OR4" s="1" t="s">
        <v>157</v>
      </c>
      <c r="OT4" s="1" t="s">
        <v>157</v>
      </c>
      <c r="OU4" s="1" t="s">
        <v>157</v>
      </c>
      <c r="OW4" s="1" t="s">
        <v>187</v>
      </c>
      <c r="OZ4" s="2">
        <v>4</v>
      </c>
      <c r="PC4" s="1" t="s">
        <v>157</v>
      </c>
      <c r="PE4" s="1" t="s">
        <v>157</v>
      </c>
      <c r="PH4" t="s">
        <v>418</v>
      </c>
      <c r="PJ4" s="1" t="s">
        <v>157</v>
      </c>
      <c r="PK4" s="1" t="s">
        <v>157</v>
      </c>
      <c r="PM4" s="1" t="s">
        <v>157</v>
      </c>
      <c r="PN4" s="1" t="s">
        <v>157</v>
      </c>
      <c r="PO4" s="1" t="s">
        <v>157</v>
      </c>
      <c r="PR4" s="1" t="s">
        <v>157</v>
      </c>
      <c r="PT4" s="1" t="s">
        <v>157</v>
      </c>
      <c r="PX4" s="1" t="s">
        <v>157</v>
      </c>
      <c r="PY4" s="1" t="s">
        <v>187</v>
      </c>
      <c r="QA4" s="2">
        <v>4</v>
      </c>
      <c r="QB4" s="1" t="s">
        <v>157</v>
      </c>
      <c r="QD4" t="s">
        <v>427</v>
      </c>
      <c r="QE4" s="1" t="s">
        <v>157</v>
      </c>
      <c r="QG4" s="1" t="s">
        <v>157</v>
      </c>
      <c r="QH4" s="1" t="s">
        <v>157</v>
      </c>
      <c r="QJ4" s="1" t="s">
        <v>195</v>
      </c>
      <c r="QL4" s="1" t="s">
        <v>157</v>
      </c>
      <c r="QM4" s="1" t="s">
        <v>157</v>
      </c>
      <c r="QN4" s="1" t="s">
        <v>187</v>
      </c>
      <c r="QP4" s="2">
        <v>4</v>
      </c>
      <c r="QQ4" s="1" t="s">
        <v>157</v>
      </c>
      <c r="QS4" t="s">
        <v>437</v>
      </c>
      <c r="QT4" s="1" t="s">
        <v>157</v>
      </c>
      <c r="QV4" s="1" t="s">
        <v>157</v>
      </c>
      <c r="QW4" t="s">
        <v>440</v>
      </c>
      <c r="QX4" s="1" t="s">
        <v>81</v>
      </c>
      <c r="QY4" s="1" t="s">
        <v>157</v>
      </c>
      <c r="RA4" s="1" t="s">
        <v>157</v>
      </c>
      <c r="RB4" s="1" t="s">
        <v>187</v>
      </c>
      <c r="RC4" s="1" t="s">
        <v>195</v>
      </c>
      <c r="RJ4" s="1" t="s">
        <v>81</v>
      </c>
      <c r="RR4" s="1" t="s">
        <v>81</v>
      </c>
      <c r="RT4" t="s">
        <v>987</v>
      </c>
      <c r="RW4" s="1" t="s">
        <v>81</v>
      </c>
      <c r="RX4" s="1" t="s">
        <v>737</v>
      </c>
      <c r="RY4" s="1" t="s">
        <v>737</v>
      </c>
      <c r="RZ4" s="1" t="s">
        <v>737</v>
      </c>
      <c r="SA4" t="s">
        <v>995</v>
      </c>
      <c r="SB4" t="s">
        <v>994</v>
      </c>
      <c r="SC4" t="s">
        <v>996</v>
      </c>
      <c r="SD4" s="1" t="s">
        <v>81</v>
      </c>
      <c r="SG4" s="1" t="s">
        <v>157</v>
      </c>
      <c r="SK4" s="1" t="s">
        <v>157</v>
      </c>
      <c r="SL4" s="1" t="s">
        <v>157</v>
      </c>
      <c r="SO4" s="1" t="s">
        <v>157</v>
      </c>
      <c r="SP4" s="1" t="s">
        <v>157</v>
      </c>
      <c r="SS4" s="1" t="s">
        <v>157</v>
      </c>
      <c r="ST4" s="1" t="s">
        <v>157</v>
      </c>
      <c r="SU4" s="1" t="s">
        <v>157</v>
      </c>
      <c r="TE4" s="1" t="s">
        <v>752</v>
      </c>
      <c r="UO4" s="1" t="s">
        <v>157</v>
      </c>
      <c r="UP4" s="1" t="s">
        <v>157</v>
      </c>
      <c r="UQ4" s="1" t="s">
        <v>157</v>
      </c>
      <c r="UR4" s="1" t="s">
        <v>157</v>
      </c>
      <c r="US4" s="1" t="s">
        <v>81</v>
      </c>
      <c r="UT4" s="1" t="s">
        <v>81</v>
      </c>
      <c r="UU4" s="1" t="s">
        <v>81</v>
      </c>
      <c r="UV4" s="1" t="s">
        <v>81</v>
      </c>
    </row>
    <row r="5" spans="1:568" x14ac:dyDescent="0.25">
      <c r="E5" s="1" t="s">
        <v>157</v>
      </c>
      <c r="F5" s="1" t="s">
        <v>446</v>
      </c>
      <c r="G5" s="1" t="s">
        <v>65</v>
      </c>
      <c r="H5" s="1" t="s">
        <v>68</v>
      </c>
      <c r="I5" s="1" t="s">
        <v>157</v>
      </c>
      <c r="J5" s="1" t="s">
        <v>446</v>
      </c>
      <c r="K5" t="s">
        <v>330</v>
      </c>
      <c r="L5" s="1" t="s">
        <v>157</v>
      </c>
      <c r="N5" t="s">
        <v>332</v>
      </c>
      <c r="O5" s="1" t="s">
        <v>446</v>
      </c>
      <c r="Q5" s="1" t="s">
        <v>446</v>
      </c>
      <c r="R5" s="1" t="s">
        <v>157</v>
      </c>
      <c r="S5" s="1" t="s">
        <v>157</v>
      </c>
      <c r="T5" s="1" t="s">
        <v>446</v>
      </c>
      <c r="V5" s="1" t="s">
        <v>446</v>
      </c>
      <c r="W5" s="1" t="s">
        <v>446</v>
      </c>
      <c r="X5" s="1" t="s">
        <v>446</v>
      </c>
      <c r="Y5" s="1" t="s">
        <v>446</v>
      </c>
      <c r="Z5" s="1" t="s">
        <v>188</v>
      </c>
      <c r="AA5" t="s">
        <v>341</v>
      </c>
      <c r="AC5" s="1" t="s">
        <v>446</v>
      </c>
      <c r="AE5" s="1" t="s">
        <v>446</v>
      </c>
      <c r="AF5" s="1" t="s">
        <v>446</v>
      </c>
      <c r="AG5" s="1" t="s">
        <v>446</v>
      </c>
      <c r="AH5" s="1" t="s">
        <v>157</v>
      </c>
      <c r="AI5" s="1" t="s">
        <v>157</v>
      </c>
      <c r="AJ5" s="1" t="s">
        <v>446</v>
      </c>
      <c r="AN5" s="1" t="s">
        <v>446</v>
      </c>
      <c r="AO5" s="1" t="s">
        <v>446</v>
      </c>
      <c r="AT5" s="1" t="s">
        <v>446</v>
      </c>
      <c r="AW5" s="1" t="s">
        <v>188</v>
      </c>
      <c r="AY5" t="s">
        <v>350</v>
      </c>
      <c r="BC5" s="1" t="s">
        <v>446</v>
      </c>
      <c r="BH5" s="1" t="s">
        <v>446</v>
      </c>
      <c r="BL5" s="1" t="s">
        <v>446</v>
      </c>
      <c r="BP5" s="1" t="s">
        <v>446</v>
      </c>
      <c r="BS5" s="1" t="s">
        <v>196</v>
      </c>
      <c r="CA5" s="1" t="s">
        <v>446</v>
      </c>
      <c r="CH5" s="1" t="s">
        <v>188</v>
      </c>
      <c r="CM5" t="s">
        <v>360</v>
      </c>
      <c r="CV5" s="1" t="s">
        <v>446</v>
      </c>
      <c r="DD5" s="1" t="s">
        <v>446</v>
      </c>
      <c r="DG5" s="1" t="s">
        <v>446</v>
      </c>
      <c r="DM5" s="1" t="s">
        <v>446</v>
      </c>
      <c r="DP5" s="1" t="s">
        <v>446</v>
      </c>
      <c r="DS5" s="1" t="s">
        <v>188</v>
      </c>
      <c r="DX5" s="1" t="s">
        <v>196</v>
      </c>
      <c r="EA5" s="1" t="s">
        <v>65</v>
      </c>
      <c r="EB5" s="1" t="s">
        <v>68</v>
      </c>
      <c r="EK5" s="1" t="s">
        <v>446</v>
      </c>
      <c r="EN5" t="s">
        <v>276</v>
      </c>
      <c r="EO5" s="1" t="s">
        <v>446</v>
      </c>
      <c r="ES5" t="s">
        <v>762</v>
      </c>
      <c r="EV5" s="1" t="s">
        <v>446</v>
      </c>
      <c r="EW5" s="1" t="s">
        <v>65</v>
      </c>
      <c r="EX5" s="1" t="s">
        <v>68</v>
      </c>
      <c r="EZ5" s="1" t="s">
        <v>446</v>
      </c>
      <c r="FB5" s="1" t="s">
        <v>446</v>
      </c>
      <c r="FF5" s="1" t="s">
        <v>446</v>
      </c>
      <c r="FH5" s="1" t="s">
        <v>446</v>
      </c>
      <c r="FI5" s="1" t="s">
        <v>188</v>
      </c>
      <c r="FL5" s="1" t="s">
        <v>446</v>
      </c>
      <c r="FN5" t="s">
        <v>204</v>
      </c>
      <c r="FO5" s="1" t="s">
        <v>446</v>
      </c>
      <c r="FP5" t="s">
        <v>285</v>
      </c>
      <c r="FR5" s="1" t="s">
        <v>446</v>
      </c>
      <c r="FV5" s="1" t="s">
        <v>446</v>
      </c>
      <c r="FW5" s="1" t="s">
        <v>446</v>
      </c>
      <c r="FX5" t="s">
        <v>766</v>
      </c>
      <c r="FZ5" s="1" t="s">
        <v>446</v>
      </c>
      <c r="GA5" s="1" t="s">
        <v>446</v>
      </c>
      <c r="GD5" s="1" t="s">
        <v>446</v>
      </c>
      <c r="GF5" s="1" t="s">
        <v>446</v>
      </c>
      <c r="GI5" s="1" t="s">
        <v>188</v>
      </c>
      <c r="GJ5" s="1" t="s">
        <v>446</v>
      </c>
      <c r="GL5" s="1" t="s">
        <v>446</v>
      </c>
      <c r="GM5" s="1" t="s">
        <v>188</v>
      </c>
      <c r="GR5" s="1" t="s">
        <v>446</v>
      </c>
      <c r="GS5" t="s">
        <v>213</v>
      </c>
      <c r="GT5" t="s">
        <v>294</v>
      </c>
      <c r="GU5" s="1" t="s">
        <v>446</v>
      </c>
      <c r="GW5" s="1" t="s">
        <v>446</v>
      </c>
      <c r="GX5" s="1" t="s">
        <v>446</v>
      </c>
      <c r="GY5" s="1" t="s">
        <v>446</v>
      </c>
      <c r="GZ5" s="1" t="s">
        <v>446</v>
      </c>
      <c r="HB5" s="1" t="s">
        <v>446</v>
      </c>
      <c r="HC5" s="1" t="s">
        <v>446</v>
      </c>
      <c r="HE5" s="1" t="s">
        <v>196</v>
      </c>
      <c r="HF5" s="1" t="s">
        <v>188</v>
      </c>
      <c r="HL5" s="1" t="s">
        <v>446</v>
      </c>
      <c r="HN5" s="1" t="s">
        <v>446</v>
      </c>
      <c r="HQ5" s="1" t="s">
        <v>188</v>
      </c>
      <c r="HR5" t="s">
        <v>222</v>
      </c>
      <c r="HU5" s="1" t="s">
        <v>446</v>
      </c>
      <c r="HW5" s="1" t="s">
        <v>446</v>
      </c>
      <c r="HY5" t="s">
        <v>304</v>
      </c>
      <c r="HZ5" s="1" t="s">
        <v>446</v>
      </c>
      <c r="ID5" s="1" t="s">
        <v>157</v>
      </c>
      <c r="IE5" s="1" t="s">
        <v>446</v>
      </c>
      <c r="IG5" s="1" t="s">
        <v>446</v>
      </c>
      <c r="IH5" s="1" t="s">
        <v>196</v>
      </c>
      <c r="IJ5" s="1" t="s">
        <v>446</v>
      </c>
      <c r="IN5" s="1" t="s">
        <v>446</v>
      </c>
      <c r="IP5" s="1" t="s">
        <v>446</v>
      </c>
      <c r="IQ5" s="1" t="s">
        <v>188</v>
      </c>
      <c r="IT5" s="1" t="s">
        <v>446</v>
      </c>
      <c r="JK5" s="1" t="s">
        <v>446</v>
      </c>
      <c r="JP5" s="1" t="s">
        <v>188</v>
      </c>
      <c r="JQ5" t="s">
        <v>232</v>
      </c>
      <c r="JT5" s="1" t="s">
        <v>196</v>
      </c>
      <c r="JV5" s="1" t="s">
        <v>446</v>
      </c>
      <c r="KC5" s="1" t="s">
        <v>446</v>
      </c>
      <c r="KI5" s="1" t="s">
        <v>446</v>
      </c>
      <c r="KO5" s="1" t="s">
        <v>446</v>
      </c>
      <c r="KR5" s="1" t="s">
        <v>188</v>
      </c>
      <c r="KU5" s="1" t="s">
        <v>196</v>
      </c>
      <c r="MK5" s="1" t="s">
        <v>446</v>
      </c>
      <c r="ML5" s="1" t="s">
        <v>446</v>
      </c>
      <c r="MT5" s="1" t="s">
        <v>65</v>
      </c>
      <c r="MU5" t="s">
        <v>408</v>
      </c>
      <c r="MY5" s="1" t="s">
        <v>68</v>
      </c>
      <c r="NN5" s="1" t="s">
        <v>446</v>
      </c>
      <c r="NP5" s="1" t="s">
        <v>446</v>
      </c>
      <c r="NQ5" s="1" t="s">
        <v>446</v>
      </c>
      <c r="NY5" s="1" t="s">
        <v>446</v>
      </c>
      <c r="OB5" t="s">
        <v>767</v>
      </c>
      <c r="OC5" s="1" t="s">
        <v>157</v>
      </c>
      <c r="OE5" s="1" t="s">
        <v>446</v>
      </c>
      <c r="OF5" s="1" t="s">
        <v>321</v>
      </c>
      <c r="OG5" s="1" t="s">
        <v>446</v>
      </c>
      <c r="OI5" s="1" t="s">
        <v>321</v>
      </c>
      <c r="OK5" s="1" t="s">
        <v>446</v>
      </c>
      <c r="OL5" s="1" t="s">
        <v>321</v>
      </c>
      <c r="ON5" s="1" t="s">
        <v>321</v>
      </c>
      <c r="OO5" s="1" t="s">
        <v>446</v>
      </c>
      <c r="OR5" s="1" t="s">
        <v>446</v>
      </c>
      <c r="OT5" s="1" t="s">
        <v>446</v>
      </c>
      <c r="OU5" s="1" t="s">
        <v>446</v>
      </c>
      <c r="OW5" s="1" t="s">
        <v>188</v>
      </c>
      <c r="OZ5" t="s">
        <v>416</v>
      </c>
      <c r="PC5" s="1" t="s">
        <v>446</v>
      </c>
      <c r="PE5" s="1" t="s">
        <v>446</v>
      </c>
      <c r="PJ5" s="1" t="s">
        <v>446</v>
      </c>
      <c r="PK5" s="1" t="s">
        <v>446</v>
      </c>
      <c r="PM5" s="1" t="s">
        <v>446</v>
      </c>
      <c r="PN5" s="1" t="s">
        <v>446</v>
      </c>
      <c r="PO5" s="1" t="s">
        <v>381</v>
      </c>
      <c r="PR5" s="1" t="s">
        <v>446</v>
      </c>
      <c r="PT5" s="1" t="s">
        <v>446</v>
      </c>
      <c r="PX5" s="1" t="s">
        <v>446</v>
      </c>
      <c r="PY5" s="1" t="s">
        <v>188</v>
      </c>
      <c r="QA5" t="s">
        <v>425</v>
      </c>
      <c r="QB5" s="1" t="s">
        <v>446</v>
      </c>
      <c r="QE5" s="1" t="s">
        <v>446</v>
      </c>
      <c r="QG5" s="1" t="s">
        <v>446</v>
      </c>
      <c r="QH5" s="1" t="s">
        <v>446</v>
      </c>
      <c r="QJ5" s="1" t="s">
        <v>196</v>
      </c>
      <c r="QL5" s="1" t="s">
        <v>446</v>
      </c>
      <c r="QM5" s="1" t="s">
        <v>446</v>
      </c>
      <c r="QN5" s="1" t="s">
        <v>188</v>
      </c>
      <c r="QP5" t="s">
        <v>435</v>
      </c>
      <c r="QQ5" s="1" t="s">
        <v>446</v>
      </c>
      <c r="QT5" s="1" t="s">
        <v>446</v>
      </c>
      <c r="QV5" s="1" t="s">
        <v>446</v>
      </c>
      <c r="QX5" s="1" t="s">
        <v>157</v>
      </c>
      <c r="QY5" s="1" t="s">
        <v>446</v>
      </c>
      <c r="RA5" s="1" t="s">
        <v>446</v>
      </c>
      <c r="RB5" s="1" t="s">
        <v>188</v>
      </c>
      <c r="RC5" s="1" t="s">
        <v>196</v>
      </c>
      <c r="RJ5" s="1" t="s">
        <v>157</v>
      </c>
      <c r="RR5" s="1" t="s">
        <v>157</v>
      </c>
      <c r="RW5" s="1" t="s">
        <v>157</v>
      </c>
      <c r="RX5" s="1" t="s">
        <v>752</v>
      </c>
      <c r="RY5" s="1" t="s">
        <v>752</v>
      </c>
      <c r="RZ5" s="1" t="s">
        <v>752</v>
      </c>
      <c r="SD5" s="1" t="s">
        <v>157</v>
      </c>
      <c r="SG5" s="1" t="s">
        <v>446</v>
      </c>
      <c r="SK5" s="1" t="s">
        <v>446</v>
      </c>
      <c r="SL5" s="1" t="s">
        <v>446</v>
      </c>
      <c r="SO5" s="1" t="s">
        <v>446</v>
      </c>
      <c r="SP5" s="1" t="s">
        <v>446</v>
      </c>
      <c r="SS5" s="1" t="s">
        <v>446</v>
      </c>
      <c r="ST5" s="1" t="s">
        <v>446</v>
      </c>
      <c r="SU5" s="1" t="s">
        <v>446</v>
      </c>
      <c r="TE5" s="1" t="s">
        <v>740</v>
      </c>
      <c r="UO5" s="1" t="s">
        <v>446</v>
      </c>
      <c r="UP5" s="1" t="s">
        <v>446</v>
      </c>
      <c r="UQ5" s="1" t="s">
        <v>446</v>
      </c>
      <c r="UR5" s="1" t="s">
        <v>446</v>
      </c>
      <c r="US5" s="1" t="s">
        <v>157</v>
      </c>
      <c r="UT5" s="1" t="s">
        <v>157</v>
      </c>
      <c r="UU5" s="1" t="s">
        <v>157</v>
      </c>
      <c r="UV5" s="1" t="s">
        <v>157</v>
      </c>
    </row>
    <row r="6" spans="1:568" x14ac:dyDescent="0.25">
      <c r="E6" s="1" t="s">
        <v>446</v>
      </c>
      <c r="F6" s="1" t="s">
        <v>1030</v>
      </c>
      <c r="G6" s="1" t="s">
        <v>66</v>
      </c>
      <c r="H6" s="1" t="s">
        <v>69</v>
      </c>
      <c r="I6" s="1" t="s">
        <v>446</v>
      </c>
      <c r="J6" s="1" t="s">
        <v>183</v>
      </c>
      <c r="L6" s="1" t="s">
        <v>446</v>
      </c>
      <c r="O6" s="1" t="s">
        <v>183</v>
      </c>
      <c r="Q6" s="1" t="s">
        <v>183</v>
      </c>
      <c r="R6" s="1" t="s">
        <v>446</v>
      </c>
      <c r="S6" s="1" t="s">
        <v>446</v>
      </c>
      <c r="T6" s="1" t="s">
        <v>1030</v>
      </c>
      <c r="V6" s="1" t="s">
        <v>183</v>
      </c>
      <c r="W6" s="1" t="s">
        <v>183</v>
      </c>
      <c r="X6" s="1" t="s">
        <v>183</v>
      </c>
      <c r="Y6" s="1" t="s">
        <v>183</v>
      </c>
      <c r="Z6" s="1" t="s">
        <v>189</v>
      </c>
      <c r="AC6" s="1" t="s">
        <v>183</v>
      </c>
      <c r="AE6" s="1" t="s">
        <v>183</v>
      </c>
      <c r="AF6" s="1" t="s">
        <v>183</v>
      </c>
      <c r="AG6" s="1" t="s">
        <v>1030</v>
      </c>
      <c r="AH6" s="1" t="s">
        <v>446</v>
      </c>
      <c r="AI6" s="1" t="s">
        <v>446</v>
      </c>
      <c r="AJ6" s="1" t="s">
        <v>1030</v>
      </c>
      <c r="AN6" s="1" t="s">
        <v>183</v>
      </c>
      <c r="AO6" s="1" t="s">
        <v>183</v>
      </c>
      <c r="AT6" s="1" t="s">
        <v>183</v>
      </c>
      <c r="AW6" s="1" t="s">
        <v>189</v>
      </c>
      <c r="BC6" s="1" t="s">
        <v>183</v>
      </c>
      <c r="BH6" s="1" t="s">
        <v>183</v>
      </c>
      <c r="BL6" s="1" t="s">
        <v>183</v>
      </c>
      <c r="BP6" s="1" t="s">
        <v>183</v>
      </c>
      <c r="BS6" s="1" t="s">
        <v>197</v>
      </c>
      <c r="CA6" s="1" t="s">
        <v>183</v>
      </c>
      <c r="CH6" s="1" t="s">
        <v>189</v>
      </c>
      <c r="CV6" s="1" t="s">
        <v>183</v>
      </c>
      <c r="DD6" s="1" t="s">
        <v>183</v>
      </c>
      <c r="DG6" s="1" t="s">
        <v>183</v>
      </c>
      <c r="DM6" s="1" t="s">
        <v>183</v>
      </c>
      <c r="DP6" s="1" t="s">
        <v>183</v>
      </c>
      <c r="DS6" s="1" t="s">
        <v>189</v>
      </c>
      <c r="DX6" s="1" t="s">
        <v>197</v>
      </c>
      <c r="EA6" s="1" t="s">
        <v>66</v>
      </c>
      <c r="EB6" s="1" t="s">
        <v>69</v>
      </c>
      <c r="EK6" s="1" t="s">
        <v>183</v>
      </c>
      <c r="EO6" s="1" t="s">
        <v>183</v>
      </c>
      <c r="EV6" s="1" t="s">
        <v>183</v>
      </c>
      <c r="EW6" s="1" t="s">
        <v>66</v>
      </c>
      <c r="EX6" s="1" t="s">
        <v>69</v>
      </c>
      <c r="EZ6" s="1" t="s">
        <v>183</v>
      </c>
      <c r="FB6" s="1" t="s">
        <v>183</v>
      </c>
      <c r="FF6" s="1" t="s">
        <v>183</v>
      </c>
      <c r="FH6" s="1" t="s">
        <v>183</v>
      </c>
      <c r="FI6" s="1" t="s">
        <v>189</v>
      </c>
      <c r="FL6" s="1" t="s">
        <v>183</v>
      </c>
      <c r="FO6" s="1" t="s">
        <v>183</v>
      </c>
      <c r="FR6" s="1" t="s">
        <v>183</v>
      </c>
      <c r="FV6" s="1" t="s">
        <v>183</v>
      </c>
      <c r="FW6" s="1" t="s">
        <v>183</v>
      </c>
      <c r="FZ6" s="1" t="s">
        <v>183</v>
      </c>
      <c r="GA6" s="1" t="s">
        <v>183</v>
      </c>
      <c r="GD6" s="1" t="s">
        <v>183</v>
      </c>
      <c r="GF6" s="1" t="s">
        <v>183</v>
      </c>
      <c r="GI6" s="1" t="s">
        <v>189</v>
      </c>
      <c r="GJ6" s="1" t="s">
        <v>183</v>
      </c>
      <c r="GL6" s="1" t="s">
        <v>183</v>
      </c>
      <c r="GM6" s="1" t="s">
        <v>189</v>
      </c>
      <c r="GR6" s="1" t="s">
        <v>183</v>
      </c>
      <c r="GU6" s="1" t="s">
        <v>183</v>
      </c>
      <c r="GW6" s="1" t="s">
        <v>183</v>
      </c>
      <c r="GX6" s="1" t="s">
        <v>183</v>
      </c>
      <c r="GY6" s="1" t="s">
        <v>183</v>
      </c>
      <c r="GZ6" s="1" t="s">
        <v>183</v>
      </c>
      <c r="HB6" s="1" t="s">
        <v>183</v>
      </c>
      <c r="HC6" s="1" t="s">
        <v>183</v>
      </c>
      <c r="HE6" s="1" t="s">
        <v>197</v>
      </c>
      <c r="HF6" s="1" t="s">
        <v>189</v>
      </c>
      <c r="HL6" s="1" t="s">
        <v>183</v>
      </c>
      <c r="HN6" s="1" t="s">
        <v>183</v>
      </c>
      <c r="HQ6" s="1" t="s">
        <v>189</v>
      </c>
      <c r="HU6" s="1" t="s">
        <v>183</v>
      </c>
      <c r="HW6" s="1" t="s">
        <v>183</v>
      </c>
      <c r="HZ6" s="1" t="s">
        <v>183</v>
      </c>
      <c r="ID6" s="1" t="s">
        <v>182</v>
      </c>
      <c r="IE6" s="1" t="s">
        <v>183</v>
      </c>
      <c r="IG6" s="1" t="s">
        <v>183</v>
      </c>
      <c r="IH6" s="1" t="s">
        <v>197</v>
      </c>
      <c r="IJ6" s="1" t="s">
        <v>183</v>
      </c>
      <c r="IN6" s="1" t="s">
        <v>183</v>
      </c>
      <c r="IP6" s="1" t="s">
        <v>183</v>
      </c>
      <c r="IQ6" s="1" t="s">
        <v>189</v>
      </c>
      <c r="IT6" s="1" t="s">
        <v>183</v>
      </c>
      <c r="JK6" s="1" t="s">
        <v>183</v>
      </c>
      <c r="JP6" s="1" t="s">
        <v>189</v>
      </c>
      <c r="JT6" s="1" t="s">
        <v>197</v>
      </c>
      <c r="JV6" s="1" t="s">
        <v>183</v>
      </c>
      <c r="KC6" s="1" t="s">
        <v>183</v>
      </c>
      <c r="KI6" s="1" t="s">
        <v>183</v>
      </c>
      <c r="KO6" s="1" t="s">
        <v>183</v>
      </c>
      <c r="KR6" s="1" t="s">
        <v>189</v>
      </c>
      <c r="KU6" s="1" t="s">
        <v>197</v>
      </c>
      <c r="MK6" s="1" t="s">
        <v>813</v>
      </c>
      <c r="ML6" s="1" t="s">
        <v>813</v>
      </c>
      <c r="MT6" s="1" t="s">
        <v>66</v>
      </c>
      <c r="MY6" s="1" t="s">
        <v>69</v>
      </c>
      <c r="NN6" s="1" t="s">
        <v>813</v>
      </c>
      <c r="NP6" s="1" t="s">
        <v>183</v>
      </c>
      <c r="NQ6" s="1" t="s">
        <v>813</v>
      </c>
      <c r="NY6" s="1" t="s">
        <v>183</v>
      </c>
      <c r="OC6" s="1" t="s">
        <v>446</v>
      </c>
      <c r="OE6" s="1" t="s">
        <v>183</v>
      </c>
      <c r="OF6" s="1" t="s">
        <v>747</v>
      </c>
      <c r="OG6" s="1" t="s">
        <v>183</v>
      </c>
      <c r="OI6" s="1" t="s">
        <v>747</v>
      </c>
      <c r="OK6" s="1" t="s">
        <v>183</v>
      </c>
      <c r="OL6" s="1" t="s">
        <v>747</v>
      </c>
      <c r="ON6" s="1" t="s">
        <v>747</v>
      </c>
      <c r="OO6" s="1" t="s">
        <v>813</v>
      </c>
      <c r="OR6" s="1" t="s">
        <v>813</v>
      </c>
      <c r="OT6" s="1" t="s">
        <v>183</v>
      </c>
      <c r="OU6" s="1" t="s">
        <v>813</v>
      </c>
      <c r="OW6" s="1" t="s">
        <v>189</v>
      </c>
      <c r="PC6" s="1" t="s">
        <v>183</v>
      </c>
      <c r="PE6" s="1" t="s">
        <v>183</v>
      </c>
      <c r="PJ6" s="1" t="s">
        <v>813</v>
      </c>
      <c r="PK6" s="1" t="s">
        <v>183</v>
      </c>
      <c r="PM6" s="1" t="s">
        <v>813</v>
      </c>
      <c r="PN6" s="1" t="s">
        <v>183</v>
      </c>
      <c r="PO6" s="1" t="s">
        <v>183</v>
      </c>
      <c r="PR6" s="1" t="s">
        <v>183</v>
      </c>
      <c r="PT6" s="1" t="s">
        <v>813</v>
      </c>
      <c r="PX6" s="1" t="s">
        <v>183</v>
      </c>
      <c r="PY6" s="1" t="s">
        <v>189</v>
      </c>
      <c r="QB6" s="1" t="s">
        <v>183</v>
      </c>
      <c r="QE6" s="1" t="s">
        <v>183</v>
      </c>
      <c r="QG6" s="1" t="s">
        <v>183</v>
      </c>
      <c r="QH6" s="1" t="s">
        <v>183</v>
      </c>
      <c r="QJ6" s="1" t="s">
        <v>197</v>
      </c>
      <c r="QL6" s="1" t="s">
        <v>813</v>
      </c>
      <c r="QM6" s="1" t="s">
        <v>183</v>
      </c>
      <c r="QN6" s="1" t="s">
        <v>189</v>
      </c>
      <c r="QQ6" s="1" t="s">
        <v>183</v>
      </c>
      <c r="QT6" s="1" t="s">
        <v>183</v>
      </c>
      <c r="QV6" s="1" t="s">
        <v>183</v>
      </c>
      <c r="QX6" s="1" t="s">
        <v>446</v>
      </c>
      <c r="QY6" s="1" t="s">
        <v>183</v>
      </c>
      <c r="RA6" s="1" t="s">
        <v>183</v>
      </c>
      <c r="RB6" s="1" t="s">
        <v>189</v>
      </c>
      <c r="RC6" s="1" t="s">
        <v>197</v>
      </c>
      <c r="RJ6" s="1" t="s">
        <v>446</v>
      </c>
      <c r="RR6" s="1" t="s">
        <v>446</v>
      </c>
      <c r="RW6" s="1" t="s">
        <v>446</v>
      </c>
      <c r="RX6" s="1" t="s">
        <v>803</v>
      </c>
      <c r="RY6" s="1" t="s">
        <v>803</v>
      </c>
      <c r="RZ6" s="1" t="s">
        <v>803</v>
      </c>
      <c r="SD6" s="1" t="s">
        <v>446</v>
      </c>
      <c r="SG6" s="1" t="s">
        <v>813</v>
      </c>
      <c r="SK6" s="1" t="s">
        <v>813</v>
      </c>
      <c r="SL6" s="1" t="s">
        <v>813</v>
      </c>
      <c r="SO6" s="1" t="s">
        <v>813</v>
      </c>
      <c r="SP6" s="1" t="s">
        <v>813</v>
      </c>
      <c r="SS6" s="1" t="s">
        <v>813</v>
      </c>
      <c r="ST6" s="1" t="s">
        <v>813</v>
      </c>
      <c r="SU6" s="1" t="s">
        <v>813</v>
      </c>
      <c r="TE6" s="1" t="s">
        <v>736</v>
      </c>
      <c r="UO6" s="1" t="s">
        <v>813</v>
      </c>
      <c r="UP6" s="1" t="s">
        <v>813</v>
      </c>
      <c r="UQ6" s="1" t="s">
        <v>813</v>
      </c>
      <c r="UR6" s="1" t="s">
        <v>813</v>
      </c>
      <c r="US6" s="1" t="s">
        <v>446</v>
      </c>
      <c r="UT6" s="1" t="s">
        <v>446</v>
      </c>
      <c r="UU6" s="1" t="s">
        <v>446</v>
      </c>
      <c r="UV6" s="1" t="s">
        <v>446</v>
      </c>
    </row>
    <row r="7" spans="1:568" x14ac:dyDescent="0.25">
      <c r="E7" s="1" t="s">
        <v>813</v>
      </c>
      <c r="F7" s="1" t="s">
        <v>813</v>
      </c>
      <c r="G7" t="s">
        <v>328</v>
      </c>
      <c r="H7" s="1" t="s">
        <v>70</v>
      </c>
      <c r="I7" s="1" t="s">
        <v>813</v>
      </c>
      <c r="J7" s="1" t="s">
        <v>184</v>
      </c>
      <c r="L7" s="1" t="s">
        <v>813</v>
      </c>
      <c r="O7" s="1" t="s">
        <v>184</v>
      </c>
      <c r="Q7" s="1" t="s">
        <v>184</v>
      </c>
      <c r="R7" s="1" t="s">
        <v>813</v>
      </c>
      <c r="S7" s="1" t="s">
        <v>1030</v>
      </c>
      <c r="T7" s="1" t="s">
        <v>813</v>
      </c>
      <c r="V7" s="1" t="s">
        <v>184</v>
      </c>
      <c r="W7" s="1" t="s">
        <v>184</v>
      </c>
      <c r="X7" s="1" t="s">
        <v>184</v>
      </c>
      <c r="Y7" s="1" t="s">
        <v>184</v>
      </c>
      <c r="Z7" s="1" t="s">
        <v>190</v>
      </c>
      <c r="AC7" s="1" t="s">
        <v>184</v>
      </c>
      <c r="AE7" s="1" t="s">
        <v>184</v>
      </c>
      <c r="AF7" s="1" t="s">
        <v>184</v>
      </c>
      <c r="AG7" s="1" t="s">
        <v>813</v>
      </c>
      <c r="AH7" s="1" t="s">
        <v>813</v>
      </c>
      <c r="AI7" s="1" t="s">
        <v>1030</v>
      </c>
      <c r="AJ7" s="1" t="s">
        <v>813</v>
      </c>
      <c r="AN7" s="1" t="s">
        <v>184</v>
      </c>
      <c r="AO7" s="1" t="s">
        <v>184</v>
      </c>
      <c r="AT7" s="1" t="s">
        <v>184</v>
      </c>
      <c r="AW7" s="1" t="s">
        <v>190</v>
      </c>
      <c r="BC7" s="1" t="s">
        <v>184</v>
      </c>
      <c r="BH7" s="1" t="s">
        <v>184</v>
      </c>
      <c r="BL7" s="1" t="s">
        <v>184</v>
      </c>
      <c r="BP7" s="1" t="s">
        <v>184</v>
      </c>
      <c r="BS7" t="s">
        <v>356</v>
      </c>
      <c r="CA7" s="1" t="s">
        <v>184</v>
      </c>
      <c r="CH7" s="1" t="s">
        <v>190</v>
      </c>
      <c r="CV7" s="1" t="s">
        <v>184</v>
      </c>
      <c r="DD7" s="1" t="s">
        <v>184</v>
      </c>
      <c r="DG7" s="1" t="s">
        <v>184</v>
      </c>
      <c r="DM7" s="1" t="s">
        <v>184</v>
      </c>
      <c r="DP7" s="1" t="s">
        <v>184</v>
      </c>
      <c r="DS7" s="1" t="s">
        <v>190</v>
      </c>
      <c r="DX7" t="s">
        <v>370</v>
      </c>
      <c r="EA7" t="s">
        <v>243</v>
      </c>
      <c r="EB7" s="1" t="s">
        <v>70</v>
      </c>
      <c r="EK7" s="1" t="s">
        <v>184</v>
      </c>
      <c r="EO7" s="1" t="s">
        <v>184</v>
      </c>
      <c r="EV7" s="1" t="s">
        <v>184</v>
      </c>
      <c r="EW7" t="s">
        <v>202</v>
      </c>
      <c r="EX7" s="1" t="s">
        <v>70</v>
      </c>
      <c r="EZ7" s="1" t="s">
        <v>184</v>
      </c>
      <c r="FB7" s="1" t="s">
        <v>184</v>
      </c>
      <c r="FF7" s="1" t="s">
        <v>184</v>
      </c>
      <c r="FH7" s="1" t="s">
        <v>184</v>
      </c>
      <c r="FI7" s="1" t="s">
        <v>190</v>
      </c>
      <c r="FL7" s="1" t="s">
        <v>184</v>
      </c>
      <c r="FO7" s="1" t="s">
        <v>184</v>
      </c>
      <c r="FR7" s="1" t="s">
        <v>184</v>
      </c>
      <c r="FV7" s="1" t="s">
        <v>184</v>
      </c>
      <c r="FW7" s="1" t="s">
        <v>184</v>
      </c>
      <c r="FZ7" s="1" t="s">
        <v>184</v>
      </c>
      <c r="GA7" s="1" t="s">
        <v>184</v>
      </c>
      <c r="GD7" s="1" t="s">
        <v>184</v>
      </c>
      <c r="GF7" s="1" t="s">
        <v>184</v>
      </c>
      <c r="GI7" s="1" t="s">
        <v>190</v>
      </c>
      <c r="GJ7" s="1" t="s">
        <v>184</v>
      </c>
      <c r="GL7" s="1" t="s">
        <v>184</v>
      </c>
      <c r="GM7" s="1" t="s">
        <v>190</v>
      </c>
      <c r="GR7" s="1" t="s">
        <v>184</v>
      </c>
      <c r="GU7" s="1" t="s">
        <v>184</v>
      </c>
      <c r="GW7" s="1" t="s">
        <v>184</v>
      </c>
      <c r="GX7" s="1" t="s">
        <v>184</v>
      </c>
      <c r="GY7" s="1" t="s">
        <v>184</v>
      </c>
      <c r="GZ7" s="1" t="s">
        <v>184</v>
      </c>
      <c r="HB7" s="1" t="s">
        <v>184</v>
      </c>
      <c r="HC7" s="1" t="s">
        <v>184</v>
      </c>
      <c r="HE7" t="s">
        <v>300</v>
      </c>
      <c r="HF7" s="1" t="s">
        <v>190</v>
      </c>
      <c r="HL7" s="1" t="s">
        <v>184</v>
      </c>
      <c r="HN7" s="1" t="s">
        <v>184</v>
      </c>
      <c r="HQ7" s="1" t="s">
        <v>190</v>
      </c>
      <c r="HU7" s="1" t="s">
        <v>184</v>
      </c>
      <c r="HW7" s="1" t="s">
        <v>184</v>
      </c>
      <c r="HZ7" s="1" t="s">
        <v>184</v>
      </c>
      <c r="ID7" s="1" t="s">
        <v>183</v>
      </c>
      <c r="IE7" s="1" t="s">
        <v>184</v>
      </c>
      <c r="IG7" s="1" t="s">
        <v>184</v>
      </c>
      <c r="IH7" t="s">
        <v>228</v>
      </c>
      <c r="IJ7" s="1" t="s">
        <v>184</v>
      </c>
      <c r="IN7" s="1" t="s">
        <v>184</v>
      </c>
      <c r="IP7" s="1" t="s">
        <v>184</v>
      </c>
      <c r="IQ7" s="1" t="s">
        <v>190</v>
      </c>
      <c r="IT7" s="1" t="s">
        <v>184</v>
      </c>
      <c r="JK7" s="1" t="s">
        <v>184</v>
      </c>
      <c r="JP7" s="1" t="s">
        <v>190</v>
      </c>
      <c r="JT7" t="s">
        <v>314</v>
      </c>
      <c r="JV7" s="1" t="s">
        <v>184</v>
      </c>
      <c r="KC7" s="1" t="s">
        <v>184</v>
      </c>
      <c r="KI7" s="1" t="s">
        <v>184</v>
      </c>
      <c r="KO7" s="1" t="s">
        <v>184</v>
      </c>
      <c r="KR7" s="1" t="s">
        <v>190</v>
      </c>
      <c r="KU7" t="s">
        <v>242</v>
      </c>
      <c r="MK7" s="1" t="s">
        <v>87</v>
      </c>
      <c r="ML7" s="1" t="s">
        <v>87</v>
      </c>
      <c r="MT7" t="s">
        <v>382</v>
      </c>
      <c r="MY7" s="1" t="s">
        <v>70</v>
      </c>
      <c r="NN7" s="1" t="s">
        <v>87</v>
      </c>
      <c r="NP7" s="1" t="s">
        <v>184</v>
      </c>
      <c r="NQ7" s="1" t="s">
        <v>87</v>
      </c>
      <c r="NY7" s="1" t="s">
        <v>184</v>
      </c>
      <c r="OC7" s="1" t="s">
        <v>813</v>
      </c>
      <c r="OE7" s="1" t="s">
        <v>184</v>
      </c>
      <c r="OF7" s="1" t="s">
        <v>748</v>
      </c>
      <c r="OG7" s="1" t="s">
        <v>184</v>
      </c>
      <c r="OI7" s="1" t="s">
        <v>748</v>
      </c>
      <c r="OK7" s="1" t="s">
        <v>184</v>
      </c>
      <c r="OL7" s="1" t="s">
        <v>748</v>
      </c>
      <c r="ON7" s="1" t="s">
        <v>748</v>
      </c>
      <c r="OO7" s="1" t="s">
        <v>907</v>
      </c>
      <c r="OR7" s="1" t="s">
        <v>907</v>
      </c>
      <c r="OT7" s="1" t="s">
        <v>184</v>
      </c>
      <c r="OU7" s="1" t="s">
        <v>907</v>
      </c>
      <c r="OW7" s="1" t="s">
        <v>190</v>
      </c>
      <c r="PC7" s="1" t="s">
        <v>184</v>
      </c>
      <c r="PE7" s="1" t="s">
        <v>184</v>
      </c>
      <c r="PJ7" s="1" t="s">
        <v>87</v>
      </c>
      <c r="PK7" s="1" t="s">
        <v>184</v>
      </c>
      <c r="PM7" s="1" t="s">
        <v>87</v>
      </c>
      <c r="PN7" s="1" t="s">
        <v>184</v>
      </c>
      <c r="PO7" s="1" t="s">
        <v>184</v>
      </c>
      <c r="PR7" s="1" t="s">
        <v>184</v>
      </c>
      <c r="PT7" s="1" t="s">
        <v>87</v>
      </c>
      <c r="PX7" s="1" t="s">
        <v>184</v>
      </c>
      <c r="PY7" s="1" t="s">
        <v>190</v>
      </c>
      <c r="QB7" s="1" t="s">
        <v>184</v>
      </c>
      <c r="QE7" s="1" t="s">
        <v>184</v>
      </c>
      <c r="QG7" s="1" t="s">
        <v>184</v>
      </c>
      <c r="QH7" s="1" t="s">
        <v>184</v>
      </c>
      <c r="QJ7" t="s">
        <v>431</v>
      </c>
      <c r="QL7" s="1" t="s">
        <v>87</v>
      </c>
      <c r="QM7" s="1" t="s">
        <v>184</v>
      </c>
      <c r="QN7" s="1" t="s">
        <v>190</v>
      </c>
      <c r="QQ7" s="1" t="s">
        <v>184</v>
      </c>
      <c r="QT7" s="1" t="s">
        <v>184</v>
      </c>
      <c r="QV7" s="1" t="s">
        <v>184</v>
      </c>
      <c r="QX7" s="1" t="s">
        <v>813</v>
      </c>
      <c r="QY7" s="1" t="s">
        <v>184</v>
      </c>
      <c r="RA7" s="1" t="s">
        <v>184</v>
      </c>
      <c r="RB7" s="1" t="s">
        <v>190</v>
      </c>
      <c r="RC7" t="s">
        <v>445</v>
      </c>
      <c r="RJ7" s="1" t="s">
        <v>813</v>
      </c>
      <c r="RR7" s="1" t="s">
        <v>813</v>
      </c>
      <c r="RW7" s="1" t="s">
        <v>813</v>
      </c>
      <c r="RX7" s="1" t="s">
        <v>740</v>
      </c>
      <c r="RY7" s="1" t="s">
        <v>740</v>
      </c>
      <c r="RZ7" s="1" t="s">
        <v>740</v>
      </c>
      <c r="SD7" s="1" t="s">
        <v>813</v>
      </c>
      <c r="SG7" s="1" t="s">
        <v>147</v>
      </c>
      <c r="SK7" s="1" t="s">
        <v>147</v>
      </c>
      <c r="SL7" s="1" t="s">
        <v>147</v>
      </c>
      <c r="SO7" s="1" t="s">
        <v>147</v>
      </c>
      <c r="SP7" s="1" t="s">
        <v>147</v>
      </c>
      <c r="SS7" s="1" t="s">
        <v>147</v>
      </c>
      <c r="ST7" s="1" t="s">
        <v>147</v>
      </c>
      <c r="SU7" s="1" t="s">
        <v>147</v>
      </c>
      <c r="TE7" s="1" t="s">
        <v>741</v>
      </c>
      <c r="UO7" s="1" t="s">
        <v>907</v>
      </c>
      <c r="UP7" s="1" t="s">
        <v>907</v>
      </c>
      <c r="UQ7" s="1" t="s">
        <v>907</v>
      </c>
      <c r="UR7" s="1" t="s">
        <v>907</v>
      </c>
      <c r="US7" s="1" t="s">
        <v>813</v>
      </c>
      <c r="UT7" s="1" t="s">
        <v>813</v>
      </c>
      <c r="UU7" s="1" t="s">
        <v>813</v>
      </c>
      <c r="UV7" s="1" t="s">
        <v>813</v>
      </c>
    </row>
    <row r="8" spans="1:568" x14ac:dyDescent="0.25">
      <c r="E8" s="1" t="s">
        <v>147</v>
      </c>
      <c r="F8" s="1" t="s">
        <v>147</v>
      </c>
      <c r="H8" s="1" t="s">
        <v>71</v>
      </c>
      <c r="I8" s="1" t="s">
        <v>147</v>
      </c>
      <c r="J8" s="1" t="s">
        <v>87</v>
      </c>
      <c r="L8" s="1" t="s">
        <v>147</v>
      </c>
      <c r="O8" s="1" t="s">
        <v>87</v>
      </c>
      <c r="Q8" s="1" t="s">
        <v>87</v>
      </c>
      <c r="R8" s="1" t="s">
        <v>147</v>
      </c>
      <c r="S8" s="1" t="s">
        <v>813</v>
      </c>
      <c r="T8" s="1" t="s">
        <v>147</v>
      </c>
      <c r="V8" s="1" t="s">
        <v>87</v>
      </c>
      <c r="W8" s="1" t="s">
        <v>87</v>
      </c>
      <c r="X8" s="1" t="s">
        <v>87</v>
      </c>
      <c r="Y8" s="1" t="s">
        <v>87</v>
      </c>
      <c r="Z8" s="1" t="s">
        <v>191</v>
      </c>
      <c r="AC8" s="1" t="s">
        <v>87</v>
      </c>
      <c r="AE8" s="1" t="s">
        <v>87</v>
      </c>
      <c r="AF8" s="1" t="s">
        <v>87</v>
      </c>
      <c r="AG8" s="1" t="s">
        <v>147</v>
      </c>
      <c r="AH8" s="1" t="s">
        <v>147</v>
      </c>
      <c r="AI8" s="1" t="s">
        <v>813</v>
      </c>
      <c r="AJ8" s="1" t="s">
        <v>147</v>
      </c>
      <c r="AN8" s="1" t="s">
        <v>87</v>
      </c>
      <c r="AO8" s="1" t="s">
        <v>87</v>
      </c>
      <c r="AT8" s="1" t="s">
        <v>87</v>
      </c>
      <c r="AW8" s="1" t="s">
        <v>191</v>
      </c>
      <c r="BC8" s="1" t="s">
        <v>87</v>
      </c>
      <c r="BH8" s="1" t="s">
        <v>87</v>
      </c>
      <c r="BL8" s="1" t="s">
        <v>87</v>
      </c>
      <c r="BP8" s="1" t="s">
        <v>87</v>
      </c>
      <c r="CA8" s="1" t="s">
        <v>87</v>
      </c>
      <c r="CH8" s="1" t="s">
        <v>191</v>
      </c>
      <c r="CV8" s="1" t="s">
        <v>87</v>
      </c>
      <c r="DD8" s="1" t="s">
        <v>87</v>
      </c>
      <c r="DG8" s="1" t="s">
        <v>87</v>
      </c>
      <c r="DM8" s="1" t="s">
        <v>87</v>
      </c>
      <c r="DP8" s="1" t="s">
        <v>87</v>
      </c>
      <c r="DS8" s="1" t="s">
        <v>191</v>
      </c>
      <c r="EB8" s="1" t="s">
        <v>71</v>
      </c>
      <c r="EK8" s="1" t="s">
        <v>87</v>
      </c>
      <c r="EO8" s="1" t="s">
        <v>87</v>
      </c>
      <c r="EV8" s="1" t="s">
        <v>87</v>
      </c>
      <c r="EX8" s="1" t="s">
        <v>71</v>
      </c>
      <c r="EZ8" s="1" t="s">
        <v>87</v>
      </c>
      <c r="FB8" s="1" t="s">
        <v>87</v>
      </c>
      <c r="FF8" s="1" t="s">
        <v>87</v>
      </c>
      <c r="FH8" s="1" t="s">
        <v>87</v>
      </c>
      <c r="FI8" s="1" t="s">
        <v>191</v>
      </c>
      <c r="FL8" s="1" t="s">
        <v>87</v>
      </c>
      <c r="FO8" s="1" t="s">
        <v>87</v>
      </c>
      <c r="FR8" s="1" t="s">
        <v>87</v>
      </c>
      <c r="FV8" s="1" t="s">
        <v>87</v>
      </c>
      <c r="FW8" s="1" t="s">
        <v>87</v>
      </c>
      <c r="FZ8" s="1" t="s">
        <v>87</v>
      </c>
      <c r="GA8" s="1" t="s">
        <v>87</v>
      </c>
      <c r="GD8" s="1" t="s">
        <v>87</v>
      </c>
      <c r="GF8" s="1" t="s">
        <v>87</v>
      </c>
      <c r="GI8" s="1" t="s">
        <v>191</v>
      </c>
      <c r="GJ8" s="1" t="s">
        <v>87</v>
      </c>
      <c r="GL8" s="1" t="s">
        <v>87</v>
      </c>
      <c r="GM8" s="1" t="s">
        <v>191</v>
      </c>
      <c r="GR8" s="1" t="s">
        <v>87</v>
      </c>
      <c r="GU8" s="1" t="s">
        <v>87</v>
      </c>
      <c r="GW8" s="1" t="s">
        <v>87</v>
      </c>
      <c r="GX8" s="1" t="s">
        <v>87</v>
      </c>
      <c r="GY8" s="1" t="s">
        <v>87</v>
      </c>
      <c r="GZ8" s="1" t="s">
        <v>87</v>
      </c>
      <c r="HB8" s="1" t="s">
        <v>87</v>
      </c>
      <c r="HC8" s="1" t="s">
        <v>87</v>
      </c>
      <c r="HF8" s="1" t="s">
        <v>191</v>
      </c>
      <c r="HL8" s="1" t="s">
        <v>87</v>
      </c>
      <c r="HN8" s="1" t="s">
        <v>87</v>
      </c>
      <c r="HQ8" s="1" t="s">
        <v>191</v>
      </c>
      <c r="HU8" s="1" t="s">
        <v>87</v>
      </c>
      <c r="HW8" s="1" t="s">
        <v>87</v>
      </c>
      <c r="HZ8" s="1" t="s">
        <v>87</v>
      </c>
      <c r="ID8" s="1" t="s">
        <v>184</v>
      </c>
      <c r="IE8" s="1" t="s">
        <v>87</v>
      </c>
      <c r="IG8" s="1" t="s">
        <v>87</v>
      </c>
      <c r="IJ8" s="1" t="s">
        <v>87</v>
      </c>
      <c r="IN8" s="1" t="s">
        <v>87</v>
      </c>
      <c r="IP8" s="1" t="s">
        <v>87</v>
      </c>
      <c r="IQ8" s="1" t="s">
        <v>191</v>
      </c>
      <c r="IT8" s="1" t="s">
        <v>87</v>
      </c>
      <c r="JK8" s="1" t="s">
        <v>87</v>
      </c>
      <c r="JP8" s="1" t="s">
        <v>191</v>
      </c>
      <c r="JV8" s="1" t="s">
        <v>87</v>
      </c>
      <c r="KC8" s="1" t="s">
        <v>87</v>
      </c>
      <c r="KI8" s="1" t="s">
        <v>87</v>
      </c>
      <c r="KO8" s="1" t="s">
        <v>87</v>
      </c>
      <c r="KR8" s="1" t="s">
        <v>191</v>
      </c>
      <c r="MK8" s="1" t="s">
        <v>147</v>
      </c>
      <c r="ML8" s="1" t="s">
        <v>147</v>
      </c>
      <c r="MY8" s="1" t="s">
        <v>71</v>
      </c>
      <c r="NN8" s="1" t="s">
        <v>147</v>
      </c>
      <c r="NP8" s="1" t="s">
        <v>87</v>
      </c>
      <c r="NQ8" s="1" t="s">
        <v>147</v>
      </c>
      <c r="NY8" s="1" t="s">
        <v>87</v>
      </c>
      <c r="OC8" s="1" t="s">
        <v>87</v>
      </c>
      <c r="OE8" s="1" t="s">
        <v>87</v>
      </c>
      <c r="OF8" s="1" t="s">
        <v>320</v>
      </c>
      <c r="OG8" s="1" t="s">
        <v>87</v>
      </c>
      <c r="OI8" s="1" t="s">
        <v>320</v>
      </c>
      <c r="OK8" s="1" t="s">
        <v>87</v>
      </c>
      <c r="OL8" s="1" t="s">
        <v>320</v>
      </c>
      <c r="ON8" s="1" t="s">
        <v>320</v>
      </c>
      <c r="OO8" s="1" t="s">
        <v>87</v>
      </c>
      <c r="OR8" s="1" t="s">
        <v>87</v>
      </c>
      <c r="OT8" s="1" t="s">
        <v>87</v>
      </c>
      <c r="OU8" s="1" t="s">
        <v>87</v>
      </c>
      <c r="OW8" s="1" t="s">
        <v>191</v>
      </c>
      <c r="PC8" s="1" t="s">
        <v>87</v>
      </c>
      <c r="PE8" s="1" t="s">
        <v>87</v>
      </c>
      <c r="PJ8" s="1" t="s">
        <v>147</v>
      </c>
      <c r="PK8" s="1" t="s">
        <v>87</v>
      </c>
      <c r="PM8" s="1" t="s">
        <v>147</v>
      </c>
      <c r="PN8" s="1" t="s">
        <v>87</v>
      </c>
      <c r="PO8" s="1" t="s">
        <v>87</v>
      </c>
      <c r="PR8" s="1" t="s">
        <v>87</v>
      </c>
      <c r="PT8" s="1" t="s">
        <v>147</v>
      </c>
      <c r="PX8" s="1" t="s">
        <v>87</v>
      </c>
      <c r="PY8" s="1" t="s">
        <v>191</v>
      </c>
      <c r="QB8" s="1" t="s">
        <v>87</v>
      </c>
      <c r="QE8" s="1" t="s">
        <v>87</v>
      </c>
      <c r="QG8" s="1" t="s">
        <v>87</v>
      </c>
      <c r="QH8" s="1" t="s">
        <v>87</v>
      </c>
      <c r="QL8" s="1" t="s">
        <v>147</v>
      </c>
      <c r="QM8" s="1" t="s">
        <v>87</v>
      </c>
      <c r="QN8" s="1" t="s">
        <v>191</v>
      </c>
      <c r="QQ8" s="1" t="s">
        <v>87</v>
      </c>
      <c r="QT8" s="1" t="s">
        <v>87</v>
      </c>
      <c r="QV8" s="1" t="s">
        <v>87</v>
      </c>
      <c r="QX8" s="1" t="s">
        <v>907</v>
      </c>
      <c r="QY8" s="1" t="s">
        <v>87</v>
      </c>
      <c r="RA8" s="1" t="s">
        <v>87</v>
      </c>
      <c r="RB8" s="1" t="s">
        <v>191</v>
      </c>
      <c r="RJ8" s="1" t="s">
        <v>87</v>
      </c>
      <c r="RR8" s="1" t="s">
        <v>87</v>
      </c>
      <c r="RW8" s="1" t="s">
        <v>907</v>
      </c>
      <c r="RX8" s="1" t="s">
        <v>804</v>
      </c>
      <c r="RY8" s="1" t="s">
        <v>804</v>
      </c>
      <c r="RZ8" s="1" t="s">
        <v>804</v>
      </c>
      <c r="SD8" s="1" t="s">
        <v>907</v>
      </c>
      <c r="SG8" s="1" t="s">
        <v>82</v>
      </c>
      <c r="SK8" s="1" t="s">
        <v>82</v>
      </c>
      <c r="SL8" s="1" t="s">
        <v>82</v>
      </c>
      <c r="SO8" s="1" t="s">
        <v>82</v>
      </c>
      <c r="SP8" s="1" t="s">
        <v>82</v>
      </c>
      <c r="SS8" s="1" t="s">
        <v>82</v>
      </c>
      <c r="ST8" s="1" t="s">
        <v>82</v>
      </c>
      <c r="SU8" s="1" t="s">
        <v>82</v>
      </c>
      <c r="TE8" s="1" t="s">
        <v>738</v>
      </c>
      <c r="UO8" s="1" t="s">
        <v>147</v>
      </c>
      <c r="UP8" s="1" t="s">
        <v>147</v>
      </c>
      <c r="UQ8" s="1" t="s">
        <v>147</v>
      </c>
      <c r="UR8" s="1" t="s">
        <v>147</v>
      </c>
      <c r="US8" s="1" t="s">
        <v>147</v>
      </c>
      <c r="UT8" s="1" t="s">
        <v>907</v>
      </c>
      <c r="UU8" s="1" t="s">
        <v>147</v>
      </c>
      <c r="UV8" s="1" t="s">
        <v>147</v>
      </c>
    </row>
    <row r="9" spans="1:568" x14ac:dyDescent="0.25">
      <c r="E9" s="1" t="s">
        <v>82</v>
      </c>
      <c r="F9" s="1" t="s">
        <v>82</v>
      </c>
      <c r="H9" s="1" t="s">
        <v>72</v>
      </c>
      <c r="I9" s="1" t="s">
        <v>82</v>
      </c>
      <c r="J9" s="1" t="s">
        <v>147</v>
      </c>
      <c r="L9" s="1" t="s">
        <v>82</v>
      </c>
      <c r="O9" s="1" t="s">
        <v>147</v>
      </c>
      <c r="Q9" s="1" t="s">
        <v>147</v>
      </c>
      <c r="R9" s="1" t="s">
        <v>82</v>
      </c>
      <c r="S9" s="1" t="s">
        <v>147</v>
      </c>
      <c r="T9" s="1" t="s">
        <v>82</v>
      </c>
      <c r="V9" s="1" t="s">
        <v>147</v>
      </c>
      <c r="W9" s="1" t="s">
        <v>147</v>
      </c>
      <c r="X9" s="1" t="s">
        <v>147</v>
      </c>
      <c r="Y9" s="1" t="s">
        <v>147</v>
      </c>
      <c r="Z9" t="s">
        <v>340</v>
      </c>
      <c r="AC9" s="1" t="s">
        <v>147</v>
      </c>
      <c r="AE9" s="1" t="s">
        <v>147</v>
      </c>
      <c r="AF9" s="1" t="s">
        <v>147</v>
      </c>
      <c r="AG9" s="1" t="s">
        <v>82</v>
      </c>
      <c r="AH9" s="1" t="s">
        <v>82</v>
      </c>
      <c r="AI9" s="1" t="s">
        <v>147</v>
      </c>
      <c r="AJ9" s="1" t="s">
        <v>82</v>
      </c>
      <c r="AN9" s="1" t="s">
        <v>147</v>
      </c>
      <c r="AO9" s="1" t="s">
        <v>147</v>
      </c>
      <c r="AT9" s="1" t="s">
        <v>147</v>
      </c>
      <c r="AW9" t="s">
        <v>349</v>
      </c>
      <c r="BC9" s="1" t="s">
        <v>147</v>
      </c>
      <c r="BH9" s="1" t="s">
        <v>147</v>
      </c>
      <c r="BL9" s="1" t="s">
        <v>147</v>
      </c>
      <c r="BP9" s="1" t="s">
        <v>147</v>
      </c>
      <c r="CA9" s="1" t="s">
        <v>147</v>
      </c>
      <c r="CH9" t="s">
        <v>359</v>
      </c>
      <c r="CV9" s="1" t="s">
        <v>147</v>
      </c>
      <c r="DD9" s="1" t="s">
        <v>147</v>
      </c>
      <c r="DG9" s="1" t="s">
        <v>147</v>
      </c>
      <c r="DM9" s="1" t="s">
        <v>147</v>
      </c>
      <c r="DP9" s="1" t="s">
        <v>147</v>
      </c>
      <c r="DS9" t="s">
        <v>369</v>
      </c>
      <c r="EB9" s="1" t="s">
        <v>72</v>
      </c>
      <c r="EK9" s="1" t="s">
        <v>147</v>
      </c>
      <c r="EO9" s="1" t="s">
        <v>147</v>
      </c>
      <c r="EV9" s="1" t="s">
        <v>147</v>
      </c>
      <c r="EX9" s="1" t="s">
        <v>72</v>
      </c>
      <c r="EZ9" s="1" t="s">
        <v>147</v>
      </c>
      <c r="FB9" s="1" t="s">
        <v>147</v>
      </c>
      <c r="FF9" s="1" t="s">
        <v>147</v>
      </c>
      <c r="FH9" s="1" t="s">
        <v>147</v>
      </c>
      <c r="FI9" t="s">
        <v>284</v>
      </c>
      <c r="FL9" s="1" t="s">
        <v>147</v>
      </c>
      <c r="FO9" s="1" t="s">
        <v>147</v>
      </c>
      <c r="FR9" s="1" t="s">
        <v>147</v>
      </c>
      <c r="FV9" s="1" t="s">
        <v>147</v>
      </c>
      <c r="FW9" s="1" t="s">
        <v>147</v>
      </c>
      <c r="FZ9" s="1" t="s">
        <v>147</v>
      </c>
      <c r="GA9" s="1" t="s">
        <v>147</v>
      </c>
      <c r="GD9" s="1" t="s">
        <v>147</v>
      </c>
      <c r="GF9" s="1" t="s">
        <v>147</v>
      </c>
      <c r="GI9" t="s">
        <v>212</v>
      </c>
      <c r="GJ9" s="1" t="s">
        <v>147</v>
      </c>
      <c r="GL9" s="1" t="s">
        <v>147</v>
      </c>
      <c r="GM9" t="s">
        <v>293</v>
      </c>
      <c r="GR9" s="1" t="s">
        <v>147</v>
      </c>
      <c r="GU9" s="1" t="s">
        <v>147</v>
      </c>
      <c r="GW9" s="1" t="s">
        <v>147</v>
      </c>
      <c r="GX9" s="1" t="s">
        <v>147</v>
      </c>
      <c r="GY9" s="1" t="s">
        <v>147</v>
      </c>
      <c r="GZ9" s="1" t="s">
        <v>147</v>
      </c>
      <c r="HB9" s="1" t="s">
        <v>147</v>
      </c>
      <c r="HC9" s="1" t="s">
        <v>147</v>
      </c>
      <c r="HF9" t="s">
        <v>221</v>
      </c>
      <c r="HL9" s="1" t="s">
        <v>147</v>
      </c>
      <c r="HN9" s="1" t="s">
        <v>147</v>
      </c>
      <c r="HQ9" t="s">
        <v>303</v>
      </c>
      <c r="HU9" s="1" t="s">
        <v>147</v>
      </c>
      <c r="HW9" s="1" t="s">
        <v>147</v>
      </c>
      <c r="HZ9" s="1" t="s">
        <v>147</v>
      </c>
      <c r="ID9" s="1" t="s">
        <v>87</v>
      </c>
      <c r="IE9" s="1" t="s">
        <v>147</v>
      </c>
      <c r="IG9" s="1" t="s">
        <v>147</v>
      </c>
      <c r="IJ9" s="1" t="s">
        <v>147</v>
      </c>
      <c r="IN9" s="1" t="s">
        <v>147</v>
      </c>
      <c r="IP9" s="1" t="s">
        <v>147</v>
      </c>
      <c r="IQ9" t="s">
        <v>231</v>
      </c>
      <c r="IT9" s="1" t="s">
        <v>147</v>
      </c>
      <c r="JK9" s="1" t="s">
        <v>147</v>
      </c>
      <c r="JP9" t="s">
        <v>313</v>
      </c>
      <c r="JV9" s="1" t="s">
        <v>147</v>
      </c>
      <c r="KC9" s="1" t="s">
        <v>147</v>
      </c>
      <c r="KI9" s="1" t="s">
        <v>147</v>
      </c>
      <c r="KO9" s="1" t="s">
        <v>147</v>
      </c>
      <c r="KR9" t="s">
        <v>241</v>
      </c>
      <c r="MK9" s="1" t="s">
        <v>82</v>
      </c>
      <c r="ML9" s="1" t="s">
        <v>82</v>
      </c>
      <c r="MY9" s="1" t="s">
        <v>72</v>
      </c>
      <c r="NN9" s="1" t="s">
        <v>82</v>
      </c>
      <c r="NP9" s="1" t="s">
        <v>147</v>
      </c>
      <c r="NQ9" s="1" t="s">
        <v>82</v>
      </c>
      <c r="NY9" s="1" t="s">
        <v>147</v>
      </c>
      <c r="OC9" s="1" t="s">
        <v>147</v>
      </c>
      <c r="OE9" s="1" t="s">
        <v>147</v>
      </c>
      <c r="OF9" s="1" t="s">
        <v>801</v>
      </c>
      <c r="OG9" s="1" t="s">
        <v>147</v>
      </c>
      <c r="OI9" s="1" t="s">
        <v>801</v>
      </c>
      <c r="OK9" s="1" t="s">
        <v>147</v>
      </c>
      <c r="OL9" s="1" t="s">
        <v>801</v>
      </c>
      <c r="ON9" s="1" t="s">
        <v>801</v>
      </c>
      <c r="OO9" s="1" t="s">
        <v>147</v>
      </c>
      <c r="OR9" s="1" t="s">
        <v>147</v>
      </c>
      <c r="OT9" s="1" t="s">
        <v>147</v>
      </c>
      <c r="OU9" s="1" t="s">
        <v>147</v>
      </c>
      <c r="OW9" t="s">
        <v>415</v>
      </c>
      <c r="PC9" s="1" t="s">
        <v>147</v>
      </c>
      <c r="PE9" s="1" t="s">
        <v>147</v>
      </c>
      <c r="PJ9" s="1" t="s">
        <v>82</v>
      </c>
      <c r="PK9" s="1" t="s">
        <v>147</v>
      </c>
      <c r="PM9" s="1" t="s">
        <v>82</v>
      </c>
      <c r="PN9" s="1" t="s">
        <v>147</v>
      </c>
      <c r="PO9" s="1" t="s">
        <v>147</v>
      </c>
      <c r="PR9" s="1" t="s">
        <v>147</v>
      </c>
      <c r="PT9" s="1" t="s">
        <v>82</v>
      </c>
      <c r="PX9" s="1" t="s">
        <v>147</v>
      </c>
      <c r="PY9" t="s">
        <v>424</v>
      </c>
      <c r="QB9" s="1" t="s">
        <v>147</v>
      </c>
      <c r="QE9" s="1" t="s">
        <v>147</v>
      </c>
      <c r="QG9" s="1" t="s">
        <v>147</v>
      </c>
      <c r="QH9" s="1" t="s">
        <v>147</v>
      </c>
      <c r="QL9" s="1" t="s">
        <v>82</v>
      </c>
      <c r="QM9" s="1" t="s">
        <v>147</v>
      </c>
      <c r="QN9" t="s">
        <v>434</v>
      </c>
      <c r="QQ9" s="1" t="s">
        <v>147</v>
      </c>
      <c r="QT9" s="1" t="s">
        <v>147</v>
      </c>
      <c r="QV9" s="1" t="s">
        <v>147</v>
      </c>
      <c r="QX9" s="1" t="s">
        <v>87</v>
      </c>
      <c r="QY9" s="1" t="s">
        <v>147</v>
      </c>
      <c r="RA9" s="1" t="s">
        <v>147</v>
      </c>
      <c r="RB9" t="s">
        <v>444</v>
      </c>
      <c r="RJ9" s="1" t="s">
        <v>147</v>
      </c>
      <c r="RR9" s="1" t="s">
        <v>147</v>
      </c>
      <c r="RW9" s="1" t="s">
        <v>87</v>
      </c>
      <c r="RX9" s="1" t="s">
        <v>736</v>
      </c>
      <c r="RY9" s="1" t="s">
        <v>736</v>
      </c>
      <c r="RZ9" s="1" t="s">
        <v>736</v>
      </c>
      <c r="SD9" s="1" t="s">
        <v>87</v>
      </c>
      <c r="SG9" s="1" t="s">
        <v>90</v>
      </c>
      <c r="SK9" s="1" t="s">
        <v>90</v>
      </c>
      <c r="SL9" s="1" t="s">
        <v>90</v>
      </c>
      <c r="SO9" s="1" t="s">
        <v>90</v>
      </c>
      <c r="SP9" s="1" t="s">
        <v>90</v>
      </c>
      <c r="SS9" s="1" t="s">
        <v>90</v>
      </c>
      <c r="ST9" s="1" t="s">
        <v>810</v>
      </c>
      <c r="SU9" s="1" t="s">
        <v>810</v>
      </c>
      <c r="TE9" s="1" t="s">
        <v>733</v>
      </c>
      <c r="UO9" s="1" t="s">
        <v>82</v>
      </c>
      <c r="UP9" s="1" t="s">
        <v>82</v>
      </c>
      <c r="UQ9" s="1" t="s">
        <v>82</v>
      </c>
      <c r="UR9" s="1" t="s">
        <v>82</v>
      </c>
      <c r="US9" s="1" t="s">
        <v>82</v>
      </c>
      <c r="UT9" s="1" t="s">
        <v>147</v>
      </c>
      <c r="UU9" s="1" t="s">
        <v>82</v>
      </c>
      <c r="UV9" s="1" t="s">
        <v>82</v>
      </c>
    </row>
    <row r="10" spans="1:568" x14ac:dyDescent="0.25">
      <c r="E10" s="1" t="s">
        <v>90</v>
      </c>
      <c r="F10" s="1" t="s">
        <v>810</v>
      </c>
      <c r="H10" s="1" t="s">
        <v>73</v>
      </c>
      <c r="I10" s="1" t="s">
        <v>810</v>
      </c>
      <c r="J10" s="1" t="s">
        <v>82</v>
      </c>
      <c r="L10" s="1" t="s">
        <v>90</v>
      </c>
      <c r="O10" s="1" t="s">
        <v>82</v>
      </c>
      <c r="Q10" s="1" t="s">
        <v>82</v>
      </c>
      <c r="R10" s="1" t="s">
        <v>810</v>
      </c>
      <c r="S10" s="1" t="s">
        <v>82</v>
      </c>
      <c r="T10" s="1" t="s">
        <v>90</v>
      </c>
      <c r="V10" s="1" t="s">
        <v>82</v>
      </c>
      <c r="W10" s="1" t="s">
        <v>82</v>
      </c>
      <c r="X10" s="1" t="s">
        <v>82</v>
      </c>
      <c r="Y10" s="1" t="s">
        <v>82</v>
      </c>
      <c r="AC10" s="1" t="s">
        <v>82</v>
      </c>
      <c r="AE10" s="1" t="s">
        <v>82</v>
      </c>
      <c r="AF10" s="1" t="s">
        <v>82</v>
      </c>
      <c r="AG10" s="1" t="s">
        <v>810</v>
      </c>
      <c r="AH10" s="1" t="s">
        <v>90</v>
      </c>
      <c r="AI10" s="1" t="s">
        <v>82</v>
      </c>
      <c r="AJ10" s="1" t="s">
        <v>90</v>
      </c>
      <c r="AN10" s="1" t="s">
        <v>82</v>
      </c>
      <c r="AO10" s="1" t="s">
        <v>82</v>
      </c>
      <c r="AT10" s="1" t="s">
        <v>82</v>
      </c>
      <c r="BC10" s="1" t="s">
        <v>82</v>
      </c>
      <c r="BH10" s="1" t="s">
        <v>82</v>
      </c>
      <c r="BL10" s="1" t="s">
        <v>82</v>
      </c>
      <c r="BP10" s="1" t="s">
        <v>82</v>
      </c>
      <c r="CA10" s="1" t="s">
        <v>82</v>
      </c>
      <c r="CV10" s="1" t="s">
        <v>82</v>
      </c>
      <c r="DD10" s="1" t="s">
        <v>82</v>
      </c>
      <c r="DG10" s="1" t="s">
        <v>82</v>
      </c>
      <c r="DM10" s="1" t="s">
        <v>82</v>
      </c>
      <c r="DP10" s="1" t="s">
        <v>82</v>
      </c>
      <c r="EB10" s="1" t="s">
        <v>73</v>
      </c>
      <c r="EK10" s="1" t="s">
        <v>82</v>
      </c>
      <c r="EO10" s="1" t="s">
        <v>82</v>
      </c>
      <c r="EV10" s="1" t="s">
        <v>82</v>
      </c>
      <c r="EX10" s="1" t="s">
        <v>73</v>
      </c>
      <c r="EZ10" s="1" t="s">
        <v>82</v>
      </c>
      <c r="FB10" s="1" t="s">
        <v>82</v>
      </c>
      <c r="FF10" s="1" t="s">
        <v>82</v>
      </c>
      <c r="FH10" s="1" t="s">
        <v>82</v>
      </c>
      <c r="FL10" s="1" t="s">
        <v>82</v>
      </c>
      <c r="FO10" s="1" t="s">
        <v>82</v>
      </c>
      <c r="FR10" s="1" t="s">
        <v>82</v>
      </c>
      <c r="FV10" s="1" t="s">
        <v>82</v>
      </c>
      <c r="FW10" s="1" t="s">
        <v>82</v>
      </c>
      <c r="FZ10" s="1" t="s">
        <v>82</v>
      </c>
      <c r="GA10" s="1" t="s">
        <v>82</v>
      </c>
      <c r="GD10" s="1" t="s">
        <v>82</v>
      </c>
      <c r="GF10" s="1" t="s">
        <v>82</v>
      </c>
      <c r="GJ10" s="1" t="s">
        <v>82</v>
      </c>
      <c r="GL10" s="1" t="s">
        <v>82</v>
      </c>
      <c r="GR10" s="1" t="s">
        <v>82</v>
      </c>
      <c r="GU10" s="1" t="s">
        <v>82</v>
      </c>
      <c r="GW10" s="1" t="s">
        <v>82</v>
      </c>
      <c r="GX10" s="1" t="s">
        <v>82</v>
      </c>
      <c r="GY10" s="1" t="s">
        <v>82</v>
      </c>
      <c r="GZ10" s="1" t="s">
        <v>82</v>
      </c>
      <c r="HB10" s="1" t="s">
        <v>82</v>
      </c>
      <c r="HC10" s="1" t="s">
        <v>82</v>
      </c>
      <c r="HL10" s="1" t="s">
        <v>82</v>
      </c>
      <c r="HN10" s="1" t="s">
        <v>82</v>
      </c>
      <c r="HU10" s="1" t="s">
        <v>82</v>
      </c>
      <c r="HW10" s="1" t="s">
        <v>82</v>
      </c>
      <c r="HZ10" s="1" t="s">
        <v>82</v>
      </c>
      <c r="ID10" s="1" t="s">
        <v>147</v>
      </c>
      <c r="IE10" s="1" t="s">
        <v>82</v>
      </c>
      <c r="IG10" s="1" t="s">
        <v>82</v>
      </c>
      <c r="IJ10" s="1" t="s">
        <v>82</v>
      </c>
      <c r="IN10" s="1" t="s">
        <v>82</v>
      </c>
      <c r="IP10" s="1" t="s">
        <v>82</v>
      </c>
      <c r="IT10" s="1" t="s">
        <v>82</v>
      </c>
      <c r="JK10" s="1" t="s">
        <v>82</v>
      </c>
      <c r="JV10" s="1" t="s">
        <v>82</v>
      </c>
      <c r="KC10" s="1" t="s">
        <v>82</v>
      </c>
      <c r="KI10" s="1" t="s">
        <v>82</v>
      </c>
      <c r="KO10" s="1" t="s">
        <v>82</v>
      </c>
      <c r="MK10" s="1" t="s">
        <v>90</v>
      </c>
      <c r="ML10" s="1" t="s">
        <v>90</v>
      </c>
      <c r="MY10" s="1" t="s">
        <v>73</v>
      </c>
      <c r="NN10" s="1" t="s">
        <v>810</v>
      </c>
      <c r="NP10" s="1" t="s">
        <v>82</v>
      </c>
      <c r="NQ10" s="1" t="s">
        <v>810</v>
      </c>
      <c r="NY10" s="1" t="s">
        <v>82</v>
      </c>
      <c r="OC10" s="1" t="s">
        <v>82</v>
      </c>
      <c r="OE10" s="1" t="s">
        <v>82</v>
      </c>
      <c r="OF10" s="1" t="s">
        <v>729</v>
      </c>
      <c r="OG10" s="1" t="s">
        <v>82</v>
      </c>
      <c r="OI10" s="1" t="s">
        <v>729</v>
      </c>
      <c r="OK10" s="1" t="s">
        <v>82</v>
      </c>
      <c r="OL10" s="1" t="s">
        <v>729</v>
      </c>
      <c r="ON10" s="1" t="s">
        <v>729</v>
      </c>
      <c r="OO10" s="1" t="s">
        <v>82</v>
      </c>
      <c r="OR10" s="1" t="s">
        <v>82</v>
      </c>
      <c r="OT10" s="1" t="s">
        <v>82</v>
      </c>
      <c r="OU10" s="1" t="s">
        <v>82</v>
      </c>
      <c r="PC10" s="1" t="s">
        <v>82</v>
      </c>
      <c r="PE10" s="1" t="s">
        <v>82</v>
      </c>
      <c r="PJ10" s="1" t="s">
        <v>90</v>
      </c>
      <c r="PK10" s="1" t="s">
        <v>82</v>
      </c>
      <c r="PM10" s="1" t="s">
        <v>90</v>
      </c>
      <c r="PN10" s="1" t="s">
        <v>82</v>
      </c>
      <c r="PO10" s="1" t="s">
        <v>82</v>
      </c>
      <c r="PR10" s="1" t="s">
        <v>82</v>
      </c>
      <c r="PT10" s="1" t="s">
        <v>90</v>
      </c>
      <c r="PX10" s="1" t="s">
        <v>82</v>
      </c>
      <c r="QB10" s="1" t="s">
        <v>82</v>
      </c>
      <c r="QE10" s="1" t="s">
        <v>82</v>
      </c>
      <c r="QG10" s="1" t="s">
        <v>82</v>
      </c>
      <c r="QH10" s="1" t="s">
        <v>82</v>
      </c>
      <c r="QL10" s="1" t="s">
        <v>90</v>
      </c>
      <c r="QM10" s="1" t="s">
        <v>82</v>
      </c>
      <c r="QQ10" s="1" t="s">
        <v>82</v>
      </c>
      <c r="QT10" s="1" t="s">
        <v>82</v>
      </c>
      <c r="QV10" s="1" t="s">
        <v>82</v>
      </c>
      <c r="QX10" s="1" t="s">
        <v>147</v>
      </c>
      <c r="QY10" s="1" t="s">
        <v>82</v>
      </c>
      <c r="RA10" s="1" t="s">
        <v>82</v>
      </c>
      <c r="RJ10" s="1" t="s">
        <v>82</v>
      </c>
      <c r="RR10" s="1" t="s">
        <v>82</v>
      </c>
      <c r="RW10" s="1" t="s">
        <v>147</v>
      </c>
      <c r="RX10" s="1" t="s">
        <v>741</v>
      </c>
      <c r="RY10" s="1" t="s">
        <v>741</v>
      </c>
      <c r="RZ10" s="1" t="s">
        <v>741</v>
      </c>
      <c r="SD10" s="1" t="s">
        <v>147</v>
      </c>
      <c r="SG10" s="1" t="s">
        <v>91</v>
      </c>
      <c r="SK10" s="1" t="s">
        <v>91</v>
      </c>
      <c r="SL10" s="1" t="s">
        <v>91</v>
      </c>
      <c r="SO10" s="1" t="s">
        <v>91</v>
      </c>
      <c r="SP10" s="1" t="s">
        <v>91</v>
      </c>
      <c r="SS10" s="1" t="s">
        <v>91</v>
      </c>
      <c r="ST10" s="1" t="s">
        <v>90</v>
      </c>
      <c r="SU10" s="1" t="s">
        <v>90</v>
      </c>
      <c r="TE10" s="1" t="s">
        <v>750</v>
      </c>
      <c r="UO10" s="1" t="s">
        <v>810</v>
      </c>
      <c r="UP10" s="1" t="s">
        <v>90</v>
      </c>
      <c r="UQ10" s="1" t="s">
        <v>90</v>
      </c>
      <c r="UR10" s="1" t="s">
        <v>810</v>
      </c>
      <c r="US10" s="1" t="s">
        <v>90</v>
      </c>
      <c r="UT10" s="1" t="s">
        <v>82</v>
      </c>
      <c r="UU10" s="1" t="s">
        <v>810</v>
      </c>
      <c r="UV10" s="1" t="s">
        <v>810</v>
      </c>
    </row>
    <row r="11" spans="1:568" x14ac:dyDescent="0.25">
      <c r="E11" s="1" t="s">
        <v>91</v>
      </c>
      <c r="F11" s="1" t="s">
        <v>90</v>
      </c>
      <c r="H11" s="1" t="s">
        <v>74</v>
      </c>
      <c r="I11" s="1" t="s">
        <v>90</v>
      </c>
      <c r="J11" s="1" t="s">
        <v>90</v>
      </c>
      <c r="L11" s="1" t="s">
        <v>91</v>
      </c>
      <c r="O11" s="1" t="s">
        <v>90</v>
      </c>
      <c r="Q11" s="1" t="s">
        <v>90</v>
      </c>
      <c r="R11" s="1" t="s">
        <v>90</v>
      </c>
      <c r="S11" s="1" t="s">
        <v>810</v>
      </c>
      <c r="T11" s="1" t="s">
        <v>91</v>
      </c>
      <c r="V11" s="1" t="s">
        <v>90</v>
      </c>
      <c r="W11" s="1" t="s">
        <v>90</v>
      </c>
      <c r="X11" s="1" t="s">
        <v>90</v>
      </c>
      <c r="Y11" s="1" t="s">
        <v>90</v>
      </c>
      <c r="AC11" s="1" t="s">
        <v>90</v>
      </c>
      <c r="AE11" s="1" t="s">
        <v>90</v>
      </c>
      <c r="AF11" s="1" t="s">
        <v>90</v>
      </c>
      <c r="AG11" s="1" t="s">
        <v>90</v>
      </c>
      <c r="AH11" s="1" t="s">
        <v>91</v>
      </c>
      <c r="AI11" s="1" t="s">
        <v>90</v>
      </c>
      <c r="AJ11" s="1" t="s">
        <v>91</v>
      </c>
      <c r="AN11" s="1" t="s">
        <v>90</v>
      </c>
      <c r="AO11" s="1" t="s">
        <v>90</v>
      </c>
      <c r="AT11" s="1" t="s">
        <v>90</v>
      </c>
      <c r="BC11" s="1" t="s">
        <v>90</v>
      </c>
      <c r="BH11" s="1" t="s">
        <v>90</v>
      </c>
      <c r="BL11" s="1" t="s">
        <v>90</v>
      </c>
      <c r="BP11" s="1" t="s">
        <v>90</v>
      </c>
      <c r="CA11" s="1" t="s">
        <v>90</v>
      </c>
      <c r="CV11" s="1" t="s">
        <v>90</v>
      </c>
      <c r="DD11" s="1" t="s">
        <v>90</v>
      </c>
      <c r="DG11" s="1" t="s">
        <v>90</v>
      </c>
      <c r="DM11" s="1" t="s">
        <v>90</v>
      </c>
      <c r="DP11" s="1" t="s">
        <v>90</v>
      </c>
      <c r="EB11" s="1" t="s">
        <v>74</v>
      </c>
      <c r="EK11" s="1" t="s">
        <v>90</v>
      </c>
      <c r="EO11" s="1" t="s">
        <v>90</v>
      </c>
      <c r="EV11" s="1" t="s">
        <v>90</v>
      </c>
      <c r="EX11" s="1" t="s">
        <v>74</v>
      </c>
      <c r="EZ11" s="1" t="s">
        <v>90</v>
      </c>
      <c r="FB11" s="1" t="s">
        <v>90</v>
      </c>
      <c r="FF11" s="1" t="s">
        <v>90</v>
      </c>
      <c r="FH11" s="1" t="s">
        <v>90</v>
      </c>
      <c r="FL11" s="1" t="s">
        <v>90</v>
      </c>
      <c r="FO11" s="1" t="s">
        <v>90</v>
      </c>
      <c r="FR11" s="1" t="s">
        <v>90</v>
      </c>
      <c r="FV11" s="1" t="s">
        <v>90</v>
      </c>
      <c r="FW11" s="1" t="s">
        <v>90</v>
      </c>
      <c r="FZ11" s="1" t="s">
        <v>90</v>
      </c>
      <c r="GA11" s="1" t="s">
        <v>90</v>
      </c>
      <c r="GD11" s="1" t="s">
        <v>90</v>
      </c>
      <c r="GF11" s="1" t="s">
        <v>90</v>
      </c>
      <c r="GJ11" s="1" t="s">
        <v>90</v>
      </c>
      <c r="GL11" s="1" t="s">
        <v>90</v>
      </c>
      <c r="GR11" s="1" t="s">
        <v>90</v>
      </c>
      <c r="GU11" s="1" t="s">
        <v>90</v>
      </c>
      <c r="GW11" s="1" t="s">
        <v>90</v>
      </c>
      <c r="GX11" s="1" t="s">
        <v>90</v>
      </c>
      <c r="GY11" s="1" t="s">
        <v>90</v>
      </c>
      <c r="GZ11" s="1" t="s">
        <v>90</v>
      </c>
      <c r="HB11" s="1" t="s">
        <v>90</v>
      </c>
      <c r="HC11" s="1" t="s">
        <v>90</v>
      </c>
      <c r="HL11" s="1" t="s">
        <v>90</v>
      </c>
      <c r="HN11" s="1" t="s">
        <v>90</v>
      </c>
      <c r="HU11" s="1" t="s">
        <v>90</v>
      </c>
      <c r="HW11" s="1" t="s">
        <v>90</v>
      </c>
      <c r="HZ11" s="1" t="s">
        <v>90</v>
      </c>
      <c r="ID11" s="1" t="s">
        <v>82</v>
      </c>
      <c r="IE11" s="1" t="s">
        <v>90</v>
      </c>
      <c r="IG11" s="1" t="s">
        <v>90</v>
      </c>
      <c r="IJ11" s="1" t="s">
        <v>90</v>
      </c>
      <c r="IN11" s="1" t="s">
        <v>90</v>
      </c>
      <c r="IP11" s="1" t="s">
        <v>90</v>
      </c>
      <c r="IT11" s="1" t="s">
        <v>90</v>
      </c>
      <c r="JK11" s="1" t="s">
        <v>90</v>
      </c>
      <c r="JV11" s="1" t="s">
        <v>90</v>
      </c>
      <c r="KC11" s="1" t="s">
        <v>90</v>
      </c>
      <c r="KI11" s="1" t="s">
        <v>90</v>
      </c>
      <c r="KO11" s="1" t="s">
        <v>90</v>
      </c>
      <c r="MK11" s="1" t="s">
        <v>91</v>
      </c>
      <c r="ML11" s="1" t="s">
        <v>91</v>
      </c>
      <c r="MY11" s="1" t="s">
        <v>74</v>
      </c>
      <c r="NN11" s="1" t="s">
        <v>90</v>
      </c>
      <c r="NP11" s="1" t="s">
        <v>90</v>
      </c>
      <c r="NQ11" s="1" t="s">
        <v>90</v>
      </c>
      <c r="NY11" s="1" t="s">
        <v>90</v>
      </c>
      <c r="OC11" s="1" t="s">
        <v>90</v>
      </c>
      <c r="OE11" s="1" t="s">
        <v>90</v>
      </c>
      <c r="OF11" s="1" t="s">
        <v>318</v>
      </c>
      <c r="OG11" s="1" t="s">
        <v>90</v>
      </c>
      <c r="OI11" s="1" t="s">
        <v>318</v>
      </c>
      <c r="OK11" s="1" t="s">
        <v>90</v>
      </c>
      <c r="OL11" s="1" t="s">
        <v>318</v>
      </c>
      <c r="ON11" s="1" t="s">
        <v>318</v>
      </c>
      <c r="OO11" s="1" t="s">
        <v>90</v>
      </c>
      <c r="OR11" s="1" t="s">
        <v>810</v>
      </c>
      <c r="OT11" s="1" t="s">
        <v>90</v>
      </c>
      <c r="OU11" s="1" t="s">
        <v>90</v>
      </c>
      <c r="PC11" s="1" t="s">
        <v>90</v>
      </c>
      <c r="PE11" s="1" t="s">
        <v>90</v>
      </c>
      <c r="PJ11" s="1" t="s">
        <v>91</v>
      </c>
      <c r="PK11" s="1" t="s">
        <v>90</v>
      </c>
      <c r="PM11" s="1" t="s">
        <v>91</v>
      </c>
      <c r="PN11" s="1" t="s">
        <v>90</v>
      </c>
      <c r="PO11" s="1" t="s">
        <v>90</v>
      </c>
      <c r="PR11" s="1" t="s">
        <v>90</v>
      </c>
      <c r="PT11" s="1" t="s">
        <v>91</v>
      </c>
      <c r="PX11" s="1" t="s">
        <v>90</v>
      </c>
      <c r="QB11" s="1" t="s">
        <v>90</v>
      </c>
      <c r="QE11" s="1" t="s">
        <v>90</v>
      </c>
      <c r="QG11" s="1" t="s">
        <v>90</v>
      </c>
      <c r="QH11" s="1" t="s">
        <v>90</v>
      </c>
      <c r="QL11" s="1" t="s">
        <v>91</v>
      </c>
      <c r="QM11" s="1" t="s">
        <v>90</v>
      </c>
      <c r="QQ11" s="1" t="s">
        <v>90</v>
      </c>
      <c r="QT11" s="1" t="s">
        <v>90</v>
      </c>
      <c r="QV11" s="1" t="s">
        <v>90</v>
      </c>
      <c r="QX11" s="1" t="s">
        <v>82</v>
      </c>
      <c r="QY11" s="1" t="s">
        <v>90</v>
      </c>
      <c r="RA11" s="1" t="s">
        <v>90</v>
      </c>
      <c r="RJ11" s="1" t="s">
        <v>90</v>
      </c>
      <c r="RR11" s="1" t="s">
        <v>810</v>
      </c>
      <c r="RW11" s="1" t="s">
        <v>82</v>
      </c>
      <c r="RX11" s="1" t="s">
        <v>805</v>
      </c>
      <c r="RY11" s="1" t="s">
        <v>805</v>
      </c>
      <c r="RZ11" s="1" t="s">
        <v>805</v>
      </c>
      <c r="SD11" s="1" t="s">
        <v>82</v>
      </c>
      <c r="SG11" s="1" t="s">
        <v>88</v>
      </c>
      <c r="SK11" s="1" t="s">
        <v>88</v>
      </c>
      <c r="SL11" s="1" t="s">
        <v>88</v>
      </c>
      <c r="SO11" s="1" t="s">
        <v>88</v>
      </c>
      <c r="SP11" s="1" t="s">
        <v>88</v>
      </c>
      <c r="SS11" s="1" t="s">
        <v>719</v>
      </c>
      <c r="ST11" s="1" t="s">
        <v>91</v>
      </c>
      <c r="SU11" s="1" t="s">
        <v>91</v>
      </c>
      <c r="TE11" s="1" t="s">
        <v>739</v>
      </c>
      <c r="UO11" s="1" t="s">
        <v>90</v>
      </c>
      <c r="UP11" s="1" t="s">
        <v>91</v>
      </c>
      <c r="UQ11" s="1" t="s">
        <v>91</v>
      </c>
      <c r="UR11" s="1" t="s">
        <v>90</v>
      </c>
      <c r="US11" s="1" t="s">
        <v>91</v>
      </c>
      <c r="UT11" s="1" t="s">
        <v>90</v>
      </c>
      <c r="UU11" s="1" t="s">
        <v>90</v>
      </c>
      <c r="UV11" s="1" t="s">
        <v>90</v>
      </c>
    </row>
    <row r="12" spans="1:568" x14ac:dyDescent="0.25">
      <c r="E12" s="1" t="s">
        <v>719</v>
      </c>
      <c r="F12" s="1" t="s">
        <v>91</v>
      </c>
      <c r="H12" s="1" t="s">
        <v>75</v>
      </c>
      <c r="I12" s="1" t="s">
        <v>91</v>
      </c>
      <c r="J12" s="1" t="s">
        <v>91</v>
      </c>
      <c r="L12" s="1" t="s">
        <v>88</v>
      </c>
      <c r="O12" s="1" t="s">
        <v>91</v>
      </c>
      <c r="Q12" s="1" t="s">
        <v>91</v>
      </c>
      <c r="R12" s="1" t="s">
        <v>91</v>
      </c>
      <c r="S12" s="1" t="s">
        <v>90</v>
      </c>
      <c r="T12" s="1" t="s">
        <v>88</v>
      </c>
      <c r="V12" s="1" t="s">
        <v>91</v>
      </c>
      <c r="W12" s="1" t="s">
        <v>91</v>
      </c>
      <c r="X12" s="1" t="s">
        <v>91</v>
      </c>
      <c r="Y12" s="1" t="s">
        <v>91</v>
      </c>
      <c r="AC12" s="1" t="s">
        <v>91</v>
      </c>
      <c r="AE12" s="1" t="s">
        <v>91</v>
      </c>
      <c r="AF12" s="1" t="s">
        <v>91</v>
      </c>
      <c r="AG12" s="1" t="s">
        <v>91</v>
      </c>
      <c r="AH12" s="1" t="s">
        <v>719</v>
      </c>
      <c r="AI12" s="1" t="s">
        <v>91</v>
      </c>
      <c r="AJ12" s="1" t="s">
        <v>719</v>
      </c>
      <c r="AN12" s="1" t="s">
        <v>91</v>
      </c>
      <c r="AO12" s="1" t="s">
        <v>91</v>
      </c>
      <c r="AT12" s="1" t="s">
        <v>91</v>
      </c>
      <c r="BC12" s="1" t="s">
        <v>91</v>
      </c>
      <c r="BH12" s="1" t="s">
        <v>91</v>
      </c>
      <c r="BL12" s="1" t="s">
        <v>91</v>
      </c>
      <c r="BP12" s="1" t="s">
        <v>91</v>
      </c>
      <c r="CA12" s="1" t="s">
        <v>91</v>
      </c>
      <c r="CV12" s="1" t="s">
        <v>91</v>
      </c>
      <c r="DD12" s="1" t="s">
        <v>91</v>
      </c>
      <c r="DG12" s="1" t="s">
        <v>91</v>
      </c>
      <c r="DM12" s="1" t="s">
        <v>91</v>
      </c>
      <c r="DP12" s="1" t="s">
        <v>91</v>
      </c>
      <c r="EB12" s="1" t="s">
        <v>75</v>
      </c>
      <c r="EK12" s="1" t="s">
        <v>91</v>
      </c>
      <c r="EO12" s="1" t="s">
        <v>91</v>
      </c>
      <c r="EV12" s="1" t="s">
        <v>91</v>
      </c>
      <c r="EX12" s="1" t="s">
        <v>75</v>
      </c>
      <c r="EZ12" s="1" t="s">
        <v>91</v>
      </c>
      <c r="FB12" s="1" t="s">
        <v>91</v>
      </c>
      <c r="FF12" s="1" t="s">
        <v>91</v>
      </c>
      <c r="FH12" s="1" t="s">
        <v>91</v>
      </c>
      <c r="FL12" s="1" t="s">
        <v>91</v>
      </c>
      <c r="FO12" s="1" t="s">
        <v>91</v>
      </c>
      <c r="FR12" s="1" t="s">
        <v>91</v>
      </c>
      <c r="FV12" s="1" t="s">
        <v>91</v>
      </c>
      <c r="FW12" s="1" t="s">
        <v>91</v>
      </c>
      <c r="FZ12" s="1" t="s">
        <v>91</v>
      </c>
      <c r="GA12" s="1" t="s">
        <v>91</v>
      </c>
      <c r="GD12" s="1" t="s">
        <v>91</v>
      </c>
      <c r="GF12" s="1" t="s">
        <v>91</v>
      </c>
      <c r="GJ12" s="1" t="s">
        <v>91</v>
      </c>
      <c r="GL12" s="1" t="s">
        <v>91</v>
      </c>
      <c r="GR12" s="1" t="s">
        <v>91</v>
      </c>
      <c r="GU12" s="1" t="s">
        <v>91</v>
      </c>
      <c r="GW12" s="1" t="s">
        <v>91</v>
      </c>
      <c r="GX12" s="1" t="s">
        <v>91</v>
      </c>
      <c r="GY12" s="1" t="s">
        <v>91</v>
      </c>
      <c r="GZ12" s="1" t="s">
        <v>91</v>
      </c>
      <c r="HB12" s="1" t="s">
        <v>91</v>
      </c>
      <c r="HC12" s="1" t="s">
        <v>91</v>
      </c>
      <c r="HL12" s="1" t="s">
        <v>91</v>
      </c>
      <c r="HN12" s="1" t="s">
        <v>91</v>
      </c>
      <c r="HU12" s="1" t="s">
        <v>91</v>
      </c>
      <c r="HW12" s="1" t="s">
        <v>91</v>
      </c>
      <c r="HZ12" s="1" t="s">
        <v>91</v>
      </c>
      <c r="ID12" s="1" t="s">
        <v>90</v>
      </c>
      <c r="IE12" s="1" t="s">
        <v>91</v>
      </c>
      <c r="IG12" s="1" t="s">
        <v>91</v>
      </c>
      <c r="IJ12" s="1" t="s">
        <v>91</v>
      </c>
      <c r="IN12" s="1" t="s">
        <v>91</v>
      </c>
      <c r="IP12" s="1" t="s">
        <v>91</v>
      </c>
      <c r="IT12" s="1" t="s">
        <v>91</v>
      </c>
      <c r="JK12" s="1" t="s">
        <v>91</v>
      </c>
      <c r="JV12" s="1" t="s">
        <v>91</v>
      </c>
      <c r="KC12" s="1" t="s">
        <v>91</v>
      </c>
      <c r="KI12" s="1" t="s">
        <v>91</v>
      </c>
      <c r="KO12" s="1" t="s">
        <v>91</v>
      </c>
      <c r="MK12" s="1" t="s">
        <v>92</v>
      </c>
      <c r="ML12" s="1" t="s">
        <v>92</v>
      </c>
      <c r="MY12" s="1" t="s">
        <v>75</v>
      </c>
      <c r="NN12" s="1" t="s">
        <v>91</v>
      </c>
      <c r="NP12" s="1" t="s">
        <v>91</v>
      </c>
      <c r="NQ12" s="1" t="s">
        <v>91</v>
      </c>
      <c r="NY12" s="1" t="s">
        <v>91</v>
      </c>
      <c r="OC12" s="1" t="s">
        <v>91</v>
      </c>
      <c r="OE12" s="1" t="s">
        <v>91</v>
      </c>
      <c r="OF12" s="1" t="s">
        <v>728</v>
      </c>
      <c r="OG12" s="1" t="s">
        <v>91</v>
      </c>
      <c r="OI12" s="1" t="s">
        <v>728</v>
      </c>
      <c r="OK12" s="1" t="s">
        <v>91</v>
      </c>
      <c r="OL12" s="1" t="s">
        <v>728</v>
      </c>
      <c r="ON12" s="1" t="s">
        <v>728</v>
      </c>
      <c r="OO12" s="1" t="s">
        <v>91</v>
      </c>
      <c r="OR12" s="1" t="s">
        <v>90</v>
      </c>
      <c r="OT12" s="1" t="s">
        <v>91</v>
      </c>
      <c r="OU12" s="1" t="s">
        <v>91</v>
      </c>
      <c r="PC12" s="1" t="s">
        <v>91</v>
      </c>
      <c r="PE12" s="1" t="s">
        <v>91</v>
      </c>
      <c r="PJ12" s="1" t="s">
        <v>92</v>
      </c>
      <c r="PK12" s="1" t="s">
        <v>91</v>
      </c>
      <c r="PM12" s="1" t="s">
        <v>92</v>
      </c>
      <c r="PN12" s="1" t="s">
        <v>91</v>
      </c>
      <c r="PO12" s="1" t="s">
        <v>91</v>
      </c>
      <c r="PR12" s="1" t="s">
        <v>91</v>
      </c>
      <c r="PT12" s="1" t="s">
        <v>92</v>
      </c>
      <c r="PX12" s="1" t="s">
        <v>91</v>
      </c>
      <c r="QB12" s="1" t="s">
        <v>91</v>
      </c>
      <c r="QE12" s="1" t="s">
        <v>91</v>
      </c>
      <c r="QG12" s="1" t="s">
        <v>91</v>
      </c>
      <c r="QH12" s="1" t="s">
        <v>91</v>
      </c>
      <c r="QL12" s="1" t="s">
        <v>92</v>
      </c>
      <c r="QM12" s="1" t="s">
        <v>91</v>
      </c>
      <c r="QQ12" s="1" t="s">
        <v>91</v>
      </c>
      <c r="QT12" s="1" t="s">
        <v>91</v>
      </c>
      <c r="QV12" s="1" t="s">
        <v>91</v>
      </c>
      <c r="QX12" s="1" t="s">
        <v>90</v>
      </c>
      <c r="QY12" s="1" t="s">
        <v>91</v>
      </c>
      <c r="RA12" s="1" t="s">
        <v>91</v>
      </c>
      <c r="RJ12" s="1" t="s">
        <v>91</v>
      </c>
      <c r="RR12" s="1" t="s">
        <v>90</v>
      </c>
      <c r="RW12" s="1" t="s">
        <v>810</v>
      </c>
      <c r="RX12" s="1" t="s">
        <v>738</v>
      </c>
      <c r="RY12" s="1" t="s">
        <v>738</v>
      </c>
      <c r="RZ12" s="1" t="s">
        <v>738</v>
      </c>
      <c r="SD12" s="1" t="s">
        <v>90</v>
      </c>
      <c r="SG12" s="1" t="s">
        <v>97</v>
      </c>
      <c r="SK12" s="1" t="s">
        <v>97</v>
      </c>
      <c r="SL12" s="1" t="s">
        <v>97</v>
      </c>
      <c r="SO12" s="1" t="s">
        <v>97</v>
      </c>
      <c r="SP12" s="1" t="s">
        <v>97</v>
      </c>
      <c r="SS12" s="1" t="s">
        <v>88</v>
      </c>
      <c r="ST12" s="1" t="s">
        <v>88</v>
      </c>
      <c r="SU12" s="1" t="s">
        <v>719</v>
      </c>
      <c r="TE12" s="1" t="s">
        <v>751</v>
      </c>
      <c r="UO12" s="1" t="s">
        <v>91</v>
      </c>
      <c r="UP12" s="1" t="s">
        <v>88</v>
      </c>
      <c r="UQ12" s="1" t="s">
        <v>719</v>
      </c>
      <c r="UR12" s="1" t="s">
        <v>91</v>
      </c>
      <c r="US12" s="1" t="s">
        <v>88</v>
      </c>
      <c r="UT12" s="1" t="s">
        <v>91</v>
      </c>
      <c r="UU12" s="1" t="s">
        <v>91</v>
      </c>
      <c r="UV12" s="1" t="s">
        <v>91</v>
      </c>
    </row>
    <row r="13" spans="1:568" x14ac:dyDescent="0.25">
      <c r="E13" s="1" t="s">
        <v>88</v>
      </c>
      <c r="F13" s="1" t="s">
        <v>88</v>
      </c>
      <c r="H13" s="1" t="s">
        <v>76</v>
      </c>
      <c r="I13" s="1" t="s">
        <v>88</v>
      </c>
      <c r="J13" s="1" t="s">
        <v>92</v>
      </c>
      <c r="L13" s="1" t="s">
        <v>97</v>
      </c>
      <c r="O13" s="1" t="s">
        <v>92</v>
      </c>
      <c r="Q13" s="1" t="s">
        <v>92</v>
      </c>
      <c r="R13" s="1" t="s">
        <v>719</v>
      </c>
      <c r="S13" s="1" t="s">
        <v>91</v>
      </c>
      <c r="T13" s="1" t="s">
        <v>97</v>
      </c>
      <c r="V13" s="1" t="s">
        <v>92</v>
      </c>
      <c r="W13" s="1" t="s">
        <v>92</v>
      </c>
      <c r="X13" s="1" t="s">
        <v>92</v>
      </c>
      <c r="Y13" s="1" t="s">
        <v>92</v>
      </c>
      <c r="AC13" s="1" t="s">
        <v>92</v>
      </c>
      <c r="AE13" s="1" t="s">
        <v>92</v>
      </c>
      <c r="AF13" s="1" t="s">
        <v>92</v>
      </c>
      <c r="AG13" s="1" t="s">
        <v>719</v>
      </c>
      <c r="AH13" s="1" t="s">
        <v>88</v>
      </c>
      <c r="AI13" s="1" t="s">
        <v>719</v>
      </c>
      <c r="AJ13" s="1" t="s">
        <v>88</v>
      </c>
      <c r="AN13" s="1" t="s">
        <v>92</v>
      </c>
      <c r="AO13" s="1" t="s">
        <v>92</v>
      </c>
      <c r="AT13" s="1" t="s">
        <v>92</v>
      </c>
      <c r="BC13" s="1" t="s">
        <v>92</v>
      </c>
      <c r="BH13" s="1" t="s">
        <v>92</v>
      </c>
      <c r="BL13" s="1" t="s">
        <v>92</v>
      </c>
      <c r="BP13" s="1" t="s">
        <v>92</v>
      </c>
      <c r="CA13" s="1" t="s">
        <v>92</v>
      </c>
      <c r="CV13" s="1" t="s">
        <v>92</v>
      </c>
      <c r="DD13" s="1" t="s">
        <v>92</v>
      </c>
      <c r="DG13" s="1" t="s">
        <v>92</v>
      </c>
      <c r="DM13" s="1" t="s">
        <v>92</v>
      </c>
      <c r="DP13" s="1" t="s">
        <v>92</v>
      </c>
      <c r="EB13" s="1" t="s">
        <v>76</v>
      </c>
      <c r="EK13" s="1" t="s">
        <v>92</v>
      </c>
      <c r="EO13" s="1" t="s">
        <v>92</v>
      </c>
      <c r="EV13" s="1" t="s">
        <v>92</v>
      </c>
      <c r="EX13" s="1" t="s">
        <v>76</v>
      </c>
      <c r="EZ13" s="1" t="s">
        <v>92</v>
      </c>
      <c r="FB13" s="1" t="s">
        <v>92</v>
      </c>
      <c r="FF13" s="1" t="s">
        <v>92</v>
      </c>
      <c r="FH13" s="1" t="s">
        <v>92</v>
      </c>
      <c r="FL13" s="1" t="s">
        <v>92</v>
      </c>
      <c r="FO13" s="1" t="s">
        <v>92</v>
      </c>
      <c r="FR13" s="1" t="s">
        <v>92</v>
      </c>
      <c r="FV13" s="1" t="s">
        <v>92</v>
      </c>
      <c r="FW13" s="1" t="s">
        <v>92</v>
      </c>
      <c r="FZ13" s="1" t="s">
        <v>92</v>
      </c>
      <c r="GA13" s="1" t="s">
        <v>92</v>
      </c>
      <c r="GD13" s="1" t="s">
        <v>92</v>
      </c>
      <c r="GF13" s="1" t="s">
        <v>92</v>
      </c>
      <c r="GJ13" s="1" t="s">
        <v>92</v>
      </c>
      <c r="GL13" s="1" t="s">
        <v>92</v>
      </c>
      <c r="GR13" s="1" t="s">
        <v>92</v>
      </c>
      <c r="GU13" s="1" t="s">
        <v>92</v>
      </c>
      <c r="GW13" s="1" t="s">
        <v>92</v>
      </c>
      <c r="GX13" s="1" t="s">
        <v>92</v>
      </c>
      <c r="GY13" s="1" t="s">
        <v>92</v>
      </c>
      <c r="GZ13" s="1" t="s">
        <v>92</v>
      </c>
      <c r="HB13" s="1" t="s">
        <v>92</v>
      </c>
      <c r="HC13" s="1" t="s">
        <v>92</v>
      </c>
      <c r="HL13" s="1" t="s">
        <v>92</v>
      </c>
      <c r="HN13" s="1" t="s">
        <v>92</v>
      </c>
      <c r="HU13" s="1" t="s">
        <v>92</v>
      </c>
      <c r="HW13" s="1" t="s">
        <v>92</v>
      </c>
      <c r="HZ13" s="1" t="s">
        <v>92</v>
      </c>
      <c r="ID13" s="1" t="s">
        <v>91</v>
      </c>
      <c r="IE13" s="1" t="s">
        <v>92</v>
      </c>
      <c r="IG13" s="1" t="s">
        <v>92</v>
      </c>
      <c r="IJ13" s="1" t="s">
        <v>92</v>
      </c>
      <c r="IN13" s="1" t="s">
        <v>92</v>
      </c>
      <c r="IP13" s="1" t="s">
        <v>92</v>
      </c>
      <c r="IT13" s="1" t="s">
        <v>92</v>
      </c>
      <c r="JK13" s="1" t="s">
        <v>92</v>
      </c>
      <c r="JV13" s="1" t="s">
        <v>92</v>
      </c>
      <c r="KC13" s="1" t="s">
        <v>92</v>
      </c>
      <c r="KI13" s="1" t="s">
        <v>92</v>
      </c>
      <c r="KO13" s="1" t="s">
        <v>92</v>
      </c>
      <c r="MK13" s="1" t="s">
        <v>88</v>
      </c>
      <c r="ML13" s="1" t="s">
        <v>719</v>
      </c>
      <c r="MY13" s="1" t="s">
        <v>76</v>
      </c>
      <c r="NN13" s="1" t="s">
        <v>92</v>
      </c>
      <c r="NP13" s="1" t="s">
        <v>92</v>
      </c>
      <c r="NQ13" s="1" t="s">
        <v>92</v>
      </c>
      <c r="NY13" s="1" t="s">
        <v>92</v>
      </c>
      <c r="OC13" s="1" t="s">
        <v>92</v>
      </c>
      <c r="OE13" s="1" t="s">
        <v>92</v>
      </c>
      <c r="OF13" s="1" t="s">
        <v>316</v>
      </c>
      <c r="OG13" s="1" t="s">
        <v>92</v>
      </c>
      <c r="OI13" s="1" t="s">
        <v>316</v>
      </c>
      <c r="OK13" s="1" t="s">
        <v>92</v>
      </c>
      <c r="OL13" s="1" t="s">
        <v>316</v>
      </c>
      <c r="ON13" s="1" t="s">
        <v>316</v>
      </c>
      <c r="OO13" s="1" t="s">
        <v>92</v>
      </c>
      <c r="OR13" s="1" t="s">
        <v>91</v>
      </c>
      <c r="OT13" s="1" t="s">
        <v>92</v>
      </c>
      <c r="OU13" s="1" t="s">
        <v>92</v>
      </c>
      <c r="PC13" s="1" t="s">
        <v>92</v>
      </c>
      <c r="PE13" s="1" t="s">
        <v>92</v>
      </c>
      <c r="PJ13" s="1" t="s">
        <v>88</v>
      </c>
      <c r="PK13" s="1" t="s">
        <v>92</v>
      </c>
      <c r="PM13" s="1" t="s">
        <v>88</v>
      </c>
      <c r="PN13" s="1" t="s">
        <v>92</v>
      </c>
      <c r="PO13" s="1" t="s">
        <v>92</v>
      </c>
      <c r="PR13" s="1" t="s">
        <v>92</v>
      </c>
      <c r="PT13" s="1" t="s">
        <v>88</v>
      </c>
      <c r="PX13" s="1" t="s">
        <v>92</v>
      </c>
      <c r="QB13" s="1" t="s">
        <v>92</v>
      </c>
      <c r="QE13" s="1" t="s">
        <v>92</v>
      </c>
      <c r="QG13" s="1" t="s">
        <v>92</v>
      </c>
      <c r="QH13" s="1" t="s">
        <v>92</v>
      </c>
      <c r="QL13" s="1" t="s">
        <v>88</v>
      </c>
      <c r="QM13" s="1" t="s">
        <v>92</v>
      </c>
      <c r="QQ13" s="1" t="s">
        <v>92</v>
      </c>
      <c r="QT13" s="1" t="s">
        <v>92</v>
      </c>
      <c r="QV13" s="1" t="s">
        <v>92</v>
      </c>
      <c r="QX13" s="1" t="s">
        <v>91</v>
      </c>
      <c r="QY13" s="1" t="s">
        <v>92</v>
      </c>
      <c r="RA13" s="1" t="s">
        <v>92</v>
      </c>
      <c r="RJ13" s="1" t="s">
        <v>92</v>
      </c>
      <c r="RR13" s="1" t="s">
        <v>91</v>
      </c>
      <c r="RW13" s="1" t="s">
        <v>90</v>
      </c>
      <c r="RX13" s="1" t="s">
        <v>733</v>
      </c>
      <c r="RY13" s="1" t="s">
        <v>733</v>
      </c>
      <c r="RZ13" s="1" t="s">
        <v>733</v>
      </c>
      <c r="SD13" s="1" t="s">
        <v>91</v>
      </c>
      <c r="SG13" s="1" t="s">
        <v>89</v>
      </c>
      <c r="SK13" s="1" t="s">
        <v>89</v>
      </c>
      <c r="SL13" s="1" t="s">
        <v>89</v>
      </c>
      <c r="SO13" s="1" t="s">
        <v>89</v>
      </c>
      <c r="SP13" s="1" t="s">
        <v>83</v>
      </c>
      <c r="SS13" s="1" t="s">
        <v>97</v>
      </c>
      <c r="ST13" s="1" t="s">
        <v>97</v>
      </c>
      <c r="SU13" s="1" t="s">
        <v>88</v>
      </c>
      <c r="TE13" s="1" t="s">
        <v>732</v>
      </c>
      <c r="UO13" s="1" t="s">
        <v>719</v>
      </c>
      <c r="UP13" s="1" t="s">
        <v>97</v>
      </c>
      <c r="UQ13" s="1" t="s">
        <v>88</v>
      </c>
      <c r="UR13" s="1" t="s">
        <v>88</v>
      </c>
      <c r="US13" s="1" t="s">
        <v>97</v>
      </c>
      <c r="UT13" s="1" t="s">
        <v>88</v>
      </c>
      <c r="UU13" s="1" t="s">
        <v>88</v>
      </c>
      <c r="UV13" s="1" t="s">
        <v>719</v>
      </c>
    </row>
    <row r="14" spans="1:568" x14ac:dyDescent="0.25">
      <c r="E14" s="1" t="s">
        <v>97</v>
      </c>
      <c r="F14" s="1" t="s">
        <v>97</v>
      </c>
      <c r="H14" s="1" t="s">
        <v>77</v>
      </c>
      <c r="I14" s="1" t="s">
        <v>97</v>
      </c>
      <c r="J14" s="1" t="s">
        <v>719</v>
      </c>
      <c r="L14" s="1" t="s">
        <v>89</v>
      </c>
      <c r="O14" s="1" t="s">
        <v>88</v>
      </c>
      <c r="Q14" s="1" t="s">
        <v>88</v>
      </c>
      <c r="R14" s="1" t="s">
        <v>88</v>
      </c>
      <c r="S14" s="1" t="s">
        <v>719</v>
      </c>
      <c r="T14" s="1" t="s">
        <v>89</v>
      </c>
      <c r="V14" s="1" t="s">
        <v>88</v>
      </c>
      <c r="W14" s="1" t="s">
        <v>88</v>
      </c>
      <c r="X14" s="1" t="s">
        <v>88</v>
      </c>
      <c r="Y14" s="1" t="s">
        <v>88</v>
      </c>
      <c r="AC14" s="1" t="s">
        <v>88</v>
      </c>
      <c r="AE14" s="1" t="s">
        <v>88</v>
      </c>
      <c r="AF14" s="1" t="s">
        <v>88</v>
      </c>
      <c r="AG14" s="1" t="s">
        <v>88</v>
      </c>
      <c r="AH14" s="1" t="s">
        <v>97</v>
      </c>
      <c r="AI14" s="1" t="s">
        <v>88</v>
      </c>
      <c r="AJ14" s="1" t="s">
        <v>97</v>
      </c>
      <c r="AN14" s="1" t="s">
        <v>88</v>
      </c>
      <c r="AO14" s="1" t="s">
        <v>88</v>
      </c>
      <c r="AT14" s="1" t="s">
        <v>88</v>
      </c>
      <c r="BC14" s="1" t="s">
        <v>88</v>
      </c>
      <c r="BH14" s="1" t="s">
        <v>88</v>
      </c>
      <c r="BL14" s="1" t="s">
        <v>88</v>
      </c>
      <c r="BP14" s="1" t="s">
        <v>88</v>
      </c>
      <c r="CA14" s="1" t="s">
        <v>88</v>
      </c>
      <c r="CV14" s="1" t="s">
        <v>88</v>
      </c>
      <c r="DD14" s="1" t="s">
        <v>88</v>
      </c>
      <c r="DG14" s="1" t="s">
        <v>88</v>
      </c>
      <c r="DM14" s="1" t="s">
        <v>88</v>
      </c>
      <c r="DP14" s="1" t="s">
        <v>88</v>
      </c>
      <c r="EB14" s="1" t="s">
        <v>77</v>
      </c>
      <c r="EK14" s="1" t="s">
        <v>88</v>
      </c>
      <c r="EO14" s="1" t="s">
        <v>88</v>
      </c>
      <c r="EV14" s="1" t="s">
        <v>88</v>
      </c>
      <c r="EX14" s="1" t="s">
        <v>77</v>
      </c>
      <c r="EZ14" s="1" t="s">
        <v>88</v>
      </c>
      <c r="FB14" s="1" t="s">
        <v>88</v>
      </c>
      <c r="FF14" s="1" t="s">
        <v>88</v>
      </c>
      <c r="FH14" s="1" t="s">
        <v>88</v>
      </c>
      <c r="FL14" s="1" t="s">
        <v>88</v>
      </c>
      <c r="FO14" s="1" t="s">
        <v>88</v>
      </c>
      <c r="FR14" s="1" t="s">
        <v>88</v>
      </c>
      <c r="FV14" s="1" t="s">
        <v>88</v>
      </c>
      <c r="FW14" s="1" t="s">
        <v>88</v>
      </c>
      <c r="FZ14" s="1" t="s">
        <v>88</v>
      </c>
      <c r="GA14" s="1" t="s">
        <v>88</v>
      </c>
      <c r="GD14" s="1" t="s">
        <v>88</v>
      </c>
      <c r="GF14" s="1" t="s">
        <v>88</v>
      </c>
      <c r="GJ14" s="1" t="s">
        <v>88</v>
      </c>
      <c r="GL14" s="1" t="s">
        <v>88</v>
      </c>
      <c r="GR14" s="1" t="s">
        <v>88</v>
      </c>
      <c r="GU14" s="1" t="s">
        <v>88</v>
      </c>
      <c r="GW14" s="1" t="s">
        <v>88</v>
      </c>
      <c r="GX14" s="1" t="s">
        <v>88</v>
      </c>
      <c r="GY14" s="1" t="s">
        <v>88</v>
      </c>
      <c r="GZ14" s="1" t="s">
        <v>88</v>
      </c>
      <c r="HB14" s="1" t="s">
        <v>88</v>
      </c>
      <c r="HC14" s="1" t="s">
        <v>88</v>
      </c>
      <c r="HL14" s="1" t="s">
        <v>88</v>
      </c>
      <c r="HN14" s="1" t="s">
        <v>88</v>
      </c>
      <c r="HU14" s="1" t="s">
        <v>88</v>
      </c>
      <c r="HW14" s="1" t="s">
        <v>88</v>
      </c>
      <c r="HZ14" s="1" t="s">
        <v>88</v>
      </c>
      <c r="ID14" s="1" t="s">
        <v>92</v>
      </c>
      <c r="IE14" s="1" t="s">
        <v>88</v>
      </c>
      <c r="IG14" s="1" t="s">
        <v>88</v>
      </c>
      <c r="IJ14" s="1" t="s">
        <v>88</v>
      </c>
      <c r="IN14" s="1" t="s">
        <v>88</v>
      </c>
      <c r="IP14" s="1" t="s">
        <v>88</v>
      </c>
      <c r="IT14" s="1" t="s">
        <v>88</v>
      </c>
      <c r="JK14" s="1" t="s">
        <v>88</v>
      </c>
      <c r="JV14" s="1" t="s">
        <v>88</v>
      </c>
      <c r="KC14" s="1" t="s">
        <v>88</v>
      </c>
      <c r="KI14" s="1" t="s">
        <v>88</v>
      </c>
      <c r="KO14" s="1" t="s">
        <v>88</v>
      </c>
      <c r="MK14" s="1" t="s">
        <v>97</v>
      </c>
      <c r="ML14" s="1" t="s">
        <v>88</v>
      </c>
      <c r="MY14" s="1" t="s">
        <v>77</v>
      </c>
      <c r="NN14" s="1" t="s">
        <v>719</v>
      </c>
      <c r="NP14" s="1" t="s">
        <v>88</v>
      </c>
      <c r="NQ14" s="1" t="s">
        <v>88</v>
      </c>
      <c r="NY14" s="1" t="s">
        <v>88</v>
      </c>
      <c r="OC14" s="1" t="s">
        <v>88</v>
      </c>
      <c r="OE14" s="1" t="s">
        <v>88</v>
      </c>
      <c r="OF14" t="s">
        <v>912</v>
      </c>
      <c r="OG14" s="1" t="s">
        <v>88</v>
      </c>
      <c r="OI14" t="s">
        <v>911</v>
      </c>
      <c r="OK14" s="1" t="s">
        <v>88</v>
      </c>
      <c r="OL14" t="s">
        <v>913</v>
      </c>
      <c r="ON14" t="s">
        <v>914</v>
      </c>
      <c r="OO14" s="1" t="s">
        <v>719</v>
      </c>
      <c r="OR14" s="1" t="s">
        <v>92</v>
      </c>
      <c r="OT14" s="1" t="s">
        <v>88</v>
      </c>
      <c r="OU14" s="1" t="s">
        <v>88</v>
      </c>
      <c r="PC14" s="1" t="s">
        <v>88</v>
      </c>
      <c r="PE14" s="1" t="s">
        <v>88</v>
      </c>
      <c r="PJ14" s="1" t="s">
        <v>97</v>
      </c>
      <c r="PK14" s="1" t="s">
        <v>88</v>
      </c>
      <c r="PM14" s="1" t="s">
        <v>97</v>
      </c>
      <c r="PN14" s="1" t="s">
        <v>88</v>
      </c>
      <c r="PO14" s="1" t="s">
        <v>88</v>
      </c>
      <c r="PR14" s="1" t="s">
        <v>88</v>
      </c>
      <c r="PT14" s="1" t="s">
        <v>97</v>
      </c>
      <c r="PX14" s="1" t="s">
        <v>88</v>
      </c>
      <c r="QB14" s="1" t="s">
        <v>88</v>
      </c>
      <c r="QE14" s="1" t="s">
        <v>88</v>
      </c>
      <c r="QG14" s="1" t="s">
        <v>88</v>
      </c>
      <c r="QH14" s="1" t="s">
        <v>88</v>
      </c>
      <c r="QL14" s="1" t="s">
        <v>97</v>
      </c>
      <c r="QM14" s="1" t="s">
        <v>88</v>
      </c>
      <c r="QQ14" s="1" t="s">
        <v>88</v>
      </c>
      <c r="QT14" s="1" t="s">
        <v>88</v>
      </c>
      <c r="QV14" s="1" t="s">
        <v>88</v>
      </c>
      <c r="QX14" s="1" t="s">
        <v>92</v>
      </c>
      <c r="QY14" s="1" t="s">
        <v>88</v>
      </c>
      <c r="RA14" s="1" t="s">
        <v>88</v>
      </c>
      <c r="RJ14" s="1" t="s">
        <v>719</v>
      </c>
      <c r="RR14" s="1" t="s">
        <v>92</v>
      </c>
      <c r="RW14" s="1" t="s">
        <v>91</v>
      </c>
      <c r="RX14" s="1" t="s">
        <v>806</v>
      </c>
      <c r="RY14" s="1" t="s">
        <v>806</v>
      </c>
      <c r="RZ14" s="1" t="s">
        <v>806</v>
      </c>
      <c r="SD14" s="1" t="s">
        <v>92</v>
      </c>
      <c r="SG14" s="1" t="s">
        <v>84</v>
      </c>
      <c r="SK14" s="1" t="s">
        <v>84</v>
      </c>
      <c r="SL14" s="1" t="s">
        <v>84</v>
      </c>
      <c r="SO14" s="1" t="s">
        <v>84</v>
      </c>
      <c r="SP14" s="1" t="s">
        <v>89</v>
      </c>
      <c r="SS14" s="1" t="s">
        <v>89</v>
      </c>
      <c r="ST14" s="1" t="s">
        <v>89</v>
      </c>
      <c r="SU14" s="1" t="s">
        <v>97</v>
      </c>
      <c r="TE14" s="1" t="s">
        <v>749</v>
      </c>
      <c r="UO14" s="1" t="s">
        <v>88</v>
      </c>
      <c r="UP14" s="1" t="s">
        <v>89</v>
      </c>
      <c r="UQ14" s="1" t="s">
        <v>97</v>
      </c>
      <c r="UR14" s="1" t="s">
        <v>97</v>
      </c>
      <c r="US14" s="1" t="s">
        <v>89</v>
      </c>
      <c r="UT14" s="1" t="s">
        <v>97</v>
      </c>
      <c r="UU14" s="1" t="s">
        <v>97</v>
      </c>
      <c r="UV14" s="1" t="s">
        <v>88</v>
      </c>
    </row>
    <row r="15" spans="1:568" x14ac:dyDescent="0.25">
      <c r="E15" s="1" t="s">
        <v>89</v>
      </c>
      <c r="F15" s="1" t="s">
        <v>89</v>
      </c>
      <c r="H15" s="1" t="s">
        <v>78</v>
      </c>
      <c r="I15" s="1" t="s">
        <v>89</v>
      </c>
      <c r="J15" s="1" t="s">
        <v>88</v>
      </c>
      <c r="L15" s="1" t="s">
        <v>84</v>
      </c>
      <c r="O15" s="1" t="s">
        <v>97</v>
      </c>
      <c r="Q15" s="1" t="s">
        <v>97</v>
      </c>
      <c r="R15" s="1" t="s">
        <v>97</v>
      </c>
      <c r="S15" s="1" t="s">
        <v>88</v>
      </c>
      <c r="T15" s="1" t="s">
        <v>84</v>
      </c>
      <c r="V15" s="1" t="s">
        <v>97</v>
      </c>
      <c r="W15" s="1" t="s">
        <v>97</v>
      </c>
      <c r="X15" s="1" t="s">
        <v>97</v>
      </c>
      <c r="Y15" s="1" t="s">
        <v>97</v>
      </c>
      <c r="AC15" s="1" t="s">
        <v>97</v>
      </c>
      <c r="AE15" s="1" t="s">
        <v>97</v>
      </c>
      <c r="AF15" s="1" t="s">
        <v>97</v>
      </c>
      <c r="AG15" s="1" t="s">
        <v>97</v>
      </c>
      <c r="AH15" s="1" t="s">
        <v>89</v>
      </c>
      <c r="AI15" s="1" t="s">
        <v>97</v>
      </c>
      <c r="AJ15" s="1" t="s">
        <v>89</v>
      </c>
      <c r="AN15" s="1" t="s">
        <v>97</v>
      </c>
      <c r="AO15" s="1" t="s">
        <v>97</v>
      </c>
      <c r="AT15" s="1" t="s">
        <v>97</v>
      </c>
      <c r="BC15" s="1" t="s">
        <v>97</v>
      </c>
      <c r="BH15" s="1" t="s">
        <v>97</v>
      </c>
      <c r="BL15" s="1" t="s">
        <v>97</v>
      </c>
      <c r="BP15" s="1" t="s">
        <v>97</v>
      </c>
      <c r="CA15" s="1" t="s">
        <v>97</v>
      </c>
      <c r="CV15" s="1" t="s">
        <v>97</v>
      </c>
      <c r="DD15" s="1" t="s">
        <v>97</v>
      </c>
      <c r="DG15" s="1" t="s">
        <v>97</v>
      </c>
      <c r="DM15" s="1" t="s">
        <v>97</v>
      </c>
      <c r="DP15" s="1" t="s">
        <v>97</v>
      </c>
      <c r="EB15" s="1" t="s">
        <v>78</v>
      </c>
      <c r="EK15" s="1" t="s">
        <v>97</v>
      </c>
      <c r="EO15" s="1" t="s">
        <v>97</v>
      </c>
      <c r="EV15" s="1" t="s">
        <v>97</v>
      </c>
      <c r="EX15" s="1" t="s">
        <v>78</v>
      </c>
      <c r="EZ15" s="1" t="s">
        <v>97</v>
      </c>
      <c r="FB15" s="1" t="s">
        <v>97</v>
      </c>
      <c r="FF15" s="1" t="s">
        <v>97</v>
      </c>
      <c r="FH15" s="1" t="s">
        <v>97</v>
      </c>
      <c r="FL15" s="1" t="s">
        <v>97</v>
      </c>
      <c r="FO15" s="1" t="s">
        <v>97</v>
      </c>
      <c r="FR15" s="1" t="s">
        <v>97</v>
      </c>
      <c r="FV15" s="1" t="s">
        <v>97</v>
      </c>
      <c r="FW15" s="1" t="s">
        <v>97</v>
      </c>
      <c r="FZ15" s="1" t="s">
        <v>97</v>
      </c>
      <c r="GA15" s="1" t="s">
        <v>97</v>
      </c>
      <c r="GD15" s="1" t="s">
        <v>97</v>
      </c>
      <c r="GF15" s="1" t="s">
        <v>97</v>
      </c>
      <c r="GJ15" s="1" t="s">
        <v>97</v>
      </c>
      <c r="GL15" s="1" t="s">
        <v>97</v>
      </c>
      <c r="GR15" s="1" t="s">
        <v>97</v>
      </c>
      <c r="GU15" s="1" t="s">
        <v>97</v>
      </c>
      <c r="GW15" s="1" t="s">
        <v>97</v>
      </c>
      <c r="GX15" s="1" t="s">
        <v>97</v>
      </c>
      <c r="GY15" s="1" t="s">
        <v>97</v>
      </c>
      <c r="GZ15" s="1" t="s">
        <v>97</v>
      </c>
      <c r="HB15" s="1" t="s">
        <v>97</v>
      </c>
      <c r="HC15" s="1" t="s">
        <v>97</v>
      </c>
      <c r="HL15" s="1" t="s">
        <v>97</v>
      </c>
      <c r="HN15" s="1" t="s">
        <v>97</v>
      </c>
      <c r="HU15" s="1" t="s">
        <v>97</v>
      </c>
      <c r="HW15" s="1" t="s">
        <v>97</v>
      </c>
      <c r="HZ15" s="1" t="s">
        <v>97</v>
      </c>
      <c r="ID15" s="1" t="s">
        <v>88</v>
      </c>
      <c r="IE15" s="1" t="s">
        <v>97</v>
      </c>
      <c r="IG15" s="1" t="s">
        <v>97</v>
      </c>
      <c r="IJ15" s="1" t="s">
        <v>97</v>
      </c>
      <c r="IN15" s="1" t="s">
        <v>97</v>
      </c>
      <c r="IP15" s="1" t="s">
        <v>97</v>
      </c>
      <c r="IT15" s="1" t="s">
        <v>97</v>
      </c>
      <c r="JK15" s="1" t="s">
        <v>97</v>
      </c>
      <c r="JV15" s="1" t="s">
        <v>97</v>
      </c>
      <c r="KC15" s="1" t="s">
        <v>97</v>
      </c>
      <c r="KI15" s="1" t="s">
        <v>97</v>
      </c>
      <c r="KO15" s="1" t="s">
        <v>97</v>
      </c>
      <c r="MK15" s="1" t="s">
        <v>89</v>
      </c>
      <c r="ML15" s="1" t="s">
        <v>97</v>
      </c>
      <c r="MY15" s="1" t="s">
        <v>78</v>
      </c>
      <c r="NN15" s="1" t="s">
        <v>88</v>
      </c>
      <c r="NP15" s="1" t="s">
        <v>97</v>
      </c>
      <c r="NQ15" s="1" t="s">
        <v>97</v>
      </c>
      <c r="NY15" s="1" t="s">
        <v>97</v>
      </c>
      <c r="OC15" s="1" t="s">
        <v>97</v>
      </c>
      <c r="OE15" s="1" t="s">
        <v>97</v>
      </c>
      <c r="OG15" s="1" t="s">
        <v>97</v>
      </c>
      <c r="OK15" s="1" t="s">
        <v>97</v>
      </c>
      <c r="OO15" s="1" t="s">
        <v>88</v>
      </c>
      <c r="OR15" s="1" t="s">
        <v>719</v>
      </c>
      <c r="OT15" s="1" t="s">
        <v>97</v>
      </c>
      <c r="OU15" s="1" t="s">
        <v>97</v>
      </c>
      <c r="PC15" s="1" t="s">
        <v>97</v>
      </c>
      <c r="PE15" s="1" t="s">
        <v>97</v>
      </c>
      <c r="PJ15" s="1" t="s">
        <v>89</v>
      </c>
      <c r="PK15" s="1" t="s">
        <v>97</v>
      </c>
      <c r="PM15" s="1" t="s">
        <v>89</v>
      </c>
      <c r="PN15" s="1" t="s">
        <v>97</v>
      </c>
      <c r="PO15" s="1" t="s">
        <v>97</v>
      </c>
      <c r="PR15" s="1" t="s">
        <v>97</v>
      </c>
      <c r="PT15" s="1" t="s">
        <v>89</v>
      </c>
      <c r="PX15" s="1" t="s">
        <v>97</v>
      </c>
      <c r="QB15" s="1" t="s">
        <v>97</v>
      </c>
      <c r="QE15" s="1" t="s">
        <v>97</v>
      </c>
      <c r="QG15" s="1" t="s">
        <v>97</v>
      </c>
      <c r="QH15" s="1" t="s">
        <v>97</v>
      </c>
      <c r="QL15" s="1" t="s">
        <v>83</v>
      </c>
      <c r="QM15" s="1" t="s">
        <v>97</v>
      </c>
      <c r="QQ15" s="1" t="s">
        <v>97</v>
      </c>
      <c r="QT15" s="1" t="s">
        <v>97</v>
      </c>
      <c r="QV15" s="1" t="s">
        <v>97</v>
      </c>
      <c r="QX15" s="1" t="s">
        <v>719</v>
      </c>
      <c r="QY15" s="1" t="s">
        <v>97</v>
      </c>
      <c r="RA15" s="1" t="s">
        <v>97</v>
      </c>
      <c r="RJ15" s="1" t="s">
        <v>88</v>
      </c>
      <c r="RR15" s="1" t="s">
        <v>719</v>
      </c>
      <c r="RW15" s="1" t="s">
        <v>92</v>
      </c>
      <c r="RX15" s="1" t="s">
        <v>750</v>
      </c>
      <c r="RY15" s="1" t="s">
        <v>750</v>
      </c>
      <c r="RZ15" s="1" t="s">
        <v>750</v>
      </c>
      <c r="SD15" s="1" t="s">
        <v>88</v>
      </c>
      <c r="SG15" s="1" t="s">
        <v>94</v>
      </c>
      <c r="SK15" s="1" t="s">
        <v>94</v>
      </c>
      <c r="SL15" s="1" t="s">
        <v>94</v>
      </c>
      <c r="SO15" s="1" t="s">
        <v>94</v>
      </c>
      <c r="SP15" s="1" t="s">
        <v>84</v>
      </c>
      <c r="SS15" s="1" t="s">
        <v>84</v>
      </c>
      <c r="ST15" s="1" t="s">
        <v>84</v>
      </c>
      <c r="SU15" s="1" t="s">
        <v>89</v>
      </c>
      <c r="UO15" s="1" t="s">
        <v>97</v>
      </c>
      <c r="UP15" s="1" t="s">
        <v>84</v>
      </c>
      <c r="UQ15" s="1" t="s">
        <v>89</v>
      </c>
      <c r="UR15" s="1" t="s">
        <v>89</v>
      </c>
      <c r="US15" s="1" t="s">
        <v>84</v>
      </c>
      <c r="UT15" s="1" t="s">
        <v>89</v>
      </c>
      <c r="UU15" s="1" t="s">
        <v>89</v>
      </c>
      <c r="UV15" s="1" t="s">
        <v>97</v>
      </c>
    </row>
    <row r="16" spans="1:568" x14ac:dyDescent="0.25">
      <c r="E16" s="1" t="s">
        <v>84</v>
      </c>
      <c r="F16" s="1" t="s">
        <v>84</v>
      </c>
      <c r="H16" s="1" t="s">
        <v>79</v>
      </c>
      <c r="I16" s="1" t="s">
        <v>84</v>
      </c>
      <c r="J16" s="1" t="s">
        <v>97</v>
      </c>
      <c r="L16" s="1" t="s">
        <v>94</v>
      </c>
      <c r="O16" s="1" t="s">
        <v>89</v>
      </c>
      <c r="Q16" s="1" t="s">
        <v>89</v>
      </c>
      <c r="R16" s="1" t="s">
        <v>89</v>
      </c>
      <c r="S16" s="1" t="s">
        <v>97</v>
      </c>
      <c r="T16" s="1" t="s">
        <v>94</v>
      </c>
      <c r="V16" s="1" t="s">
        <v>89</v>
      </c>
      <c r="W16" s="1" t="s">
        <v>89</v>
      </c>
      <c r="X16" s="1" t="s">
        <v>89</v>
      </c>
      <c r="Y16" s="1" t="s">
        <v>89</v>
      </c>
      <c r="AC16" s="1" t="s">
        <v>89</v>
      </c>
      <c r="AE16" s="1" t="s">
        <v>89</v>
      </c>
      <c r="AF16" s="1" t="s">
        <v>89</v>
      </c>
      <c r="AG16" s="1" t="s">
        <v>89</v>
      </c>
      <c r="AH16" s="1" t="s">
        <v>84</v>
      </c>
      <c r="AI16" s="1" t="s">
        <v>89</v>
      </c>
      <c r="AJ16" s="1" t="s">
        <v>84</v>
      </c>
      <c r="AN16" s="1" t="s">
        <v>89</v>
      </c>
      <c r="AO16" s="1" t="s">
        <v>89</v>
      </c>
      <c r="AT16" s="1" t="s">
        <v>89</v>
      </c>
      <c r="BC16" s="1" t="s">
        <v>89</v>
      </c>
      <c r="BH16" s="1" t="s">
        <v>89</v>
      </c>
      <c r="BL16" s="1" t="s">
        <v>89</v>
      </c>
      <c r="BP16" s="1" t="s">
        <v>89</v>
      </c>
      <c r="CA16" s="1" t="s">
        <v>89</v>
      </c>
      <c r="CV16" s="1" t="s">
        <v>89</v>
      </c>
      <c r="DD16" s="1" t="s">
        <v>89</v>
      </c>
      <c r="DG16" s="1" t="s">
        <v>89</v>
      </c>
      <c r="DM16" s="1" t="s">
        <v>89</v>
      </c>
      <c r="DP16" s="1" t="s">
        <v>89</v>
      </c>
      <c r="EB16" s="1" t="s">
        <v>79</v>
      </c>
      <c r="EK16" s="1" t="s">
        <v>89</v>
      </c>
      <c r="EO16" s="1" t="s">
        <v>89</v>
      </c>
      <c r="EV16" s="1" t="s">
        <v>89</v>
      </c>
      <c r="EX16" s="1" t="s">
        <v>79</v>
      </c>
      <c r="EZ16" s="1" t="s">
        <v>89</v>
      </c>
      <c r="FB16" s="1" t="s">
        <v>89</v>
      </c>
      <c r="FF16" s="1" t="s">
        <v>89</v>
      </c>
      <c r="FH16" s="1" t="s">
        <v>89</v>
      </c>
      <c r="FL16" s="1" t="s">
        <v>89</v>
      </c>
      <c r="FO16" s="1" t="s">
        <v>89</v>
      </c>
      <c r="FR16" s="1" t="s">
        <v>89</v>
      </c>
      <c r="FV16" s="1" t="s">
        <v>89</v>
      </c>
      <c r="FW16" s="1" t="s">
        <v>89</v>
      </c>
      <c r="FZ16" s="1" t="s">
        <v>89</v>
      </c>
      <c r="GA16" s="1" t="s">
        <v>89</v>
      </c>
      <c r="GD16" s="1" t="s">
        <v>89</v>
      </c>
      <c r="GF16" s="1" t="s">
        <v>89</v>
      </c>
      <c r="GJ16" s="1" t="s">
        <v>89</v>
      </c>
      <c r="GL16" s="1" t="s">
        <v>89</v>
      </c>
      <c r="GR16" s="1" t="s">
        <v>89</v>
      </c>
      <c r="GU16" s="1" t="s">
        <v>89</v>
      </c>
      <c r="GW16" s="1" t="s">
        <v>89</v>
      </c>
      <c r="GX16" s="1" t="s">
        <v>89</v>
      </c>
      <c r="GY16" s="1" t="s">
        <v>89</v>
      </c>
      <c r="GZ16" s="1" t="s">
        <v>89</v>
      </c>
      <c r="HB16" s="1" t="s">
        <v>89</v>
      </c>
      <c r="HC16" s="1" t="s">
        <v>89</v>
      </c>
      <c r="HL16" s="1" t="s">
        <v>89</v>
      </c>
      <c r="HN16" s="1" t="s">
        <v>89</v>
      </c>
      <c r="HU16" s="1" t="s">
        <v>89</v>
      </c>
      <c r="HW16" s="1" t="s">
        <v>89</v>
      </c>
      <c r="HZ16" s="1" t="s">
        <v>89</v>
      </c>
      <c r="ID16" s="1" t="s">
        <v>97</v>
      </c>
      <c r="IE16" s="1" t="s">
        <v>89</v>
      </c>
      <c r="IG16" s="1" t="s">
        <v>89</v>
      </c>
      <c r="IJ16" s="1" t="s">
        <v>89</v>
      </c>
      <c r="IN16" s="1" t="s">
        <v>89</v>
      </c>
      <c r="IP16" s="1" t="s">
        <v>89</v>
      </c>
      <c r="IT16" s="1" t="s">
        <v>89</v>
      </c>
      <c r="JK16" s="1" t="s">
        <v>89</v>
      </c>
      <c r="JV16" s="1" t="s">
        <v>89</v>
      </c>
      <c r="KC16" s="1" t="s">
        <v>89</v>
      </c>
      <c r="KI16" s="1" t="s">
        <v>89</v>
      </c>
      <c r="KO16" s="1" t="s">
        <v>89</v>
      </c>
      <c r="MK16" s="1" t="s">
        <v>84</v>
      </c>
      <c r="ML16" s="1" t="s">
        <v>89</v>
      </c>
      <c r="MY16" s="1" t="s">
        <v>79</v>
      </c>
      <c r="NN16" s="1" t="s">
        <v>97</v>
      </c>
      <c r="NP16" s="1" t="s">
        <v>89</v>
      </c>
      <c r="NQ16" s="1" t="s">
        <v>89</v>
      </c>
      <c r="NY16" s="1" t="s">
        <v>89</v>
      </c>
      <c r="OC16" s="1" t="s">
        <v>89</v>
      </c>
      <c r="OE16" s="1" t="s">
        <v>89</v>
      </c>
      <c r="OG16" s="1" t="s">
        <v>89</v>
      </c>
      <c r="OK16" s="1" t="s">
        <v>89</v>
      </c>
      <c r="OO16" s="1" t="s">
        <v>97</v>
      </c>
      <c r="OR16" s="1" t="s">
        <v>88</v>
      </c>
      <c r="OT16" s="1" t="s">
        <v>89</v>
      </c>
      <c r="OU16" s="1" t="s">
        <v>89</v>
      </c>
      <c r="PC16" s="1" t="s">
        <v>89</v>
      </c>
      <c r="PE16" s="1" t="s">
        <v>89</v>
      </c>
      <c r="PJ16" s="1" t="s">
        <v>84</v>
      </c>
      <c r="PK16" s="1" t="s">
        <v>89</v>
      </c>
      <c r="PM16" s="1" t="s">
        <v>84</v>
      </c>
      <c r="PN16" s="1" t="s">
        <v>89</v>
      </c>
      <c r="PO16" s="1" t="s">
        <v>83</v>
      </c>
      <c r="PR16" s="1" t="s">
        <v>89</v>
      </c>
      <c r="PT16" s="1" t="s">
        <v>84</v>
      </c>
      <c r="PX16" s="1" t="s">
        <v>89</v>
      </c>
      <c r="QB16" s="1" t="s">
        <v>89</v>
      </c>
      <c r="QE16" s="1" t="s">
        <v>89</v>
      </c>
      <c r="QG16" s="1" t="s">
        <v>89</v>
      </c>
      <c r="QH16" s="1" t="s">
        <v>89</v>
      </c>
      <c r="QL16" s="1" t="s">
        <v>89</v>
      </c>
      <c r="QM16" s="1" t="s">
        <v>89</v>
      </c>
      <c r="QQ16" s="1" t="s">
        <v>89</v>
      </c>
      <c r="QT16" s="1" t="s">
        <v>89</v>
      </c>
      <c r="QV16" s="1" t="s">
        <v>89</v>
      </c>
      <c r="QX16" s="1" t="s">
        <v>88</v>
      </c>
      <c r="QY16" s="1" t="s">
        <v>89</v>
      </c>
      <c r="RA16" s="1" t="s">
        <v>89</v>
      </c>
      <c r="RJ16" s="1" t="s">
        <v>97</v>
      </c>
      <c r="RR16" s="1" t="s">
        <v>88</v>
      </c>
      <c r="RW16" s="1" t="s">
        <v>719</v>
      </c>
      <c r="RX16" s="1" t="s">
        <v>739</v>
      </c>
      <c r="RY16" s="1" t="s">
        <v>739</v>
      </c>
      <c r="RZ16" s="1" t="s">
        <v>739</v>
      </c>
      <c r="SD16" s="1" t="s">
        <v>97</v>
      </c>
      <c r="SG16" t="s">
        <v>1008</v>
      </c>
      <c r="SK16" t="s">
        <v>1009</v>
      </c>
      <c r="SL16" t="s">
        <v>1010</v>
      </c>
      <c r="SO16" t="s">
        <v>1011</v>
      </c>
      <c r="SP16" s="1" t="s">
        <v>94</v>
      </c>
      <c r="SS16" s="1" t="s">
        <v>94</v>
      </c>
      <c r="ST16" s="1" t="s">
        <v>94</v>
      </c>
      <c r="SU16" s="1" t="s">
        <v>84</v>
      </c>
      <c r="UO16" s="1" t="s">
        <v>89</v>
      </c>
      <c r="UP16" s="1" t="s">
        <v>94</v>
      </c>
      <c r="UQ16" s="1" t="s">
        <v>84</v>
      </c>
      <c r="UR16" s="1" t="s">
        <v>84</v>
      </c>
      <c r="US16" s="1" t="s">
        <v>94</v>
      </c>
      <c r="UT16" s="1" t="s">
        <v>84</v>
      </c>
      <c r="UU16" s="1" t="s">
        <v>84</v>
      </c>
      <c r="UV16" s="1" t="s">
        <v>89</v>
      </c>
    </row>
    <row r="17" spans="5:568" x14ac:dyDescent="0.25">
      <c r="E17" s="1" t="s">
        <v>94</v>
      </c>
      <c r="F17" s="1" t="s">
        <v>94</v>
      </c>
      <c r="H17" t="s">
        <v>329</v>
      </c>
      <c r="I17" s="1" t="s">
        <v>94</v>
      </c>
      <c r="J17" s="1" t="s">
        <v>89</v>
      </c>
      <c r="L17" t="s">
        <v>1074</v>
      </c>
      <c r="O17" s="1" t="s">
        <v>84</v>
      </c>
      <c r="Q17" s="1" t="s">
        <v>84</v>
      </c>
      <c r="R17" s="1" t="s">
        <v>84</v>
      </c>
      <c r="S17" s="1" t="s">
        <v>89</v>
      </c>
      <c r="T17" t="s">
        <v>1088</v>
      </c>
      <c r="V17" s="1" t="s">
        <v>84</v>
      </c>
      <c r="W17" s="1" t="s">
        <v>84</v>
      </c>
      <c r="X17" s="1" t="s">
        <v>84</v>
      </c>
      <c r="Y17" s="1" t="s">
        <v>84</v>
      </c>
      <c r="AC17" s="1" t="s">
        <v>84</v>
      </c>
      <c r="AE17" s="1" t="s">
        <v>84</v>
      </c>
      <c r="AF17" s="1" t="s">
        <v>84</v>
      </c>
      <c r="AG17" s="1" t="s">
        <v>84</v>
      </c>
      <c r="AH17" s="1" t="s">
        <v>94</v>
      </c>
      <c r="AI17" s="1" t="s">
        <v>84</v>
      </c>
      <c r="AJ17" s="1" t="s">
        <v>94</v>
      </c>
      <c r="AN17" s="1" t="s">
        <v>84</v>
      </c>
      <c r="AO17" s="1" t="s">
        <v>84</v>
      </c>
      <c r="AT17" s="1" t="s">
        <v>84</v>
      </c>
      <c r="BC17" s="1" t="s">
        <v>84</v>
      </c>
      <c r="BH17" s="1" t="s">
        <v>84</v>
      </c>
      <c r="BL17" s="1" t="s">
        <v>84</v>
      </c>
      <c r="BP17" s="1" t="s">
        <v>84</v>
      </c>
      <c r="CA17" s="1" t="s">
        <v>84</v>
      </c>
      <c r="CV17" s="1" t="s">
        <v>84</v>
      </c>
      <c r="DD17" s="1" t="s">
        <v>84</v>
      </c>
      <c r="DG17" s="1" t="s">
        <v>84</v>
      </c>
      <c r="DM17" s="1" t="s">
        <v>84</v>
      </c>
      <c r="DP17" s="1" t="s">
        <v>84</v>
      </c>
      <c r="EB17" t="s">
        <v>244</v>
      </c>
      <c r="EK17" s="1" t="s">
        <v>84</v>
      </c>
      <c r="EO17" s="1" t="s">
        <v>84</v>
      </c>
      <c r="EV17" s="1" t="s">
        <v>84</v>
      </c>
      <c r="EX17" t="s">
        <v>203</v>
      </c>
      <c r="EZ17" s="1" t="s">
        <v>84</v>
      </c>
      <c r="FB17" s="1" t="s">
        <v>84</v>
      </c>
      <c r="FF17" s="1" t="s">
        <v>84</v>
      </c>
      <c r="FH17" s="1" t="s">
        <v>84</v>
      </c>
      <c r="FL17" s="1" t="s">
        <v>84</v>
      </c>
      <c r="FO17" s="1" t="s">
        <v>84</v>
      </c>
      <c r="FR17" s="1" t="s">
        <v>84</v>
      </c>
      <c r="FV17" s="1" t="s">
        <v>84</v>
      </c>
      <c r="FW17" s="1" t="s">
        <v>84</v>
      </c>
      <c r="FZ17" s="1" t="s">
        <v>84</v>
      </c>
      <c r="GA17" s="1" t="s">
        <v>84</v>
      </c>
      <c r="GD17" s="1" t="s">
        <v>84</v>
      </c>
      <c r="GF17" s="1" t="s">
        <v>84</v>
      </c>
      <c r="GJ17" s="1" t="s">
        <v>84</v>
      </c>
      <c r="GL17" s="1" t="s">
        <v>84</v>
      </c>
      <c r="GR17" s="1" t="s">
        <v>84</v>
      </c>
      <c r="GU17" s="1" t="s">
        <v>84</v>
      </c>
      <c r="GW17" s="1" t="s">
        <v>84</v>
      </c>
      <c r="GX17" s="1" t="s">
        <v>84</v>
      </c>
      <c r="GY17" s="1" t="s">
        <v>84</v>
      </c>
      <c r="GZ17" s="1" t="s">
        <v>84</v>
      </c>
      <c r="HB17" s="1" t="s">
        <v>84</v>
      </c>
      <c r="HC17" s="1" t="s">
        <v>84</v>
      </c>
      <c r="HL17" s="1" t="s">
        <v>84</v>
      </c>
      <c r="HN17" s="1" t="s">
        <v>84</v>
      </c>
      <c r="HU17" s="1" t="s">
        <v>84</v>
      </c>
      <c r="HW17" s="1" t="s">
        <v>84</v>
      </c>
      <c r="HZ17" s="1" t="s">
        <v>84</v>
      </c>
      <c r="ID17" s="1" t="s">
        <v>89</v>
      </c>
      <c r="IE17" s="1" t="s">
        <v>84</v>
      </c>
      <c r="IG17" s="1" t="s">
        <v>84</v>
      </c>
      <c r="IJ17" s="1" t="s">
        <v>84</v>
      </c>
      <c r="IN17" s="1" t="s">
        <v>84</v>
      </c>
      <c r="IP17" s="1" t="s">
        <v>84</v>
      </c>
      <c r="IT17" s="1" t="s">
        <v>84</v>
      </c>
      <c r="JK17" s="1" t="s">
        <v>84</v>
      </c>
      <c r="JV17" s="1" t="s">
        <v>84</v>
      </c>
      <c r="KC17" s="1" t="s">
        <v>84</v>
      </c>
      <c r="KI17" s="1" t="s">
        <v>84</v>
      </c>
      <c r="KO17" s="1" t="s">
        <v>84</v>
      </c>
      <c r="MK17" s="1" t="s">
        <v>94</v>
      </c>
      <c r="ML17" s="1" t="s">
        <v>84</v>
      </c>
      <c r="MY17" t="s">
        <v>383</v>
      </c>
      <c r="NN17" s="1" t="s">
        <v>89</v>
      </c>
      <c r="NP17" s="1" t="s">
        <v>84</v>
      </c>
      <c r="NQ17" s="1" t="s">
        <v>84</v>
      </c>
      <c r="NY17" s="1" t="s">
        <v>84</v>
      </c>
      <c r="OC17" s="1" t="s">
        <v>84</v>
      </c>
      <c r="OE17" s="1" t="s">
        <v>84</v>
      </c>
      <c r="OG17" s="1" t="s">
        <v>84</v>
      </c>
      <c r="OK17" s="1" t="s">
        <v>84</v>
      </c>
      <c r="OO17" s="1" t="s">
        <v>89</v>
      </c>
      <c r="OR17" s="1" t="s">
        <v>97</v>
      </c>
      <c r="OT17" s="1" t="s">
        <v>84</v>
      </c>
      <c r="OU17" s="1" t="s">
        <v>84</v>
      </c>
      <c r="PC17" s="1" t="s">
        <v>84</v>
      </c>
      <c r="PE17" s="1" t="s">
        <v>84</v>
      </c>
      <c r="PJ17" s="1" t="s">
        <v>94</v>
      </c>
      <c r="PK17" s="1" t="s">
        <v>84</v>
      </c>
      <c r="PM17" s="1" t="s">
        <v>94</v>
      </c>
      <c r="PN17" s="1" t="s">
        <v>84</v>
      </c>
      <c r="PO17" s="1" t="s">
        <v>89</v>
      </c>
      <c r="PR17" s="1" t="s">
        <v>84</v>
      </c>
      <c r="PT17" s="1" t="s">
        <v>94</v>
      </c>
      <c r="PX17" s="1" t="s">
        <v>84</v>
      </c>
      <c r="QB17" s="1" t="s">
        <v>84</v>
      </c>
      <c r="QE17" s="1" t="s">
        <v>84</v>
      </c>
      <c r="QG17" s="1" t="s">
        <v>84</v>
      </c>
      <c r="QH17" s="1" t="s">
        <v>84</v>
      </c>
      <c r="QL17" s="1" t="s">
        <v>84</v>
      </c>
      <c r="QM17" s="1" t="s">
        <v>84</v>
      </c>
      <c r="QQ17" s="1" t="s">
        <v>84</v>
      </c>
      <c r="QT17" s="1" t="s">
        <v>84</v>
      </c>
      <c r="QV17" s="1" t="s">
        <v>84</v>
      </c>
      <c r="QX17" s="1" t="s">
        <v>97</v>
      </c>
      <c r="QY17" s="1" t="s">
        <v>84</v>
      </c>
      <c r="RA17" s="1" t="s">
        <v>84</v>
      </c>
      <c r="RJ17" s="1" t="s">
        <v>89</v>
      </c>
      <c r="RR17" s="1" t="s">
        <v>97</v>
      </c>
      <c r="RW17" s="1" t="s">
        <v>88</v>
      </c>
      <c r="RX17" s="1" t="s">
        <v>751</v>
      </c>
      <c r="RY17" s="1" t="s">
        <v>751</v>
      </c>
      <c r="RZ17" s="1" t="s">
        <v>751</v>
      </c>
      <c r="SD17" s="1" t="s">
        <v>89</v>
      </c>
      <c r="SP17" t="s">
        <v>1012</v>
      </c>
      <c r="SS17" t="s">
        <v>1018</v>
      </c>
      <c r="ST17" t="s">
        <v>1019</v>
      </c>
      <c r="SU17" s="1" t="s">
        <v>94</v>
      </c>
      <c r="UO17" s="1" t="s">
        <v>84</v>
      </c>
      <c r="UP17" t="s">
        <v>1022</v>
      </c>
      <c r="UQ17" s="1" t="s">
        <v>94</v>
      </c>
      <c r="UR17" s="1" t="s">
        <v>94</v>
      </c>
      <c r="US17" t="s">
        <v>1025</v>
      </c>
      <c r="UT17" s="1" t="s">
        <v>94</v>
      </c>
      <c r="UU17" s="1" t="s">
        <v>94</v>
      </c>
      <c r="UV17" s="1" t="s">
        <v>84</v>
      </c>
    </row>
    <row r="18" spans="5:568" x14ac:dyDescent="0.25">
      <c r="E18" t="s">
        <v>1029</v>
      </c>
      <c r="F18" t="s">
        <v>1046</v>
      </c>
      <c r="I18" t="s">
        <v>1073</v>
      </c>
      <c r="J18" s="1" t="s">
        <v>84</v>
      </c>
      <c r="O18" s="1" t="s">
        <v>94</v>
      </c>
      <c r="Q18" s="1" t="s">
        <v>94</v>
      </c>
      <c r="R18" s="1" t="s">
        <v>94</v>
      </c>
      <c r="S18" s="1" t="s">
        <v>84</v>
      </c>
      <c r="V18" s="1" t="s">
        <v>94</v>
      </c>
      <c r="W18" s="1" t="s">
        <v>94</v>
      </c>
      <c r="X18" s="1" t="s">
        <v>94</v>
      </c>
      <c r="Y18" s="1" t="s">
        <v>94</v>
      </c>
      <c r="AC18" s="1" t="s">
        <v>94</v>
      </c>
      <c r="AE18" s="1" t="s">
        <v>94</v>
      </c>
      <c r="AF18" s="1" t="s">
        <v>94</v>
      </c>
      <c r="AG18" s="1" t="s">
        <v>94</v>
      </c>
      <c r="AH18" t="s">
        <v>1090</v>
      </c>
      <c r="AI18" s="1" t="s">
        <v>94</v>
      </c>
      <c r="AJ18" t="s">
        <v>1102</v>
      </c>
      <c r="AN18" s="1" t="s">
        <v>94</v>
      </c>
      <c r="AO18" s="1" t="s">
        <v>94</v>
      </c>
      <c r="AT18" s="1" t="s">
        <v>94</v>
      </c>
      <c r="BC18" s="1" t="s">
        <v>94</v>
      </c>
      <c r="BH18" s="1" t="s">
        <v>94</v>
      </c>
      <c r="BL18" s="1" t="s">
        <v>94</v>
      </c>
      <c r="BP18" s="1" t="s">
        <v>94</v>
      </c>
      <c r="CA18" s="1" t="s">
        <v>94</v>
      </c>
      <c r="CV18" s="1" t="s">
        <v>94</v>
      </c>
      <c r="DD18" s="1" t="s">
        <v>94</v>
      </c>
      <c r="DG18" s="1" t="s">
        <v>94</v>
      </c>
      <c r="DM18" s="1" t="s">
        <v>94</v>
      </c>
      <c r="DP18" s="1" t="s">
        <v>94</v>
      </c>
      <c r="EK18" s="1" t="s">
        <v>94</v>
      </c>
      <c r="EO18" s="1" t="s">
        <v>94</v>
      </c>
      <c r="EV18" s="1" t="s">
        <v>94</v>
      </c>
      <c r="EZ18" s="1" t="s">
        <v>94</v>
      </c>
      <c r="FB18" s="1" t="s">
        <v>94</v>
      </c>
      <c r="FF18" s="1" t="s">
        <v>94</v>
      </c>
      <c r="FH18" s="1" t="s">
        <v>94</v>
      </c>
      <c r="FL18" s="1" t="s">
        <v>94</v>
      </c>
      <c r="FO18" s="1" t="s">
        <v>94</v>
      </c>
      <c r="FR18" s="1" t="s">
        <v>94</v>
      </c>
      <c r="FV18" s="1" t="s">
        <v>94</v>
      </c>
      <c r="FW18" s="1" t="s">
        <v>94</v>
      </c>
      <c r="FZ18" s="1" t="s">
        <v>94</v>
      </c>
      <c r="GA18" s="1" t="s">
        <v>94</v>
      </c>
      <c r="GD18" s="1" t="s">
        <v>94</v>
      </c>
      <c r="GF18" s="1" t="s">
        <v>94</v>
      </c>
      <c r="GJ18" s="1" t="s">
        <v>94</v>
      </c>
      <c r="GL18" s="1" t="s">
        <v>94</v>
      </c>
      <c r="GR18" s="1" t="s">
        <v>94</v>
      </c>
      <c r="GU18" s="1" t="s">
        <v>94</v>
      </c>
      <c r="GW18" s="1" t="s">
        <v>94</v>
      </c>
      <c r="GX18" s="1" t="s">
        <v>94</v>
      </c>
      <c r="GY18" s="1" t="s">
        <v>94</v>
      </c>
      <c r="GZ18" s="1" t="s">
        <v>94</v>
      </c>
      <c r="HB18" s="1" t="s">
        <v>94</v>
      </c>
      <c r="HC18" s="1" t="s">
        <v>94</v>
      </c>
      <c r="HL18" s="1" t="s">
        <v>94</v>
      </c>
      <c r="HN18" s="1" t="s">
        <v>94</v>
      </c>
      <c r="HU18" s="1" t="s">
        <v>94</v>
      </c>
      <c r="HW18" s="1" t="s">
        <v>94</v>
      </c>
      <c r="HZ18" s="1" t="s">
        <v>94</v>
      </c>
      <c r="ID18" s="1" t="s">
        <v>84</v>
      </c>
      <c r="IE18" s="1" t="s">
        <v>94</v>
      </c>
      <c r="IG18" s="1" t="s">
        <v>94</v>
      </c>
      <c r="IJ18" s="1" t="s">
        <v>94</v>
      </c>
      <c r="IN18" s="1" t="s">
        <v>94</v>
      </c>
      <c r="IP18" s="1" t="s">
        <v>94</v>
      </c>
      <c r="IT18" s="1" t="s">
        <v>94</v>
      </c>
      <c r="JK18" s="1" t="s">
        <v>94</v>
      </c>
      <c r="JV18" s="1" t="s">
        <v>94</v>
      </c>
      <c r="KC18" s="1" t="s">
        <v>94</v>
      </c>
      <c r="KI18" s="1" t="s">
        <v>94</v>
      </c>
      <c r="KO18" s="1" t="s">
        <v>94</v>
      </c>
      <c r="MK18" t="s">
        <v>890</v>
      </c>
      <c r="ML18" s="1" t="s">
        <v>94</v>
      </c>
      <c r="NN18" s="1" t="s">
        <v>84</v>
      </c>
      <c r="NP18" s="1" t="s">
        <v>94</v>
      </c>
      <c r="NQ18" s="1" t="s">
        <v>94</v>
      </c>
      <c r="NY18" s="1" t="s">
        <v>94</v>
      </c>
      <c r="OC18" s="1" t="s">
        <v>94</v>
      </c>
      <c r="OE18" s="1" t="s">
        <v>94</v>
      </c>
      <c r="OG18" s="1" t="s">
        <v>94</v>
      </c>
      <c r="OK18" s="1" t="s">
        <v>94</v>
      </c>
      <c r="OO18" s="1" t="s">
        <v>84</v>
      </c>
      <c r="OR18" s="1" t="s">
        <v>89</v>
      </c>
      <c r="OT18" s="1" t="s">
        <v>94</v>
      </c>
      <c r="OU18" s="1" t="s">
        <v>94</v>
      </c>
      <c r="PC18" s="1" t="s">
        <v>94</v>
      </c>
      <c r="PE18" s="1" t="s">
        <v>94</v>
      </c>
      <c r="PJ18" t="s">
        <v>918</v>
      </c>
      <c r="PK18" s="1" t="s">
        <v>94</v>
      </c>
      <c r="PM18" t="s">
        <v>919</v>
      </c>
      <c r="PN18" s="1" t="s">
        <v>94</v>
      </c>
      <c r="PO18" s="1" t="s">
        <v>84</v>
      </c>
      <c r="PR18" s="1" t="s">
        <v>94</v>
      </c>
      <c r="PT18" t="s">
        <v>920</v>
      </c>
      <c r="PX18" s="1" t="s">
        <v>94</v>
      </c>
      <c r="QB18" s="1" t="s">
        <v>94</v>
      </c>
      <c r="QE18" s="1" t="s">
        <v>94</v>
      </c>
      <c r="QG18" s="1" t="s">
        <v>94</v>
      </c>
      <c r="QH18" s="1" t="s">
        <v>94</v>
      </c>
      <c r="QL18" s="1" t="s">
        <v>94</v>
      </c>
      <c r="QM18" s="1" t="s">
        <v>94</v>
      </c>
      <c r="QQ18" s="1" t="s">
        <v>94</v>
      </c>
      <c r="QT18" s="1" t="s">
        <v>94</v>
      </c>
      <c r="QV18" s="1" t="s">
        <v>94</v>
      </c>
      <c r="QX18" s="1" t="s">
        <v>89</v>
      </c>
      <c r="QY18" s="1" t="s">
        <v>94</v>
      </c>
      <c r="RA18" s="1" t="s">
        <v>94</v>
      </c>
      <c r="RJ18" s="1" t="s">
        <v>84</v>
      </c>
      <c r="RR18" s="1" t="s">
        <v>89</v>
      </c>
      <c r="RW18" s="1" t="s">
        <v>97</v>
      </c>
      <c r="RX18" s="1" t="s">
        <v>807</v>
      </c>
      <c r="RY18" s="1" t="s">
        <v>807</v>
      </c>
      <c r="RZ18" s="1" t="s">
        <v>807</v>
      </c>
      <c r="SD18" s="1" t="s">
        <v>84</v>
      </c>
      <c r="SU18" t="s">
        <v>1020</v>
      </c>
      <c r="UO18" s="1" t="s">
        <v>94</v>
      </c>
      <c r="UQ18" t="s">
        <v>1023</v>
      </c>
      <c r="UR18" t="s">
        <v>1024</v>
      </c>
      <c r="UT18" t="s">
        <v>1026</v>
      </c>
      <c r="UU18" t="s">
        <v>1027</v>
      </c>
      <c r="UV18" s="1" t="s">
        <v>94</v>
      </c>
    </row>
    <row r="19" spans="5:568" x14ac:dyDescent="0.25">
      <c r="J19" s="1" t="s">
        <v>94</v>
      </c>
      <c r="O19" t="s">
        <v>447</v>
      </c>
      <c r="Q19" t="s">
        <v>335</v>
      </c>
      <c r="R19" t="s">
        <v>1081</v>
      </c>
      <c r="S19" s="1" t="s">
        <v>94</v>
      </c>
      <c r="V19" t="s">
        <v>334</v>
      </c>
      <c r="W19" t="s">
        <v>336</v>
      </c>
      <c r="X19" t="s">
        <v>337</v>
      </c>
      <c r="Y19" t="s">
        <v>339</v>
      </c>
      <c r="AC19" t="s">
        <v>344</v>
      </c>
      <c r="AE19" t="s">
        <v>343</v>
      </c>
      <c r="AF19" t="s">
        <v>345</v>
      </c>
      <c r="AG19" t="s">
        <v>1089</v>
      </c>
      <c r="AI19" t="s">
        <v>1091</v>
      </c>
      <c r="AO19" t="s">
        <v>346</v>
      </c>
      <c r="AT19" t="s">
        <v>348</v>
      </c>
      <c r="BC19" t="s">
        <v>353</v>
      </c>
      <c r="BH19" t="s">
        <v>352</v>
      </c>
      <c r="BL19" t="s">
        <v>354</v>
      </c>
      <c r="BP19" t="s">
        <v>355</v>
      </c>
      <c r="CA19" t="s">
        <v>358</v>
      </c>
      <c r="CV19" t="s">
        <v>363</v>
      </c>
      <c r="DD19" t="s">
        <v>362</v>
      </c>
      <c r="DG19" t="s">
        <v>364</v>
      </c>
      <c r="DM19" t="s">
        <v>366</v>
      </c>
      <c r="DP19" t="s">
        <v>368</v>
      </c>
      <c r="EK19" t="s">
        <v>279</v>
      </c>
      <c r="EO19" t="s">
        <v>761</v>
      </c>
      <c r="EV19" t="s">
        <v>278</v>
      </c>
      <c r="EZ19" t="s">
        <v>280</v>
      </c>
      <c r="FB19" t="s">
        <v>281</v>
      </c>
      <c r="FF19" t="s">
        <v>283</v>
      </c>
      <c r="FH19" t="s">
        <v>207</v>
      </c>
      <c r="FL19" t="s">
        <v>288</v>
      </c>
      <c r="FO19" t="s">
        <v>764</v>
      </c>
      <c r="FR19" t="s">
        <v>206</v>
      </c>
      <c r="FV19" t="s">
        <v>208</v>
      </c>
      <c r="FW19" t="s">
        <v>287</v>
      </c>
      <c r="FZ19" t="s">
        <v>209</v>
      </c>
      <c r="GA19" t="s">
        <v>289</v>
      </c>
      <c r="GD19" t="s">
        <v>290</v>
      </c>
      <c r="GF19" t="s">
        <v>211</v>
      </c>
      <c r="GJ19" t="s">
        <v>292</v>
      </c>
      <c r="GL19" t="s">
        <v>216</v>
      </c>
      <c r="GR19" t="s">
        <v>297</v>
      </c>
      <c r="GU19" t="s">
        <v>215</v>
      </c>
      <c r="GW19" t="s">
        <v>217</v>
      </c>
      <c r="GX19" t="s">
        <v>296</v>
      </c>
      <c r="GY19" t="s">
        <v>218</v>
      </c>
      <c r="GZ19" t="s">
        <v>298</v>
      </c>
      <c r="HB19" t="s">
        <v>299</v>
      </c>
      <c r="HC19" t="s">
        <v>220</v>
      </c>
      <c r="HL19" t="s">
        <v>225</v>
      </c>
      <c r="HN19" t="s">
        <v>302</v>
      </c>
      <c r="HU19" t="s">
        <v>307</v>
      </c>
      <c r="HW19" t="s">
        <v>224</v>
      </c>
      <c r="HZ19" t="s">
        <v>226</v>
      </c>
      <c r="ID19" s="1" t="s">
        <v>94</v>
      </c>
      <c r="IE19" t="s">
        <v>227</v>
      </c>
      <c r="IG19" t="s">
        <v>306</v>
      </c>
      <c r="IJ19" t="s">
        <v>308</v>
      </c>
      <c r="IN19" t="s">
        <v>230</v>
      </c>
      <c r="IP19" t="s">
        <v>310</v>
      </c>
      <c r="IT19" t="s">
        <v>235</v>
      </c>
      <c r="JK19" t="s">
        <v>312</v>
      </c>
      <c r="JV19" t="s">
        <v>234</v>
      </c>
      <c r="KC19" t="s">
        <v>236</v>
      </c>
      <c r="KI19" t="s">
        <v>238</v>
      </c>
      <c r="KO19" t="s">
        <v>240</v>
      </c>
      <c r="ML19" t="s">
        <v>891</v>
      </c>
      <c r="NN19" s="1" t="s">
        <v>94</v>
      </c>
      <c r="NP19" t="s">
        <v>409</v>
      </c>
      <c r="NQ19" t="s">
        <v>901</v>
      </c>
      <c r="NY19" t="s">
        <v>808</v>
      </c>
      <c r="OC19" t="s">
        <v>903</v>
      </c>
      <c r="OE19" t="s">
        <v>411</v>
      </c>
      <c r="OG19" t="s">
        <v>768</v>
      </c>
      <c r="OK19" t="s">
        <v>412</v>
      </c>
      <c r="OO19" s="1" t="s">
        <v>94</v>
      </c>
      <c r="OR19" s="1" t="s">
        <v>84</v>
      </c>
      <c r="OT19" t="s">
        <v>414</v>
      </c>
      <c r="OU19" t="s">
        <v>917</v>
      </c>
      <c r="PE19" t="s">
        <v>417</v>
      </c>
      <c r="PK19" t="s">
        <v>419</v>
      </c>
      <c r="PN19" t="s">
        <v>420</v>
      </c>
      <c r="PO19" s="1" t="s">
        <v>94</v>
      </c>
      <c r="PR19" t="s">
        <v>421</v>
      </c>
      <c r="PX19" t="s">
        <v>423</v>
      </c>
      <c r="QB19" t="s">
        <v>426</v>
      </c>
      <c r="QE19" t="s">
        <v>428</v>
      </c>
      <c r="QG19" t="s">
        <v>429</v>
      </c>
      <c r="QH19" t="s">
        <v>430</v>
      </c>
      <c r="QL19" t="s">
        <v>921</v>
      </c>
      <c r="QM19" t="s">
        <v>433</v>
      </c>
      <c r="QQ19" t="s">
        <v>436</v>
      </c>
      <c r="QT19" t="s">
        <v>438</v>
      </c>
      <c r="QV19" t="s">
        <v>439</v>
      </c>
      <c r="QX19" s="1" t="s">
        <v>84</v>
      </c>
      <c r="QY19" t="s">
        <v>441</v>
      </c>
      <c r="RA19" t="s">
        <v>443</v>
      </c>
      <c r="RJ19" s="1" t="s">
        <v>94</v>
      </c>
      <c r="RR19" s="1" t="s">
        <v>84</v>
      </c>
      <c r="RW19" s="1" t="s">
        <v>89</v>
      </c>
      <c r="RX19" s="1" t="s">
        <v>732</v>
      </c>
      <c r="RY19" s="1" t="s">
        <v>732</v>
      </c>
      <c r="RZ19" s="1" t="s">
        <v>732</v>
      </c>
      <c r="SD19" s="1" t="s">
        <v>94</v>
      </c>
      <c r="UO19" t="s">
        <v>1021</v>
      </c>
      <c r="UV19" t="s">
        <v>1028</v>
      </c>
    </row>
    <row r="20" spans="5:568" x14ac:dyDescent="0.25">
      <c r="J20" t="s">
        <v>809</v>
      </c>
      <c r="S20" t="s">
        <v>1082</v>
      </c>
      <c r="ID20" s="1" t="s">
        <v>127</v>
      </c>
      <c r="NN20" t="s">
        <v>900</v>
      </c>
      <c r="OO20" t="s">
        <v>915</v>
      </c>
      <c r="OR20" s="1" t="s">
        <v>94</v>
      </c>
      <c r="QX20" s="1" t="s">
        <v>94</v>
      </c>
      <c r="RJ20" t="s">
        <v>947</v>
      </c>
      <c r="RR20" s="1" t="s">
        <v>94</v>
      </c>
      <c r="RW20" s="1" t="s">
        <v>84</v>
      </c>
      <c r="RX20" s="1" t="s">
        <v>749</v>
      </c>
      <c r="RY20" s="1" t="s">
        <v>749</v>
      </c>
      <c r="RZ20" s="1" t="s">
        <v>749</v>
      </c>
      <c r="SD20" t="s">
        <v>997</v>
      </c>
    </row>
    <row r="21" spans="5:568" x14ac:dyDescent="0.25">
      <c r="OR21" t="s">
        <v>916</v>
      </c>
      <c r="QX21" t="s">
        <v>941</v>
      </c>
      <c r="RR21" t="s">
        <v>981</v>
      </c>
      <c r="RW21" s="1" t="s">
        <v>94</v>
      </c>
      <c r="RX21" t="s">
        <v>992</v>
      </c>
      <c r="RY21" t="s">
        <v>991</v>
      </c>
      <c r="RZ21" t="s">
        <v>993</v>
      </c>
    </row>
    <row r="22" spans="5:568" x14ac:dyDescent="0.25">
      <c r="RW22" t="s">
        <v>990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All Pendent</vt:lpstr>
      <vt:lpstr>20250102_Backups_Sprints</vt:lpstr>
      <vt:lpstr>Doing</vt:lpstr>
      <vt:lpstr>Release</vt:lpstr>
      <vt:lpstr>Planning</vt:lpstr>
      <vt:lpstr>EDI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DANTON DA ROSA ABREU</dc:creator>
  <cp:lastModifiedBy>AMANDUS MULLER MUNIZ</cp:lastModifiedBy>
  <dcterms:created xsi:type="dcterms:W3CDTF">2025-07-16T16:15:37Z</dcterms:created>
  <dcterms:modified xsi:type="dcterms:W3CDTF">2026-10-13T11:57:38Z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S Team System Data DO NOT EDIT_GUID">
    <vt:lpwstr>4cb96c1c-7c4d-4c96-9f54-7c63ec80e662</vt:lpwstr>
  </property>
  <property fmtid="{D5CDD505-2E9C-101B-9397-08002B2CF9AE}" pid="3" name="VS Team System Data DO NOT EDIT0">
    <vt:lpwstr>RVpSRwEAAADtnVtzI1d2pf8KQw/zhlKevGeP3Y68TtdMq1vuKrcfFSgSJcFikWWCVLfm189e30mQRF4gJgnYngiHZXUJRSbOObnPvq699j/809+/XF/8srnbbW9v/vEb9y745p9+/w8fPhx+dGE/dLP7x28e7m5+t7v8afNlvVt92V7e3e5uP9+vLm+//O6X7e5hfb27f7ja3v7ufrP+svt1d7/58rvbz5+3l5vd/e3d+sfNN7//h79e2CO/3t3</vt:lpwstr>
  </property>
  <property fmtid="{D5CDD505-2E9C-101B-9397-08002B2CF9AE}" pid="4" name="VS Team System Data DO NOT EDIT1">
    <vt:lpwstr>+2+by/k/rL5tvLu7/8ZsPj1/wze//d/Xh+9u7+/X1P3z718Mf/5e77einf9ndf9797ttvv62v17vd1r5rfW+r/vajreB7/2vf5p+TT1GWJKvg0zpexcWVW+W526yy7HKdr5M8TtcRX/Ynfdn1dne/e/YN/tO/fvj44YfLOM1cXnz+4ZPbRD/EReh+WF8W0Q/hVXqVBS6O4vRyv8V/f9jc/dov9/eb1GXBJ5eu0vWndBWnm6vVp8vLz6swCS8/Rd</vt:lpwstr>
  </property>
  <property fmtid="{D5CDD505-2E9C-101B-9397-08002B2CF9AE}" pid="5" name="VS Team System Data DO NOT EDIT2">
    <vt:lpwstr>GnJIqTp+1qBR9//bo/mt//sx5V3T7cXP3R/ubp577b3tTX283N/V/9q9r/vHv6kavt7uv1+tePd5uNnvj+av8zwdPPsNJnr+L35f32l+3V+mqzu1hd/GVzvVnvNs/P5+ZnO59v+//82+3dz+/tRe/2J+USl+wP4W/b+/1D3+92D5unL/3pcv8XXb5y1apuVmlm72YVhqswX7XlSu+rXUX252yVuZULVkW76rpVaT+ZrsJmVXarzH7A6SebeFXHq</vt:lpwstr>
  </property>
  <property fmtid="{D5CDD505-2E9C-101B-9397-08002B2CF9AE}" pid="6" name="VS Team System Data DO NOT EDIT3">
    <vt:lpwstr>yZfdeGqDlZlvWo6fV60T195t/nl8YQKPv72T/s1x1G4ZM1BsIralatXoX1RuSrzVR2uqnZV23psYckqSVdZunK2wmLl4lVXmsRptVWwcqw2TVZRpBXafttmldXacp6tgmRVhpNrDpPBmhMXLFlzXmsxTbiK6pWzP1SruFnlpT7JIx1v1q3SYhUlqyrR4tN4FWSrotNS7bRrtwrsk2qV5Ks44OQbk+RVVum9tNn0OYeDNbvQLVmzHWCRrGJ7p7aq</vt:lpwstr>
  </property>
  <property fmtid="{D5CDD505-2E9C-101B-9397-08002B2CF9AE}" pid="7" name="VS Team System Data DO NOT EDIT4">
    <vt:lpwstr>aBXaqtyqyFe5HTVn27VaXlXo3LJgFTTamitXUSmhau1DO/xax2uSk9hOk1UXrepUhx/kk2vOhrKRBIvWXNR6v7by1A6qW9XVKnT6RhPO1JaRaeVRsUpsOybkrc7f9hUFkoSi0vojXoq9jrJaVc2qsW2aLKU6+SqePuf0cM1ZFi1Zchzra3UqoQ6ySVa5fWcj8bSv1aGGulh5p1VnJrZOImOb6Cr9U9raO127zsTKZMHpBtgPt502Hc+IRjA85nD</vt:lpwstr>
  </property>
  <property fmtid="{D5CDD505-2E9C-101B-9397-08002B2CF9AE}" pid="8" name="VS Team System Data DO NOT EDIT5">
    <vt:lpwstr>RmstQB2lSHBZadpVKbEtT76W0ha3ZZDZMdMZFtmrtXBtdysrkN17lzarq2HKtP3dOWzCFYbfTVE5QmoxMX8FoqDaKRaquqle1HYgdTrxqY71t24WJgIlk2a6yXDcyzlaNqZBo1ZrYJohtIGmyX7HPi3DV2GpNfLpVXOu0TWvqz7mdwwvVRlgsuoKNZNMOrbDjirT4pF4FNVLZ6jxtI1Gq/zSlm5ar2EkLmvB63WB31LSac9pLWumlSHd2vDvpyB</vt:lpwstr>
  </property>
  <property fmtid="{D5CDD505-2E9C-101B-9397-08002B2CF9AE}" pid="9" name="VS Team System Data DO NOT EDIT6">
    <vt:lpwstr>eec7xI1UmhBqwWzWq3x5Zk8hzF0lv2CtJWb78zHZzpqO0PLpdeseM1SU6qlSnLoEC0GqkT274ZorCV5ptRdeM1p4vOubUr3uoOmsTaBbTzkYkrekVrB2vv2pnS6iQttpIwkJppzSo6/UwcSXrNcpb2LmpJi0mO3YXGxMkubDd9B/PDNSdBtugKltJudjZhJFUrzRHqXG1FZpttpaZXgnSVu1VsEtHItJjmsF1KWDK9EDMqti2zHybC9oQ81HVsi</vt:lpwstr>
  </property>
  <property fmtid="{D5CDD505-2E9C-101B-9397-08002B2CF9AE}" pid="10" name="VS Team System Data DO NOT EDIT7">
    <vt:lpwstr>1WqGzC95KE4u2KR5bYLZyrNZNYOzCRajkUpTW322xZjpqIqtQC7ZPafdsZSCU5Oht1LczuKUorEtIUdrWlts0ymtSu3SkO9iryaWfNw0XGeLll0xG0y69FGWkSJArHjs0M002eyKrVmti5EJEwYKp24yYypa7tlSYZ7VepYzROpYv1wIqnQDpPpRUdusOYoWeYiVbK9RaqXarbDVmuuhKmO3JReqeM2/RawAFMIdte0PBOjEC3tcDTMvapk9k2w</vt:lpwstr>
  </property>
  <property fmtid="{D5CDD505-2E9C-101B-9397-08002B2CF9AE}" pid="11" name="VS Team System Data DO NOT EDIT8">
    <vt:lpwstr>TIYkMfafuUxP3vzWmh/X3ccOl7c395u/3w8CEB9ofL++/+m5/zu1HdMYFc6FnbY5dHbOpkxMs6WB1LKt3C5dwLU1ZWg/bIrFXAxbvG3fXpz9pO3aDlySVEjg7J1Kz5e6p+0z1T2KdU4b4uy/w0Ky3f96MC//5nIzv/9P5vl/2N5v/uXuevyX/Ur3f3EYtx28A4Ind5l+vszD9Q9XYbj5IQ7c5odPnyyCSvKsWIdXsUuzz5PBUxQFwfqq0KmZJMf</vt:lpwstr>
  </property>
  <property fmtid="{D5CDD505-2E9C-101B-9397-08002B2CF9AE}" pid="12" name="VS Team System Data DO NOT EDIT9">
    <vt:lpwstr>RJlt9Widr807XLsmvss+fP/1XDZ7a5v2CwMnCxyU3zDSnyZopWDMXpubN+bKrb5IYc2lMxExOk1Lug0mr/YB9YrfffkxORCK1VmDYQ5wRM9FmGKUeS7lRVT19w+KRVljktdnCGqI4izfMObYbY55aXWIgnGy1qSV5RmaKG2k1Mwd5qi2YiTHdGxCNmFW0P9sFsjDAVmv/BLnUcjsd7EXDICRyi8ycuYfmG5rxsn/MPheYJztnc9zM2JomTgqtyu</vt:lpwstr>
  </property>
  <property fmtid="{D5CDD505-2E9C-101B-9397-08002B2CF9AE}" pid="13" name="VS Team System Data DO NOT EDIT10">
    <vt:lpwstr>F72jJ08qWWbW5FQExlNsJ+xXSAGWp5o610m6kKC32Daa9tFKBGywJUixw6XIbcvPIYTRz3AZL8zVSm2cJXEx4LimydJZ6FKS3TryWOg70pU7fmIFugKz/aXFSnt2PvrpvxgIYefZAtWrOZAjtDczbNF2uQDfMo7RWbopW+bCQkZrvMjJjcWpBhyzPxtv/U2hKC1USOp1kPc9NMsyqidoqmTMKz6TVHQ69tWXxqNsn+sbjMHOKs1B2yWK/DwTEzV</vt:lpwstr>
  </property>
  <property fmtid="{D5CDD505-2E9C-101B-9397-08002B2CF9AE}" pid="14" name="VS Team System Data DO NOT EDIT11">
    <vt:lpwstr>pAfyBDPAEfJAoAwU9Bt8bVt0YJZiXPQ+3z2qIwra2egF5K8aMlpsUiaTQQblIJ/37You3gx5tg+zxAFcySkDmLeR6VAQ2ErrpsFWRZzmQtaEbamOHlm4+zGyqxPaw2XDZ22IF/k/4S9x2unaP6MHacyKLW8iA6fzG6jub6mPuyvskwOfIJD5oNW+9zifpN18zFsnRYduKpXi7bHMnjhmtNla0Z/2XpMUu2EzceVCxFKRi2aNnmpM2lb85XNqWh5</vt:lpwstr>
  </property>
  <property fmtid="{D5CDD505-2E9C-101B-9397-08002B2CF9AE}" pid="15" name="VS Team System Data DO NOT EDIT12">
    <vt:lpwstr>EbY1UygWFdpdNT1iui/GaTYHSWmkSL9lYUIsX3laNIZrjsJF8alF6z7YtPtWoO9acjzKqVRav2muMpcYmNi23gV1sjemrE1yIpOTQI6+Mi4Rgl8SYTWKv3I3veah1jDneFFaq1TizS68nbZJgl0+W1jpnWGHc1WSVnSK7Dq0Yc7fyiklBlSWEQmxvSjQlh8v9W3vop5Jtwx942DZmnWzyKvYaXfIhs9UWXBt/qRpBRPsgIC0RgXLN85k8EL+oGx</vt:lpwstr>
  </property>
  <property fmtid="{D5CDD505-2E9C-101B-9397-08002B2CF9AE}" pid="16" name="VS Team System Data DO NOT EDIT13">
    <vt:lpwstr>iQfjRYMIrpVnMNbK4RUc9ndZyA8udJouW7DM6Ftx3RJwtadZ4f/NcondeEujbEpSxTWXWTf1ZxGfvwX7RrqPpYQtfTJ1YOJITOtllbS0smBaNYeoiTRZF1A0Zn7KVGTFHyS6YTrNVViIhmHPcTwvsbCEmqS1hXMjyld2IpArtGpidUVyN2ZRkV+jN6SWPtEYULbqBtjyTCTuVGvNVkVw1zWt2zM7SlG/OSkx32H0zgTYZMr1m4mvXMvExfyBzrW</vt:lpwstr>
  </property>
  <property fmtid="{D5CDD505-2E9C-101B-9397-08002B2CF9AE}" pid="17" name="VS Team System Data DO NOT EDIT14">
    <vt:lpwstr>R4JJk2tW7bkRtlr2JG042S4W6RT2eya2sz9SRTGGnNtn4zZ3awdsL2FixGbXPJrkVuZjDM/ZTarSQsds4t4mAaxASnwZ8q95lweynZdHQahkPRWOQ66zVmUm6KzvyFQhxMQGTISJPbuiKfwIzl9tl522LNBskBimXzLZoz58NMuhwmstQhNr+eDk5HohGni47ZkQ5qyU9aaBmS+bSFmT9nuwhQCHbTlJFrZEHMrTDXsyF5q2RHrpUXZL51JwMJj</vt:lpwstr>
  </property>
  <property fmtid="{D5CDD505-2E9C-101B-9397-08002B2CF9AE}" pid="18" name="VS Team System Data DO NOT EDIT15">
    <vt:lpwstr>v2WfRLIWXyZaATJokRc47OyCILdxSCU+jAda36F+ZctJRHTIKZy7a/s3zptjKOJtslsiotvwmVazrbgk3ImIOYMRN1ciDJWdItcupCI3Lw0U65BpOMxN8FunbnB5ue7TP/YwttIEm+nmJPOtN1kFEVMjk2JmLk2UTKnKculR3zVxN5YNpNXHkhzHsVLlpzGZI0peZiplqtEml4xRyyjmJB7lbfBFTM/2vYUIwGqNXSknjNJvFm+2CsWroRpITdt</vt:lpwstr>
  </property>
  <property fmtid="{D5CDD505-2E9C-101B-9397-08002B2CF9AE}" pid="19" name="VS Team System Data DO NOT EDIT16">
    <vt:lpwstr>TsKBCYzCRYJRc8Vt4RYpWdhpmqDq5DDYogoSR/afCj8KKj9VbzPM8JhWKEjPOlxp84Wc69WPPc0+T+UyTQvGyNdPFh2z3a8gliUz70iXq5GrYybN/AQ59ZWuoXzjQrrN20u7fQEvxCQm5W8dJSwTFIfLp2oF2Xs3HQcOdEaxyACmLFgFKGolLd6COQkdiTiV0VJFTXbmsTc7NZ93VDVTGXVz/s162G95xRhzzrF3tqc1xtCdi7JF9q9FH7fkKe2</vt:lpwstr>
  </property>
  <property fmtid="{D5CDD505-2E9C-101B-9397-08002B2CF9AE}" pid="20" name="VS Team System Data DO NOT EDIT17">
    <vt:lpwstr>rlJog3xZTlfTOvsm0YudWx1lwTy1gbCvVo8wVNYG2PbVoF1t4SRWrorpSzBRW4+GSF4mFHZPEt9AF7KjZmTk2xdDicnTEJDExgGQ3lFJOcDHNftQEWvah3Vb7GbuPZvTNH1XASrkwmalf50NbEiw6ZguoWgpIBZmAhAqpI5azAzO9ZR6ONF8jnSf/wUkXm/GLfC48oqYSo4srubC2U9PaKVXa+IWFqDhftOacG2V2wl6vnaFjGaaV7RNz3E0u5F</vt:lpwstr>
  </property>
  <property fmtid="{D5CDD505-2E9C-101B-9397-08002B2CF9AE}" pid="21" name="VS Team System Data DO NOT EDIT18">
    <vt:lpwstr>WTbFX4GskLMm8koCTphds+NMfPV6RCahd27Kb9WhUIXxoELvIzTEE0KOeUYp5pDbuQqbwa3fyYIqXJT4zNVkDug0YMYUugbvbPBMO7JrZU56Mdfiye8TOGwUm8rH5dNXr15vpavKe0HIAB+cyt1Jz/x/SXLmih5dnnpr/MDIbUAk0b2l9Z0GgybIdf4mGYy2qOtN3sZlqeh1cwXZZV7IjdzEDY6drLDCiqyqwUikMi0hRmLyqSpHWkLJJ8thDpD</vt:lpwstr>
  </property>
  <property fmtid="{D5CDD505-2E9C-101B-9397-08002B2CF9AE}" pid="22" name="VS Team System Data DO NOT EDIT19">
    <vt:lpwstr>qUGc5xAlYI6fZj4ECUnYnlZrJ0u84zkThJRmJowLZtSRDVv3m6XHaUtX7VfEomtL5a1+pmULItJsClg04HCbYRKdSSl0rkVuTLbZfAyby5fllNMCDTM25ffFsnr6UAJBCSM7WbZQmzVSifVVHG4krYVi2k7UAVmCO3mmiRUgRR2SixjqsbMdjQTAgbDJS8SDLtqVS7F1hFCKbrCFWq8c5QoiDXtK++9kTpxBHz2YkxbKKWQ6OLaf/papgWIihec</vt:lpwstr>
  </property>
  <property fmtid="{D5CDD505-2E9C-101B-9397-08002B2CF9AE}" pid="23" name="VS Team System Data DO NOT EDIT20">
    <vt:lpwstr>jlgYpen7N0qDuoU4nagHE3UIRE3pXwnQTB8mJCikAjNlBpTiSOWvRQSCym80BKydtEVeqGhlAi/NTX6mmUkODMOpfFFyIOY+qZxFhT+pdLdssSUOcEhlW3X4UGdvmsvc05zipFAYibJiZo1Mhkx6THTiQkJmv1IShAczUWs6POZsWWgS6U0KrRDJo7RlN6S1zJKZp2byEhGCmuY1MbF1mitqEZgq6pUUuslLjUCbtVZOoyLyq/WTpora6Xr7SDT</vt:lpwstr>
  </property>
  <property fmtid="{D5CDD505-2E9C-101B-9397-08002B2CF9AE}" pid="24" name="VS Team System Data DO NOT EDIT21">
    <vt:lpwstr>CaJE5URBRUFcsiJCcFmPHbsrBfCTbiJ2Y+W4xhSF78xUVbXkVAdCYSHrOQsaOxItd4KLV5TBZtpc1p5qHa47CZZWIVvZMHkPA5cM7NvfMBKYmlWtvXFgGn6sDHWMSbXZdkQmYPzt/EzDbuAlJSlLGUa83FVO/TGvExSLR8Flm0x1mglsQToqZY1kXW2mM+bPPBfxrdBVDVK/ZekdK3cQkxPB0occSSd2ZWbQAUdZz5pgHHl0RLDrljGyKGQbz0j</vt:lpwstr>
  </property>
  <property fmtid="{D5CDD505-2E9C-101B-9397-08002B2CF9AE}" pid="25" name="VS Team System Data DO NOT EDIT22">
    <vt:lpwstr>MyA470rJkzW5fZZ1uC2TVbkUAPsaSkJcKyP+QU1ZQuaiVVmbeAuSxmjgOYzSx5nOtaJM22VEcaUVkinGgzFAmJ2SiQro65ezl1Sv271uKFQCvkX5QguxJqPzlAiDpTgGvWNFOq7EWKzkVukaYza636AmtzVGl0/XLtwkTTxEQKwhGEOiVhAuLvkBtrzpEglmg6U3ACneCQyKHr+JWZutrAOQqX2ZOa2FSHmsvZMGVF7gSokcMNLXHgSqliR0rRF</vt:lpwstr>
  </property>
  <property fmtid="{D5CDD505-2E9C-101B-9397-08002B2CF9AE}" pid="26" name="VS Team System Data DO NOT EDIT23">
    <vt:lpwstr>LLF4iUhoJlwEyhZvEK/bv69/a4vvdlJBDMonXGovUicLQJxuAgxbqWJQ4PF8xa7pHhaUaMw4VV0m5KuK/tMgO03JSq0G2COtamR1J99Ripmxtcf3MAoWRa5pvJ8WuI4pbqQWr3pTi8+odhb44PaEZqFNL1R5rIzpqEjCmzmiOQU7T2qyAQoIFVH6uZlrv7/XxidvdZY5h61eqURyyio6NRkm5UzCrUXsyFmZ8xrjsho2Z9L4m5BnVKt1tfh7MwD</vt:lpwstr>
  </property>
  <property fmtid="{D5CDD505-2E9C-101B-9397-08002B2CF9AE}" pid="27" name="VS Team System Data DO NOT EDIT24">
    <vt:lpwstr>bI7CnFrPtOcEM/WeYega5YtSBBXhv9Ly1KtjMEAW6TecZwqU1oS3JhdjQmoqQxcUB9Q8erudZj9NlZjYmFNtvnRMvs7+bbuOZrTz6JyXqY0QMys9lZBFCnCCcBlkUSrCVQLVinWaxez2dQqTE5Nq+8dxd81hLXhfuc+J2jOncZ/D1K2d86I7aDdOKNVQgGA1AhQUU2udofl3FWk7QYhahXwh52kek525/YDP+AcEuQJ6eJcw7uESQnS91D9alrz</vt:lpwstr>
  </property>
  <property fmtid="{D5CDD505-2E9C-101B-9397-08002B2CF9AE}" pid="28" name="VS Team System Data DO NOT EDIT25">
    <vt:lpwstr>NfCUVFEZYaiUFgOAkkJGze9QSXpmZCUH+2cJitErORTPJqZ0WbIdvqsPsdxlqFw1hVzETCA5UXbqstG0efIXaaNK+UGaiHZNFtg8rYvCKsrsgc4H+UV24IklGmb4kNlGkA5RRoI1Cgm9bTKYN99AIuiBelAs1iXC0kph/ad/u3ZsKmEvSgNOL0Nk40z7jZabZfsUMSUGRSiXPVvrD7KVJsdCV5B9t73O4z+Gai0XBa0EgrYXHfbBtC0z5J6NDRn</vt:lpwstr>
  </property>
  <property fmtid="{D5CDD505-2E9C-101B-9397-08002B2CF9AE}" pid="29" name="VS Team System Data DO NOT EDIT26">
    <vt:lpwstr>0FhW5jnZPWdbqTDTnPDBiV+W41EKmWgLwBdCD1ZzuYQX0OfbpiWe9DJ8PR8L7lqpf7kmUgjd15hD1KWLU3B1Yg4sbhKpkkm9vszXtBnr0DuFRRgUtm8orDREy6CA+jLAVAC1uUuaPq3SECET4kJdhLwNW10is5oZTpZjtc02qmzk0MVNjEHdGtLYhPSDTaPQ5nMA9DLzRY1kfQkm6JEVfTBPLnOm3BDHhO+4vJjZk4XxY0v1r5XapmOWBgk/CSi</vt:lpwstr>
  </property>
  <property fmtid="{D5CDD505-2E9C-101B-9397-08002B2CF9AE}" pid="30" name="VS Team System Data DO NOT EDIT27">
    <vt:lpwstr>F2KDfNo7yHnDtonzXS8PaxRmW5e5O2rnSiURAhflMoACqsTUtmhp8c0nKo5NB4lxF7eDdXCQv28mmZCotxaF4DWEsUCdpfzmR6TUfkyWyTOdnqK5yO5EnZEFruq/kiMraQbSUUh4BvJSYXvY9cyBWtk68/oN1HHRCvvz5Sh/VZDl4e5zuG06zzM7EfFslQMwYcFqD67Ykdlh6o8cgnYPpEyK8DYh1w55QHIKihLBARUSdCWdrVIP+lanb137IKZ</vt:lpwstr>
  </property>
  <property fmtid="{D5CDD505-2E9C-101B-9397-08002B2CF9AE}" pid="31" name="VS Team System Data DO NOT EDIT28">
    <vt:lpwstr>cHuUigkW6eaMPjRTdHKdG/kcIUGe4/4JwBGReWzlGcv1oWXAY1Hssir1nCrrQuZTkYJpxZyGK2XpZgAEoyzdsnaNgv6MhORcTr1ayLKQtsBc7rJKZKBGlT4spCoEbeXyZUDtVP6hziWEWqg9xoSGQmDNuBrDc46CZaiHSprJlIcSuCQRK1rpTAWaoyNvGEtuMmPXNMQNNfGw8MM2lREDmESZLEeg5zq5nkRhyMlMZ1o8cEPTZUgpFVDJXwgW0kr</vt:lpwstr>
  </property>
  <property fmtid="{D5CDD505-2E9C-101B-9397-08002B2CF9AE}" pid="32" name="VS Team System Data DO NOT EDIT29">
    <vt:lpwstr>5ZoDpvURLfaQ60RpsnBYesF4VoaRZUpK2gc/zpgqm7IWEtHvFwvBOa+chwHKZp9FQPcvohyrJaagwGINmxgUyMRW8JZekhoi+QF+BxF2ikwCri8iE0DalWDAlUWDu03RicQTLjotliUU6GmxJZnIrX1gLdITC9ZHo6vCC5CYVsneKZenNNd+5pifCRN8EvcKncmBw7XW5hk3N1DBHDVPLUl4RpbOGUpUt1VwGeZVUotRn0YJs4S2YKKfULRNgub</vt:lpwstr>
  </property>
  <property fmtid="{D5CDD505-2E9C-101B-9397-08002B2CF9AE}" pid="33" name="VS Team System Data DO NOT EDIT30">
    <vt:lpwstr>ZsO9UikdbL6RmsCAqV2AHhoZbclzV5pfEiX8M0sFJxuTykBCWs3hEaR9Td2igMUCasVo5UKQOPggFVXgCiFFY0AChBQ56pSsWNGKh0xm4P40C3rFRsZiKkumSyHIGjlB+dS/fa4QluQluMegFbZIe4q651kLpykcy+UIp5n901/RN49LEJy8yah31py1pDTWTNDqQsTYUIdIKFgQIb5forldepudfAsysgcyYQamukNTRUD40uqoBqudwRX+FSl</vt:lpwstr>
  </property>
  <property fmtid="{D5CDD505-2E9C-101B-9397-08002B2CF9AE}" pid="34" name="VS Team System Data DO NOT EDIT31">
    <vt:lpwstr>WU6pBqteJGjEfH2E8BQFgalhBomHhWRs5JgYAI6XyUBxdhR+MtBdSnSTgCehHI9CtSGAH+55D2ZSR4NHLo4X+YbkaDowJ6aSJpo23LksSfUUCmq6FWDNWrJEkS0DZcUNlUpJnlqv5sgU3Yta9S1Ejgzam4ILlmGoFNasKA8g+oQaoCeE3P75TCRdrY/NzSdd2TgZC7oYGzJEpnJrEn/KhdSyzQVNKioDvQytH6ULlJyjsPS0RT7nj+S+intffKC</vt:lpwstr>
  </property>
  <property fmtid="{D5CDD505-2E9C-101B-9397-08002B2CF9AE}" pid="35" name="VS Team System Data DO NOT EDIT32">
    <vt:lpwstr>S5rGQctUVK8S5Dj3UGJ4EHKqzI6EtN1Ee0kJlfuZ6smwMztdllRsMBtqCQ4BlQU4kuSeK2Bx6iiG6sGO3s5XOV3uqfNd3Glfugj2OtonaszjUI1xpn45TNCFy5K3LvYkBjJjIYG9XUF5wR6nAQRJ2AIqPgpmac9XUTuXu2+Ww5Zd44ooUUPPqHL6lQ6hmPZAR07zsri1pE5pcpvROmWWLkNvVcCyCxS0SiGl/q0ueJKjpizULJ/JbiozTad2jWO</vt:lpwstr>
  </property>
  <property fmtid="{D5CDD505-2E9C-101B-9397-08002B2CF9AE}" pid="36" name="VS Team System Data DO NOT EDIT33">
    <vt:lpwstr>dg88U7Miu6Qtx75FbpDNikFgFPAOVz2yBaVcDcEn0TdCvWDXFmgNzFVg3lZdckCKVGxpqO1WsD+Vg1CSdXthLHi3Dg6oSDBrfliHPx+Fdkke0teVgxh35uRYZifYtDyHRl32eU9WK6WHraCR3ZChhN5le8yjfHC8zJ8hyRPEmpi1JndW+5IOOsKDOLpZa0fB2ROZQUbAPqLiDmbGroJImNTVTybXHPZr4vwzCUyzTGiVpK9NO3psXkhp74HwnGo</vt:lpwstr>
  </property>
  <property fmtid="{D5CDD505-2E9C-101B-9397-08002B2CF9AE}" pid="37" name="VS Team System Data DO NOT EDIT34">
    <vt:lpwstr>F4AzJV+IFAflQNWsecuwCMhrK9MT1AuE8RPpL9lj58Weo2X4Zh9Xe8a3pOD9/6m9DBJkAJiYmA6DBHXDKibXPrlDjIdFcj7q3ZwRwEsUo/QDDFbDMDrxzcwHBZF0dQkQsPoPLIcNFDeUZq+6zJayWSEAtMCgDbKf9Y8B9y6czGmGPhPL9Orj/UwONFJxPMZW6TYUYjWKbofMd6B6CyJhCtAWTbyaljg8xmS721QgikPcAohXRR5Fi+pqZwQZ3Nz</vt:lpwstr>
  </property>
  <property fmtid="{D5CDD505-2E9C-101B-9397-08002B2CF9AE}" pid="38" name="VS Team System Data DO NOT EDIT35">
    <vt:lpwstr>LeyNKCLZ5JdwwR5toxkoAY6WZNscdBO2IFJexW4PiW11IwoCoWR4Pa3WLsEIoWSqLwmiW96Qh27RU8oM9PJOK735IucIyljR+abnrmqoTRI6GErbCsdtjqQKtmHEnCczAtZT1tqWfY5ag9DsI1UHukc0Zj5m8jb/+7X/6/Wr3+VZmmw+RT8sFlH6x/iyyj6IU+u0h8+58mnMM3iZB0+FroO+vWzNPwUfMoLcyfSy1W8tnv4KVBgvsk+bZLPQZHF</vt:lpwstr>
  </property>
  <property fmtid="{D5CDD505-2E9C-101B-9397-08002B2CF9AE}" pid="39" name="VS Team System Data DO NOT EDIT36">
    <vt:lpwstr>z8zef3q//vX1xfebmyt7Mj/1olb9MMiX4hkanN0SrIJ5MRGNng0AwxwUmVlj4RMJjRzp1trr15JOHVL4drNSuMPU9egA71dzpZyhDgvDhcAtUL9aDPDUAriI0lTAcOzKBLSQtyi0hgglBZAoRjBqDhWwLjFwVfQehUR9rWKvmfxKNHB8QucWrVnItwBUfYlBcDpw0SbVsmmJz80Dt2mAFwbAiEKSXuroj7RgsVtVQBYpCtkTchy6dCaOHjqYC9v</vt:lpwstr>
  </property>
  <property fmtid="{D5CDD505-2E9C-101B-9397-08002B2CF9AE}" pid="40" name="VS Team System Data DO NOT EDIT37">
    <vt:lpwstr>eW9KEdrZB29f4W2r8GYlAleGh4xKVGG6mmTvhOum6ruljM2GIQd/WJDIswDZl1VKRKKbPOR2ec7BMNmqY4IQXw0BY9B4mPQFFBR+OXj3N4jJ8FNFNu6a+bgbTn0eKFgB77McqUkMJzkgyE+MNzzl3iwrtiic6wFZU2V1H/tXnVegxsh0VVB9LKjbm9cgbg88hC/s+OfFmFErChHSBVtQGOzXNTPs+w7xsHi9ac4Qh1nuvgbwlOj2zuf7ix3BBKR</vt:lpwstr>
  </property>
  <property fmtid="{D5CDD505-2E9C-101B-9397-08002B2CF9AE}" pid="41" name="VS Team System Data DO NOT EDIT38">
    <vt:lpwstr>HkUXIq0FA3QWg9qCgm95l7JxkWwhIWJrFnTLuYw+AjdMsqUBVtYypF0jwUUFOwf9uhmYQkvhcQpFRHh0CSelik3n4JUKOke80JJqLUQM12AgAl4bS/NhKNZfjlnCZ8B3I58shf+spUiY6lBtoAFzOUQ6QmDrDDHfDVDvBs6jm5QFvadk0JKcubSBXF07H0KC7NF8bSxPAOdJDuOl36adajWezbU5rYPXFbDtFLDHqkohU7Qt6VeM50IZQIgMfSt</vt:lpwstr>
  </property>
  <property fmtid="{D5CDD505-2E9C-101B-9397-08002B2CF9AE}" pid="42" name="VS Team System Data DO NOT EDIT39">
    <vt:lpwstr>m8edjHtyqejNS9rLYnpaK7IipS+aZKkQw1GX0gteuoy74omJJESSYrgASX4W6xfDCtBC8tDBbrcDNHMOU+YlEWy4YOlCCIMlwJkBj6ZAatU8ONNCn8rEI6TFBcIbALu0pRchDlSvATCXSwPnhdtOmcxivLMmV+UgovJEPv8Jp0ajp53AbRi2gAo4cS0NEfYn8TT4UUS7wrihtB39sd9IikhMSuFNH3Ow5RFvixl4VAEMciymIJOBmI6oqzjM1fK</vt:lpwstr>
  </property>
  <property fmtid="{D5CDD505-2E9C-101B-9397-08002B2CF9AE}" pid="43" name="VS Team System Data DO NOT EDIT40">
    <vt:lpwstr>wcKG0SHIOWi4lFpPjzgisLaAsQRU0FQy8HE4G0wPPSS3LJouIp1fwRWsIbMTODWBQYnuuragT8Bn5AOt38xGASdbS9oqQECkdVLMEhVWZW+jOf67YT11Keja7orJo3kbJr/SsCSvKhSe+XByNCNgyRGAOAopJixKo9T6LbUIO6hu8EojCHdTCDbNGs1QfQ7T9mG4DB+gbHVDNRoGK3FmUmIvacOw21YDwLYXbWuWb13AhwUyuGFHQlBhwqOgz++</vt:lpwstr>
  </property>
  <property fmtid="{D5CDD505-2E9C-101B-9397-08002B2CF9AE}" pid="44" name="VS Team System Data DO NOT EDIT41">
    <vt:lpwstr>aREcNHL0vY9sNzQwustwExloApeYY9EgKsUBHF6DpgwaUXwEURynnGv2XSUOrbS2W/o64oIEva3tyILu+M57oaM3LqD4LcBUKLQD1RbTeB7DSduDeA4638jeL0pQ63qnkCNTJebY+K5sj5DXYvxyY3LSqG2Lbw2hZi3PE9ztZ3wZ8rblAvjvcFIkHjTtPYUzWU23QYHYi4NfCA0Z9O1LlET2UoOqeBPklzobFgovyWaYyFCoFoDBi0jw0Igb0Jb</vt:lpwstr>
  </property>
  <property fmtid="{D5CDD505-2E9C-101B-9397-08002B2CF9AE}" pid="45" name="VS Team System Data DO NOT EDIT42">
    <vt:lpwstr>YwtPlWEWlAcIpKY1HqTihdBx3aOIVTE54gh9NaxHOgonh4A4OFpFElRQ3q62rG8OVfblrmY9mIIg59xILGUMfJQGtIoTvompt9uzbZtxarpBBtBqEzdDbSfFmHJagsnSHIs9zzXXojUfQlMpHnociU1sedsDcfwZ8g/EuMH0pKsaJXNwO+qLBmpvdvaFGCZYyqOSxhHSlaWb4EJw29psibztwIFKfSyNRIzDsKfMcgUAbplwx+m7xvZRRolVA4e</vt:lpwstr>
  </property>
  <property fmtid="{D5CDD505-2E9C-101B-9397-08002B2CF9AE}" pid="46" name="VS Team System Data DO NOT EDIT43">
    <vt:lpwstr>VmvRhgso8fLYK3NiP7FWksYV1GlVHcAfYmyNzhCDhiao4e1I/WtaxfJDiXQpHfgvAKepkzDjFMXDtccLcsph4CtOjnwpjnMeJidK0AqpxTGMvgdQl+7pPCjfHHUc77arSzBxif0ekSehZm6q6Rupqw6jAWTcJHltkuXxrxlvEffjas+CMBuLWiHCPS7GeMQ5m6xvsIM6/WcOhTRMyGd0jm8XTkgnrmYOxkqDresla4hX2R+ZAjdrqMMrPYY1FxC</vt:lpwstr>
  </property>
  <property fmtid="{D5CDD505-2E9C-101B-9397-08002B2CF9AE}" pid="47" name="VS Team System Data DO NOT EDIT44">
    <vt:lpwstr>6FrDHa7gFFq/gvqHRSZxCnVDSDWHQlbT9ttTn64ZqGn9POLZyZah5ACbFrDziV45g9qIHvIGx0LRKn8WkB1dLfceLuyY7IIIY6gam4PSAKDLCCfFnD+95GSo67Jl+UWlu1KSQAnsDQ7/GBPncfYJbBIRJGhm3X1RO4Ibw46zAPgbkP4PKed0ZAh0o2VXX+bVLexzbinDmHSkME0W9G81IMwCz2CKigiLnquygP+qoOE1IEvXgd4piK08WZ7ttIP</vt:lpwstr>
  </property>
  <property fmtid="{D5CDD505-2E9C-101B-9397-08002B2CF9AE}" pid="48" name="VS Team System Data DO NOT EDIT45">
    <vt:lpwstr>9sXmh3nDLSn4ZNC4V7JKFP0kI2kxFm4R2sIw439OPAsnJHaaemQ4FIpwXwJwaErWAslYDWmeuM3QUDC4jQ1eIB042hkfJBLWDGSOD96P1zHE06Vb4RzF9Z2peK5RGSPCb1Qbd+V5QLbgFei6I8bSuG5nBZcfsqDNlgPBzKActgAq9osKGKJNY96XJfvpADVtUBzNkSHU7lQFXFoxG0Trq0boz7KUj9ZwtQ+rUsKO2tBMVFL0EaKcLrYMgLfM03R</vt:lpwstr>
  </property>
  <property fmtid="{D5CDD505-2E9C-101B-9397-08002B2CF9AE}" pid="49" name="VS Team System Data DO NOT EDIT46">
    <vt:lpwstr>3E4i0YjATonu/SBYqf092dUW8Tjjns2+mrGaTqsLSaLGPI60gX2Y2pasmIb+xTVwtdX+LQwGmOoawUnWPFwuBDcGBZUxhZihyIewhZJZkwVUCn3bqhK5oswzALWU8be07YkQMPKqFlMose8ZJ9JqDlvpnFyUkSiZCSAqWpb3OwaqgrfItgi6SoujdTwR5pumW4M1GaQcYXN9QXIJ0JCJpbmCREkhAocqpwnqR5g74foqT1RMau7ClOM19ZJvEup</vt:lpwstr>
  </property>
  <property fmtid="{D5CDD505-2E9C-101B-9397-08002B2CF9AE}" pid="50" name="VS Team System Data DO NOT EDIT47">
    <vt:lpwstr>pMXkvEu1M6Oa2ffGNB8mABq9v08NZ2fJiA1VKAlNEA5gLQC7sKGxJOgwXTL53TJtLwyUczWczH3RJ5gEYqrpIXP7IQD5empttREUvV8iAWsY/LhSGm13j+Gz03kc5TbPKpIokXmN4NYWCiql9FQWMy9jHIVgIjpAHVIgj3Nme+hpiLomdQw2YHbr+G4ho/S53PNrgSepsebakoD5gKqvkYv2EwOadRLly9z6nxvpOogoM/yFiaKFhZuABq+p7EA</vt:lpwstr>
  </property>
  <property fmtid="{D5CDD505-2E9C-101B-9397-08002B2CF9AE}" pid="51" name="VS Team System Data DO NOT EDIT">
    <vt:i4>106</vt:i4>
  </property>
  <property fmtid="{D5CDD505-2E9C-101B-9397-08002B2CF9AE}" pid="52" name="VS Team System Additional Data DO NOT EDIT0">
    <vt:lpwstr>RVpSRwEAAABVj8tqwzAQRX/FaG9LSfpIjeMQCIVAyUZp9mNZSlQsyWjGJv37yklN6WIWMxzumVttb67LRh3RBr9hi0KwbV1J+f+UJcjjhg3Rl6iu2gHmzqoYMBjKVXDlaHGADmlobShJg8NvJO3KYIxVGilEuGhWV8csRR7BaexB6V3bWkoW6PZAIH+p2Zbw84SfDO76vrMKJvbgkcArfdizjDZMsnoBDYBYmLxphcqflmuRr0E0+co8v72+CLM</vt:lpwstr>
  </property>
  <property fmtid="{D5CDD505-2E9C-101B-9397-08002B2CF9AE}" pid="53" name="VS Team System Additional Data DO NOT EDIT1">
    <vt:lpwstr>Eoyt+/kubIz5jN2dciXosOSeDxVeDRepUNHFa+Sm1eQ+Db+96vmud9RYpPtZxVQj+ER6/SR3HVLcAdLe7kR/TSFn/AA==</vt:lpwstr>
  </property>
  <property fmtid="{D5CDD505-2E9C-101B-9397-08002B2CF9AE}" pid="54" name="VS Team System Additional Data DO NOT EDIT">
    <vt:i4>2</vt:i4>
  </property>
  <property fmtid="{D5CDD505-2E9C-101B-9397-08002B2CF9AE}" pid="55" name="VS Team System Data DO NOT EDIT48">
    <vt:lpwstr>S5dBVVHD9uCw6yWZ05YSTABLq8JIqEpM94TT8hwPW3nyZdFgyyGbhQvJ2ksmCTlKQOIN4V/rW3DJmZZ5T28c1T3rsJkRQc6BKgYIc+EdO7EmT8vzmPZ4kd6oAbbU9Nkqroa7I8UxDWGgkMdZ9ROSOiDwGVDahHivxXOtQO50vgCa9EyK6kKY9jaSEVx8ma4LYXTJor4Rxl5oDZWVN24tANscdHUC3L5hrJTws5XC9ZT+ywAwRj/ChZwTs2LMZr4</vt:lpwstr>
  </property>
  <property fmtid="{D5CDD505-2E9C-101B-9397-08002B2CF9AE}" pid="56" name="VS Team System Data DO NOT EDIT49">
    <vt:lpwstr>wxb8siRTTPZsQRYee6IDmDGVYWjy2Tl6Gp+kNKAJlxFclfr9P8iVEJRXwyYa5WXJt2xeiP0O3zHJHni+fASYNtRLJMqNXxHON9Yg8apmWvwxXucPhaHznO25/DpdaQ3NSDuI9muXRH3bTheGySoqAD1TaM3DjNWhbrQeGNOWvaloTUyD3BZkxXkICxjmiGNf5v8UStvTO5/QcZNNkoGMMxLJuOjoZzHIIqUd3UQDiL6I9x797GcJCm+gYNpSDJx</vt:lpwstr>
  </property>
  <property fmtid="{D5CDD505-2E9C-101B-9397-08002B2CF9AE}" pid="57" name="VS Team System Data DO NOT EDIT50">
    <vt:lpwstr>dSFOOnFjWGIplFKSnYizA29umc6WMeWcFlxR8HsVwL750doUgp6z3ICYbYhGa5CLolXUWo0hKvLxw4j4aBY9Q8c78pAiyNj5uupAyVc7GsNO98gMGoM5GLw44hwBvHJsJVMt8FEBqxxRRasn4e2HKPwiwVNCiNQJlejdqpXlc9veShU7cUMh7XPRNtQo1b542iUNQa911qHfQTEdhhMVylEOpAZtN6Zh1HJFkALg/oVyE7XM400w1vYLCsB7djN</vt:lpwstr>
  </property>
  <property fmtid="{D5CDD505-2E9C-101B-9397-08002B2CF9AE}" pid="58" name="VS Team System Data DO NOT EDIT51">
    <vt:lpwstr>qHj7qV+YFQsrVvT3ZWT5K1wgRIEx6NfRMMFZEKkA1BritMBvsIc5gJPHxnNwAmGGf5gWWtajgoQF7ufmEjbUdD2fEwBYWLIf+YcYEjxJCe1oS70UkotjfuGwADhUeqBovIMhWI0arRcxpSX+yaSkAkUHiLgaLBrCeYKDDSD8hrQhmL/83htKopx2HPHalhjAeG4b1yjZD7DnTFyNpJlTl2H3yi+CbIYDUXIGqof9Q6ndMWBgYmgWhR3CU6mKt+e</vt:lpwstr>
  </property>
  <property fmtid="{D5CDD505-2E9C-101B-9397-08002B2CF9AE}" pid="59" name="VS Team System Data DO NOT EDIT52">
    <vt:lpwstr>ewfvyFaoLD8s3g3pJ4XgM9j8YdG4WJgu7+g1LDADhRyblnqmACfwc4sSFsL3DJUih4S0Rdf2fRKKyyBGMAGr8r7XS56AylYvS8cEy6b2OM+E2GBVoFMxq9LicPqCZEBLTOR7ojOADsAmNLeSmZ0VFJEZzVSp8hn01QAabGfKP6P04jJ5NruhRnxwMDkd8A5+vwQG7LrpaY8TdFdLGjoi9dnQuGu/mzjYTAqQ8b6FLdBvtc3c3MLRHUyX2RTz6FL</vt:lpwstr>
  </property>
  <property fmtid="{D5CDD505-2E9C-101B-9397-08002B2CF9AE}" pid="60" name="VS Team System Data DO NOT EDIT53">
    <vt:lpwstr>izbbqRwg1sMGGOA0iB4Y4IY578oaEIZ0lPdo1Iyxi+CkyqMotOhCTcEmjYDwHqxvOeTPZWOQ8dxRRNXsu0yv2tJ81NYmOjuEq7cl5E1g2lEbkE1GSMOzG88LYJa2ZyCCGQ/rxxMo0veZhCilcNrDAweChnCFwqYhbKPodZnJ0UEhrLA/DZzs/yCTRYjOInFPS+XlC4RmKU880kNI2OtNTF47M4MJxp7W0cuVTLEHffK85i2BCU5AEJTkDO/gcbE</vt:lpwstr>
  </property>
  <property fmtid="{D5CDD505-2E9C-101B-9397-08002B2CF9AE}" pid="61" name="VS Team System Data DO NOT EDIT54">
    <vt:lpwstr>HCrFM18AD3ckxG6WCCSOHvbcDpmyjlM7mNoXpO02WsvAClfCdSzLhKCUvMgCZyhTlWvWTcY4Zi0MQKOswb3oJoCSErqWHVT6gp2y0Jw1nG5pHaWJarq6GRCGEa0MgvFIMvQ6S+P66EOYDgSbhXyN4K0KOKtyD59rUJNQlmfXdCSRfsHC/94JzDcJlJqemdrYnvHfDPmuMNfIGYZmvTXjlAKU8u3pAn1fxFZs84ELg1hRXHoIAa1SIKr2mU6GjJy</vt:lpwstr>
  </property>
  <property fmtid="{D5CDD505-2E9C-101B-9397-08002B2CF9AE}" pid="62" name="VS Team System Data DO NOT EDIT55">
    <vt:lpwstr>wqwDMuEsAgmeSqQMgYNZ+9JxUKqEx0OvwCXzHkWsQAmUPvImSVCSjT0aBkamIqXNVxaYLWse7HVCZWgmcWs0ijVmMMJ1JJYzJnS7LNIFsUUACVUyuAl2F5yGNEiYAgezyoqSBr5Z7yNcapuWdFYjDquJ+QOM8CAgM1UOuadCymQMFMYwqaclp4cfmdTGykdjglwA1/sgvYfv1C59+k1D4vzbll6Ue5jri8qICupKJd48sQAws8Una3kBVP3hD6C</vt:lpwstr>
  </property>
  <property fmtid="{D5CDD505-2E9C-101B-9397-08002B2CF9AE}" pid="63" name="VS Team System Data DO NOT EDIT56">
    <vt:lpwstr>HF11ZmBsCbzdlR900ipCbGF8F0XTy/j0QxcvWnOGnmjJb8YYYKFjQKDBM0JvI5BVgWIwcgXEp3XRD2oJ6WoUPy/1I3FWMpYNQtaXpcvzZaMWVPkPKBFDlO6gYUsZnicyRRx9QV9hjQlx/SMmzmp0PPUMTQInpRH6CVbUvDyMbSa3MRoCkC1jy0tAlym5hism6hSi2QRVXTKXvqJfPwH1U0PE5XkBU1/Fr5WYienGdZTnIvjQiubFshEuBPGTtY8</vt:lpwstr>
  </property>
  <property fmtid="{D5CDD505-2E9C-101B-9397-08002B2CF9AE}" pid="64" name="VS Team System Data DO NOT EDIT57">
    <vt:lpwstr>wEWnW081FfhS4Dw7hhmnpoMtgLNWcC0b5pD4rB3uiB0x5Ql9VGB2k+zPAjbGuW7ZmdL/vzK+hkPbDkluMuSMxncc9q1hNZd5Peevowcy9qQ/ISxKe1fhc0icK11+SkDFVt4yUMCb9QgK2gkmpohvOU2CUvtPVo94ZNGTirG4OxMeR2cjhqE/oUBdZJKP2UpI5M4XBoTTn2bJaZosVoUii/hIktQPMmuwnDEn/+nxcrZjJc3oEPswlwZ/TzioPKp</vt:lpwstr>
  </property>
  <property fmtid="{D5CDD505-2E9C-101B-9397-08002B2CF9AE}" pid="65" name="VS Team System Data DO NOT EDIT58">
    <vt:lpwstr>dAZ4y0F650BsM/WvMyEqkMV7MOFX3GdGt3jJWuPck72Rd1gGEkCj+yh7bbAt8vxgIVjM1khgXGKZAeMf0+w0E+0hpumdaQ6q+pDXs5hkk/hHxVOS2o2bKuZ0lXFy6zAEuGRwZkBYqop5wTKDaF5BsuE3HnTktzNrIoy8C4NQjAitqgqG49OAdCEltwDD41pWPCtT1ld4FmFNKSaU6FqJckSA6TGRCnhOR5Z+KqIVlXsoz8sYR5siaQzhlDFVFer</vt:lpwstr>
  </property>
  <property fmtid="{D5CDD505-2E9C-101B-9397-08002B2CF9AE}" pid="66" name="VS Team System Data DO NOT EDIT59">
    <vt:lpwstr>cF5+Ra7nIxYjooL4SqpoIPM0n7AXgXOuaV5LMH6CNMhupDpmsQ4wb+MEgbKZmE/GTNUe9pXEnYZnJktrDBefUgXeIJLGrFi+g8SL1N+jC5YnhLjUuazPfxj5byM3sHzeXJoTUp+PpYb3NBDmOPwJKDAPJFKjkdUk6GLCHlzKhUVNYoA0sUCtLFgjy9s/cmyZe1KcJOUnoiSTH5C5SdHHRdwfWSIecWIoQbCaWFFoXyMEPwK1Wz7lb6JmMJYQTY6</vt:lpwstr>
  </property>
  <property fmtid="{D5CDD505-2E9C-101B-9397-08002B2CF9AE}" pid="67" name="VS Team System Data DO NOT EDIT60">
    <vt:lpwstr>fc5D2MbS4VnicWgopoBg95NDUghrQ/BcLVMvY1zoglaVDi8ohkRRbYRIeNr20CqxReyzSNV0GjcZUVZmy4IUqLgylhFQZWqgmvcawuRZuHOGkcXEUw6IbghCKqdDoaE3QVPJfOax7qtbpq3LaaduAvW8zAzSOKcuULoE66qfmCWqzAoWakCjFeD8hPmtAURtKSGAw06Kmy6iwIyNF7EJPRTFtGyMkYDpUkrvCIbXiHApQVAjim4eOtMS1eaEfgl</vt:lpwstr>
  </property>
  <property fmtid="{D5CDD505-2E9C-101B-9397-08002B2CF9AE}" pid="68" name="VS Team System Data DO NOT EDIT61">
    <vt:lpwstr>XtfRMyd6vxq+rSeyqUZkitybd1QA2X0ZX4opl+JgExv6W1h5pp5LSe0g+mr4Jz12S4zCJvAkAXUdbpnpKA+kTUxohJYEGSx5BUqAu6xmI2iiHtAxPUOEaFGB3CurxFfM2/YRyT5gifij6KBQdZDrekJk4Edy2EexRBVMaTbQCHAFxwCVzVDajAdvpslydp/70FqRgAEAC7Mki8YpCt7rTA3Qa2VK1LKEc1HjHkGgxYXkGGRKNKdS4grUq4zF9zs</vt:lpwstr>
  </property>
  <property fmtid="{D5CDD505-2E9C-101B-9397-08002B2CF9AE}" pid="69" name="VS Team System Data DO NOT EDIT62">
    <vt:lpwstr>NyZroMA9G1+y66DFgMEJ8EGs2SEKDDvxPXPqrbZKCEXszRr9lQCZeLlDIyi0E/GTOvVep4WZujSxemngM4ByOo/ZuefynBHc4hL8ihhUzImNawlGZM4+tosE+Z72qSYMsuwfVnvJd+9OcMSnSE1F423SmJ+mElosb2HcLM7Gzpa2x8IR7P2ixj44FrjtEudZ8Ka6kIFowWLWBpadCHpUA2067oiLVymWx4vK3aUMgLtiTrlDIn/2b/TunOEw8Z5</vt:lpwstr>
  </property>
  <property fmtid="{D5CDD505-2E9C-101B-9397-08002B2CF9AE}" pid="70" name="VS Team System Data DO NOT EDIT63">
    <vt:lpwstr>VVTJjkNx0ocMV5IJF0IfEtlpYS4ssKyxDOQy4Guy5ZVjSOmigZZz/GXQPqf0pWkYW80PHs2qZgGoQBK4dJ3mSI7JWM46Cv2cxghskNVN9NmcOiKuniZOCeM3CyAQpQwb/mm1obRKx44KoKXTGvwwzkyGvJqwHViAyjAC0d0UPgudRhjgnouShkx8CTLpkTE0K+2VNliaNM9h3RNTkWoLc/lTvY/8MndridP7yjW53CvZvAnqy+TFqwOWtlqOh8z</vt:lpwstr>
  </property>
  <property fmtid="{D5CDD505-2E9C-101B-9397-08002B2CF9AE}" pid="71" name="VS Team System Data DO NOT EDIT64">
    <vt:lpwstr>IihIl03jsCOK6X4JAZQLptXRiwcBlwBytHiEvuEKPo2EonztR4wQaTcMDmmjfoC5bm2CmpkxKSPU87LkRoEHl3pOebyGHL5CM+NN1ZP914CaU7IDJTycIRj6xpMY0J3ZASoQ9yZgCe8+z/SkDKPBMFiGNhELaApjHNPsIzAkIUCkCL3bd3RE8qESDw9utRGhkJwyMBWgtZiCUEr52BdtBZCeNinpKOpehtyoGYut6g6AZyHEaXX189QKCCtqEjE</vt:lpwstr>
  </property>
  <property fmtid="{D5CDD505-2E9C-101B-9397-08002B2CF9AE}" pid="72" name="VS Team System Data DO NOT EDIT65">
    <vt:lpwstr>O0rbO16v8pfOg0FqaJAF3F0ENUJMTVcfji7rQLRhcBpABytpSn/JoHQH0ySk7T3wc9xO4Yz+FDBlvgfWLu6sFMQq1rEccZCAEcyi+ZtK48bD845ZV2RqP5cKZq+nwUsuGZ6jI94OEmNDa0AWh9pMAErIWs+cYOELbndjiay5fI3lRAfxlsDq37JhT37DfSkxbOmPsZRfkvQMSpAUDOBzykfChowRnP6+R4kQHqnznXDmfkcZRVHpspp10mNxwy0</vt:lpwstr>
  </property>
  <property fmtid="{D5CDD505-2E9C-101B-9397-08002B2CF9AE}" pid="73" name="VS Team System Data DO NOT EDIT66">
    <vt:lpwstr>bG12GPzin3w3zMeIiUkjCwAD2stksmnui6wpOeI/cpiJkMkLSeQGE8pXLblZ7Q4kWFQbesky0s+z4YiSDj/1IysRGMhDFhR8RMPVWxSNs5OFsDqN0FZ81ohW5Vpw9Q1wri6bmamcYxQkAsnCQJSV8OLjhjwpFmFACPCvbd8nHXQ/V9t4f9ofFoWAoVJbD0hnYadR+SNDcpkZM9Ax8edSstI7xpin6mYgtaJ2FifOorrMyX9RM6ZQMhHfYdMhVS6</vt:lpwstr>
  </property>
  <property fmtid="{D5CDD505-2E9C-101B-9397-08002B2CF9AE}" pid="74" name="VS Team System Data DO NOT EDIT67">
    <vt:lpwstr>/wM6EaXN6DLuOz63Efu+0lnGLJHqbploWAEO1Sd901zmk6o1I/qZAUXLAawE9Ja3lQ9m1THaAUX9BgrtUmGVOqx/BouTsDzQl5hU87Lwle4VhNYKmJPEQT+y3nLjANSQ3rUAgXtmK4XgMG03dXQTVUEA67q8Y+aY0Sz2QylwrhetYyKvICmRgAAOuZMqSXceaGE2z7jWQHbr4Gf17RURSRBzMv2KMLI5+ngqe9oCkmh1GpnWlKGYVW+DKdtvrlj</vt:lpwstr>
  </property>
  <property fmtid="{D5CDD505-2E9C-101B-9397-08002B2CF9AE}" pid="75" name="VS Team System Data DO NOT EDIT68">
    <vt:lpwstr>EkhBUbNiHEQBRMe8swYmixpkcEjlssFEmwgltTwL25rKLmWvjnN+N9xPzelm2g5GEP5lzELmawRcGX8+LSW9DE8nJv+Ve6x4K4eooPHfkSlo/bTAABuNFvQc2wL+p5IN5VJnLMrIp1sG1E5QpSnq1vM/hN7TIU9XgThXSQWITsZw3xoGPjlBAGm6phf+hApiBzDWh7Lh9JpHyKmFk79ivducpo4KZpiu9lVIymWeCcmzEVSQllKYyCFCMWGJwSL</vt:lpwstr>
  </property>
  <property fmtid="{D5CDD505-2E9C-101B-9397-08002B2CF9AE}" pid="76" name="VS Team System Data DO NOT EDIT69">
    <vt:lpwstr>FDJhM4fMO2HfGENJ6+gqO7PYy4FTOKFEHs04DQ5a9ew2sCPq+iBr2Xgept+JTIDMVA87V1U/jeeYRMbRItvDt5zBEZDNgr2GEsnQ4+J4nPQYB0XX9KHCX9IMV7J+E19+C4spAeYhqut3nQcueu7eFiCVl9mFDl9Bcm/G4+W5ZEhduadF5cGeEOaIv2iPkZedKLCLYqZDaTkAGsYKezFOwxYSuSd0PhVMFtJ/WPu06jwzKshGHvHAHB5oAJWlvtR</vt:lpwstr>
  </property>
  <property fmtid="{D5CDD505-2E9C-101B-9397-08002B2CF9AE}" pid="77" name="VS Team System Data DO NOT EDIT70">
    <vt:lpwstr>Vdke5sfeoi3C+HmlwCpNRcOvX30E5akEAPyK7WPpmrltqXJQmyZSVjP1QxIZvSMju2Ijdqopp52ixvUGjfTRmFKy4n5CKHibP0kHnYRkNyXoLe1Vr2HEfPiPZtWSBoOq2iqp6ioktSLJlvKqVxvuQPfvJJQeFQ9hpdU9AfpmCd2oDvIzRXNIFmSynUaSOYDetVxTK2DU/LGsLwL0eYTrsQCEPsuYFJhqmQtofvmOTEIHCFmElR6YAK7B0FtJz2a</vt:lpwstr>
  </property>
  <property fmtid="{D5CDD505-2E9C-101B-9397-08002B2CF9AE}" pid="78" name="VS Team System Data DO NOT EDIT71">
    <vt:lpwstr>xYi/mU53Hxh9FpS6KUKGxEMJpBBKnHfoPNou2yZo9RShCuYYRzRN5NSXympDPkm9gywaMNol7le0mGNLV8Gh4+YzaSOGbIUGb3oMdQxGWTMJZNnw1x6xbGRGN4VP0NGHGS0HWjvyE8CcDfElZ3p2R3VfsJlvaT1frxvwUhcIS9DiXTq5zk5+DgZiRTTbSNqdSKwCE6nhjxTjXeR4HWXMKlVPcPP9JpHTt0yPEHGEKmEyKIF56A5MyDAPOY2ptvb</vt:lpwstr>
  </property>
  <property fmtid="{D5CDD505-2E9C-101B-9397-08002B2CF9AE}" pid="79" name="VS Team System Data DO NOT EDIT72">
    <vt:lpwstr>/tCSaE79qAtAaSHYeU/NkcA9JfZCOn0bVh7NMAsNzWCxDE+QEGlHMMs2fnQschsysFgZR/L74vRlem8KIi2HG9XExhNcNEWPSKrpq06YHW47KmeSuKM+42WBVYdvVFBw8nJi39Ux28eUg0btNSQaQ0ZEMJyjyDh2+oRi8nxijwQE2ZApd8yJpjDzovrr0jGHPjsYhfs55S2NmSU1FYDiAZ5qRjtdSaZZ7rGfbQ3RYcHEiMpP1/Vj4piJp3TMC7H</vt:lpwstr>
  </property>
  <property fmtid="{D5CDD505-2E9C-101B-9397-08002B2CF9AE}" pid="80" name="VS Team System Data DO NOT EDIT73">
    <vt:lpwstr>l+bIEf0hLin1XDE40oiSZ0/wXei5TGDvbpqdQCzGXDTTPQqJl+ysA3WiC5xI2PffUzOjqMbvXsgS/aBs6oua0B+TnJAzVmJLjK9EipkQ4la3cDyBmwIRn08pxryIo1NR33vQUyyqHz1CEjJnflhUlSnz6EHZTxjzkkP0V1KoTTlXqAn7RhEC1hfY7xvXzE8xbx5x2yJIjTIy4w8O5kcqjRmOXLkMvMmtDCICUagn96BVjqhrg7wHLbiFLEHqjlS</vt:lpwstr>
  </property>
  <property fmtid="{D5CDD505-2E9C-101B-9397-08002B2CF9AE}" pid="81" name="VS Team System Data DO NOT EDIT74">
    <vt:lpwstr>PXArdrmcZXgzoSaBF0rKjJcrpU4jkfadjfEQbLmJ4z6nxC3gPW6WgkVl2CKTJps9dmYd+1Wfs22bAnIJJORmYy6EOajuE6DBmHmfFFiYLQLWMy7KuteO4K8BscdhRyR5U99ZO/QJ8X4AbMGhZxT8qYJb1NiWm7L6l6lbDai01uBgo4rP2ki+oonuQxpFEioAmp8iDnrp8c09Dh73BDgqJv/veBdci8MtXuOdqEFoCAaXw1nBfFC92NOFnW34F6S</vt:lpwstr>
  </property>
  <property fmtid="{D5CDD505-2E9C-101B-9397-08002B2CF9AE}" pid="82" name="VS Team System Data DO NOT EDIT75">
    <vt:lpwstr>EA9Kd9JFj9GPdTAdTpOruLyRW1PJOnwOEK0eOw7DuADi8O+8BaRSJvJew1hG6Fb1t/RQvRWYK7tAomUBG7LhtZBE4QIIIRpsg6iVMfgKvlKQV/4iSlHZLQfF4x5MmHxvztTyxyrjWXTGdVcB8AzwvaWdU9wVJPZCmDfrKFIEjCJ0nLhbTtjnlJAR4nrm5BjJh3XaBH1TE63so2v4DLZsEPrqAjaLeyIkCoYnAImfwUeXcDhl2RmKhztBEK4ktph</vt:lpwstr>
  </property>
  <property fmtid="{D5CDD505-2E9C-101B-9397-08002B2CF9AE}" pid="83" name="VS Team System Data DO NOT EDIT76">
    <vt:lpwstr>6YeTEpkllJwjwOd6C9PnPNJ0yxCXSjEnsnwRw8Izspk5+NYWerWALq+CQKvx3WuMlZGLDE5XxBDMlk+gtKhqz6xH/DBTyhzRbSxDAibMZIyguUxAvPvlVZ5Unz4kXz9LSYJHYc8jaQfviepSaq85mdMAiqSaNiwNLJq23KPs4rK8VwhcvC37spMnjlJ/M4y5LUOebS0lDceFp/ENcZkiABp0cYQAHNUt1ul3UwZBCUo94zw/OUiP6/7veT7/Reb</vt:lpwstr>
  </property>
  <property fmtid="{D5CDD505-2E9C-101B-9397-08002B2CF9AE}" pid="84" name="VS Team System Data DO NOT EDIT77">
    <vt:lpwstr>5uCBcp3F6+cP6Klj/EOebyx/y/FP+g7taJ5/DKxOvpyH0B/N8ropoHaafFPVp4HKWXpkfapfx8ir8/Cm5CqWznlb1nz7P5377ix3r1WZ3sbpov1w0m93m5pfb61+2X+zLbvnNP/mFHp/xY9ZjWWMEI2dbKLoC5hW4TJdPwkhuo4M2MqQl2/mAD96KmIRcQ8K8ZfpETalHjLlAprN4brjvaCBjsmyGcg5BvchKWyJUMOFp1kPKY25/5HmDuj6brL</vt:lpwstr>
  </property>
  <property fmtid="{D5CDD505-2E9C-101B-9397-08002B2CF9AE}" pid="85" name="VS Team System Data DO NOT EDIT78">
    <vt:lpwstr>ZQHHy7jjFz7dXVHfQJ68RzANI3E0xHfsO5s27hrFxhAwDCefxNVfTYTo0GcD28rAFxrYoTuP2MBIB6Npn9G/m0Vtr7+H7wawHErZ3xlIeZuXhhNhGaM5XPfUkNSEMFMEA8bn4sdMT4XFA+mu2Kns7gw+28zDQ685yJUL69sWVEdDjT6DNyOxeCNOjpyYn/PEdMSjaxDnsbHPjRt4yJckRXtmBHNBBw4ErRASQRXzK8ey2jDiUwM27neM3LZIOGv</vt:lpwstr>
  </property>
  <property fmtid="{D5CDD505-2E9C-101B-9397-08002B2CF9AE}" pid="86" name="VS Team System Data DO NOT EDIT79">
    <vt:lpwstr>gRUifO9JwzyUVtK2M/2TTBlrQcbwUkRgRfwNDEZuA4lyQCHaVwfWSjJzwxRxajLYCEi1PtgxCP2LSluc7afHhPQyCNEoG9lBZHryX0LOsByeg0qevMs0i0o5rePs8NnMhmjOxgsgzxEPTWyUi8JcRsF3o5RkuLoKgBS5TpbQZ8c5L4l7bE0ejuSpjVojpqehQ6iFjGLzsjziJQnW5bJgKg+Yzav2mQg0UiYkSxOwEZykqKiLcLSvF9OtaUyXMJ/</vt:lpwstr>
  </property>
  <property fmtid="{D5CDD505-2E9C-101B-9397-08002B2CF9AE}" pid="87" name="VS Team System Data DO NOT EDIT80">
    <vt:lpwstr>5UiSedhSCJDYgVxSl94Lh68ny0rxzvdBhzoWlSpr2GrQwC3Bt0wM3HmmJWIaZ1oKLCb8NcO/y4YuMD9ei2Chg0pNlEMvmwseLRvWkQFkDqHc6blYK942jbklQ8yl/5zWKB6NAnygz0rDpu0gX8joLXRdn7BuqLXMFHuiEVp4We9oRp1RWfsQmYUyz049JtdZ0T1YM9rMc9yn0DeVNPQLlb8vBdUA4WMQmAn6HiPzogjbxHmR2tDbTvXCK9DrmR8</vt:lpwstr>
  </property>
  <property fmtid="{D5CDD505-2E9C-101B-9397-08002B2CF9AE}" pid="88" name="VS Team System Data DO NOT EDIT81">
    <vt:lpwstr>NT/e2MGjkuBvPqEKNPfJQLrieI8onOa8mo2pSQyYTsFnoTl6WtI0XEocyqCmlc1HML4DNTJ+FQOHisIdrpGUP8ck53ijppwCJl99P+GWUSg6Niwdi6jbMNM2MTPeyBGjEGICI78rQVTVxn9qGO602gXVKzZdkyUW/V+kTNVRV+3G1QEhFiMPUV5+nFnndjHoeqrpkWRFCRF6o0jLpmYczUskBApOR+lS5OtQ1DJg80wLdz+Hb98zJGb3mcgYhIC</vt:lpwstr>
  </property>
  <property fmtid="{D5CDD505-2E9C-101B-9397-08002B2CF9AE}" pid="89" name="VS Team System Data DO NOT EDIT82">
    <vt:lpwstr>385CKRtkyf87AIES2jsG9J/OV4E41H2dLo01L1SZBk6VqSMQ5Gh6zqUQ0t0GJzAyPseYDTV8HdGhLixjOItKEZjJcNzOkiJk2Rx2yBjqSAXIqyn5gZpz10xELTDnRXyaCkirJfy6hrs/8Rsw8yeBdiFix/dsblH7lIy/q37RXnNJEEUH86333S6pMSgG1Naj4l9+YY3pdAnGXKJIGH1lG5zyAPDUHyZwgGLegvynK5ZFmXgcANTL8QAyX5kzroe</vt:lpwstr>
  </property>
  <property fmtid="{D5CDD505-2E9C-101B-9397-08002B2CF9AE}" pid="90" name="VS Team System Data DO NOT EDIT83">
    <vt:lpwstr>7MFjUqkHGrHTBoGK9VlT2+U+7lhzEttYUqtPFCXZvUaaqp8WjZGV3AxxDkP+6FD9m9P9xhCcKvZKOAKCj9pCXRcwni4zmNkqGpl9FKoDkiHT8EE5gLDMsNTPhKNaFkyUVUnAIqe27T1o3NgRQjAtOcQKagiSVmwo4cgj/qxbUKPM6HPTxjJoHWqSJFL1mba5P87ZfRfLWX0+B70Bbuv68tNs75ff7i/vVv/aF/49y/XN7t//Gb/Wt7f7O61ovfN</vt:lpwstr>
  </property>
  <property fmtid="{D5CDD505-2E9C-101B-9397-08002B2CF9AE}" pid="91" name="VS Team System Data DO NOT EDIT84">
    <vt:lpwstr>o2cSJpefXPjJ4hhBui6vxK9g/nLy+XOaFUkcRMHl05Ju9l/ybME/3d9/1fHZIb77t0+7d5e3X959utN/fmv/eb+5+7K9WW93Ew95fiZLnsJ+P28311f7fT5iyvYb3fr00/v4MXz66+MvPSa89LfP9Ml2115t79efrv3fVt/8/uPd87t382y5f9msd7c3z3/3vYZSb+9/3f9ut77ebZ7fos/Pt/vhV9vTl3fPHvP4Ik2jBC54xozwbC+Pf/fqLQ2</vt:lpwstr>
  </property>
  <property fmtid="{D5CDD505-2E9C-101B-9397-08002B2CF9AE}" pid="92" name="VS Team System Data DO NOT EDIT85">
    <vt:lpwstr>W9XxPf1SO7eJ/rL98/Z8X5f39+vInJeF2r9/kd9vLu9vd7ef7d3/d7h7W1x/uH662t+/aP27WV+/4tvLmavhNz4ARz8g6n50Bn5/hlZYP97df1vebq4uPm939hTZykq1/+Pjh3cf6u3ePz9fjH5/+FLlNyW50VHaj1220vtuwTVMUb9hhL8H9wx6fdfD6ipnXV5z/9emR53t9j08/2G4+s938/Nt9f3W+zfbPftrq1DbPsMWP2/vrtwvo01MO3l</vt:lpwstr>
  </property>
  <property fmtid="{D5CDD505-2E9C-101B-9397-08002B2CF9AE}" pid="93" name="VS Team System Data DO NOT EDIT86">
    <vt:lpwstr>U0866iYxvJXreR79d39l9mw06jS/cvafDYg+1NKRM+P8P2Ptxvvp52Z09PfL6pp4rX4aaez78+mfB9t9ncb29+PK0eqb/77v27/snTKiSYeW/BGbb4l7XWcbrN3X75cnvz7tlTD3aWzewsO8POBsqx9xLPpyGff8HzTaczrzM9/jqDV97D7f893R4/XP60uXq4tlf57vG5B+9z5jLGRy/jKz2Wbnuz3f30RodlfoP+8dMuTDyzzfgM2/xwv767P</vt:lpwstr>
  </property>
  <property fmtid="{D5CDD505-2E9C-101B-9397-08002B2CF9AE}" pid="94" name="VS Team System Data DO NOT EDIT87">
    <vt:lpwstr>9suefp4k6tJx3N13PMMj23wSIjxB3vInWr5F/Xtw83967fZG3eep0ji6XHP356bcUDdORzQ9zf3mx/vSB1cVA/b69N5ZDzt3bPnPz3+YLcz/qc7h//51/X1w+aiNO//1AaEJz8++NkGXTC9Qfv8DBv881ed9PpaofDm5mqzuYhOt1P5Afsv2D9/WK6xfU2LrwvOIb7j/cbn3e8w/2mCOhlZ6POzZHB2t9e/mItQ/XpyF6h/dP/kgy3OeATuqEfw</vt:lpwstr>
  </property>
  <property fmtid="{D5CDD505-2E9C-101B-9397-08002B2CF9AE}" pid="95" name="VS Team System Data DO NOT EDIT88">
    <vt:lpwstr>SnvyuMWTmpTBJifNppvx9txxb++1js/9+vLni7+sb34+9SZ58uODD3Y4k5py50hNfdj8srmzrZx8e8+fe6B5puNH+/wsN/HfH7Z3JqaPmic5rebZf8H++cMic/Bs1ONgv0fTASfbb3re/Q6rY7avaTVkn/+H7PfElnS43wlLOm1Z7P/+Q/Z7Yks63O/Ikj4jpRrs9xzaaew5uNPud+g5DHFatq9pe+OCc2QXxvsNz7vfIfDB9jUdltrn/yHynJ1</vt:lpwstr>
  </property>
  <property fmtid="{D5CDD505-2E9C-101B-9397-08002B2CF9AE}" pid="96" name="VS Team System Data DO NOT EDIT89">
    <vt:lpwstr>XnocABNvXdLbBBedI/Y33m593v8PO6yAIZ7Ir4Tn2W+52t5db0mW1r+Jf/PlvN5u7E3obV5u/bH7Zbv72rv+Cp+c/5SGmRHp1jjRL/dP65seT1b/8w8Ze8FTsdo64bb+b42HM4e8f3co4anHhjHsUnqNaQmDxIA14lpDl6ckH7vxMwcSdx+Ht47K3ogiOR2aT4IJJVMFZ4ATlw/1Pt3fb/ytF+obyUC+cT08rd8MtTSYw3/DmjmzqT6bK3ggN6D</vt:lpwstr>
  </property>
  <property fmtid="{D5CDD505-2E9C-101B-9397-08002B2CF9AE}" pid="97" name="VS Team System Data DO NOT EDIT90">
    <vt:lpwstr>ekJ02gAKZAAK/WgS97OyfRg0/Pm0gxJ1Pu2So56py9NsXc/v1+cyfv7I+nSzPvnzmTaZ601m8w1Ud296+3dz9fqPPtjYXJfmP/2vfRTRYjs5nseXbUjL1S67//8nV9eX9xe3PRbH7ZXN9+FSLotG6X/4o/3wy/4GDPMzn07GiK+c17VhHxPJt9fPLBLmfQD9nrVc0RGMf67sfN/UVvlU6ci9RW/Rf0z59MR2Yz1j07Bxyivr2721zeb22v5SXVI</vt:lpwstr>
  </property>
  <property fmtid="{D5CDD505-2E9C-101B-9397-08002B2CF9AE}" pid="98" name="VS Team System Data DO NOT EDIT91">
    <vt:lpwstr>PufB1NI53BstP+nL/Tf57/uiLNTTLnafH6G4/hue/NwvzkdPsRjKJ499OBFz6TXs6N5rVfurDSL8Otue+KtHTz1YG8zOfXsqBl9s2r6l93m7qL9+9fN3XZzc3niq7vXUvqSwXccbH0m2Z4dTWe9eevl3eVP23u7Wg93Z9r36BsOsAcz5bD4HEnLQZ/BaSKRp4cevM0Z9ZOdI3nV7i7X1yc3OQdPfb63mZJtcJaSrdT9L+Rt3hD8T7+5x0dP1DBn</vt:lpwstr>
  </property>
  <property fmtid="{D5CDD505-2E9C-101B-9397-08002B2CF9AE}" pid="99" name="VS Team System Data DO NOT EDIT92">
    <vt:lpwstr>yvDB8TL8K72Hpz2eo4j5+PQpXMyUk3TA3Ha6oEXLsd2cKFzpnzaNiZkpdQW/Uep6ZWnWlvL1eqPXp1DjZK/vGazp8Rsev+BgtzOe328UMl+52z/fbX/cKvZsd/fbL2fCce2/5OA7DvY8Yzd+o9j1yj3/ZfNlvb0RVPZcb/jxG6bf8IzL9xulzFdDDW7vfr34/nZ7qsaYEUjPnv/s8Qc7nXEAjxe5Xo9FvN9c+JTwWVQvX+CfPxmzzZQwg+MlzFf</vt:lpwstr>
  </property>
  <property fmtid="{D5CDD505-2E9C-101B-9397-08002B2CF9AE}" pid="100" name="VS Team System Data DO NOT EDIT93">
    <vt:lpwstr>nnL/e3V6cHsjOc6fR7DMlreB4Seu1EH0Mw8X7m8+3J92ff+7jYw/2N+PlnaVEiR0/A0Dm4LnPXIPJLHp0VL++1jXw/XFmQLvt9eZEDsL+mXrkhJcw6fkcd3xeW7zqW9FOULzyTxq6q6to6pqtoqOX7LWv6vv13ZuSlv1Wnj3moEQ1ozDc6/dypGXpbnt7DsTZwXMPKt4z6iI8i7oYVbxPuM9hrXsokJPyeA5xfN+8WRRHrX9mnmaiv+QcIOyPd9</vt:lpwstr>
  </property>
  <property fmtid="{D5CDD505-2E9C-101B-9397-08002B2CF9AE}" pid="101" name="VS Team System Data DO NOT EDIT94">
    <vt:lpwstr>tTNu70Qvjsqc+qiJMGefUbEJP8dft6f7/pOwXEDfD217R/3OPTnmAIU6aqOB4JvFbgqtv1nW7U9cOXm4vm9ubt9Sme6B/4+LznwpjPpFvyc6RbPjx8Eh/DxXfr+/t9TvT+1Fi3/kv8d/ivGMHdgmzGFGTn8B3/94MFmntSjNNudvzoZ3Cgyar+8QbW11ZVxfRx0VN9vFlmn9GGHG5p0sSdy75tf7xR++NRd/8lftX+UR8HHv5qUlu+vvnvyNuRO</vt:lpwstr>
  </property>
  <property fmtid="{D5CDD505-2E9C-101B-9397-08002B2CF9AE}" pid="102" name="VS Team System Data DO NOT EDIT95">
    <vt:lpwstr>d2dCqfQP2wy5ExntEl6Dm3SgwB3Z6j97h89WftNZ+x3eg77/bhJ7xKdZ5vPnv240WTqriVH71rxui3+YbtTzubNgvn8OQfvayZfm56FqeDu9uvtjmDz76d9Wfsn7x98sMWZJG16FraCX798vb/9cmKr/eyhBzubScWm5yjhVde3lz9vTtd2ys6eP/RxZ5P+x3Hn47U+5V8218RpJ0Rz9Y+cbxtOZxKt6Tm6CT6udz+fgWVCj51EdaUzedX0HK0h</vt:lpwstr>
  </property>
  <property fmtid="{D5CDD505-2E9C-101B-9397-08002B2CF9AE}" pid="103" name="VS Team System Data DO NOT EDIT96">
    <vt:lpwstr>f7j920UnOvnTbs4e+/TUg83NOMbpWfoEbm/vL+r1w+7Er07PfXrswfZmkiTpOZxITvji/c1Fe/PL9u725vSAPL7h/c3w+QeRzowCzY4q0JMht76/Xp8ZrPX4Dc93Hc04otE5kJfl16/XfQh28cf1w83lTxeiCbx7YH2nq4d0m83Vp/Xlz++efaH/vtHXHZzFjL8aHfVXk7efhWfjUG3j7stpY9+pk+Dbhl92cA4zfuDxvPzbMJvnoiLxj5+MwSb</vt:lpwstr>
  </property>
  <property fmtid="{D5CDD505-2E9C-101B-9397-08002B2CF9AE}" pid="104" name="VS Team System Data DO NOT EDIT97">
    <vt:lpwstr>ZSPj8HBp8uzt5y/jjMw92NaPGjpeMXh10KR46Bypo/+QJUFA0U4aPztFRXF5ebr6eGvf0mLffP31qlzOeYXQWFqtnyuikDuKU/pn0FaMZXzE67iu+ElvRfjbtdzoX45m+efbkg+3NeIvHq4Ov3d7H7ZfNRX23vbcTvz5DaU3PHz7+YLczzmN01Hl8Zf2wethtbza73QVsPqfe6v7pTw8/6FacITcIz6OKwPafqzXaP36+MXqSJZjP/wP2euK26M</vt:lpwstr>
  </property>
  <property fmtid="{D5CDD505-2E9C-101B-9397-08002B2CF9AE}" pid="105" name="VS Team System Data DO NOT EDIT98">
    <vt:lpwstr>O9DpqiV5Piu3qD8B5NOny5vd+cNuegJ86kHJIpnyc5R/Kr2ewu77Zf3+bN9lsaPuup5Di1neIshRtfcfzj+lSlxscnHQAvZhSnO0fUXV+Tfz256+afO4LHTBbZXk/9d0R33G3WFydAJOg5E6iEYiZiLs5Yurk6GwHIkCBiRAASFDNRcXHGKs7V2QhehvsdV7yLmei3OEcVpMfPn7ix6+CpB3ubCXmPq8zXVnge7lSHOe3Wnj/0YGczYe9v4E9et</vt:lpwstr>
  </property>
  <property fmtid="{D5CDD505-2E9C-101B-9397-08002B2CF9AE}" pid="106" name="VS Team System Data DO NOT EDIT99">
    <vt:lpwstr>7NpeMaJqaYm4BkjtqmgmImFi3M4oNPbPrFCmtj2hE6aCY6LcwTH9fr6+sTkjVxSHjsR+RczoXBxNBR+LUON39zpW6X9g6cSby6fofzLz9Ip84fbhzfwC9UPu/vbL+8eH3Kwj2lLYZ+fwav50+ZvF2+HyvbbsYfNwWNdPhPT5udQKc3m6/ru/m31nn5Pg0cdbGkmdM3PkxP994eNxgi9eUeHTzrY0AzpXn6OyurbEoL9XqaSfi6f4dLLz6HG/8/m</vt:lpwstr>
  </property>
  <property fmtid="{D5CDD505-2E9C-101B-9397-08002B2CF9AE}" pid="107" name="VS Team System Data DO NOT EDIT100">
    <vt:lpwstr>14uH3Qleiz3o8TkHu5kO3uzzM6iDf91s3lBP6Hfy+JCDbcwQ4OXnAP//+e5q8waATL+Pp6ccIHZnApf8HIEL3AU+na+pZ2eA2ukbnr5gDLhbTTIfHb1Jr4SUE2CfBE2uJ42B5JMW6Lj5eWUR9uP6x7fzhT0+5CktNbWBN7jkLwTCv3knzzDwhxuaHHZ3jgjj/hTA26enHLT9zORtwqN5m1dzCfRlwxP3s44qh5OV7XBG84VHNd8rVXjfvmtLO+E</vt:lpwstr>
  </property>
  <property fmtid="{D5CDD505-2E9C-101B-9397-08002B2CF9AE}" pid="108" name="VS Team System Data DO NOT EDIT101">
    <vt:lpwstr>+n/Xt7h980Bk08y6Tc+Tgmu3ucvv1evuWzO/0BgdPPniFM1mo4zyYp6NlPS1McNSpNlkDnpypyednENuJPZ9Yhod7npTkmapacJaqmjLzok/o84Nn2av/iuffcLDdmXzVWQqme1jhyfbpp+P0WMLx3maSUuFZklK+eCMV+XDC7PHhi9xcPXv+gf6d0U7JObSTH6z2sDUrc1KtJFYBRqrp0ZMKabJayudnUEiDbZ56zubBTqeabWcUUXKW8r4faS</vt:lpwstr>
  </property>
  <property fmtid="{D5CDD505-2E9C-101B-9397-08002B2CF9AE}" pid="109" name="VS Team System Data DO NOT EDIT102">
    <vt:lpwstr>e40e60EvxsYJ6HOk6K74wWSs7B3ffH28v1tfzA9cWH24e7E/Laaa88nTncT88+2OqMUjrOiPtKr7d5ODGByzNglT170tdNZrLlyTnIW54F+MI/be62J59J9vQVB99wsOUZMFlyNEPz2hD5SS2VD/Zb51FKT48+2OgMHOJ4d90rN/rPD5u7Xy8+npKhQVvksR9H5AwucDMsG+44y8aJAFUnrtodAqoGBbvV9BCR1W/MEHmlHX0iPDgFK8X+YWOL6</vt:lpwstr>
  </property>
  <property fmtid="{D5CDD505-2E9C-101B-9397-08002B2CF9AE}" pid="110" name="VS Team System Data DO NOT EDIT103">
    <vt:lpwstr>WaGILqzDEEcvr8Tz606fH/jqVUz4y3dWcZbDvd64plVh3sdT6yaGdDgzjKgYTzh58SwzuGEnzGw082UMd05nPnxfk8M7RzudzTxxs0MRnTHByOebL8nvrnD/U7c3Znq51lmXY73e+LbO9zvxP2dKY6eZV7iUFedGAR0qKvG0+Zmpl+635h+eZq9nnjW3OFex5PmZsCx7izg2OFeTwxDPNzrGIQ4Ay0JjkNLXg1CtN3c/Li5ufz1LG2oj0+f7ECd</vt:lpwstr>
  </property>
  <property fmtid="{D5CDD505-2E9C-101B-9397-08002B2CF9AE}" pid="111" name="VS Team System Data DO NOT EDIT104">
    <vt:lpwstr>QQMFx9FArx4RcL/9cX2mhtunh09vdCbDchyF8vaNfrzb/vjj5u7kcxH2X3Dw/IMNz6RZjpdyTzDh5PKnG7UmXXz/8GnfdHbi3T/NPOm/a/RVBwcxk4Q5jnN520GUu91mt4Pq+w8fv/vjObb/9BV/uP9yPd71TGbmLCAlZU+2pk5PTP9w+NiD3c0kYY7DZN4Gi+dtnp7A49nTJ9PgM8Cm4CzApu/vbj+tP21P27bY0wIdPPiJYmaKYebVOzuC1fj</vt:lpwstr>
  </property>
  <property fmtid="{D5CDD505-2E9C-101B-9397-08002B2CF9AE}" pid="112" name="VS Team System Data DO NOT EDIT105">
    <vt:lpwstr>X9f3m7sv6LdTl+2FaB096As5M4WbOsZO/bH558x72z3guadNydo4d0HD3tqvU70NP2vHvSYzjTFHbHS9qvxbsXK0vf76+/fEESOGZdlj//Flu3ZlcQnA8l/Ba7LqvgZ6DMt4/ehpcM2PWwqNm7ZXa8KDMez6AwrNa7wFK4fH/P3z4/f8D</vt:lpwstr>
  </property>
</Properties>
</file>